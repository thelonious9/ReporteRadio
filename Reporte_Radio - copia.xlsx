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C517955B-8F07-4DDC-8D54-6B44A96556D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122" i="2"/>
  <c r="B125" i="2"/>
  <c r="B127" i="2"/>
  <c r="B130" i="2"/>
  <c r="B133" i="2"/>
  <c r="B136"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106" i="2"/>
  <c r="B108" i="2"/>
  <c r="B110" i="2"/>
  <c r="B112" i="2"/>
  <c r="B114" i="2"/>
  <c r="B116" i="2"/>
  <c r="B118" i="2"/>
  <c r="B120" i="2"/>
  <c r="B124" i="2"/>
  <c r="B128" i="2"/>
  <c r="B131" i="2"/>
  <c r="B134"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7" i="2"/>
  <c r="B109" i="2"/>
  <c r="B111" i="2"/>
  <c r="B113" i="2"/>
  <c r="B115" i="2"/>
  <c r="B117" i="2"/>
  <c r="B119" i="2"/>
  <c r="B121" i="2"/>
  <c r="B123" i="2"/>
  <c r="B126" i="2"/>
  <c r="B129" i="2"/>
  <c r="B132" i="2"/>
  <c r="B13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<sst xmlns="http://schemas.openxmlformats.org/spreadsheetml/2006/main" count="1364" uniqueCount="286">
  <si>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</si>
  <si>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</si>
  <si>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</si>
  <si>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</si>
  <si>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</si>
  <si>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</si>
  <si>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</si>
  <si>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</si>
  <si>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</si>
  <si>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</si>
  <si>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</si>
  <si>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</si>
  <si>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</si>
  <si>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</si>
  <si>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</si>
  <si>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</si>
  <si>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</si>
  <si>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</si>
  <si>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</si>
  <si>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</si>
  <si>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</si>
  <si>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</si>
  <si>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</si>
  <si>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</si>
  <si>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</si>
  <si>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</si>
  <si>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</si>
  <si>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</si>
  <si>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</si>
  <si>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</si>
  <si>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</si>
  <si>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</si>
  <si>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</si>
  <si>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</si>
  <si>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</si>
  <si>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</si>
  <si>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</si>
  <si>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</si>
  <si>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</si>
  <si>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</si>
  <si>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</si>
  <si>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</si>
  <si>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</si>
  <si>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</si>
  <si>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</si>
  <si>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</si>
  <si>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</si>
  <si>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</si>
  <si>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</si>
  <si>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</si>
  <si>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</si>
  <si>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</si>
  <si>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</si>
  <si>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</si>
  <si>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</si>
  <si>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</si>
  <si>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</si>
  <si>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Fuga De Agua</t>
  </si>
  <si>
    <t>Eulalio Larrieta agradece Paola García y Lic. Sarahi Pineda, por estar atentas a los mensajes de la ciudadanía y por atenderlos.</t>
  </si>
  <si>
    <t>Radioescucha</t>
  </si>
  <si>
    <t>Bienestar</t>
  </si>
  <si>
    <t>Conmemoración Aniversario</t>
  </si>
  <si>
    <t>Planeación</t>
  </si>
  <si>
    <t>Tarifario de taxis</t>
  </si>
  <si>
    <t>Inatención</t>
  </si>
  <si>
    <t>Feria Pachuca</t>
  </si>
  <si>
    <t>Campeonato Centroamericano</t>
  </si>
  <si>
    <t>Informe Sheinbaum</t>
  </si>
  <si>
    <t>Localización de cuerpo</t>
  </si>
  <si>
    <t>Semarnath</t>
  </si>
  <si>
    <t>Restauración Ecológica</t>
  </si>
  <si>
    <t>Comparecencias</t>
  </si>
  <si>
    <t>Vialidad En Mal Estado</t>
  </si>
  <si>
    <t>El Mexe</t>
  </si>
  <si>
    <t>UECS acredita ante la autoridad judicial responsabilidad de dos hombres acusados de secuestro agravado y son sentenciados a 50 años de prisión</t>
  </si>
  <si>
    <t>Sentencia</t>
  </si>
  <si>
    <t>Ke Buena 106.7 FM</t>
  </si>
  <si>
    <t>Noticias 106.7</t>
  </si>
  <si>
    <t>Cultura</t>
  </si>
  <si>
    <t>David Cárdenas</t>
  </si>
  <si>
    <t>Detención</t>
  </si>
  <si>
    <t>Implementará SSPH operativo de seguridad en la Feria San Francisco Pachuca 2026</t>
  </si>
  <si>
    <t>Atracción De Inversiones</t>
  </si>
  <si>
    <t>STPSH</t>
  </si>
  <si>
    <t>Movilidad laboral</t>
  </si>
  <si>
    <t>Socavón</t>
  </si>
  <si>
    <t>Combate Al Huachicol</t>
  </si>
  <si>
    <t>Enfoque Regional Meridiano</t>
  </si>
  <si>
    <t>En Hidalgo no hay escenario de conflictos religiosos y el Ejecutivo mantiene una buena relación con todas las organizaciones eclesiásticas. Así lo dijo el secretario de Gobierno, Guillermo Olivares Reina, tras el homicidio del sacerdote Román de la Cruz Hernández. Además, el funcionario estatal confió de que pronto se presenten avances de las investigaciones sobre el asesinato del clérigo, quien fue localizado sin vida el pasado 15 de septiembre entre los límites de Lolotla y Tlanchinol.</t>
  </si>
  <si>
    <t>Homicidio de sacerdote</t>
  </si>
  <si>
    <t>Jesús González</t>
  </si>
  <si>
    <t>En 2025 se registraron 32 mil 750 nacimientos en Hidalgo, y en 90 de ellos la madre tenía entre 10 y 14 años, según la Estadística de Nacimientos Registrados (ENR) 2025 del Instituto Nacional de Estadística y Geografía (INEGI). Aunque la entidad está entre las de menor embarazo adolescente del país, cada día se registraron en promedio cuatro nacimientos de madres menores de edad.Los 90 casos de madres de 10 a 14 años equivalen a un nacimiento cada cuatro días de una niña que aún no cumplía 15 años. Si se amplía el rango hasta los 17, el total llega a mil 586 nacimientos de madres menores de edad: casi uno de cada 20 registros del año en la entidad.Del total, 730 madres tenían 17 años, 535 tenían 16 y 231 tenían 15. Sumadas a las 90 de entre 10 y 14 años, 321 madres tenían 15 años o menos.</t>
  </si>
  <si>
    <t>Dinámica demográfica</t>
  </si>
  <si>
    <t>Un tema importante que vamos a investigar que tiene que ver con el cobro anual que se le quiere hacer en Tlahuelilpan a las colectivas y a los taxis. Se habla que en la Ley de Ingresos Municipal 2027 se incluye un cobro anual de 1,800 para taxis y 1,900 para unidades colectivas. Habrá que preguntarle a la presidenta municipal, vamos a tratar de buscarla la próxima semana para que nos explique cómo está el tema, por qué se da este cobro, a raíz de qué se da el cobro, qué se busca con este cobro, vamos a estar muy al pendiente de ver qué es lo que sucede.</t>
  </si>
  <si>
    <t>Ley De Ingresos</t>
  </si>
  <si>
    <t>El gobernador Julio Menchaca habló al respecto sobre el tarifario de taxis.” Va a haber un trabajo coordinado tanto de la Secretaría de Movilidad, de la Secretaría de Seguridad Pública, y de los ayuntamientos tanto de Pachuca como de los que corresponden de la zona metropolitana.</t>
  </si>
  <si>
    <t>Al existir estos acuerdos, también existen operativos para ver si los están cumpliendo. Por ello, de 6 de mayo al 18 de septiembre de este año, el Sistema de Transporte Convencional de Hidalgo realizó 249 operativos ordinarios, 32 especiales y 29 transportes seguros, que dejaron como resultado 724 infracciones y 153 unidades aseguradas.</t>
  </si>
  <si>
    <t>Esta declaración la dio el gobernador al finalizar la entrega simbólica de 360 apoyos del programa Emprendiendo Paso a Paso 2026, donde el gobernador Julio Menchaca Salazar reofrendó el compromiso de generar mejores condiciones de vida en los 84 municipios, al señalar que a dos años de concluir su gestión, el esfuerzo de miles de hidalguenses debe traducirse en bienestar para las familias y oportunidades para el presente y el futuro.</t>
  </si>
  <si>
    <t>Apoyo a emprendedores</t>
  </si>
  <si>
    <t>El tren de pasajeros a Hidalgo ya es una realidad.En el regreso del tren México-Pachuca, el gobernador Julio Menchaca dijo que existe el compromiso de la presidenta de México, Claudia Sheinbaum, que entre en funciones en 2027.</t>
  </si>
  <si>
    <t>Tren AIFA</t>
  </si>
  <si>
    <t>Usted recuerda que a partir de este 23 de septiembre entró en vigor este nuevo ajuste de las tarifas de taxis en la zona metropolitana de Pachuca la tarifa mínima será o es de 45 pesos el banderazo, el arranque como comúnmente se dice mientras que los trayectos más costosos alcanzarán los 189 pesos. Tras este aumento a la tarifa del transporte público en Pachuca usuarios denuncian que las irregularidades en el servicio continúan, siguen entre las principales quejas señalan unidades en malas condiciones operadores que circulan a exceso de velocidad y dificultades para que se respete el medio pasaje a personas adultas mayores nadie quiere cobrar y respetar el 50% de descuento.</t>
  </si>
  <si>
    <t>Queja transporte público</t>
  </si>
  <si>
    <t>La unidad especializada en el combate al secuestro de la Procuraduría de Hidalgo obtuvo una sentencia de 50 años de prisión contra dos hombres identificados con las iniciales JCMF y ASZ por el delito de secuestro agravado. Los hechos ocurrieron en febrero de 2024 en Progreso de Obregón cuando uno de los acusados simuló estar interesado en comprar un vehículo y solicitó una prueba de manejo.</t>
  </si>
  <si>
    <t>Ayer un grupo de personas que se identificó como estudiantes de la escuela normal rural Luis Villarreal del Mexe y es que decimos se identificó porque nunca queda claro quienes son estas personas estudiantes pseudo estudiantes ex estudiantes del Mexe nunca queda claro no hay un registro de quien se manifiesta en este tipo de situaciones pues estas personas que se identificaron presuntamente como estudiantes del Mexe pues levantó las plumas de la caseta de la autopista México Tuxpan en la localidad de San Alejo en Tulancingo. Los manifestantes estas personas permitieron el paso de vehículos en cambio de una cooperación voluntaria. Manifiesto de Presuntos Estudiantes de la Normal Rural El Mexe: La escuela normal rural Luis Villarreal el Mexe Hidalgo el día de hoy 24 de septiembre del año en curso se encuentra en la caseta de cobro México Tuxpan con el fin de tener una respuesta por autoridades federales a una mesa de diálogo para seguir atendiendo nuestras demandas como base estudiantil y normalistas rurales asimismo esclarecer las demandas de la escuela normal rural Luis Villarreal el Mexe Hidalgo es la delimitación de tierras con escrituras al igual el comedor al 100% incluyendo fines de semana de igual manera exigimos alto a la mala información brindada por la prensa amarillista y respeto a la organización estudiantil asimismo la escuela normal rural Luis Villarreal el Mexe Hidalgo exige una mesa de negociación una mesa de negociación con las autoridades federales recalcando que la presidenta Claudia Sheinbaum en una manera se comprometió a dar una mesa de negociación.</t>
  </si>
  <si>
    <t>Vamos con más información y es que la evaluación sobre el flujo de visitantes en la zona arqueológica de Tula no ha disminuido, al contrario el turismo sigue visitando este sitio afirmó el director de turismo municipal Daniel Muñoz. El número de visitantes en el sitio arqueológico de Tula, que es importante hacer esta atención porque a partir de su invitación salió a nivel nacional algunas publicaciones muy escandalosas donde se decía que el número de visitantes en zona arqueológica de Tula había descendido del 78% esto además contenía algunas revelaciones personales donde se decía que este descenso de visitantes en el sitio arqueológico era por la impuridad, por la contaminación y también por el abandono del sitio esto es totalmente erróneo es una falsedad la única vez y está en los libros históricos de hecho, abonando a esta invitación para que visiten el sitio les comento que hay que buscar unos tips y los tips te envían unos PDFs y en esos PDFs tienen desplazado por año y por mes el número de visitantes, entonces no hay que preguntárselo a la inteligencia artificial no hay que preguntárselo a una aplicación hay que hacer la búsqueda de manera manual y ya haciendo estos análisis la única vez en los últimos 10 años en los cuales la zona arqueológica de Pula recibió o más bien tuvo una disminución del 78% de visitantes evidentemente no tuvo nada que ver ni con la seguridad ni con la contaminación ni con el abandono del sitio fue porque a partir del marzo del 19 de marzo de aquel año cuando el sitio arqueológico se cerró y entonces todo lo que restó del año permaneció el sitio arqueológico cerrado y eso es lo que nos provocó este exceso de visitantes. Pero contrasta esta declaración de manera directa con los reportes de asociaciones civiles y datos del INAH hay otros datos diría el expresidente Andrés Manuel López Obrador.</t>
  </si>
  <si>
    <t>Zona Arqueológica</t>
  </si>
  <si>
    <t>No es todo el delegado también señaló que los habitantes se enteraron por comentarios en redes sociales de la instalación de un relleno sanitario en su localidad y que cree, no lo van a permitir. Hugo García Reyes (Delegado de la comunidad de Xitejé Zapata): Otro tema que yo quiero tocar a ustedes es, por ahí se tiene contemplado desde el gobierno, las redes sociales que va a haber un relleno sanitario en la zona pero, pero bien, vamos a ver no va a ser mucho, vamos a ver en este caso, a mi personal delgado que debe de tener intervisos y todo eso por nosotros quisiera ser claro pero tampoco queremos el relleno sanitario entonces lo pongo aquí en la mesa porque algunas comunidades ya se están moviendo por algunas situaciones ya tuvimos un problema fuerte por ahí hace años en que se le dio permiso para tirar el relleno a un expedidor así en la zona, no fue relleno sanitario, fue algo informal ahí tuvimos un problema de de plaga nociva en la zona, y el otro es que afectó no nada más a Xitejé afectaba a Nantzha y San Andrés la mosca que era un problema fuerte entonces yo sí digo que para esa zona no necesitamos el relleno. Al respecto, el secretario municipal José Antonio Vargas respondió que esto es totalmente falso. Y sobre lo que comenta el relleno como les digo, ya saben que el Facebook es el perfil falso que a uno le inventa fronteras y genera cosas, no hay ninguna ni proyección por parte del municipio a la intención por parte de nosotros de tomar ya un relleno en el estado.</t>
  </si>
  <si>
    <t>Relleno Sanitario</t>
  </si>
  <si>
    <t>Durante la sesión del COPLADER realizada en Tula el delegado de la comunidad de Xitejé Zapata, Hugo García Reyes, expuso dos temas prioritarios para su localidad. El primero está relacionado con el paso del tren por el ejido de Xitejé donde se contempla la construcción de un puente vehicular sin embargo señalo el delegado que el proyecto tal como está planteado podría resultar estrecho para el tránsito de vehículos por lo que pidió revisar sus dimensiones y garantizar una solución adecuada para la comunidad. Hugo García Reyes (Delegado de la comunidad de Xitejé Zapata): Yo quiero hacer la observación que no sé si ustedes sepan que aunque sea el tren solamente va a dejar un puente de doble carril entonces nosotros para tener un puente de doble carril para esa zona donde están todos los pueblos del occidente pues es un sería muy reducido sería quitarle pues una proyección al futuro a lo que es el occidente entonces para mí en lo especial este ya nos hemos acercado con todas las personas constructoras de lo que es el tren y la verdad entonces yo les pido a ustedes aquí a los lectores, a todos los que puedan decidir también para que sean también ya lo están tratando también este lo que es entonces este nosotros sí solicitamos un puente que sea de cuatro carriles, ¿por qué? porque a futuro esa zona yo creo que es la única zona donde el municipio puede crecer por ejemplo, para este lado si sabemos, tenemos un área de riego tenemos donde se pueda aprovechar el agua, ¿para qué agua? desgraciadamente no tenemos nada ni inversión o sea la inversión ha sido mínima para nosotros ahorita este ya le van a estar llegando algunas no sé cómo le llaman ballenas esas que lo hacen para la construcción de puentes ahorita tenemos un problema ¿por qué? porque no tenemos la infraestructura para poder pasar por imaginense ustedes que es la única zona que va a ser el único camino que tengamos para el occidente, ¿y qué va a pasar a futuro? si cuando nosotros le dimos la autorización en una minuta quedó que iban a ser de cuatro carriles, ahorita que ya van a hacer el puente dicen que en la minuta no aparece ¿qué quiero decir? que vamos a, como nos ven estamos solos en el occidente pues no se va a hacer ese puente de cuatro carriles, espero que de todos ustedes como administración municipal y regidores pues se aboquen, apoyemos para la zona, vean en qué forma estamos jodidos, estamos con un problema crítico de lo que es el medio acuático, tenemos un infierno corazón, y con esto sería otro problema más. La directora de planeación del municipio de Tula, Daniela López Hernández, dijo que la próxima semana sostendrán una mesa de trabajo con SEDENA, y tocarán esta petición. Daniela López Hernández (Directora de Planeación del Municipio de Tula): Comentarle, delegando aprovechar hacerles reconocimiento lo que estamos haciendo es que de manera casi semanal se tienen unas mesas de trabajo unas mesas de atención social en donde participan todas las instancias que tienen que reconecte, la ICAPI eh, defensa la secretaría de gobierno, en representación del gobierno de Santiago en este caso sus servidores de enlace para los temas que tienen que reconecte, no teníamos en el radar esta petición sin embargo, la siguiente semana, el próximo jueves vamos a atender esta mesa de atención voy a tocar el tema para hacer la forma de esta petición que pues están realizando decirles también que ha sido compromiso por parte de la gente de Atraco y de Sedena, se hizo un levantamiento del estatus de los de los caminos, porque nosotros como gobierno municipal, y también atendiendo las instrucciones del presidente, nos pidió estar muy pendientes de que toda la infraestructura carretera que se ha utilizado que sea guía para el transporte de maquinaria pesada pues se nos entregue en el mismo estado en el que se encontró con la finalidad de no afectar también las velidades, entonces lo que les puedo comentar es la siguiente semana se va a tener esta mesa de atención.</t>
  </si>
  <si>
    <t>El ejecutivo estatal también habló sobre los eventos deportivos que se van a realizar en noviembre y el próximo año utilizando nuestra infraestructura. Vamos a tener cerca de 35 delegaciones incluso hay una solicitud de Estados Unidos y de Canadá para poder participar, aunque es solamente centroamericanos y del Caribe pero es un proyecto de integración con personas con discapacidad,</t>
  </si>
  <si>
    <t>El gobernador de Hidalgo, Julio Menchaca Salazar, habló sobre el crecimiento y también el incremento de las tarifas en los taxis. Advirtió que los operadores que incumplan el tarifario podrían enfrentar sanciones más severas, incluidas la posibilidad de perder la concesión. E</t>
  </si>
  <si>
    <t>Arrancamos durante la entrega simbólica de setecientos sesenta apoyos del programa Emprendiendo Paso a Paso dos mil veintiséis. El gobernador Julio Menchaca refrendó su compromiso de mejorar las condiciones de vida en los ochenta y cuatro municipios de Hidalgo. Cada persona emprendedora recibe un apoyo de veinticinco mil pesos para fortalecer su negocio del total. Ciento noventa y uno son beneficiarios que pertenecen a veintiún municipios afectados por la vaguada monzónica de octubre de dos mil veinticinco. El mandatario estatal afirmó que estos recursos entregados de manera directa y sin intermediarios representan un respaldo para las familias y contribuyen a generar empleo y bienestar.</t>
  </si>
  <si>
    <t>El DIF Pachuca abrió la convocatoria 2026 de la Beca Municipal a la Excelencia Académica; se otorgarán 500 becas a alumnos de primarias públicas del municipio que cuenten con un destacado desempeño académico y se encuentren en condición de vulnerabilidad</t>
  </si>
  <si>
    <t>Becas</t>
  </si>
  <si>
    <t>Radioescucha reporta falta de medicamento en IMSS Hidalgo, ya tiene varios dias que no resulten recetas</t>
  </si>
  <si>
    <t>Abasto De Medicamentos</t>
  </si>
  <si>
    <t>Radioescucha reporta muchos baches por el Tec de Pachuca, dirección Centro - Matilde</t>
  </si>
  <si>
    <t>Comenta conductor sobre los reportes de fugas de agua.” Oigan, es que estas ya las habíamos pasado, las pasamos ya desde hace varios días. ¿Y qué está... qué es lo que nos pasa? Inclusive ayer Pao se las llevó también. Estos reportes, ¿qué está pasando? No entiendo, pero bueno... ¿Cómo les explico? ¿Cómo les explico? Va, voy a pasarlo nuevamente a CAASIM, espero que haya respuesta, porque sí ya nos llamó mucho la atención qué pasó. Ya lo pasa... lo compartimos y nuevamente lo estamos compartiendo.”</t>
  </si>
  <si>
    <t>Radioescucha reporta nuevamente los reportes de agua.</t>
  </si>
  <si>
    <t>La Secretaría de Seguridad Ciudadana de Ciudad de México, informó que uniformados de la Policía Bancaria e Industrial (PBI) auxiliaron a una adolescente de 16 años que se encontraba desorientada y deambulaba sin la compañía de un adulto, en las instalaciones del Centro de Transferencia Modal (CETRAM) Politécnico.Los hechos ocurrieron cuando los oficiales realizaban recorridos de seguridad y fueron alertados por comerciantes sobre la presencia de una menor que se encontraba sola.Al entrevistarse con ella, la adolescente refirió que había salido de su domicilio y que no recordaba cómo regresar. Tras proporcionar un número telefónico, los policías establecieron comunicación con un familiar, quien informó que había perdido contacto con la menor desde el 22 de septiembre en Tepeapulco y que había acudido ante una autoridad ministerial en el estado de Hidalgo para reportar su desaparición.Ante esta situación, la adolescente fue trasladada a bordo de una unidad policial a la Fiscalía Especializada para la Intervención y Persecución de los Delitos en materia de Desaparición Forzada de Personas y la Desaparición Cometida por Particulares y Búsqueda de Personas Desaparecidas (FIPEDE), donde posteriormente se reunió con su familiar.Con esta intervención, los policías brindaron auxilio y protección a la adolescente, además de realizar su canalización ante la autoridad competente para el seguimiento correspondiente.</t>
  </si>
  <si>
    <t>Localización de persona</t>
  </si>
  <si>
    <t>Empleotón 2026: Hidalgo acerca empleo digno a grupos vulnerables</t>
  </si>
  <si>
    <t>Feria De Empleo</t>
  </si>
  <si>
    <t>El Centro Regional de Hacienda Metropolitana de Hidalgo modificará sus horarios durante la Feria San Francisco Pachuca Hidalgo 2026.</t>
  </si>
  <si>
    <t>Hacienda</t>
  </si>
  <si>
    <t>Modificación de horario</t>
  </si>
  <si>
    <t>Durante el año 2026, la Secretaría de Salud ha registrado en Hidalgo un total de 179 casos confirmados de COVID-19 y 15 defunciones, cifras que colocan al estado en el primer lugar nacional por muertes asociadas a este virus en el periodo y en el tercer sitio a nivel nacional en cuanto a contagios. El subdirector de atención en las etapas de la vida, Eduardo Padilla González, señaló que los decesos se han concentrado principalmente en adultos mayores de 60 años que no contaban con esquema de vacunación. Ante la proximidad de la temporada invernal, las autoridades sanitarias recuerdan la importancia de mantener medidas preventivas básicas, como la higiene de manos, el uso de cubrebocas en transporte público y la aplicación de vacunas, especialmente en grupos de alto riesgo. Con información de infolibre</t>
  </si>
  <si>
    <t>Covid 19</t>
  </si>
  <si>
    <t>El secretario de Gobierno de Hidalgo, Guillermo Olivares Reina, descartó que el asesinato del sacerdote Román de la Cruz Hernández —ocurrido el pasado 15 de septiembre en la carretera de Lolotla— obedezca a un conflicto religioso. Durante sus declaraciones informativas, el funcionario destacó que existe una comunicación estrecha y permanente con la Diócesis de Huejutla y la Procuraduría estatal para esclarecer los hechos, determinar responsabilidades y dar con los autores materiales o intelectuales. Asimismo, reiteró que la relación del gobierno estatal con las distintas asociaciones religiosas es de respeto y diálogo constante, descartando cualquier ambiente de confrontación por motivos de culto de cara al próximo proceso electoral.</t>
  </si>
  <si>
    <t>Realiza SEPH el encuentro “Voces que transforman”</t>
  </si>
  <si>
    <t>Mejora educativa</t>
  </si>
  <si>
    <t>Locutor Jesús Riveros da lectura a comentario de radioescucha que reporta que, la carretera Cuautepec-Tulancingo está en malas condiciones y seguido hay accidentes.</t>
  </si>
  <si>
    <t>Carretera En Mal Estado</t>
  </si>
  <si>
    <t>Un aparatoso accidente se registró la mañana de este viernes 25 de septiembre en el corredor vial de San José, a la altura del semáforo de Habitacional del Bosque, donde se vieron involucrados un auto particular y una colectiva de las “rojas”, dejando cuantiosos daños materiales. Servicios de emergencia atendieron a los dos conductores de ambas unidades, quienes presentaban lesiones menores y, afortunadamente, viajaban solos en sus respectivos vehículos.</t>
  </si>
  <si>
    <t>Accidente Vial</t>
  </si>
  <si>
    <t>Correcto ejercicio del presupuesto genera mejores condiciones de vida para las familias: JMS</t>
  </si>
  <si>
    <t>Durante la madrugada de este viernes, un automovilista de 35 años resultó lesionado de bala en la espalda tras un intento de asalto sobre la autopista Arco Norte, a la altura del municipio de Atitalaquia, en el estado de Hidalgo. De acuerdo con reportes de la Guardia Nacional, la víctima viajaba en compañía de otra persona cuando fue interceptada por un grupo armado. Tras los disparos, el conductor fue hospitalizado, mientras que los agresores huyeron con rumbo desconocido y son buscados por las autoridades. Con información de Criterio Hidalgo,</t>
  </si>
  <si>
    <t>Inseguridad Carretera</t>
  </si>
  <si>
    <t>El juicio por el caso del triple feminicidio ocurrido en San Isidro a finales de julio de 2024 avanza hacia su etapa final. Durante la reanudación de las audiencias, la jueza titular otorgó la última oportunidad a los tres acusados para declarar, derecho que no fue ejercido por ninguno. Se programó para el próximo 8 de octubre la audiencia donde se formularán alegatos de clausura y se prevé emitir un fallo condenatorio, casi 27 meses después de los hechos. Asimismo, se anticipa la movilización de la colectiva feminista Mujeres del Tule para dar seguimiento al veredicto.</t>
  </si>
  <si>
    <t>TSJEH</t>
  </si>
  <si>
    <t>Proceso Por Feminicidio</t>
  </si>
  <si>
    <t>Hidalgo llevará caravana cultural al Festival Tlaxkallan 2026</t>
  </si>
  <si>
    <t>Festival Cultural</t>
  </si>
  <si>
    <t>Ejidatarios del ejido Mimila, en Tulancingo, decidieron paralizar las obras de ampliación a cuatro carriles de la autopista México-Tuxpan, a la altura del kilómetro 90 en la zona del libramiento Pitula, debido a la falta de pagos correspondientes por sus tierras y la ausencia de un decreto oficial de expropiación tras 25 años de gestiones. Fernando García Cuevas, comisariado ejidal, señaló que son aproximadamente 16 los ejidatarios afectados en un tramo de 3 kilómetros, quienes en su momento solo recibieron un pago temporal por ocupación previa. Los inconformes advirtieron que, de no obtener una respuesta favorable de las autoridades tras su asamblea dominical, contemplan el cierre total del libramiento.</t>
  </si>
  <si>
    <t>Expropiación</t>
  </si>
  <si>
    <t>René Aguilar informó sobre un aparatoso accidente vial ocurrido muy temprano en las inmediaciones de la entrada a Habitacional. El incidente involucró a una unidad de transporte público (colectiva) y a un vehículo particular, cuyo conductor fue señalado como presunto responsable tras intentar dar una vuelta. Afortunadamente no se registraron personas lesionadas de gravedad; el conductor de la colectiva resultó únicamente con heridas superficiales y viajaba sin pasajeros. En el lugar se presentaron complicaciones viales y el cierre temporal del retorno debido a los vehículos siniestrados, mientras los involucrados buscaban llegar a un acuerdo y se esperaba el apoyo de las autoridades de movilidad.</t>
  </si>
  <si>
    <t>El gobierno municipal de Cuautepec de Hinojosa concluyó los trabajos de construcción de la línea de distribución de agua potable en la zona conocida como “subida de los tepetates”, en la localidad de Cerro Verde. La obra representó una inversión de 162 mil 400 pesos y beneficia directamente a 300 habitantes, con la instalación de 113 metros lineales de tubería de acero de tres pulgadas de diámetro, además de 15 atraques de concreto armado, dos columnas y dos tensores con cable de acero, que brindan mayor seguridad y resistencia a la infraestructura. El presidente municipal, Jorge Hernández Araus, destacó que mejorar la infraestructura hidráulica y garantizar servicios básicos para las comunidades es una prioridad de su administración, particularmente cuando se trata de atender necesidades que durante años han requerido atención. Los trabajos también benefician a familias de Cerro Verde y la zona de la Laguna, quienes recibieron con satisfacción la conclusión de esta obra que permitirá fortalecer el suministro de agua potable y mejorar sus condiciones de vida</t>
  </si>
  <si>
    <t>Infraestructura Hidráulica</t>
  </si>
  <si>
    <t>El especialista en deportes Gustavo Rosales informó sobre los próximos eventos de relevancia internacional que albergará el estado de Hidalgo. Por un lado, destacó la designación de la entidad como sede del "Orgullo Nacional" (nuevo nombre de la Olimpiada Nacional) para el año 2027, lo cual servirá de preparación para el deporte adaptado. Como parte de este proceso de ensayo y fogueo, se anunció que Hidalgo recibirá el Campeonato Centroamericano y del Caribe de Bocha 2026, el cual se llevará a cabo del 21 al 27 de noviembre. Dicho evento contará con la participación de 31 delegaciones internacionales, cuyos integrantes se hospedarán en un hotel de concentración para llevar a cabo revisiones de equipaje, entrenamientos y el desarrollo del torneo en la ciudad deportiva de alto rendimiento. Este tipo de justas internacionales buscan consolidar a Hidalgo como un referente deportivo y proyectarlo turísticamente a través de sus visitantes.</t>
  </si>
  <si>
    <t>Entrevista en cabina Pasiano Barranco Islas, presidente municipal de Acatlán - Expo Feria del Queso 2026: Anunció los detalles de la Expo Feria del Queso Acatlán 2026, la cual representa la última feria de su administración municipal. El evento busca integrar tanto tradiciones locales como una oferta diversificada de actividades deportivas y culturales. Entre los principales atractivos se encuentra la tradicional Carrera del Queso en su edición 40 (10 km), además de una nueva modalidad recreativa y familiar de 5 km implementada gracias a sugerencias ciudadanas. La feria contará con dos sedes principales: el auditorio municipal para el Teatro del Pueblo y el recinto ferial (ubicado a tres cuadras del centro) para los eventos masivos. La programación incluye la participación de artistas estelares como Ponzoña Musical, El Commander, Super Lamas, Alex Syntek y Cuernos Chuecos, así como una obra de teatro estelar a cargo del actor Silverio Palacios, con el apoyo de Ricardo Dalmachi. Asimismo, se destacó la participación de los productores queseros locales con más stands y un concurso al mejor queso en tres modalidades, además de donaciones de producto para los corredores y visitantes. Las actividades inician este día con la coronación de la embajadora cultural a las 19:00 horas y concluirán el 29 de septiembre.</t>
  </si>
  <si>
    <t>Feria Patronal</t>
  </si>
  <si>
    <t>Canal del Pueblo</t>
  </si>
  <si>
    <t>Vocales Radio</t>
  </si>
  <si>
    <t>A solo unos días de que concluya septiembre y se den a conocer las coordinaciones electorales de Morena en Hidalgo —tanto para diputaciones federales, locales como ayuntamientos—, el panorama político interno refleja división, opacidad y una evidente falta de acuerdos con sus aliados estratégicos. Durante el análisis político semanal entre el periodista Alberto González y el conductor Andrés Torres, se destacó la marcada distancia que prevalece entre Morena y los partidos del Trabajo (PT), Verde Ecologista (PVEM) y Nueva Alianza. A diferencia de procesos anteriores, la dirigencia estatal no ha emitido señales claras de unidad ni ha mostrado acuerdos grupales para consolidar la coalición a nivel local. Uno de los puntos más críticos señalados durante la conversación es la fractura con el PT. Pese a que a nivel nacional se insiste en mantener la unidad, en el ámbito local el PT ha amagado con competir en solitario si no se respetan los espacios en la mesa técnica de negociación. Esta postura pone en riesgo la mayoría simple de la alianza en el Congreso local y evidencia una ruptura de la que aún no hay registro de reconciliación. Asimismo, se cuestionó la falta de transparencia del dirigente estatal de Morena en manos de Marco Rico, cuya vocería ha sido relegada en temas fundamentales, dejando anuncios clave en manos de figuras como la secretaria de Organización, Marisol Ortega, ligada al Grupo Universidad. A ello se suma la molestia latente por los métodos de selección interna. En elecciones pasadas, Morena atribuyó sus candidaturas a encuestas que nunca se hicieron públicas, generando una "deuda de credibilidad" y demandas de desahogo que amenazan con dificultar la operación cicatriz de cara al registro oficial de candidatos previsto para marzo. Se habla de que a Raúl Badillo, quien era un muy buen activo en la Huasteca, pues ya no lo quieren. Con la reactivación de viejas alianzas del pasado político en la entidad, descalificaciones públicas a perfiles locales y la presencia de distintas "tribus" internas compitiendo por espacios en los distritos, la contienda dentro de Morena anticipa un escenario complejo donde la imposición de coordinadores podría derivar en una severa fractura interna antes del inicio formal de las campañas. Señalan el mal desempeño d alcaldes, lo que le jugará en contra a Morena en las próximas elecciones. Deben trabajar en los problemas y pugnas internas, porque eso les va a jugar también en contra. Asimismo, mencionaron la posible alanza de Gerardo Sosa con Miguel Osorio.</t>
  </si>
  <si>
    <t>Morena</t>
  </si>
  <si>
    <t>Alianzas Electorales</t>
  </si>
  <si>
    <t>TV LOCAL</t>
  </si>
  <si>
    <t>Partidos</t>
  </si>
  <si>
    <t>Andrés Torres Y Alberto Gonzálezz</t>
  </si>
  <si>
    <t>Arranca SEPH Feria para la Convivencia Escolar en Epazoyucan</t>
  </si>
  <si>
    <t>Convivencia Escolar</t>
  </si>
  <si>
    <t>Aldo Falcón</t>
  </si>
  <si>
    <t>Andrés Torres menciona que se habal de una alianza entre Gerando Sosa y Miguel Osorio Chong, esto con miras a los próximos procesos electorales.</t>
  </si>
  <si>
    <t>Andrés Torres</t>
  </si>
  <si>
    <t>Andrés Torres menciona que la semana pasada se informó en muchos medios sobre la separación de varios delegados en el país para ser investigados, incluido Canek Vázquez, delegado del Infonavit en Hidalgo. Esta noticia tuvo mucha resonancia, y algunos medios parecían celebrar la situación. Sin embargo, Canek Vázquez envió fotos a los medios donde aparece trabajando en su oficina y asegurando que sigue despachando desde allí.</t>
  </si>
  <si>
    <t>Corrupción</t>
  </si>
  <si>
    <t>Andrés Torres comenta que hace 3 o 4 meses, los taxistas que tiene concesión de Tasquillo pidieron ayuda al alcalde, "don Roñas", para enfrentar el aumento de taxis piratas en la zona. El alcalde accedió y fue a la Secretaría del Transporte con algunos taxistas. Sin embargo, al llegar allí, lo regañaron y le dijeron que él debía controlar la situación en su comunidad y no llevar problemas a la Secretaría. Como resultado, don Roñas ya no quiere involucrarse en el asunto porque recibió una reprimenda. Andrés señala que el alcalde debe recordar que fue elegido por el voto del pueblo y que tiene la responsabilidad de representar los intereses de toda la población de Tasquillo, no solo de algunos. A pesar del regaño, es su deber seguir trabajando en favor de los taxistas y la comunidad. Andrés critica que muchos funcionarios, incluido el alcalde, solo piensan en avanzar a un siguiente cargo, como los directores de Radio y Televisión de Hidalgo, en lugar de cumplir con sus deberes actuales. Esto refleja una falta de compromiso con el trabajo que tienen en sus puestos.</t>
  </si>
  <si>
    <t>Transporte pirata</t>
  </si>
  <si>
    <t>Andrés Torres: Pues no acaba de no acaba de digerirse el tema del incremento al transporte. Varios eh pues concesionarios, varios eh trabajadores del volante se manifiestan y dicen que pues la tarifa mínima de taxi debe de ser de 50 pesos, ¿no?, de hasta 50 pesos. Está muy muy complicado este asunto. No, no deja contento a nadie. Me llamó de la asociación de taxistas allá en Tasquillo, ahora le leo el mensaje, este Juan Fuentes y me dice así, textual: "Buenos días, Vocales. Vaya que la tarifa autorizada por Semoth no está mal, pero en Tasquillo hay que pensarlo respecto a aplicar la nueva tarifa porque hay tantos taxis piratas que es imposible competir con ellos porque ellos pues dan más barato, ellos cobran más barato. ¿Por qué? Pues porque no tienen concesión, porque no pagan impuestos, porque no pagan este ningún tipo de seguro ni nada. O sea, el taxi pirata es pues así un carro a la brava, ¿no? Bueno, dice, pues ¿cómo le vamos a hacer? Ojalá que la titular de la Secretaría de Transporte, Lizbeth Robles, pues instruya a su personal para actuar contra la piratería. Saludos y muy buenos días". Pues ese es un problema muy muy grave.</t>
  </si>
  <si>
    <t>Aumento Tarifa De Transporte</t>
  </si>
  <si>
    <t>La carretera a Pachuca- Huasca sigue cerrada debido a los trabajos de reparación. Es una obra federal y serán estas autoridades quienes hagan efectivos lo seguros de la obra.</t>
  </si>
  <si>
    <t>Carretera Huasca</t>
  </si>
  <si>
    <t>Dos oficiales de Mineral del Monte resultaron lesionados durante una persecución la noche de este domingo. De acuerdo con la dependencia, los oficiales marcaron el alto a un camión, el cual no acató, lo que generó una persecución. Al llegar a Atotonilco el Grande, el trailero los embistió, sacándolos del camino. Por dicho hecho, una oficial y un oficial resultaron lesionados, por lo que fueron atendidos por paramédicos de Protección Civil de Atotonilco el Grande.</t>
  </si>
  <si>
    <t>Atropellamiento de policía</t>
  </si>
  <si>
    <t>El viernes pasado la Asociación de Migrantes que está asentada en Dallas, Texas, de Don Miguel Estrada, tuvo conferencia de prensa en Pachuca para dar a conocer sus actividades y se quejó de un pasquín que anda extorsionando a los migrantes. Se menciona que el dueño de ese medio es ex trabajador de Radio y Televisión.</t>
  </si>
  <si>
    <t>Extorsión</t>
  </si>
  <si>
    <t>En algunas encuestas del distrito de Tulancingo apareció Dora Luz, como uno de los activos de Morena para esta región para una candidatura a la diputación federal.</t>
  </si>
  <si>
    <t>Candidaturas</t>
  </si>
  <si>
    <t>Morena, en la huasteca está por presentar a sus coordinadores electorales. Hay muchas apuestas por los perfiles, al igual por los aspirantes que buscan ser candidatos a algún cargo. En algunos medios ya se da por "muerto" a Raúl Badillo y hace menos de dos años era el "niño consentido".</t>
  </si>
  <si>
    <t>Aspirantes</t>
  </si>
  <si>
    <t>Una unidad de supervisión del Sistema Metropolitano eh se impactó contra un poste, lo que produjo su volcadura. Por este incidente dos personas resultaron lesionadas, las cuales tuvieron que ser atendidas en el lugar. Este incidente se presentó frente a la Plaza de Toros. Eh fue alrededor de la tarde, al parecer el exceso de velocidad y la falta de pericia fueron los factores que provocaron el percance vial. Andrés Torres: Muy bien. Bueno, pues llamó mucho la atención porque pues se supondría que los trabajadores del Sistema de Transporte en nuestro estado pues tendrían que ser los más prudentes, ¿no?, los que los que conducirían con eh pues sobre todo mayor observancia a los límites de velocidad. Este accidente se da por el exceso de velocidad que llevó a pues a estas personas a volcarse. Afortunadamente quedaron a un costado ahí en la parte de los eh pues las jardineras, los camellones, y bueno pues la libraron los dos tripulantes de este vehículo.</t>
  </si>
  <si>
    <t>Accidente de vehículo oficial</t>
  </si>
  <si>
    <t>Hay un descenso importante de temperatura, se vuelven a reportar muertes por COVID. Tenemos casi 19 muertes por COVID en lo que va del año. Tenga usted cuidado, hay que estar muy atentos a la salud de nuestros hijos, de la familia. Por favor, no se no se automedique. Si usted conoce o ve que alguien en casa pues presenta síntomas de como fiebre alta, gripa, escurrimiento nasal, malestar general, no se automedique, vaya al médico. Puede ser COVID, tenemos pues nuevamente ya encima la temporada invernal y, bueno, pues Hidalgo sigue reportando pocas, bueno, pocas muertes en promedio, pero seguimos reportando muertes por COVID de acuerdo a la Secretaría de Salud de nuestro estado.</t>
  </si>
  <si>
    <t>Andrés Torres informa que la Feria de Pachuca San Francisco 2026, que comenzó el jueves pasado. El gobernador Julio Menchaca Salazar, junto a su esposa la señora Edda Vite Ramos, del secretaro de Gobierno Guillermo Olivares Reyna y algunos miembros de su gabinete, inauguró oficialmente la feria cortando el listón y recorriendo las instalaciones. Hasta ahora, la feria ha tenido una gran afluencia de visitantes y se prevé que dure un mes lleno de celebraciones. Se mencionan los actos programados que dependen de los artistas y grupos que se presentan, especialmente en el Teatro del Pueblo y el Palenque. Este factor influye en la cantidad de personas que asisten, sobre todo por la tarde-noche. Se reporta que desde el inicio, la feria ha sido un éxito total y ha llenado sus instalaciones. Además, se ha anunciado un aumento del 20% en la tarifa de taxis en Pachuca, aunque algunos taxistas consideran que es insuficiente y piden una tarifa mínima de 50 pesos. También hay un operativo especial para garantizar la seguridad y movilidad alrededor de la feria, y el Tuzobús ha ampliado sus horarios para facilitar el transporte a los visitantes que regresan tarde a sus hogares. Hasta el momento, no ha habido incidentes negativos durante este evento y se seguirá informando sobre el desarrollo de la Feria de Pachuca San Francisco.</t>
  </si>
  <si>
    <t>Ultra 102.9 FM</t>
  </si>
  <si>
    <t>Ultra Noticias1</t>
  </si>
  <si>
    <t>Una mujer de 24 años fue detenida en Pachuca luego de que policías municipales descubrieran que contaba con una orden judicial por el delito de robo con violencia en el Estado de México. La intervención ocurrió mientras los agentes atendían una riña registrada en la vía pública. Durante el procedimiento, los uniformados verificaron los datos de las personas involucradas en Plataforma México. La consulta reveló un registro relacionado con una investigación por robo con violencia, así como un mandamiento judicial emitido en Nezahualcóyotl, Estado de México. Este hallazgo en la playa es tema de conversación en todo México.Scurarestr MX (https://scurarestr.com/fund) Tras confirmar la información, la mujer quedó bajo custodia de elementos de la Policía de Investigación, quienes realizarán el traslado correspondiente para cumplir con la orden judicial.</t>
  </si>
  <si>
    <t>Daniel Martínez</t>
  </si>
  <si>
    <t>Un hombre fue lesionado por impacto con arma de fuego en un intento de robo ocurrido sobre la autopista Arco Norte a la altura de Tula de Allende durante la madrugada del pasado viernes 25 de septiembre. Las primeras investigaciones señalan que el hombre viajaba sobre esa vialidad en compañía de una mujer a bordo de un vehículo tipo Jeep, cuando fue alcanzado por un grupo de sujetos armados. Los agresores intentaron obligar al conductor a detener la marcha para despojarlo de la unidad, sin embargo, al maniobrar el... el conductor para evitar el robo, los agresores le dispararon logrando herirlo para huir de inmediato de la zona. El hombre logró detenerse, logrando solicitar apoyo y llegando al sitio elementos de Guardia Nacional División Carreteras, así como paramédicos. Estos últimos, tras valorarlo, determinaron su traslado para que recibiera atención médica especializada. Mientras que el estado de salud del conductor del Jeep se reporta como delicado, la mujer que le acompañaba al momento de la agresión presentó un cuadro severo de crisis nerviosa, recibiendo atención especializada en el sitio. Las investigaciones respectivas al caso ya han sido iniciadas.</t>
  </si>
  <si>
    <t>Localizan cuerpo sin vida en canal de aguas para riego El cuerpo de un hombre fue localizado flotando entre aguas residuales dentro de un canal ubicado en el ejido de Santa María Nativitas, en la zona de Atengo, dentro del municipio de Tezontepec de Aldama. El hallazgo fue reportado la mañana del sábado 26 de septiembre, acudiendo al sitio elementos policiacos, quienes confirmaron la presencia del cuerpo de una persona flotando sobre las aguas del canal de aguas para riego. Tras realizar el rescate del cuerpo de las aguas, paramédicos conformaron que este ya no presentaba signos vitales. Hasta el momento no se ha establecido la identidad de la persona localizada sin vida, por lo que se espera que a partir de la investigación a cargo de la Procuraduría General de Justicia del Estado de Hidalgo se establezcan las causas del fallecimiento y demás detalles legales.</t>
  </si>
  <si>
    <t>Un niño de 12 años de edad resultó lesionado de su pierna izquierda por disparo con arma de fuego. El propio menor de edad la estaba manipulando cuando se accionó aparentemente en forma accidental. Elementos de Seguridad Pública y de atención de emergencias atendieron este reporte emitido en un domicilio en la colonia José Humberto Lugo dentro del municipio de Tizayuca. Ahí comprobaron la lesión que presentaba precisamente... ahora sí que siendo estabilizado de inmediato para posteriormente trasladarlo a un nosocomio cercano para su atención especializada. Ante la gravedad de este incidente y al tratarse también de un menor de edad en situación de vulnerabilidad, se solicitó la intervención inmediata del sistema DIF municipal para poder brindar el acompañamiento integral de eh... contención a la familia. Agentes de la Procuraduría General de Justicia del Estado de Hidalgo iniciaron investigaciones sobre el caso para poder establecer las responsabilidades legales respectivas a este caso</t>
  </si>
  <si>
    <t>Auxilio a la ciudadanía</t>
  </si>
  <si>
    <t>Izza Hernández</t>
  </si>
  <si>
    <t>CEDSPI impulsa certificación de intérpretes y traductores de lengua náhuatl</t>
  </si>
  <si>
    <t>Certificación de intérpretes</t>
  </si>
  <si>
    <t>No se reporta presencia de ejidatarios en el Carretera México- Tuxpan, solo hay colocada una cinta amarilla para delimitar el área de ampliación de la autopista, bajo el entendido de que no habrá trabajos hasta que tengan la reunión con autoridades estatales y federales. Sobremodo con la federal, quien llevan el tema de la expropiación. Hay comentarios que dicen que ya se les pagó desde hace 27 años, pero otras personas dicen que no y están en espera de que se le haga el pago por sus tierras.</t>
  </si>
  <si>
    <t>Ampliación carretera</t>
  </si>
  <si>
    <t>El día de hoy en las instalaciones del Instituto de Ciencias de la Salud (ICSA) de la Universidad Autónoma del Estado de Hidalgo (UAEH), inicia el reclutamiento de vacantes para enfermeras y enfermeros con experiencia para laborar en Alemania. Ya no hay registros, solo se realizarán las entrevistas.</t>
  </si>
  <si>
    <t>Obtiene Hidalgo seis galardones en la Premiación Nacional “Somos el Cambio 2026”</t>
  </si>
  <si>
    <t>Abigeato</t>
  </si>
  <si>
    <t>Impulsan jóvenes participación ciudadana para recuperar espacios de recreación en Tulancingo Más de 60 jóvenes tulancinguenses participaron en el Faenatón Juvenil, una jornada de limpieza y rehabilitación de espacios públicos que permitió intervenir cerca de dos kilómetros de la ciclopista de Tulancingo, desde la calle Primero de Mayo hasta las inmediaciones de la Clínica del ISSSTE. Durante la jornada, las y los participantes realizaron labores de limpieza y pintura de guarniciones en este espacio destinado a la recreación y la actividad física, contribuyendo a mejorar sus condiciones para el uso de las familias y personas que diariamente acuden a ejercitarse, caminar o realizar actividades al aire libre. La actividad fue impulsada mediante la colaboración entre la Instancia Municipal de la Juventud y el programa Jóvenes Construyendo el Futuro, como una estrategia para promover la participación social de las juventudes y fortalecer el sentido de responsabilidad comunitaria. El Faenatón Juvenil representa una muestra de cómo la participación ciudadana puede contribuir al cuidado y conservación de los espacios públicos. Mantener en buenas condiciones parques, ciclopistas, áreas deportivas y zonas de recreación requiere del trabajo permanente de las instituciones, pero también de la colaboración responsable de quienes hacen uso de estos lugares. La participación de las juventudes en este tipo de acciones también permite fortalecer valores como la solidaridad, el trabajo colaborativo, el compromiso social y el sentido de pertenencia, al involucrarlas directamente en el mejoramiento de los espacios que forman parte de su entorno cotidiano.</t>
  </si>
  <si>
    <t>Rehabilitación de espacios públicos</t>
  </si>
  <si>
    <t>Aseguran 165 ejemplares de cactáceas: fueron extraídas ilegalmente La Procuraduría Federal de Protección al Ambiente emitió un dictamen pericial e interpuso una denuncia formal por la extracción de 10 ejemplares de biznaga burra y 155 ejemplares de garambullo ,las cuales fueron extraídas ilegalmente por dos personas en el municipio de Cardonal. Los infractores fueron sorprendidos por habitantes de la comunidad de La Vega, cuando extraían las cactáceas y las cargaban en una camioneta; personal de Seguridad Pública municipal confiscó el vehículo y las cactáceas, y puso a disposición del Ministerio Público de la Federación a las personas. Posteriormente, la Fiscalía General de la República solicitó a la procuraduría presentar el dictamen pericial respecto a los ejemplares. Una vez efectuada la revisión, pesaje y cuantificación correspondiente, se determinó que se trataban de 10 ejemplares de biznaga burra, con un peso total de 331.5 kilogramos, y 155 partes o ejemplares de garambullo. Se conoció que algunos de los ejemplares fueron extraídos desde la raíz y otros en secciones. Los detenidos no pudieron acreditar la legal procedencia de los ejemplares conforme a la Ley General de Vida Silvestre, por lo que su aprovechamiento y posesión sin autorización de la Secretaría de Medio Ambiente y Recursos Naturales constituye un delito federal. La biznaga burra es una especie considerada en peligro de extinción dentro de la NOM-059-SEMARNAT-2010 y ambas cactáceas están enlistadas en el Apéndice II de la Convención sobre el Comercio Internacional de Especies Amenazadas de Fauna y Flora Silvestre (CITES). Por ello, la Procuraduría Federal de Protección al Ambiente interpuso una denuncia formal por delito ambiental contra la biodiversidad.</t>
  </si>
  <si>
    <t>Protección Biodiversidad</t>
  </si>
  <si>
    <t>Elementos de la Dirección de Bomberos y Protección Civil de Tulancingo rescataron un águila negra que fue localizada sobre una barda de aproximadamente tres metros de altura, en el Andador 2 de la colonia Adolfo López Mateos. El reporte fue atendido la tarde del sábado 26 de septiembre; los cuerpos de emergencia realizaron las maniobras necesarias para poner a salvo al ejemplar. Tras su rescate, el ave quedó bajo observación y valoración médica para conocer sus condiciones físicas y determinar si presenta alguna afectación. De acuerdo con los protocolos establecidos para la atención de fauna silvestre, el ejemplar permanece en el Zoológico de Tulancingo, donde recibe atención y vigilancia. Asimismo, se notificará a la Procuraduría Federal de Protección al Ambiente, autoridad competente, para que determine el destino final del ave conforme a la normatividad aplicable. La Dirección de Bomberos y Protección Civil de Tulancingo mantiene coordinación con las instancias correspondientes para garantizar la atención adecuada de la fauna silvestre y el cumplimiento de los protocolos establecidos para su protección.</t>
  </si>
  <si>
    <t>Rescate Animal</t>
  </si>
  <si>
    <t>Hidalgo, entre los estados del país con menor tasa de fecundidad: Encuesta El Estado de Hidalgo registra una de las tasas de fecundidad más bajas a nivel nacional, de acuerdo a los datos levantados por el Instituto Nacional de Estadística y Geografía (Inegi) dentro de la Encuesta Intercensal 2025. Los datos señalan que la tasa de fecundidad más baja se ubica Ciudad de México, con 0.8 hijas e hijos por mujer entre los 15 a 49 años de edad, seguido por Baja California, con 1.0. El Estado de México, Oaxaca, Guerrero, Yucatán, Quintana Roo, Morelos, Baja California Sur e Hidalgo, coinciden en una tasa de fecundidad de 1.1 hijas e hijos por mujer. La encuesta señala que el promedio nacional al respecto se ubicó en 1.2 hijas e hijos por mujer, señalando disminución, pues el indicador pasó de 1.9 en 2019 a 1.2 en 2024, lo que muestra una reducción de la fecundidad durante el periodo. Los datos reflejan que los menores promedios de hijas e hijos nacidos vivos se concentran principalmente en municipios urbanos y metropolitanos. Entre ellos se encuentran Mineral de la Reforma, con 1.54; Pachuca, con 1.55; Zempoala, con 1.65; Tula de Allende y Mineral del Monte, ambos con 1.85; Tepeapulco, con 1.87 y Zacualtipán de Ángeles, con 1.89. Mientras que las tasas más altas de fecundidad se localizan en municipios considerados como rurales; tal es el caso de Nicolás Flores registra 3.06 hijas e hijos nacidos vivos en promedio. Así como Xochiatipan, 2.98; Tlahuiltepa, 2.88; Huautla, 2.84; Pisaflores, 2.81; La Misión, 2.77; Yahualica y San Bartolo Tutotepec, 2.67 cada uno; Huehuetla, 2.64, y Lolotla, 2.63. La Encuesta Intercensal revela que las mujeres de 12 años y más sin escolaridad registraron un promedio de 5.1 hijas e hijos nacidos vivos. Mientras que entre quienes contaban con primaria el promedio fue de 3.3; con secundaria, de 1.9, y entre quienes tenían estudios de media superior o superior, de 1.2 hijos. Los datos refieren que los niveles de educación, así como los entornos sociales influyen en las tasas de fecundidad a nivel regional y municipal dentro del Estado de Hidalgo, así como en el resto del país.</t>
  </si>
  <si>
    <t>Radio Lobo 96.7 FM</t>
  </si>
  <si>
    <t>Enlace Noticias</t>
  </si>
  <si>
    <t>Nos vamos hasta Hidalgo: inaugura Julio Menchaca la Feria de San Francisco 2026. Del 24 de septiembre al 18 de octubre reunirá actividades culturales, artísticas, gastronómicas y comerciales. Entre música, gastronomía, artesanías y actividades para toda la familia, el gobernador Julio Menchaca inauguró la tradicional Feria de San Francisco 2026, que del 24 de septiembre al 18 de octubre recibirá a miles de visitantes nacionales y extranjeros. Durante el evento, el mandatario estatal destacó la transformación que ha tenido esta fiesta y el trabajo de quienes, desde distintos ámbitos, hacen posible que se consolide como un espacio para mostrar la riqueza cultural, artística y productiva de Hidalgo. Vaya que ha crecido la feria y vaya que ha sido reflejo del esfuerzo de muchas personas.</t>
  </si>
  <si>
    <t>Gina Lorenzo</t>
  </si>
  <si>
    <t>Y ¿qué creen? Taxistas independientes de Pachuca expresaron su inconformidad por la tarifa mínima de 45 pesos autorizada por la Secretaría de Movilidad y Transporte y propusieron elevarla a 50 pesos. Ellos dijeron pues que no, no están conformes con la tarifa a pesar del estudio que hizo la SEMOT para poder ver cuál era el incremento factible en el transporte público individual en los taxis.</t>
  </si>
  <si>
    <t>Y la Secretaría de Salud de Hidalgo llevó sus brigadas médicas a Acaxochitlán, donde realizó más de 2,200 acciones en beneficio de toda la población. Se ofrecieron consultas de medicina general, pediatría, ginecología, gerontología, odontología, mastografías y ultrasonidos.</t>
  </si>
  <si>
    <t>Brigadas De Salud</t>
  </si>
  <si>
    <t>En otra información, Hidalgo se ubica en el segundo lugar nacional por la reducción de la fecundidad adolescente, así lo informó el gobierno estatal en el marco del Día Mundial para la Prevención del Embarazo no Planificado en Adolescentes. E</t>
  </si>
  <si>
    <t>Prevención De Embarazo Adolescente</t>
  </si>
  <si>
    <t>La Secretaría de Medio Ambiente de Hidalgo realizará este viernes 2 de octubre una jornada de acopio de pilas y reforestación en la Unidad Deportiva Municipal de Pachuca. La actividad será de 9 de la mañana a 4 de la tarde; cada persona podrá entregar hasta un kilogramo de pilas alcalinas AA, AAA, C, D, de 9 volts y de botón. La SEMARNAT recomienda llevar las pilas en una caja de cartón separadas de objetos metálicos y si presentan daños o corrosión mantenerlas aisladas.</t>
  </si>
  <si>
    <t>Acopio de pilas</t>
  </si>
  <si>
    <t>Vamos a otros temas. En Tezontepec de Aldama fue localizado el cadáver de un hombre flotando en las aguas negras de un canal ubicado en el ejido de Santa María Nativitas, en la localidad de Atengo. El cuerpo permanece en calidad de desconocido y de acuerdo con los primeros reportes presentaría posibles huellas de tortura. Las autoridades determinarán la identidad y las causas de muerte.</t>
  </si>
  <si>
    <t>Pachuca autoridades estatales aseguraron más de 20 mil litros de hidrocarburo de presunta procedencia ilícita.</t>
  </si>
  <si>
    <t>Y siguiendo con el tema del huachicol en la región, en Tlahuelilpan la Fiscalía General de la República aseguró alrededor de 7,600 litros de hidrocarburo durante dos cateos realizados en la colonia Guadalupe. Las diligencias se efectuaron en predios colindantes donde también fueron decomisados 83 contenedores, mangueras, un taladro artesanal, nipples, válvulas y tres vehículos. Los cateos fueron realizados por la Fiscalía Federal, Policía Federal Ministerial y peritos de la Agencia de Investigación Criminal. El combustible y los objetos asegurados quedaron a disposición del Ministerio Público Federal que continúa con las investigaciones.</t>
  </si>
  <si>
    <t>Gabriel N fue sentenciado a 11 años y tres meses de prisión tras ser hallado penalmente responsable del robo de un vehículo de autotransporte federal de carga. La detención ocurrió sobre la carretera México-Querétaro en el municipio de Tepeji del Río cuando elementos de la Guardia Nacional recuperaron un tractocamión acoplado a una caja seca. Durante el operativo fueron asegurados Gabriel y David N; además fue asegurada un arma de fuego, nueve cartuchos, un cargador y cuatro casquillos. En audiencia de procedimiento abreviado, además de la pena de prisión, Gabriel N recibió una amonestación, la suspensión de sus derechos civiles y políticos, así como una sanción equivalente a 1,258 unidades de medida y actualización. En tanto, David N, también detenido, continúa con su proceso legal.</t>
  </si>
  <si>
    <t>Cambiamos radicalmente de tema y es que hablamos de huachicol. Hidalgo volvió a ocupar el primer lugar nacional en tomas clandestinas de hidrocarburo al concentrar cerca del 30 por ciento de las perforaciones ilegales detectadas en México durante el primer semestre de 2026. De acuerdo con datos oficiales en el estado fueron identificadas más de 1,460 tomas de un total nacional superior a 4,900. Cuautepec de Hinojosa encabeza la incidencia con 439 perforaciones a ductos de Pemex; le sigue Tepeapulco con 105, Santiago Tulantepec con 99, Nopala con 74, Singuilucan con alrededor de 70. Pese a los operativos, Hidalgo mantiene el primer lugar en robo de hidrocarburo.</t>
  </si>
  <si>
    <t>Tomas clandestinas</t>
  </si>
  <si>
    <t>Donde también están de fiesta, están de fiestas en Tepeji del Río. Y es que en el marco de la fiesta patronal en honor a San Francisco de Asís en Tepeji, la parroquia abrió las puertas a las exposiciones temporales, un espacio para contemplar, conocer la cultura de un patrimonio que forma parte de nuestra identidad. Así lo reconoció el párroco Miguel Ángel Rangel, y tras meditar sobre la riqueza que alberga nuestras raíces: “Párroco Miguel Ángel Rangel: Pues es un honor reconocer y aplaudir el extraordinario esfuerzo de estos historiadores y artistas que han hecho posible estas exposiciones culturales en este año 2026. Su dedicación, su legado que nos define, nos conecta con nuestro pasado y con nuestro futuro. “</t>
  </si>
  <si>
    <t>Fiesta patronal</t>
  </si>
  <si>
    <t>Y la secretaria de Turismo de Hidalgo, Elizabeth Quintanar Gómez, asistió al Aeropuerto Internacional Felipe Ángeles, al AIFA, donde se llevó a cabo la incorporación del décimo avión Embraer 190 E2 a la flota de Mexicana. En representación del gobernador Julio Menchaca Salazar, destacó que esta aeronave fortalece la conectividad aérea del país y abre nuevas oportunidades para el turismo, la cultura, el deporte, la salud y los negocios.</t>
  </si>
  <si>
    <t>Aifa</t>
  </si>
  <si>
    <t>Siete de la mañana once minutos. En otros temas, la Secretaría de Educación Pública de Hidalgo puso en marcha la Feria para la Convivencia Escolar en la Secundaria Técnica 29 Adolfo López Mateos de Pachuca de Soto. La jornada primera de esta estrategia durante el ciclo escolar 2026-2027 busca prevenir situaciones de violencia y promover ambientes escolares armónicos, inclusivos y democráticos.</t>
  </si>
  <si>
    <t>Donde también hubo inconformidad y se calentaron los ánimos fue en la región del Valle del Mezquital. Se anunció hace unos días que la consulta indígena se realizaría en el municipio de, en la comunidad del Tephé, en el municipio de Ixmiquilpan. Bueno, ahí ciudadanos ñañhús originarios de distintas comunidades del Valle del Mezquital fueron agredidos mientras daban lectura a un posicionamiento en contra del proceso de consulta y la falta de información sobre la propuesta de iniciativa de ley general de los derechos de los pueblos indígenas y afromexicanos. ¡Para, por favor, no violencia! ¡No violencia! ¡No violencia! ¡No estamos agrediendo! En este momento estamos diciendo y pidiendo manifestar nuestras ideas al interior de la asamblea regional... ¡Borra eso, borra eso! ¿Por qué le wiping arrebatando su teléfono? ¿Por qué le andan arrebatando su teléfono? Déjalo, déjalo, déjalo, hay que... Tómale la foto a los que están violentando... Estamos manifestando libremente, pacíficamente... No estamos ofendiéndolo... Oiga, tranquilo... Estamos manifestándonos libremente... Me están agrediendo... Lamentablemente señalan los las personas agredidas que esto en lugar de ser una consulta fue un evento más político y pues mire si usted le suma a que intentaron grabar esta agresión y que las personas hasta les tiraban los celulares pues sin duda pone en duda de juicio en tela de juicio pues esta situación de que si es o no una consulta o si se están manejando intereses políticos dentro de esta consulta que es muy necesaria y que se está repitiendo. Veremos qué es lo que sucede.</t>
  </si>
  <si>
    <t>Consulta Indígena</t>
  </si>
  <si>
    <t>Ya a las siete de la mañana con nueve minutos, vámonos a otros temas donde también hay inconformidad, pues es en la región de Tula, Tepeji. Y es que a dos años de que el gobierno federal declarara zona de restauración ecológica el área de influencia de la Presa Requena, la región sigue esperando resultados verificables. El decreto contempla una superficie de 36 mil 637 hectáreas distribuidas en ocho municipios con el objetivo de regenerar y recuperar las condiciones ambientales. Sin embargo, persisten los problemas de contaminación y la falta de información pública sobre avances, metas y cumplimiento de compromisos</t>
  </si>
  <si>
    <t>Y en otros temas, integrantes del ejido Mimila en Tulancingo detuvieron las obras de la ampliación de la autopista México Tuxpan. Exigen el pago de indemnización por el uso de los terrenos ocupados para dicha obra de ampliación. Señalan son tres kilómetros donde pasará la vía federal y aún no les dan certeza jurídica. “Tuvimos que llegar a esto porque hemos buscado el diálogo. Durante 25 años aproximadamente hemos tratado de que se solucione este problema y pues hasta ahorita no nos han solucionado ningún, bueno que no se ha solucionado la situación. La situación es la siguiente, no hay un decreto de expropiación en nuestro ejido. Hubo por ahí un pequeño pago que les dieron, pero sólo fue por ocupación mientras salía el decreto de expropiación, pero hasta ahorita no. “</t>
  </si>
  <si>
    <t>Protesta por obra</t>
  </si>
  <si>
    <t>Ya casi un año de la vaguada monzónica continúan desaparecidas cinco personas originarias de Tianguistengo. Usted recuerda esta vaguada en octubre de 2025 que dejó sin duda muchos daños, muchas pérdidas, pero aún siguen buscando estas cinco personas. Se trata de una familia de cuatro integrantes de Chapula y una de Tlacolula, informó el alcalde Febronio Rodríguez Villegas.</t>
  </si>
  <si>
    <t>Huracán Priscilla</t>
  </si>
  <si>
    <t>A partir de 2027 comenzará a operar el sistema de vigilancia epidemiológica de daños a la salud por contaminación del aire, informó la comisión ambiental de la megalópolis. Es muy interesante este proyecto porque el objetivo es medir cuántas consultas médicas relacionadas con enfermedades respiratorias y oculares se registran después de episodios de alta contaminación. Médicos de centros de salud ubicados en un radio de cuatro kilómetros alrededor de estaciones de monitoreo reportarán diariamente casos al Instituto Nacional de Salud Pública. Se analizarán padecimientos como resfriado común, sinusitis, bronquitis, asma, conjuntivitis y otitis para establecer su relación con contaminantes como ozono y partículas PM10 y PM2.5. Este programa piloto incluirá a la Ciudad de México, el Estado de México, Hidalgo, Morelos, Tlaxcala, Querétaro y Puebla. Recuerde que ya son más municipios del Estado de Hidalgo los que pertenecen a la zona metropolitana y por eso también se incluyen en este proyecto en este estudio para pues conocer los casos que de salud que están relacionados con la contaminación del aire. Los de Tula dirían pues creo que ya se tardaron. Aquí es un problema latente todos los días.</t>
  </si>
  <si>
    <t>Vigilancia Epidemiológica</t>
  </si>
  <si>
    <t>Vámonos a otra parte del estado y es que en Villa de Tezontepec fue colocada la primera piedra de la nueva planta de la empresa italiana Hi-Ref SPA, especializada en sistemas de climatización y refrigeración para centros de datos y telecomunicaciones.</t>
  </si>
  <si>
    <t>Sedeco</t>
  </si>
  <si>
    <t>Ya inició la feria San Francisco dos mil veintiséis en la capital del estado. El pasado jueves se inició con esta feria, pero el gobernador Julio Menchaca la inauguró en pasados días. De hecho, esta feria de San Francisco dos mil veintiséis se va a realizar del veinticuatro de septiembre al diechocho de octubre en la capital hidalguense. El mandatario destacó que este encuentro muestra la riqueza cultural, artística, gastronómica y productiva de Hidalgo.</t>
  </si>
  <si>
    <t>Comenta conductor sobre el reporte de las fugas de agua en Punta Azul : ¡Exacto! Es que ya nos pasaron un montón de fugas y ya las pasamos también, ya las reportamos y nadie hace... y nadie hace nada (Sarcasmo)</t>
  </si>
  <si>
    <t>Radioescucha dice: “Licenciado Larrieta, saludando nuevamente en el fraccionamiento Punto Azul a seguir reportando a CAASIM que haga caso de las fugas “</t>
  </si>
  <si>
    <t>Radioescucha Sr. Fidel dice : Muy buenos días. Pues aquí preguntando cuándo se irán a... a comedir a venir a arreglar la lateral del Puente Atirantado a la altura de los velatorios del IMSS. Se requiere de arreglarlo completo, no se requiere de machecitos».</t>
  </si>
  <si>
    <t>Radioescucha Sr. Castillo Dice: Buen día, Licenciado Larrieta y para todo el equipo de Panorama Informativo. Desde hace 15 días usted me brindó el apoyo para difundir un problema de una audiencia que solicité con el Gobernador del Estado. T</t>
  </si>
  <si>
    <t>Conductor hace un comentario sobre la supuesta salida de alummnos en la Plutarco: bueno, las cooperaciones que les dan al arranque del ciclo escolar, y tenemos poco que arrancamos, ¿ya no tienen dinero para comprar una pipa?». Bueno, van a decir «este Lalo metiche, ese viejito metiche ya cálmenlo, por favor, ya cálmen a ese viejito metiche», por favor, pero a mí se me hace... se me hace raro, ¿no? O sea, acaban de ingresar a clases, al ciclo escolar, les pidieron unas cuotas elevadísimas,</t>
  </si>
  <si>
    <t>Radioescucha reporta que en Escuela Plutarco Elias Calles, presuntamente informan que van a salir a las 10 de la mañana por falta de agua.</t>
  </si>
  <si>
    <t>La presidenta Claudia Sheinbaum concluyó este domingo 27 de septiembre de 2026 su gira nacional de rendición de cuentas denominada “Honestidad y resultados” con un evento masivo en el Zócalo de la Ciudad de México</t>
  </si>
  <si>
    <t>El Instituto de Seguridad y Servicios Sociales de los Trabajadores del Estado (ISSSTE) en Hidalgo invitó a trabajadoras, trabajadores, pensionadas y pensionados a mantener actualizada la vigencia de derechos de sus familiares, así como realizar oportunamente los trámites de registro, alta, baja y renovación. La subdelegada de Prestaciones, Alejandrina Ortega Pichardo, señaló que mantener vigente la documentación contribuye a garantizar la atención médica, particularmente en situaciones de emergencia, al evitar contratiempos en el área de urgencias.</t>
  </si>
  <si>
    <t>Promoción De La Salud</t>
  </si>
  <si>
    <t>La Fiscalía General de la República (FGR) aseguró alrededor de 7 mil 600 litros de una sustancia con características de hidrocarburo durante dos cateos realizados en domicilios de la colonia Guadalupe, en el municipio de Tlahuelilpan, Hidalgo. Las diligencias fueron autorizadas mediante órdenes de cateo emitidas por un juez especializado en el Sistema Penal Acusatorio, luego de que autoridades detectaran indicios relacionados con el almacenamiento de la sustancia en dos predios colindantes.</t>
  </si>
  <si>
    <t>La Secretaría de Movilidad y Transporte, a través de su organismo sectorizado, el Sistema de Transporte Convencional de Hidalgo, exhorta a las y los prestadores del servicio de taxi en los municipios de Pachuca y Mineral de la Reforma a cumplir con las obligaciones establecidas en la Ley de Movilidad y Transporte para el Estado de Hidalgo y su reglamento.</t>
  </si>
  <si>
    <t>Supervisión de Transporte</t>
  </si>
  <si>
    <t>La Secretaría de Cultura del Estado de Hidalgo llevó fuera de la entidad la gala conmemorativa por el 125.º aniversario de la Banda Sinfónica del Estado de Hidalgo (BSEH), presentada este jueves en el Teatro de la Reforma de Veracruz, recinto de la Secretaría de Cultura de Veracruz (Secver), dentro del programa Música 2026.</t>
  </si>
  <si>
    <t>Banda Sinfónica</t>
  </si>
  <si>
    <t>Entre música, gastronomía, artesanías y actividades para toda la familia, el gobernador Julio Menchaca inauguró la tradicional Feria de San Francisco 2026, que del 24 de septiembre al 18 de octubre recibirá a miles de visitantes nacionales y extranjeros.</t>
  </si>
  <si>
    <t>Gobierno</t>
  </si>
  <si>
    <t>La Unidad de Rehabilitación de Fauna Silvestre de Pachuca brinda atención médica especializada a un tigrillo hembra de aproximadamente cinco meses, rescatado en la comunidad de Tecpaco, municipio de Calnali, tras ser asegurado por la PROFEPA por encontrarse en posesión ilegal como mascota.</t>
  </si>
  <si>
    <t>Con una afluencia de alrededor de 55 mil visitantes en los primeros cuatro días, la Feria de San Francisco Pachuca Hidalgo 2026 reporta saldo blanco, informó el director general de la Operadora de Eventos de Hidalgo (OEEH), Marco Antonio Aranzabal Juárez. Durante la conferencia semanal de gobierno, el titular de la OEEH afirmó que la feria cumple con su objetivo de ofrecer un espacio de convivencia, entretenimiento, cultura y tradición para hidalguenses y visitantes de otros estados. Expuso que entre los puntos que han concentrado mayor interés se encuentra el pabellón artesanal, donde participan más de 140 artesanas y artesanos que tienen la posibilidad de exhibir y comercializar sus productos. “Este es un espacio que busca ofrecer una plataforma digna para los creadores hidalguenses y convertirse en uno de los primeros referentes que encuentran los visitantes al ingresar a la feria”. En la nave comercial, mencionó, se cuentan con más de 182 espacios, mientras que el pabellón turístico reúne propuestas relacionadas con pueblos con sabor, medicina tradicional y destinos con vocación turística. El funcionario adelantó que existe el compromiso de mantener este espacio de manera institucional durante los siguientes años de la feria, con el propósito de que artesanos y prestadores de servicios turísticos cuenten con una vitrina permanente para promocionar y comercializar sus productos. Como parte de la oferta de actividades, Aranzábal Juárez mencionó que el espectáculo circense ha logrado acumular más de 10 mil visitantes, mientras que el espectáculo de corte taurino en el lienzo charro ha recibido más de 7 mil 800 personas. El Palenque, por su parte, acumula tres noches de espectáculos y más de siete funciones, sin que hasta el momento se hayan registrado incidentes de consideración. “De acuerdo con los reportes de las autoridades municipales y estatales de seguridad, Protección Civil y Cruz Roja, hasta el momento únicamente se han registrado incidencias menores”. En los diferentes pabellones destinados a funciones infantiles, entre ellos el Auditorio Gota de Plata y el Foro de las Haciendas, se han desarrollado más de siete funciones con una participación superior a 7 mil 200 niñas y niños. En este sentido, reiteró la invitación a la población para asistir a las actividades del Festival Cultural Cervantino que se desarrollan en el Teatro San Francisco y el Auditorio Gota de Plata. Asimismo, el director general precisó que, tras las inquietudes expresadas por visitantes respecto al costo del estacionamiento (150 pesos), la empresa responsable aceptó reducir la tarifa a 120 pesos por tiempo libre dentro del recinto ferial. El funcionario explicó que la medida responde a las solicitudes de los asistentes y pidió a los visitantes verificar la tarifa oficial para evitar cobros superiores en estacionamientos ubicados en los alrededores. “Invitamos a la gente que no se deje sorprender en la periferia del recinto a pagar más o al estacionarse en la calle se vea sorprendida por una tarifa mayor”.</t>
  </si>
  <si>
    <t>Mañanera de Hidalgo</t>
  </si>
  <si>
    <t>Se ha emitido una ficha de búsqueda por parte de la Procuraduría con el folio FDBHGO-457-2026 para localizar a Paloma Hernández Vázquez, de 31 años de edad, quien fue vista por última vez el 25 de septiembre de 2026 en Tulancingo de Bravo. La persona desaparecida es de nacionalidad mexicana, complexión robusta, estatura aproximada de 1.65 metros, cabello largo, lacio y negro, y ojos café oscuro; el día de su desaparición vestía un vestido negro y zapatillas blancas, y como seña particular cuenta con una cicatriz quirúrgica horizontal por cesárea. Las autoridades y familiares solicitan el apoyo de la ciudadanía y ponen a disposición el número de Locatel (800 912 1314) para aportar cualquier información que ayude a dar con su paradero.</t>
  </si>
  <si>
    <t>Ficha De Búsqueda</t>
  </si>
  <si>
    <t>Con una inversión de 399 mil 322 pesos, el gobierno municipal de Cuautepec de Hinojosa concluyó la pavimentación hidráulica del callejón Adolfo López Mateos, en la localidad de Tezoquipa. La obra fue inaugurada por el presidente municipal, Jorge Hernández Araus, junto con autoridades locales y vecinos de la comunidad. Los trabajos abarcaron 297.63 metros cuadrados de concreto hidráulico, con 15 centímetros de espesor y una resistencia de 250 kg/cm². También se realizaron trabajos de excavación y relleno con tepetate para mejorar las condiciones de la vialidad. De acuerdo con el municipio, la obra beneficia directamente a 65 habitantes y tiene un impacto indirecto para alrededor de 927 personas, al facilitar el acceso y la movilidad en esta zona. Durante la inauguración, habitantes de Tezoquipa reconocieron la atención a una de las necesidades que habían señalado durante años. El alcalde señaló que las obras de infraestructura buscan mejorar las condiciones de las comunidades y destacó la participación de los vecinos para impulsar acciones en beneficio de la población.</t>
  </si>
  <si>
    <t>Pavimentación hidráulica</t>
  </si>
  <si>
    <t>Con el objetivo de garantizar el desarrollo seguro y ordenado de la Feria de San Francisco 2026, que se lleva a cabo hasta el 18 de octubre, la Secretaría de Seguridad Pública, Tránsito y Vialidad de Pachuca, implementa un operativo integral de vigilancia para salvaguardar la integridad física y patrimonial de las familias pachuqueñas y visitantes, por lo que el alcoholímetro de aplica todos los días de festejos. El presidente municipal, Jorge Reyes, destacó que la estrategia consiste en la coordinación de las distintas direcciones que integran la Secretaría de Seguridad Pública, con protocolos enfocados en la prevención de faltas administrativas y hechos delictivos, así como en la protección de niñas, niños, mujeres y grupos vulnerables. Como parte de las acciones preventivas, se reforzarán los controles de velocidad y los filtros de alcoholimetría para reducir riesgos de accidentes de tránsito y favorecer una convivencia segura durante los festejos.</t>
  </si>
  <si>
    <t>Más de 60 jóvenes tulancinguenses participaron en el Faenatón Juvenil, una jornada de limpieza y rehabilitación de espacios públicos que permitió intervenir cerca de dos kilómetros de la ciclopista de Tulancingo, desde la calle Primero de Mayo hasta las inmediaciones de la Clínica del ISSSTE. Durante la jornada, las y los participantes realizaron labores de limpieza y pintura de guarniciones en este espacio destinado a la recreación y la actividad física, contribuyendo a mejorar sus condiciones para el uso de las familias y personas que diariamente acuden a ejercitarse, caminar o realizar actividades al aire libre. La actividad fue impulsada mediante la colaboración entre la Instancia Municipal de la Juventud y el programa Jóvenes Construyendo el Futuro, como una estrategia para promover la participación social de las juventudes y fortalecer el sentido de responsabilidad comunitaria. El Faenatón Juvenil representa una muestra de cómo la participación ciudadana puede contribuir al cuidado y conservación de los espacios públicos. Mantener en buenas condiciones parques, ciclopistas, áreas deportivas y zonas de recreación requiere del trabajo permanente de las instituciones, pero también de la colaboración responsable de quienes hacen uso de estos lugares. La participación de las juventudes en este tipo de acciones también permite fortalecer valores como la solidaridad, el trabajo colaborativo, el compromiso social y el sentido de pertenencia, al involucrarlas directamente en el mejoramiento de los espacios que forman parte de su entorno cotidiano.</t>
  </si>
  <si>
    <t>Limpieza Urbana</t>
  </si>
  <si>
    <t>En apego a la instrucción del gobernador Julio Menchaca Salazar, la Semot, a través de su organismo sectorizado, el STCH, comenzaron los operativos de vigilancia y supervisión en diversos puntos de los municipios Pachuca de Soto y de Mineral de la Reforma, enfocados en que las personas conductoras cumplan con sus obligaciones establecidas en la Ley de Movilidad y Transporte para el Estado de Hidalgo y su Reglamento.</t>
  </si>
  <si>
    <t>Durante la conferencia de prensa del gobierno del estado de Hidalgo, la titular de la Secretaría de Turismo, Elizabeth Quintanar, informó que el próximo 5 de octubre se celebrará el Día de los Pueblos Mágicos, coincidiendo con el 25 aniversario de la declaratoria de estos sitios. Para conmemorar la fecha, se reunirán los nueve pueblos mágicos del estado durante un fin de semana largo (sábado a lunes) que incluirá exposiciones y mesas de diálogo. Asimismo, destacó que la Secretaría de Turismo Federal lanzó una invitación nacional para que más Pueblos Mágicos del país participen, tomando a Huasca de Ocampo —el primer pueblo mágico de México— como el ejemplo a seguir.</t>
  </si>
  <si>
    <t>Hidalgo reconoce expansión área de Mexicana en AIFA</t>
  </si>
  <si>
    <t>Inaugura Julio Menchaca la Feria de San Francisco 2026</t>
  </si>
  <si>
    <t>Durante la conferencia matutina del gobierno del estado, la secretaria de Cultura, Neyda Naranjo Baltazar, informó sobre las diversas participaciones de delegaciones hidalguenses en otras entidades, destacando la presencia de la Banda Sinfónica del Estado en Veracruz, artesanos en Tlaxcala y la próxima participación de la agrupación Xochipulco y el ballet folclórico de Pachuca en Tamaulipas. Asimismo, recordó que el 9 de octubre concluirá el registro para el concurso de "Tradiciones Vivas", el cual cuenta con una bolsa de 400,000 pesos y premios de hasta 80,000 pesos para promotores culturales. Finalmente, se anunció la intervención de la secretaria de Turismo, Elizabeth Quintanar Gómez, sobre el crecimiento de la aviación mexicana.</t>
  </si>
  <si>
    <t>Durante una entrevista en cabina la licenciada Viviana Pedraza Oropeza, representante del Instituto Nacional Electoral (INE), detalló los puntos de atención y los horarios que los módulos fijos y itinerantes mantendrán durante la semana en los municipios de la región de Tulancingo y la zona Otomí-Tepehua. Informó que los ciudadanos pueden realizar trámites como inscripción por mayoría de edad, cambios de domicilio o corrección de datos, recordando que la fecha límite para actualizar el padrón de cara al proceso electoral es el 25 de enero de 2027. Asimismo, recordó los requisitos indispensables: acta de nacimiento original, comprobante de domicilio reciente, identificación oficial con fotografía y, de ser necesario, la clave CURP.</t>
  </si>
  <si>
    <t>Credencialización</t>
  </si>
  <si>
    <t>Durante la conferencia matutina semanal del gobierno de Hidalgo, el secretario de Bienestar e Inclusión Social, Ricardo Gómez Moreno, informó sobre el impacto del pabellón artesanal en la Feria de Pachuca 2026, el cual contó con una inversión de 6.5 millones de pesos para su adecuación y se mantendrá de forma permanente para beneficiar a los artesanos locales. Detalló que 58 artesanos de distintas regiones se hospedan en los albergues de la avenida Revolución y Abasolo, recibiendo transporte y atención integral. Asimismo, destacó la entrega de apoyos económicos a 1,425 artesanos mediante concursos regionales, y adelantó su traslado a Cempoala para encabezar una jornada de capacitación técnica destinada a preservar y mejorar sus oficios tradicionales.</t>
  </si>
  <si>
    <t>Trabajadores médicos y enfermeras de diferentes hospitales y clínicas del Instituto Mexicano del Seguro Social (IMSS) anunciaron una marcha de protesta pacífica en Pachuca para el miércoles 30 de septiembre al mediodía, partiendo de la Plaza Juárez, con el fin de exigir una representación sindical digna, salarios acordes a sus funciones, el regreso del régimen de jubilaciones y pensiones (RJP) y mejores condiciones laborales. Previamente, solicitaron colocar lonas en sus unidades médicas y portar moños rojo con negro. Asimismo, informaron que realizarán otra movilización nacional en la Ciudad de México el jueves 1 de octubre, con información de La Silla Rota Hidalgo.</t>
  </si>
  <si>
    <t>Protesta sindical</t>
  </si>
  <si>
    <t>En vivo desde las instalaciones de la feria, en esta cobertura de NQ Radio, a la conferencia matutina semanal del gobierno del estado. En esta ocasión, los funcionarios que brindarán la información en esta conferencia son el secretario de bienestar e inclusión social, Ricardo Gómez Moreno; también estará la secretaria de cultura, Neyda Naranjo Baltazar; la secretaria de turismo, Elizabeth Quintanar Gómez; y el titular de la Operadora de Eventos del Estado de Hidalgo, Marco Antonio Aranzábal Juárez. En este momento, el mundo Pineda López, el titular de comunicación de Gobierno del Estado, está justamente presentando a quienes están participando en esta conferencia y además invitando a las personas a que a través de las plataformas digitales que se conectan con esta conferencia participen con sus comentarios, sus preguntas e inquietudes para fortalecer este ejercicio de comunicación que normalmente realizamos, o de manera más común, se realiza en la sala de prensa de la sede del Ejecutivo Estatal y eventualmente sale a otros recintos, como en esta ocasión. Es, por cierto, la segunda ocasión que esta conferencia se realiza en estas instalaciones de la feria, pero ya con la realización de esta feria que está en curso desde el jueves pasado y que se inauguró oficialmente por parte del gobernador Julio Menchaca el pasado viernes. Vamos a dejarlos en directo con el inicio de esta conferencia matutina semanal.</t>
  </si>
  <si>
    <t>OCSAD</t>
  </si>
  <si>
    <t>Elementos de la Dirección de Bomberos y Protección Civil de Tulancingo rescataron un águila negra que fue localizada sobre una barda de aproximadamente tres metros de altura, en el Andador 2 de la colonia Adolfo López Mateos. El reporte fue atendido alrededor de las 15:49 horas de este 26 de septiembre, cuando los cuerpos de emergencia realizaron las maniobras necesarias para poner a salvo al ejemplar. Tras su rescate, el ave quedó bajo observación y valoración médica para conocer sus condiciones físicas y determinar si presenta alguna afectación. De acuerdo con los protocolos establecidos para la atención de fauna silvestre, el ejemplar permanece en el Zoológico de Tulancingo, donde recibe atención y vigilancia. Asimismo, se notificará a la Procuraduría Federal de Protección al Ambiente (PROFEPA), autoridad competente para determinar el destino final del ave conforme a la normatividad aplicable. La Dirección de Bomberos y Protección Civil de Tulancingo mantiene coordinación con las instancias correspondientes para garantizar la atención adecuada de la fauna silvestre y el cumplimiento de los protocolos establecidos para su protección.</t>
  </si>
  <si>
    <t>Entrevista no cumplida</t>
  </si>
  <si>
    <t>El doctor Luis Téllez Reyes conmemoró el 55 aniversario del Instituto Tecnológico de Pachuca (ITP), destacando su trayectoria desde la construcción de sus instalaciones en 1970 y el inicio de sus actividades docentes en 1971. Señaló que la institución atiende a más de 5,000 estudiantes en 12 licenciaturas, una maestría y un doctorado, según cifras de su director Miguel Ángel Lee Rodríguez. Asimismo, resaltó que el Congreso del Estado reconoció su labor inscribiendo su nombre en letras de oro, y enfatizó los retos futuros de la institución frente a la inteligencia artificial, la investigación aplicada y el desarrollo sostenible.</t>
  </si>
  <si>
    <t>Colaboración José Luis Lima Morales, reflexionó sobre las próximas comparecencias de los secretarios del gobierno estatal ante el Congreso del Estado de Hidalgo. Señaló que los ciudadanos no deben ver estos eventos como un trámite administrativo, una pasarela política o un espectáculo de acarreados y movilizaciones, sino como un ejercicio genuino de rendición de cuentas. Destacó que se esperan funcionarios preparados, con conocimiento profundo de las problemáticas de la entidad, que expongan con claridad sus resultados, la inversión de los recursos públicos y los pendientes por resolver, recordando que el servicio público es una responsabilidad y no un privilegio.</t>
  </si>
  <si>
    <t>En su colaboración semanal, Gustavo Rosales destacó la participación de la delegación hidalguense en el Festival Olímpico de Box en Oaxtepec, Morelos, donde compitieron más de 400 atletas. Con el respaldo de la asociación y federación correspondiente, el representativo estatal obtuvo dos medallas de plata y dos de bronce. Los metales terciados fueron obtenidos por Emiliano Márquez (sub-20, 50 kg) y Alexander Martínez (48 kg), mientras que las preseas plateadas corrieron a cargo de Víctor Ávila e Israel Delgadillo. Asimismo, se reconoció el crecimiento de este deporte en municipios como Mineral de la Reforma, Apan, Tulancingo y Mineral del Monte. Por otro lado, en el ámbito internacional, se informó sobre la actuación de los ciclistas mexicanos en el mundial de ciclismo en Canadá. Tras superar controversias con su visado, Edgar "El Chucky" Cadena participó como gregario, finalizando en la posición 71, mientras que Isaac del Toro logró un destacado quinto lugar mundial tras recorrer una extenuante ruta de 220 kilómetros con un importante desnivel positivo.</t>
  </si>
  <si>
    <t>Justa Deportiva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</si>
</sst>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6" tableType="queryTable" totalsRowShown="0">
  <autoFilter ref="A1:M136"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6"/>
  <sheetViews>
    <sheetView tabSelected="1" topLeftCell="A101" workbookViewId="0">
      <selection activeCell="E116" sqref="E116"/>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4.42578125" bestFit="1" customWidth="1"/>
    <col min="8" max="8" width="12.42578125" bestFit="1" customWidth="1"/>
    <col min="9" max="9" width="11.140625" bestFit="1" customWidth="1"/>
    <col min="10" max="10" width="25.7109375" bestFit="1" customWidth="1"/>
    <col min="11" max="11" width="31" bestFit="1" customWidth="1"/>
    <col min="12" max="12" width="21.42578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46290</v>
      </c>
      <c r="B2" s="1" t="str">
        <f ca="1">IF(Información1[[#This Row],[Fecha]]='Ajuste de fechas'!$A$2,"Día actual","Día anterior")</f>
        <v>Día anterior</v>
      </c>
      <c r="C2" s="3" t="s">
        <v>51</v>
      </c>
      <c r="D2" t="s">
        <v>87</v>
      </c>
      <c r="E2" s="3" t="s">
        <v>88</v>
      </c>
      <c r="F2" s="3" t="s">
        <v>42</v>
      </c>
      <c r="G2" s="3" t="s">
        <v>89</v>
      </c>
      <c r="H2" s="3" t="s">
        <v>46</v>
      </c>
      <c r="I2" s="3" t="s">
        <v>7</v>
      </c>
      <c r="J2" s="3" t="s">
        <v>30</v>
      </c>
      <c r="K2" s="3" t="s">
        <v>90</v>
      </c>
      <c r="L2" s="3" t="s">
        <v>31</v>
      </c>
      <c r="M2">
        <v>1</v>
      </c>
    </row>
    <row r="3" spans="1:13" x14ac:dyDescent="0.25">
      <c r="A3" s="2">
        <v>46290</v>
      </c>
      <c r="B3" s="1" t="str">
        <f ca="1">IF(Información1[[#This Row],[Fecha]]='Ajuste de fechas'!$A$2,"Día actual","Día anterior")</f>
        <v>Día anterior</v>
      </c>
      <c r="C3" s="3" t="s">
        <v>51</v>
      </c>
      <c r="D3" t="s">
        <v>87</v>
      </c>
      <c r="E3" s="3" t="s">
        <v>91</v>
      </c>
      <c r="F3" s="3" t="s">
        <v>18</v>
      </c>
      <c r="G3" s="3" t="s">
        <v>92</v>
      </c>
      <c r="H3" s="3" t="s">
        <v>46</v>
      </c>
      <c r="I3" s="3" t="s">
        <v>7</v>
      </c>
      <c r="J3" s="3" t="s">
        <v>35</v>
      </c>
      <c r="K3" s="3" t="s">
        <v>90</v>
      </c>
      <c r="L3" s="3" t="s">
        <v>31</v>
      </c>
      <c r="M3">
        <v>1</v>
      </c>
    </row>
    <row r="4" spans="1:13" x14ac:dyDescent="0.25">
      <c r="A4" s="2">
        <v>46290</v>
      </c>
      <c r="B4" s="1" t="str">
        <f ca="1">IF(Información1[[#This Row],[Fecha]]='Ajuste de fechas'!$A$2,"Día actual","Día anterior")</f>
        <v>Día anterior</v>
      </c>
      <c r="C4" s="3" t="s">
        <v>51</v>
      </c>
      <c r="D4" t="s">
        <v>87</v>
      </c>
      <c r="E4" s="3" t="s">
        <v>93</v>
      </c>
      <c r="F4" s="3" t="s">
        <v>15</v>
      </c>
      <c r="G4" s="3" t="s">
        <v>94</v>
      </c>
      <c r="H4" s="3" t="s">
        <v>46</v>
      </c>
      <c r="I4" s="3" t="s">
        <v>7</v>
      </c>
      <c r="J4" s="3" t="s">
        <v>34</v>
      </c>
      <c r="K4" s="3" t="s">
        <v>90</v>
      </c>
      <c r="L4" s="3" t="s">
        <v>31</v>
      </c>
      <c r="M4">
        <v>1</v>
      </c>
    </row>
    <row r="5" spans="1:13" x14ac:dyDescent="0.25">
      <c r="A5" s="2">
        <v>46290</v>
      </c>
      <c r="B5" s="1" t="str">
        <f ca="1">IF(Información1[[#This Row],[Fecha]]='Ajuste de fechas'!$A$2,"Día actual","Día anterior")</f>
        <v>Día anterior</v>
      </c>
      <c r="C5" s="3" t="s">
        <v>51</v>
      </c>
      <c r="D5" t="s">
        <v>87</v>
      </c>
      <c r="E5" s="3" t="s">
        <v>95</v>
      </c>
      <c r="F5" s="3" t="s">
        <v>22</v>
      </c>
      <c r="G5" s="3" t="s">
        <v>63</v>
      </c>
      <c r="H5" s="3" t="s">
        <v>46</v>
      </c>
      <c r="I5" s="3" t="s">
        <v>7</v>
      </c>
      <c r="J5" s="3" t="s">
        <v>30</v>
      </c>
      <c r="K5" s="3" t="s">
        <v>90</v>
      </c>
      <c r="L5" s="3" t="s">
        <v>31</v>
      </c>
      <c r="M5">
        <v>1</v>
      </c>
    </row>
    <row r="6" spans="1:13" x14ac:dyDescent="0.25">
      <c r="A6" s="2">
        <v>46290</v>
      </c>
      <c r="B6" s="1" t="str">
        <f ca="1">IF(Información1[[#This Row],[Fecha]]='Ajuste de fechas'!$A$2,"Día actual","Día anterior")</f>
        <v>Día anterior</v>
      </c>
      <c r="C6" s="3" t="s">
        <v>51</v>
      </c>
      <c r="D6" t="s">
        <v>87</v>
      </c>
      <c r="E6" s="3" t="s">
        <v>95</v>
      </c>
      <c r="F6" s="3" t="s">
        <v>13</v>
      </c>
      <c r="G6" s="3" t="s">
        <v>63</v>
      </c>
      <c r="H6" s="3" t="s">
        <v>46</v>
      </c>
      <c r="I6" s="3" t="s">
        <v>7</v>
      </c>
      <c r="J6" s="3" t="s">
        <v>30</v>
      </c>
      <c r="K6" s="3" t="s">
        <v>90</v>
      </c>
      <c r="L6" s="3" t="s">
        <v>31</v>
      </c>
      <c r="M6">
        <v>1</v>
      </c>
    </row>
    <row r="7" spans="1:13" x14ac:dyDescent="0.25">
      <c r="A7" s="2">
        <v>46290</v>
      </c>
      <c r="B7" s="1" t="str">
        <f ca="1">IF(Información1[[#This Row],[Fecha]]='Ajuste de fechas'!$A$2,"Día actual","Día anterior")</f>
        <v>Día anterior</v>
      </c>
      <c r="C7" s="3" t="s">
        <v>51</v>
      </c>
      <c r="D7" t="s">
        <v>87</v>
      </c>
      <c r="E7" s="3" t="s">
        <v>96</v>
      </c>
      <c r="F7" s="3" t="s">
        <v>13</v>
      </c>
      <c r="G7" s="3" t="s">
        <v>63</v>
      </c>
      <c r="H7" s="3" t="s">
        <v>46</v>
      </c>
      <c r="I7" s="3" t="s">
        <v>7</v>
      </c>
      <c r="J7" s="3" t="s">
        <v>30</v>
      </c>
      <c r="K7" s="3" t="s">
        <v>90</v>
      </c>
      <c r="L7" s="3" t="s">
        <v>31</v>
      </c>
      <c r="M7">
        <v>1</v>
      </c>
    </row>
    <row r="8" spans="1:13" x14ac:dyDescent="0.25">
      <c r="A8" s="2">
        <v>46290</v>
      </c>
      <c r="B8" s="1" t="str">
        <f ca="1">IF(Información1[[#This Row],[Fecha]]='Ajuste de fechas'!$A$2,"Día actual","Día anterior")</f>
        <v>Día anterior</v>
      </c>
      <c r="C8" s="3" t="s">
        <v>51</v>
      </c>
      <c r="D8" t="s">
        <v>87</v>
      </c>
      <c r="E8" s="3" t="s">
        <v>97</v>
      </c>
      <c r="F8" s="3" t="s">
        <v>22</v>
      </c>
      <c r="G8" s="3" t="s">
        <v>98</v>
      </c>
      <c r="H8" s="3" t="s">
        <v>46</v>
      </c>
      <c r="I8" s="3" t="s">
        <v>7</v>
      </c>
      <c r="J8" s="3" t="s">
        <v>30</v>
      </c>
      <c r="K8" s="3" t="s">
        <v>90</v>
      </c>
      <c r="L8" s="3" t="s">
        <v>31</v>
      </c>
      <c r="M8">
        <v>1</v>
      </c>
    </row>
    <row r="9" spans="1:13" x14ac:dyDescent="0.25">
      <c r="A9" s="2">
        <v>46290</v>
      </c>
      <c r="B9" s="1" t="str">
        <f ca="1">IF(Información1[[#This Row],[Fecha]]='Ajuste de fechas'!$A$2,"Día actual","Día anterior")</f>
        <v>Día anterior</v>
      </c>
      <c r="C9" s="3" t="s">
        <v>51</v>
      </c>
      <c r="D9" t="s">
        <v>87</v>
      </c>
      <c r="E9" s="3" t="s">
        <v>99</v>
      </c>
      <c r="F9" s="3" t="s">
        <v>22</v>
      </c>
      <c r="G9" s="3" t="s">
        <v>100</v>
      </c>
      <c r="H9" s="3" t="s">
        <v>46</v>
      </c>
      <c r="I9" s="3" t="s">
        <v>7</v>
      </c>
      <c r="J9" s="3" t="s">
        <v>30</v>
      </c>
      <c r="K9" s="3" t="s">
        <v>90</v>
      </c>
      <c r="L9" s="3" t="s">
        <v>31</v>
      </c>
      <c r="M9">
        <v>1</v>
      </c>
    </row>
    <row r="10" spans="1:13" x14ac:dyDescent="0.25">
      <c r="A10" s="2">
        <v>46290</v>
      </c>
      <c r="B10" s="1" t="str">
        <f ca="1">IF(Información1[[#This Row],[Fecha]]='Ajuste de fechas'!$A$2,"Día actual","Día anterior")</f>
        <v>Día anterior</v>
      </c>
      <c r="C10" s="3" t="s">
        <v>51</v>
      </c>
      <c r="D10" t="s">
        <v>52</v>
      </c>
      <c r="E10" s="3" t="s">
        <v>101</v>
      </c>
      <c r="F10" s="3" t="s">
        <v>13</v>
      </c>
      <c r="G10" s="3" t="s">
        <v>102</v>
      </c>
      <c r="H10" s="3" t="s">
        <v>46</v>
      </c>
      <c r="I10" s="3" t="s">
        <v>21</v>
      </c>
      <c r="J10" s="3" t="s">
        <v>30</v>
      </c>
      <c r="K10" s="3" t="s">
        <v>53</v>
      </c>
      <c r="L10" s="3" t="s">
        <v>31</v>
      </c>
      <c r="M10">
        <v>1</v>
      </c>
    </row>
    <row r="11" spans="1:13" x14ac:dyDescent="0.25">
      <c r="A11" s="2">
        <v>46290</v>
      </c>
      <c r="B11" s="1" t="str">
        <f ca="1">IF(Información1[[#This Row],[Fecha]]='Ajuste de fechas'!$A$2,"Día actual","Día anterior")</f>
        <v>Día anterior</v>
      </c>
      <c r="C11" s="3" t="s">
        <v>51</v>
      </c>
      <c r="D11" t="s">
        <v>52</v>
      </c>
      <c r="E11" s="3" t="s">
        <v>103</v>
      </c>
      <c r="F11" s="3" t="s">
        <v>54</v>
      </c>
      <c r="G11" s="3" t="s">
        <v>75</v>
      </c>
      <c r="H11" s="3" t="s">
        <v>46</v>
      </c>
      <c r="I11" s="3" t="s">
        <v>7</v>
      </c>
      <c r="J11" s="3" t="s">
        <v>30</v>
      </c>
      <c r="K11" s="3" t="s">
        <v>53</v>
      </c>
      <c r="L11" s="3" t="s">
        <v>31</v>
      </c>
      <c r="M11">
        <v>1</v>
      </c>
    </row>
    <row r="12" spans="1:13" x14ac:dyDescent="0.25">
      <c r="A12" s="2">
        <v>46290</v>
      </c>
      <c r="B12" s="1" t="str">
        <f ca="1">IF(Información1[[#This Row],[Fecha]]='Ajuste de fechas'!$A$2,"Día actual","Día anterior")</f>
        <v>Día anterior</v>
      </c>
      <c r="C12" s="3" t="s">
        <v>51</v>
      </c>
      <c r="D12" t="s">
        <v>52</v>
      </c>
      <c r="E12" s="3" t="s">
        <v>104</v>
      </c>
      <c r="F12" s="3" t="s">
        <v>18</v>
      </c>
      <c r="G12" s="3" t="s">
        <v>73</v>
      </c>
      <c r="H12" s="3" t="s">
        <v>46</v>
      </c>
      <c r="I12" s="3" t="s">
        <v>7</v>
      </c>
      <c r="J12" s="3" t="s">
        <v>35</v>
      </c>
      <c r="K12" s="3" t="s">
        <v>53</v>
      </c>
      <c r="L12" s="3" t="s">
        <v>31</v>
      </c>
      <c r="M12">
        <v>1</v>
      </c>
    </row>
    <row r="13" spans="1:13" x14ac:dyDescent="0.25">
      <c r="A13" s="2">
        <v>46290</v>
      </c>
      <c r="B13" s="1" t="str">
        <f ca="1">IF(Información1[[#This Row],[Fecha]]='Ajuste de fechas'!$A$2,"Día actual","Día anterior")</f>
        <v>Día anterior</v>
      </c>
      <c r="C13" s="3" t="s">
        <v>51</v>
      </c>
      <c r="D13" t="s">
        <v>52</v>
      </c>
      <c r="E13" s="3" t="s">
        <v>105</v>
      </c>
      <c r="F13" s="3" t="s">
        <v>15</v>
      </c>
      <c r="G13" s="3" t="s">
        <v>106</v>
      </c>
      <c r="H13" s="3" t="s">
        <v>46</v>
      </c>
      <c r="I13" s="3" t="s">
        <v>7</v>
      </c>
      <c r="J13" s="3" t="s">
        <v>34</v>
      </c>
      <c r="K13" s="3" t="s">
        <v>53</v>
      </c>
      <c r="L13" s="3" t="s">
        <v>31</v>
      </c>
      <c r="M13">
        <v>1</v>
      </c>
    </row>
    <row r="14" spans="1:13" x14ac:dyDescent="0.25">
      <c r="A14" s="2">
        <v>46290</v>
      </c>
      <c r="B14" s="1" t="str">
        <f ca="1">IF(Información1[[#This Row],[Fecha]]='Ajuste de fechas'!$A$2,"Día actual","Día anterior")</f>
        <v>Día anterior</v>
      </c>
      <c r="C14" s="3" t="s">
        <v>51</v>
      </c>
      <c r="D14" t="s">
        <v>52</v>
      </c>
      <c r="E14" s="3" t="s">
        <v>107</v>
      </c>
      <c r="F14" s="3" t="s">
        <v>15</v>
      </c>
      <c r="G14" s="3" t="s">
        <v>108</v>
      </c>
      <c r="H14" s="3" t="s">
        <v>46</v>
      </c>
      <c r="I14" s="3" t="s">
        <v>7</v>
      </c>
      <c r="J14" s="3" t="s">
        <v>34</v>
      </c>
      <c r="K14" s="3" t="s">
        <v>53</v>
      </c>
      <c r="L14" s="3" t="s">
        <v>32</v>
      </c>
      <c r="M14">
        <v>1</v>
      </c>
    </row>
    <row r="15" spans="1:13" x14ac:dyDescent="0.25">
      <c r="A15" s="2">
        <v>46290</v>
      </c>
      <c r="B15" s="1" t="str">
        <f ca="1">IF(Información1[[#This Row],[Fecha]]='Ajuste de fechas'!$A$2,"Día actual","Día anterior")</f>
        <v>Día anterior</v>
      </c>
      <c r="C15" s="3" t="s">
        <v>51</v>
      </c>
      <c r="D15" t="s">
        <v>52</v>
      </c>
      <c r="E15" s="3" t="s">
        <v>109</v>
      </c>
      <c r="F15" s="3" t="s">
        <v>15</v>
      </c>
      <c r="G15" s="3"/>
      <c r="H15" s="3" t="s">
        <v>46</v>
      </c>
      <c r="I15" s="3" t="s">
        <v>7</v>
      </c>
      <c r="J15" s="3" t="s">
        <v>34</v>
      </c>
      <c r="K15" s="3" t="s">
        <v>53</v>
      </c>
      <c r="L15" s="3" t="s">
        <v>31</v>
      </c>
      <c r="M15">
        <v>1</v>
      </c>
    </row>
    <row r="16" spans="1:13" x14ac:dyDescent="0.25">
      <c r="A16" s="2">
        <v>46290</v>
      </c>
      <c r="B16" s="1" t="str">
        <f ca="1">IF(Información1[[#This Row],[Fecha]]='Ajuste de fechas'!$A$2,"Día actual","Día anterior")</f>
        <v>Día anterior</v>
      </c>
      <c r="C16" s="3" t="s">
        <v>51</v>
      </c>
      <c r="D16" t="s">
        <v>52</v>
      </c>
      <c r="E16" s="3" t="s">
        <v>110</v>
      </c>
      <c r="F16" s="3" t="s">
        <v>22</v>
      </c>
      <c r="G16" s="3" t="s">
        <v>66</v>
      </c>
      <c r="H16" s="3" t="s">
        <v>46</v>
      </c>
      <c r="I16" s="3" t="s">
        <v>7</v>
      </c>
      <c r="J16" s="3" t="s">
        <v>30</v>
      </c>
      <c r="K16" s="3" t="s">
        <v>53</v>
      </c>
      <c r="L16" s="3" t="s">
        <v>31</v>
      </c>
      <c r="M16">
        <v>1</v>
      </c>
    </row>
    <row r="17" spans="1:13" x14ac:dyDescent="0.25">
      <c r="A17" s="2">
        <v>46290</v>
      </c>
      <c r="B17" s="1" t="str">
        <f ca="1">IF(Información1[[#This Row],[Fecha]]='Ajuste de fechas'!$A$2,"Día actual","Día anterior")</f>
        <v>Día anterior</v>
      </c>
      <c r="C17" s="3" t="s">
        <v>51</v>
      </c>
      <c r="D17" t="s">
        <v>52</v>
      </c>
      <c r="E17" s="3" t="s">
        <v>111</v>
      </c>
      <c r="F17" s="3" t="s">
        <v>22</v>
      </c>
      <c r="G17" s="3" t="s">
        <v>63</v>
      </c>
      <c r="H17" s="3" t="s">
        <v>46</v>
      </c>
      <c r="I17" s="3" t="s">
        <v>7</v>
      </c>
      <c r="J17" s="3" t="s">
        <v>30</v>
      </c>
      <c r="K17" s="3" t="s">
        <v>53</v>
      </c>
      <c r="L17" s="3" t="s">
        <v>31</v>
      </c>
      <c r="M17">
        <v>1</v>
      </c>
    </row>
    <row r="18" spans="1:13" x14ac:dyDescent="0.25">
      <c r="A18" s="2">
        <v>46290</v>
      </c>
      <c r="B18" s="1" t="str">
        <f ca="1">IF(Información1[[#This Row],[Fecha]]='Ajuste de fechas'!$A$2,"Día actual","Día anterior")</f>
        <v>Día anterior</v>
      </c>
      <c r="C18" s="3" t="s">
        <v>51</v>
      </c>
      <c r="D18" t="s">
        <v>52</v>
      </c>
      <c r="E18" s="3" t="s">
        <v>112</v>
      </c>
      <c r="F18" s="3" t="s">
        <v>22</v>
      </c>
      <c r="G18" s="3" t="s">
        <v>98</v>
      </c>
      <c r="H18" s="3" t="s">
        <v>46</v>
      </c>
      <c r="I18" s="3" t="s">
        <v>7</v>
      </c>
      <c r="J18" s="3" t="s">
        <v>30</v>
      </c>
      <c r="K18" s="3" t="s">
        <v>53</v>
      </c>
      <c r="L18" s="3" t="s">
        <v>31</v>
      </c>
      <c r="M18">
        <v>1</v>
      </c>
    </row>
    <row r="19" spans="1:13" x14ac:dyDescent="0.25">
      <c r="A19" s="2">
        <v>46290</v>
      </c>
      <c r="B19" s="1" t="str">
        <f ca="1">IF(Información1[[#This Row],[Fecha]]='Ajuste de fechas'!$A$2,"Día actual","Día anterior")</f>
        <v>Día anterior</v>
      </c>
      <c r="C19" s="3" t="s">
        <v>8</v>
      </c>
      <c r="D19" t="s">
        <v>9</v>
      </c>
      <c r="E19" s="3" t="s">
        <v>113</v>
      </c>
      <c r="F19" s="3" t="s">
        <v>15</v>
      </c>
      <c r="G19" s="3" t="s">
        <v>114</v>
      </c>
      <c r="H19" s="3" t="s">
        <v>46</v>
      </c>
      <c r="I19" s="3" t="s">
        <v>7</v>
      </c>
      <c r="J19" s="3" t="s">
        <v>34</v>
      </c>
      <c r="K19" s="3" t="s">
        <v>11</v>
      </c>
      <c r="L19" s="3" t="s">
        <v>31</v>
      </c>
      <c r="M19">
        <v>1</v>
      </c>
    </row>
    <row r="20" spans="1:13" x14ac:dyDescent="0.25">
      <c r="A20" s="2">
        <v>46290</v>
      </c>
      <c r="B20" s="1" t="str">
        <f ca="1">IF(Información1[[#This Row],[Fecha]]='Ajuste de fechas'!$A$2,"Día actual","Día anterior")</f>
        <v>Día anterior</v>
      </c>
      <c r="C20" s="3" t="s">
        <v>8</v>
      </c>
      <c r="D20" t="s">
        <v>9</v>
      </c>
      <c r="E20" s="3" t="s">
        <v>115</v>
      </c>
      <c r="F20" s="3" t="s">
        <v>18</v>
      </c>
      <c r="G20" s="3" t="s">
        <v>116</v>
      </c>
      <c r="H20" s="3" t="s">
        <v>46</v>
      </c>
      <c r="I20" s="3" t="s">
        <v>21</v>
      </c>
      <c r="J20" s="3" t="s">
        <v>35</v>
      </c>
      <c r="K20" s="3" t="s">
        <v>59</v>
      </c>
      <c r="L20" s="3" t="s">
        <v>32</v>
      </c>
      <c r="M20">
        <v>1</v>
      </c>
    </row>
    <row r="21" spans="1:13" x14ac:dyDescent="0.25">
      <c r="A21" s="2">
        <v>46290</v>
      </c>
      <c r="B21" s="1" t="str">
        <f ca="1">IF(Información1[[#This Row],[Fecha]]='Ajuste de fechas'!$A$2,"Día actual","Día anterior")</f>
        <v>Día anterior</v>
      </c>
      <c r="C21" s="3" t="s">
        <v>8</v>
      </c>
      <c r="D21" t="s">
        <v>9</v>
      </c>
      <c r="E21" s="3" t="s">
        <v>117</v>
      </c>
      <c r="F21" s="3" t="s">
        <v>15</v>
      </c>
      <c r="G21" s="3" t="s">
        <v>72</v>
      </c>
      <c r="H21" s="3" t="s">
        <v>46</v>
      </c>
      <c r="I21" s="3" t="s">
        <v>21</v>
      </c>
      <c r="J21" s="3" t="s">
        <v>34</v>
      </c>
      <c r="K21" s="3" t="s">
        <v>59</v>
      </c>
      <c r="L21" s="3" t="s">
        <v>32</v>
      </c>
      <c r="M21">
        <v>1</v>
      </c>
    </row>
    <row r="22" spans="1:13" x14ac:dyDescent="0.25">
      <c r="A22" s="2">
        <v>46290</v>
      </c>
      <c r="B22" s="1" t="str">
        <f ca="1">IF(Información1[[#This Row],[Fecha]]='Ajuste de fechas'!$A$2,"Día actual","Día anterior")</f>
        <v>Día anterior</v>
      </c>
      <c r="C22" s="3" t="s">
        <v>8</v>
      </c>
      <c r="D22" t="s">
        <v>9</v>
      </c>
      <c r="E22" s="3" t="s">
        <v>118</v>
      </c>
      <c r="F22" s="3" t="s">
        <v>6</v>
      </c>
      <c r="G22" s="3" t="s">
        <v>57</v>
      </c>
      <c r="H22" s="3" t="s">
        <v>46</v>
      </c>
      <c r="I22" s="3" t="s">
        <v>21</v>
      </c>
      <c r="J22" s="3" t="s">
        <v>30</v>
      </c>
      <c r="K22" s="3" t="s">
        <v>11</v>
      </c>
      <c r="L22" s="3" t="s">
        <v>32</v>
      </c>
      <c r="M22">
        <v>1</v>
      </c>
    </row>
    <row r="23" spans="1:13" x14ac:dyDescent="0.25">
      <c r="A23" s="2">
        <v>46290</v>
      </c>
      <c r="B23" s="1" t="str">
        <f ca="1">IF(Información1[[#This Row],[Fecha]]='Ajuste de fechas'!$A$2,"Día actual","Día anterior")</f>
        <v>Día anterior</v>
      </c>
      <c r="C23" s="3" t="s">
        <v>8</v>
      </c>
      <c r="D23" t="s">
        <v>9</v>
      </c>
      <c r="E23" s="3" t="s">
        <v>119</v>
      </c>
      <c r="F23" s="3" t="s">
        <v>6</v>
      </c>
      <c r="G23" s="3" t="s">
        <v>57</v>
      </c>
      <c r="H23" s="3" t="s">
        <v>46</v>
      </c>
      <c r="I23" s="3" t="s">
        <v>21</v>
      </c>
      <c r="J23" s="3" t="s">
        <v>30</v>
      </c>
      <c r="K23" s="3" t="s">
        <v>59</v>
      </c>
      <c r="L23" s="3" t="s">
        <v>32</v>
      </c>
      <c r="M23">
        <v>1</v>
      </c>
    </row>
    <row r="24" spans="1:13" x14ac:dyDescent="0.25">
      <c r="A24" s="2">
        <v>46290</v>
      </c>
      <c r="B24" s="1" t="str">
        <f ca="1">IF(Información1[[#This Row],[Fecha]]='Ajuste de fechas'!$A$2,"Día actual","Día anterior")</f>
        <v>Día anterior</v>
      </c>
      <c r="C24" s="3" t="s">
        <v>8</v>
      </c>
      <c r="D24" t="s">
        <v>9</v>
      </c>
      <c r="E24" s="3" t="s">
        <v>120</v>
      </c>
      <c r="F24" s="3" t="s">
        <v>20</v>
      </c>
      <c r="G24" s="3" t="s">
        <v>121</v>
      </c>
      <c r="H24" s="3" t="s">
        <v>46</v>
      </c>
      <c r="I24" s="3" t="s">
        <v>7</v>
      </c>
      <c r="J24" s="3" t="s">
        <v>20</v>
      </c>
      <c r="K24" s="3" t="s">
        <v>11</v>
      </c>
      <c r="L24" s="3" t="s">
        <v>31</v>
      </c>
      <c r="M24">
        <v>1</v>
      </c>
    </row>
    <row r="25" spans="1:13" x14ac:dyDescent="0.25">
      <c r="A25" s="2">
        <v>46290</v>
      </c>
      <c r="B25" s="1" t="str">
        <f ca="1">IF(Información1[[#This Row],[Fecha]]='Ajuste de fechas'!$A$2,"Día actual","Día anterior")</f>
        <v>Día anterior</v>
      </c>
      <c r="C25" s="3" t="s">
        <v>8</v>
      </c>
      <c r="D25" t="s">
        <v>9</v>
      </c>
      <c r="E25" s="3" t="s">
        <v>74</v>
      </c>
      <c r="F25" s="3" t="s">
        <v>54</v>
      </c>
      <c r="G25" s="3" t="s">
        <v>75</v>
      </c>
      <c r="H25" s="3" t="s">
        <v>46</v>
      </c>
      <c r="I25" s="3" t="s">
        <v>7</v>
      </c>
      <c r="J25" s="3" t="s">
        <v>30</v>
      </c>
      <c r="K25" s="3" t="s">
        <v>11</v>
      </c>
      <c r="L25" s="3" t="s">
        <v>33</v>
      </c>
      <c r="M25">
        <v>1</v>
      </c>
    </row>
    <row r="26" spans="1:13" x14ac:dyDescent="0.25">
      <c r="A26" s="2">
        <v>46290</v>
      </c>
      <c r="B26" s="1" t="str">
        <f ca="1">IF(Información1[[#This Row],[Fecha]]='Ajuste de fechas'!$A$2,"Día actual","Día anterior")</f>
        <v>Día anterior</v>
      </c>
      <c r="C26" s="3" t="s">
        <v>8</v>
      </c>
      <c r="D26" t="s">
        <v>9</v>
      </c>
      <c r="E26" s="3" t="s">
        <v>81</v>
      </c>
      <c r="F26" s="3" t="s">
        <v>19</v>
      </c>
      <c r="G26" s="3" t="s">
        <v>65</v>
      </c>
      <c r="H26" s="3" t="s">
        <v>46</v>
      </c>
      <c r="I26" s="3" t="s">
        <v>7</v>
      </c>
      <c r="J26" s="3" t="s">
        <v>30</v>
      </c>
      <c r="K26" s="3" t="s">
        <v>11</v>
      </c>
      <c r="L26" s="3" t="s">
        <v>33</v>
      </c>
      <c r="M26">
        <v>1</v>
      </c>
    </row>
    <row r="27" spans="1:13" x14ac:dyDescent="0.25">
      <c r="A27" s="2">
        <v>46290</v>
      </c>
      <c r="B27" s="1" t="str">
        <f ca="1">IF(Información1[[#This Row],[Fecha]]='Ajuste de fechas'!$A$2,"Día actual","Día anterior")</f>
        <v>Día anterior</v>
      </c>
      <c r="C27" s="3" t="s">
        <v>8</v>
      </c>
      <c r="D27" t="s">
        <v>9</v>
      </c>
      <c r="E27" s="3" t="s">
        <v>122</v>
      </c>
      <c r="F27" s="3" t="s">
        <v>83</v>
      </c>
      <c r="G27" s="3" t="s">
        <v>123</v>
      </c>
      <c r="H27" s="3" t="s">
        <v>46</v>
      </c>
      <c r="I27" s="3" t="s">
        <v>7</v>
      </c>
      <c r="J27" s="3" t="s">
        <v>30</v>
      </c>
      <c r="K27" s="3" t="s">
        <v>11</v>
      </c>
      <c r="L27" s="3" t="s">
        <v>33</v>
      </c>
      <c r="M27">
        <v>1</v>
      </c>
    </row>
    <row r="28" spans="1:13" x14ac:dyDescent="0.25">
      <c r="A28" s="2">
        <v>46290</v>
      </c>
      <c r="B28" s="1" t="str">
        <f ca="1">IF(Información1[[#This Row],[Fecha]]='Ajuste de fechas'!$A$2,"Día actual","Día anterior")</f>
        <v>Día anterior</v>
      </c>
      <c r="C28" s="3" t="s">
        <v>8</v>
      </c>
      <c r="D28" t="s">
        <v>9</v>
      </c>
      <c r="E28" s="3" t="s">
        <v>124</v>
      </c>
      <c r="F28" s="3" t="s">
        <v>125</v>
      </c>
      <c r="G28" s="3" t="s">
        <v>126</v>
      </c>
      <c r="H28" s="3" t="s">
        <v>46</v>
      </c>
      <c r="I28" s="3" t="s">
        <v>7</v>
      </c>
      <c r="J28" s="3" t="s">
        <v>30</v>
      </c>
      <c r="K28" s="3" t="s">
        <v>11</v>
      </c>
      <c r="L28" s="3" t="s">
        <v>31</v>
      </c>
      <c r="M28">
        <v>1</v>
      </c>
    </row>
    <row r="29" spans="1:13" x14ac:dyDescent="0.25">
      <c r="A29" s="2">
        <v>46290</v>
      </c>
      <c r="B29" s="1" t="str">
        <f ca="1">IF(Información1[[#This Row],[Fecha]]='Ajuste de fechas'!$A$2,"Día actual","Día anterior")</f>
        <v>Día anterior</v>
      </c>
      <c r="C29" s="3" t="s">
        <v>8</v>
      </c>
      <c r="D29" t="s">
        <v>9</v>
      </c>
      <c r="E29" s="3" t="s">
        <v>16</v>
      </c>
      <c r="F29" s="3" t="s">
        <v>15</v>
      </c>
      <c r="G29" s="3" t="s">
        <v>23</v>
      </c>
      <c r="H29" s="3" t="s">
        <v>46</v>
      </c>
      <c r="I29" s="3" t="s">
        <v>10</v>
      </c>
      <c r="J29" s="3" t="s">
        <v>34</v>
      </c>
      <c r="K29" s="3" t="s">
        <v>11</v>
      </c>
      <c r="L29" s="3" t="s">
        <v>32</v>
      </c>
      <c r="M29">
        <v>1</v>
      </c>
    </row>
    <row r="30" spans="1:13" x14ac:dyDescent="0.25">
      <c r="A30" s="2">
        <v>46290</v>
      </c>
      <c r="B30" s="1" t="str">
        <f ca="1">IF(Información1[[#This Row],[Fecha]]='Ajuste de fechas'!$A$2,"Día actual","Día anterior")</f>
        <v>Día anterior</v>
      </c>
      <c r="C30" s="3" t="s">
        <v>8</v>
      </c>
      <c r="D30" t="s">
        <v>9</v>
      </c>
      <c r="E30" s="3" t="s">
        <v>14</v>
      </c>
      <c r="F30" s="3" t="s">
        <v>15</v>
      </c>
      <c r="G30" s="3" t="s">
        <v>23</v>
      </c>
      <c r="H30" s="3" t="s">
        <v>46</v>
      </c>
      <c r="I30" s="3" t="s">
        <v>10</v>
      </c>
      <c r="J30" s="3" t="s">
        <v>34</v>
      </c>
      <c r="K30" s="3" t="s">
        <v>11</v>
      </c>
      <c r="L30" s="3" t="s">
        <v>32</v>
      </c>
      <c r="M30">
        <v>1</v>
      </c>
    </row>
    <row r="31" spans="1:13" x14ac:dyDescent="0.25">
      <c r="A31" s="2">
        <v>46290</v>
      </c>
      <c r="B31" s="1" t="str">
        <f ca="1">IF(Información1[[#This Row],[Fecha]]='Ajuste de fechas'!$A$2,"Día actual","Día anterior")</f>
        <v>Día anterior</v>
      </c>
      <c r="C31" s="3" t="s">
        <v>8</v>
      </c>
      <c r="D31" t="s">
        <v>9</v>
      </c>
      <c r="E31" s="3" t="s">
        <v>41</v>
      </c>
      <c r="F31" s="3" t="s">
        <v>39</v>
      </c>
      <c r="G31" s="3" t="s">
        <v>23</v>
      </c>
      <c r="H31" s="3" t="s">
        <v>46</v>
      </c>
      <c r="I31" s="3" t="s">
        <v>10</v>
      </c>
      <c r="J31" s="3" t="s">
        <v>20</v>
      </c>
      <c r="K31" s="3" t="s">
        <v>11</v>
      </c>
      <c r="L31" s="3" t="s">
        <v>32</v>
      </c>
      <c r="M31">
        <v>1</v>
      </c>
    </row>
    <row r="32" spans="1:13" x14ac:dyDescent="0.25">
      <c r="A32" s="2">
        <v>46290</v>
      </c>
      <c r="B32" s="1" t="str">
        <f ca="1">IF(Información1[[#This Row],[Fecha]]='Ajuste de fechas'!$A$2,"Día actual","Día anterior")</f>
        <v>Día anterior</v>
      </c>
      <c r="C32" s="3" t="s">
        <v>8</v>
      </c>
      <c r="D32" t="s">
        <v>9</v>
      </c>
      <c r="E32" s="3" t="s">
        <v>43</v>
      </c>
      <c r="F32" s="3" t="s">
        <v>42</v>
      </c>
      <c r="G32" s="3" t="s">
        <v>23</v>
      </c>
      <c r="H32" s="3" t="s">
        <v>46</v>
      </c>
      <c r="I32" s="3" t="s">
        <v>10</v>
      </c>
      <c r="J32" s="3" t="s">
        <v>30</v>
      </c>
      <c r="K32" s="3" t="s">
        <v>11</v>
      </c>
      <c r="L32" s="3" t="s">
        <v>32</v>
      </c>
      <c r="M32">
        <v>1</v>
      </c>
    </row>
    <row r="33" spans="1:13" x14ac:dyDescent="0.25">
      <c r="A33" s="2">
        <v>46290</v>
      </c>
      <c r="B33" s="1" t="str">
        <f ca="1">IF(Información1[[#This Row],[Fecha]]='Ajuste de fechas'!$A$2,"Día actual","Día anterior")</f>
        <v>Día anterior</v>
      </c>
      <c r="C33" s="3" t="s">
        <v>8</v>
      </c>
      <c r="D33" t="s">
        <v>9</v>
      </c>
      <c r="E33" s="3" t="s">
        <v>12</v>
      </c>
      <c r="F33" s="3" t="s">
        <v>13</v>
      </c>
      <c r="G33" s="3" t="s">
        <v>23</v>
      </c>
      <c r="H33" s="3" t="s">
        <v>46</v>
      </c>
      <c r="I33" s="3" t="s">
        <v>10</v>
      </c>
      <c r="J33" s="3" t="s">
        <v>30</v>
      </c>
      <c r="K33" s="3" t="s">
        <v>11</v>
      </c>
      <c r="L33" s="3" t="s">
        <v>32</v>
      </c>
      <c r="M33">
        <v>1</v>
      </c>
    </row>
    <row r="34" spans="1:13" x14ac:dyDescent="0.25">
      <c r="A34" s="2">
        <v>46290</v>
      </c>
      <c r="B34" s="1" t="str">
        <f ca="1">IF(Información1[[#This Row],[Fecha]]='Ajuste de fechas'!$A$2,"Día actual","Día anterior")</f>
        <v>Día anterior</v>
      </c>
      <c r="C34" s="3" t="s">
        <v>8</v>
      </c>
      <c r="D34" t="s">
        <v>9</v>
      </c>
      <c r="E34" s="3" t="s">
        <v>58</v>
      </c>
      <c r="F34" s="3" t="s">
        <v>6</v>
      </c>
      <c r="G34" s="3" t="s">
        <v>23</v>
      </c>
      <c r="H34" s="3" t="s">
        <v>46</v>
      </c>
      <c r="I34" s="3" t="s">
        <v>10</v>
      </c>
      <c r="J34" s="3" t="s">
        <v>30</v>
      </c>
      <c r="K34" s="3" t="s">
        <v>11</v>
      </c>
      <c r="L34" s="3" t="s">
        <v>32</v>
      </c>
      <c r="M34">
        <v>1</v>
      </c>
    </row>
    <row r="35" spans="1:13" x14ac:dyDescent="0.25">
      <c r="A35" s="2">
        <v>46290</v>
      </c>
      <c r="B35" s="1" t="str">
        <f ca="1">IF(Información1[[#This Row],[Fecha]]='Ajuste de fechas'!$A$2,"Día actual","Día anterior")</f>
        <v>Día anterior</v>
      </c>
      <c r="C35" s="3" t="s">
        <v>47</v>
      </c>
      <c r="D35" t="s">
        <v>55</v>
      </c>
      <c r="E35" s="3" t="s">
        <v>127</v>
      </c>
      <c r="F35" s="3" t="s">
        <v>45</v>
      </c>
      <c r="G35" s="3" t="s">
        <v>128</v>
      </c>
      <c r="H35" s="3" t="s">
        <v>46</v>
      </c>
      <c r="I35" s="3" t="s">
        <v>7</v>
      </c>
      <c r="J35" s="3" t="s">
        <v>30</v>
      </c>
      <c r="K35" s="3" t="s">
        <v>49</v>
      </c>
      <c r="L35" s="3" t="s">
        <v>31</v>
      </c>
      <c r="M35">
        <v>1</v>
      </c>
    </row>
    <row r="36" spans="1:13" x14ac:dyDescent="0.25">
      <c r="A36" s="2">
        <v>46290</v>
      </c>
      <c r="B36" s="1" t="str">
        <f ca="1">IF(Información1[[#This Row],[Fecha]]='Ajuste de fechas'!$A$2,"Día actual","Día anterior")</f>
        <v>Día anterior</v>
      </c>
      <c r="C36" s="3" t="s">
        <v>47</v>
      </c>
      <c r="D36" t="s">
        <v>55</v>
      </c>
      <c r="E36" s="3" t="s">
        <v>129</v>
      </c>
      <c r="F36" s="3" t="s">
        <v>42</v>
      </c>
      <c r="G36" s="3" t="s">
        <v>89</v>
      </c>
      <c r="H36" s="3" t="s">
        <v>46</v>
      </c>
      <c r="I36" s="3" t="s">
        <v>7</v>
      </c>
      <c r="J36" s="3" t="s">
        <v>30</v>
      </c>
      <c r="K36" s="3" t="s">
        <v>49</v>
      </c>
      <c r="L36" s="3" t="s">
        <v>31</v>
      </c>
      <c r="M36">
        <v>1</v>
      </c>
    </row>
    <row r="37" spans="1:13" x14ac:dyDescent="0.25">
      <c r="A37" s="2">
        <v>46290</v>
      </c>
      <c r="B37" s="1" t="str">
        <f ca="1">IF(Información1[[#This Row],[Fecha]]='Ajuste de fechas'!$A$2,"Día actual","Día anterior")</f>
        <v>Día anterior</v>
      </c>
      <c r="C37" s="3" t="s">
        <v>47</v>
      </c>
      <c r="D37" t="s">
        <v>55</v>
      </c>
      <c r="E37" s="3" t="s">
        <v>130</v>
      </c>
      <c r="F37" s="3" t="s">
        <v>17</v>
      </c>
      <c r="G37" s="3" t="s">
        <v>131</v>
      </c>
      <c r="H37" s="3" t="s">
        <v>46</v>
      </c>
      <c r="I37" s="3" t="s">
        <v>7</v>
      </c>
      <c r="J37" s="3" t="s">
        <v>30</v>
      </c>
      <c r="K37" s="3" t="s">
        <v>49</v>
      </c>
      <c r="L37" s="3" t="s">
        <v>33</v>
      </c>
      <c r="M37">
        <v>1</v>
      </c>
    </row>
    <row r="38" spans="1:13" x14ac:dyDescent="0.25">
      <c r="A38" s="2">
        <v>46290</v>
      </c>
      <c r="B38" s="1" t="str">
        <f ca="1">IF(Información1[[#This Row],[Fecha]]='Ajuste de fechas'!$A$2,"Día actual","Día anterior")</f>
        <v>Día anterior</v>
      </c>
      <c r="C38" s="3" t="s">
        <v>47</v>
      </c>
      <c r="D38" t="s">
        <v>55</v>
      </c>
      <c r="E38" s="3" t="s">
        <v>132</v>
      </c>
      <c r="F38" s="3" t="s">
        <v>15</v>
      </c>
      <c r="G38" s="3" t="s">
        <v>133</v>
      </c>
      <c r="H38" s="3" t="s">
        <v>46</v>
      </c>
      <c r="I38" s="3" t="s">
        <v>21</v>
      </c>
      <c r="J38" s="3" t="s">
        <v>34</v>
      </c>
      <c r="K38" s="3" t="s">
        <v>59</v>
      </c>
      <c r="L38" s="3" t="s">
        <v>32</v>
      </c>
      <c r="M38">
        <v>1</v>
      </c>
    </row>
    <row r="39" spans="1:13" x14ac:dyDescent="0.25">
      <c r="A39" s="2">
        <v>46290</v>
      </c>
      <c r="B39" s="1" t="str">
        <f ca="1">IF(Información1[[#This Row],[Fecha]]='Ajuste de fechas'!$A$2,"Día actual","Día anterior")</f>
        <v>Día anterior</v>
      </c>
      <c r="C39" s="3" t="s">
        <v>47</v>
      </c>
      <c r="D39" t="s">
        <v>55</v>
      </c>
      <c r="E39" s="3" t="s">
        <v>134</v>
      </c>
      <c r="F39" s="3" t="s">
        <v>15</v>
      </c>
      <c r="G39" s="3" t="s">
        <v>135</v>
      </c>
      <c r="H39" s="3" t="s">
        <v>46</v>
      </c>
      <c r="I39" s="3" t="s">
        <v>7</v>
      </c>
      <c r="J39" s="3" t="s">
        <v>34</v>
      </c>
      <c r="K39" s="3" t="s">
        <v>49</v>
      </c>
      <c r="L39" s="3" t="s">
        <v>31</v>
      </c>
      <c r="M39">
        <v>1</v>
      </c>
    </row>
    <row r="40" spans="1:13" x14ac:dyDescent="0.25">
      <c r="A40" s="2">
        <v>46290</v>
      </c>
      <c r="B40" s="1" t="str">
        <f ca="1">IF(Información1[[#This Row],[Fecha]]='Ajuste de fechas'!$A$2,"Día actual","Día anterior")</f>
        <v>Día anterior</v>
      </c>
      <c r="C40" s="3" t="s">
        <v>76</v>
      </c>
      <c r="D40" t="s">
        <v>77</v>
      </c>
      <c r="E40" s="3" t="s">
        <v>74</v>
      </c>
      <c r="F40" s="3" t="s">
        <v>54</v>
      </c>
      <c r="G40" s="3" t="s">
        <v>75</v>
      </c>
      <c r="H40" s="3" t="s">
        <v>46</v>
      </c>
      <c r="I40" s="3" t="s">
        <v>7</v>
      </c>
      <c r="J40" s="3" t="s">
        <v>30</v>
      </c>
      <c r="K40" s="3" t="s">
        <v>79</v>
      </c>
      <c r="L40" s="3" t="s">
        <v>33</v>
      </c>
      <c r="M40">
        <v>1</v>
      </c>
    </row>
    <row r="41" spans="1:13" x14ac:dyDescent="0.25">
      <c r="A41" s="2">
        <v>46290</v>
      </c>
      <c r="B41" s="1" t="str">
        <f ca="1">IF(Información1[[#This Row],[Fecha]]='Ajuste de fechas'!$A$2,"Día actual","Día anterior")</f>
        <v>Día anterior</v>
      </c>
      <c r="C41" s="3" t="s">
        <v>76</v>
      </c>
      <c r="D41" t="s">
        <v>77</v>
      </c>
      <c r="E41" s="3" t="s">
        <v>122</v>
      </c>
      <c r="F41" s="3" t="s">
        <v>83</v>
      </c>
      <c r="G41" s="3" t="s">
        <v>123</v>
      </c>
      <c r="H41" s="3" t="s">
        <v>46</v>
      </c>
      <c r="I41" s="3" t="s">
        <v>7</v>
      </c>
      <c r="J41" s="3" t="s">
        <v>30</v>
      </c>
      <c r="K41" s="3" t="s">
        <v>79</v>
      </c>
      <c r="L41" s="3" t="s">
        <v>33</v>
      </c>
      <c r="M41">
        <v>1</v>
      </c>
    </row>
    <row r="42" spans="1:13" x14ac:dyDescent="0.25">
      <c r="A42" s="2">
        <v>46290</v>
      </c>
      <c r="B42" s="1" t="str">
        <f ca="1">IF(Información1[[#This Row],[Fecha]]='Ajuste de fechas'!$A$2,"Día actual","Día anterior")</f>
        <v>Día anterior</v>
      </c>
      <c r="C42" s="3" t="s">
        <v>76</v>
      </c>
      <c r="D42" t="s">
        <v>77</v>
      </c>
      <c r="E42" s="3" t="s">
        <v>136</v>
      </c>
      <c r="F42" s="3" t="s">
        <v>22</v>
      </c>
      <c r="G42" s="3" t="s">
        <v>98</v>
      </c>
      <c r="H42" s="3" t="s">
        <v>46</v>
      </c>
      <c r="I42" s="3" t="s">
        <v>7</v>
      </c>
      <c r="J42" s="3" t="s">
        <v>30</v>
      </c>
      <c r="K42" s="3" t="s">
        <v>79</v>
      </c>
      <c r="L42" s="3" t="s">
        <v>33</v>
      </c>
      <c r="M42">
        <v>1</v>
      </c>
    </row>
    <row r="43" spans="1:13" x14ac:dyDescent="0.25">
      <c r="A43" s="2">
        <v>46290</v>
      </c>
      <c r="B43" s="1" t="str">
        <f ca="1">IF(Información1[[#This Row],[Fecha]]='Ajuste de fechas'!$A$2,"Día actual","Día anterior")</f>
        <v>Día anterior</v>
      </c>
      <c r="C43" s="3" t="s">
        <v>47</v>
      </c>
      <c r="D43" t="s">
        <v>48</v>
      </c>
      <c r="E43" s="3" t="s">
        <v>137</v>
      </c>
      <c r="F43" s="3" t="s">
        <v>18</v>
      </c>
      <c r="G43" s="3" t="s">
        <v>138</v>
      </c>
      <c r="H43" s="3" t="s">
        <v>46</v>
      </c>
      <c r="I43" s="3" t="s">
        <v>21</v>
      </c>
      <c r="J43" s="3" t="s">
        <v>35</v>
      </c>
      <c r="K43" s="3" t="s">
        <v>49</v>
      </c>
      <c r="L43" s="3" t="s">
        <v>31</v>
      </c>
      <c r="M43">
        <v>1</v>
      </c>
    </row>
    <row r="44" spans="1:13" x14ac:dyDescent="0.25">
      <c r="A44" s="2">
        <v>46290</v>
      </c>
      <c r="B44" s="1" t="str">
        <f ca="1">IF(Información1[[#This Row],[Fecha]]='Ajuste de fechas'!$A$2,"Día actual","Día anterior")</f>
        <v>Día anterior</v>
      </c>
      <c r="C44" s="3" t="s">
        <v>47</v>
      </c>
      <c r="D44" t="s">
        <v>48</v>
      </c>
      <c r="E44" s="3" t="s">
        <v>139</v>
      </c>
      <c r="F44" s="3" t="s">
        <v>140</v>
      </c>
      <c r="G44" s="3" t="s">
        <v>141</v>
      </c>
      <c r="H44" s="3" t="s">
        <v>46</v>
      </c>
      <c r="I44" s="3" t="s">
        <v>7</v>
      </c>
      <c r="J44" s="3" t="s">
        <v>20</v>
      </c>
      <c r="K44" s="3" t="s">
        <v>49</v>
      </c>
      <c r="L44" s="3" t="s">
        <v>31</v>
      </c>
      <c r="M44">
        <v>1</v>
      </c>
    </row>
    <row r="45" spans="1:13" x14ac:dyDescent="0.25">
      <c r="A45" s="2">
        <v>46290</v>
      </c>
      <c r="B45" s="1" t="str">
        <f ca="1">IF(Información1[[#This Row],[Fecha]]='Ajuste de fechas'!$A$2,"Día actual","Día anterior")</f>
        <v>Día anterior</v>
      </c>
      <c r="C45" s="3" t="s">
        <v>47</v>
      </c>
      <c r="D45" t="s">
        <v>48</v>
      </c>
      <c r="E45" s="3" t="s">
        <v>142</v>
      </c>
      <c r="F45" s="3" t="s">
        <v>78</v>
      </c>
      <c r="G45" s="3" t="s">
        <v>143</v>
      </c>
      <c r="H45" s="3" t="s">
        <v>46</v>
      </c>
      <c r="I45" s="3" t="s">
        <v>7</v>
      </c>
      <c r="J45" s="3" t="s">
        <v>30</v>
      </c>
      <c r="K45" s="3" t="s">
        <v>50</v>
      </c>
      <c r="L45" s="3" t="s">
        <v>33</v>
      </c>
      <c r="M45">
        <v>1</v>
      </c>
    </row>
    <row r="46" spans="1:13" x14ac:dyDescent="0.25">
      <c r="A46" s="2">
        <v>46290</v>
      </c>
      <c r="B46" s="1" t="str">
        <f ca="1">IF(Información1[[#This Row],[Fecha]]='Ajuste de fechas'!$A$2,"Día actual","Día anterior")</f>
        <v>Día anterior</v>
      </c>
      <c r="C46" s="3" t="s">
        <v>47</v>
      </c>
      <c r="D46" t="s">
        <v>48</v>
      </c>
      <c r="E46" s="3" t="s">
        <v>144</v>
      </c>
      <c r="F46" s="3" t="s">
        <v>18</v>
      </c>
      <c r="G46" s="3" t="s">
        <v>145</v>
      </c>
      <c r="H46" s="3" t="s">
        <v>46</v>
      </c>
      <c r="I46" s="3" t="s">
        <v>21</v>
      </c>
      <c r="J46" s="3" t="s">
        <v>35</v>
      </c>
      <c r="K46" s="3" t="s">
        <v>49</v>
      </c>
      <c r="L46" s="3" t="s">
        <v>40</v>
      </c>
      <c r="M46">
        <v>1</v>
      </c>
    </row>
    <row r="47" spans="1:13" x14ac:dyDescent="0.25">
      <c r="A47" s="2">
        <v>46290</v>
      </c>
      <c r="B47" s="1" t="str">
        <f ca="1">IF(Información1[[#This Row],[Fecha]]='Ajuste de fechas'!$A$2,"Día actual","Día anterior")</f>
        <v>Día anterior</v>
      </c>
      <c r="C47" s="3" t="s">
        <v>47</v>
      </c>
      <c r="D47" t="s">
        <v>48</v>
      </c>
      <c r="E47" s="3" t="s">
        <v>122</v>
      </c>
      <c r="F47" s="3" t="s">
        <v>83</v>
      </c>
      <c r="G47" s="3" t="s">
        <v>123</v>
      </c>
      <c r="H47" s="3" t="s">
        <v>46</v>
      </c>
      <c r="I47" s="3" t="s">
        <v>7</v>
      </c>
      <c r="J47" s="3" t="s">
        <v>30</v>
      </c>
      <c r="K47" s="3" t="s">
        <v>50</v>
      </c>
      <c r="L47" s="3" t="s">
        <v>33</v>
      </c>
      <c r="M47">
        <v>1</v>
      </c>
    </row>
    <row r="48" spans="1:13" x14ac:dyDescent="0.25">
      <c r="A48" s="2">
        <v>46290</v>
      </c>
      <c r="B48" s="1" t="str">
        <f ca="1">IF(Información1[[#This Row],[Fecha]]='Ajuste de fechas'!$A$2,"Día actual","Día anterior")</f>
        <v>Día anterior</v>
      </c>
      <c r="C48" s="3" t="s">
        <v>47</v>
      </c>
      <c r="D48" t="s">
        <v>48</v>
      </c>
      <c r="E48" s="3" t="s">
        <v>136</v>
      </c>
      <c r="F48" s="3" t="s">
        <v>22</v>
      </c>
      <c r="G48" s="3" t="s">
        <v>98</v>
      </c>
      <c r="H48" s="3" t="s">
        <v>46</v>
      </c>
      <c r="I48" s="3" t="s">
        <v>7</v>
      </c>
      <c r="J48" s="3" t="s">
        <v>30</v>
      </c>
      <c r="K48" s="3" t="s">
        <v>50</v>
      </c>
      <c r="L48" s="3" t="s">
        <v>33</v>
      </c>
      <c r="M48">
        <v>1</v>
      </c>
    </row>
    <row r="49" spans="1:13" x14ac:dyDescent="0.25">
      <c r="A49" s="2">
        <v>46290</v>
      </c>
      <c r="B49" s="1" t="str">
        <f ca="1">IF(Información1[[#This Row],[Fecha]]='Ajuste de fechas'!$A$2,"Día actual","Día anterior")</f>
        <v>Día anterior</v>
      </c>
      <c r="C49" s="3" t="s">
        <v>47</v>
      </c>
      <c r="D49" t="s">
        <v>48</v>
      </c>
      <c r="E49" s="3" t="s">
        <v>146</v>
      </c>
      <c r="F49" s="3" t="s">
        <v>15</v>
      </c>
      <c r="G49" s="3" t="s">
        <v>135</v>
      </c>
      <c r="H49" s="3" t="s">
        <v>46</v>
      </c>
      <c r="I49" s="3" t="s">
        <v>7</v>
      </c>
      <c r="J49" s="3" t="s">
        <v>34</v>
      </c>
      <c r="K49" s="3" t="s">
        <v>49</v>
      </c>
      <c r="L49" s="3" t="s">
        <v>31</v>
      </c>
      <c r="M49">
        <v>1</v>
      </c>
    </row>
    <row r="50" spans="1:13" x14ac:dyDescent="0.25">
      <c r="A50" s="2">
        <v>46290</v>
      </c>
      <c r="B50" s="1" t="str">
        <f ca="1">IF(Información1[[#This Row],[Fecha]]='Ajuste de fechas'!$A$2,"Día actual","Día anterior")</f>
        <v>Día anterior</v>
      </c>
      <c r="C50" s="3" t="s">
        <v>47</v>
      </c>
      <c r="D50" t="s">
        <v>48</v>
      </c>
      <c r="E50" s="3" t="s">
        <v>147</v>
      </c>
      <c r="F50" s="3" t="s">
        <v>15</v>
      </c>
      <c r="G50" s="3" t="s">
        <v>148</v>
      </c>
      <c r="H50" s="3" t="s">
        <v>46</v>
      </c>
      <c r="I50" s="3" t="s">
        <v>7</v>
      </c>
      <c r="J50" s="3" t="s">
        <v>34</v>
      </c>
      <c r="K50" s="3" t="s">
        <v>49</v>
      </c>
      <c r="L50" s="3" t="s">
        <v>31</v>
      </c>
      <c r="M50">
        <v>1</v>
      </c>
    </row>
    <row r="51" spans="1:13" x14ac:dyDescent="0.25">
      <c r="A51" s="2">
        <v>46290</v>
      </c>
      <c r="B51" s="1" t="str">
        <f ca="1">IF(Información1[[#This Row],[Fecha]]='Ajuste de fechas'!$A$2,"Día actual","Día anterior")</f>
        <v>Día anterior</v>
      </c>
      <c r="C51" s="3" t="s">
        <v>47</v>
      </c>
      <c r="D51" t="s">
        <v>48</v>
      </c>
      <c r="E51" s="3" t="s">
        <v>149</v>
      </c>
      <c r="F51" s="3" t="s">
        <v>22</v>
      </c>
      <c r="G51" s="3" t="s">
        <v>66</v>
      </c>
      <c r="H51" s="3" t="s">
        <v>46</v>
      </c>
      <c r="I51" s="3" t="s">
        <v>10</v>
      </c>
      <c r="J51" s="3" t="s">
        <v>30</v>
      </c>
      <c r="K51" s="3" t="s">
        <v>50</v>
      </c>
      <c r="L51" s="3" t="s">
        <v>31</v>
      </c>
      <c r="M51">
        <v>1</v>
      </c>
    </row>
    <row r="52" spans="1:13" x14ac:dyDescent="0.25">
      <c r="A52" s="2">
        <v>46290</v>
      </c>
      <c r="B52" s="1" t="str">
        <f ca="1">IF(Información1[[#This Row],[Fecha]]='Ajuste de fechas'!$A$2,"Día actual","Día anterior")</f>
        <v>Día anterior</v>
      </c>
      <c r="C52" s="3" t="s">
        <v>47</v>
      </c>
      <c r="D52" t="s">
        <v>48</v>
      </c>
      <c r="E52" s="3" t="s">
        <v>150</v>
      </c>
      <c r="F52" s="3" t="s">
        <v>15</v>
      </c>
      <c r="G52" s="3" t="s">
        <v>151</v>
      </c>
      <c r="H52" s="3" t="s">
        <v>46</v>
      </c>
      <c r="I52" s="3" t="s">
        <v>7</v>
      </c>
      <c r="J52" s="3" t="s">
        <v>34</v>
      </c>
      <c r="K52" s="3" t="s">
        <v>49</v>
      </c>
      <c r="L52" s="3" t="s">
        <v>40</v>
      </c>
      <c r="M52">
        <v>1</v>
      </c>
    </row>
    <row r="53" spans="1:13" x14ac:dyDescent="0.25">
      <c r="A53" s="2">
        <v>46293</v>
      </c>
      <c r="B53" s="1" t="str">
        <f ca="1">IF(Información1[[#This Row],[Fecha]]='Ajuste de fechas'!$A$2,"Día actual","Día anterior")</f>
        <v>Día actual</v>
      </c>
      <c r="C53" s="3" t="s">
        <v>152</v>
      </c>
      <c r="D53" t="s">
        <v>153</v>
      </c>
      <c r="E53" s="3" t="s">
        <v>154</v>
      </c>
      <c r="F53" s="3" t="s">
        <v>155</v>
      </c>
      <c r="G53" s="3" t="s">
        <v>156</v>
      </c>
      <c r="H53" s="3" t="s">
        <v>157</v>
      </c>
      <c r="I53" s="3" t="s">
        <v>7</v>
      </c>
      <c r="J53" s="3" t="s">
        <v>158</v>
      </c>
      <c r="K53" s="3" t="s">
        <v>159</v>
      </c>
      <c r="L53" s="3" t="s">
        <v>32</v>
      </c>
      <c r="M53">
        <v>1</v>
      </c>
    </row>
    <row r="54" spans="1:13" x14ac:dyDescent="0.25">
      <c r="A54" s="2">
        <v>46293</v>
      </c>
      <c r="B54" s="1" t="str">
        <f ca="1">IF(Información1[[#This Row],[Fecha]]='Ajuste de fechas'!$A$2,"Día actual","Día anterior")</f>
        <v>Día actual</v>
      </c>
      <c r="C54" s="3" t="s">
        <v>152</v>
      </c>
      <c r="D54" t="s">
        <v>153</v>
      </c>
      <c r="E54" s="3" t="s">
        <v>160</v>
      </c>
      <c r="F54" s="3" t="s">
        <v>17</v>
      </c>
      <c r="G54" s="3" t="s">
        <v>161</v>
      </c>
      <c r="H54" s="3" t="s">
        <v>157</v>
      </c>
      <c r="I54" s="3" t="s">
        <v>7</v>
      </c>
      <c r="J54" s="3" t="s">
        <v>30</v>
      </c>
      <c r="K54" s="3" t="s">
        <v>162</v>
      </c>
      <c r="L54" s="3" t="s">
        <v>33</v>
      </c>
      <c r="M54">
        <v>1</v>
      </c>
    </row>
    <row r="55" spans="1:13" x14ac:dyDescent="0.25">
      <c r="A55" s="2">
        <v>46293</v>
      </c>
      <c r="B55" s="1" t="str">
        <f ca="1">IF(Información1[[#This Row],[Fecha]]='Ajuste de fechas'!$A$2,"Día actual","Día anterior")</f>
        <v>Día actual</v>
      </c>
      <c r="C55" s="3" t="s">
        <v>152</v>
      </c>
      <c r="D55" t="s">
        <v>153</v>
      </c>
      <c r="E55" s="3" t="s">
        <v>163</v>
      </c>
      <c r="F55" s="3" t="s">
        <v>20</v>
      </c>
      <c r="G55" s="3" t="s">
        <v>156</v>
      </c>
      <c r="H55" s="3" t="s">
        <v>157</v>
      </c>
      <c r="I55" s="3" t="s">
        <v>7</v>
      </c>
      <c r="J55" s="3" t="s">
        <v>20</v>
      </c>
      <c r="K55" s="3" t="s">
        <v>164</v>
      </c>
      <c r="L55" s="3" t="s">
        <v>31</v>
      </c>
      <c r="M55">
        <v>1</v>
      </c>
    </row>
    <row r="56" spans="1:13" x14ac:dyDescent="0.25">
      <c r="A56" s="2">
        <v>46293</v>
      </c>
      <c r="B56" s="1" t="str">
        <f ca="1">IF(Información1[[#This Row],[Fecha]]='Ajuste de fechas'!$A$2,"Día actual","Día anterior")</f>
        <v>Día actual</v>
      </c>
      <c r="C56" s="3" t="s">
        <v>152</v>
      </c>
      <c r="D56" t="s">
        <v>153</v>
      </c>
      <c r="E56" s="3" t="s">
        <v>165</v>
      </c>
      <c r="F56" s="3" t="s">
        <v>18</v>
      </c>
      <c r="G56" s="3" t="s">
        <v>166</v>
      </c>
      <c r="H56" s="3" t="s">
        <v>157</v>
      </c>
      <c r="I56" s="3" t="s">
        <v>7</v>
      </c>
      <c r="J56" s="3" t="s">
        <v>35</v>
      </c>
      <c r="K56" s="3" t="s">
        <v>164</v>
      </c>
      <c r="L56" s="3" t="s">
        <v>31</v>
      </c>
      <c r="M56">
        <v>1</v>
      </c>
    </row>
    <row r="57" spans="1:13" x14ac:dyDescent="0.25">
      <c r="A57" s="2">
        <v>46293</v>
      </c>
      <c r="B57" s="1" t="str">
        <f ca="1">IF(Información1[[#This Row],[Fecha]]='Ajuste de fechas'!$A$2,"Día actual","Día anterior")</f>
        <v>Día actual</v>
      </c>
      <c r="C57" s="3" t="s">
        <v>152</v>
      </c>
      <c r="D57" t="s">
        <v>153</v>
      </c>
      <c r="E57" s="3" t="s">
        <v>167</v>
      </c>
      <c r="F57" s="3" t="s">
        <v>15</v>
      </c>
      <c r="G57" s="3" t="s">
        <v>168</v>
      </c>
      <c r="H57" s="3" t="s">
        <v>157</v>
      </c>
      <c r="I57" s="3" t="s">
        <v>21</v>
      </c>
      <c r="J57" s="3" t="s">
        <v>34</v>
      </c>
      <c r="K57" s="3" t="s">
        <v>164</v>
      </c>
      <c r="L57" s="3" t="s">
        <v>32</v>
      </c>
      <c r="M57">
        <v>1</v>
      </c>
    </row>
    <row r="58" spans="1:13" x14ac:dyDescent="0.25">
      <c r="A58" s="2">
        <v>46293</v>
      </c>
      <c r="B58" s="1" t="str">
        <f ca="1">IF(Información1[[#This Row],[Fecha]]='Ajuste de fechas'!$A$2,"Día actual","Día anterior")</f>
        <v>Día actual</v>
      </c>
      <c r="C58" s="3" t="s">
        <v>152</v>
      </c>
      <c r="D58" t="s">
        <v>153</v>
      </c>
      <c r="E58" s="3" t="s">
        <v>169</v>
      </c>
      <c r="F58" s="3" t="s">
        <v>13</v>
      </c>
      <c r="G58" s="3" t="s">
        <v>170</v>
      </c>
      <c r="H58" s="3" t="s">
        <v>157</v>
      </c>
      <c r="I58" s="3" t="s">
        <v>21</v>
      </c>
      <c r="J58" s="3" t="s">
        <v>30</v>
      </c>
      <c r="K58" s="3" t="s">
        <v>164</v>
      </c>
      <c r="L58" s="3" t="s">
        <v>31</v>
      </c>
      <c r="M58">
        <v>1</v>
      </c>
    </row>
    <row r="59" spans="1:13" x14ac:dyDescent="0.25">
      <c r="A59" s="2">
        <v>46293</v>
      </c>
      <c r="B59" s="1" t="str">
        <f ca="1">IF(Información1[[#This Row],[Fecha]]='Ajuste de fechas'!$A$2,"Día actual","Día anterior")</f>
        <v>Día actual</v>
      </c>
      <c r="C59" s="3" t="s">
        <v>152</v>
      </c>
      <c r="D59" t="s">
        <v>153</v>
      </c>
      <c r="E59" s="3" t="s">
        <v>171</v>
      </c>
      <c r="F59" s="3" t="s">
        <v>18</v>
      </c>
      <c r="G59" s="3" t="s">
        <v>172</v>
      </c>
      <c r="H59" s="3" t="s">
        <v>157</v>
      </c>
      <c r="I59" s="3" t="s">
        <v>7</v>
      </c>
      <c r="J59" s="3" t="s">
        <v>35</v>
      </c>
      <c r="K59" s="3" t="s">
        <v>164</v>
      </c>
      <c r="L59" s="3" t="s">
        <v>31</v>
      </c>
      <c r="M59">
        <v>1</v>
      </c>
    </row>
    <row r="60" spans="1:13" x14ac:dyDescent="0.25">
      <c r="A60" s="2">
        <v>46293</v>
      </c>
      <c r="B60" s="1" t="str">
        <f ca="1">IF(Información1[[#This Row],[Fecha]]='Ajuste de fechas'!$A$2,"Día actual","Día anterior")</f>
        <v>Día actual</v>
      </c>
      <c r="C60" s="3" t="s">
        <v>152</v>
      </c>
      <c r="D60" t="s">
        <v>153</v>
      </c>
      <c r="E60" s="3" t="s">
        <v>173</v>
      </c>
      <c r="F60" s="3" t="s">
        <v>15</v>
      </c>
      <c r="G60" s="3" t="s">
        <v>174</v>
      </c>
      <c r="H60" s="3" t="s">
        <v>157</v>
      </c>
      <c r="I60" s="3" t="s">
        <v>7</v>
      </c>
      <c r="J60" s="3" t="s">
        <v>34</v>
      </c>
      <c r="K60" s="3" t="s">
        <v>162</v>
      </c>
      <c r="L60" s="3" t="s">
        <v>31</v>
      </c>
      <c r="M60">
        <v>1</v>
      </c>
    </row>
    <row r="61" spans="1:13" x14ac:dyDescent="0.25">
      <c r="A61" s="2">
        <v>46293</v>
      </c>
      <c r="B61" s="1" t="str">
        <f ca="1">IF(Información1[[#This Row],[Fecha]]='Ajuste de fechas'!$A$2,"Día actual","Día anterior")</f>
        <v>Día actual</v>
      </c>
      <c r="C61" s="3" t="s">
        <v>152</v>
      </c>
      <c r="D61" t="s">
        <v>153</v>
      </c>
      <c r="E61" s="3" t="s">
        <v>175</v>
      </c>
      <c r="F61" s="3" t="s">
        <v>20</v>
      </c>
      <c r="G61" s="3" t="s">
        <v>176</v>
      </c>
      <c r="H61" s="3" t="s">
        <v>157</v>
      </c>
      <c r="I61" s="3" t="s">
        <v>7</v>
      </c>
      <c r="J61" s="3" t="s">
        <v>20</v>
      </c>
      <c r="K61" s="3" t="s">
        <v>164</v>
      </c>
      <c r="L61" s="3" t="s">
        <v>31</v>
      </c>
      <c r="M61">
        <v>1</v>
      </c>
    </row>
    <row r="62" spans="1:13" x14ac:dyDescent="0.25">
      <c r="A62" s="2">
        <v>46293</v>
      </c>
      <c r="B62" s="1" t="str">
        <f ca="1">IF(Información1[[#This Row],[Fecha]]='Ajuste de fechas'!$A$2,"Día actual","Día anterior")</f>
        <v>Día actual</v>
      </c>
      <c r="C62" s="3" t="s">
        <v>152</v>
      </c>
      <c r="D62" t="s">
        <v>153</v>
      </c>
      <c r="E62" s="3" t="s">
        <v>177</v>
      </c>
      <c r="F62" s="3" t="s">
        <v>155</v>
      </c>
      <c r="G62" s="3" t="s">
        <v>178</v>
      </c>
      <c r="H62" s="3" t="s">
        <v>157</v>
      </c>
      <c r="I62" s="3" t="s">
        <v>7</v>
      </c>
      <c r="J62" s="3" t="s">
        <v>158</v>
      </c>
      <c r="K62" s="3" t="s">
        <v>164</v>
      </c>
      <c r="L62" s="3" t="s">
        <v>31</v>
      </c>
      <c r="M62">
        <v>1</v>
      </c>
    </row>
    <row r="63" spans="1:13" x14ac:dyDescent="0.25">
      <c r="A63" s="2">
        <v>46293</v>
      </c>
      <c r="B63" s="1" t="str">
        <f ca="1">IF(Información1[[#This Row],[Fecha]]='Ajuste de fechas'!$A$2,"Día actual","Día anterior")</f>
        <v>Día actual</v>
      </c>
      <c r="C63" s="3" t="s">
        <v>152</v>
      </c>
      <c r="D63" t="s">
        <v>153</v>
      </c>
      <c r="E63" s="3" t="s">
        <v>179</v>
      </c>
      <c r="F63" s="3" t="s">
        <v>155</v>
      </c>
      <c r="G63" s="3" t="s">
        <v>180</v>
      </c>
      <c r="H63" s="3" t="s">
        <v>157</v>
      </c>
      <c r="I63" s="3" t="s">
        <v>7</v>
      </c>
      <c r="J63" s="3" t="s">
        <v>158</v>
      </c>
      <c r="K63" s="3" t="s">
        <v>164</v>
      </c>
      <c r="L63" s="3" t="s">
        <v>31</v>
      </c>
      <c r="M63">
        <v>1</v>
      </c>
    </row>
    <row r="64" spans="1:13" x14ac:dyDescent="0.25">
      <c r="A64" s="2">
        <v>46293</v>
      </c>
      <c r="B64" s="1" t="str">
        <f ca="1">IF(Información1[[#This Row],[Fecha]]='Ajuste de fechas'!$A$2,"Día actual","Día anterior")</f>
        <v>Día actual</v>
      </c>
      <c r="C64" s="3" t="s">
        <v>152</v>
      </c>
      <c r="D64" t="s">
        <v>153</v>
      </c>
      <c r="E64" s="3" t="s">
        <v>181</v>
      </c>
      <c r="F64" s="3" t="s">
        <v>13</v>
      </c>
      <c r="G64" s="3" t="s">
        <v>182</v>
      </c>
      <c r="H64" s="3" t="s">
        <v>157</v>
      </c>
      <c r="I64" s="3" t="s">
        <v>21</v>
      </c>
      <c r="J64" s="3" t="s">
        <v>30</v>
      </c>
      <c r="K64" s="3" t="s">
        <v>164</v>
      </c>
      <c r="L64" s="3" t="s">
        <v>31</v>
      </c>
      <c r="M64">
        <v>1</v>
      </c>
    </row>
    <row r="65" spans="1:13" x14ac:dyDescent="0.25">
      <c r="A65" s="2">
        <v>46293</v>
      </c>
      <c r="B65" s="1" t="str">
        <f ca="1">IF(Información1[[#This Row],[Fecha]]='Ajuste de fechas'!$A$2,"Día actual","Día anterior")</f>
        <v>Día actual</v>
      </c>
      <c r="C65" s="3" t="s">
        <v>152</v>
      </c>
      <c r="D65" t="s">
        <v>153</v>
      </c>
      <c r="E65" s="3" t="s">
        <v>183</v>
      </c>
      <c r="F65" s="3" t="s">
        <v>45</v>
      </c>
      <c r="G65" s="3" t="s">
        <v>128</v>
      </c>
      <c r="H65" s="3" t="s">
        <v>157</v>
      </c>
      <c r="I65" s="3" t="s">
        <v>7</v>
      </c>
      <c r="J65" s="3" t="s">
        <v>30</v>
      </c>
      <c r="K65" s="3" t="s">
        <v>164</v>
      </c>
      <c r="L65" s="3" t="s">
        <v>31</v>
      </c>
      <c r="M65">
        <v>1</v>
      </c>
    </row>
    <row r="66" spans="1:13" x14ac:dyDescent="0.25">
      <c r="A66" s="2">
        <v>46293</v>
      </c>
      <c r="B66" s="1" t="str">
        <f ca="1">IF(Información1[[#This Row],[Fecha]]='Ajuste de fechas'!$A$2,"Día actual","Día anterior")</f>
        <v>Día actual</v>
      </c>
      <c r="C66" s="3" t="s">
        <v>152</v>
      </c>
      <c r="D66" t="s">
        <v>153</v>
      </c>
      <c r="E66" s="3" t="s">
        <v>184</v>
      </c>
      <c r="F66" s="3" t="s">
        <v>22</v>
      </c>
      <c r="G66" s="3" t="s">
        <v>65</v>
      </c>
      <c r="H66" s="3" t="s">
        <v>157</v>
      </c>
      <c r="I66" s="3" t="s">
        <v>10</v>
      </c>
      <c r="J66" s="3" t="s">
        <v>30</v>
      </c>
      <c r="K66" s="3" t="s">
        <v>164</v>
      </c>
      <c r="L66" s="3" t="s">
        <v>31</v>
      </c>
      <c r="M66">
        <v>1</v>
      </c>
    </row>
    <row r="67" spans="1:13" x14ac:dyDescent="0.25">
      <c r="A67" s="2">
        <v>46293</v>
      </c>
      <c r="B67" s="1" t="str">
        <f ca="1">IF(Información1[[#This Row],[Fecha]]='Ajuste de fechas'!$A$2,"Día actual","Día anterior")</f>
        <v>Día actual</v>
      </c>
      <c r="C67" s="3" t="s">
        <v>185</v>
      </c>
      <c r="D67" t="s">
        <v>186</v>
      </c>
      <c r="E67" s="3" t="s">
        <v>187</v>
      </c>
      <c r="F67" s="3" t="s">
        <v>15</v>
      </c>
      <c r="G67" s="3" t="s">
        <v>80</v>
      </c>
      <c r="H67" s="3" t="s">
        <v>46</v>
      </c>
      <c r="I67" s="3" t="s">
        <v>7</v>
      </c>
      <c r="J67" s="3" t="s">
        <v>34</v>
      </c>
      <c r="K67" s="3" t="s">
        <v>188</v>
      </c>
      <c r="L67" s="3" t="s">
        <v>31</v>
      </c>
      <c r="M67">
        <v>1</v>
      </c>
    </row>
    <row r="68" spans="1:13" x14ac:dyDescent="0.25">
      <c r="A68" s="2">
        <v>46293</v>
      </c>
      <c r="B68" s="1" t="str">
        <f ca="1">IF(Información1[[#This Row],[Fecha]]='Ajuste de fechas'!$A$2,"Día actual","Día anterior")</f>
        <v>Día actual</v>
      </c>
      <c r="C68" s="3" t="s">
        <v>185</v>
      </c>
      <c r="D68" t="s">
        <v>186</v>
      </c>
      <c r="E68" s="3" t="s">
        <v>189</v>
      </c>
      <c r="F68" s="3" t="s">
        <v>18</v>
      </c>
      <c r="G68" s="3" t="s">
        <v>138</v>
      </c>
      <c r="H68" s="3" t="s">
        <v>46</v>
      </c>
      <c r="I68" s="3" t="s">
        <v>21</v>
      </c>
      <c r="J68" s="3" t="s">
        <v>35</v>
      </c>
      <c r="K68" s="3" t="s">
        <v>188</v>
      </c>
      <c r="L68" s="3" t="s">
        <v>31</v>
      </c>
      <c r="M68">
        <v>1</v>
      </c>
    </row>
    <row r="69" spans="1:13" x14ac:dyDescent="0.25">
      <c r="A69" s="2">
        <v>46293</v>
      </c>
      <c r="B69" s="1" t="str">
        <f ca="1">IF(Información1[[#This Row],[Fecha]]='Ajuste de fechas'!$A$2,"Día actual","Día anterior")</f>
        <v>Día actual</v>
      </c>
      <c r="C69" s="3" t="s">
        <v>185</v>
      </c>
      <c r="D69" t="s">
        <v>186</v>
      </c>
      <c r="E69" s="3" t="s">
        <v>190</v>
      </c>
      <c r="F69" s="3" t="s">
        <v>54</v>
      </c>
      <c r="G69" s="3" t="s">
        <v>68</v>
      </c>
      <c r="H69" s="3" t="s">
        <v>46</v>
      </c>
      <c r="I69" s="3" t="s">
        <v>7</v>
      </c>
      <c r="J69" s="3" t="s">
        <v>30</v>
      </c>
      <c r="K69" s="3" t="s">
        <v>188</v>
      </c>
      <c r="L69" s="3" t="s">
        <v>31</v>
      </c>
      <c r="M69">
        <v>1</v>
      </c>
    </row>
    <row r="70" spans="1:13" x14ac:dyDescent="0.25">
      <c r="A70" s="2">
        <v>46293</v>
      </c>
      <c r="B70" s="1" t="str">
        <f ca="1">IF(Información1[[#This Row],[Fecha]]='Ajuste de fechas'!$A$2,"Día actual","Día anterior")</f>
        <v>Día actual</v>
      </c>
      <c r="C70" s="3" t="s">
        <v>185</v>
      </c>
      <c r="D70" t="s">
        <v>186</v>
      </c>
      <c r="E70" s="3" t="s">
        <v>191</v>
      </c>
      <c r="F70" s="3" t="s">
        <v>15</v>
      </c>
      <c r="G70" s="3" t="s">
        <v>192</v>
      </c>
      <c r="H70" s="3" t="s">
        <v>46</v>
      </c>
      <c r="I70" s="3" t="s">
        <v>7</v>
      </c>
      <c r="J70" s="3" t="s">
        <v>34</v>
      </c>
      <c r="K70" s="3" t="s">
        <v>193</v>
      </c>
      <c r="L70" s="3" t="s">
        <v>31</v>
      </c>
      <c r="M70">
        <v>1</v>
      </c>
    </row>
    <row r="71" spans="1:13" x14ac:dyDescent="0.25">
      <c r="A71" s="2">
        <v>46293</v>
      </c>
      <c r="B71" s="1" t="str">
        <f ca="1">IF(Información1[[#This Row],[Fecha]]='Ajuste de fechas'!$A$2,"Día actual","Día anterior")</f>
        <v>Día actual</v>
      </c>
      <c r="C71" s="3" t="s">
        <v>185</v>
      </c>
      <c r="D71" t="s">
        <v>186</v>
      </c>
      <c r="E71" s="3" t="s">
        <v>194</v>
      </c>
      <c r="F71" s="3" t="s">
        <v>62</v>
      </c>
      <c r="G71" s="3" t="s">
        <v>195</v>
      </c>
      <c r="H71" s="3" t="s">
        <v>46</v>
      </c>
      <c r="I71" s="3" t="s">
        <v>7</v>
      </c>
      <c r="J71" s="3" t="s">
        <v>30</v>
      </c>
      <c r="K71" s="3" t="s">
        <v>188</v>
      </c>
      <c r="L71" s="3" t="s">
        <v>33</v>
      </c>
      <c r="M71">
        <v>1</v>
      </c>
    </row>
    <row r="72" spans="1:13" x14ac:dyDescent="0.25">
      <c r="A72" s="2">
        <v>46293</v>
      </c>
      <c r="B72" s="1" t="str">
        <f ca="1">IF(Información1[[#This Row],[Fecha]]='Ajuste de fechas'!$A$2,"Día actual","Día anterior")</f>
        <v>Día actual</v>
      </c>
      <c r="C72" s="3" t="s">
        <v>185</v>
      </c>
      <c r="D72" t="s">
        <v>186</v>
      </c>
      <c r="E72" s="3" t="s">
        <v>196</v>
      </c>
      <c r="F72" s="3" t="s">
        <v>18</v>
      </c>
      <c r="G72" s="3" t="s">
        <v>197</v>
      </c>
      <c r="H72" s="3" t="s">
        <v>46</v>
      </c>
      <c r="I72" s="3" t="s">
        <v>21</v>
      </c>
      <c r="J72" s="3" t="s">
        <v>35</v>
      </c>
      <c r="K72" s="3" t="s">
        <v>188</v>
      </c>
      <c r="L72" s="3" t="s">
        <v>31</v>
      </c>
      <c r="M72">
        <v>1</v>
      </c>
    </row>
    <row r="73" spans="1:13" x14ac:dyDescent="0.25">
      <c r="A73" s="2">
        <v>46293</v>
      </c>
      <c r="B73" s="1" t="str">
        <f ca="1">IF(Información1[[#This Row],[Fecha]]='Ajuste de fechas'!$A$2,"Día actual","Día anterior")</f>
        <v>Día actual</v>
      </c>
      <c r="C73" s="3" t="s">
        <v>185</v>
      </c>
      <c r="D73" t="s">
        <v>186</v>
      </c>
      <c r="E73" s="3" t="s">
        <v>198</v>
      </c>
      <c r="F73" s="3" t="s">
        <v>83</v>
      </c>
      <c r="G73" s="3" t="s">
        <v>84</v>
      </c>
      <c r="H73" s="3" t="s">
        <v>46</v>
      </c>
      <c r="I73" s="3" t="s">
        <v>7</v>
      </c>
      <c r="J73" s="3" t="s">
        <v>30</v>
      </c>
      <c r="K73" s="3" t="s">
        <v>188</v>
      </c>
      <c r="L73" s="3" t="s">
        <v>31</v>
      </c>
      <c r="M73">
        <v>1</v>
      </c>
    </row>
    <row r="74" spans="1:13" x14ac:dyDescent="0.25">
      <c r="A74" s="2">
        <v>46293</v>
      </c>
      <c r="B74" s="1" t="str">
        <f ca="1">IF(Información1[[#This Row],[Fecha]]='Ajuste de fechas'!$A$2,"Día actual","Día anterior")</f>
        <v>Día actual</v>
      </c>
      <c r="C74" s="3" t="s">
        <v>185</v>
      </c>
      <c r="D74" t="s">
        <v>186</v>
      </c>
      <c r="E74" s="3" t="s">
        <v>199</v>
      </c>
      <c r="F74" s="3" t="s">
        <v>17</v>
      </c>
      <c r="G74" s="3" t="s">
        <v>200</v>
      </c>
      <c r="H74" s="3" t="s">
        <v>46</v>
      </c>
      <c r="I74" s="3" t="s">
        <v>7</v>
      </c>
      <c r="J74" s="3" t="s">
        <v>30</v>
      </c>
      <c r="K74" s="3" t="s">
        <v>188</v>
      </c>
      <c r="L74" s="3" t="s">
        <v>33</v>
      </c>
      <c r="M74">
        <v>1</v>
      </c>
    </row>
    <row r="75" spans="1:13" x14ac:dyDescent="0.25">
      <c r="A75" s="2">
        <v>46293</v>
      </c>
      <c r="B75" s="1" t="str">
        <f ca="1">IF(Información1[[#This Row],[Fecha]]='Ajuste de fechas'!$A$2,"Día actual","Día anterior")</f>
        <v>Día actual</v>
      </c>
      <c r="C75" s="3" t="s">
        <v>185</v>
      </c>
      <c r="D75" t="s">
        <v>186</v>
      </c>
      <c r="E75" s="3" t="s">
        <v>201</v>
      </c>
      <c r="F75" s="3" t="s">
        <v>15</v>
      </c>
      <c r="G75" s="3" t="s">
        <v>202</v>
      </c>
      <c r="H75" s="3" t="s">
        <v>46</v>
      </c>
      <c r="I75" s="3" t="s">
        <v>7</v>
      </c>
      <c r="J75" s="3" t="s">
        <v>34</v>
      </c>
      <c r="K75" s="3" t="s">
        <v>188</v>
      </c>
      <c r="L75" s="3" t="s">
        <v>31</v>
      </c>
      <c r="M75">
        <v>1</v>
      </c>
    </row>
    <row r="76" spans="1:13" x14ac:dyDescent="0.25">
      <c r="A76" s="2">
        <v>46293</v>
      </c>
      <c r="B76" s="1" t="str">
        <f ca="1">IF(Información1[[#This Row],[Fecha]]='Ajuste de fechas'!$A$2,"Día actual","Día anterior")</f>
        <v>Día actual</v>
      </c>
      <c r="C76" s="3" t="s">
        <v>185</v>
      </c>
      <c r="D76" t="s">
        <v>186</v>
      </c>
      <c r="E76" s="3" t="s">
        <v>203</v>
      </c>
      <c r="F76" s="3" t="s">
        <v>18</v>
      </c>
      <c r="G76" s="3" t="s">
        <v>204</v>
      </c>
      <c r="H76" s="3" t="s">
        <v>46</v>
      </c>
      <c r="I76" s="3" t="s">
        <v>7</v>
      </c>
      <c r="J76" s="3" t="s">
        <v>35</v>
      </c>
      <c r="K76" s="3" t="s">
        <v>188</v>
      </c>
      <c r="L76" s="3" t="s">
        <v>31</v>
      </c>
      <c r="M76">
        <v>1</v>
      </c>
    </row>
    <row r="77" spans="1:13" x14ac:dyDescent="0.25">
      <c r="A77" s="2">
        <v>46293</v>
      </c>
      <c r="B77" s="1" t="str">
        <f ca="1">IF(Información1[[#This Row],[Fecha]]='Ajuste de fechas'!$A$2,"Día actual","Día anterior")</f>
        <v>Día actual</v>
      </c>
      <c r="C77" s="3" t="s">
        <v>185</v>
      </c>
      <c r="D77" t="s">
        <v>186</v>
      </c>
      <c r="E77" s="3" t="s">
        <v>205</v>
      </c>
      <c r="F77" s="3" t="s">
        <v>15</v>
      </c>
      <c r="G77" s="3" t="s">
        <v>206</v>
      </c>
      <c r="H77" s="3" t="s">
        <v>46</v>
      </c>
      <c r="I77" s="3" t="s">
        <v>7</v>
      </c>
      <c r="J77" s="3" t="s">
        <v>34</v>
      </c>
      <c r="K77" s="3" t="s">
        <v>188</v>
      </c>
      <c r="L77" s="3" t="s">
        <v>31</v>
      </c>
      <c r="M77">
        <v>1</v>
      </c>
    </row>
    <row r="78" spans="1:13" x14ac:dyDescent="0.25">
      <c r="A78" s="2">
        <v>46293</v>
      </c>
      <c r="B78" s="1" t="str">
        <f ca="1">IF(Información1[[#This Row],[Fecha]]='Ajuste de fechas'!$A$2,"Día actual","Día anterior")</f>
        <v>Día actual</v>
      </c>
      <c r="C78" s="3" t="s">
        <v>185</v>
      </c>
      <c r="D78" t="s">
        <v>186</v>
      </c>
      <c r="E78" s="3" t="s">
        <v>207</v>
      </c>
      <c r="F78" s="3" t="s">
        <v>18</v>
      </c>
      <c r="G78" s="3" t="s">
        <v>92</v>
      </c>
      <c r="H78" s="3" t="s">
        <v>46</v>
      </c>
      <c r="I78" s="3" t="s">
        <v>7</v>
      </c>
      <c r="J78" s="3" t="s">
        <v>35</v>
      </c>
      <c r="K78" s="3" t="s">
        <v>188</v>
      </c>
      <c r="L78" s="3" t="s">
        <v>31</v>
      </c>
      <c r="M78">
        <v>1</v>
      </c>
    </row>
    <row r="79" spans="1:13" x14ac:dyDescent="0.25">
      <c r="A79" s="2">
        <v>46293</v>
      </c>
      <c r="B79" s="1" t="str">
        <f ca="1">IF(Información1[[#This Row],[Fecha]]='Ajuste de fechas'!$A$2,"Día actual","Día anterior")</f>
        <v>Día actual</v>
      </c>
      <c r="C79" s="3" t="s">
        <v>208</v>
      </c>
      <c r="D79" t="s">
        <v>209</v>
      </c>
      <c r="E79" s="3" t="s">
        <v>210</v>
      </c>
      <c r="F79" s="3" t="s">
        <v>22</v>
      </c>
      <c r="G79" s="3" t="s">
        <v>65</v>
      </c>
      <c r="H79" s="3" t="s">
        <v>46</v>
      </c>
      <c r="I79" s="3" t="s">
        <v>7</v>
      </c>
      <c r="J79" s="3" t="s">
        <v>30</v>
      </c>
      <c r="K79" s="3" t="s">
        <v>211</v>
      </c>
      <c r="L79" s="3" t="s">
        <v>31</v>
      </c>
      <c r="M79">
        <v>1</v>
      </c>
    </row>
    <row r="80" spans="1:13" x14ac:dyDescent="0.25">
      <c r="A80" s="2">
        <v>46293</v>
      </c>
      <c r="B80" s="1" t="str">
        <f ca="1">IF(Información1[[#This Row],[Fecha]]='Ajuste de fechas'!$A$2,"Día actual","Día anterior")</f>
        <v>Día actual</v>
      </c>
      <c r="C80" s="3" t="s">
        <v>51</v>
      </c>
      <c r="D80" t="s">
        <v>52</v>
      </c>
      <c r="E80" s="3" t="s">
        <v>212</v>
      </c>
      <c r="F80" s="3" t="s">
        <v>13</v>
      </c>
      <c r="G80" s="3" t="s">
        <v>63</v>
      </c>
      <c r="H80" s="3" t="s">
        <v>46</v>
      </c>
      <c r="I80" s="3" t="s">
        <v>7</v>
      </c>
      <c r="J80" s="3" t="s">
        <v>30</v>
      </c>
      <c r="K80" s="3" t="s">
        <v>53</v>
      </c>
      <c r="L80" s="3" t="s">
        <v>31</v>
      </c>
      <c r="M80">
        <v>1</v>
      </c>
    </row>
    <row r="81" spans="1:13" x14ac:dyDescent="0.25">
      <c r="A81" s="2">
        <v>46293</v>
      </c>
      <c r="B81" s="1" t="str">
        <f ca="1">IF(Información1[[#This Row],[Fecha]]='Ajuste de fechas'!$A$2,"Día actual","Día anterior")</f>
        <v>Día actual</v>
      </c>
      <c r="C81" s="3" t="s">
        <v>51</v>
      </c>
      <c r="D81" t="s">
        <v>52</v>
      </c>
      <c r="E81" s="3" t="s">
        <v>213</v>
      </c>
      <c r="F81" s="3" t="s">
        <v>45</v>
      </c>
      <c r="G81" s="3" t="s">
        <v>214</v>
      </c>
      <c r="H81" s="3" t="s">
        <v>46</v>
      </c>
      <c r="I81" s="3" t="s">
        <v>7</v>
      </c>
      <c r="J81" s="3" t="s">
        <v>30</v>
      </c>
      <c r="K81" s="3" t="s">
        <v>53</v>
      </c>
      <c r="L81" s="3" t="s">
        <v>31</v>
      </c>
      <c r="M81">
        <v>1</v>
      </c>
    </row>
    <row r="82" spans="1:13" x14ac:dyDescent="0.25">
      <c r="A82" s="2">
        <v>46293</v>
      </c>
      <c r="B82" s="1" t="str">
        <f ca="1">IF(Información1[[#This Row],[Fecha]]='Ajuste de fechas'!$A$2,"Día actual","Día anterior")</f>
        <v>Día actual</v>
      </c>
      <c r="C82" s="3" t="s">
        <v>51</v>
      </c>
      <c r="D82" t="s">
        <v>52</v>
      </c>
      <c r="E82" s="3" t="s">
        <v>215</v>
      </c>
      <c r="F82" s="3" t="s">
        <v>42</v>
      </c>
      <c r="G82" s="3" t="s">
        <v>216</v>
      </c>
      <c r="H82" s="3" t="s">
        <v>46</v>
      </c>
      <c r="I82" s="3" t="s">
        <v>7</v>
      </c>
      <c r="J82" s="3" t="s">
        <v>30</v>
      </c>
      <c r="K82" s="3" t="s">
        <v>53</v>
      </c>
      <c r="L82" s="3" t="s">
        <v>31</v>
      </c>
      <c r="M82">
        <v>1</v>
      </c>
    </row>
    <row r="83" spans="1:13" x14ac:dyDescent="0.25">
      <c r="A83" s="2">
        <v>46293</v>
      </c>
      <c r="B83" s="1" t="str">
        <f ca="1">IF(Información1[[#This Row],[Fecha]]='Ajuste de fechas'!$A$2,"Día actual","Día anterior")</f>
        <v>Día actual</v>
      </c>
      <c r="C83" s="3" t="s">
        <v>51</v>
      </c>
      <c r="D83" t="s">
        <v>52</v>
      </c>
      <c r="E83" s="3" t="s">
        <v>217</v>
      </c>
      <c r="F83" s="3" t="s">
        <v>69</v>
      </c>
      <c r="G83" s="3" t="s">
        <v>218</v>
      </c>
      <c r="H83" s="3" t="s">
        <v>46</v>
      </c>
      <c r="I83" s="3" t="s">
        <v>7</v>
      </c>
      <c r="J83" s="3" t="s">
        <v>30</v>
      </c>
      <c r="K83" s="3" t="s">
        <v>53</v>
      </c>
      <c r="L83" s="3" t="s">
        <v>31</v>
      </c>
      <c r="M83">
        <v>1</v>
      </c>
    </row>
    <row r="84" spans="1:13" x14ac:dyDescent="0.25">
      <c r="A84" s="2">
        <v>46293</v>
      </c>
      <c r="B84" s="1" t="str">
        <f ca="1">IF(Información1[[#This Row],[Fecha]]='Ajuste de fechas'!$A$2,"Día actual","Día anterior")</f>
        <v>Día actual</v>
      </c>
      <c r="C84" s="3" t="s">
        <v>51</v>
      </c>
      <c r="D84" t="s">
        <v>52</v>
      </c>
      <c r="E84" s="3" t="s">
        <v>219</v>
      </c>
      <c r="F84" s="3" t="s">
        <v>15</v>
      </c>
      <c r="G84" s="3" t="s">
        <v>68</v>
      </c>
      <c r="H84" s="3" t="s">
        <v>46</v>
      </c>
      <c r="I84" s="3" t="s">
        <v>7</v>
      </c>
      <c r="J84" s="3" t="s">
        <v>34</v>
      </c>
      <c r="K84" s="3" t="s">
        <v>53</v>
      </c>
      <c r="L84" s="3" t="s">
        <v>31</v>
      </c>
      <c r="M84">
        <v>1</v>
      </c>
    </row>
    <row r="85" spans="1:13" x14ac:dyDescent="0.25">
      <c r="A85" s="2">
        <v>46293</v>
      </c>
      <c r="B85" s="1" t="str">
        <f ca="1">IF(Información1[[#This Row],[Fecha]]='Ajuste de fechas'!$A$2,"Día actual","Día anterior")</f>
        <v>Día actual</v>
      </c>
      <c r="C85" s="3" t="s">
        <v>51</v>
      </c>
      <c r="D85" t="s">
        <v>52</v>
      </c>
      <c r="E85" s="3" t="s">
        <v>220</v>
      </c>
      <c r="F85" s="3" t="s">
        <v>19</v>
      </c>
      <c r="G85" s="3" t="s">
        <v>86</v>
      </c>
      <c r="H85" s="3" t="s">
        <v>46</v>
      </c>
      <c r="I85" s="3" t="s">
        <v>7</v>
      </c>
      <c r="J85" s="3" t="s">
        <v>30</v>
      </c>
      <c r="K85" s="3" t="s">
        <v>53</v>
      </c>
      <c r="L85" s="3" t="s">
        <v>31</v>
      </c>
      <c r="M85">
        <v>1</v>
      </c>
    </row>
    <row r="86" spans="1:13" x14ac:dyDescent="0.25">
      <c r="A86" s="2">
        <v>46293</v>
      </c>
      <c r="B86" s="1" t="str">
        <f ca="1">IF(Información1[[#This Row],[Fecha]]='Ajuste de fechas'!$A$2,"Día actual","Día anterior")</f>
        <v>Día actual</v>
      </c>
      <c r="C86" s="3" t="s">
        <v>51</v>
      </c>
      <c r="D86" t="s">
        <v>52</v>
      </c>
      <c r="E86" s="3" t="s">
        <v>221</v>
      </c>
      <c r="F86" s="3" t="s">
        <v>18</v>
      </c>
      <c r="G86" s="3" t="s">
        <v>86</v>
      </c>
      <c r="H86" s="3" t="s">
        <v>46</v>
      </c>
      <c r="I86" s="3" t="s">
        <v>7</v>
      </c>
      <c r="J86" s="3" t="s">
        <v>35</v>
      </c>
      <c r="K86" s="3" t="s">
        <v>53</v>
      </c>
      <c r="L86" s="3" t="s">
        <v>31</v>
      </c>
      <c r="M86">
        <v>1</v>
      </c>
    </row>
    <row r="87" spans="1:13" x14ac:dyDescent="0.25">
      <c r="A87" s="2">
        <v>46293</v>
      </c>
      <c r="B87" s="1" t="str">
        <f ca="1">IF(Información1[[#This Row],[Fecha]]='Ajuste de fechas'!$A$2,"Día actual","Día anterior")</f>
        <v>Día actual</v>
      </c>
      <c r="C87" s="3" t="s">
        <v>51</v>
      </c>
      <c r="D87" t="s">
        <v>52</v>
      </c>
      <c r="E87" s="3" t="s">
        <v>222</v>
      </c>
      <c r="F87" s="3" t="s">
        <v>54</v>
      </c>
      <c r="G87" s="3" t="s">
        <v>75</v>
      </c>
      <c r="H87" s="3" t="s">
        <v>46</v>
      </c>
      <c r="I87" s="3" t="s">
        <v>7</v>
      </c>
      <c r="J87" s="3" t="s">
        <v>30</v>
      </c>
      <c r="K87" s="3" t="s">
        <v>53</v>
      </c>
      <c r="L87" s="3" t="s">
        <v>31</v>
      </c>
      <c r="M87">
        <v>1</v>
      </c>
    </row>
    <row r="88" spans="1:13" x14ac:dyDescent="0.25">
      <c r="A88" s="2">
        <v>46293</v>
      </c>
      <c r="B88" s="1" t="str">
        <f ca="1">IF(Información1[[#This Row],[Fecha]]='Ajuste de fechas'!$A$2,"Día actual","Día anterior")</f>
        <v>Día actual</v>
      </c>
      <c r="C88" s="3" t="s">
        <v>51</v>
      </c>
      <c r="D88" t="s">
        <v>52</v>
      </c>
      <c r="E88" s="3" t="s">
        <v>223</v>
      </c>
      <c r="F88" s="3" t="s">
        <v>18</v>
      </c>
      <c r="G88" s="3" t="s">
        <v>224</v>
      </c>
      <c r="H88" s="3" t="s">
        <v>46</v>
      </c>
      <c r="I88" s="3" t="s">
        <v>21</v>
      </c>
      <c r="J88" s="3" t="s">
        <v>35</v>
      </c>
      <c r="K88" s="3" t="s">
        <v>53</v>
      </c>
      <c r="L88" s="3" t="s">
        <v>31</v>
      </c>
      <c r="M88">
        <v>1</v>
      </c>
    </row>
    <row r="89" spans="1:13" x14ac:dyDescent="0.25">
      <c r="A89" s="2">
        <v>46293</v>
      </c>
      <c r="B89" s="1" t="str">
        <f ca="1">IF(Información1[[#This Row],[Fecha]]='Ajuste de fechas'!$A$2,"Día actual","Día anterior")</f>
        <v>Día actual</v>
      </c>
      <c r="C89" s="3" t="s">
        <v>51</v>
      </c>
      <c r="D89" t="s">
        <v>52</v>
      </c>
      <c r="E89" s="3" t="s">
        <v>225</v>
      </c>
      <c r="F89" s="3" t="s">
        <v>15</v>
      </c>
      <c r="G89" s="3" t="s">
        <v>226</v>
      </c>
      <c r="H89" s="3" t="s">
        <v>46</v>
      </c>
      <c r="I89" s="3" t="s">
        <v>7</v>
      </c>
      <c r="J89" s="3" t="s">
        <v>34</v>
      </c>
      <c r="K89" s="3" t="s">
        <v>53</v>
      </c>
      <c r="L89" s="3" t="s">
        <v>31</v>
      </c>
      <c r="M89">
        <v>1</v>
      </c>
    </row>
    <row r="90" spans="1:13" x14ac:dyDescent="0.25">
      <c r="A90" s="2">
        <v>46293</v>
      </c>
      <c r="B90" s="1" t="str">
        <f ca="1">IF(Información1[[#This Row],[Fecha]]='Ajuste de fechas'!$A$2,"Día actual","Día anterior")</f>
        <v>Día actual</v>
      </c>
      <c r="C90" s="3" t="s">
        <v>51</v>
      </c>
      <c r="D90" t="s">
        <v>52</v>
      </c>
      <c r="E90" s="3" t="s">
        <v>227</v>
      </c>
      <c r="F90" s="3" t="s">
        <v>56</v>
      </c>
      <c r="G90" s="3" t="s">
        <v>228</v>
      </c>
      <c r="H90" s="3" t="s">
        <v>46</v>
      </c>
      <c r="I90" s="3" t="s">
        <v>7</v>
      </c>
      <c r="J90" s="3" t="s">
        <v>30</v>
      </c>
      <c r="K90" s="3" t="s">
        <v>53</v>
      </c>
      <c r="L90" s="3" t="s">
        <v>31</v>
      </c>
      <c r="M90">
        <v>1</v>
      </c>
    </row>
    <row r="91" spans="1:13" x14ac:dyDescent="0.25">
      <c r="A91" s="2">
        <v>46293</v>
      </c>
      <c r="B91" s="1" t="str">
        <f ca="1">IF(Información1[[#This Row],[Fecha]]='Ajuste de fechas'!$A$2,"Día actual","Día anterior")</f>
        <v>Día actual</v>
      </c>
      <c r="C91" s="3" t="s">
        <v>51</v>
      </c>
      <c r="D91" t="s">
        <v>52</v>
      </c>
      <c r="E91" s="3" t="s">
        <v>229</v>
      </c>
      <c r="F91" s="3" t="s">
        <v>17</v>
      </c>
      <c r="G91" s="3" t="s">
        <v>161</v>
      </c>
      <c r="H91" s="3" t="s">
        <v>46</v>
      </c>
      <c r="I91" s="3" t="s">
        <v>7</v>
      </c>
      <c r="J91" s="3" t="s">
        <v>30</v>
      </c>
      <c r="K91" s="3" t="s">
        <v>53</v>
      </c>
      <c r="L91" s="3" t="s">
        <v>31</v>
      </c>
      <c r="M91">
        <v>1</v>
      </c>
    </row>
    <row r="92" spans="1:13" x14ac:dyDescent="0.25">
      <c r="A92" s="2">
        <v>46293</v>
      </c>
      <c r="B92" s="1" t="str">
        <f ca="1">IF(Información1[[#This Row],[Fecha]]='Ajuste de fechas'!$A$2,"Día actual","Día anterior")</f>
        <v>Día actual</v>
      </c>
      <c r="C92" s="3" t="s">
        <v>51</v>
      </c>
      <c r="D92" t="s">
        <v>52</v>
      </c>
      <c r="E92" s="3" t="s">
        <v>230</v>
      </c>
      <c r="F92" s="3" t="s">
        <v>18</v>
      </c>
      <c r="G92" s="3" t="s">
        <v>231</v>
      </c>
      <c r="H92" s="3" t="s">
        <v>46</v>
      </c>
      <c r="I92" s="3" t="s">
        <v>7</v>
      </c>
      <c r="J92" s="3" t="s">
        <v>35</v>
      </c>
      <c r="K92" s="3" t="s">
        <v>53</v>
      </c>
      <c r="L92" s="3" t="s">
        <v>31</v>
      </c>
      <c r="M92">
        <v>1</v>
      </c>
    </row>
    <row r="93" spans="1:13" x14ac:dyDescent="0.25">
      <c r="A93" s="2">
        <v>46293</v>
      </c>
      <c r="B93" s="1" t="str">
        <f ca="1">IF(Información1[[#This Row],[Fecha]]='Ajuste de fechas'!$A$2,"Día actual","Día anterior")</f>
        <v>Día actual</v>
      </c>
      <c r="C93" s="3" t="s">
        <v>51</v>
      </c>
      <c r="D93" t="s">
        <v>52</v>
      </c>
      <c r="E93" s="3" t="s">
        <v>232</v>
      </c>
      <c r="F93" s="3" t="s">
        <v>18</v>
      </c>
      <c r="G93" s="3" t="s">
        <v>70</v>
      </c>
      <c r="H93" s="3" t="s">
        <v>46</v>
      </c>
      <c r="I93" s="3" t="s">
        <v>7</v>
      </c>
      <c r="J93" s="3" t="s">
        <v>35</v>
      </c>
      <c r="K93" s="3" t="s">
        <v>53</v>
      </c>
      <c r="L93" s="3" t="s">
        <v>31</v>
      </c>
      <c r="M93">
        <v>1</v>
      </c>
    </row>
    <row r="94" spans="1:13" x14ac:dyDescent="0.25">
      <c r="A94" s="2">
        <v>46293</v>
      </c>
      <c r="B94" s="1" t="str">
        <f ca="1">IF(Información1[[#This Row],[Fecha]]='Ajuste de fechas'!$A$2,"Día actual","Día anterior")</f>
        <v>Día actual</v>
      </c>
      <c r="C94" s="3" t="s">
        <v>51</v>
      </c>
      <c r="D94" t="s">
        <v>52</v>
      </c>
      <c r="E94" s="3" t="s">
        <v>233</v>
      </c>
      <c r="F94" s="3" t="s">
        <v>15</v>
      </c>
      <c r="G94" s="3" t="s">
        <v>234</v>
      </c>
      <c r="H94" s="3" t="s">
        <v>46</v>
      </c>
      <c r="I94" s="3" t="s">
        <v>7</v>
      </c>
      <c r="J94" s="3" t="s">
        <v>34</v>
      </c>
      <c r="K94" s="3" t="s">
        <v>53</v>
      </c>
      <c r="L94" s="3" t="s">
        <v>31</v>
      </c>
      <c r="M94">
        <v>1</v>
      </c>
    </row>
    <row r="95" spans="1:13" x14ac:dyDescent="0.25">
      <c r="A95" s="2">
        <v>46293</v>
      </c>
      <c r="B95" s="1" t="str">
        <f ca="1">IF(Información1[[#This Row],[Fecha]]='Ajuste de fechas'!$A$2,"Día actual","Día anterior")</f>
        <v>Día actual</v>
      </c>
      <c r="C95" s="3" t="s">
        <v>51</v>
      </c>
      <c r="D95" t="s">
        <v>52</v>
      </c>
      <c r="E95" s="3" t="s">
        <v>235</v>
      </c>
      <c r="F95" s="3" t="s">
        <v>15</v>
      </c>
      <c r="G95" s="3" t="s">
        <v>236</v>
      </c>
      <c r="H95" s="3" t="s">
        <v>46</v>
      </c>
      <c r="I95" s="3" t="s">
        <v>7</v>
      </c>
      <c r="J95" s="3" t="s">
        <v>34</v>
      </c>
      <c r="K95" s="3" t="s">
        <v>53</v>
      </c>
      <c r="L95" s="3" t="s">
        <v>31</v>
      </c>
      <c r="M95">
        <v>1</v>
      </c>
    </row>
    <row r="96" spans="1:13" x14ac:dyDescent="0.25">
      <c r="A96" s="2">
        <v>46293</v>
      </c>
      <c r="B96" s="1" t="str">
        <f ca="1">IF(Información1[[#This Row],[Fecha]]='Ajuste de fechas'!$A$2,"Día actual","Día anterior")</f>
        <v>Día actual</v>
      </c>
      <c r="C96" s="3" t="s">
        <v>51</v>
      </c>
      <c r="D96" t="s">
        <v>52</v>
      </c>
      <c r="E96" s="3" t="s">
        <v>237</v>
      </c>
      <c r="F96" s="3" t="s">
        <v>18</v>
      </c>
      <c r="G96" s="3" t="s">
        <v>238</v>
      </c>
      <c r="H96" s="3" t="s">
        <v>46</v>
      </c>
      <c r="I96" s="3" t="s">
        <v>7</v>
      </c>
      <c r="J96" s="3" t="s">
        <v>35</v>
      </c>
      <c r="K96" s="3" t="s">
        <v>53</v>
      </c>
      <c r="L96" s="3" t="s">
        <v>31</v>
      </c>
      <c r="M96">
        <v>1</v>
      </c>
    </row>
    <row r="97" spans="1:13" x14ac:dyDescent="0.25">
      <c r="A97" s="2">
        <v>46293</v>
      </c>
      <c r="B97" s="1" t="str">
        <f ca="1">IF(Información1[[#This Row],[Fecha]]='Ajuste de fechas'!$A$2,"Día actual","Día anterior")</f>
        <v>Día actual</v>
      </c>
      <c r="C97" s="3" t="s">
        <v>51</v>
      </c>
      <c r="D97" t="s">
        <v>52</v>
      </c>
      <c r="E97" s="3" t="s">
        <v>239</v>
      </c>
      <c r="F97" s="3" t="s">
        <v>240</v>
      </c>
      <c r="G97" s="3" t="s">
        <v>82</v>
      </c>
      <c r="H97" s="3" t="s">
        <v>46</v>
      </c>
      <c r="I97" s="3" t="s">
        <v>7</v>
      </c>
      <c r="J97" s="3" t="s">
        <v>30</v>
      </c>
      <c r="K97" s="3" t="s">
        <v>53</v>
      </c>
      <c r="L97" s="3" t="s">
        <v>31</v>
      </c>
      <c r="M97">
        <v>1</v>
      </c>
    </row>
    <row r="98" spans="1:13" x14ac:dyDescent="0.25">
      <c r="A98" s="2">
        <v>46293</v>
      </c>
      <c r="B98" s="1" t="str">
        <f ca="1">IF(Información1[[#This Row],[Fecha]]='Ajuste de fechas'!$A$2,"Día actual","Día anterior")</f>
        <v>Día actual</v>
      </c>
      <c r="C98" s="3" t="s">
        <v>51</v>
      </c>
      <c r="D98" t="s">
        <v>52</v>
      </c>
      <c r="E98" s="3" t="s">
        <v>241</v>
      </c>
      <c r="F98" s="3" t="s">
        <v>22</v>
      </c>
      <c r="G98" s="3" t="s">
        <v>65</v>
      </c>
      <c r="H98" s="3" t="s">
        <v>46</v>
      </c>
      <c r="I98" s="3" t="s">
        <v>7</v>
      </c>
      <c r="J98" s="3" t="s">
        <v>30</v>
      </c>
      <c r="K98" s="3" t="s">
        <v>53</v>
      </c>
      <c r="L98" s="3" t="s">
        <v>31</v>
      </c>
      <c r="M98">
        <v>1</v>
      </c>
    </row>
    <row r="99" spans="1:13" x14ac:dyDescent="0.25">
      <c r="A99" s="2">
        <v>46293</v>
      </c>
      <c r="B99" s="1" t="str">
        <f ca="1">IF(Información1[[#This Row],[Fecha]]='Ajuste de fechas'!$A$2,"Día actual","Día anterior")</f>
        <v>Día actual</v>
      </c>
      <c r="C99" s="3" t="s">
        <v>8</v>
      </c>
      <c r="D99" t="s">
        <v>9</v>
      </c>
      <c r="E99" s="3" t="s">
        <v>242</v>
      </c>
      <c r="F99" s="3" t="s">
        <v>6</v>
      </c>
      <c r="G99" s="3" t="s">
        <v>64</v>
      </c>
      <c r="H99" s="3" t="s">
        <v>46</v>
      </c>
      <c r="I99" s="3" t="s">
        <v>21</v>
      </c>
      <c r="J99" s="3" t="s">
        <v>30</v>
      </c>
      <c r="K99" s="3" t="s">
        <v>11</v>
      </c>
      <c r="L99" s="3" t="s">
        <v>32</v>
      </c>
      <c r="M99">
        <v>1</v>
      </c>
    </row>
    <row r="100" spans="1:13" x14ac:dyDescent="0.25">
      <c r="A100" s="2">
        <v>46293</v>
      </c>
      <c r="B100" s="1" t="str">
        <f ca="1">IF(Información1[[#This Row],[Fecha]]='Ajuste de fechas'!$A$2,"Día actual","Día anterior")</f>
        <v>Día actual</v>
      </c>
      <c r="C100" s="3" t="s">
        <v>8</v>
      </c>
      <c r="D100" t="s">
        <v>9</v>
      </c>
      <c r="E100" s="3" t="s">
        <v>243</v>
      </c>
      <c r="F100" s="3" t="s">
        <v>6</v>
      </c>
      <c r="G100" s="3" t="s">
        <v>57</v>
      </c>
      <c r="H100" s="3" t="s">
        <v>46</v>
      </c>
      <c r="I100" s="3" t="s">
        <v>21</v>
      </c>
      <c r="J100" s="3" t="s">
        <v>30</v>
      </c>
      <c r="K100" s="3" t="s">
        <v>59</v>
      </c>
      <c r="L100" s="3" t="s">
        <v>32</v>
      </c>
      <c r="M100">
        <v>1</v>
      </c>
    </row>
    <row r="101" spans="1:13" x14ac:dyDescent="0.25">
      <c r="A101" s="2">
        <v>46293</v>
      </c>
      <c r="B101" s="1" t="str">
        <f ca="1">IF(Información1[[#This Row],[Fecha]]='Ajuste de fechas'!$A$2,"Día actual","Día anterior")</f>
        <v>Día actual</v>
      </c>
      <c r="C101" s="3" t="s">
        <v>8</v>
      </c>
      <c r="D101" t="s">
        <v>9</v>
      </c>
      <c r="E101" s="3" t="s">
        <v>244</v>
      </c>
      <c r="F101" s="3" t="s">
        <v>6</v>
      </c>
      <c r="G101" s="3" t="s">
        <v>85</v>
      </c>
      <c r="H101" s="3" t="s">
        <v>46</v>
      </c>
      <c r="I101" s="3" t="s">
        <v>21</v>
      </c>
      <c r="J101" s="3" t="s">
        <v>30</v>
      </c>
      <c r="K101" s="3" t="s">
        <v>59</v>
      </c>
      <c r="L101" s="3" t="s">
        <v>32</v>
      </c>
      <c r="M101">
        <v>1</v>
      </c>
    </row>
    <row r="102" spans="1:13" x14ac:dyDescent="0.25">
      <c r="A102" s="2">
        <v>46293</v>
      </c>
      <c r="B102" s="1" t="str">
        <f ca="1">IF(Información1[[#This Row],[Fecha]]='Ajuste de fechas'!$A$2,"Día actual","Día anterior")</f>
        <v>Día actual</v>
      </c>
      <c r="C102" s="3" t="s">
        <v>8</v>
      </c>
      <c r="D102" t="s">
        <v>9</v>
      </c>
      <c r="E102" s="3" t="s">
        <v>245</v>
      </c>
      <c r="F102" s="3" t="s">
        <v>42</v>
      </c>
      <c r="G102" s="3" t="s">
        <v>64</v>
      </c>
      <c r="H102" s="3" t="s">
        <v>46</v>
      </c>
      <c r="I102" s="3" t="s">
        <v>21</v>
      </c>
      <c r="J102" s="3" t="s">
        <v>30</v>
      </c>
      <c r="K102" s="3" t="s">
        <v>59</v>
      </c>
      <c r="L102" s="3" t="s">
        <v>32</v>
      </c>
      <c r="M102">
        <v>1</v>
      </c>
    </row>
    <row r="103" spans="1:13" x14ac:dyDescent="0.25">
      <c r="A103" s="2">
        <v>46293</v>
      </c>
      <c r="B103" s="1" t="str">
        <f ca="1">IF(Información1[[#This Row],[Fecha]]='Ajuste de fechas'!$A$2,"Día actual","Día anterior")</f>
        <v>Día actual</v>
      </c>
      <c r="C103" s="3" t="s">
        <v>8</v>
      </c>
      <c r="D103" t="s">
        <v>9</v>
      </c>
      <c r="E103" s="3" t="s">
        <v>246</v>
      </c>
      <c r="F103" s="3" t="s">
        <v>17</v>
      </c>
      <c r="G103" s="3" t="s">
        <v>44</v>
      </c>
      <c r="H103" s="3" t="s">
        <v>46</v>
      </c>
      <c r="I103" s="3" t="s">
        <v>21</v>
      </c>
      <c r="J103" s="3" t="s">
        <v>30</v>
      </c>
      <c r="K103" s="3" t="s">
        <v>11</v>
      </c>
      <c r="L103" s="3" t="s">
        <v>32</v>
      </c>
      <c r="M103">
        <v>1</v>
      </c>
    </row>
    <row r="104" spans="1:13" x14ac:dyDescent="0.25">
      <c r="A104" s="2">
        <v>46293</v>
      </c>
      <c r="B104" s="1" t="str">
        <f ca="1">IF(Información1[[#This Row],[Fecha]]='Ajuste de fechas'!$A$2,"Día actual","Día anterior")</f>
        <v>Día actual</v>
      </c>
      <c r="C104" s="3" t="s">
        <v>8</v>
      </c>
      <c r="D104" t="s">
        <v>9</v>
      </c>
      <c r="E104" s="3" t="s">
        <v>247</v>
      </c>
      <c r="F104" s="3" t="s">
        <v>17</v>
      </c>
      <c r="G104" s="3" t="s">
        <v>44</v>
      </c>
      <c r="H104" s="3" t="s">
        <v>46</v>
      </c>
      <c r="I104" s="3" t="s">
        <v>21</v>
      </c>
      <c r="J104" s="3" t="s">
        <v>30</v>
      </c>
      <c r="K104" s="3" t="s">
        <v>59</v>
      </c>
      <c r="L104" s="3" t="s">
        <v>32</v>
      </c>
      <c r="M104">
        <v>1</v>
      </c>
    </row>
    <row r="105" spans="1:13" x14ac:dyDescent="0.25">
      <c r="A105" s="2">
        <v>46293</v>
      </c>
      <c r="B105" s="1" t="str">
        <f ca="1">IF(Información1[[#This Row],[Fecha]]='Ajuste de fechas'!$A$2,"Día actual","Día anterior")</f>
        <v>Día actual</v>
      </c>
      <c r="C105" s="3" t="s">
        <v>8</v>
      </c>
      <c r="D105" t="s">
        <v>9</v>
      </c>
      <c r="E105" s="3" t="s">
        <v>248</v>
      </c>
      <c r="F105" s="3" t="s">
        <v>18</v>
      </c>
      <c r="G105" s="3" t="s">
        <v>67</v>
      </c>
      <c r="H105" s="3" t="s">
        <v>46</v>
      </c>
      <c r="I105" s="3" t="s">
        <v>7</v>
      </c>
      <c r="J105" s="3" t="s">
        <v>35</v>
      </c>
      <c r="K105" s="3" t="s">
        <v>11</v>
      </c>
      <c r="L105" s="3" t="s">
        <v>31</v>
      </c>
      <c r="M105">
        <v>1</v>
      </c>
    </row>
    <row r="106" spans="1:13" x14ac:dyDescent="0.25">
      <c r="A106" s="2">
        <v>46293</v>
      </c>
      <c r="B106" s="1" t="str">
        <f ca="1">IF(Información1[[#This Row],[Fecha]]='Ajuste de fechas'!$A$2,"Día actual","Día anterior")</f>
        <v>Día actual</v>
      </c>
      <c r="C106" s="3" t="s">
        <v>8</v>
      </c>
      <c r="D106" t="s">
        <v>9</v>
      </c>
      <c r="E106" s="3" t="s">
        <v>249</v>
      </c>
      <c r="F106" s="3" t="s">
        <v>18</v>
      </c>
      <c r="G106" s="3" t="s">
        <v>250</v>
      </c>
      <c r="H106" s="3" t="s">
        <v>46</v>
      </c>
      <c r="I106" s="3" t="s">
        <v>7</v>
      </c>
      <c r="J106" s="3" t="s">
        <v>35</v>
      </c>
      <c r="K106" s="3" t="s">
        <v>11</v>
      </c>
      <c r="L106" s="3" t="s">
        <v>31</v>
      </c>
      <c r="M106">
        <v>1</v>
      </c>
    </row>
    <row r="107" spans="1:13" x14ac:dyDescent="0.25">
      <c r="A107" s="2">
        <v>46293</v>
      </c>
      <c r="B107" s="1" t="str">
        <f ca="1">IF(Información1[[#This Row],[Fecha]]='Ajuste de fechas'!$A$2,"Día actual","Día anterior")</f>
        <v>Día actual</v>
      </c>
      <c r="C107" s="3" t="s">
        <v>8</v>
      </c>
      <c r="D107" t="s">
        <v>9</v>
      </c>
      <c r="E107" s="3" t="s">
        <v>251</v>
      </c>
      <c r="F107" s="3" t="s">
        <v>18</v>
      </c>
      <c r="G107" s="3" t="s">
        <v>86</v>
      </c>
      <c r="H107" s="3" t="s">
        <v>46</v>
      </c>
      <c r="I107" s="3" t="s">
        <v>7</v>
      </c>
      <c r="J107" s="3" t="s">
        <v>35</v>
      </c>
      <c r="K107" s="3" t="s">
        <v>11</v>
      </c>
      <c r="L107" s="3" t="s">
        <v>31</v>
      </c>
      <c r="M107">
        <v>1</v>
      </c>
    </row>
    <row r="108" spans="1:13" x14ac:dyDescent="0.25">
      <c r="A108" s="2">
        <v>46293</v>
      </c>
      <c r="B108" s="1" t="str">
        <f ca="1">IF(Información1[[#This Row],[Fecha]]='Ajuste de fechas'!$A$2,"Día actual","Día anterior")</f>
        <v>Día actual</v>
      </c>
      <c r="C108" s="3" t="s">
        <v>8</v>
      </c>
      <c r="D108" t="s">
        <v>9</v>
      </c>
      <c r="E108" s="3" t="s">
        <v>252</v>
      </c>
      <c r="F108" s="3" t="s">
        <v>13</v>
      </c>
      <c r="G108" s="3" t="s">
        <v>253</v>
      </c>
      <c r="H108" s="3" t="s">
        <v>46</v>
      </c>
      <c r="I108" s="3" t="s">
        <v>7</v>
      </c>
      <c r="J108" s="3" t="s">
        <v>30</v>
      </c>
      <c r="K108" s="3" t="s">
        <v>11</v>
      </c>
      <c r="L108" s="3" t="s">
        <v>31</v>
      </c>
      <c r="M108">
        <v>1</v>
      </c>
    </row>
    <row r="109" spans="1:13" x14ac:dyDescent="0.25">
      <c r="A109" s="2">
        <v>46293</v>
      </c>
      <c r="B109" s="1" t="str">
        <f ca="1">IF(Información1[[#This Row],[Fecha]]='Ajuste de fechas'!$A$2,"Día actual","Día anterior")</f>
        <v>Día actual</v>
      </c>
      <c r="C109" s="3" t="s">
        <v>8</v>
      </c>
      <c r="D109" t="s">
        <v>9</v>
      </c>
      <c r="E109" s="3" t="s">
        <v>254</v>
      </c>
      <c r="F109" s="3" t="s">
        <v>78</v>
      </c>
      <c r="G109" s="3" t="s">
        <v>255</v>
      </c>
      <c r="H109" s="3" t="s">
        <v>46</v>
      </c>
      <c r="I109" s="3" t="s">
        <v>7</v>
      </c>
      <c r="J109" s="3" t="s">
        <v>30</v>
      </c>
      <c r="K109" s="3" t="s">
        <v>11</v>
      </c>
      <c r="L109" s="3" t="s">
        <v>31</v>
      </c>
      <c r="M109">
        <v>1</v>
      </c>
    </row>
    <row r="110" spans="1:13" x14ac:dyDescent="0.25">
      <c r="A110" s="2">
        <v>46293</v>
      </c>
      <c r="B110" s="1" t="str">
        <f ca="1">IF(Información1[[#This Row],[Fecha]]='Ajuste de fechas'!$A$2,"Día actual","Día anterior")</f>
        <v>Día actual</v>
      </c>
      <c r="C110" s="3" t="s">
        <v>8</v>
      </c>
      <c r="D110" t="s">
        <v>9</v>
      </c>
      <c r="E110" s="3" t="s">
        <v>256</v>
      </c>
      <c r="F110" s="3" t="s">
        <v>257</v>
      </c>
      <c r="G110" s="3" t="s">
        <v>65</v>
      </c>
      <c r="H110" s="3" t="s">
        <v>46</v>
      </c>
      <c r="I110" s="3" t="s">
        <v>7</v>
      </c>
      <c r="J110" s="3" t="s">
        <v>30</v>
      </c>
      <c r="K110" s="3" t="s">
        <v>11</v>
      </c>
      <c r="L110" s="3" t="s">
        <v>31</v>
      </c>
      <c r="M110">
        <v>1</v>
      </c>
    </row>
    <row r="111" spans="1:13" x14ac:dyDescent="0.25">
      <c r="A111" s="2">
        <v>46293</v>
      </c>
      <c r="B111" s="1" t="str">
        <f ca="1">IF(Información1[[#This Row],[Fecha]]='Ajuste de fechas'!$A$2,"Día actual","Día anterior")</f>
        <v>Día actual</v>
      </c>
      <c r="C111" s="3" t="s">
        <v>8</v>
      </c>
      <c r="D111" t="s">
        <v>9</v>
      </c>
      <c r="E111" s="3" t="s">
        <v>258</v>
      </c>
      <c r="F111" s="3" t="s">
        <v>15</v>
      </c>
      <c r="G111" s="3" t="s">
        <v>23</v>
      </c>
      <c r="H111" s="3" t="s">
        <v>46</v>
      </c>
      <c r="I111" s="3" t="s">
        <v>7</v>
      </c>
      <c r="J111" s="3" t="s">
        <v>34</v>
      </c>
      <c r="K111" s="3" t="s">
        <v>11</v>
      </c>
      <c r="L111" s="3" t="s">
        <v>31</v>
      </c>
      <c r="M111">
        <v>1</v>
      </c>
    </row>
    <row r="112" spans="1:13" x14ac:dyDescent="0.25">
      <c r="A112" s="2">
        <v>46293</v>
      </c>
      <c r="B112" s="1" t="str">
        <f ca="1">IF(Información1[[#This Row],[Fecha]]='Ajuste de fechas'!$A$2,"Día actual","Día anterior")</f>
        <v>Día actual</v>
      </c>
      <c r="C112" s="3" t="s">
        <v>8</v>
      </c>
      <c r="D112" t="s">
        <v>9</v>
      </c>
      <c r="E112" s="3" t="s">
        <v>16</v>
      </c>
      <c r="F112" s="3" t="s">
        <v>15</v>
      </c>
      <c r="G112" s="3" t="s">
        <v>23</v>
      </c>
      <c r="H112" s="3" t="s">
        <v>46</v>
      </c>
      <c r="I112" s="3" t="s">
        <v>10</v>
      </c>
      <c r="J112" s="3" t="s">
        <v>34</v>
      </c>
      <c r="K112" s="3" t="s">
        <v>11</v>
      </c>
      <c r="L112" s="3" t="s">
        <v>32</v>
      </c>
      <c r="M112">
        <v>1</v>
      </c>
    </row>
    <row r="113" spans="1:13" x14ac:dyDescent="0.25">
      <c r="A113" s="2">
        <v>46293</v>
      </c>
      <c r="B113" s="1" t="str">
        <f ca="1">IF(Información1[[#This Row],[Fecha]]='Ajuste de fechas'!$A$2,"Día actual","Día anterior")</f>
        <v>Día actual</v>
      </c>
      <c r="C113" s="3" t="s">
        <v>8</v>
      </c>
      <c r="D113" t="s">
        <v>9</v>
      </c>
      <c r="E113" s="3" t="s">
        <v>14</v>
      </c>
      <c r="F113" s="3" t="s">
        <v>15</v>
      </c>
      <c r="G113" s="3" t="s">
        <v>23</v>
      </c>
      <c r="H113" s="3" t="s">
        <v>46</v>
      </c>
      <c r="I113" s="3" t="s">
        <v>10</v>
      </c>
      <c r="J113" s="3" t="s">
        <v>34</v>
      </c>
      <c r="K113" s="3" t="s">
        <v>11</v>
      </c>
      <c r="L113" s="3" t="s">
        <v>32</v>
      </c>
      <c r="M113">
        <v>1</v>
      </c>
    </row>
    <row r="114" spans="1:13" x14ac:dyDescent="0.25">
      <c r="A114" s="2">
        <v>46293</v>
      </c>
      <c r="B114" s="1" t="str">
        <f ca="1">IF(Información1[[#This Row],[Fecha]]='Ajuste de fechas'!$A$2,"Día actual","Día anterior")</f>
        <v>Día actual</v>
      </c>
      <c r="C114" s="3" t="s">
        <v>8</v>
      </c>
      <c r="D114" t="s">
        <v>9</v>
      </c>
      <c r="E114" s="3" t="s">
        <v>41</v>
      </c>
      <c r="F114" s="3" t="s">
        <v>39</v>
      </c>
      <c r="G114" s="3" t="s">
        <v>23</v>
      </c>
      <c r="H114" s="3" t="s">
        <v>46</v>
      </c>
      <c r="I114" s="3" t="s">
        <v>10</v>
      </c>
      <c r="J114" s="3" t="s">
        <v>20</v>
      </c>
      <c r="K114" s="3" t="s">
        <v>11</v>
      </c>
      <c r="L114" s="3" t="s">
        <v>32</v>
      </c>
      <c r="M114">
        <v>1</v>
      </c>
    </row>
    <row r="115" spans="1:13" x14ac:dyDescent="0.25">
      <c r="A115" s="2">
        <v>46293</v>
      </c>
      <c r="B115" s="1" t="str">
        <f ca="1">IF(Información1[[#This Row],[Fecha]]='Ajuste de fechas'!$A$2,"Día actual","Día anterior")</f>
        <v>Día actual</v>
      </c>
      <c r="C115" s="3" t="s">
        <v>8</v>
      </c>
      <c r="D115" t="s">
        <v>9</v>
      </c>
      <c r="E115" s="3" t="s">
        <v>43</v>
      </c>
      <c r="F115" s="3" t="s">
        <v>42</v>
      </c>
      <c r="G115" s="3" t="s">
        <v>23</v>
      </c>
      <c r="H115" s="3" t="s">
        <v>46</v>
      </c>
      <c r="I115" s="3" t="s">
        <v>10</v>
      </c>
      <c r="J115" s="3" t="s">
        <v>30</v>
      </c>
      <c r="K115" s="3" t="s">
        <v>11</v>
      </c>
      <c r="L115" s="3" t="s">
        <v>32</v>
      </c>
      <c r="M115">
        <v>1</v>
      </c>
    </row>
    <row r="116" spans="1:13" x14ac:dyDescent="0.25">
      <c r="A116" s="2">
        <v>46293</v>
      </c>
      <c r="B116" s="1" t="str">
        <f ca="1">IF(Información1[[#This Row],[Fecha]]='Ajuste de fechas'!$A$2,"Día actual","Día anterior")</f>
        <v>Día actual</v>
      </c>
      <c r="C116" s="3" t="s">
        <v>8</v>
      </c>
      <c r="D116" t="s">
        <v>9</v>
      </c>
      <c r="E116" s="3" t="s">
        <v>12</v>
      </c>
      <c r="F116" s="3" t="s">
        <v>13</v>
      </c>
      <c r="G116" s="3" t="s">
        <v>23</v>
      </c>
      <c r="H116" s="3" t="s">
        <v>46</v>
      </c>
      <c r="I116" s="3" t="s">
        <v>10</v>
      </c>
      <c r="J116" s="3" t="s">
        <v>30</v>
      </c>
      <c r="K116" s="3" t="s">
        <v>11</v>
      </c>
      <c r="L116" s="3" t="s">
        <v>32</v>
      </c>
      <c r="M116">
        <v>1</v>
      </c>
    </row>
    <row r="117" spans="1:13" x14ac:dyDescent="0.25">
      <c r="A117" s="2">
        <v>46293</v>
      </c>
      <c r="B117" s="1" t="str">
        <f ca="1">IF(Información1[[#This Row],[Fecha]]='Ajuste de fechas'!$A$2,"Día actual","Día anterior")</f>
        <v>Día actual</v>
      </c>
      <c r="C117" s="3" t="s">
        <v>8</v>
      </c>
      <c r="D117" t="s">
        <v>9</v>
      </c>
      <c r="E117" s="3" t="s">
        <v>58</v>
      </c>
      <c r="F117" s="3" t="s">
        <v>6</v>
      </c>
      <c r="G117" s="3" t="s">
        <v>23</v>
      </c>
      <c r="H117" s="3" t="s">
        <v>46</v>
      </c>
      <c r="I117" s="3" t="s">
        <v>10</v>
      </c>
      <c r="J117" s="3" t="s">
        <v>30</v>
      </c>
      <c r="K117" s="3" t="s">
        <v>11</v>
      </c>
      <c r="L117" s="3" t="s">
        <v>32</v>
      </c>
      <c r="M117">
        <v>1</v>
      </c>
    </row>
    <row r="118" spans="1:13" x14ac:dyDescent="0.25">
      <c r="A118" s="2">
        <v>46293</v>
      </c>
      <c r="B118" s="1" t="str">
        <f ca="1">IF(Información1[[#This Row],[Fecha]]='Ajuste de fechas'!$A$2,"Día actual","Día anterior")</f>
        <v>Día actual</v>
      </c>
      <c r="C118" s="3" t="s">
        <v>47</v>
      </c>
      <c r="D118" t="s">
        <v>55</v>
      </c>
      <c r="E118" s="3" t="s">
        <v>160</v>
      </c>
      <c r="F118" s="3" t="s">
        <v>17</v>
      </c>
      <c r="G118" s="3" t="s">
        <v>161</v>
      </c>
      <c r="H118" s="3" t="s">
        <v>46</v>
      </c>
      <c r="I118" s="3" t="s">
        <v>7</v>
      </c>
      <c r="J118" s="3" t="s">
        <v>30</v>
      </c>
      <c r="K118" s="3" t="s">
        <v>49</v>
      </c>
      <c r="L118" s="3" t="s">
        <v>33</v>
      </c>
      <c r="M118">
        <v>1</v>
      </c>
    </row>
    <row r="119" spans="1:13" x14ac:dyDescent="0.25">
      <c r="A119" s="2">
        <v>46293</v>
      </c>
      <c r="B119" s="1" t="str">
        <f ca="1">IF(Información1[[#This Row],[Fecha]]='Ajuste de fechas'!$A$2,"Día actual","Día anterior")</f>
        <v>Día actual</v>
      </c>
      <c r="C119" s="3" t="s">
        <v>47</v>
      </c>
      <c r="D119" t="s">
        <v>55</v>
      </c>
      <c r="E119" s="3" t="s">
        <v>259</v>
      </c>
      <c r="F119" s="3" t="s">
        <v>56</v>
      </c>
      <c r="G119" s="3" t="s">
        <v>260</v>
      </c>
      <c r="H119" s="3" t="s">
        <v>46</v>
      </c>
      <c r="I119" s="3" t="s">
        <v>7</v>
      </c>
      <c r="J119" s="3" t="s">
        <v>30</v>
      </c>
      <c r="K119" s="3" t="s">
        <v>49</v>
      </c>
      <c r="L119" s="3" t="s">
        <v>31</v>
      </c>
      <c r="M119">
        <v>1</v>
      </c>
    </row>
    <row r="120" spans="1:13" x14ac:dyDescent="0.25">
      <c r="A120" s="2">
        <v>46293</v>
      </c>
      <c r="B120" s="1" t="str">
        <f ca="1">IF(Información1[[#This Row],[Fecha]]='Ajuste de fechas'!$A$2,"Día actual","Día anterior")</f>
        <v>Día actual</v>
      </c>
      <c r="C120" s="3" t="s">
        <v>47</v>
      </c>
      <c r="D120" t="s">
        <v>55</v>
      </c>
      <c r="E120" s="3" t="s">
        <v>261</v>
      </c>
      <c r="F120" s="3" t="s">
        <v>54</v>
      </c>
      <c r="G120" s="3" t="s">
        <v>262</v>
      </c>
      <c r="H120" s="3" t="s">
        <v>46</v>
      </c>
      <c r="I120" s="3" t="s">
        <v>7</v>
      </c>
      <c r="J120" s="3" t="s">
        <v>30</v>
      </c>
      <c r="K120" s="3" t="s">
        <v>49</v>
      </c>
      <c r="L120" s="3" t="s">
        <v>31</v>
      </c>
      <c r="M120">
        <v>1</v>
      </c>
    </row>
    <row r="121" spans="1:13" x14ac:dyDescent="0.25">
      <c r="A121" s="2">
        <v>46293</v>
      </c>
      <c r="B121" s="1" t="str">
        <f ca="1">IF(Información1[[#This Row],[Fecha]]='Ajuste de fechas'!$A$2,"Día actual","Día anterior")</f>
        <v>Día actual</v>
      </c>
      <c r="C121" s="3" t="s">
        <v>47</v>
      </c>
      <c r="D121" t="s">
        <v>55</v>
      </c>
      <c r="E121" s="3" t="s">
        <v>263</v>
      </c>
      <c r="F121" s="3" t="s">
        <v>15</v>
      </c>
      <c r="G121" s="3" t="s">
        <v>264</v>
      </c>
      <c r="H121" s="3" t="s">
        <v>46</v>
      </c>
      <c r="I121" s="3" t="s">
        <v>7</v>
      </c>
      <c r="J121" s="3" t="s">
        <v>34</v>
      </c>
      <c r="K121" s="3" t="s">
        <v>49</v>
      </c>
      <c r="L121" s="3" t="s">
        <v>31</v>
      </c>
      <c r="M121">
        <v>1</v>
      </c>
    </row>
    <row r="122" spans="1:13" x14ac:dyDescent="0.25">
      <c r="A122" s="2">
        <v>46293</v>
      </c>
      <c r="B122" s="1" t="str">
        <f ca="1">IF(Información1[[#This Row],[Fecha]]='Ajuste de fechas'!$A$2,"Día actual","Día anterior")</f>
        <v>Día actual</v>
      </c>
      <c r="C122" s="3" t="s">
        <v>47</v>
      </c>
      <c r="D122" t="s">
        <v>55</v>
      </c>
      <c r="E122" s="3" t="s">
        <v>265</v>
      </c>
      <c r="F122" s="3" t="s">
        <v>15</v>
      </c>
      <c r="G122" s="3" t="s">
        <v>65</v>
      </c>
      <c r="H122" s="3" t="s">
        <v>46</v>
      </c>
      <c r="I122" s="3" t="s">
        <v>7</v>
      </c>
      <c r="J122" s="3" t="s">
        <v>34</v>
      </c>
      <c r="K122" s="3" t="s">
        <v>49</v>
      </c>
      <c r="L122" s="3" t="s">
        <v>31</v>
      </c>
      <c r="M122">
        <v>1</v>
      </c>
    </row>
    <row r="123" spans="1:13" x14ac:dyDescent="0.25">
      <c r="A123" s="2">
        <v>46293</v>
      </c>
      <c r="B123" s="1" t="str">
        <f ca="1">IF(Información1[[#This Row],[Fecha]]='Ajuste de fechas'!$A$2,"Día actual","Día anterior")</f>
        <v>Día actual</v>
      </c>
      <c r="C123" s="3" t="s">
        <v>47</v>
      </c>
      <c r="D123" t="s">
        <v>55</v>
      </c>
      <c r="E123" s="3" t="s">
        <v>266</v>
      </c>
      <c r="F123" s="3" t="s">
        <v>15</v>
      </c>
      <c r="G123" s="3" t="s">
        <v>267</v>
      </c>
      <c r="H123" s="3" t="s">
        <v>46</v>
      </c>
      <c r="I123" s="3" t="s">
        <v>7</v>
      </c>
      <c r="J123" s="3" t="s">
        <v>34</v>
      </c>
      <c r="K123" s="3" t="s">
        <v>49</v>
      </c>
      <c r="L123" s="3" t="s">
        <v>31</v>
      </c>
      <c r="M123">
        <v>1</v>
      </c>
    </row>
    <row r="124" spans="1:13" x14ac:dyDescent="0.25">
      <c r="A124" s="2">
        <v>46293</v>
      </c>
      <c r="B124" s="1" t="str">
        <f ca="1">IF(Información1[[#This Row],[Fecha]]='Ajuste de fechas'!$A$2,"Día actual","Día anterior")</f>
        <v>Día actual</v>
      </c>
      <c r="C124" s="3" t="s">
        <v>76</v>
      </c>
      <c r="D124" t="s">
        <v>77</v>
      </c>
      <c r="E124" s="3" t="s">
        <v>268</v>
      </c>
      <c r="F124" s="3" t="s">
        <v>13</v>
      </c>
      <c r="G124" s="3" t="s">
        <v>253</v>
      </c>
      <c r="H124" s="3" t="s">
        <v>46</v>
      </c>
      <c r="I124" s="3" t="s">
        <v>7</v>
      </c>
      <c r="J124" s="3" t="s">
        <v>30</v>
      </c>
      <c r="K124" s="3" t="s">
        <v>79</v>
      </c>
      <c r="L124" s="3" t="s">
        <v>33</v>
      </c>
      <c r="M124">
        <v>1</v>
      </c>
    </row>
    <row r="125" spans="1:13" x14ac:dyDescent="0.25">
      <c r="A125" s="2">
        <v>46293</v>
      </c>
      <c r="B125" s="1" t="str">
        <f ca="1">IF(Información1[[#This Row],[Fecha]]='Ajuste de fechas'!$A$2,"Día actual","Día anterior")</f>
        <v>Día actual</v>
      </c>
      <c r="C125" s="3" t="s">
        <v>76</v>
      </c>
      <c r="D125" t="s">
        <v>77</v>
      </c>
      <c r="E125" s="3" t="s">
        <v>269</v>
      </c>
      <c r="F125" s="3" t="s">
        <v>56</v>
      </c>
      <c r="G125" s="3" t="s">
        <v>260</v>
      </c>
      <c r="H125" s="3" t="s">
        <v>46</v>
      </c>
      <c r="I125" s="3" t="s">
        <v>7</v>
      </c>
      <c r="J125" s="3" t="s">
        <v>30</v>
      </c>
      <c r="K125" s="3" t="s">
        <v>79</v>
      </c>
      <c r="L125" s="3" t="s">
        <v>31</v>
      </c>
      <c r="M125">
        <v>1</v>
      </c>
    </row>
    <row r="126" spans="1:13" x14ac:dyDescent="0.25">
      <c r="A126" s="2">
        <v>46293</v>
      </c>
      <c r="B126" s="1" t="str">
        <f ca="1">IF(Información1[[#This Row],[Fecha]]='Ajuste de fechas'!$A$2,"Día actual","Día anterior")</f>
        <v>Día actual</v>
      </c>
      <c r="C126" s="3" t="s">
        <v>76</v>
      </c>
      <c r="D126" t="s">
        <v>77</v>
      </c>
      <c r="E126" s="3" t="s">
        <v>270</v>
      </c>
      <c r="F126" s="3" t="s">
        <v>56</v>
      </c>
      <c r="G126" s="3" t="s">
        <v>228</v>
      </c>
      <c r="H126" s="3" t="s">
        <v>46</v>
      </c>
      <c r="I126" s="3" t="s">
        <v>7</v>
      </c>
      <c r="J126" s="3" t="s">
        <v>30</v>
      </c>
      <c r="K126" s="3" t="s">
        <v>79</v>
      </c>
      <c r="L126" s="3" t="s">
        <v>33</v>
      </c>
      <c r="M126">
        <v>1</v>
      </c>
    </row>
    <row r="127" spans="1:13" x14ac:dyDescent="0.25">
      <c r="A127" s="2">
        <v>46293</v>
      </c>
      <c r="B127" s="1" t="str">
        <f ca="1">IF(Información1[[#This Row],[Fecha]]='Ajuste de fechas'!$A$2,"Día actual","Día anterior")</f>
        <v>Día actual</v>
      </c>
      <c r="C127" s="3" t="s">
        <v>76</v>
      </c>
      <c r="D127" t="s">
        <v>77</v>
      </c>
      <c r="E127" s="3" t="s">
        <v>271</v>
      </c>
      <c r="F127" s="3" t="s">
        <v>22</v>
      </c>
      <c r="G127" s="3" t="s">
        <v>65</v>
      </c>
      <c r="H127" s="3" t="s">
        <v>46</v>
      </c>
      <c r="I127" s="3" t="s">
        <v>7</v>
      </c>
      <c r="J127" s="3" t="s">
        <v>30</v>
      </c>
      <c r="K127" s="3" t="s">
        <v>79</v>
      </c>
      <c r="L127" s="3" t="s">
        <v>33</v>
      </c>
      <c r="M127">
        <v>1</v>
      </c>
    </row>
    <row r="128" spans="1:13" x14ac:dyDescent="0.25">
      <c r="A128" s="2">
        <v>46293</v>
      </c>
      <c r="B128" s="1" t="str">
        <f ca="1">IF(Información1[[#This Row],[Fecha]]='Ajuste de fechas'!$A$2,"Día actual","Día anterior")</f>
        <v>Día actual</v>
      </c>
      <c r="C128" s="3" t="s">
        <v>47</v>
      </c>
      <c r="D128" t="s">
        <v>48</v>
      </c>
      <c r="E128" s="3" t="s">
        <v>272</v>
      </c>
      <c r="F128" s="3" t="s">
        <v>78</v>
      </c>
      <c r="G128" s="3" t="s">
        <v>260</v>
      </c>
      <c r="H128" s="3" t="s">
        <v>46</v>
      </c>
      <c r="I128" s="3" t="s">
        <v>7</v>
      </c>
      <c r="J128" s="3" t="s">
        <v>30</v>
      </c>
      <c r="K128" s="3" t="s">
        <v>50</v>
      </c>
      <c r="L128" s="3" t="s">
        <v>31</v>
      </c>
      <c r="M128">
        <v>1</v>
      </c>
    </row>
    <row r="129" spans="1:13" x14ac:dyDescent="0.25">
      <c r="A129" s="2">
        <v>46293</v>
      </c>
      <c r="B129" s="1" t="str">
        <f ca="1">IF(Información1[[#This Row],[Fecha]]='Ajuste de fechas'!$A$2,"Día actual","Día anterior")</f>
        <v>Día actual</v>
      </c>
      <c r="C129" s="3" t="s">
        <v>47</v>
      </c>
      <c r="D129" t="s">
        <v>48</v>
      </c>
      <c r="E129" s="3" t="s">
        <v>273</v>
      </c>
      <c r="F129" s="3" t="s">
        <v>20</v>
      </c>
      <c r="G129" s="3" t="s">
        <v>274</v>
      </c>
      <c r="H129" s="3" t="s">
        <v>46</v>
      </c>
      <c r="I129" s="3" t="s">
        <v>7</v>
      </c>
      <c r="J129" s="3" t="s">
        <v>20</v>
      </c>
      <c r="K129" s="3" t="s">
        <v>49</v>
      </c>
      <c r="L129" s="3" t="s">
        <v>40</v>
      </c>
      <c r="M129">
        <v>1</v>
      </c>
    </row>
    <row r="130" spans="1:13" x14ac:dyDescent="0.25">
      <c r="A130" s="2">
        <v>46293</v>
      </c>
      <c r="B130" s="1" t="str">
        <f ca="1">IF(Información1[[#This Row],[Fecha]]='Ajuste de fechas'!$A$2,"Día actual","Día anterior")</f>
        <v>Día actual</v>
      </c>
      <c r="C130" s="3" t="s">
        <v>47</v>
      </c>
      <c r="D130" t="s">
        <v>48</v>
      </c>
      <c r="E130" s="3" t="s">
        <v>275</v>
      </c>
      <c r="F130" s="3" t="s">
        <v>60</v>
      </c>
      <c r="G130" s="3" t="s">
        <v>260</v>
      </c>
      <c r="H130" s="3" t="s">
        <v>46</v>
      </c>
      <c r="I130" s="3" t="s">
        <v>7</v>
      </c>
      <c r="J130" s="3" t="s">
        <v>30</v>
      </c>
      <c r="K130" s="3" t="s">
        <v>50</v>
      </c>
      <c r="L130" s="3" t="s">
        <v>31</v>
      </c>
      <c r="M130">
        <v>1</v>
      </c>
    </row>
    <row r="131" spans="1:13" x14ac:dyDescent="0.25">
      <c r="A131" s="2">
        <v>46293</v>
      </c>
      <c r="B131" s="1" t="str">
        <f ca="1">IF(Información1[[#This Row],[Fecha]]='Ajuste de fechas'!$A$2,"Día actual","Día anterior")</f>
        <v>Día actual</v>
      </c>
      <c r="C131" s="3" t="s">
        <v>47</v>
      </c>
      <c r="D131" t="s">
        <v>48</v>
      </c>
      <c r="E131" s="3" t="s">
        <v>276</v>
      </c>
      <c r="F131" s="3" t="s">
        <v>18</v>
      </c>
      <c r="G131" s="3" t="s">
        <v>277</v>
      </c>
      <c r="H131" s="3" t="s">
        <v>46</v>
      </c>
      <c r="I131" s="3" t="s">
        <v>21</v>
      </c>
      <c r="J131" s="3" t="s">
        <v>35</v>
      </c>
      <c r="K131" s="3" t="s">
        <v>49</v>
      </c>
      <c r="L131" s="3" t="s">
        <v>31</v>
      </c>
      <c r="M131">
        <v>1</v>
      </c>
    </row>
    <row r="132" spans="1:13" x14ac:dyDescent="0.25">
      <c r="A132" s="2">
        <v>46293</v>
      </c>
      <c r="B132" s="1" t="str">
        <f ca="1">IF(Información1[[#This Row],[Fecha]]='Ajuste de fechas'!$A$2,"Día actual","Día anterior")</f>
        <v>Día actual</v>
      </c>
      <c r="C132" s="3" t="s">
        <v>47</v>
      </c>
      <c r="D132" t="s">
        <v>48</v>
      </c>
      <c r="E132" s="3" t="s">
        <v>278</v>
      </c>
      <c r="F132" s="3" t="s">
        <v>279</v>
      </c>
      <c r="G132" s="3" t="s">
        <v>260</v>
      </c>
      <c r="H132" s="3" t="s">
        <v>46</v>
      </c>
      <c r="I132" s="3" t="s">
        <v>7</v>
      </c>
      <c r="J132" s="3" t="s">
        <v>30</v>
      </c>
      <c r="K132" s="3" t="s">
        <v>50</v>
      </c>
      <c r="L132" s="3" t="s">
        <v>31</v>
      </c>
      <c r="M132">
        <v>1</v>
      </c>
    </row>
    <row r="133" spans="1:13" x14ac:dyDescent="0.25">
      <c r="A133" s="2">
        <v>46293</v>
      </c>
      <c r="B133" s="1" t="str">
        <f ca="1">IF(Información1[[#This Row],[Fecha]]='Ajuste de fechas'!$A$2,"Día actual","Día anterior")</f>
        <v>Día actual</v>
      </c>
      <c r="C133" s="3" t="s">
        <v>47</v>
      </c>
      <c r="D133" t="s">
        <v>48</v>
      </c>
      <c r="E133" s="3" t="s">
        <v>280</v>
      </c>
      <c r="F133" s="3" t="s">
        <v>15</v>
      </c>
      <c r="G133" s="3" t="s">
        <v>206</v>
      </c>
      <c r="H133" s="3" t="s">
        <v>46</v>
      </c>
      <c r="I133" s="3" t="s">
        <v>7</v>
      </c>
      <c r="J133" s="3" t="s">
        <v>34</v>
      </c>
      <c r="K133" s="3" t="s">
        <v>49</v>
      </c>
      <c r="L133" s="3" t="s">
        <v>281</v>
      </c>
      <c r="M133">
        <v>1</v>
      </c>
    </row>
    <row r="134" spans="1:13" x14ac:dyDescent="0.25">
      <c r="A134" s="2">
        <v>46293</v>
      </c>
      <c r="B134" s="1" t="str">
        <f ca="1">IF(Información1[[#This Row],[Fecha]]='Ajuste de fechas'!$A$2,"Día actual","Día anterior")</f>
        <v>Día actual</v>
      </c>
      <c r="C134" s="3" t="s">
        <v>47</v>
      </c>
      <c r="D134" t="s">
        <v>48</v>
      </c>
      <c r="E134" s="3" t="s">
        <v>282</v>
      </c>
      <c r="F134" s="3" t="s">
        <v>39</v>
      </c>
      <c r="G134" s="3" t="s">
        <v>61</v>
      </c>
      <c r="H134" s="3" t="s">
        <v>46</v>
      </c>
      <c r="I134" s="3" t="s">
        <v>7</v>
      </c>
      <c r="J134" s="3" t="s">
        <v>20</v>
      </c>
      <c r="K134" s="3" t="s">
        <v>50</v>
      </c>
      <c r="L134" s="3" t="s">
        <v>32</v>
      </c>
      <c r="M134">
        <v>1</v>
      </c>
    </row>
    <row r="135" spans="1:13" x14ac:dyDescent="0.25">
      <c r="A135" s="2">
        <v>46293</v>
      </c>
      <c r="B135" s="1" t="str">
        <f ca="1">IF(Información1[[#This Row],[Fecha]]='Ajuste de fechas'!$A$2,"Día actual","Día anterior")</f>
        <v>Día actual</v>
      </c>
      <c r="C135" s="3" t="s">
        <v>47</v>
      </c>
      <c r="D135" t="s">
        <v>48</v>
      </c>
      <c r="E135" s="3" t="s">
        <v>283</v>
      </c>
      <c r="F135" s="3" t="s">
        <v>257</v>
      </c>
      <c r="G135" s="3" t="s">
        <v>71</v>
      </c>
      <c r="H135" s="3" t="s">
        <v>46</v>
      </c>
      <c r="I135" s="3" t="s">
        <v>7</v>
      </c>
      <c r="J135" s="3" t="s">
        <v>30</v>
      </c>
      <c r="K135" s="3" t="s">
        <v>50</v>
      </c>
      <c r="L135" s="3" t="s">
        <v>32</v>
      </c>
      <c r="M135">
        <v>1</v>
      </c>
    </row>
    <row r="136" spans="1:13" x14ac:dyDescent="0.25">
      <c r="A136" s="2">
        <v>46293</v>
      </c>
      <c r="B136" s="1" t="str">
        <f ca="1">IF(Información1[[#This Row],[Fecha]]='Ajuste de fechas'!$A$2,"Día actual","Día anterior")</f>
        <v>Día actual</v>
      </c>
      <c r="C136" s="3" t="s">
        <v>47</v>
      </c>
      <c r="D136" t="s">
        <v>48</v>
      </c>
      <c r="E136" s="3" t="s">
        <v>284</v>
      </c>
      <c r="F136" s="3" t="s">
        <v>20</v>
      </c>
      <c r="G136" s="3" t="s">
        <v>285</v>
      </c>
      <c r="H136" s="3" t="s">
        <v>46</v>
      </c>
      <c r="I136" s="3" t="s">
        <v>10</v>
      </c>
      <c r="J136" s="3" t="s">
        <v>20</v>
      </c>
      <c r="K136" s="3" t="s">
        <v>50</v>
      </c>
      <c r="L136" s="3" t="s">
        <v>31</v>
      </c>
      <c r="M13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46293</v>
      </c>
      <c r="B2" s="2">
        <f ca="1">A2-1</f>
        <v>46292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2026-09-28T22:48:05Z</dcterms:modified>
</cp:coreProperties>
</file>