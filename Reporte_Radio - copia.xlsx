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3B9A6E41-6C79-4A2D-BA10-600B7E3F7B2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 l="1"/>
  <c r="B4" i="2"/>
  <c r="B5" i="2"/>
  <c r="B6" i="2"/>
  <c r="B7" i="2"/>
  <c r="B8" i="2"/>
  <c r="B9" i="2"/>
  <c r="B10" i="2"/>
  <c r="B11" i="2"/>
  <c r="B12" i="2"/>
  <c r="B13" i="2"/>
  <c r="B14" i="2"/>
  <c r="B15" i="2"/>
  <c r="B16" i="2"/>
  <c r="B17" i="2"/>
  <c r="B18" i="2"/>
  <c r="B19" i="2"/>
  <c r="B20" i="2"/>
  <c r="B21" i="2"/>
  <c r="B22" i="2"/>
  <c r="B23" i="2"/>
  <c r="B24" i="2"/>
  <c r="B25" i="2"/>
  <c r="B26" i="2"/>
  <c r="B27" i="2"/>
  <c r="A2" i="1"/>
  <c r="B28" i="2" l="1"/>
  <c r="B29" i="2"/>
  <c r="B30" i="2"/>
  <c r="B31" i="2"/>
  <c r="B32" i="2"/>
  <c r="B33" i="2"/>
  <c r="B34" i="2"/>
  <c r="B35" i="2"/>
  <c r="B36" i="2"/>
  <c r="B37" i="2"/>
  <c r="B38" i="2"/>
  <c r="B39" i="2"/>
  <c r="B40" i="2"/>
  <c r="B56" i="2"/>
  <c r="B57" i="2"/>
  <c r="B58" i="2"/>
  <c r="B59" i="2"/>
  <c r="B60" i="2"/>
  <c r="B61" i="2"/>
  <c r="B62" i="2"/>
  <c r="B63" i="2"/>
  <c r="B64" i="2"/>
  <c r="B65" i="2"/>
  <c r="B66" i="2"/>
  <c r="B67" i="2"/>
  <c r="B68" i="2"/>
  <c r="B69" i="2"/>
  <c r="B70" i="2"/>
  <c r="B71" i="2"/>
  <c r="B72" i="2"/>
  <c r="B73" i="2"/>
  <c r="B74" i="2"/>
  <c r="B75" i="2"/>
  <c r="B76" i="2"/>
  <c r="B77" i="2"/>
  <c r="B78" i="2"/>
  <c r="B79" i="2"/>
  <c r="B80"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2" i="2"/>
  <c r="B41" i="2"/>
  <c r="B42" i="2"/>
  <c r="B43" i="2"/>
  <c r="B44" i="2"/>
  <c r="B45" i="2"/>
  <c r="B46" i="2"/>
  <c r="B47" i="2"/>
  <c r="B48" i="2"/>
  <c r="B49" i="2"/>
  <c r="B50" i="2"/>
  <c r="B51" i="2"/>
  <c r="B52" i="2"/>
  <c r="B53" i="2"/>
  <c r="B54" i="2"/>
  <c r="B55" i="2"/>
  <c r="B81"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<sst xmlns="http://schemas.openxmlformats.org/spreadsheetml/2006/main" count="1583" uniqueCount="292">
  <si>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</si>
  <si>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</si>
  <si>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</si>
  <si>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</si>
  <si>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</si>
  <si>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</si>
  <si>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</si>
  <si>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</si>
  <si>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</si>
  <si>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</si>
  <si>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</si>
  <si>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</si>
  <si>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</si>
  <si>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</si>
  <si>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</si>
  <si>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</si>
  <si>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</si>
  <si>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</si>
  <si>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</si>
  <si>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</si>
  <si>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</si>
  <si>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</si>
  <si>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</si>
  <si>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</si>
  <si>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</si>
  <si>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</si>
  <si>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</si>
  <si>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</si>
  <si>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Ke Buena 106.7 FM</t>
  </si>
  <si>
    <t>David Cárdenas</t>
  </si>
  <si>
    <t>Noticias 106.7</t>
  </si>
  <si>
    <t>Súper Stéreo 100.5 FM</t>
  </si>
  <si>
    <t>Rodolfo López</t>
  </si>
  <si>
    <t>Enfoque Regional Meridiano</t>
  </si>
  <si>
    <t>Enfoque Regional Matutino</t>
  </si>
  <si>
    <t>Juan Carlos Santamaria</t>
  </si>
  <si>
    <t>TV local</t>
  </si>
  <si>
    <t>Auxilio a la ciudadanía</t>
  </si>
  <si>
    <t>Canal del Pueblo</t>
  </si>
  <si>
    <t>Vocales Radio</t>
  </si>
  <si>
    <t>NQ 90.1 FM</t>
  </si>
  <si>
    <t>Jesús Riveros</t>
  </si>
  <si>
    <t>Enlace Hidalgo1</t>
  </si>
  <si>
    <t>Enlace Hidalgo2</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</si>
  <si>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</si>
  <si>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</si>
  <si>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</si>
  <si>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</si>
  <si>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</si>
  <si>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</si>
  <si>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</si>
  <si>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</si>
  <si>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</si>
  <si>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</si>
  <si>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</si>
  <si>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</si>
  <si>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</si>
  <si>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</si>
  <si>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</si>
  <si>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</si>
  <si>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</si>
  <si>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</si>
  <si>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</si>
  <si>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</si>
  <si>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</si>
  <si>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</si>
  <si>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</si>
  <si>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DIFH</t>
  </si>
  <si>
    <t>Eulalio Larrieta agradece a Edith Balderas de la Secretaria de Educación Pública.</t>
  </si>
  <si>
    <t>Radiodifusoras</t>
  </si>
  <si>
    <t>La Poderosa Tuxpan 93.1 FM</t>
  </si>
  <si>
    <t>Combate a la delincuencia</t>
  </si>
  <si>
    <t>Iniciativa</t>
  </si>
  <si>
    <t>Mosco Culex</t>
  </si>
  <si>
    <t>Hidalgo en Los Pinos</t>
  </si>
  <si>
    <t>Cultura</t>
  </si>
  <si>
    <t>NN Nuestras Noticias Zona Norte</t>
  </si>
  <si>
    <t>Liz Argüelles</t>
  </si>
  <si>
    <t>Aumento Tarifa De Transporte</t>
  </si>
  <si>
    <t>Entrevista pautada</t>
  </si>
  <si>
    <t>Huracán Priscilla</t>
  </si>
  <si>
    <t>Control lirio acuático</t>
  </si>
  <si>
    <t>Gobierno</t>
  </si>
  <si>
    <t>Abasto De Agua</t>
  </si>
  <si>
    <t>OCSAD</t>
  </si>
  <si>
    <t>PGJEH</t>
  </si>
  <si>
    <t>Semarnath</t>
  </si>
  <si>
    <t>Queja transporte público</t>
  </si>
  <si>
    <t>Congreso</t>
  </si>
  <si>
    <t>Combate Al Narcomenudeo</t>
  </si>
  <si>
    <t>Aprehensión</t>
  </si>
  <si>
    <t>Vía telefónica el reporte de Bombero y Protección Civil con Abner Yáñez informa que se atendieron incendios de pasto seco y basura, entre otras emergencias reportadas por la ciudadanía. Asimismo se atendieron dos incendios forestales.</t>
  </si>
  <si>
    <t>Gusano barrenador</t>
  </si>
  <si>
    <t>Eulalio Larrieta agradece a Carlos Gamiño por estar al pendiente de temas</t>
  </si>
  <si>
    <t>La Secretaría de Seguridad Pública, Tránsito y Vialidad de Pachuca informó que, gracias a una respuesta inmediata y coordinación interinstitucional, se logró la localización y resguardo de dos adolescentes que contaban con una ficha de búsqueda activa en la Ciudad de México. El hallazgo ocurrió en un inmueble de la colonia Santa Julia, específicamente sobre la calle Pasadizo, tras una solicitud de colaboración de las autoridades capitalinas. Este operativo representa un seguimiento exitoso a los protocolos de búsqueda regional. Recientemente, se ha intensificado la vigilancia en zonas residenciales de la capital hidalguense para detectar paraderos de personas reportadas como no localizadas en estados vecinos.</t>
  </si>
  <si>
    <t>Localización de persona</t>
  </si>
  <si>
    <t>Anuncia Edda Vite mejoras a los Centros de Rehabilitación Integral Regional en Hidalgo</t>
  </si>
  <si>
    <t>Cebaderos</t>
  </si>
  <si>
    <t>Día de la madre</t>
  </si>
  <si>
    <t>Ruta de la Transformación</t>
  </si>
  <si>
    <t>Incendios forestales</t>
  </si>
  <si>
    <t>Violencia Política De Género</t>
  </si>
  <si>
    <t>Rehabilitación CRIRH</t>
  </si>
  <si>
    <t>Hidalgo en los Pinos</t>
  </si>
  <si>
    <t>Tecnificación De Riego</t>
  </si>
  <si>
    <t>Zona Arqueológica</t>
  </si>
  <si>
    <t>Atención a la ciudadanía</t>
  </si>
  <si>
    <t>La Secretaría de Infraestructura Pública y Desarrollo Urbano Sostenible (SIPDUS) informa sobre la colocación de sellos por parte del Instituto Nacional de Antropología e Historia (INAH) en las luminarias instaladas frente a Casa Rule. La SIPDUS desarrolló los trabajos de acuerdo con los lineamientos establecidos por el INAH, reportando en todo momento respecto a las intervenciones en la calle de Morelos. A su vez, la instancia federal emitió un oficio en el cual establece que en el arroyo vehicular y banquetas no existe ningún elemento considerado como histórico. Derivado de lo anterior, se procedió a la instalación de 20 luminarias sobre la banqueta, para priorizar la seguridad de los transeúntes por la zona. Fue a partir de este hecho que el INAH detectó una obstrucción visual relacionada con la altura de las luminarias, pues no permitían la adecuada visibilidad del monumento histórico; no obstante, la integridad física de la estructura está intacta, así como sus características constructivas, por lo que esta intervención en la vialidad es técnicamente reversible.</t>
  </si>
  <si>
    <t>Luminarias</t>
  </si>
  <si>
    <t>Dos árboles cayeron al interior del jardín de niños Jardín de Niños Alfonso Cravioto Mejorada, con clave C.C.T. 13DJ0881D, la noche del miércoles 6 de mayo, debido a las fuertes ráfagas de viento registradas en la comunidad de Puerto México, municipio de San Agustín Tlaxiaca De acuerdo con la información proporcionada por autoridades educativas, el incidente ocurrió aproximadamente a las 7:00 de la noche, lo que generó preocupación entre personal docente y padres de familia ante los posibles riesgos para las niñas y los niños que acuden a la institución. Tras los hechos, se notificó a Protección Civil de San Agustín Tlaxiaca para solicitar la valoración de daños y el retiro de los árboles caídos; sin embargo, la dependencia respondió que acudiría conforme a sus prioridades de atención.</t>
  </si>
  <si>
    <t>Afectaciones Por Lluvias</t>
  </si>
  <si>
    <t>Julio Menchaca reafirma compromiso con el campo hidalguense en Atlapexco</t>
  </si>
  <si>
    <t>La Secretaría de Educación Pública de Hidalgo (SEPH) informó a la comunidad educativa estatal que, en cumplimiento del acuerdo nacional aprobado durante la LXVI Reunión Nacional Plenaria Ordinaria 2026 del Consejo Nacional de Autoridades Educativas (Conaedu), se realizarán ajustes al calendario escolar vigente para todos los niveles de Educación Básica y Media Superior. Como parte de las modificaciones, el ciclo escolar 2025-2026 concluirá el próximo 5 de junio, medida que responde a la necesidad de proteger a las comunidades escolares ante las altas temperaturas registradas en distintas regiones del país y a la organización del Mundial de Futbol 2026, garantizando al mismo tiempo el cumplimiento de los planes y programas de estudio. La dependencia estatal detalló que las labores administrativas de cierre finalizarán el 12 de junio, mientras que el inicio formal del ciclo escolar 2026-2027 será el 31 de agosto en todas las escuelas públicas y privadas incorporadas al Sistema Educativo Nacional.</t>
  </si>
  <si>
    <t>Modificación ciclo escolar</t>
  </si>
  <si>
    <t>Ya quedó controlado el incendio forestal en el Parque Los Mármoles. Sin embargo, la alcaldesa de Jacala estaba más preocupada por quién iba a atender incendio y no en atender el incendio. Quería que cada cubetada de agua pasara por su supervisión. querer politizar una emergencia de este tamaño no debería de suceder. Lo que se dijo por parte de la Conafor, la Secretaría de Gobernación y todos los organismo que atendieron la emergencia habló de la torpeza y la mala actitud de la alcaldesa que quería prácticamente echar personalmente cada cubetadas de agua. hizo videos y todo lo politizaba.</t>
  </si>
  <si>
    <t>Control de incendio</t>
  </si>
  <si>
    <t>La Secretaría del Medio Ambiente reiteró su compromiso para fortalecer los trabajos en contra del mosco culex que afecta a los habitan tes de la rivera de la presa Endhó.</t>
  </si>
  <si>
    <t>Ayer hubo un bloqueo parcial en la carretera Pachuca- Ciudad Sahagún por parte de vecinos e Xochihuacán que protestaban porque los canales de aguas negras no están entubados y muchas personas las usan como basureros, además de que presentan malos olores y genera un foco de infección. Las autoridades estatales y municipales entablaron un diálogo y se acordó iniciar los trabajos de limpieza de los canales.</t>
  </si>
  <si>
    <t>Andrés Torres informa que se quemó el transformador y no tienen electricidad, por lo que la señal del 1010 AM de El Vocero Huasteco está fuera del aire, pero sí se escuchan en 92.7 FM. Está fuera del aire desde hace casi un mes la estación insignia de la Radio Estatal, la que transmite en náhuatl y castellano. Se está trabajando para resolver la situación a casi un mes de sucedido esto.</t>
  </si>
  <si>
    <t>Tras la entrada en vigor del incremento a la tarifa del transporte público en modalidad colectivo, luego de su publicación en el Periódico Oficial del Estado de Hidalgo (POEH), el gobernador de, Julio Menchaca, aseguró que los concesionarios y transportistas deberán mejorar “de inmediato” el servicio que brindan a la ciudadanía. “Así como entró ya el aumento, pues a partir de ahorita tiene que haber mejoras inmediatamente, es una con otra”. Menchaca señaló que el ajuste tarifario ya es vigente tras su publicación en el POEH, sin embargo, dijo que solicitará a la Secretaría de Movilidad y Transporte (Semoth) que se exija la colocación visible de tarifarios en las unidades.</t>
  </si>
  <si>
    <t>Derivado de la coordinación interinstitucional y la respuesta inmediata de la Secretaría de Seguridad Pública, Tránsito y Vialidad Pachuca a través de la Dirección de Prevención del Delito, fueron localizados y resguardados dos adolescentes que contaban con ficha de búsqueda vigente en la Ciudad de México. Los hechos se registraron en un inmueble ubicado sobre la calle Pasadizo, en la colonia Santa Julia, donde elementos municipales desplegaron un operativo tras una solicitud de colaboración emitida por la Cédula de Búsqueda de Personas de la Policía de la Ciudad de México. Mediante labores de geolocalización se obtuvo información sobre la posible ubicación de los adolescentes identificados con las iniciales K.G.V., de 17 años, y C.E.M.F., de 16 años. Al arribar al lugar, se confirmó la presencia de dos jóvenes con características coincidentes con las fichas de búsqueda.</t>
  </si>
  <si>
    <t>Exigen localización de persona</t>
  </si>
  <si>
    <t>La mañana del jueves 7 de mayo, un hombre fue hallado sin vida en la Central de Abastos de Pachuca, ciudadanos dieron aviso. Autoridades se desplegaron en las inmediaciones de la Central de Abastos de Pachuca, luego del reporte de un hombre inconsciente sobre el camellón central del bulevar Rojo Gómez. Al sitio acudieron paramédicos y elementos de seguridad, quienes al realizar la valoración confirmaron que la persona ya no contaba con signos vitales. De acuerdo con los primeros reportes, el hombre no presentaba lesiones visibles, por lo que serán las investigaciones correspondientes las que determinen las causas del fallecimiento. La zona permaneció acordonada mientras autoridades y personal especializado realizaron las diligencias en el lugar, generando expectación entre comerciantes y personas que transitaban por el área.</t>
  </si>
  <si>
    <t>Localización de cuerpo</t>
  </si>
  <si>
    <t>Elementos de la Secretaría de Seguridad Pública de Hidalgo aprehendió a dos menores de edad presuntamente relacionados con una agresión con arma de fuego registrada en la colonia Barrio Alto, municipio de Tula de Allende. Tula de Allende, Hidalgo.- Lo anterior, derivado de un reporte recibido a través del número de emergencias 911, mediante el cual se alertó sobre una persona lesionada por disparo de arma de fuego. Elementos de la Policía Estatal implementaron un operativo que permitió el aseguramiento de los dos menores. Al arribar al lugar, los oficiales se entrevistaron con la persona lesionada, quien manifestó haber sido agredida por dos masculinos que viajaban a bordo de un vehículo tipo sedán color gris, resultando con una lesión en el pómulo derecho. Asimismo, refirió haber observado anteriormente a los presuntos responsables en la colonia Rinconada de Tultengo.</t>
  </si>
  <si>
    <t>El Gobierno Municipal de Actopan emitió un comunicado oficial para aclarar información difundida en distintos medios de comunicación respecto a una presunta investigación relacionada con una posible fosa clandestina en el municipio, señalando que dicha afirmación es falsa. De acuerdo con el reporte, durante las primeras horas del día se informó sobre la presencia de una piedra con características similares a una lápida en un predio ubicado sobre la calle Capulín, en la colonia Cañada Chica, motivo por el cual elementos de la Dirección General de Seguridad Pública y Tránsito Municipal acudieron al lugar para atender la solicitud ciudadana y realizar las primeras verificaciones. Posteriormente, y a petición de la autoridad municipal, personal pericial e investigadores de la Procuraduría General de Justicia del Estado se presentaron en el sitio para llevar a cabo las diligencias correspondientes. Luego de concluir las diligencias, las autoridades descartaron cualquier indicio relacionado con una posible fosa clandestina.</t>
  </si>
  <si>
    <t>Noticias falsas</t>
  </si>
  <si>
    <t>Con el objetivo de fortalecer la vigilancia en el Valle del Mezquital, fue rehabilitada la base de la Guardia Nacional.</t>
  </si>
  <si>
    <t>Prevención del delito</t>
  </si>
  <si>
    <t>En cabina Guadalupe Rodríguez Uribe, titular de la Secretaría de Cultura, Educación, Deporte y Juventud en Tulancingo informó que su municipio estará presente en la "Hidalgo en los Pinos" el 10 de mayo con la participación del Coro Monumental Infantil de Tulancingo, pero solo van 39 miembros de los 500 que lo conforman. invita a las familia a acudir a este evento.</t>
  </si>
  <si>
    <t>La ampliación de la autopista México- Tuxpan en el tramo hacia Tulancingo y Nuevo Necaxa será entregada antes de terminar la actual administración, esto fue señalado por Armando Pérez, titular de Desarrollo Urbano, Medio ambiente y Obras Pública de Tulancingo</t>
  </si>
  <si>
    <t>Ampliación carretera</t>
  </si>
  <si>
    <t>La Universidad Politécnica de la Energía (UPE) impulsa la formación profesional de su comunidad estudiantil mediante el Modelo de Educación Dual, que permite a las y los estudiantes integrarse a entornos reales del sector productivo. En este contexto, el estudiante Jael André Sánchez Reyes, de quinto cuatrimestre del Técnico Superior Universitario en Perforación y Servicios a Pozos, realiza su estadía en la Gerencia de Coordinación Operativa de la Región Marina Noreste (RMNE), en el área de Exploración y Producción de PEMEX. Durante este periodo, desarrolla actividades relacionadas con su área de formación, permitiéndole aplicar conocimientos teóricos, adquirir experiencia práctica y fortalecer sus competencias en un entorno estratégico para la industria energética.</t>
  </si>
  <si>
    <t>Educación dual</t>
  </si>
  <si>
    <t>41 Centros LIBRE iniciaron operaciones en varios puntos del Estado de Hidalgo, bajo el modelo del Programa de Atención Integral para el Bienestar de las Mujeres.</t>
  </si>
  <si>
    <t>Centros LIBRE</t>
  </si>
  <si>
    <t>El proyecto de construcción de lo que será la Casa de la Mujer Indígena, en Tenango de Doria registra un avance del 50 por ciento, informó Prisco Manuel Gutiérrez, titular de la Comisión para el Desarrollo Sostenible de los Pueblos Indígenas del Estado de Hidalgo. El funcionario recordó que se trata de un espacio donde se preservan y fortalecen los conocimientos ancestrales de los pueblos indígenas, particularmente aquellos relacionados con la partería tradicional. Este espacio brindará atención integral a mujeres embarazadas de la región Otomí-Tepehua, incluyendo municipios como Huehuetla, San Bartolo Tutotepec, Metepec, Agua Blanca, Acaxochitlán y parte de Tulancingo. Ahí se ofrecerá acompañamiento durante el embarazo, el parto y el puerperio, bajo un enfoque respetuoso de la cosmovisión indígena. Además, permitirá que mujeres practicantes de la partería cuenten con instalaciones adecuadas para brindar sus servicios, al tiempo que acceden a procesos de capacitación, certificación y oportunidades de ingreso económico, fortaleciendo su autonomía y reconocimiento social.</t>
  </si>
  <si>
    <t>Casa de la Mujer Indígena</t>
  </si>
  <si>
    <t>A un mes que concluya el plazo para solicitar créditos, los municipios de Zacualtipán y Tianguistengo pidieron al Poder Legislativo la aprobación de financiamiento aproximado por de 22 millones en conjunto, mediante un esquema global para atender temas relacionados con la vaguada monzónica. Armando Pérez Hernández, presidentes municipales de Zacualtipán, y Febronio Rodríguez Villegas, de Tianguistengo, enviaron un escrito por el que solicitan al Congreso de Hidalgo la autorización de esquema global de financiamiento. Al respecto, el diputado local Miguel Moreno Zamora explicó que la solicitud de ambos alcaldes será un decreto global, el cual servirá para que los 28 municipios afectados por la vaguada de octubre de 2025, puedan adherirse y no pasen por todo el proceso legislativo para la aprobación de financiamiento. “Los tiempos están ya muy cortos para buscar financiamiento, y si en algún momento algunos municipios quisieran utilizar este esquema, esto va a permitir que ellos también puedan estar adhiriéndose y que reduzca los tiempos de manera significativa, porque ya no se generaría la inscripción de manera individual”, detalló.</t>
  </si>
  <si>
    <t>Daniel Martínez: hemos solicitado una entrevista con el Secretario de Educación, Natividad Castrejón y nos comentan sus colaboradores que en este momento está camino a la huasteca y la señal telefónica es inestable. Ojalá el lunes podamos tener comunicación y saber el posicionamiento que se tiene en el tema de la modificación del calendario escolar.</t>
  </si>
  <si>
    <t>Daniel Martínez comenta que en México se jugarán 13 de 104 partidos del próximo mundial de fútbol en comparación con los 50 o 60 partidos que se jugaron en el mundial del 86 y que por el precio de los boletos, será muy poca gente la que acudirá a los estadios. Asevera que el pretexto del mundial es inenarrable. Esto también afectará la economía de muchos negocios. Además, dijo que de acuerdo a la Organización para la Cooperación y Desarrollo Económico, señala que la Prueba Pisa México bajó del lugar 57 en la aplicación de las matemáticas al lugar 87 y se les ocurre a las autoridades educativas federales recortar el ciclo escolar 40 días y vámonos al mundial. Asimismo, dijo que ni en el 2024 con las temperaturas que se tuvieron se hizo esto, por lo que lo de la temperatura es un pretexto. Ojalá que la sonrisa le alcance a Mario Delgado para seguir haciendo videítos con música alegre.</t>
  </si>
  <si>
    <t>La presidenta de la República, Claudia Sheinbaum, señaló que lo que confirmó ayer Mario Delgado respecto de recortar el calendario escolar 40 días “es una propuesta”. En su mañanera de este viernes, Sheinbaum aseguró que “la propuesta” viene de los estados de la República “y de algunos maestros” para adelantar las vacaciones. Sin embargo, afirmó que aún no hay un calendario definido, pese a que ayer la SEP definió el calendario modificado.</t>
  </si>
  <si>
    <t>Posterior al retiro de los sellos colocados por el Instituto Nacional de Antropología e Historia (INAH) en las luminarias instaladas frente a Casa Rule, se iniciará con la reubicación de estas de manera conjunta con el municipio. De acuerdo con la Secretaría de Infraestructura Pública y Desarrollo Urbano Sostenible (SIPDUS) antes de la colocación de las lámparas se desarrollaron trabajos de acuerdo con los lineamientos establecidos por el INAH, reportando en todo momento respecto a las intervenciones en la calle Morelos. A su vez, la instancia federal emitió un oficio en el cual establece que en el arroyo vehicular y banquetas no existe ningún elemento considerado como histórico, por lo que se colocaron las 20 luminarias sobre la banqueta, para priorizar la seguridad de los transeúntes por la zona. Sin embargo, el INAH detectó una obstrucción visual relacionada con la altura de las luminarias, pues no permitían la adecuada visibilidad del monumento histórico.</t>
  </si>
  <si>
    <t>Los trabajos que se desarrollarán en la Zona de Monumentos Arqueológicos (ZMA) de Hupalcalco, tienen objetivo de conservar dicho espacio físico y con ello dignificarlo, por lo que por el momento no se tienen contemplados investigación arqueológica. La aclaración fue realizada por Manuel Villarruel Vázquez, director de la delegación del Instituto Nacional de Antropología e Historia (INAH) en Hidalgo, en reunión con vecinos de la zona, promotores culturales y activistas sociales. Acompañado de Guadalupe Rodríguez Uribe, titular de la Secretaría de Cultura, Educación, Deporte y Juventud de Tulancingo, fueron desglosados los trabajos que se realizan en la ZMA, así como detalles del proceso integral. Entre las labores de conservación destacan trabajos de deshierbe, limpieza, reparación de estructuras, eliminación de grafitis en áreas con pinturas rupestres, junto con la colocación de malla ciclónica en aproximadamente 130 metros cuadrados. Así como la instalación de señalética para fortalecer la experiencia turística y proteger el patrimonio histórico. Además, se habilitarán áreas administrativas para talleres, orientación a visitantes y espacios de exhibición y exposiciones. El proyecto también contempla el empedrado de la calle Morelos, principal acceso a la zona arqueológica. Actualmente se realizan trabajos de mejoramiento de infraestructura para visitantes, entre ellos la rehabilitación de sanitarios, espacios de servicio y áreas destinadas a actividades culturales y de atención al público. Dichos trabajos están financiados por el Gobierno Federal, y el proyecto general fue validado y aprobado por el Consejo Nacional del INAH, bajo estrictos lineamientos para la protección y conservación del patrimonio nacional, afirmó Villarruel Vázquez.</t>
  </si>
  <si>
    <t>“La transformación se hace aquí, en las comunidades”, reitera Menchaca desde Yahualica</t>
  </si>
  <si>
    <t>Daniel Martínez: ojalá que la sonrisa le alcance para hacer videitos con música alegre</t>
  </si>
  <si>
    <t>Izza Hernández comenta que hay molestia de padres de familia por recorte del ciclo escolar, pues señalan que no se les tomó en cuenta y que por una ola de calor o por el frío nunca se habían suspendido las clases. Esperan se analice esta determinación. Los maestros piden no se les culpe de esto, pues no fueron tomados en cuenta y fue una sorpresa también para ellos. A los padres de familia con estos 3 meses de vacaciones se les complicará dónde dejar a los niños.</t>
  </si>
  <si>
    <t>Izza Hernández</t>
  </si>
  <si>
    <t>Será adelantado el final del ciclo escolar 2025-226, por lo que las actividades escolares finalizarán el próximo 5 de junio, debido al inicio del Mundial y por la ola de calor que impacta al País. Así lo dio a conocer el Secretario de Educación Pública en México Mario Delgado, tras establecerse acuerdo unánime del Consejo Nacional de Autoridades Educativas integrado por todas las secretarias y secretarios de educación pública estatales. Los acuerdos incluyen que las labores administrativas terminen el 12 de junio próximo, regresando los trabajadores de la educación el próximo 10 de agosto, para tener una semana de Consejo Técnico para preparar el siguiente Ciclo Escolar. Del 17 al 28 de agosto habrá dos semanas oficiales de reforzamiento de aprendizajes. El arranque del Ciclo Escolar 2026-2027 está previsto para el 31 de agosto próximo. Por distintas circunstancias y distintas peticiones que hemos tenido, adelantaremos el cierre del ciclo para el siguiente 5 de junio. (…) Y arrancamos oficialmente el ciclo escolar el 31 de agosto”, informó Mario Delgado.</t>
  </si>
  <si>
    <t>Justa Deportiva</t>
  </si>
  <si>
    <t>Presa El Cedral será sede del torneo de pesca deportiva “La Truchiza Hidalgo 2026”</t>
  </si>
  <si>
    <t>Uno de los municipios que más ha dado de qué hablar en este periodo es el municipio de Huichapan, sobre todo por estos pequeños escándalos que se han surgido durante toda la administración. Ahora el regidor o las regidoras del partido Morena de Huichapan, pues, analizan presentar una denuncia formal por violencia política en razón de género contra el síndico procurador y un regidor.La decisión surge tras el altercado registrado en la sesión de Cabildo del pasado 5 de mayo, la cual tuvo que ser suspendida abruptamente por la falta de condiciones para continuar con los trabajos</t>
  </si>
  <si>
    <t>El avance del proyecto ferroviario México-Querétaro en el territorio hidalguense ya enfrenta otro de sus primeros ajustes, esto por la localización de los vestigios arqueológicos localizados en la región de Tula obligaron a modificar parte del trazo de la original obra, AUDIO APOYO</t>
  </si>
  <si>
    <t>Vestigios Arqueológicos</t>
  </si>
  <si>
    <t>Miguel Tello Vargas, Secretario de Planeación y Prospectiva, habló sobre la tecnificación del campo hidalguense que busca pues modernizar la infraestructura de riego para optimizar el agua en el Valle del Mezquital, con un enfoque integral que incluye la nivelación de tierras por gps y la implementación de sistemas de riego por goteo o aspersión. AUDIO DE APOYO</t>
  </si>
  <si>
    <t>Mientras empresas taurinas ya cancelaron y pospusieron eventos programados para este mes en la capital del estado, el Congreso local avanzan los trabajos legislativos para definir el futuro de la tauromaquia en la entidad. El diputado Abelino Tobar Iglesias entregó a la primera Comisión de la Legislación y Puntos Constitucionales un documento técnico y jurídico con el que busca fortalecer la iniciativa que propone prohibir las corridas de toros en el estado. AUDIO APOYO</t>
  </si>
  <si>
    <t>Tauromaquia</t>
  </si>
  <si>
    <t>Radioescucha reporta que siguen sin arreglar los semáforos que están rumbo a Tulipanes por Chedraui, no funcionan</t>
  </si>
  <si>
    <t>Semaforización</t>
  </si>
  <si>
    <t>El gobernador Julio Menchaca durante su gira por la Huasteca Hidalguense encabezó en Atlapexco las rutas de la transformación donde entregó apoyos al campo y puso en marcha acciones para combatir el gusano barrenador aquí en el ganado. Acompañado por el secretario de Agricultura del Estado, Napoleón González Pérez, el mandatario inauguró en Tecolotitla un corral de inspección y tratamiento de ganado con capacidad para la estrategia sanitaria para contener la plaga del gusano barrenador.Además, destacó que en Atlapexco se mantienen inversiones superiores a los 219 millones de pesos en infraestructura carretera, hidráulica y social, con obras de rehabilitación y pavimentación en distintas comunidades de la regió, AUDIO APOYO</t>
  </si>
  <si>
    <t>“La transformación se hace aquí, en las comunidades”, reitera Menchaca desde Yahualica, AUDIO APOYO</t>
  </si>
  <si>
    <t>Se retomaron las rutas de la transformación, el gobernador de Hidalgo, Julio Menchaca, visitó el municipio de Yahaulica, donde supervisó obras de infraestructura, drenaje y rehabilitación de caminos que buscan mejorar la conectividad y seguridad de las comunidades de la Huasteca. Durante la gira, el mandatario destacó que de 2022 a la fecha se han invertido más de 271 millones de pesos en obras para este municipio, entre ellas la construcción del Centro de Salud de Santa Teresa, modernización de carreteras y sistemas de alcantarillado,</t>
  </si>
  <si>
    <t>Anuncia presidenta del sistema DIF, Edda Vite Ramos, mejoras en los centros de rehabilitación integral regional de Hidalgo, la información con Jocelyn Sánchez. Más de 400 mil atenciones a personas con discapacidad se han brindado en Hidalgo tan solo durante el 2025, así lo informó el sistema DIF estatal durante la entrega de ayudas técnicas en el CRIR de Santiago Tulantepec La presidenta del patronato del sistema DIF Hidalgo, Edda Vite Ramos, destacó que se contemplan mejoras para los seis centros de rehabilitación integral regional del estado ante la alta demanda Durante la jornada, habitantes de Tulancingo, Cuautepec, Tepeapulco y Tlanalapa recibieron sillas de ruedas, andaderas y bastones para fortalecer su movilidad y calidad de vida. Por su parte, Ricardo Alviso Contreras, titular del DIF Hidalgo, señaló que los seis CRIR ubicados en Huehuetla, Huejutla, Ixmiquilpan, Tula, Zacualtipán y Santiago Tulantepec operan actualmente a su máxima capacidad.</t>
  </si>
  <si>
    <t>Radioescucha comenta que los choferes de colectivas son mal hablados, siempre van llenas las combis y se quejan.</t>
  </si>
  <si>
    <t>El gobierno municipal de Mineral de la Reforma anunció la apertura de una consulta pública del 8 de mayo al 8 de junio para fortalecer el Programa de Ordenamiento Ecológico Local Participativo, con el objetivo de promover un crecimiento urbano ordenado y sustentable.</t>
  </si>
  <si>
    <t>Ordenamiento ecológico</t>
  </si>
  <si>
    <t>La presidenta Claudia Sheinbaum informó que la propuesta para adelantar el periodo vacacional escolar con motivo del Mundial, surgió tras solicitudes realizadas por gobiernos estatales y personal docente, a través del titular de la SEP, Mario Delgado Carrillo. Precisó que el calendario escolar aún se encuentra en análisis y aseguró que cualquier ajuste buscará garantizar que las y los estudiantes no pierdan días de clase . AUDIO APOYO</t>
  </si>
  <si>
    <t>La Secretaría de Educación Pública (SEP) aprobó modificar el calendario escolar del ciclo 2025-2026, por lo que las clases para más de 24 millones de alumnos de educación preescolar, primaria, secundaria y bachillerato en el país concluirán el próximo 5 de junio y no el 15 de julio, como se tenía previsto.Lo anterior ante la "intensa ola de calor, la realización del Mundial del Fútbol y otro factores", detalló el titular de la dependencia, Mario Delgado Carrillo, AUDIO APOYO</t>
  </si>
  <si>
    <t>Radioescucha Jaime Morán nos comenta, como profesor nosotros hacemos nuestra planeación semanal y mensual, aún no tenemos el plan de clausura, tenemos que trabajar a marchas forzadas, nos cayó de sorpresa este anuncio de cierre anticipado del ciclo escolar que será el próximo 5 de junio.</t>
  </si>
  <si>
    <t>La Secretaría de Educación Pública de Hidalgo, así como también por parte del Gobierno Federal, informó que el ciclo escolar 2025-2026 concluirá de manera anticipada el próximo 5 de junio para estudiantes de educación básica y media superior como parte de un acuerdo nacional aprobado en la 66ª reunión de CONAEDU. Esta medida busca proteger a la comunidad escolar ante las altas temperaturas registradas en distintas regiones del país y facilitar la organización por el Mundial de Fútbol sin afectar el cumplimiento de los planes de estudio. La SEP Hidalgo detalló que las labores administrativas van a finalizar el 12 de junio, aunque sus hijos asistirán solamente hasta el 5 de ese mes, mientras que el nuevo ciclo escolar 2026-2027 arrancará el 31 de agosto en escuelas públicas y privadas incorporadas al Sistema Educativo Nacional.</t>
  </si>
  <si>
    <t>Radioescucha comenta: “Sobre el tema de la modificación del calendario escolar, creo que las autoridades no pensaron en los docentes de escuelas privadas; si no trabajamos, no nos pagan y van a ser 3 meses”</t>
  </si>
  <si>
    <t>Claudia Sheinbaum informó que la propuesta para adelantar el periodo vacacional escolar con motivo del Mundial, surgió tras solicitudes realizadas por gobiernos estatales y personal docente, a través del titular de la SEP, Mario Delgado Carrillo. Precisó que el calendario escolar aún se encuentra en análisis y aseguró que cualquier ajuste buscará garantizar que las y los estudiantes no pierdan días de clase.</t>
  </si>
  <si>
    <t>La Secretaría de Educación Pública (SEP) aprobó modificar el calendario escolar del ciclo 2025-2026, por lo que las clases para más de 24 millones de alumnos de educación preescolar, primaria, secundaria y bachillerato en el país concluirán el próximo 5 de junio y no el 15 de julio, como se tenía previsto.Lo anterior ante la "intensa ola de calor, la realización del Mundial del Fútbol y otro factores", detalló el titular de la dependencia, Mario Delgado Carrillo.</t>
  </si>
  <si>
    <t>Participación semanal Dr. Juan Esquerra con el tema: Nueva ley notarial. Comentó que esta ley se propuso por el maestro Pedro Luis Noble y el gobernador Julio Menchaca, porque, lo interesante de esta propuesta es que buscan un acceso por mérito. El gobernador tiene la experiencia de haber creado el Instituto de Profesionalización e Investigaciones Jurídicas del Poder Judicial y ahora por ello están creando también un instituto que se llama de Investigaciones Jurídicas y Profesionalización Notarial para capacitar precisamente a los notarios</t>
  </si>
  <si>
    <t>La Secretaría de Economía declaró la protección de la Indicación Geográfica Chile Rayado de la Misión un reconocimiento que distingue a esta variedad de chile jalapeño originario de Hidalgo por sus características únicas de sabor, picor y proceso tradicional de producción. Si usted no lo ha probado, hágalo, por favor. Y si puede, pues vaya a la misión a Jacala, a estos municipios de la serranía hidalguense, a probar el chile rayado, sobre todo en un platillo tan típico de esa región, que es la carne de puerco con chile rayado. Es delicioso, es un platillo de la gastronomía serrana muy, muy rico.El producto destaca por sus marcas rayadas naturales, señal de madurez fisiológica, además de un intenso picor que alcanza entre 100 mil y 350 mil unidades Scoville. También se caracteriza por su aroma ahumado, textura seca y color rojo oscuro, resultado del proceso artesanal de deshidratación.Esta declaratoria reconoce además las técnicas tradicionales de cultivo y producción que realizan familias productoras del municipio de la misión, donde las condiciones climáticas y geográficas permiten el desarrollo de este chile emblemático. AUDIO DE APOYO</t>
  </si>
  <si>
    <t>Sedeco</t>
  </si>
  <si>
    <t>Indicación geográfica</t>
  </si>
  <si>
    <t>Miled 97.1 FM</t>
  </si>
  <si>
    <t>Línea en Alta Tensión</t>
  </si>
  <si>
    <t>Entrevista vía telefónica Lin Pavón, locutora comunitaria, que narra en náhuatl el partido México-Argentina en el Mundial de Qatar, quien participará en el Complejo de Los Pinos, representando a Hidalgo.</t>
  </si>
  <si>
    <t>María Antonieta Islas</t>
  </si>
  <si>
    <t>Entrevista vía telefónica Erick Calva capitán de cuernudos de Calnali con el tema: Hidalgo en Los Pinos,</t>
  </si>
  <si>
    <t>Hidalgo espera superar el millón de pesos en derrama económica durante la edición 2026 de Hidalgo en Los Pinos, que se realizará este 9 y 10 de mayo en la Residencia Oficial de México. La secretaria de Cultura, Neida Naranjo Baltazar, destacó el creciente interés del público por los productos artesanales y gastronómicos del Estado.La funcionaria señaló que por instrucción del gobernador Julio Menchaca Salazar, se fortalecen espacios de difusión para promover la riqueza cultural de Hidalgo y al mismo tiempo generar ingresos para las familias artesanas y cocineras tradicionales. En la edición 2025, las ventas aumentaron 70% respecto al año anterior, al alcanzar una derrama de más de 891 mil pesos con la visita de más de 9 mil 600 personas, posicionando a Hidalgo como la entidad con mayores ventas en este encuentro nacional. Para este año, para este 2026, la delegación hidalguense crecerá con la participación de 54 municipios, 12 más que el año pasado, además de una mayor presencia de artistas, artesanos y productores que llevarán la identidad y tradiciones del Estado a uno de los escaparates culturales más importantes del país</t>
  </si>
  <si>
    <t>El legislador Leonel Perusquía Muedano (PRD) presentó la propuesta de acuerdo económico que exhorta a la Secretaría de Agricultura y Desarrollo Rural de Hidalgo y a los 84 municipios a fortalecer las acciones de vigilancia, control y captura focalizada de murciélago hematófago.El diputado explicó que las mordeduras de dicho murciélago constituyen uno de los principales factores que favorecen la presencia y propagación del gusano barrenador, representando un riesgo inmediato para la sanidad pecuaria, el patrimonio de las y los productores ganaderos y para la estabilidad económica de diversas regiones del estado.</t>
  </si>
  <si>
    <t>En la conferencia mañanera se dio a conocer las inversiones que se realizarán para los gasoductos en la región de Tula. Los polos de desarrollo del centro serán alimentados con este energético, informó Emilia Ester Callejas, titular de la Comisión Federal de Electricidad. En cuanto al ramal Tula, va desde Tula, Hidalgo hasta Querétaro. AUDIOS DE APOYO.</t>
  </si>
  <si>
    <t>Gasoducto</t>
  </si>
  <si>
    <t>Radioescucha reporta fuga de agua (Manda el dato directamente a personal de Cassim)</t>
  </si>
  <si>
    <t>Fuga De Agua</t>
  </si>
  <si>
    <t>La Secretaría de Seguridad Pública de Hidalgo detuvo a dos menores de edad presuntamente relacionados con una agresión armada ocurrida en la colonia Barrio Alto, aquí en el municipio de Tula de Allende. De acuerdo con el reporte emitido al número de emergencia 911, una persona resultó lesionada por disparo de arma de fuego, por lo que elementos de la policía estatal desplegaron un operativo de búsqueda en la zona. La víctima señaló que fue atacada por dos sujetos que viajaban en un vehículo sedán color gris y que logró identificarlos previamente en la colonia Rinconada de Tultengo.</t>
  </si>
  <si>
    <t>Detención</t>
  </si>
  <si>
    <t>La SSPH aprehendió a dos menores de edad presuntamente relacionados con una agresión con arma de fuego registrada en la colonia Barrio Alto, municipio de Tula de Allende.Lo anterior, derivado de un reporte recibido a través del número de emergencias 911, mediante el cual se alertó sobre una persona lesionada por disparo de arma de fuego. Elementos de la Policía Estatal implementaron un operativo que permitió el aseguramiento de los dos menores. Al arribar al lugar, los oficiales se entrevistaron con la persona lesionada, quien manifestó haber sido agredida por dos masculinos que viajaban a bordo de un vehículo tipo sedán color gris, resultando con una lesión en el pómulo derecho. Asimismo, refirió haber observado anteriormente a los presuntos responsables en la colonia Rinconada de Tultengo.En consecuencia, se implementó un operativo de búsqueda y localización en la zona, logrando ubicar el vehículo con las características referidas en la colonia antes mencionada. Al percatarse de la presencia policial, los tripulantes descendieron de la unidad e intentaron darse a la fuga.Durante la persecución, uno de los individuos cayó, siendo asegurado en el lugar, mientras que el segundo ingresó a un domicilio y posteriormente brincó una barda, logrando ser detenido metros adelante.A los presuntos responsables, de 14 y 15 años de edad, se les realizó una revisión preventiva, localizándoles un cargador calibre .22. Por estos hechos, los menores y el vehículo asegurado fueron puestos a disposición del Ministerio Público, autoridad encargada de realizar las investigaciones correspondientes y determinar su situación legal.</t>
  </si>
  <si>
    <t>Ya veníamos hablando de este tema, de hecho tuvimos comunicación con gente de Conagua esta semana, hablando de este punto, de este control químico, de esta primera fase que se tiene proyectada, de cuatro, para poder resarcir los problemas que se tienen sobre todo el mosco y el lirio acuático en la presa Endhó. Hoy se aplicará la fumigación en Xijay de Cuauhtémoc y en Colonia Michimaloya en Tula y también en Santa María Daxthó y en San Pedro Nextlalpan en Tepetitlán.</t>
  </si>
  <si>
    <t>El Instituto Hidalguense de las Mujeres (IHM), arrancó operaciones en los 41 Centros LIBRE comprometidos este año para Hidalgo, bajo el modelo del Programa de Atención Integral para el Bienestar de las Mujeres (PAIBIM), en un esfuerzo coordinado entre los tres niveles de gobierno.Con esta estrategia impulsada por la presidenta de México, Claudia Sheinbaum, a través de la Secretaría de las Mujeres, el IHM cumple una de sus funciones sustantivas: prevenir y atender a mujeres en situación de violencia, a la vez que se impulsa su autonomía económica, destacó Oralia Arista Castelazo, directora general del organismo, en representación de la titular, Katya Gabriela Hernández Pérez.</t>
  </si>
  <si>
    <t>Hablemos del aumento en las tarifas del transporte público, pues tras la entrada en vigor de este incremento a la tarifa del transporte, luego de su publicación en el Periofico Oficial, solo es para las colectivas (Combis) el gobernador Julio Menchaca aseguró que los concesionarios y transportistas deberán mejorar de inmediato, de inmediato el servicio que brindan a la ciudadanía. Menchaca señaló que el ajuste tarifario ya es vigente tras su publicación en el periódico oficial del Estado de Hidalgo, sin embargo dijo que solicitará a la Secretaría de Movilidad y Transporte que se exija la colocación visible de tarifarios en las unidades. AUDIO DE APOYO JMS</t>
  </si>
  <si>
    <t>Hablemos del aumento en las tarifas del transporte público, del transporte colectivo que ya es oficial a través del periódico oficial del Estado de Hidalgo, pues tras la entrada en vigor de este incremento a la tarifa del transporte, luego de su publicación, el gobernador Julio Menchaca aseguró que los concesionarios y transportistas deberán mejorar de inmediato, de inmediato el servicio que brindan a la ciudadanía. Menchaca señaló que el ajuste tarifario ya es vigente tras su publicación en el periódico oficial del Estado de Hidalgo, sin embargo dijo que solicitará a la Secretaría de Movilidad y Transporte que se exija la colocación visible de tarifarios en las unidades. AUDIO DE APOYO,</t>
  </si>
  <si>
    <t>Aumento tarifa de transporte - Radioescucha pregunta que a partir de qué día ya empieza el aumento en las combis; comenta conductor que ya empezó desde ayer a cobrar; solo los taxis y otros transportes no suben aún su tarifa; ya se está trabajando en ello</t>
  </si>
  <si>
    <t>Vecinos del fraccionamiento Xochihuacán en la capital del estado bloquearon la carretera Pachuca a Ciudad Sahagún en demanda de, pues, un cierre de canal de aguas negras. Están cansados por los malos olores. Señalaron que el problema se ha convertido ya en un foco de infección afectando su salud y calidad de vida.</t>
  </si>
  <si>
    <t>Aguas negras</t>
  </si>
  <si>
    <t>Radioescucha reporta que en Campo de Tiro en San Antonio, el agua esta muy sucia</t>
  </si>
  <si>
    <t>Radioescucha reporta falta de agua con colonia 20 nde Noviembre, Miguel Hidalgo, La Condesa y Sierra Bonita, no tenemos agua</t>
  </si>
  <si>
    <t>Radioescucha reporta falta de agua en San Cayetano</t>
  </si>
  <si>
    <t>Radioescucha reporta falta de agua en Fraccionamiento La Cruz, comentan que cobran más de $300.00 por llenar los tinacos.</t>
  </si>
  <si>
    <t>adioescucha reporta falta de agua en el Fraccionamiento Renancimiento, no se tiene apoyo con pipas y tambien comentaron que no se tienen muchos reportes en Caasim</t>
  </si>
  <si>
    <t>Comenta conductor Eulalio Larrieta que ayer esperaba tener agua en la Aquiles Serdan y resulta que no llego</t>
  </si>
  <si>
    <t>Radioescucha reporta falta de agua en Calle Trigueros y Covarrubias, no cae nada</t>
  </si>
  <si>
    <t>Locutor Jesús Riveros comentó que, dentro de las opiniones de especialistas destaca, que venimos de un rezago educativos marcado desde el confinamiento por la pandemia de covid 19, si bien es cierto que se tiene un compromiso deportivo internacional, pero, debería ser prioridad buscar estrategias para abatir este rezago educativo. Estadísticas del INEGI en su más reciente encuesta, revelan que hay alumnos de tercer grado que todavía no aprenden a leer y es consecuencia de este rezago educativo que ya tenemos.</t>
  </si>
  <si>
    <t>Locutor Irving Sánchez comenta que, dentro de las opiniones de los padres de familia por el adelanto de las vacaciones del ciclo escolar 2025-2026, es que, de por sí, los alumnos no aprenden bien, ahora con un mes menos de clases, tomando en cuenta los puentes, las vacaciones, nuestras hijas e hijos apenas aprenden. Por otra parte, otra queja es, qué van a hacer los padres de familia que trabajan con un mes más sin clases.</t>
  </si>
  <si>
    <t>El tema que ha destacado desde el día de ayer, es el adelanto de las vacaciones del ciclo escolar 205.2026; hoy por la mañana, la presidenta Claudia Sheinbaum dijo que era una propuesta, sin embargo, el secretario de Educación Pública, Mario Delgado ya confirmó que es un hecho, que el ciclo escolar 2025-2026 terminará el próximo 5 de junio, lo anterior, debido a dos asuntos, el mundial de fútbol y las altas temperaturas.</t>
  </si>
  <si>
    <t>El gobierno municipal de Cuautepec de Hinojosa, en coordinación con PROFECO y la ODECO, realizó una Jornada Integral de Atención, Vinculación y Capacitación Ciudadana para acercar servicios y orientación a la población. Durante la actividad se impartió una plática sobre derechos del consumidor y los servicios que brinda PROFECO, con el objetivo de promover prácticas comerciales justas y el consumo responsable. Asimismo, se promovió la calibración de básculas en el mercado municipal, acercando este servicio a comerciantes para garantizar transacciones más transparentes y equitativas. Como parte de la jornada también se desarrolló un taller de tecnología doméstica enfocado al emprendimiento y autoempleo, además de brindar atención personalizada a las y los asistentes.</t>
  </si>
  <si>
    <t>Capacitación</t>
  </si>
  <si>
    <t>Un camión presuntamente se queda sin frenos y arrolló a dos vehículos sobre la carretera federal México–Tuxpan, a la altura del Hospital General de Tulancingo. El saldo preliminar es de dos personas lesionadas, quienes fueron atendidas y trasladadas para recibir atención médica por socorristas de Cruz Roja y Protección Civil.</t>
  </si>
  <si>
    <t>Accidente Vial</t>
  </si>
  <si>
    <t>Locutor Jesús Riveros da lectura a comentario de radioescucha que reporta, que, los choferes de la ruta que va para La Cañada, manejan a exceso de velocidad, no respetan al pases y menos a adultos mayores, hace un llamado a las autoridades correspondientes, ya que, por o general, los onductores son personas muy jóvenes.</t>
  </si>
  <si>
    <t>Lo que ha llamado la atención desde el día de ayer, fue el anuncio del fin del ciclo escolar, en donde la Sociedad de Padres de Familia de varias escuelas no estaban enterados, simplemente se tomó la decisión en favor de los menores, que, porque el sol está muy fuerte, para evitar que haya algún problema de salud. Sin embargo, hoy por la mañana, padres de familia han señalado que esto es más para tener una mejor movilidad en favor del mundial de fútbol, por lo que, han señalado, que está es una decisión unilateral que afecta la parte educativa y el entorno laboral-familiar.</t>
  </si>
  <si>
    <t>Entrevista vía telefónica Erick Calva Gutiérrez, representante y participante de los cuernudos de Calnali: Habló sobre la participación de “Los Cuernudos de Calnali” en el marco de la tercera edición de “Hidalgo en Los Pinos”, destacando la historia de la creación de los cuernudos, así como la tradición de los bailes con música de banda de viento. Dicha participación se realizará los días 9 y 10 de mayo en el complejo cultural Los Pinos.</t>
  </si>
  <si>
    <t>Las labores para sofocar el incendio forestal registrado en la comunidad de El Sótano, en el municipio de Jacala, continúan luego de que el siniestro iniciara la noche del pasado miércoles. De acuerdo con información de la Secretaría de Medio Ambiente y Recursos Naturales de Hidalgo (Semarnath), el incendio se encuentra actualmente controlado al 100 por ciento y liquidado al 90 por ciento. La dependencia estatal indicó que el fuego se originó a consecuencia de tormentas eléctricas registradas en la zona, ya que la caída de un rayo provocó el encendido inmediato de material combustible. Tras el reporte del incendio, autoridades estatales establecieron comunicación con el ayuntamiento para realizar una valoración inmediata y coordinar las acciones de atención. Durante las primeras horas de este jueves se movilizaron dos brigadas: una del Parque Nacional Los Mármoles y otra de manejo de fuego de la comunidad de La Encarnación, además de personal brigadista de la Secretaría de Medio Ambiente. La Semarnath informó que hasta el momento se ha logrado controlar una parte considerable del incendio y reiteró que no existe riesgo para la población cercana. Por su parte, la presidenta municipal de Jacala, Kendra Martínez Sánchez, informó que realizaron un primer acercamiento en la zona del Aguaje para atender el incendio junto con elementos de Seguridad Pública, autoridades y habitantes de la comunidad. Las labores de vigilancia y liquidación continúan en la zona para evitar una posible reactivación del fuego.</t>
  </si>
  <si>
    <t>Control de incendios</t>
  </si>
  <si>
    <t>SSPH asegura en Tula a presuntos responsables de agresión con arma de fuego.</t>
  </si>
  <si>
    <t>Hidalgo participa en reunión nacional de autoridades educativas</t>
  </si>
  <si>
    <t>Conaedu</t>
  </si>
  <si>
    <t>La SEPH informa a la comunidad educativa del estado que, en cumplimiento del acuerdo nacional tomado en la LXVI Reunión Nacional Plenaria Ordinaria 2026 del Conaedu, se realizarán ajustes al calendario escolar vigente en todos los niveles de Educación Básica y Media Superior, por lo que la conclusión del ciclo escolar 2025-2026 será el próximo 5 de junio.</t>
  </si>
  <si>
    <t>Arrancan operaciones 41 Centros LIBRE en Hidalgo</t>
  </si>
  <si>
    <t>Locutor Jesús Riveros transmite audio del mensaje de Mario Delgado publicado en redes sociales avisando sobre las modificaciones al calendario escolar; Jesús Riveros comentó que hasta la puso “musiquita alegre” (risas) para suavizar el mensaje. Especialistas han expresado que es preocupante la situación, luego de que, venimos de un rezago educativo que se deriva del confinamiento de la pandemia por Covid19, prácticamente tres años de confinamiento que han dejado consecuencias en el sector educativo, por lo que, tendría que ser un tema prioritario para las autoridades educativas.</t>
  </si>
  <si>
    <t>La decisión de modificar el ciclo escolar 2025-2026 ha generado mucha polémica en los distintos sectores educativos y en los padres de familia, incluso, la Unión Nacional de Padres de Familia se manifestó en contra de estas decisiones, algunas secciones del SNTE quienes también han declarado que no se les tomó en cuenta.</t>
  </si>
  <si>
    <t>Este ciclo escolar 2026-2026 tendrá un ajuste de 28 días hábiles de clases en educación básica y media superior, el cierre del año lectivo será el 5 de junio y no el 15 de julio como estaba previsto, debido a las altas temperaturas y al mundial de fútbol, así lo informó la Secretaría de Educación Pública a través de un comunicado. Lo anterior, luego de alcanzar un acuerdo unánime con los titulares de las Secretarías de Educación en los Estados, incluso, el secretario de Educación Pública de Hidalgo estuvo presente en esta reunión, siendo parte de este acuerdo. La medida impactará a cerca de 23 millones de alumnos de preescolar, primaria y secundaria que asisten a escuela públicas y privadas, así como, a 5.4 millones de adolescentes que cursan su bachillerato en este país. En el marco de la 64 Reunión Nacional Plenaria Ordinaria del Consejo Nacional de Autoridades Educativas que encabezó el secretario de Educación, Mario Delgado Carrillo se aprobó que el ciclo escolar 2026-2027 se inicie hasta el 31 de agosto, sin embargo, los estudiantes están convocados a reincorporarse a clases para el fortalecimiento de aprendizaje del 17 al 28 de ese mes, a finde no comprometer el desarrollo del plan y programas de estudio, con o que, en los hechos, volverán a las aulas doce semanas antes del arranque formal el próximo año lectivo.</t>
  </si>
  <si>
    <t>Respecto a la nota del adelanto del ciclo escolar, la presidenta Claudia Sheinbaum generó la confusión, porque durante su conferencia de prensa señaló que es una propuesta, pero ayer, las autoridades educativas ya lo daban por hecho.</t>
  </si>
  <si>
    <t>Entrevista en cabina Guadalupe Rodríguez Uribe, secretaria de Educación, Cultura y Deporte de Tulancingo - Habló sobre la participación del Coro Infantil en Los Pinos en el marco de la tercera edición de “Hidalgo en Los Pinos”, espacio que permite a los Estados mostrar un poco de su cultura, arte, tradición y gastronomía. La presentación del Coro Monumental Infantil se realizará el domingo 10 de mayo, mostrando el trabajo que se realiza en el municipio de Tulancingo a través de los proyectos de la presidenta Lorena García en el fomento de las tradiciones, cultura y gusto por las “Bellas Artes” en la niñez de Tulancingo.</t>
  </si>
  <si>
    <t>Ante las precipitaciones pluviales pronosticadas para la próxima semana, la Dirección de Bomberos y Protección Civil de Tulancingo prevé una disminución en la incidencia de incendios, principalmente en pastizales y zonas forestales. Así lo informó el director de la corporación, Jesús García Ávila, quien señaló que la temporada de incendios forestales está próxima a concluir, mientras comienza la etapa de atención de anegamientos derivados de las lluvias. Resaltó que se ha brindado atención inmediata para el control y sofocación de conflagraciones. En el caso de incendios forestales, se ha contado con el apoyo de brigadas de la Comisión Nacional Forestal (CONAFOR) y corporaciones estatales, fortaleciendo así la capacidad de respuesta. García Ávila recordó que la temporada de huracanes iniciará el 15 de mayo en el océano Pacífico y el 1 de junio en el Atlántico. Aunque los fenómenos que mayormente impactan a Tulancingo provienen del Atlántico. Confirmó que se han supervisado los espacios designados como refugios temporales en Tulancingo, en coordinación con autoridades sanitarias, con el objetivo de verificar que cumplan con las condiciones adecuadas para atender a la población en caso de alguna contingencia derivada de la temporada de lluvias y huracanes. Finalmente, se informó que durante esta temporada se realiza un monitoreo permanente a través del Sistema de Alerta Temprana para Ciclones Tropicales, el Sistema Estatal de Protección Civil y el Servicio Meteorológico Nacional, con el propósito de determinar las acciones más oportunas en la toma de decisiones y salvaguardar a la población.</t>
  </si>
  <si>
    <t>Locutor Jesús Riveros comentó que, hay distintas inconformidades por parte de docentes y padres de familia por el adelanto de culminación del ciclo escolar 2025-2026.</t>
  </si>
  <si>
    <t>“La transformación se hace aquí, en las comunidades”, reitera Menchaca desde Yahualica. (AUDIO JMS).</t>
  </si>
  <si>
    <t>Locutor Jesús Riveros da lectura a comentario de radioescucha que solicita al gobernador Julio Menchaca que en el tema de educación no se haga en Hidalgo lo que los demás están haciendo, que no permita que se les quite más de un mes de clases a los alumnos, de por sí, tenemos rezago de la pandemia y luego esto, que, además, son argumentos que no tienen solidez. Si quieren combatir el calor en las escuelas, que inviertan en infraestructura, porque la solución no es suspender clases, no es posible que por un mundial de fútbol se tome semejante decisión.</t>
  </si>
  <si>
    <t>La SIPDUS informa sobre la colocación de sellos por parte del INAH en las luminarias instaladas frente a Casa Rule.</t>
  </si>
  <si>
    <t>Casa Rule</t>
  </si>
  <si>
    <t>Durante conferencia semanal del gobierno estatal otro de los participantes fue Pablo Herrera, director de la empresa mexicana Laboratorios Carnot, , quien destacó el potencial estratégico de la actividad y reafirmó las condiciones que hoy posicionan al Estado como un destino competitivo para la inversión del sector farmacéutico. Es importante destacar que entre las 500 empresas farmacéuticas del mundo, laboratorios Cardnot se encuentra en el lugar número 20 y una de sus plantas está en el Estado de Hidalgo, AUDIO APOYO</t>
  </si>
  <si>
    <t>Durante conferencia semanal del gobierno estatal de este lunes 11 de mayo, el titular de la SEDECO, Carlos Henkel Escorza , informó que se trata de la empresa Solar International Core Canada, Ltd (SICC) , luego de haber realizado una gira de trabajo por Canadá, informó que esta inversión histórica por parte de la farmacéutica Solar International Corp Canadá brindará 1.700 empleos directos. AUDIO APOYO</t>
  </si>
  <si>
    <t>Radioescucha reporta falta de agua en Valle del Palmar</t>
  </si>
  <si>
    <t>Radioescucha reporta falta de agua en Mineral del Monte</t>
  </si>
  <si>
    <t>Radioescucha reporta que lleva ya dias sin agua en la colonia Periodistas, vas a poner tu queja y no hacen caso, les viene valiendo MmM…</t>
  </si>
  <si>
    <t>Fuerte accidente sobre la autopista México una persona sin vida y dos más lesionadas este fin de semana a la altura del libramiento Pitula-San Alejo en el municipio de Tulancingo de acuerdo con los primeros reportes el percance involucró a dos vehículos particulares que colisionaron de manera latera.Mientras circulaban sobre este tramo carretero tras el impacto de las puertas presuntamente se abrió provocando que uno de los ocupantes saliera proyectado varios metros fuera de la carpeta asfáltica debido a la gravedad de sus lesiones la víctima perdió la vida en el lugar.</t>
  </si>
  <si>
    <t>Accidente Carretero</t>
  </si>
  <si>
    <t>Una volcadura de una pipa que transportaba turbosina movilizó personal de Protección Civil y Seguridad ante emergencia en la comunidad del Llano Primera Sección en el municipio de Tula de Allende.El accidente se registró ayer y generó la intervención inmediata de elementos de Protección Civil y Bomberos de Tula quienes realizaron labores de seguridad y control para evitar riesgos a la población debido al material inflamado que transportaba la unidad.</t>
  </si>
  <si>
    <t>Accidente De Pipa</t>
  </si>
  <si>
    <t>Pronostica el Servicio Meteorológico Nacional la presencia de intensas lluvias</t>
  </si>
  <si>
    <t>Alerta Meteorológica</t>
  </si>
  <si>
    <t>La Subsecretaría de Protección Civil y Gestión de Riesgos de Hidalgo, emitió un comunicado ayer sobre las lluvias que se presentarían el pasado domingo y hoy lunes, así es que hay que tener mucho cuidado con los informes que emita Protección Civil a nivel estatal y también de manera local en sus municipios.</t>
  </si>
  <si>
    <t>Amenaza alcalde de Pachuca a sus funcionarios, Difunden audio de Jorge Reyes donde chantajea y amenaza con despedir a sus funcionarios si no comparten sus publicaciones en Facebook, y hasta cuota les puso: "Al menos 500 compartidas por publicación o les van a dar las gracias", APOYO AUDIO</t>
  </si>
  <si>
    <t>Amenazas</t>
  </si>
  <si>
    <t>El fin de semana, el gobernador de Hidalgo, Julio Menchaca Salazar, anunció un importante proyecto de inversión por parte de una empresa canadiense. “ Buena noticia para Hidalgo, se acaba de firmar una carta de intención para invertir en Hidalgo por una empresa canadiense, más de dos mil millones de dólares “ AUDIO JMS</t>
  </si>
  <si>
    <t>Atracción De Inversiones</t>
  </si>
  <si>
    <t>El secretario de Economía de México, Marcelo Ebrard, anunció este viernes que una empresa canadiense invertirá mil 460 millones de dólares estadounidenses o mil 240 millones de euros en el estado de Hidalgo para construir una planta de ingredientes farmacéuticos.</t>
  </si>
  <si>
    <t>La Secretaría de Movilidad y Transporte de Hidalgo, Lizbeth Robles Gutiérrez , adelantó que próximamente se llevará a cabo la regularización formal de las tarifas del servicio de taxi aquí en el estado de Hidalgo, aunque precisó que esta medida no necesariamente representará un incremento en el costo para los usuarios, la funcionaria estatal evitó establecer una fecha específica para la publicación de este nuevo esquema tarifario correspondiente al servicio de taxi, AUDIO APOYO</t>
  </si>
  <si>
    <t>Radioescucha que no existe ninguna cabio con el aumento de tarifa, ya que siguen pasando muy llenas</t>
  </si>
  <si>
    <t>Radioescucha pregunta ¿ Si ya esta el aumento del pasaje en las colectivas? Comenta conductor que si, que ya esta publicado en el eriódico Oficial del Estado de Hidalgo</t>
  </si>
  <si>
    <t>Ante la modificación al calendario escolar por parte de la Secretaría de Educación Pública (SEP), asociaciones civiles expresaron su inconformidad y anunciaron que emitirán un posicionamiento de manera pública este lunes, a las 12:00 pm, en la explanada de plaza Juárez de Pachuca.</t>
  </si>
  <si>
    <t>Los productores de cebada en Hidalgo lograron acuerdos con Grupo Modelo que permitirán dar mayor certeza al sector agrícola rumbo al ciclo 2010. Durante los últimos meses se realizaron reuniones y mesas de diálogo con productores, autoridades y representantes de la industria cervecera para alcanzar consensos que van a beneficiar a los cebaderos hidalguenses. Los cebaderos reconocieron la disposición de Grupo Modelo, así como la intervención de la Secretaría de Gobierno y la participación de las y los productores en las negociaciones para concretar un acuerdo que calificaron como importante para Hidalguense. Modelo, quiero sí agradecer la apertura. AUDIO DE APOYO</t>
  </si>
  <si>
    <t>Aspirantes</t>
  </si>
  <si>
    <t>Sucesión gubernamental</t>
  </si>
  <si>
    <t>El Instituto de Investigación de las Mujeres puso en marcha 41 centros libres en distintos municipios de la entidad como parte del Programa de Atención Integral para el Bienestar de las Mujeres (PAIBIM); un esfuerzo coordinado entre los tres niveles de gobierno. Esta estrategia, impulsada por la presidenta Claudia Sheinbaum. busca prevenir y atender la violencia contra las mujeres, además de fortalecer su autonomía económica, informó la directora del Instituto, Oralia Arista Castelazo, directora general del organismo, en representación de la titular, Katya Gabriela Hernández Pérez. En reunión por grupos, con las 205 asesoras que operarán los centros, enfatizó su papel fundamental para poner en práctica la política pública en materia de igualdad sustantiva implementada por el gobernador Julio Menchaca, que tiene como fin último transformar las condiciones de vida de las mujeres. AUDIO DE APOYO</t>
  </si>
  <si>
    <t>La Fiscalía General de la República obtuvo vinculación a proceso en contra de cuatro personas por su probable participación en el delito de delincuencia organizada con la finalidad de cometer tráfico de personas.</t>
  </si>
  <si>
    <t>Lamentos de la Secretaría de Seguridad Pública de Hidalgo (SSPH) en coordinación con la Procuraduría General de Justicia de la entidad (PGJEH), ejecutaron una técnica de cateo en la colonia Nicolás Flores, municipio de Mixquiahuala de Juárez, donde fue desarticulado un presunto punto de distribución de narcóticos, asegurando además a dos personas relacionadas con estas actividades ilícitas.Durante la intervención, las autoridades aseguraron a un hombre y una mujer, además de localizar 467 dosis de presunta droga, de las cuales 350 corresponden a hierba seca con características de marihuana y 117 a una sustancia granulada similar al cristal, mismas que fueron puestas a disposición de las autoridades competentes como parte de las investigaciones en curso.</t>
  </si>
  <si>
    <t>Se ejecutó una orden de cateo para esclarecer el delito de posesión ilícita de hidrocarburo en un domicilio ubicado en el municipio de Santiago de Anaya. De acuerdo con la carpeta de investigación la Policía Federal Ministerial recibió una denuncia anónima en la que ciudadanos informaron sobre dos personas que se dedicaban a la venta y almacenamiento ilícito de hidrocarburos.</t>
  </si>
  <si>
    <t>Combate Al Huachicol</t>
  </si>
  <si>
    <t>Continuando con temas de seguridad derivado del orden recibida por elementos de la Policía Federal Ministerial en la que ciudadanos informaron sobre la venta ilegal de gasolina en un inmueble ubicado en el centro del poblado Acayuca en el municipio de Zapotlán de Juárez se ejecutó una orden de cateo en un domicilio donde se aseguró hidrocarburos contenedores de diferentes capacidades una manguera, cuatro embudos y libretas con anotaciones. El agente del Ministerio Público de la Federación continuó con la integración de los elementos de prueba contundentes para deslindar responsabilidades conforme a derecho corresponda.</t>
  </si>
  <si>
    <t>La Fiscalía General de la República (FGR) informó sobre el aseguramiento de más de 421 litros de diésel, 162 bidones, medicamentos psicotrópicos y dinero en efectivo durante un cateo realizado en la localidad de El Daxtha, municipio de Actopan.De acuerdo con la autoridad federal, el operativo se llevó a cabo tras una denuncia anónima recibida a través del C5i, donde se reportaba la presunta venta ilegal de drogas e hidrocarburo en un establecimiento comercial.Durante la intervención, elementos de la Agencia de Investigación Criminal (AIC), en coordinación con Guardia Nacional, Sedena y Policía Estatal, aseguraron cápsulas y tabletas de clobenzorex, metilfenidato, fentermina y anfepramona, además de un vehículo tipo sedán y más de 19 mil pesos en efectivo.Asimismo, dos personas fueron detenidas y puestas a disposición del Ministerio Público Federal, quien determinará su situación jurídica en las próximas horas.</t>
  </si>
  <si>
    <t>En lo que va desde 2026 en Hidalgo se han registrado un caso de dengue no grave y tres con signos de alarma. Esto, representa una disminución respecto al mismo periodo de 2025, esto de acuerdo con la Dirección General de Epidemiología. El reporte de la Secretaría de Salud Federal detalló que sólo se han confirmado un caso de dengue no grave. Esta cifra inferior a los 12 casos contabilizados en el mismo periodo del año anterior.</t>
  </si>
  <si>
    <t>SSH</t>
  </si>
  <si>
    <t>Dengue</t>
  </si>
  <si>
    <t>Más de 1,500 mamás disfrutaron de una noche llena de alegría, música, regalos y muchas sorpresas en el gran festejo organizado por el Gobierno Municipal de Tula de Allende encabezado por el presidente Cristhian Martínez. La presentación estelar de Gilberto Gless hizo vibrar el corazón de todas las asistentes con un espectáculo inolvidable lleno de talento, diversión y emoción. Además, se realizaron dinámicas y rifas con increíbles premios para reconocer el amor, esfuerzo y dedicación de las madres que son el pilar de nuestras familias.Tula sigue trabajando para fortalecer la unión familiar y reconocer a quienes todos los días entregan lo mejor de sí: nuestras mamás tulenses.</t>
  </si>
  <si>
    <t>Con una gran fiesta llena de alegría, música y sorpresas, más de 5 mil mamás de Atitalaquia celebraron el Día de las Madres en un emotivo evento encabezado por la presidenta municipal Claudia Sandoval.La Unidad Deportiva de Atitalaquia fue el escenario de esta gran convivencia familiar, donde las asistentes disfrutaron de regalos, rifas, dinámicas, espectáculos culturales y la presentación estelar de Los Askis, quienes pusieron a bailar a miles de personas durante una noche inolvidable.Uno de los momentos más emocionantes fue la entrega de cuatro viajes todo pagado para dos personas a destinos de playa como Los Cabos, Ixtapa y Puerto Vallarta.Durante su mensaje, Claudia Sandoval reiteró su compromiso de seguir trabajando con cercanía, sensibilidad y compromiso social para construir un municipio más humano y unido.</t>
  </si>
  <si>
    <t>Durante una procesión religiosa ocurrió una situación complicada, una explosión de pirotecnia que dejó a una persona sin vida y otras cinco lesionadas. Los hechos se registraron en la localidad de Jalapilla en el municipio de Epazoyucan, Hidalgo y es que continúan sin medidas no tienen medidas cuando se quema esta pirotecnia en este tipo de expresiones religiosas.</t>
  </si>
  <si>
    <t>Explosión Pirotecnia</t>
  </si>
  <si>
    <t>“Hecho en Pueblos Indígenas”, estrategia de Hidalgo para defender la cultura y fortalecer ventas directas</t>
  </si>
  <si>
    <t>Hecho en Pueblos Indígenas</t>
  </si>
  <si>
    <t>Radio Lobo 96.7 FM</t>
  </si>
  <si>
    <t>Enlace Noticias</t>
  </si>
  <si>
    <t>Hidalgo toma Los Pinos: Menchaca Salazar y el Gobierno de México impulsan la cultura hidalguense, AUDIO APOYO</t>
  </si>
  <si>
    <t>Gina Lorenzo</t>
  </si>
  <si>
    <t>Por tercer año consecutivo, Hidalgo llevó su cultura, gastronomía y tradiciones al cultural Los Pinos, donde el gobernador Julio Menchaca Salazar inauguró la muestra Hidalgo en Los Pinos, que durante este fin de semana reunió música, artesanías y cocina tradicional de distintas regiones del estado.Desde el arranque del evento, el mandatario destacó que este espacio representa la transformación de recintos que antes eran exclusivos y que hoy están abiertos al pueblo para fortalecer la identidad y el orgullo cultural de las comunidades hidalguenses. Esta oportunidad, la Secretaría de Cultura del Gobierno de México, que con el trabajo muy intenso de la Secretaría de Cultura, pero con la participación de hidalguenses, mujeres y hombres, que sienten el cariño y el amor por su comunidad, por su municipio, eso nos une, es algo de cultura, de historia, de tradición y de profundo amor por nuestra tierra.En representación de la Secretaría de Cultura Federal, Diego Prieto Hernández, resaltó que la riqueza cultural de Hidalgo permanece en sus pueblos originarios y comunidades. Se abrió la Casa de los Pinos, la casa de un poder encerrado y lejano al pueblo cuando se pone al servicio del pueblo. Gracias a la hospitalidad del Centro Cultural, los estados se hacen presentes semana con semana en esta residencia oficial de México y hoy le toca el estado de Hidalgo. AUDIOS DE APOYO</t>
  </si>
  <si>
    <t>El Subsecretario de Protección Civil y Gestión de Riesgos de Hidalgo, Román Bernal Díaz, informó que en lo que va del año se han registrado alrededor de 320 incendios forestales y de pastizal, cifra que ya supera la del año anterior y los cuales, pues el 96%, han sido atacados por la mano del hombre. AUDIOS DE APOYO</t>
  </si>
  <si>
    <t>Derivado de la coordinación interinstitucional y la respuesta inmediata de la Secretaría de Seguridad Pública, Tránsito y Vialidad Pachuca a través de la Dirección de Prevención del Delito, fueron localizados y resguardados dos adolescentes que contaban con ficha de búsqueda vigente en la Ciudad de México.Los hechos se registraron en un inmueble ubicado sobre la calle Pasadizo, en la colonia Santa Julia, donde elementos municipales desplegaron un operativo tras una solicitud de colaboración emitida por la Cédula de Búsqueda de Personas de la Policía de la Ciudad de México.</t>
  </si>
  <si>
    <t>Gabriel Paredes Dueñas, presidente de la Federación de Escuelas Particulares en Hidalgo, hizo un llamado a la Secretaría de Educación Pública para construir acuerdos que permitan dar continuidad al calendario escolar original y evitar afectaciones en el desarrollo educativo de las y los estudiantes, AUDIO APOYO</t>
  </si>
  <si>
    <t>En conferencia de prensa de la presidenta de México, Claudia Sheinbaum, abordó el tema relacionado con la propuesta de reajuste al calendario escolar, aclaró que dicho planteamiento fue respaldado y aprobado en conjunto por las autoridades educativas de las entidades federativas y no únicamente por el secretario de Educación Pública, Mario Delgado, AUDIO APOYO</t>
  </si>
  <si>
    <t>El secretario de Educación Pública, Natividad Castejón, pues ha anunciado que va rumbo a la Ciudad de México para reunirse con el secretario de Educación Pública del Gobierno Federal para, pues, definir las adecuaciones que pudiera tener el calendario escolar. No lo den por hecho, habrá que esperar que definen en la reunión.</t>
  </si>
  <si>
    <t>Se informa que se suspende hasta nuevo aviso la manifestación programada para este lunes a las 12 en la explanada de Plaza Juárez, con motivo de la modificación del calendario escolar, debido a que el día de hoy se tendrá una reunión en la CDMX con los secretarios de educación de todos los estados para tomar una decisión sobre el tema.</t>
  </si>
  <si>
    <t>Con 40 equipos integrados, por mujeres de 33 municipios de Hidalgo, contando a Ajacuba, Tlaxcoapan, Tlahuelilpan, entre otros, se puso en marcha el Torneo Mujeres Libres como parte de la Estrategia Mundial Social 2026 impulsada por la presidenta Claudia Sheinbaum.La competencia reúne a más de 520 participantes y busca que el equipo ganador represente a Hidalgo en el Torneo Nacional. La convocatoria fue organizada por la Secretaría de Gobierno a través del Instituto Hidalguense de las Mujeres y los Centros Libres. AUDIO APOYO</t>
  </si>
  <si>
    <t>Mundial De Futbol</t>
  </si>
  <si>
    <t>La Secretaría de Educación Pública de Hidalgo anunció la realización de la Olimpiada del Conocimiento Infantil 2026, en la que participarán más de 53 mil estudiantes de sexto grado de primaria en todo el estado.Las informó que este certamen busca reconocer el desempeño académico de niñas y niños bajo el modelo de la nueva escuela mexicana, priorizando el entrenamiento crítico y el aprendizaje integral. El secretario de Educación Pública de Hidalgo, Natividad Castejón Valdés, destacó que la Olimpiada representa la colaboración de aprendizaje y el compromiso de las y los alumnos con sus comunidades escolares. De los más de 53 mil participantes, solo 100 estudiantes avanzarán a la siguiente etapa, tomando en cuenta su trayectoria escolar, desempeño académico y promedio del trimestre. Los resultados se van a conocer el próximo 18 de mayo.</t>
  </si>
  <si>
    <t>Olimpiada del Conocimiento</t>
  </si>
  <si>
    <t>La Conagua realizó recorridos de supervisión en diversos cuerpos de agua y cauces del municipio de Tulancingo, Hidalgo, con el objetivo de contribuir a mitigar riesgos de inundación ante la ocurrencia de posibles fenómenos hidrometeorológico.La actividad se llevó a cabo a fin de identificar, evaluar y atender de manera preventiva sitios con potencial de riesgo, así como y así fortalecer las acciones de protección a la población y a la infraestructura hidráulica municipal.Los recorridos se realizaron en coordinación con personal de Protección Civil del municipio, así como de la Comisión de Agua y Alcantarillado de Tulancingo (CAAMT).De esta manera, Conagua refrenda su compromiso de actuar de manera preventiva ante la temporada de lluvias.</t>
  </si>
  <si>
    <t>Prevención De Riesgos</t>
  </si>
  <si>
    <t>¿Cómo pasó usted? Seguramente tuvo la posibilidad, visitó a su mamá, estuvo con ella algunos minutos, arreglo de flores, algunas salieron a comer a algún restaurante. Hay historias que también duelen. ¿Por qué se lo menciono? La violencia contra las mujeres, especialmente madres de familia, mantiene cifras preocupantes, Hidalgo, ante este 2026. Vamos cinco meses de lo que va de este año y las cifras han aumentado considerablemente.Déjeme darles algunas. Escuche usted. De acuerdo con reportes del Secretario Ejecutivo del Sistema Nacional de Seguridad Pública, en el primer trimestre de este año se registraron 1,896 denuncias por violencia familiar en la entidad, lo que representa un incremento superior al 32% en comparación con el mismo periodo de 2025.En México cada día más mujeres son asesinadas o sufren violencia física. De acuerdo con especialistas, actualmente la violencia más común hacia las mujeres es la psicológica y proviene en su mayoría de sus parejas y muchas veces no se dan cuenta de la psicológica.</t>
  </si>
  <si>
    <t>Violencia De Género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</si>
</sst>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8" tableType="queryTable" totalsRowShown="0">
  <autoFilter ref="A1:M158"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8"/>
  <sheetViews>
    <sheetView tabSelected="1" topLeftCell="A128" workbookViewId="0">
      <selection activeCell="A158" sqref="A158"/>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28.5703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51</v>
      </c>
      <c r="C1" t="s">
        <v>52</v>
      </c>
      <c r="D1" t="s">
        <v>53</v>
      </c>
      <c r="E1" t="s">
        <v>1</v>
      </c>
      <c r="F1" t="s">
        <v>2</v>
      </c>
      <c r="G1" t="s">
        <v>4</v>
      </c>
      <c r="H1" t="s">
        <v>3</v>
      </c>
      <c r="I1" t="s">
        <v>5</v>
      </c>
      <c r="J1" t="s">
        <v>54</v>
      </c>
      <c r="K1" t="s">
        <v>55</v>
      </c>
      <c r="L1" t="s">
        <v>56</v>
      </c>
      <c r="M1" t="s">
        <v>64</v>
      </c>
    </row>
    <row r="2" spans="1:13" x14ac:dyDescent="0.25">
      <c r="A2" s="2">
        <v>46150</v>
      </c>
      <c r="B2" s="1" t="str">
        <f ca="1">IF(Información1[[#This Row],[Fecha]]='Ajuste de fechas'!$A$2,"Día actual","Día anterior")</f>
        <v>Día anterior</v>
      </c>
      <c r="C2" t="s">
        <v>38</v>
      </c>
      <c r="D2" t="s">
        <v>39</v>
      </c>
      <c r="E2" t="s">
        <v>107</v>
      </c>
      <c r="F2" t="s">
        <v>6</v>
      </c>
      <c r="G2" t="s">
        <v>108</v>
      </c>
      <c r="H2" t="s">
        <v>36</v>
      </c>
      <c r="I2" t="s">
        <v>7</v>
      </c>
      <c r="J2" t="s">
        <v>57</v>
      </c>
      <c r="K2" t="s">
        <v>27</v>
      </c>
      <c r="L2" t="s">
        <v>58</v>
      </c>
      <c r="M2">
        <v>1</v>
      </c>
    </row>
    <row r="3" spans="1:13" x14ac:dyDescent="0.25">
      <c r="A3" s="2">
        <v>46150</v>
      </c>
      <c r="B3" s="1" t="str">
        <f ca="1">IF(Información1[[#This Row],[Fecha]]='Ajuste de fechas'!$A$2,"Día actual","Día anterior")</f>
        <v>Día anterior</v>
      </c>
      <c r="C3" t="s">
        <v>38</v>
      </c>
      <c r="D3" t="s">
        <v>39</v>
      </c>
      <c r="E3" t="s">
        <v>109</v>
      </c>
      <c r="F3" t="s">
        <v>19</v>
      </c>
      <c r="G3" t="s">
        <v>110</v>
      </c>
      <c r="H3" t="s">
        <v>36</v>
      </c>
      <c r="I3" t="s">
        <v>7</v>
      </c>
      <c r="J3" t="s">
        <v>61</v>
      </c>
      <c r="K3" t="s">
        <v>27</v>
      </c>
      <c r="L3" t="s">
        <v>58</v>
      </c>
      <c r="M3">
        <v>1</v>
      </c>
    </row>
    <row r="4" spans="1:13" x14ac:dyDescent="0.25">
      <c r="A4" s="2">
        <v>46150</v>
      </c>
      <c r="B4" s="1" t="str">
        <f ca="1">IF(Información1[[#This Row],[Fecha]]='Ajuste de fechas'!$A$2,"Día actual","Día anterior")</f>
        <v>Día anterior</v>
      </c>
      <c r="C4" t="s">
        <v>38</v>
      </c>
      <c r="D4" t="s">
        <v>39</v>
      </c>
      <c r="E4" t="s">
        <v>112</v>
      </c>
      <c r="F4" t="s">
        <v>22</v>
      </c>
      <c r="G4" t="s">
        <v>113</v>
      </c>
      <c r="H4" t="s">
        <v>36</v>
      </c>
      <c r="I4" t="s">
        <v>7</v>
      </c>
      <c r="J4" t="s">
        <v>62</v>
      </c>
      <c r="K4" t="s">
        <v>27</v>
      </c>
      <c r="L4" t="s">
        <v>58</v>
      </c>
      <c r="M4">
        <v>1</v>
      </c>
    </row>
    <row r="5" spans="1:13" x14ac:dyDescent="0.25">
      <c r="A5" s="2">
        <v>46150</v>
      </c>
      <c r="B5" s="1" t="str">
        <f ca="1">IF(Información1[[#This Row],[Fecha]]='Ajuste de fechas'!$A$2,"Día actual","Día anterior")</f>
        <v>Día anterior</v>
      </c>
      <c r="C5" t="s">
        <v>38</v>
      </c>
      <c r="D5" t="s">
        <v>39</v>
      </c>
      <c r="E5" t="s">
        <v>114</v>
      </c>
      <c r="F5" t="s">
        <v>19</v>
      </c>
      <c r="G5" t="s">
        <v>115</v>
      </c>
      <c r="H5" t="s">
        <v>36</v>
      </c>
      <c r="I5" t="s">
        <v>25</v>
      </c>
      <c r="J5" t="s">
        <v>61</v>
      </c>
      <c r="K5" t="s">
        <v>27</v>
      </c>
      <c r="L5" t="s">
        <v>59</v>
      </c>
      <c r="M5">
        <v>1</v>
      </c>
    </row>
    <row r="6" spans="1:13" x14ac:dyDescent="0.25">
      <c r="A6" s="2">
        <v>46150</v>
      </c>
      <c r="B6" s="1" t="str">
        <f ca="1">IF(Información1[[#This Row],[Fecha]]='Ajuste de fechas'!$A$2,"Día actual","Día anterior")</f>
        <v>Día anterior</v>
      </c>
      <c r="C6" t="s">
        <v>38</v>
      </c>
      <c r="D6" t="s">
        <v>39</v>
      </c>
      <c r="E6" t="s">
        <v>116</v>
      </c>
      <c r="F6" t="s">
        <v>22</v>
      </c>
      <c r="G6" t="s">
        <v>73</v>
      </c>
      <c r="H6" t="s">
        <v>36</v>
      </c>
      <c r="I6" t="s">
        <v>7</v>
      </c>
      <c r="J6" t="s">
        <v>62</v>
      </c>
      <c r="K6" t="s">
        <v>27</v>
      </c>
      <c r="L6" t="s">
        <v>58</v>
      </c>
      <c r="M6">
        <v>1</v>
      </c>
    </row>
    <row r="7" spans="1:13" x14ac:dyDescent="0.25">
      <c r="A7" s="2">
        <v>46150</v>
      </c>
      <c r="B7" s="1" t="str">
        <f ca="1">IF(Información1[[#This Row],[Fecha]]='Ajuste de fechas'!$A$2,"Día actual","Día anterior")</f>
        <v>Día anterior</v>
      </c>
      <c r="C7" t="s">
        <v>38</v>
      </c>
      <c r="D7" t="s">
        <v>39</v>
      </c>
      <c r="E7" t="s">
        <v>117</v>
      </c>
      <c r="F7" t="s">
        <v>82</v>
      </c>
      <c r="G7" t="s">
        <v>106</v>
      </c>
      <c r="H7" t="s">
        <v>36</v>
      </c>
      <c r="I7" t="s">
        <v>7</v>
      </c>
      <c r="J7" t="s">
        <v>57</v>
      </c>
      <c r="K7" t="s">
        <v>27</v>
      </c>
      <c r="L7" t="s">
        <v>58</v>
      </c>
      <c r="M7">
        <v>1</v>
      </c>
    </row>
    <row r="8" spans="1:13" x14ac:dyDescent="0.25">
      <c r="A8" s="2">
        <v>46150</v>
      </c>
      <c r="B8" s="1" t="str">
        <f ca="1">IF(Información1[[#This Row],[Fecha]]='Ajuste de fechas'!$A$2,"Día actual","Día anterior")</f>
        <v>Día anterior</v>
      </c>
      <c r="C8" t="s">
        <v>38</v>
      </c>
      <c r="D8" t="s">
        <v>39</v>
      </c>
      <c r="E8" t="s">
        <v>118</v>
      </c>
      <c r="F8" t="s">
        <v>15</v>
      </c>
      <c r="G8" t="s">
        <v>69</v>
      </c>
      <c r="H8" t="s">
        <v>36</v>
      </c>
      <c r="I8" t="s">
        <v>7</v>
      </c>
      <c r="J8" t="s">
        <v>57</v>
      </c>
      <c r="K8" t="s">
        <v>27</v>
      </c>
      <c r="L8" t="s">
        <v>58</v>
      </c>
      <c r="M8">
        <v>1</v>
      </c>
    </row>
    <row r="9" spans="1:13" x14ac:dyDescent="0.25">
      <c r="A9" s="2">
        <v>46150</v>
      </c>
      <c r="B9" s="1" t="str">
        <f ca="1">IF(Información1[[#This Row],[Fecha]]='Ajuste de fechas'!$A$2,"Día actual","Día anterior")</f>
        <v>Día anterior</v>
      </c>
      <c r="C9" t="s">
        <v>38</v>
      </c>
      <c r="D9" t="s">
        <v>39</v>
      </c>
      <c r="E9" t="s">
        <v>119</v>
      </c>
      <c r="F9" t="s">
        <v>26</v>
      </c>
      <c r="G9" t="s">
        <v>78</v>
      </c>
      <c r="H9" t="s">
        <v>11</v>
      </c>
      <c r="I9" t="s">
        <v>7</v>
      </c>
      <c r="J9" t="s">
        <v>57</v>
      </c>
      <c r="K9" t="s">
        <v>27</v>
      </c>
      <c r="L9" t="s">
        <v>58</v>
      </c>
      <c r="M9">
        <v>1</v>
      </c>
    </row>
    <row r="10" spans="1:13" x14ac:dyDescent="0.25">
      <c r="A10" s="2">
        <v>46150</v>
      </c>
      <c r="B10" s="1" t="str">
        <f ca="1">IF(Información1[[#This Row],[Fecha]]='Ajuste de fechas'!$A$2,"Día actual","Día anterior")</f>
        <v>Día anterior</v>
      </c>
      <c r="C10" t="s">
        <v>38</v>
      </c>
      <c r="D10" t="s">
        <v>39</v>
      </c>
      <c r="E10" t="s">
        <v>120</v>
      </c>
      <c r="F10" t="s">
        <v>19</v>
      </c>
      <c r="G10" t="s">
        <v>121</v>
      </c>
      <c r="H10" t="s">
        <v>11</v>
      </c>
      <c r="I10" t="s">
        <v>7</v>
      </c>
      <c r="J10" t="s">
        <v>61</v>
      </c>
      <c r="K10" t="s">
        <v>27</v>
      </c>
      <c r="L10" t="s">
        <v>58</v>
      </c>
      <c r="M10">
        <v>1</v>
      </c>
    </row>
    <row r="11" spans="1:13" x14ac:dyDescent="0.25">
      <c r="A11" s="2">
        <v>46150</v>
      </c>
      <c r="B11" s="1" t="str">
        <f ca="1">IF(Información1[[#This Row],[Fecha]]='Ajuste de fechas'!$A$2,"Día actual","Día anterior")</f>
        <v>Día anterior</v>
      </c>
      <c r="C11" t="s">
        <v>38</v>
      </c>
      <c r="D11" t="s">
        <v>39</v>
      </c>
      <c r="E11" t="s">
        <v>122</v>
      </c>
      <c r="F11" t="s">
        <v>19</v>
      </c>
      <c r="G11" t="s">
        <v>123</v>
      </c>
      <c r="H11" t="s">
        <v>11</v>
      </c>
      <c r="I11" t="s">
        <v>7</v>
      </c>
      <c r="J11" t="s">
        <v>61</v>
      </c>
      <c r="K11" t="s">
        <v>27</v>
      </c>
      <c r="L11" t="s">
        <v>58</v>
      </c>
      <c r="M11">
        <v>1</v>
      </c>
    </row>
    <row r="12" spans="1:13" x14ac:dyDescent="0.25">
      <c r="A12" s="2">
        <v>46150</v>
      </c>
      <c r="B12" s="1" t="str">
        <f ca="1">IF(Información1[[#This Row],[Fecha]]='Ajuste de fechas'!$A$2,"Día actual","Día anterior")</f>
        <v>Día anterior</v>
      </c>
      <c r="C12" t="s">
        <v>38</v>
      </c>
      <c r="D12" t="s">
        <v>39</v>
      </c>
      <c r="E12" t="s">
        <v>124</v>
      </c>
      <c r="F12" t="s">
        <v>23</v>
      </c>
      <c r="G12" t="s">
        <v>90</v>
      </c>
      <c r="H12" t="s">
        <v>11</v>
      </c>
      <c r="I12" t="s">
        <v>7</v>
      </c>
      <c r="J12" t="s">
        <v>57</v>
      </c>
      <c r="K12" t="s">
        <v>27</v>
      </c>
      <c r="L12" t="s">
        <v>58</v>
      </c>
      <c r="M12">
        <v>1</v>
      </c>
    </row>
    <row r="13" spans="1:13" x14ac:dyDescent="0.25">
      <c r="A13" s="2">
        <v>46150</v>
      </c>
      <c r="B13" s="1" t="str">
        <f ca="1">IF(Información1[[#This Row],[Fecha]]='Ajuste de fechas'!$A$2,"Día actual","Día anterior")</f>
        <v>Día anterior</v>
      </c>
      <c r="C13" t="s">
        <v>38</v>
      </c>
      <c r="D13" t="s">
        <v>39</v>
      </c>
      <c r="E13" t="s">
        <v>125</v>
      </c>
      <c r="F13" t="s">
        <v>19</v>
      </c>
      <c r="G13" t="s">
        <v>126</v>
      </c>
      <c r="H13" t="s">
        <v>11</v>
      </c>
      <c r="I13" t="s">
        <v>7</v>
      </c>
      <c r="J13" t="s">
        <v>61</v>
      </c>
      <c r="K13" t="s">
        <v>27</v>
      </c>
      <c r="L13" t="s">
        <v>58</v>
      </c>
      <c r="M13">
        <v>1</v>
      </c>
    </row>
    <row r="14" spans="1:13" x14ac:dyDescent="0.25">
      <c r="A14" s="2">
        <v>46150</v>
      </c>
      <c r="B14" s="1" t="str">
        <f ca="1">IF(Información1[[#This Row],[Fecha]]='Ajuste de fechas'!$A$2,"Día actual","Día anterior")</f>
        <v>Día anterior</v>
      </c>
      <c r="C14" t="s">
        <v>38</v>
      </c>
      <c r="D14" t="s">
        <v>39</v>
      </c>
      <c r="E14" t="s">
        <v>127</v>
      </c>
      <c r="F14" t="s">
        <v>22</v>
      </c>
      <c r="G14" t="s">
        <v>128</v>
      </c>
      <c r="H14" t="s">
        <v>11</v>
      </c>
      <c r="I14" t="s">
        <v>7</v>
      </c>
      <c r="J14" t="s">
        <v>62</v>
      </c>
      <c r="K14" t="s">
        <v>27</v>
      </c>
      <c r="L14" t="s">
        <v>58</v>
      </c>
      <c r="M14">
        <v>1</v>
      </c>
    </row>
    <row r="15" spans="1:13" x14ac:dyDescent="0.25">
      <c r="A15" s="2">
        <v>46150</v>
      </c>
      <c r="B15" s="1" t="str">
        <f ca="1">IF(Información1[[#This Row],[Fecha]]='Ajuste de fechas'!$A$2,"Día actual","Día anterior")</f>
        <v>Día anterior</v>
      </c>
      <c r="C15" t="s">
        <v>38</v>
      </c>
      <c r="D15" t="s">
        <v>39</v>
      </c>
      <c r="E15" t="s">
        <v>129</v>
      </c>
      <c r="F15" t="s">
        <v>19</v>
      </c>
      <c r="G15" t="s">
        <v>103</v>
      </c>
      <c r="H15" t="s">
        <v>11</v>
      </c>
      <c r="I15" t="s">
        <v>7</v>
      </c>
      <c r="J15" t="s">
        <v>61</v>
      </c>
      <c r="K15" t="s">
        <v>27</v>
      </c>
      <c r="L15" t="s">
        <v>63</v>
      </c>
      <c r="M15">
        <v>1</v>
      </c>
    </row>
    <row r="16" spans="1:13" x14ac:dyDescent="0.25">
      <c r="A16" s="2">
        <v>46150</v>
      </c>
      <c r="B16" s="1" t="str">
        <f ca="1">IF(Información1[[#This Row],[Fecha]]='Ajuste de fechas'!$A$2,"Día actual","Día anterior")</f>
        <v>Día anterior</v>
      </c>
      <c r="C16" t="s">
        <v>38</v>
      </c>
      <c r="D16" t="s">
        <v>39</v>
      </c>
      <c r="E16" t="s">
        <v>130</v>
      </c>
      <c r="F16" t="s">
        <v>19</v>
      </c>
      <c r="G16" t="s">
        <v>131</v>
      </c>
      <c r="H16" t="s">
        <v>11</v>
      </c>
      <c r="I16" t="s">
        <v>7</v>
      </c>
      <c r="J16" t="s">
        <v>61</v>
      </c>
      <c r="K16" t="s">
        <v>27</v>
      </c>
      <c r="L16" t="s">
        <v>58</v>
      </c>
      <c r="M16">
        <v>1</v>
      </c>
    </row>
    <row r="17" spans="1:13" x14ac:dyDescent="0.25">
      <c r="A17" s="2">
        <v>46150</v>
      </c>
      <c r="B17" s="1" t="str">
        <f ca="1">IF(Información1[[#This Row],[Fecha]]='Ajuste de fechas'!$A$2,"Día actual","Día anterior")</f>
        <v>Día anterior</v>
      </c>
      <c r="C17" t="s">
        <v>38</v>
      </c>
      <c r="D17" t="s">
        <v>39</v>
      </c>
      <c r="E17" t="s">
        <v>132</v>
      </c>
      <c r="F17" t="s">
        <v>21</v>
      </c>
      <c r="G17" t="s">
        <v>133</v>
      </c>
      <c r="H17" t="s">
        <v>11</v>
      </c>
      <c r="I17" t="s">
        <v>7</v>
      </c>
      <c r="J17" t="s">
        <v>57</v>
      </c>
      <c r="K17" t="s">
        <v>27</v>
      </c>
      <c r="L17" t="s">
        <v>58</v>
      </c>
      <c r="M17">
        <v>1</v>
      </c>
    </row>
    <row r="18" spans="1:13" x14ac:dyDescent="0.25">
      <c r="A18" s="2">
        <v>46150</v>
      </c>
      <c r="B18" s="1" t="str">
        <f ca="1">IF(Información1[[#This Row],[Fecha]]='Ajuste de fechas'!$A$2,"Día actual","Día anterior")</f>
        <v>Día anterior</v>
      </c>
      <c r="C18" t="s">
        <v>38</v>
      </c>
      <c r="D18" t="s">
        <v>39</v>
      </c>
      <c r="E18" t="s">
        <v>136</v>
      </c>
      <c r="F18" t="s">
        <v>84</v>
      </c>
      <c r="G18" t="s">
        <v>137</v>
      </c>
      <c r="H18" t="s">
        <v>11</v>
      </c>
      <c r="I18" t="s">
        <v>7</v>
      </c>
      <c r="J18" t="s">
        <v>57</v>
      </c>
      <c r="K18" t="s">
        <v>27</v>
      </c>
      <c r="L18" t="s">
        <v>58</v>
      </c>
      <c r="M18">
        <v>1</v>
      </c>
    </row>
    <row r="19" spans="1:13" x14ac:dyDescent="0.25">
      <c r="A19" s="2">
        <v>46150</v>
      </c>
      <c r="B19" s="1" t="str">
        <f ca="1">IF(Información1[[#This Row],[Fecha]]='Ajuste de fechas'!$A$2,"Día actual","Día anterior")</f>
        <v>Día anterior</v>
      </c>
      <c r="C19" t="s">
        <v>38</v>
      </c>
      <c r="D19" t="s">
        <v>39</v>
      </c>
      <c r="E19" t="s">
        <v>138</v>
      </c>
      <c r="F19" t="s">
        <v>88</v>
      </c>
      <c r="G19" t="s">
        <v>80</v>
      </c>
      <c r="H19" t="s">
        <v>11</v>
      </c>
      <c r="I19" t="s">
        <v>7</v>
      </c>
      <c r="J19" t="s">
        <v>24</v>
      </c>
      <c r="K19" t="s">
        <v>27</v>
      </c>
      <c r="L19" t="s">
        <v>58</v>
      </c>
      <c r="M19">
        <v>1</v>
      </c>
    </row>
    <row r="20" spans="1:13" x14ac:dyDescent="0.25">
      <c r="A20" s="2">
        <v>46150</v>
      </c>
      <c r="B20" s="1" t="str">
        <f ca="1">IF(Información1[[#This Row],[Fecha]]='Ajuste de fechas'!$A$2,"Día actual","Día anterior")</f>
        <v>Día anterior</v>
      </c>
      <c r="C20" t="s">
        <v>38</v>
      </c>
      <c r="D20" t="s">
        <v>39</v>
      </c>
      <c r="E20" t="s">
        <v>139</v>
      </c>
      <c r="F20" t="s">
        <v>21</v>
      </c>
      <c r="G20" t="s">
        <v>113</v>
      </c>
      <c r="H20" t="s">
        <v>11</v>
      </c>
      <c r="I20" t="s">
        <v>7</v>
      </c>
      <c r="J20" t="s">
        <v>57</v>
      </c>
      <c r="K20" t="s">
        <v>27</v>
      </c>
      <c r="L20" t="s">
        <v>59</v>
      </c>
      <c r="M20">
        <v>1</v>
      </c>
    </row>
    <row r="21" spans="1:13" x14ac:dyDescent="0.25">
      <c r="A21" s="2">
        <v>46150</v>
      </c>
      <c r="B21" s="1" t="str">
        <f ca="1">IF(Información1[[#This Row],[Fecha]]='Ajuste de fechas'!$A$2,"Día actual","Día anterior")</f>
        <v>Día anterior</v>
      </c>
      <c r="C21" t="s">
        <v>45</v>
      </c>
      <c r="D21" t="s">
        <v>46</v>
      </c>
      <c r="E21" t="s">
        <v>140</v>
      </c>
      <c r="F21" t="s">
        <v>22</v>
      </c>
      <c r="G21" t="s">
        <v>113</v>
      </c>
      <c r="H21" t="s">
        <v>11</v>
      </c>
      <c r="I21" t="s">
        <v>25</v>
      </c>
      <c r="J21" t="s">
        <v>62</v>
      </c>
      <c r="K21" t="s">
        <v>47</v>
      </c>
      <c r="L21" t="s">
        <v>59</v>
      </c>
      <c r="M21">
        <v>1</v>
      </c>
    </row>
    <row r="22" spans="1:13" x14ac:dyDescent="0.25">
      <c r="A22" s="2">
        <v>46150</v>
      </c>
      <c r="B22" s="1" t="str">
        <f ca="1">IF(Información1[[#This Row],[Fecha]]='Ajuste de fechas'!$A$2,"Día actual","Día anterior")</f>
        <v>Día anterior</v>
      </c>
      <c r="C22" t="s">
        <v>45</v>
      </c>
      <c r="D22" t="s">
        <v>46</v>
      </c>
      <c r="E22" t="s">
        <v>141</v>
      </c>
      <c r="F22" t="s">
        <v>22</v>
      </c>
      <c r="G22" t="s">
        <v>113</v>
      </c>
      <c r="H22" t="s">
        <v>36</v>
      </c>
      <c r="I22" t="s">
        <v>7</v>
      </c>
      <c r="J22" t="s">
        <v>62</v>
      </c>
      <c r="K22" t="s">
        <v>47</v>
      </c>
      <c r="L22" t="s">
        <v>58</v>
      </c>
      <c r="M22">
        <v>1</v>
      </c>
    </row>
    <row r="23" spans="1:13" x14ac:dyDescent="0.25">
      <c r="A23" s="2">
        <v>46150</v>
      </c>
      <c r="B23" s="1" t="str">
        <f ca="1">IF(Información1[[#This Row],[Fecha]]='Ajuste de fechas'!$A$2,"Día actual","Día anterior")</f>
        <v>Día anterior</v>
      </c>
      <c r="C23" t="s">
        <v>45</v>
      </c>
      <c r="D23" t="s">
        <v>46</v>
      </c>
      <c r="E23" t="s">
        <v>142</v>
      </c>
      <c r="F23" t="s">
        <v>6</v>
      </c>
      <c r="G23" t="s">
        <v>108</v>
      </c>
      <c r="H23" t="s">
        <v>36</v>
      </c>
      <c r="I23" t="s">
        <v>7</v>
      </c>
      <c r="J23" t="s">
        <v>57</v>
      </c>
      <c r="K23" t="s">
        <v>47</v>
      </c>
      <c r="L23" t="s">
        <v>58</v>
      </c>
      <c r="M23">
        <v>1</v>
      </c>
    </row>
    <row r="24" spans="1:13" x14ac:dyDescent="0.25">
      <c r="A24" s="2">
        <v>46150</v>
      </c>
      <c r="B24" s="1" t="str">
        <f ca="1">IF(Información1[[#This Row],[Fecha]]='Ajuste de fechas'!$A$2,"Día actual","Día anterior")</f>
        <v>Día anterior</v>
      </c>
      <c r="C24" t="s">
        <v>45</v>
      </c>
      <c r="D24" t="s">
        <v>46</v>
      </c>
      <c r="E24" t="s">
        <v>143</v>
      </c>
      <c r="F24" t="s">
        <v>22</v>
      </c>
      <c r="G24" t="s">
        <v>105</v>
      </c>
      <c r="H24" t="s">
        <v>36</v>
      </c>
      <c r="I24" t="s">
        <v>7</v>
      </c>
      <c r="J24" t="s">
        <v>62</v>
      </c>
      <c r="K24" t="s">
        <v>47</v>
      </c>
      <c r="L24" t="s">
        <v>58</v>
      </c>
      <c r="M24">
        <v>1</v>
      </c>
    </row>
    <row r="25" spans="1:13" x14ac:dyDescent="0.25">
      <c r="A25" s="2">
        <v>46150</v>
      </c>
      <c r="B25" s="1" t="str">
        <f ca="1">IF(Información1[[#This Row],[Fecha]]='Ajuste de fechas'!$A$2,"Día actual","Día anterior")</f>
        <v>Día anterior</v>
      </c>
      <c r="C25" t="s">
        <v>45</v>
      </c>
      <c r="D25" t="s">
        <v>46</v>
      </c>
      <c r="E25" t="s">
        <v>91</v>
      </c>
      <c r="F25" t="s">
        <v>19</v>
      </c>
      <c r="G25" t="s">
        <v>37</v>
      </c>
      <c r="H25" t="s">
        <v>36</v>
      </c>
      <c r="I25" t="s">
        <v>7</v>
      </c>
      <c r="J25" t="s">
        <v>61</v>
      </c>
      <c r="K25" t="s">
        <v>47</v>
      </c>
      <c r="L25" t="s">
        <v>58</v>
      </c>
      <c r="M25">
        <v>1</v>
      </c>
    </row>
    <row r="26" spans="1:13" x14ac:dyDescent="0.25">
      <c r="A26" s="2">
        <v>46150</v>
      </c>
      <c r="B26" s="1" t="str">
        <f ca="1">IF(Información1[[#This Row],[Fecha]]='Ajuste de fechas'!$A$2,"Día actual","Día anterior")</f>
        <v>Día anterior</v>
      </c>
      <c r="C26" t="s">
        <v>45</v>
      </c>
      <c r="D26" t="s">
        <v>46</v>
      </c>
      <c r="E26" t="s">
        <v>145</v>
      </c>
      <c r="F26" t="s">
        <v>22</v>
      </c>
      <c r="G26" t="s">
        <v>113</v>
      </c>
      <c r="H26" t="s">
        <v>36</v>
      </c>
      <c r="I26" t="s">
        <v>25</v>
      </c>
      <c r="J26" t="s">
        <v>62</v>
      </c>
      <c r="K26" t="s">
        <v>47</v>
      </c>
      <c r="L26" t="s">
        <v>59</v>
      </c>
      <c r="M26">
        <v>1</v>
      </c>
    </row>
    <row r="27" spans="1:13" x14ac:dyDescent="0.25">
      <c r="A27" s="2">
        <v>46150</v>
      </c>
      <c r="B27" s="1" t="str">
        <f ca="1">IF(Información1[[#This Row],[Fecha]]='Ajuste de fechas'!$A$2,"Día actual","Día anterior")</f>
        <v>Día anterior</v>
      </c>
      <c r="C27" t="s">
        <v>45</v>
      </c>
      <c r="D27" t="s">
        <v>46</v>
      </c>
      <c r="E27" t="s">
        <v>146</v>
      </c>
      <c r="F27" t="s">
        <v>22</v>
      </c>
      <c r="G27" t="s">
        <v>113</v>
      </c>
      <c r="H27" t="s">
        <v>11</v>
      </c>
      <c r="I27" t="s">
        <v>25</v>
      </c>
      <c r="J27" t="s">
        <v>62</v>
      </c>
      <c r="K27" t="s">
        <v>147</v>
      </c>
      <c r="L27" t="s">
        <v>58</v>
      </c>
      <c r="M27">
        <v>1</v>
      </c>
    </row>
    <row r="28" spans="1:13" x14ac:dyDescent="0.25">
      <c r="A28" s="2">
        <v>46150</v>
      </c>
      <c r="B28" s="1" t="str">
        <f ca="1">IF(Información1[[#This Row],[Fecha]]='Ajuste de fechas'!$A$2,"Día actual","Día anterior")</f>
        <v>Día anterior</v>
      </c>
      <c r="C28" t="s">
        <v>45</v>
      </c>
      <c r="D28" t="s">
        <v>46</v>
      </c>
      <c r="E28" t="s">
        <v>148</v>
      </c>
      <c r="F28" t="s">
        <v>22</v>
      </c>
      <c r="G28" t="s">
        <v>113</v>
      </c>
      <c r="H28" t="s">
        <v>11</v>
      </c>
      <c r="I28" t="s">
        <v>7</v>
      </c>
      <c r="J28" t="s">
        <v>62</v>
      </c>
      <c r="K28" t="s">
        <v>47</v>
      </c>
      <c r="L28" t="s">
        <v>58</v>
      </c>
      <c r="M28">
        <v>1</v>
      </c>
    </row>
    <row r="29" spans="1:13" x14ac:dyDescent="0.25">
      <c r="A29" s="2">
        <v>46150</v>
      </c>
      <c r="B29" s="1" t="str">
        <f ca="1">IF(Información1[[#This Row],[Fecha]]='Ajuste de fechas'!$A$2,"Día actual","Día anterior")</f>
        <v>Día anterior</v>
      </c>
      <c r="C29" t="s">
        <v>38</v>
      </c>
      <c r="D29" t="s">
        <v>39</v>
      </c>
      <c r="E29" t="s">
        <v>112</v>
      </c>
      <c r="F29" t="s">
        <v>22</v>
      </c>
      <c r="G29" t="s">
        <v>113</v>
      </c>
      <c r="H29" t="s">
        <v>11</v>
      </c>
      <c r="I29" t="s">
        <v>7</v>
      </c>
      <c r="J29" t="s">
        <v>62</v>
      </c>
      <c r="K29" t="s">
        <v>27</v>
      </c>
      <c r="L29" t="s">
        <v>58</v>
      </c>
      <c r="M29">
        <v>1</v>
      </c>
    </row>
    <row r="30" spans="1:13" x14ac:dyDescent="0.25">
      <c r="A30" s="2">
        <v>46150</v>
      </c>
      <c r="B30" s="1" t="str">
        <f ca="1">IF(Información1[[#This Row],[Fecha]]='Ajuste de fechas'!$A$2,"Día actual","Día anterior")</f>
        <v>Día anterior</v>
      </c>
      <c r="C30" t="s">
        <v>31</v>
      </c>
      <c r="D30" t="s">
        <v>34</v>
      </c>
      <c r="E30" t="s">
        <v>151</v>
      </c>
      <c r="F30" t="s">
        <v>19</v>
      </c>
      <c r="G30" t="s">
        <v>101</v>
      </c>
      <c r="H30" t="s">
        <v>11</v>
      </c>
      <c r="I30" t="s">
        <v>7</v>
      </c>
      <c r="J30" t="s">
        <v>61</v>
      </c>
      <c r="K30" t="s">
        <v>32</v>
      </c>
      <c r="L30" t="s">
        <v>58</v>
      </c>
      <c r="M30">
        <v>1</v>
      </c>
    </row>
    <row r="31" spans="1:13" x14ac:dyDescent="0.25">
      <c r="A31" s="2">
        <v>46150</v>
      </c>
      <c r="B31" s="1" t="str">
        <f ca="1">IF(Información1[[#This Row],[Fecha]]='Ajuste de fechas'!$A$2,"Día actual","Día anterior")</f>
        <v>Día anterior</v>
      </c>
      <c r="C31" t="s">
        <v>31</v>
      </c>
      <c r="D31" t="s">
        <v>33</v>
      </c>
      <c r="E31" t="s">
        <v>152</v>
      </c>
      <c r="F31" t="s">
        <v>22</v>
      </c>
      <c r="G31" t="s">
        <v>153</v>
      </c>
      <c r="H31" t="s">
        <v>11</v>
      </c>
      <c r="I31" t="s">
        <v>7</v>
      </c>
      <c r="J31" t="s">
        <v>62</v>
      </c>
      <c r="K31" t="s">
        <v>49</v>
      </c>
      <c r="L31" t="s">
        <v>58</v>
      </c>
      <c r="M31">
        <v>1</v>
      </c>
    </row>
    <row r="32" spans="1:13" x14ac:dyDescent="0.25">
      <c r="A32" s="2">
        <v>46150</v>
      </c>
      <c r="B32" s="1" t="str">
        <f ca="1">IF(Información1[[#This Row],[Fecha]]='Ajuste de fechas'!$A$2,"Día actual","Día anterior")</f>
        <v>Día anterior</v>
      </c>
      <c r="C32" t="s">
        <v>31</v>
      </c>
      <c r="D32" t="s">
        <v>34</v>
      </c>
      <c r="E32" t="s">
        <v>154</v>
      </c>
      <c r="F32" t="s">
        <v>44</v>
      </c>
      <c r="G32" t="s">
        <v>104</v>
      </c>
      <c r="H32" t="s">
        <v>11</v>
      </c>
      <c r="I32" t="s">
        <v>7</v>
      </c>
      <c r="J32" t="s">
        <v>57</v>
      </c>
      <c r="K32" t="s">
        <v>32</v>
      </c>
      <c r="L32" t="s">
        <v>58</v>
      </c>
      <c r="M32">
        <v>1</v>
      </c>
    </row>
    <row r="33" spans="1:13" x14ac:dyDescent="0.25">
      <c r="A33" s="2">
        <v>46150</v>
      </c>
      <c r="B33" s="1" t="str">
        <f ca="1">IF(Información1[[#This Row],[Fecha]]='Ajuste de fechas'!$A$2,"Día actual","Día anterior")</f>
        <v>Día anterior</v>
      </c>
      <c r="C33" t="s">
        <v>31</v>
      </c>
      <c r="D33" t="s">
        <v>33</v>
      </c>
      <c r="E33" t="s">
        <v>155</v>
      </c>
      <c r="F33" t="s">
        <v>88</v>
      </c>
      <c r="G33" t="s">
        <v>156</v>
      </c>
      <c r="H33" t="s">
        <v>11</v>
      </c>
      <c r="I33" t="s">
        <v>7</v>
      </c>
      <c r="J33" t="s">
        <v>24</v>
      </c>
      <c r="K33" t="s">
        <v>49</v>
      </c>
      <c r="L33" t="s">
        <v>58</v>
      </c>
      <c r="M33">
        <v>1</v>
      </c>
    </row>
    <row r="34" spans="1:13" x14ac:dyDescent="0.25">
      <c r="A34" s="2">
        <v>46150</v>
      </c>
      <c r="B34" s="1" t="str">
        <f ca="1">IF(Información1[[#This Row],[Fecha]]='Ajuste de fechas'!$A$2,"Día actual","Día anterior")</f>
        <v>Día anterior</v>
      </c>
      <c r="C34" t="s">
        <v>8</v>
      </c>
      <c r="D34" t="s">
        <v>10</v>
      </c>
      <c r="E34" t="s">
        <v>157</v>
      </c>
      <c r="F34" t="s">
        <v>19</v>
      </c>
      <c r="G34" t="s">
        <v>158</v>
      </c>
      <c r="H34" t="s">
        <v>11</v>
      </c>
      <c r="I34" t="s">
        <v>25</v>
      </c>
      <c r="J34" t="s">
        <v>61</v>
      </c>
      <c r="K34" t="s">
        <v>9</v>
      </c>
      <c r="L34" t="s">
        <v>59</v>
      </c>
      <c r="M34">
        <v>1</v>
      </c>
    </row>
    <row r="35" spans="1:13" x14ac:dyDescent="0.25">
      <c r="A35" s="2">
        <v>46150</v>
      </c>
      <c r="B35" s="1" t="str">
        <f ca="1">IF(Información1[[#This Row],[Fecha]]='Ajuste de fechas'!$A$2,"Día actual","Día anterior")</f>
        <v>Día anterior</v>
      </c>
      <c r="C35" t="s">
        <v>31</v>
      </c>
      <c r="D35" t="s">
        <v>33</v>
      </c>
      <c r="E35" t="s">
        <v>159</v>
      </c>
      <c r="F35" t="s">
        <v>26</v>
      </c>
      <c r="G35" t="s">
        <v>99</v>
      </c>
      <c r="H35" t="s">
        <v>11</v>
      </c>
      <c r="I35" t="s">
        <v>7</v>
      </c>
      <c r="J35" t="s">
        <v>57</v>
      </c>
      <c r="K35" t="s">
        <v>49</v>
      </c>
      <c r="L35" t="s">
        <v>58</v>
      </c>
      <c r="M35">
        <v>1</v>
      </c>
    </row>
    <row r="36" spans="1:13" x14ac:dyDescent="0.25">
      <c r="A36" s="2">
        <v>46150</v>
      </c>
      <c r="B36" s="1" t="str">
        <f ca="1">IF(Información1[[#This Row],[Fecha]]='Ajuste de fechas'!$A$2,"Día actual","Día anterior")</f>
        <v>Día anterior</v>
      </c>
      <c r="C36" t="s">
        <v>31</v>
      </c>
      <c r="D36" t="s">
        <v>34</v>
      </c>
      <c r="E36" t="s">
        <v>161</v>
      </c>
      <c r="F36" t="s">
        <v>26</v>
      </c>
      <c r="G36" t="s">
        <v>99</v>
      </c>
      <c r="H36" t="s">
        <v>11</v>
      </c>
      <c r="I36" t="s">
        <v>7</v>
      </c>
      <c r="J36" t="s">
        <v>57</v>
      </c>
      <c r="K36" t="s">
        <v>32</v>
      </c>
      <c r="L36" t="s">
        <v>58</v>
      </c>
      <c r="M36">
        <v>1</v>
      </c>
    </row>
    <row r="37" spans="1:13" x14ac:dyDescent="0.25">
      <c r="A37" s="2">
        <v>46150</v>
      </c>
      <c r="B37" s="1" t="str">
        <f ca="1">IF(Información1[[#This Row],[Fecha]]='Ajuste de fechas'!$A$2,"Día actual","Día anterior")</f>
        <v>Día anterior</v>
      </c>
      <c r="C37" t="s">
        <v>31</v>
      </c>
      <c r="D37" t="s">
        <v>34</v>
      </c>
      <c r="E37" t="s">
        <v>162</v>
      </c>
      <c r="F37" t="s">
        <v>67</v>
      </c>
      <c r="G37" t="s">
        <v>102</v>
      </c>
      <c r="H37" t="s">
        <v>11</v>
      </c>
      <c r="I37" t="s">
        <v>7</v>
      </c>
      <c r="J37" t="s">
        <v>57</v>
      </c>
      <c r="K37" t="s">
        <v>32</v>
      </c>
      <c r="L37" t="s">
        <v>58</v>
      </c>
      <c r="M37">
        <v>1</v>
      </c>
    </row>
    <row r="38" spans="1:13" x14ac:dyDescent="0.25">
      <c r="A38" s="2">
        <v>46150</v>
      </c>
      <c r="B38" s="1" t="str">
        <f ca="1">IF(Información1[[#This Row],[Fecha]]='Ajuste de fechas'!$A$2,"Día actual","Día anterior")</f>
        <v>Día anterior</v>
      </c>
      <c r="C38" t="s">
        <v>8</v>
      </c>
      <c r="D38" t="s">
        <v>10</v>
      </c>
      <c r="E38" t="s">
        <v>163</v>
      </c>
      <c r="F38" t="s">
        <v>17</v>
      </c>
      <c r="G38" t="s">
        <v>87</v>
      </c>
      <c r="H38" t="s">
        <v>11</v>
      </c>
      <c r="I38" t="s">
        <v>25</v>
      </c>
      <c r="J38" t="s">
        <v>57</v>
      </c>
      <c r="K38" t="s">
        <v>9</v>
      </c>
      <c r="L38" t="s">
        <v>59</v>
      </c>
      <c r="M38">
        <v>1</v>
      </c>
    </row>
    <row r="39" spans="1:13" x14ac:dyDescent="0.25">
      <c r="A39" s="2">
        <v>46150</v>
      </c>
      <c r="B39" s="1" t="str">
        <f ca="1">IF(Información1[[#This Row],[Fecha]]='Ajuste de fechas'!$A$2,"Día actual","Día anterior")</f>
        <v>Día anterior</v>
      </c>
      <c r="C39" t="s">
        <v>8</v>
      </c>
      <c r="D39" t="s">
        <v>10</v>
      </c>
      <c r="E39" t="s">
        <v>164</v>
      </c>
      <c r="F39" t="s">
        <v>19</v>
      </c>
      <c r="G39" t="s">
        <v>165</v>
      </c>
      <c r="H39" t="s">
        <v>11</v>
      </c>
      <c r="I39" t="s">
        <v>7</v>
      </c>
      <c r="J39" t="s">
        <v>61</v>
      </c>
      <c r="K39" t="s">
        <v>14</v>
      </c>
      <c r="L39" t="s">
        <v>58</v>
      </c>
      <c r="M39">
        <v>1</v>
      </c>
    </row>
    <row r="40" spans="1:13" x14ac:dyDescent="0.25">
      <c r="A40" s="2">
        <v>46150</v>
      </c>
      <c r="B40" s="1" t="str">
        <f ca="1">IF(Información1[[#This Row],[Fecha]]='Ajuste de fechas'!$A$2,"Día actual","Día anterior")</f>
        <v>Día anterior</v>
      </c>
      <c r="C40" t="s">
        <v>31</v>
      </c>
      <c r="D40" t="s">
        <v>33</v>
      </c>
      <c r="E40" t="s">
        <v>166</v>
      </c>
      <c r="F40" t="s">
        <v>22</v>
      </c>
      <c r="G40" t="s">
        <v>113</v>
      </c>
      <c r="H40" t="s">
        <v>11</v>
      </c>
      <c r="I40" t="s">
        <v>7</v>
      </c>
      <c r="J40" t="s">
        <v>62</v>
      </c>
      <c r="K40" t="s">
        <v>49</v>
      </c>
      <c r="L40" t="s">
        <v>58</v>
      </c>
      <c r="M40">
        <v>1</v>
      </c>
    </row>
    <row r="41" spans="1:13" x14ac:dyDescent="0.25">
      <c r="A41" s="2">
        <v>46150</v>
      </c>
      <c r="B41" s="1" t="str">
        <f ca="1">IF(Información1[[#This Row],[Fecha]]='Ajuste de fechas'!$A$2,"Día actual","Día anterior")</f>
        <v>Día anterior</v>
      </c>
      <c r="C41" t="s">
        <v>31</v>
      </c>
      <c r="D41" t="s">
        <v>33</v>
      </c>
      <c r="E41" t="s">
        <v>167</v>
      </c>
      <c r="F41" t="s">
        <v>22</v>
      </c>
      <c r="G41" t="s">
        <v>113</v>
      </c>
      <c r="H41" t="s">
        <v>11</v>
      </c>
      <c r="I41" t="s">
        <v>7</v>
      </c>
      <c r="J41" t="s">
        <v>62</v>
      </c>
      <c r="K41" t="s">
        <v>49</v>
      </c>
      <c r="L41" t="s">
        <v>58</v>
      </c>
      <c r="M41">
        <v>1</v>
      </c>
    </row>
    <row r="42" spans="1:13" x14ac:dyDescent="0.25">
      <c r="A42" s="2">
        <v>46150</v>
      </c>
      <c r="B42" s="1" t="str">
        <f ca="1">IF(Información1[[#This Row],[Fecha]]='Ajuste de fechas'!$A$2,"Día actual","Día anterior")</f>
        <v>Día anterior</v>
      </c>
      <c r="C42" t="s">
        <v>31</v>
      </c>
      <c r="D42" t="s">
        <v>34</v>
      </c>
      <c r="E42" t="s">
        <v>168</v>
      </c>
      <c r="F42" t="s">
        <v>22</v>
      </c>
      <c r="G42" t="s">
        <v>113</v>
      </c>
      <c r="H42" t="s">
        <v>11</v>
      </c>
      <c r="I42" t="s">
        <v>7</v>
      </c>
      <c r="J42" t="s">
        <v>62</v>
      </c>
      <c r="K42" t="s">
        <v>9</v>
      </c>
      <c r="L42" t="s">
        <v>58</v>
      </c>
      <c r="M42">
        <v>1</v>
      </c>
    </row>
    <row r="43" spans="1:13" x14ac:dyDescent="0.25">
      <c r="A43" s="2">
        <v>46150</v>
      </c>
      <c r="B43" s="1" t="str">
        <f ca="1">IF(Información1[[#This Row],[Fecha]]='Ajuste de fechas'!$A$2,"Día actual","Día anterior")</f>
        <v>Día anterior</v>
      </c>
      <c r="C43" t="s">
        <v>31</v>
      </c>
      <c r="D43" t="s">
        <v>34</v>
      </c>
      <c r="E43" t="s">
        <v>169</v>
      </c>
      <c r="F43" t="s">
        <v>21</v>
      </c>
      <c r="G43" t="s">
        <v>113</v>
      </c>
      <c r="H43" t="s">
        <v>11</v>
      </c>
      <c r="I43" t="s">
        <v>7</v>
      </c>
      <c r="J43" t="s">
        <v>57</v>
      </c>
      <c r="K43" t="s">
        <v>32</v>
      </c>
      <c r="L43" t="s">
        <v>58</v>
      </c>
      <c r="M43">
        <v>1</v>
      </c>
    </row>
    <row r="44" spans="1:13" x14ac:dyDescent="0.25">
      <c r="A44" s="2">
        <v>46150</v>
      </c>
      <c r="B44" s="1" t="str">
        <f ca="1">IF(Información1[[#This Row],[Fecha]]='Ajuste de fechas'!$A$2,"Día actual","Día anterior")</f>
        <v>Día anterior</v>
      </c>
      <c r="C44" t="s">
        <v>8</v>
      </c>
      <c r="D44" t="s">
        <v>10</v>
      </c>
      <c r="E44" t="s">
        <v>170</v>
      </c>
      <c r="F44" t="s">
        <v>22</v>
      </c>
      <c r="G44" t="s">
        <v>113</v>
      </c>
      <c r="H44" t="s">
        <v>11</v>
      </c>
      <c r="I44" t="s">
        <v>7</v>
      </c>
      <c r="J44" t="s">
        <v>62</v>
      </c>
      <c r="K44" t="s">
        <v>14</v>
      </c>
      <c r="L44" t="s">
        <v>58</v>
      </c>
      <c r="M44">
        <v>1</v>
      </c>
    </row>
    <row r="45" spans="1:13" x14ac:dyDescent="0.25">
      <c r="A45" s="2">
        <v>46150</v>
      </c>
      <c r="B45" s="1" t="str">
        <f ca="1">IF(Información1[[#This Row],[Fecha]]='Ajuste de fechas'!$A$2,"Día actual","Día anterior")</f>
        <v>Día anterior</v>
      </c>
      <c r="C45" t="s">
        <v>8</v>
      </c>
      <c r="D45" t="s">
        <v>10</v>
      </c>
      <c r="E45" t="s">
        <v>171</v>
      </c>
      <c r="F45" t="s">
        <v>22</v>
      </c>
      <c r="G45" t="s">
        <v>113</v>
      </c>
      <c r="H45" t="s">
        <v>11</v>
      </c>
      <c r="I45" t="s">
        <v>7</v>
      </c>
      <c r="J45" t="s">
        <v>62</v>
      </c>
      <c r="K45" t="s">
        <v>14</v>
      </c>
      <c r="L45" t="s">
        <v>58</v>
      </c>
      <c r="M45">
        <v>1</v>
      </c>
    </row>
    <row r="46" spans="1:13" x14ac:dyDescent="0.25">
      <c r="A46" s="2">
        <v>46150</v>
      </c>
      <c r="B46" s="1" t="str">
        <f ca="1">IF(Información1[[#This Row],[Fecha]]='Ajuste de fechas'!$A$2,"Día actual","Día anterior")</f>
        <v>Día anterior</v>
      </c>
      <c r="C46" t="s">
        <v>8</v>
      </c>
      <c r="D46" t="s">
        <v>10</v>
      </c>
      <c r="E46" t="s">
        <v>172</v>
      </c>
      <c r="F46" t="s">
        <v>22</v>
      </c>
      <c r="G46" t="s">
        <v>113</v>
      </c>
      <c r="H46" t="s">
        <v>11</v>
      </c>
      <c r="I46" t="s">
        <v>7</v>
      </c>
      <c r="J46" t="s">
        <v>62</v>
      </c>
      <c r="K46" t="s">
        <v>14</v>
      </c>
      <c r="L46" t="s">
        <v>58</v>
      </c>
      <c r="M46">
        <v>1</v>
      </c>
    </row>
    <row r="47" spans="1:13" x14ac:dyDescent="0.25">
      <c r="A47" s="2">
        <v>46150</v>
      </c>
      <c r="B47" s="1" t="str">
        <f ca="1">IF(Información1[[#This Row],[Fecha]]='Ajuste de fechas'!$A$2,"Día actual","Día anterior")</f>
        <v>Día anterior</v>
      </c>
      <c r="C47" t="s">
        <v>8</v>
      </c>
      <c r="D47" t="s">
        <v>10</v>
      </c>
      <c r="E47" t="s">
        <v>94</v>
      </c>
      <c r="F47" t="s">
        <v>19</v>
      </c>
      <c r="G47" t="s">
        <v>95</v>
      </c>
      <c r="H47" t="s">
        <v>11</v>
      </c>
      <c r="I47" t="s">
        <v>7</v>
      </c>
      <c r="J47" t="s">
        <v>61</v>
      </c>
      <c r="K47" t="s">
        <v>14</v>
      </c>
      <c r="L47" t="s">
        <v>58</v>
      </c>
      <c r="M47">
        <v>1</v>
      </c>
    </row>
    <row r="48" spans="1:13" x14ac:dyDescent="0.25">
      <c r="A48" s="2">
        <v>46150</v>
      </c>
      <c r="B48" s="1" t="str">
        <f ca="1">IF(Información1[[#This Row],[Fecha]]='Ajuste de fechas'!$A$2,"Día actual","Día anterior")</f>
        <v>Día anterior</v>
      </c>
      <c r="C48" t="s">
        <v>8</v>
      </c>
      <c r="D48" t="s">
        <v>10</v>
      </c>
      <c r="E48" t="s">
        <v>173</v>
      </c>
      <c r="F48" t="s">
        <v>24</v>
      </c>
      <c r="G48" t="s">
        <v>72</v>
      </c>
      <c r="H48" t="s">
        <v>11</v>
      </c>
      <c r="I48" t="s">
        <v>7</v>
      </c>
      <c r="J48" t="s">
        <v>24</v>
      </c>
      <c r="K48" t="s">
        <v>14</v>
      </c>
      <c r="L48" t="s">
        <v>59</v>
      </c>
      <c r="M48">
        <v>1</v>
      </c>
    </row>
    <row r="49" spans="1:13" x14ac:dyDescent="0.25">
      <c r="A49" s="2">
        <v>46150</v>
      </c>
      <c r="B49" s="1" t="str">
        <f ca="1">IF(Información1[[#This Row],[Fecha]]='Ajuste de fechas'!$A$2,"Día actual","Día anterior")</f>
        <v>Día anterior</v>
      </c>
      <c r="C49" t="s">
        <v>31</v>
      </c>
      <c r="D49" t="s">
        <v>34</v>
      </c>
      <c r="E49" t="s">
        <v>174</v>
      </c>
      <c r="F49" t="s">
        <v>175</v>
      </c>
      <c r="G49" t="s">
        <v>176</v>
      </c>
      <c r="H49" t="s">
        <v>11</v>
      </c>
      <c r="I49" t="s">
        <v>7</v>
      </c>
      <c r="J49" t="s">
        <v>57</v>
      </c>
      <c r="K49" t="s">
        <v>32</v>
      </c>
      <c r="L49" t="s">
        <v>58</v>
      </c>
      <c r="M49">
        <v>1</v>
      </c>
    </row>
    <row r="50" spans="1:13" x14ac:dyDescent="0.25">
      <c r="A50" s="2">
        <v>46150</v>
      </c>
      <c r="B50" s="1" t="str">
        <f ca="1">IF(Información1[[#This Row],[Fecha]]='Ajuste de fechas'!$A$2,"Día actual","Día anterior")</f>
        <v>Día anterior</v>
      </c>
      <c r="C50" t="s">
        <v>177</v>
      </c>
      <c r="D50" t="s">
        <v>178</v>
      </c>
      <c r="E50" t="s">
        <v>179</v>
      </c>
      <c r="F50" t="s">
        <v>75</v>
      </c>
      <c r="G50" t="s">
        <v>74</v>
      </c>
      <c r="H50" t="s">
        <v>11</v>
      </c>
      <c r="I50" t="s">
        <v>12</v>
      </c>
      <c r="J50" t="s">
        <v>57</v>
      </c>
      <c r="K50" t="s">
        <v>180</v>
      </c>
      <c r="L50" t="s">
        <v>79</v>
      </c>
      <c r="M50">
        <v>1</v>
      </c>
    </row>
    <row r="51" spans="1:13" x14ac:dyDescent="0.25">
      <c r="A51" s="2">
        <v>46150</v>
      </c>
      <c r="B51" s="1" t="str">
        <f ca="1">IF(Información1[[#This Row],[Fecha]]='Ajuste de fechas'!$A$2,"Día actual","Día anterior")</f>
        <v>Día anterior</v>
      </c>
      <c r="C51" t="s">
        <v>31</v>
      </c>
      <c r="D51" t="s">
        <v>33</v>
      </c>
      <c r="E51" t="s">
        <v>181</v>
      </c>
      <c r="F51" t="s">
        <v>75</v>
      </c>
      <c r="G51" t="s">
        <v>74</v>
      </c>
      <c r="H51" t="s">
        <v>11</v>
      </c>
      <c r="I51" t="s">
        <v>12</v>
      </c>
      <c r="J51" t="s">
        <v>57</v>
      </c>
      <c r="K51" t="s">
        <v>49</v>
      </c>
      <c r="L51" t="s">
        <v>79</v>
      </c>
      <c r="M51">
        <v>1</v>
      </c>
    </row>
    <row r="52" spans="1:13" x14ac:dyDescent="0.25">
      <c r="A52" s="2">
        <v>46150</v>
      </c>
      <c r="B52" s="1" t="str">
        <f ca="1">IF(Información1[[#This Row],[Fecha]]='Ajuste de fechas'!$A$2,"Día actual","Día anterior")</f>
        <v>Día anterior</v>
      </c>
      <c r="C52" t="s">
        <v>31</v>
      </c>
      <c r="D52" t="s">
        <v>34</v>
      </c>
      <c r="E52" t="s">
        <v>182</v>
      </c>
      <c r="F52" t="s">
        <v>75</v>
      </c>
      <c r="G52" t="s">
        <v>74</v>
      </c>
      <c r="H52" t="s">
        <v>11</v>
      </c>
      <c r="I52" t="s">
        <v>7</v>
      </c>
      <c r="J52" t="s">
        <v>57</v>
      </c>
      <c r="K52" t="s">
        <v>32</v>
      </c>
      <c r="L52" t="s">
        <v>58</v>
      </c>
      <c r="M52">
        <v>1</v>
      </c>
    </row>
    <row r="53" spans="1:13" x14ac:dyDescent="0.25">
      <c r="A53" s="2">
        <v>46150</v>
      </c>
      <c r="B53" s="1" t="str">
        <f ca="1">IF(Información1[[#This Row],[Fecha]]='Ajuste de fechas'!$A$2,"Día actual","Día anterior")</f>
        <v>Día anterior</v>
      </c>
      <c r="C53" t="s">
        <v>8</v>
      </c>
      <c r="D53" t="s">
        <v>10</v>
      </c>
      <c r="E53" t="s">
        <v>183</v>
      </c>
      <c r="F53" t="s">
        <v>88</v>
      </c>
      <c r="G53" t="s">
        <v>92</v>
      </c>
      <c r="H53" t="s">
        <v>11</v>
      </c>
      <c r="I53" t="s">
        <v>7</v>
      </c>
      <c r="J53" t="s">
        <v>24</v>
      </c>
      <c r="K53" t="s">
        <v>14</v>
      </c>
      <c r="L53" t="s">
        <v>58</v>
      </c>
      <c r="M53">
        <v>1</v>
      </c>
    </row>
    <row r="54" spans="1:13" x14ac:dyDescent="0.25">
      <c r="A54" s="2">
        <v>46150</v>
      </c>
      <c r="B54" s="1" t="str">
        <f ca="1">IF(Información1[[#This Row],[Fecha]]='Ajuste de fechas'!$A$2,"Día actual","Día anterior")</f>
        <v>Día anterior</v>
      </c>
      <c r="C54" t="s">
        <v>31</v>
      </c>
      <c r="D54" t="s">
        <v>34</v>
      </c>
      <c r="E54" t="s">
        <v>184</v>
      </c>
      <c r="F54" t="s">
        <v>22</v>
      </c>
      <c r="G54" t="s">
        <v>185</v>
      </c>
      <c r="H54" t="s">
        <v>11</v>
      </c>
      <c r="I54" t="s">
        <v>7</v>
      </c>
      <c r="J54" t="s">
        <v>62</v>
      </c>
      <c r="K54" t="s">
        <v>32</v>
      </c>
      <c r="L54" t="s">
        <v>58</v>
      </c>
      <c r="M54">
        <v>1</v>
      </c>
    </row>
    <row r="55" spans="1:13" x14ac:dyDescent="0.25">
      <c r="A55" s="2">
        <v>46150</v>
      </c>
      <c r="B55" s="1" t="str">
        <f ca="1">IF(Información1[[#This Row],[Fecha]]='Ajuste de fechas'!$A$2,"Día actual","Día anterior")</f>
        <v>Día anterior</v>
      </c>
      <c r="C55" t="s">
        <v>8</v>
      </c>
      <c r="D55" t="s">
        <v>10</v>
      </c>
      <c r="E55" t="s">
        <v>186</v>
      </c>
      <c r="F55" t="s">
        <v>6</v>
      </c>
      <c r="G55" t="s">
        <v>187</v>
      </c>
      <c r="H55" t="s">
        <v>11</v>
      </c>
      <c r="I55" t="s">
        <v>25</v>
      </c>
      <c r="J55" t="s">
        <v>57</v>
      </c>
      <c r="K55" t="s">
        <v>9</v>
      </c>
      <c r="L55" t="s">
        <v>59</v>
      </c>
      <c r="M55">
        <v>1</v>
      </c>
    </row>
    <row r="56" spans="1:13" x14ac:dyDescent="0.25">
      <c r="A56" s="2">
        <v>46150</v>
      </c>
      <c r="B56" s="1" t="str">
        <f ca="1">IF(Información1[[#This Row],[Fecha]]='Ajuste de fechas'!$A$2,"Día actual","Día anterior")</f>
        <v>Día anterior</v>
      </c>
      <c r="C56" t="s">
        <v>31</v>
      </c>
      <c r="D56" t="s">
        <v>34</v>
      </c>
      <c r="E56" t="s">
        <v>188</v>
      </c>
      <c r="F56" t="s">
        <v>23</v>
      </c>
      <c r="G56" t="s">
        <v>189</v>
      </c>
      <c r="H56" t="s">
        <v>11</v>
      </c>
      <c r="I56" t="s">
        <v>7</v>
      </c>
      <c r="J56" t="s">
        <v>57</v>
      </c>
      <c r="K56" t="s">
        <v>32</v>
      </c>
      <c r="L56" t="s">
        <v>58</v>
      </c>
      <c r="M56">
        <v>1</v>
      </c>
    </row>
    <row r="57" spans="1:13" x14ac:dyDescent="0.25">
      <c r="A57" s="2">
        <v>46150</v>
      </c>
      <c r="B57" s="1" t="str">
        <f ca="1">IF(Información1[[#This Row],[Fecha]]='Ajuste de fechas'!$A$2,"Día actual","Día anterior")</f>
        <v>Día anterior</v>
      </c>
      <c r="C57" t="s">
        <v>8</v>
      </c>
      <c r="D57" t="s">
        <v>10</v>
      </c>
      <c r="E57" t="s">
        <v>190</v>
      </c>
      <c r="F57" t="s">
        <v>23</v>
      </c>
      <c r="G57" t="s">
        <v>189</v>
      </c>
      <c r="H57" t="s">
        <v>11</v>
      </c>
      <c r="I57" t="s">
        <v>7</v>
      </c>
      <c r="J57" t="s">
        <v>57</v>
      </c>
      <c r="K57" t="s">
        <v>14</v>
      </c>
      <c r="L57" t="s">
        <v>58</v>
      </c>
      <c r="M57">
        <v>1</v>
      </c>
    </row>
    <row r="58" spans="1:13" x14ac:dyDescent="0.25">
      <c r="A58" s="2">
        <v>46150</v>
      </c>
      <c r="B58" s="1" t="str">
        <f ca="1">IF(Información1[[#This Row],[Fecha]]='Ajuste de fechas'!$A$2,"Día actual","Día anterior")</f>
        <v>Día anterior</v>
      </c>
      <c r="C58" t="s">
        <v>31</v>
      </c>
      <c r="D58" t="s">
        <v>34</v>
      </c>
      <c r="E58" t="s">
        <v>191</v>
      </c>
      <c r="F58" t="s">
        <v>22</v>
      </c>
      <c r="G58" t="s">
        <v>81</v>
      </c>
      <c r="H58" t="s">
        <v>11</v>
      </c>
      <c r="I58" t="s">
        <v>7</v>
      </c>
      <c r="J58" t="s">
        <v>62</v>
      </c>
      <c r="K58" t="s">
        <v>32</v>
      </c>
      <c r="L58" t="s">
        <v>58</v>
      </c>
      <c r="M58">
        <v>1</v>
      </c>
    </row>
    <row r="59" spans="1:13" x14ac:dyDescent="0.25">
      <c r="A59" s="2">
        <v>46150</v>
      </c>
      <c r="B59" s="1" t="str">
        <f ca="1">IF(Información1[[#This Row],[Fecha]]='Ajuste de fechas'!$A$2,"Día actual","Día anterior")</f>
        <v>Día anterior</v>
      </c>
      <c r="C59" t="s">
        <v>8</v>
      </c>
      <c r="D59" t="s">
        <v>10</v>
      </c>
      <c r="E59" t="s">
        <v>192</v>
      </c>
      <c r="F59" t="s">
        <v>15</v>
      </c>
      <c r="G59" t="s">
        <v>135</v>
      </c>
      <c r="H59" t="s">
        <v>11</v>
      </c>
      <c r="I59" t="s">
        <v>7</v>
      </c>
      <c r="J59" t="s">
        <v>57</v>
      </c>
      <c r="K59" t="s">
        <v>14</v>
      </c>
      <c r="L59" t="s">
        <v>58</v>
      </c>
      <c r="M59">
        <v>1</v>
      </c>
    </row>
    <row r="60" spans="1:13" x14ac:dyDescent="0.25">
      <c r="A60" s="2">
        <v>46150</v>
      </c>
      <c r="B60" s="1" t="str">
        <f ca="1">IF(Información1[[#This Row],[Fecha]]='Ajuste de fechas'!$A$2,"Día actual","Día anterior")</f>
        <v>Día anterior</v>
      </c>
      <c r="C60" t="s">
        <v>31</v>
      </c>
      <c r="D60" t="s">
        <v>33</v>
      </c>
      <c r="E60" t="s">
        <v>193</v>
      </c>
      <c r="F60" t="s">
        <v>26</v>
      </c>
      <c r="G60" t="s">
        <v>78</v>
      </c>
      <c r="H60" t="s">
        <v>11</v>
      </c>
      <c r="I60" t="s">
        <v>7</v>
      </c>
      <c r="J60" t="s">
        <v>57</v>
      </c>
      <c r="K60" t="s">
        <v>49</v>
      </c>
      <c r="L60" t="s">
        <v>58</v>
      </c>
      <c r="M60">
        <v>1</v>
      </c>
    </row>
    <row r="61" spans="1:13" x14ac:dyDescent="0.25">
      <c r="A61" s="2">
        <v>46150</v>
      </c>
      <c r="B61" s="1" t="str">
        <f ca="1">IF(Información1[[#This Row],[Fecha]]='Ajuste de fechas'!$A$2,"Día actual","Día anterior")</f>
        <v>Día anterior</v>
      </c>
      <c r="C61" t="s">
        <v>31</v>
      </c>
      <c r="D61" t="s">
        <v>34</v>
      </c>
      <c r="E61" t="s">
        <v>194</v>
      </c>
      <c r="F61" t="s">
        <v>26</v>
      </c>
      <c r="G61" t="s">
        <v>78</v>
      </c>
      <c r="H61" t="s">
        <v>11</v>
      </c>
      <c r="I61" t="s">
        <v>7</v>
      </c>
      <c r="J61" t="s">
        <v>57</v>
      </c>
      <c r="K61" t="s">
        <v>32</v>
      </c>
      <c r="L61" t="s">
        <v>58</v>
      </c>
      <c r="M61">
        <v>1</v>
      </c>
    </row>
    <row r="62" spans="1:13" x14ac:dyDescent="0.25">
      <c r="A62" s="2">
        <v>46150</v>
      </c>
      <c r="B62" s="1" t="str">
        <f ca="1">IF(Información1[[#This Row],[Fecha]]='Ajuste de fechas'!$A$2,"Día actual","Día anterior")</f>
        <v>Día anterior</v>
      </c>
      <c r="C62" t="s">
        <v>8</v>
      </c>
      <c r="D62" t="s">
        <v>10</v>
      </c>
      <c r="E62" t="s">
        <v>195</v>
      </c>
      <c r="F62" t="s">
        <v>17</v>
      </c>
      <c r="G62" t="s">
        <v>78</v>
      </c>
      <c r="H62" t="s">
        <v>11</v>
      </c>
      <c r="I62" t="s">
        <v>7</v>
      </c>
      <c r="J62" t="s">
        <v>57</v>
      </c>
      <c r="K62" t="s">
        <v>14</v>
      </c>
      <c r="L62" t="s">
        <v>59</v>
      </c>
      <c r="M62">
        <v>1</v>
      </c>
    </row>
    <row r="63" spans="1:13" x14ac:dyDescent="0.25">
      <c r="A63" s="2">
        <v>46150</v>
      </c>
      <c r="B63" s="1" t="str">
        <f ca="1">IF(Información1[[#This Row],[Fecha]]='Ajuste de fechas'!$A$2,"Día actual","Día anterior")</f>
        <v>Día anterior</v>
      </c>
      <c r="C63" t="s">
        <v>8</v>
      </c>
      <c r="D63" t="s">
        <v>10</v>
      </c>
      <c r="E63" t="s">
        <v>20</v>
      </c>
      <c r="F63" t="s">
        <v>19</v>
      </c>
      <c r="G63" t="s">
        <v>48</v>
      </c>
      <c r="H63" t="s">
        <v>11</v>
      </c>
      <c r="I63" t="s">
        <v>12</v>
      </c>
      <c r="J63" t="s">
        <v>61</v>
      </c>
      <c r="K63" t="s">
        <v>14</v>
      </c>
      <c r="L63" t="s">
        <v>59</v>
      </c>
      <c r="M63">
        <v>1</v>
      </c>
    </row>
    <row r="64" spans="1:13" x14ac:dyDescent="0.25">
      <c r="A64" s="2">
        <v>46150</v>
      </c>
      <c r="B64" s="1" t="str">
        <f ca="1">IF(Información1[[#This Row],[Fecha]]='Ajuste de fechas'!$A$2,"Día actual","Día anterior")</f>
        <v>Día anterior</v>
      </c>
      <c r="C64" t="s">
        <v>8</v>
      </c>
      <c r="D64" t="s">
        <v>10</v>
      </c>
      <c r="E64" t="s">
        <v>18</v>
      </c>
      <c r="F64" t="s">
        <v>19</v>
      </c>
      <c r="G64" t="s">
        <v>48</v>
      </c>
      <c r="H64" t="s">
        <v>11</v>
      </c>
      <c r="I64" t="s">
        <v>12</v>
      </c>
      <c r="J64" t="s">
        <v>61</v>
      </c>
      <c r="K64" t="s">
        <v>14</v>
      </c>
      <c r="L64" t="s">
        <v>59</v>
      </c>
      <c r="M64">
        <v>1</v>
      </c>
    </row>
    <row r="65" spans="1:13" x14ac:dyDescent="0.25">
      <c r="A65" s="2">
        <v>46150</v>
      </c>
      <c r="B65" s="1" t="str">
        <f ca="1">IF(Información1[[#This Row],[Fecha]]='Ajuste de fechas'!$A$2,"Día actual","Día anterior")</f>
        <v>Día anterior</v>
      </c>
      <c r="C65" t="s">
        <v>8</v>
      </c>
      <c r="D65" t="s">
        <v>10</v>
      </c>
      <c r="E65" t="s">
        <v>93</v>
      </c>
      <c r="F65" t="s">
        <v>88</v>
      </c>
      <c r="G65" t="s">
        <v>48</v>
      </c>
      <c r="H65" t="s">
        <v>11</v>
      </c>
      <c r="I65" t="s">
        <v>12</v>
      </c>
      <c r="J65" t="s">
        <v>24</v>
      </c>
      <c r="K65" t="s">
        <v>14</v>
      </c>
      <c r="L65" t="s">
        <v>59</v>
      </c>
      <c r="M65">
        <v>1</v>
      </c>
    </row>
    <row r="66" spans="1:13" x14ac:dyDescent="0.25">
      <c r="A66" s="2">
        <v>46150</v>
      </c>
      <c r="B66" s="1" t="str">
        <f ca="1">IF(Información1[[#This Row],[Fecha]]='Ajuste de fechas'!$A$2,"Día actual","Día anterior")</f>
        <v>Día anterior</v>
      </c>
      <c r="C66" t="s">
        <v>8</v>
      </c>
      <c r="D66" t="s">
        <v>10</v>
      </c>
      <c r="E66" t="s">
        <v>68</v>
      </c>
      <c r="F66" t="s">
        <v>21</v>
      </c>
      <c r="G66" t="s">
        <v>48</v>
      </c>
      <c r="H66" t="s">
        <v>11</v>
      </c>
      <c r="I66" t="s">
        <v>12</v>
      </c>
      <c r="J66" t="s">
        <v>57</v>
      </c>
      <c r="K66" t="s">
        <v>14</v>
      </c>
      <c r="L66" t="s">
        <v>59</v>
      </c>
      <c r="M66">
        <v>1</v>
      </c>
    </row>
    <row r="67" spans="1:13" x14ac:dyDescent="0.25">
      <c r="A67" s="2">
        <v>46150</v>
      </c>
      <c r="B67" s="1" t="str">
        <f ca="1">IF(Información1[[#This Row],[Fecha]]='Ajuste de fechas'!$A$2,"Día actual","Día anterior")</f>
        <v>Día anterior</v>
      </c>
      <c r="C67" t="s">
        <v>8</v>
      </c>
      <c r="D67" t="s">
        <v>10</v>
      </c>
      <c r="E67" t="s">
        <v>13</v>
      </c>
      <c r="F67" t="s">
        <v>15</v>
      </c>
      <c r="G67" t="s">
        <v>48</v>
      </c>
      <c r="H67" t="s">
        <v>11</v>
      </c>
      <c r="I67" t="s">
        <v>12</v>
      </c>
      <c r="J67" t="s">
        <v>57</v>
      </c>
      <c r="K67" t="s">
        <v>14</v>
      </c>
      <c r="L67" t="s">
        <v>59</v>
      </c>
      <c r="M67">
        <v>1</v>
      </c>
    </row>
    <row r="68" spans="1:13" x14ac:dyDescent="0.25">
      <c r="A68" s="2">
        <v>46150</v>
      </c>
      <c r="B68" s="1" t="str">
        <f ca="1">IF(Información1[[#This Row],[Fecha]]='Ajuste de fechas'!$A$2,"Día actual","Día anterior")</f>
        <v>Día anterior</v>
      </c>
      <c r="C68" t="s">
        <v>8</v>
      </c>
      <c r="D68" t="s">
        <v>10</v>
      </c>
      <c r="E68" t="s">
        <v>16</v>
      </c>
      <c r="F68" t="s">
        <v>17</v>
      </c>
      <c r="G68" t="s">
        <v>48</v>
      </c>
      <c r="H68" t="s">
        <v>11</v>
      </c>
      <c r="I68" t="s">
        <v>12</v>
      </c>
      <c r="J68" t="s">
        <v>57</v>
      </c>
      <c r="K68" t="s">
        <v>14</v>
      </c>
      <c r="L68" t="s">
        <v>59</v>
      </c>
      <c r="M68">
        <v>1</v>
      </c>
    </row>
    <row r="69" spans="1:13" x14ac:dyDescent="0.25">
      <c r="A69" s="2">
        <v>46150</v>
      </c>
      <c r="B69" s="1" t="str">
        <f ca="1">IF(Información1[[#This Row],[Fecha]]='Ajuste de fechas'!$A$2,"Día actual","Día anterior")</f>
        <v>Día anterior</v>
      </c>
      <c r="C69" t="s">
        <v>8</v>
      </c>
      <c r="D69" t="s">
        <v>10</v>
      </c>
      <c r="E69" t="s">
        <v>50</v>
      </c>
      <c r="F69" t="s">
        <v>6</v>
      </c>
      <c r="G69" t="s">
        <v>48</v>
      </c>
      <c r="H69" t="s">
        <v>11</v>
      </c>
      <c r="I69" t="s">
        <v>12</v>
      </c>
      <c r="J69" t="s">
        <v>57</v>
      </c>
      <c r="K69" t="s">
        <v>14</v>
      </c>
      <c r="L69" t="s">
        <v>59</v>
      </c>
      <c r="M69">
        <v>1</v>
      </c>
    </row>
    <row r="70" spans="1:13" x14ac:dyDescent="0.25">
      <c r="A70" s="2">
        <v>46150</v>
      </c>
      <c r="B70" s="1" t="str">
        <f ca="1">IF(Información1[[#This Row],[Fecha]]='Ajuste de fechas'!$A$2,"Día actual","Día anterior")</f>
        <v>Día anterior</v>
      </c>
      <c r="C70" t="s">
        <v>31</v>
      </c>
      <c r="D70" t="s">
        <v>34</v>
      </c>
      <c r="E70" t="s">
        <v>196</v>
      </c>
      <c r="F70" t="s">
        <v>19</v>
      </c>
      <c r="G70" t="s">
        <v>197</v>
      </c>
      <c r="H70" t="s">
        <v>11</v>
      </c>
      <c r="I70" t="s">
        <v>25</v>
      </c>
      <c r="J70" t="s">
        <v>61</v>
      </c>
      <c r="K70" t="s">
        <v>32</v>
      </c>
      <c r="L70" t="s">
        <v>58</v>
      </c>
      <c r="M70">
        <v>1</v>
      </c>
    </row>
    <row r="71" spans="1:13" x14ac:dyDescent="0.25">
      <c r="A71" s="2">
        <v>46150</v>
      </c>
      <c r="B71" s="1" t="str">
        <f ca="1">IF(Información1[[#This Row],[Fecha]]='Ajuste de fechas'!$A$2,"Día actual","Día anterior")</f>
        <v>Día anterior</v>
      </c>
      <c r="C71" t="s">
        <v>8</v>
      </c>
      <c r="D71" t="s">
        <v>10</v>
      </c>
      <c r="E71" t="s">
        <v>198</v>
      </c>
      <c r="F71" t="s">
        <v>6</v>
      </c>
      <c r="G71" t="s">
        <v>83</v>
      </c>
      <c r="H71" t="s">
        <v>11</v>
      </c>
      <c r="I71" t="s">
        <v>25</v>
      </c>
      <c r="J71" t="s">
        <v>57</v>
      </c>
      <c r="K71" t="s">
        <v>9</v>
      </c>
      <c r="L71" t="s">
        <v>59</v>
      </c>
      <c r="M71">
        <v>1</v>
      </c>
    </row>
    <row r="72" spans="1:13" x14ac:dyDescent="0.25">
      <c r="A72" s="2">
        <v>46150</v>
      </c>
      <c r="B72" s="1" t="str">
        <f ca="1">IF(Información1[[#This Row],[Fecha]]='Ajuste de fechas'!$A$2,"Día actual","Día anterior")</f>
        <v>Día anterior</v>
      </c>
      <c r="C72" t="s">
        <v>8</v>
      </c>
      <c r="D72" t="s">
        <v>10</v>
      </c>
      <c r="E72" t="s">
        <v>199</v>
      </c>
      <c r="F72" t="s">
        <v>6</v>
      </c>
      <c r="G72" t="s">
        <v>83</v>
      </c>
      <c r="H72" t="s">
        <v>11</v>
      </c>
      <c r="I72" t="s">
        <v>25</v>
      </c>
      <c r="J72" t="s">
        <v>57</v>
      </c>
      <c r="K72" t="s">
        <v>9</v>
      </c>
      <c r="L72" t="s">
        <v>59</v>
      </c>
      <c r="M72">
        <v>1</v>
      </c>
    </row>
    <row r="73" spans="1:13" x14ac:dyDescent="0.25">
      <c r="A73" s="2">
        <v>46150</v>
      </c>
      <c r="B73" s="1" t="str">
        <f ca="1">IF(Información1[[#This Row],[Fecha]]='Ajuste de fechas'!$A$2,"Día actual","Día anterior")</f>
        <v>Día anterior</v>
      </c>
      <c r="C73" t="s">
        <v>8</v>
      </c>
      <c r="D73" t="s">
        <v>10</v>
      </c>
      <c r="E73" t="s">
        <v>200</v>
      </c>
      <c r="F73" t="s">
        <v>6</v>
      </c>
      <c r="G73" t="s">
        <v>83</v>
      </c>
      <c r="H73" t="s">
        <v>11</v>
      </c>
      <c r="I73" t="s">
        <v>25</v>
      </c>
      <c r="J73" t="s">
        <v>57</v>
      </c>
      <c r="K73" t="s">
        <v>9</v>
      </c>
      <c r="L73" t="s">
        <v>59</v>
      </c>
      <c r="M73">
        <v>1</v>
      </c>
    </row>
    <row r="74" spans="1:13" x14ac:dyDescent="0.25">
      <c r="A74" s="2">
        <v>46150</v>
      </c>
      <c r="B74" s="1" t="str">
        <f ca="1">IF(Información1[[#This Row],[Fecha]]='Ajuste de fechas'!$A$2,"Día actual","Día anterior")</f>
        <v>Día anterior</v>
      </c>
      <c r="C74" t="s">
        <v>8</v>
      </c>
      <c r="D74" t="s">
        <v>10</v>
      </c>
      <c r="E74" t="s">
        <v>201</v>
      </c>
      <c r="F74" t="s">
        <v>6</v>
      </c>
      <c r="G74" t="s">
        <v>83</v>
      </c>
      <c r="H74" t="s">
        <v>11</v>
      </c>
      <c r="I74" t="s">
        <v>25</v>
      </c>
      <c r="J74" t="s">
        <v>57</v>
      </c>
      <c r="K74" t="s">
        <v>9</v>
      </c>
      <c r="L74" t="s">
        <v>59</v>
      </c>
      <c r="M74">
        <v>1</v>
      </c>
    </row>
    <row r="75" spans="1:13" x14ac:dyDescent="0.25">
      <c r="A75" s="2">
        <v>46150</v>
      </c>
      <c r="B75" s="1" t="str">
        <f ca="1">IF(Información1[[#This Row],[Fecha]]='Ajuste de fechas'!$A$2,"Día actual","Día anterior")</f>
        <v>Día anterior</v>
      </c>
      <c r="C75" t="s">
        <v>8</v>
      </c>
      <c r="D75" t="s">
        <v>10</v>
      </c>
      <c r="E75" t="s">
        <v>202</v>
      </c>
      <c r="F75" t="s">
        <v>6</v>
      </c>
      <c r="G75" t="s">
        <v>83</v>
      </c>
      <c r="H75" t="s">
        <v>11</v>
      </c>
      <c r="I75" t="s">
        <v>25</v>
      </c>
      <c r="J75" t="s">
        <v>57</v>
      </c>
      <c r="K75" t="s">
        <v>9</v>
      </c>
      <c r="L75" t="s">
        <v>59</v>
      </c>
      <c r="M75">
        <v>1</v>
      </c>
    </row>
    <row r="76" spans="1:13" x14ac:dyDescent="0.25">
      <c r="A76" s="2">
        <v>46150</v>
      </c>
      <c r="B76" s="1" t="str">
        <f ca="1">IF(Información1[[#This Row],[Fecha]]='Ajuste de fechas'!$A$2,"Día actual","Día anterior")</f>
        <v>Día anterior</v>
      </c>
      <c r="C76" t="s">
        <v>8</v>
      </c>
      <c r="D76" t="s">
        <v>10</v>
      </c>
      <c r="E76" t="s">
        <v>203</v>
      </c>
      <c r="F76" t="s">
        <v>6</v>
      </c>
      <c r="G76" t="s">
        <v>83</v>
      </c>
      <c r="H76" t="s">
        <v>11</v>
      </c>
      <c r="I76" t="s">
        <v>25</v>
      </c>
      <c r="J76" t="s">
        <v>57</v>
      </c>
      <c r="K76" t="s">
        <v>14</v>
      </c>
      <c r="L76" t="s">
        <v>59</v>
      </c>
      <c r="M76">
        <v>1</v>
      </c>
    </row>
    <row r="77" spans="1:13" x14ac:dyDescent="0.25">
      <c r="A77" s="2">
        <v>46150</v>
      </c>
      <c r="B77" s="1" t="str">
        <f ca="1">IF(Información1[[#This Row],[Fecha]]='Ajuste de fechas'!$A$2,"Día actual","Día anterior")</f>
        <v>Día anterior</v>
      </c>
      <c r="C77" t="s">
        <v>8</v>
      </c>
      <c r="D77" t="s">
        <v>10</v>
      </c>
      <c r="E77" t="s">
        <v>204</v>
      </c>
      <c r="F77" t="s">
        <v>6</v>
      </c>
      <c r="G77" t="s">
        <v>83</v>
      </c>
      <c r="H77" t="s">
        <v>11</v>
      </c>
      <c r="I77" t="s">
        <v>25</v>
      </c>
      <c r="J77" t="s">
        <v>57</v>
      </c>
      <c r="K77" t="s">
        <v>9</v>
      </c>
      <c r="L77" t="s">
        <v>59</v>
      </c>
      <c r="M77">
        <v>1</v>
      </c>
    </row>
    <row r="78" spans="1:13" x14ac:dyDescent="0.25">
      <c r="A78" s="2">
        <v>46150</v>
      </c>
      <c r="B78" s="1" t="str">
        <f ca="1">IF(Información1[[#This Row],[Fecha]]='Ajuste de fechas'!$A$2,"Día actual","Día anterior")</f>
        <v>Día anterior</v>
      </c>
      <c r="C78" t="s">
        <v>40</v>
      </c>
      <c r="D78" t="s">
        <v>43</v>
      </c>
      <c r="E78" t="s">
        <v>205</v>
      </c>
      <c r="F78" t="s">
        <v>22</v>
      </c>
      <c r="G78" t="s">
        <v>113</v>
      </c>
      <c r="H78" t="s">
        <v>11</v>
      </c>
      <c r="I78" t="s">
        <v>25</v>
      </c>
      <c r="J78" t="s">
        <v>62</v>
      </c>
      <c r="K78" t="s">
        <v>41</v>
      </c>
      <c r="L78" t="s">
        <v>59</v>
      </c>
      <c r="M78">
        <v>1</v>
      </c>
    </row>
    <row r="79" spans="1:13" x14ac:dyDescent="0.25">
      <c r="A79" s="2">
        <v>46150</v>
      </c>
      <c r="B79" s="1" t="str">
        <f ca="1">IF(Información1[[#This Row],[Fecha]]='Ajuste de fechas'!$A$2,"Día actual","Día anterior")</f>
        <v>Día anterior</v>
      </c>
      <c r="C79" t="s">
        <v>40</v>
      </c>
      <c r="D79" t="s">
        <v>43</v>
      </c>
      <c r="E79" t="s">
        <v>206</v>
      </c>
      <c r="F79" t="s">
        <v>22</v>
      </c>
      <c r="G79" t="s">
        <v>113</v>
      </c>
      <c r="H79" t="s">
        <v>11</v>
      </c>
      <c r="I79" t="s">
        <v>25</v>
      </c>
      <c r="J79" t="s">
        <v>62</v>
      </c>
      <c r="K79" t="s">
        <v>41</v>
      </c>
      <c r="L79" t="s">
        <v>59</v>
      </c>
      <c r="M79">
        <v>1</v>
      </c>
    </row>
    <row r="80" spans="1:13" x14ac:dyDescent="0.25">
      <c r="A80" s="2">
        <v>46150</v>
      </c>
      <c r="B80" s="1" t="str">
        <f ca="1">IF(Información1[[#This Row],[Fecha]]='Ajuste de fechas'!$A$2,"Día actual","Día anterior")</f>
        <v>Día anterior</v>
      </c>
      <c r="C80" t="s">
        <v>40</v>
      </c>
      <c r="D80" t="s">
        <v>43</v>
      </c>
      <c r="E80" t="s">
        <v>207</v>
      </c>
      <c r="F80" t="s">
        <v>22</v>
      </c>
      <c r="G80" t="s">
        <v>113</v>
      </c>
      <c r="H80" t="s">
        <v>11</v>
      </c>
      <c r="I80" t="s">
        <v>7</v>
      </c>
      <c r="J80" t="s">
        <v>62</v>
      </c>
      <c r="K80" t="s">
        <v>41</v>
      </c>
      <c r="L80" t="s">
        <v>58</v>
      </c>
      <c r="M80">
        <v>1</v>
      </c>
    </row>
    <row r="81" spans="1:13" x14ac:dyDescent="0.25">
      <c r="A81" s="2">
        <v>46150</v>
      </c>
      <c r="B81" s="1" t="str">
        <f ca="1">IF(Información1[[#This Row],[Fecha]]='Ajuste de fechas'!$A$2,"Día actual","Día anterior")</f>
        <v>Día anterior</v>
      </c>
      <c r="C81" t="s">
        <v>40</v>
      </c>
      <c r="D81" t="s">
        <v>43</v>
      </c>
      <c r="E81" t="s">
        <v>208</v>
      </c>
      <c r="F81" t="s">
        <v>19</v>
      </c>
      <c r="G81" t="s">
        <v>209</v>
      </c>
      <c r="H81" t="s">
        <v>11</v>
      </c>
      <c r="I81" t="s">
        <v>7</v>
      </c>
      <c r="J81" t="s">
        <v>61</v>
      </c>
      <c r="K81" t="s">
        <v>41</v>
      </c>
      <c r="L81" t="s">
        <v>58</v>
      </c>
      <c r="M81">
        <v>1</v>
      </c>
    </row>
    <row r="82" spans="1:13" x14ac:dyDescent="0.25">
      <c r="A82" s="2">
        <v>46150</v>
      </c>
      <c r="B82" s="1" t="str">
        <f ca="1">IF(Información1[[#This Row],[Fecha]]='Ajuste de fechas'!$A$2,"Día actual","Día anterior")</f>
        <v>Día anterior</v>
      </c>
      <c r="C82" t="s">
        <v>40</v>
      </c>
      <c r="D82" t="s">
        <v>43</v>
      </c>
      <c r="E82" t="s">
        <v>210</v>
      </c>
      <c r="F82" t="s">
        <v>19</v>
      </c>
      <c r="G82" t="s">
        <v>211</v>
      </c>
      <c r="H82" t="s">
        <v>11</v>
      </c>
      <c r="I82" t="s">
        <v>7</v>
      </c>
      <c r="J82" t="s">
        <v>61</v>
      </c>
      <c r="K82" t="s">
        <v>41</v>
      </c>
      <c r="L82" t="s">
        <v>58</v>
      </c>
      <c r="M82">
        <v>1</v>
      </c>
    </row>
    <row r="83" spans="1:13" x14ac:dyDescent="0.25">
      <c r="A83" s="2">
        <v>46150</v>
      </c>
      <c r="B83" s="1" t="str">
        <f ca="1">IF(Información1[[#This Row],[Fecha]]='Ajuste de fechas'!$A$2,"Día actual","Día anterior")</f>
        <v>Día anterior</v>
      </c>
      <c r="C83" t="s">
        <v>40</v>
      </c>
      <c r="D83" t="s">
        <v>43</v>
      </c>
      <c r="E83" t="s">
        <v>212</v>
      </c>
      <c r="F83" t="s">
        <v>17</v>
      </c>
      <c r="G83" t="s">
        <v>87</v>
      </c>
      <c r="H83" t="s">
        <v>11</v>
      </c>
      <c r="I83" t="s">
        <v>25</v>
      </c>
      <c r="J83" t="s">
        <v>57</v>
      </c>
      <c r="K83" t="s">
        <v>41</v>
      </c>
      <c r="L83" t="s">
        <v>59</v>
      </c>
      <c r="M83">
        <v>1</v>
      </c>
    </row>
    <row r="84" spans="1:13" x14ac:dyDescent="0.25">
      <c r="A84" s="2">
        <v>46150</v>
      </c>
      <c r="B84" s="1" t="str">
        <f ca="1">IF(Información1[[#This Row],[Fecha]]='Ajuste de fechas'!$A$2,"Día actual","Día anterior")</f>
        <v>Día anterior</v>
      </c>
      <c r="C84" t="s">
        <v>28</v>
      </c>
      <c r="D84" t="s">
        <v>30</v>
      </c>
      <c r="E84" t="s">
        <v>213</v>
      </c>
      <c r="F84" t="s">
        <v>22</v>
      </c>
      <c r="G84" t="s">
        <v>113</v>
      </c>
      <c r="H84" t="s">
        <v>11</v>
      </c>
      <c r="I84" t="s">
        <v>25</v>
      </c>
      <c r="J84" t="s">
        <v>62</v>
      </c>
      <c r="K84" t="s">
        <v>29</v>
      </c>
      <c r="L84" t="s">
        <v>58</v>
      </c>
      <c r="M84">
        <v>1</v>
      </c>
    </row>
    <row r="85" spans="1:13" x14ac:dyDescent="0.25">
      <c r="A85" s="2">
        <v>46150</v>
      </c>
      <c r="B85" s="1" t="str">
        <f ca="1">IF(Información1[[#This Row],[Fecha]]='Ajuste de fechas'!$A$2,"Día actual","Día anterior")</f>
        <v>Día anterior</v>
      </c>
      <c r="C85" t="s">
        <v>28</v>
      </c>
      <c r="D85" t="s">
        <v>30</v>
      </c>
      <c r="E85" t="s">
        <v>214</v>
      </c>
      <c r="F85" t="s">
        <v>75</v>
      </c>
      <c r="G85" t="s">
        <v>74</v>
      </c>
      <c r="H85" t="s">
        <v>11</v>
      </c>
      <c r="I85" t="s">
        <v>12</v>
      </c>
      <c r="J85" t="s">
        <v>57</v>
      </c>
      <c r="K85" t="s">
        <v>29</v>
      </c>
      <c r="L85" t="s">
        <v>79</v>
      </c>
      <c r="M85">
        <v>1</v>
      </c>
    </row>
    <row r="86" spans="1:13" x14ac:dyDescent="0.25">
      <c r="A86" s="2">
        <v>46150</v>
      </c>
      <c r="B86" s="1" t="str">
        <f ca="1">IF(Información1[[#This Row],[Fecha]]='Ajuste de fechas'!$A$2,"Día actual","Día anterior")</f>
        <v>Día anterior</v>
      </c>
      <c r="C86" t="s">
        <v>28</v>
      </c>
      <c r="D86" t="s">
        <v>30</v>
      </c>
      <c r="E86" t="s">
        <v>215</v>
      </c>
      <c r="F86" t="s">
        <v>86</v>
      </c>
      <c r="G86" t="s">
        <v>216</v>
      </c>
      <c r="H86" t="s">
        <v>11</v>
      </c>
      <c r="I86" t="s">
        <v>7</v>
      </c>
      <c r="J86" t="s">
        <v>57</v>
      </c>
      <c r="K86" t="s">
        <v>29</v>
      </c>
      <c r="L86" t="s">
        <v>58</v>
      </c>
      <c r="M86">
        <v>1</v>
      </c>
    </row>
    <row r="87" spans="1:13" x14ac:dyDescent="0.25">
      <c r="A87" s="2">
        <v>46150</v>
      </c>
      <c r="B87" s="1" t="str">
        <f ca="1">IF(Información1[[#This Row],[Fecha]]='Ajuste de fechas'!$A$2,"Día actual","Día anterior")</f>
        <v>Día anterior</v>
      </c>
      <c r="C87" t="s">
        <v>40</v>
      </c>
      <c r="D87" t="s">
        <v>42</v>
      </c>
      <c r="E87" t="s">
        <v>222</v>
      </c>
      <c r="F87" t="s">
        <v>22</v>
      </c>
      <c r="G87" t="s">
        <v>113</v>
      </c>
      <c r="H87" t="s">
        <v>11</v>
      </c>
      <c r="I87" t="s">
        <v>25</v>
      </c>
      <c r="J87" t="s">
        <v>62</v>
      </c>
      <c r="K87" t="s">
        <v>41</v>
      </c>
      <c r="L87" t="s">
        <v>58</v>
      </c>
      <c r="M87">
        <v>1</v>
      </c>
    </row>
    <row r="88" spans="1:13" x14ac:dyDescent="0.25">
      <c r="A88" s="2">
        <v>46150</v>
      </c>
      <c r="B88" s="1" t="str">
        <f ca="1">IF(Información1[[#This Row],[Fecha]]='Ajuste de fechas'!$A$2,"Día actual","Día anterior")</f>
        <v>Día anterior</v>
      </c>
      <c r="C88" t="s">
        <v>40</v>
      </c>
      <c r="D88" t="s">
        <v>42</v>
      </c>
      <c r="E88" t="s">
        <v>223</v>
      </c>
      <c r="F88" t="s">
        <v>22</v>
      </c>
      <c r="G88" t="s">
        <v>113</v>
      </c>
      <c r="H88" t="s">
        <v>11</v>
      </c>
      <c r="I88" t="s">
        <v>7</v>
      </c>
      <c r="J88" t="s">
        <v>62</v>
      </c>
      <c r="K88" t="s">
        <v>41</v>
      </c>
      <c r="L88" t="s">
        <v>58</v>
      </c>
      <c r="M88">
        <v>1</v>
      </c>
    </row>
    <row r="89" spans="1:13" x14ac:dyDescent="0.25">
      <c r="A89" s="2">
        <v>46150</v>
      </c>
      <c r="B89" s="1" t="str">
        <f ca="1">IF(Información1[[#This Row],[Fecha]]='Ajuste de fechas'!$A$2,"Día actual","Día anterior")</f>
        <v>Día anterior</v>
      </c>
      <c r="C89" t="s">
        <v>40</v>
      </c>
      <c r="D89" t="s">
        <v>42</v>
      </c>
      <c r="E89" t="s">
        <v>224</v>
      </c>
      <c r="F89" t="s">
        <v>22</v>
      </c>
      <c r="G89" t="s">
        <v>113</v>
      </c>
      <c r="H89" t="s">
        <v>11</v>
      </c>
      <c r="I89" t="s">
        <v>7</v>
      </c>
      <c r="J89" t="s">
        <v>62</v>
      </c>
      <c r="K89" t="s">
        <v>41</v>
      </c>
      <c r="L89" t="s">
        <v>58</v>
      </c>
      <c r="M89">
        <v>1</v>
      </c>
    </row>
    <row r="90" spans="1:13" x14ac:dyDescent="0.25">
      <c r="A90" s="2">
        <v>46150</v>
      </c>
      <c r="B90" s="1" t="str">
        <f ca="1">IF(Información1[[#This Row],[Fecha]]='Ajuste de fechas'!$A$2,"Día actual","Día anterior")</f>
        <v>Día anterior</v>
      </c>
      <c r="C90" t="s">
        <v>40</v>
      </c>
      <c r="D90" t="s">
        <v>42</v>
      </c>
      <c r="E90" t="s">
        <v>225</v>
      </c>
      <c r="F90" t="s">
        <v>22</v>
      </c>
      <c r="G90" t="s">
        <v>113</v>
      </c>
      <c r="H90" t="s">
        <v>11</v>
      </c>
      <c r="I90" t="s">
        <v>7</v>
      </c>
      <c r="J90" t="s">
        <v>62</v>
      </c>
      <c r="K90" t="s">
        <v>41</v>
      </c>
      <c r="L90" t="s">
        <v>58</v>
      </c>
      <c r="M90">
        <v>1</v>
      </c>
    </row>
    <row r="91" spans="1:13" x14ac:dyDescent="0.25">
      <c r="A91" s="2">
        <v>46150</v>
      </c>
      <c r="B91" s="1" t="str">
        <f ca="1">IF(Información1[[#This Row],[Fecha]]='Ajuste de fechas'!$A$2,"Día actual","Día anterior")</f>
        <v>Día anterior</v>
      </c>
      <c r="C91" t="s">
        <v>40</v>
      </c>
      <c r="D91" t="s">
        <v>42</v>
      </c>
      <c r="E91" t="s">
        <v>226</v>
      </c>
      <c r="F91" t="s">
        <v>19</v>
      </c>
      <c r="G91" t="s">
        <v>74</v>
      </c>
      <c r="H91" t="s">
        <v>11</v>
      </c>
      <c r="I91" t="s">
        <v>7</v>
      </c>
      <c r="J91" t="s">
        <v>61</v>
      </c>
      <c r="K91" t="s">
        <v>41</v>
      </c>
      <c r="L91" t="s">
        <v>63</v>
      </c>
      <c r="M91">
        <v>1</v>
      </c>
    </row>
    <row r="92" spans="1:13" x14ac:dyDescent="0.25">
      <c r="A92" s="2">
        <v>46150</v>
      </c>
      <c r="B92" s="1" t="str">
        <f ca="1">IF(Información1[[#This Row],[Fecha]]='Ajuste de fechas'!$A$2,"Día actual","Día anterior")</f>
        <v>Día anterior</v>
      </c>
      <c r="C92" t="s">
        <v>40</v>
      </c>
      <c r="D92" t="s">
        <v>42</v>
      </c>
      <c r="E92" t="s">
        <v>227</v>
      </c>
      <c r="F92" t="s">
        <v>19</v>
      </c>
      <c r="G92" t="s">
        <v>100</v>
      </c>
      <c r="H92" t="s">
        <v>11</v>
      </c>
      <c r="I92" t="s">
        <v>7</v>
      </c>
      <c r="J92" t="s">
        <v>61</v>
      </c>
      <c r="K92" t="s">
        <v>41</v>
      </c>
      <c r="L92" t="s">
        <v>58</v>
      </c>
      <c r="M92">
        <v>1</v>
      </c>
    </row>
    <row r="93" spans="1:13" x14ac:dyDescent="0.25">
      <c r="A93" s="2">
        <v>46150</v>
      </c>
      <c r="B93" s="1" t="str">
        <f ca="1">IF(Información1[[#This Row],[Fecha]]='Ajuste de fechas'!$A$2,"Día actual","Día anterior")</f>
        <v>Día anterior</v>
      </c>
      <c r="C93" t="s">
        <v>40</v>
      </c>
      <c r="D93" t="s">
        <v>42</v>
      </c>
      <c r="E93" t="s">
        <v>228</v>
      </c>
      <c r="F93" t="s">
        <v>21</v>
      </c>
      <c r="G93" t="s">
        <v>113</v>
      </c>
      <c r="H93" t="s">
        <v>11</v>
      </c>
      <c r="I93" t="s">
        <v>25</v>
      </c>
      <c r="J93" t="s">
        <v>57</v>
      </c>
      <c r="K93" t="s">
        <v>41</v>
      </c>
      <c r="L93" t="s">
        <v>59</v>
      </c>
      <c r="M93">
        <v>1</v>
      </c>
    </row>
    <row r="94" spans="1:13" x14ac:dyDescent="0.25">
      <c r="A94" s="2">
        <v>46150</v>
      </c>
      <c r="B94" s="1" t="str">
        <f ca="1">IF(Información1[[#This Row],[Fecha]]='Ajuste de fechas'!$A$2,"Día actual","Día anterior")</f>
        <v>Día anterior</v>
      </c>
      <c r="C94" t="s">
        <v>40</v>
      </c>
      <c r="D94" t="s">
        <v>42</v>
      </c>
      <c r="E94" t="s">
        <v>230</v>
      </c>
      <c r="F94" t="s">
        <v>26</v>
      </c>
      <c r="G94" t="s">
        <v>113</v>
      </c>
      <c r="H94" t="s">
        <v>11</v>
      </c>
      <c r="I94" t="s">
        <v>7</v>
      </c>
      <c r="J94" t="s">
        <v>57</v>
      </c>
      <c r="K94" t="s">
        <v>9</v>
      </c>
      <c r="L94" t="s">
        <v>59</v>
      </c>
      <c r="M94">
        <v>1</v>
      </c>
    </row>
    <row r="95" spans="1:13" x14ac:dyDescent="0.25">
      <c r="A95" s="2">
        <v>46150</v>
      </c>
      <c r="B95" s="1" t="str">
        <f ca="1">IF(Información1[[#This Row],[Fecha]]='Ajuste de fechas'!$A$2,"Día actual","Día anterior")</f>
        <v>Día anterior</v>
      </c>
      <c r="C95" t="s">
        <v>70</v>
      </c>
      <c r="D95" t="s">
        <v>76</v>
      </c>
      <c r="E95" t="s">
        <v>96</v>
      </c>
      <c r="F95" t="s">
        <v>67</v>
      </c>
      <c r="G95" t="s">
        <v>102</v>
      </c>
      <c r="H95" t="s">
        <v>11</v>
      </c>
      <c r="I95" t="s">
        <v>7</v>
      </c>
      <c r="J95" t="s">
        <v>57</v>
      </c>
      <c r="K95" t="s">
        <v>77</v>
      </c>
      <c r="L95" t="s">
        <v>60</v>
      </c>
      <c r="M95">
        <v>1</v>
      </c>
    </row>
    <row r="96" spans="1:13" x14ac:dyDescent="0.25">
      <c r="A96" s="2">
        <v>46150</v>
      </c>
      <c r="B96" s="1" t="str">
        <f ca="1">IF(Información1[[#This Row],[Fecha]]='Ajuste de fechas'!$A$2,"Día actual","Día anterior")</f>
        <v>Día anterior</v>
      </c>
      <c r="C96" t="s">
        <v>45</v>
      </c>
      <c r="D96" t="s">
        <v>46</v>
      </c>
      <c r="E96" t="s">
        <v>144</v>
      </c>
      <c r="F96" t="s">
        <v>26</v>
      </c>
      <c r="G96" t="s">
        <v>99</v>
      </c>
      <c r="H96" t="s">
        <v>36</v>
      </c>
      <c r="I96" t="s">
        <v>7</v>
      </c>
      <c r="J96" t="s">
        <v>57</v>
      </c>
      <c r="K96" t="s">
        <v>47</v>
      </c>
      <c r="L96" t="s">
        <v>60</v>
      </c>
      <c r="M96">
        <v>1</v>
      </c>
    </row>
    <row r="97" spans="1:13" x14ac:dyDescent="0.25">
      <c r="A97" s="2">
        <v>46150</v>
      </c>
      <c r="B97" s="1" t="str">
        <f ca="1">IF(Información1[[#This Row],[Fecha]]='Ajuste de fechas'!$A$2,"Día actual","Día anterior")</f>
        <v>Día anterior</v>
      </c>
      <c r="C97" t="s">
        <v>70</v>
      </c>
      <c r="D97" t="s">
        <v>76</v>
      </c>
      <c r="E97" t="s">
        <v>160</v>
      </c>
      <c r="F97" t="s">
        <v>26</v>
      </c>
      <c r="G97" t="s">
        <v>99</v>
      </c>
      <c r="H97" t="s">
        <v>11</v>
      </c>
      <c r="I97" t="s">
        <v>7</v>
      </c>
      <c r="J97" t="s">
        <v>57</v>
      </c>
      <c r="K97" t="s">
        <v>77</v>
      </c>
      <c r="L97" t="s">
        <v>60</v>
      </c>
      <c r="M97">
        <v>1</v>
      </c>
    </row>
    <row r="98" spans="1:13" x14ac:dyDescent="0.25">
      <c r="A98" s="2">
        <v>46150</v>
      </c>
      <c r="B98" s="1" t="str">
        <f ca="1">IF(Información1[[#This Row],[Fecha]]='Ajuste de fechas'!$A$2,"Día actual","Día anterior")</f>
        <v>Día anterior</v>
      </c>
      <c r="C98" t="s">
        <v>40</v>
      </c>
      <c r="D98" t="s">
        <v>42</v>
      </c>
      <c r="E98" t="s">
        <v>229</v>
      </c>
      <c r="F98" t="s">
        <v>26</v>
      </c>
      <c r="G98" t="s">
        <v>99</v>
      </c>
      <c r="H98" t="s">
        <v>11</v>
      </c>
      <c r="I98" t="s">
        <v>7</v>
      </c>
      <c r="J98" t="s">
        <v>57</v>
      </c>
      <c r="K98" t="s">
        <v>35</v>
      </c>
      <c r="L98" t="s">
        <v>60</v>
      </c>
      <c r="M98">
        <v>1</v>
      </c>
    </row>
    <row r="99" spans="1:13" x14ac:dyDescent="0.25">
      <c r="A99" s="2">
        <v>46150</v>
      </c>
      <c r="B99" s="1" t="str">
        <f ca="1">IF(Información1[[#This Row],[Fecha]]='Ajuste de fechas'!$A$2,"Día actual","Día anterior")</f>
        <v>Día anterior</v>
      </c>
      <c r="C99" t="s">
        <v>38</v>
      </c>
      <c r="D99" t="s">
        <v>39</v>
      </c>
      <c r="E99" t="s">
        <v>111</v>
      </c>
      <c r="F99" t="s">
        <v>26</v>
      </c>
      <c r="G99" t="s">
        <v>99</v>
      </c>
      <c r="H99" t="s">
        <v>36</v>
      </c>
      <c r="I99" t="s">
        <v>7</v>
      </c>
      <c r="J99" t="s">
        <v>57</v>
      </c>
      <c r="K99" t="s">
        <v>27</v>
      </c>
      <c r="L99" t="s">
        <v>60</v>
      </c>
      <c r="M99">
        <v>1</v>
      </c>
    </row>
    <row r="100" spans="1:13" x14ac:dyDescent="0.25">
      <c r="A100" s="2">
        <v>46150</v>
      </c>
      <c r="B100" s="1" t="str">
        <f ca="1">IF(Información1[[#This Row],[Fecha]]='Ajuste de fechas'!$A$2,"Día actual","Día anterior")</f>
        <v>Día anterior</v>
      </c>
      <c r="C100" t="s">
        <v>70</v>
      </c>
      <c r="D100" t="s">
        <v>76</v>
      </c>
      <c r="E100" t="s">
        <v>111</v>
      </c>
      <c r="F100" t="s">
        <v>26</v>
      </c>
      <c r="G100" t="s">
        <v>99</v>
      </c>
      <c r="H100" t="s">
        <v>11</v>
      </c>
      <c r="I100" t="s">
        <v>7</v>
      </c>
      <c r="J100" t="s">
        <v>57</v>
      </c>
      <c r="K100" t="s">
        <v>77</v>
      </c>
      <c r="L100" t="s">
        <v>60</v>
      </c>
      <c r="M100">
        <v>1</v>
      </c>
    </row>
    <row r="101" spans="1:13" x14ac:dyDescent="0.25">
      <c r="A101" s="2">
        <v>46150</v>
      </c>
      <c r="B101" s="1" t="str">
        <f ca="1">IF(Información1[[#This Row],[Fecha]]='Ajuste de fechas'!$A$2,"Día actual","Día anterior")</f>
        <v>Día anterior</v>
      </c>
      <c r="C101" t="s">
        <v>38</v>
      </c>
      <c r="D101" t="s">
        <v>39</v>
      </c>
      <c r="E101" t="s">
        <v>134</v>
      </c>
      <c r="F101" t="s">
        <v>15</v>
      </c>
      <c r="G101" t="s">
        <v>135</v>
      </c>
      <c r="H101" t="s">
        <v>11</v>
      </c>
      <c r="I101" t="s">
        <v>7</v>
      </c>
      <c r="J101" t="s">
        <v>57</v>
      </c>
      <c r="K101" t="s">
        <v>27</v>
      </c>
      <c r="L101" t="s">
        <v>60</v>
      </c>
      <c r="M101">
        <v>1</v>
      </c>
    </row>
    <row r="102" spans="1:13" x14ac:dyDescent="0.25">
      <c r="A102" s="2">
        <v>46150</v>
      </c>
      <c r="B102" s="1" t="str">
        <f ca="1">IF(Información1[[#This Row],[Fecha]]='Ajuste de fechas'!$A$2,"Día actual","Día anterior")</f>
        <v>Día anterior</v>
      </c>
      <c r="C102" t="s">
        <v>28</v>
      </c>
      <c r="D102" t="s">
        <v>30</v>
      </c>
      <c r="E102" t="s">
        <v>221</v>
      </c>
      <c r="F102" t="s">
        <v>15</v>
      </c>
      <c r="G102" t="s">
        <v>135</v>
      </c>
      <c r="H102" t="s">
        <v>11</v>
      </c>
      <c r="I102" t="s">
        <v>7</v>
      </c>
      <c r="J102" t="s">
        <v>57</v>
      </c>
      <c r="K102" t="s">
        <v>29</v>
      </c>
      <c r="L102" t="s">
        <v>60</v>
      </c>
      <c r="M102">
        <v>1</v>
      </c>
    </row>
    <row r="103" spans="1:13" x14ac:dyDescent="0.25">
      <c r="A103" s="2">
        <v>46150</v>
      </c>
      <c r="B103" s="1" t="str">
        <f ca="1">IF(Información1[[#This Row],[Fecha]]='Ajuste de fechas'!$A$2,"Día actual","Día anterior")</f>
        <v>Día anterior</v>
      </c>
      <c r="C103" t="s">
        <v>40</v>
      </c>
      <c r="D103" t="s">
        <v>42</v>
      </c>
      <c r="E103" t="s">
        <v>221</v>
      </c>
      <c r="F103" t="s">
        <v>15</v>
      </c>
      <c r="G103" t="s">
        <v>135</v>
      </c>
      <c r="H103" t="s">
        <v>11</v>
      </c>
      <c r="I103" t="s">
        <v>7</v>
      </c>
      <c r="J103" t="s">
        <v>57</v>
      </c>
      <c r="K103" t="s">
        <v>35</v>
      </c>
      <c r="L103" t="s">
        <v>60</v>
      </c>
      <c r="M103">
        <v>1</v>
      </c>
    </row>
    <row r="104" spans="1:13" x14ac:dyDescent="0.25">
      <c r="A104" s="2">
        <v>46150</v>
      </c>
      <c r="B104" s="1" t="str">
        <f ca="1">IF(Información1[[#This Row],[Fecha]]='Ajuste de fechas'!$A$2,"Día actual","Día anterior")</f>
        <v>Día anterior</v>
      </c>
      <c r="C104" t="s">
        <v>28</v>
      </c>
      <c r="D104" t="s">
        <v>30</v>
      </c>
      <c r="E104" t="s">
        <v>218</v>
      </c>
      <c r="F104" t="s">
        <v>21</v>
      </c>
      <c r="G104" t="s">
        <v>219</v>
      </c>
      <c r="H104" t="s">
        <v>11</v>
      </c>
      <c r="I104" t="s">
        <v>7</v>
      </c>
      <c r="J104" t="s">
        <v>57</v>
      </c>
      <c r="K104" t="s">
        <v>29</v>
      </c>
      <c r="L104" t="s">
        <v>60</v>
      </c>
      <c r="M104">
        <v>1</v>
      </c>
    </row>
    <row r="105" spans="1:13" x14ac:dyDescent="0.25">
      <c r="A105" s="2">
        <v>46150</v>
      </c>
      <c r="B105" s="1" t="str">
        <f ca="1">IF(Información1[[#This Row],[Fecha]]='Ajuste de fechas'!$A$2,"Día actual","Día anterior")</f>
        <v>Día anterior</v>
      </c>
      <c r="C105" t="s">
        <v>40</v>
      </c>
      <c r="D105" t="s">
        <v>42</v>
      </c>
      <c r="E105" t="s">
        <v>218</v>
      </c>
      <c r="F105" t="s">
        <v>21</v>
      </c>
      <c r="G105" t="s">
        <v>219</v>
      </c>
      <c r="H105" t="s">
        <v>11</v>
      </c>
      <c r="I105" t="s">
        <v>7</v>
      </c>
      <c r="J105" t="s">
        <v>57</v>
      </c>
      <c r="K105" t="s">
        <v>35</v>
      </c>
      <c r="L105" t="s">
        <v>60</v>
      </c>
      <c r="M105">
        <v>1</v>
      </c>
    </row>
    <row r="106" spans="1:13" x14ac:dyDescent="0.25">
      <c r="A106" s="2">
        <v>46150</v>
      </c>
      <c r="B106" s="1" t="str">
        <f ca="1">IF(Información1[[#This Row],[Fecha]]='Ajuste de fechas'!$A$2,"Día actual","Día anterior")</f>
        <v>Día anterior</v>
      </c>
      <c r="C106" t="s">
        <v>28</v>
      </c>
      <c r="D106" t="s">
        <v>30</v>
      </c>
      <c r="E106" t="s">
        <v>220</v>
      </c>
      <c r="F106" t="s">
        <v>21</v>
      </c>
      <c r="G106" t="s">
        <v>113</v>
      </c>
      <c r="H106" t="s">
        <v>11</v>
      </c>
      <c r="I106" t="s">
        <v>7</v>
      </c>
      <c r="J106" t="s">
        <v>57</v>
      </c>
      <c r="K106" t="s">
        <v>29</v>
      </c>
      <c r="L106" t="s">
        <v>60</v>
      </c>
      <c r="M106">
        <v>1</v>
      </c>
    </row>
    <row r="107" spans="1:13" x14ac:dyDescent="0.25">
      <c r="A107" s="2">
        <v>46150</v>
      </c>
      <c r="B107" s="1" t="str">
        <f ca="1">IF(Información1[[#This Row],[Fecha]]='Ajuste de fechas'!$A$2,"Día actual","Día anterior")</f>
        <v>Día anterior</v>
      </c>
      <c r="C107" t="s">
        <v>40</v>
      </c>
      <c r="D107" t="s">
        <v>42</v>
      </c>
      <c r="E107" t="s">
        <v>231</v>
      </c>
      <c r="F107" t="s">
        <v>6</v>
      </c>
      <c r="G107" t="s">
        <v>232</v>
      </c>
      <c r="H107" t="s">
        <v>11</v>
      </c>
      <c r="I107" t="s">
        <v>7</v>
      </c>
      <c r="J107" t="s">
        <v>57</v>
      </c>
      <c r="K107" t="s">
        <v>35</v>
      </c>
      <c r="L107" t="s">
        <v>60</v>
      </c>
      <c r="M107">
        <v>1</v>
      </c>
    </row>
    <row r="108" spans="1:13" x14ac:dyDescent="0.25">
      <c r="A108" s="2">
        <v>46150</v>
      </c>
      <c r="B108" s="1" t="str">
        <f ca="1">IF(Información1[[#This Row],[Fecha]]='Ajuste de fechas'!$A$2,"Día actual","Día anterior")</f>
        <v>Día anterior</v>
      </c>
      <c r="C108" t="s">
        <v>28</v>
      </c>
      <c r="D108" t="s">
        <v>30</v>
      </c>
      <c r="E108" t="s">
        <v>217</v>
      </c>
      <c r="F108" t="s">
        <v>23</v>
      </c>
      <c r="G108" t="s">
        <v>189</v>
      </c>
      <c r="H108" t="s">
        <v>11</v>
      </c>
      <c r="I108" t="s">
        <v>7</v>
      </c>
      <c r="J108" t="s">
        <v>57</v>
      </c>
      <c r="K108" t="s">
        <v>29</v>
      </c>
      <c r="L108" t="s">
        <v>60</v>
      </c>
      <c r="M108">
        <v>1</v>
      </c>
    </row>
    <row r="109" spans="1:13" x14ac:dyDescent="0.25">
      <c r="A109" s="2">
        <v>46150</v>
      </c>
      <c r="B109" s="1" t="str">
        <f ca="1">IF(Información1[[#This Row],[Fecha]]='Ajuste de fechas'!$A$2,"Día actual","Día anterior")</f>
        <v>Día anterior</v>
      </c>
      <c r="C109" t="s">
        <v>40</v>
      </c>
      <c r="D109" t="s">
        <v>42</v>
      </c>
      <c r="E109" t="s">
        <v>217</v>
      </c>
      <c r="F109" t="s">
        <v>23</v>
      </c>
      <c r="G109" t="s">
        <v>189</v>
      </c>
      <c r="H109" t="s">
        <v>11</v>
      </c>
      <c r="I109" t="s">
        <v>7</v>
      </c>
      <c r="J109" t="s">
        <v>57</v>
      </c>
      <c r="K109" t="s">
        <v>35</v>
      </c>
      <c r="L109" t="s">
        <v>60</v>
      </c>
      <c r="M109">
        <v>1</v>
      </c>
    </row>
    <row r="110" spans="1:13" x14ac:dyDescent="0.25">
      <c r="A110" s="2">
        <v>46150</v>
      </c>
      <c r="B110" s="1" t="str">
        <f ca="1">IF(Información1[[#This Row],[Fecha]]='Ajuste de fechas'!$A$2,"Día actual","Día anterior")</f>
        <v>Día anterior</v>
      </c>
      <c r="C110" t="s">
        <v>40</v>
      </c>
      <c r="D110" t="s">
        <v>42</v>
      </c>
      <c r="E110" t="s">
        <v>150</v>
      </c>
      <c r="F110" t="s">
        <v>44</v>
      </c>
      <c r="G110" t="s">
        <v>149</v>
      </c>
      <c r="H110" t="s">
        <v>11</v>
      </c>
      <c r="I110" t="s">
        <v>7</v>
      </c>
      <c r="J110" t="s">
        <v>57</v>
      </c>
      <c r="K110" t="s">
        <v>35</v>
      </c>
      <c r="L110" t="s">
        <v>60</v>
      </c>
      <c r="M110">
        <v>1</v>
      </c>
    </row>
    <row r="111" spans="1:13" x14ac:dyDescent="0.25">
      <c r="A111" s="2">
        <v>46153</v>
      </c>
      <c r="B111" s="1" t="str">
        <f ca="1">IF(Información1[[#This Row],[Fecha]]='Ajuste de fechas'!$A$2,"Día actual","Día anterior")</f>
        <v>Día actual</v>
      </c>
      <c r="C111" t="s">
        <v>31</v>
      </c>
      <c r="D111" t="s">
        <v>33</v>
      </c>
      <c r="E111" t="s">
        <v>233</v>
      </c>
      <c r="F111" t="s">
        <v>175</v>
      </c>
      <c r="H111" t="s">
        <v>11</v>
      </c>
      <c r="I111" t="s">
        <v>7</v>
      </c>
      <c r="J111" t="s">
        <v>57</v>
      </c>
      <c r="K111" t="s">
        <v>49</v>
      </c>
      <c r="L111" t="s">
        <v>58</v>
      </c>
      <c r="M111">
        <v>1</v>
      </c>
    </row>
    <row r="112" spans="1:13" x14ac:dyDescent="0.25">
      <c r="A112" s="2">
        <v>46153</v>
      </c>
      <c r="B112" s="1" t="str">
        <f ca="1">IF(Información1[[#This Row],[Fecha]]='Ajuste de fechas'!$A$2,"Día actual","Día anterior")</f>
        <v>Día actual</v>
      </c>
      <c r="C112" t="s">
        <v>31</v>
      </c>
      <c r="D112" t="s">
        <v>33</v>
      </c>
      <c r="E112" t="s">
        <v>234</v>
      </c>
      <c r="F112" t="s">
        <v>175</v>
      </c>
      <c r="H112" t="s">
        <v>11</v>
      </c>
      <c r="I112" t="s">
        <v>7</v>
      </c>
      <c r="J112" t="s">
        <v>57</v>
      </c>
      <c r="K112" t="s">
        <v>49</v>
      </c>
      <c r="L112" t="s">
        <v>58</v>
      </c>
      <c r="M112">
        <v>1</v>
      </c>
    </row>
    <row r="113" spans="1:13" x14ac:dyDescent="0.25">
      <c r="A113" s="2">
        <v>46153</v>
      </c>
      <c r="B113" s="1" t="str">
        <f ca="1">IF(Información1[[#This Row],[Fecha]]='Ajuste de fechas'!$A$2,"Día actual","Día anterior")</f>
        <v>Día actual</v>
      </c>
      <c r="C113" t="s">
        <v>8</v>
      </c>
      <c r="D113" t="s">
        <v>10</v>
      </c>
      <c r="E113" t="s">
        <v>235</v>
      </c>
      <c r="F113" t="s">
        <v>6</v>
      </c>
      <c r="G113" t="s">
        <v>83</v>
      </c>
      <c r="H113" t="s">
        <v>11</v>
      </c>
      <c r="I113" t="s">
        <v>25</v>
      </c>
      <c r="J113" t="s">
        <v>57</v>
      </c>
      <c r="K113" t="s">
        <v>9</v>
      </c>
      <c r="L113" t="s">
        <v>59</v>
      </c>
      <c r="M113">
        <v>1</v>
      </c>
    </row>
    <row r="114" spans="1:13" x14ac:dyDescent="0.25">
      <c r="A114" s="2">
        <v>46153</v>
      </c>
      <c r="B114" s="1" t="str">
        <f ca="1">IF(Información1[[#This Row],[Fecha]]='Ajuste de fechas'!$A$2,"Día actual","Día anterior")</f>
        <v>Día actual</v>
      </c>
      <c r="C114" t="s">
        <v>8</v>
      </c>
      <c r="D114" t="s">
        <v>10</v>
      </c>
      <c r="E114" t="s">
        <v>236</v>
      </c>
      <c r="F114" t="s">
        <v>6</v>
      </c>
      <c r="G114" t="s">
        <v>83</v>
      </c>
      <c r="H114" t="s">
        <v>11</v>
      </c>
      <c r="I114" t="s">
        <v>25</v>
      </c>
      <c r="J114" t="s">
        <v>57</v>
      </c>
      <c r="K114" t="s">
        <v>9</v>
      </c>
      <c r="L114" t="s">
        <v>59</v>
      </c>
      <c r="M114">
        <v>1</v>
      </c>
    </row>
    <row r="115" spans="1:13" x14ac:dyDescent="0.25">
      <c r="A115" s="2">
        <v>46153</v>
      </c>
      <c r="B115" s="1" t="str">
        <f ca="1">IF(Información1[[#This Row],[Fecha]]='Ajuste de fechas'!$A$2,"Día actual","Día anterior")</f>
        <v>Día actual</v>
      </c>
      <c r="C115" t="s">
        <v>8</v>
      </c>
      <c r="D115" t="s">
        <v>10</v>
      </c>
      <c r="E115" t="s">
        <v>237</v>
      </c>
      <c r="F115" t="s">
        <v>6</v>
      </c>
      <c r="G115" t="s">
        <v>83</v>
      </c>
      <c r="H115" t="s">
        <v>11</v>
      </c>
      <c r="I115" t="s">
        <v>25</v>
      </c>
      <c r="J115" t="s">
        <v>57</v>
      </c>
      <c r="K115" t="s">
        <v>9</v>
      </c>
      <c r="L115" t="s">
        <v>59</v>
      </c>
      <c r="M115">
        <v>1</v>
      </c>
    </row>
    <row r="116" spans="1:13" x14ac:dyDescent="0.25">
      <c r="A116" s="2">
        <v>46153</v>
      </c>
      <c r="B116" s="1" t="str">
        <f ca="1">IF(Información1[[#This Row],[Fecha]]='Ajuste de fechas'!$A$2,"Día actual","Día anterior")</f>
        <v>Día actual</v>
      </c>
      <c r="C116" t="s">
        <v>31</v>
      </c>
      <c r="D116" t="s">
        <v>10</v>
      </c>
      <c r="E116" t="s">
        <v>238</v>
      </c>
      <c r="F116" t="s">
        <v>24</v>
      </c>
      <c r="G116" t="s">
        <v>239</v>
      </c>
      <c r="H116" t="s">
        <v>11</v>
      </c>
      <c r="I116" t="s">
        <v>7</v>
      </c>
      <c r="J116" t="s">
        <v>24</v>
      </c>
      <c r="K116" t="s">
        <v>32</v>
      </c>
      <c r="L116" t="s">
        <v>58</v>
      </c>
      <c r="M116">
        <v>1</v>
      </c>
    </row>
    <row r="117" spans="1:13" x14ac:dyDescent="0.25">
      <c r="A117" s="2">
        <v>46153</v>
      </c>
      <c r="B117" s="1" t="str">
        <f ca="1">IF(Información1[[#This Row],[Fecha]]='Ajuste de fechas'!$A$2,"Día actual","Día anterior")</f>
        <v>Día actual</v>
      </c>
      <c r="C117" t="s">
        <v>31</v>
      </c>
      <c r="D117" t="s">
        <v>10</v>
      </c>
      <c r="E117" t="s">
        <v>240</v>
      </c>
      <c r="F117" t="s">
        <v>19</v>
      </c>
      <c r="G117" t="s">
        <v>241</v>
      </c>
      <c r="H117" t="s">
        <v>11</v>
      </c>
      <c r="I117" t="s">
        <v>7</v>
      </c>
      <c r="J117" t="s">
        <v>61</v>
      </c>
      <c r="K117" t="s">
        <v>32</v>
      </c>
      <c r="L117" t="s">
        <v>58</v>
      </c>
      <c r="M117">
        <v>1</v>
      </c>
    </row>
    <row r="118" spans="1:13" x14ac:dyDescent="0.25">
      <c r="A118" s="2">
        <v>46153</v>
      </c>
      <c r="B118" s="1" t="str">
        <f ca="1">IF(Información1[[#This Row],[Fecha]]='Ajuste de fechas'!$A$2,"Día actual","Día anterior")</f>
        <v>Día actual</v>
      </c>
      <c r="C118" t="s">
        <v>31</v>
      </c>
      <c r="D118" t="s">
        <v>33</v>
      </c>
      <c r="E118" t="s">
        <v>242</v>
      </c>
      <c r="F118" t="s">
        <v>15</v>
      </c>
      <c r="G118" t="s">
        <v>243</v>
      </c>
      <c r="H118" t="s">
        <v>11</v>
      </c>
      <c r="I118" t="s">
        <v>7</v>
      </c>
      <c r="J118" t="s">
        <v>57</v>
      </c>
      <c r="K118" t="s">
        <v>49</v>
      </c>
      <c r="L118" t="s">
        <v>60</v>
      </c>
      <c r="M118">
        <v>1</v>
      </c>
    </row>
    <row r="119" spans="1:13" x14ac:dyDescent="0.25">
      <c r="A119" s="2">
        <v>46153</v>
      </c>
      <c r="B119" s="1" t="str">
        <f ca="1">IF(Información1[[#This Row],[Fecha]]='Ajuste de fechas'!$A$2,"Día actual","Día anterior")</f>
        <v>Día actual</v>
      </c>
      <c r="C119" t="s">
        <v>31</v>
      </c>
      <c r="D119" t="s">
        <v>10</v>
      </c>
      <c r="E119" t="s">
        <v>244</v>
      </c>
      <c r="F119" t="s">
        <v>15</v>
      </c>
      <c r="G119" t="s">
        <v>243</v>
      </c>
      <c r="H119" t="s">
        <v>11</v>
      </c>
      <c r="I119" t="s">
        <v>7</v>
      </c>
      <c r="J119" t="s">
        <v>57</v>
      </c>
      <c r="K119" t="s">
        <v>32</v>
      </c>
      <c r="L119" t="s">
        <v>58</v>
      </c>
      <c r="M119">
        <v>1</v>
      </c>
    </row>
    <row r="120" spans="1:13" x14ac:dyDescent="0.25">
      <c r="A120" s="2">
        <v>46153</v>
      </c>
      <c r="B120" s="1" t="str">
        <f ca="1">IF(Información1[[#This Row],[Fecha]]='Ajuste de fechas'!$A$2,"Día actual","Día anterior")</f>
        <v>Día actual</v>
      </c>
      <c r="C120" t="s">
        <v>31</v>
      </c>
      <c r="D120" t="s">
        <v>33</v>
      </c>
      <c r="E120" t="s">
        <v>245</v>
      </c>
      <c r="F120" t="s">
        <v>19</v>
      </c>
      <c r="G120" t="s">
        <v>246</v>
      </c>
      <c r="H120" t="s">
        <v>11</v>
      </c>
      <c r="I120" t="s">
        <v>7</v>
      </c>
      <c r="J120" t="s">
        <v>61</v>
      </c>
      <c r="K120" t="s">
        <v>49</v>
      </c>
      <c r="L120" t="s">
        <v>58</v>
      </c>
      <c r="M120">
        <v>1</v>
      </c>
    </row>
    <row r="121" spans="1:13" x14ac:dyDescent="0.25">
      <c r="A121" s="2">
        <v>46153</v>
      </c>
      <c r="B121" s="1" t="str">
        <f ca="1">IF(Información1[[#This Row],[Fecha]]='Ajuste de fechas'!$A$2,"Día actual","Día anterior")</f>
        <v>Día actual</v>
      </c>
      <c r="C121" t="s">
        <v>8</v>
      </c>
      <c r="D121" t="s">
        <v>10</v>
      </c>
      <c r="E121" t="s">
        <v>20</v>
      </c>
      <c r="F121" t="s">
        <v>19</v>
      </c>
      <c r="G121" t="s">
        <v>48</v>
      </c>
      <c r="H121" t="s">
        <v>11</v>
      </c>
      <c r="I121" t="s">
        <v>12</v>
      </c>
      <c r="J121" t="s">
        <v>61</v>
      </c>
      <c r="K121" t="s">
        <v>14</v>
      </c>
      <c r="L121" t="s">
        <v>59</v>
      </c>
      <c r="M121">
        <v>1</v>
      </c>
    </row>
    <row r="122" spans="1:13" x14ac:dyDescent="0.25">
      <c r="A122" s="2">
        <v>46153</v>
      </c>
      <c r="B122" s="1" t="str">
        <f ca="1">IF(Información1[[#This Row],[Fecha]]='Ajuste de fechas'!$A$2,"Día actual","Día anterior")</f>
        <v>Día actual</v>
      </c>
      <c r="C122" t="s">
        <v>8</v>
      </c>
      <c r="D122" t="s">
        <v>10</v>
      </c>
      <c r="E122" t="s">
        <v>18</v>
      </c>
      <c r="F122" t="s">
        <v>19</v>
      </c>
      <c r="G122" t="s">
        <v>48</v>
      </c>
      <c r="H122" t="s">
        <v>11</v>
      </c>
      <c r="I122" t="s">
        <v>12</v>
      </c>
      <c r="J122" t="s">
        <v>61</v>
      </c>
      <c r="K122" t="s">
        <v>14</v>
      </c>
      <c r="L122" t="s">
        <v>59</v>
      </c>
      <c r="M122">
        <v>1</v>
      </c>
    </row>
    <row r="123" spans="1:13" x14ac:dyDescent="0.25">
      <c r="A123" s="2">
        <v>46153</v>
      </c>
      <c r="B123" s="1" t="str">
        <f ca="1">IF(Información1[[#This Row],[Fecha]]='Ajuste de fechas'!$A$2,"Día actual","Día anterior")</f>
        <v>Día actual</v>
      </c>
      <c r="C123" t="s">
        <v>8</v>
      </c>
      <c r="D123" t="s">
        <v>10</v>
      </c>
      <c r="E123" t="s">
        <v>93</v>
      </c>
      <c r="F123" t="s">
        <v>88</v>
      </c>
      <c r="G123" t="s">
        <v>48</v>
      </c>
      <c r="H123" t="s">
        <v>11</v>
      </c>
      <c r="I123" t="s">
        <v>12</v>
      </c>
      <c r="J123" t="s">
        <v>24</v>
      </c>
      <c r="K123" t="s">
        <v>14</v>
      </c>
      <c r="L123" t="s">
        <v>59</v>
      </c>
      <c r="M123">
        <v>1</v>
      </c>
    </row>
    <row r="124" spans="1:13" x14ac:dyDescent="0.25">
      <c r="A124" s="2">
        <v>46153</v>
      </c>
      <c r="B124" s="1" t="str">
        <f ca="1">IF(Información1[[#This Row],[Fecha]]='Ajuste de fechas'!$A$2,"Día actual","Día anterior")</f>
        <v>Día actual</v>
      </c>
      <c r="C124" t="s">
        <v>8</v>
      </c>
      <c r="D124" t="s">
        <v>10</v>
      </c>
      <c r="E124" t="s">
        <v>68</v>
      </c>
      <c r="F124" t="s">
        <v>21</v>
      </c>
      <c r="G124" t="s">
        <v>48</v>
      </c>
      <c r="H124" t="s">
        <v>11</v>
      </c>
      <c r="I124" t="s">
        <v>12</v>
      </c>
      <c r="J124" t="s">
        <v>57</v>
      </c>
      <c r="K124" t="s">
        <v>14</v>
      </c>
      <c r="L124" t="s">
        <v>59</v>
      </c>
      <c r="M124">
        <v>1</v>
      </c>
    </row>
    <row r="125" spans="1:13" x14ac:dyDescent="0.25">
      <c r="A125" s="2">
        <v>46153</v>
      </c>
      <c r="B125" s="1" t="str">
        <f ca="1">IF(Información1[[#This Row],[Fecha]]='Ajuste de fechas'!$A$2,"Día actual","Día anterior")</f>
        <v>Día actual</v>
      </c>
      <c r="C125" t="s">
        <v>8</v>
      </c>
      <c r="D125" t="s">
        <v>10</v>
      </c>
      <c r="E125" t="s">
        <v>13</v>
      </c>
      <c r="F125" t="s">
        <v>15</v>
      </c>
      <c r="G125" t="s">
        <v>48</v>
      </c>
      <c r="H125" t="s">
        <v>11</v>
      </c>
      <c r="I125" t="s">
        <v>12</v>
      </c>
      <c r="J125" t="s">
        <v>57</v>
      </c>
      <c r="K125" t="s">
        <v>14</v>
      </c>
      <c r="L125" t="s">
        <v>59</v>
      </c>
      <c r="M125">
        <v>1</v>
      </c>
    </row>
    <row r="126" spans="1:13" x14ac:dyDescent="0.25">
      <c r="A126" s="2">
        <v>46153</v>
      </c>
      <c r="B126" s="1" t="str">
        <f ca="1">IF(Información1[[#This Row],[Fecha]]='Ajuste de fechas'!$A$2,"Día actual","Día anterior")</f>
        <v>Día actual</v>
      </c>
      <c r="C126" t="s">
        <v>8</v>
      </c>
      <c r="D126" t="s">
        <v>10</v>
      </c>
      <c r="E126" t="s">
        <v>16</v>
      </c>
      <c r="F126" t="s">
        <v>17</v>
      </c>
      <c r="G126" t="s">
        <v>48</v>
      </c>
      <c r="H126" t="s">
        <v>11</v>
      </c>
      <c r="I126" t="s">
        <v>12</v>
      </c>
      <c r="J126" t="s">
        <v>57</v>
      </c>
      <c r="K126" t="s">
        <v>14</v>
      </c>
      <c r="L126" t="s">
        <v>59</v>
      </c>
      <c r="M126">
        <v>1</v>
      </c>
    </row>
    <row r="127" spans="1:13" x14ac:dyDescent="0.25">
      <c r="A127" s="2">
        <v>46153</v>
      </c>
      <c r="B127" s="1" t="str">
        <f ca="1">IF(Información1[[#This Row],[Fecha]]='Ajuste de fechas'!$A$2,"Día actual","Día anterior")</f>
        <v>Día actual</v>
      </c>
      <c r="C127" t="s">
        <v>8</v>
      </c>
      <c r="D127" t="s">
        <v>10</v>
      </c>
      <c r="E127" t="s">
        <v>50</v>
      </c>
      <c r="F127" t="s">
        <v>6</v>
      </c>
      <c r="G127" t="s">
        <v>48</v>
      </c>
      <c r="H127" t="s">
        <v>11</v>
      </c>
      <c r="I127" t="s">
        <v>12</v>
      </c>
      <c r="J127" t="s">
        <v>57</v>
      </c>
      <c r="K127" t="s">
        <v>14</v>
      </c>
      <c r="L127" t="s">
        <v>59</v>
      </c>
      <c r="M127">
        <v>1</v>
      </c>
    </row>
    <row r="128" spans="1:13" x14ac:dyDescent="0.25">
      <c r="A128" s="2">
        <v>46153</v>
      </c>
      <c r="B128" s="1" t="str">
        <f ca="1">IF(Información1[[#This Row],[Fecha]]='Ajuste de fechas'!$A$2,"Día actual","Día anterior")</f>
        <v>Día actual</v>
      </c>
      <c r="C128" t="s">
        <v>31</v>
      </c>
      <c r="D128" t="s">
        <v>33</v>
      </c>
      <c r="E128" t="s">
        <v>247</v>
      </c>
      <c r="F128" t="s">
        <v>26</v>
      </c>
      <c r="G128" t="s">
        <v>248</v>
      </c>
      <c r="H128" t="s">
        <v>11</v>
      </c>
      <c r="I128" t="s">
        <v>7</v>
      </c>
      <c r="J128" t="s">
        <v>57</v>
      </c>
      <c r="K128" t="s">
        <v>49</v>
      </c>
      <c r="L128" t="s">
        <v>58</v>
      </c>
      <c r="M128">
        <v>1</v>
      </c>
    </row>
    <row r="129" spans="1:13" x14ac:dyDescent="0.25">
      <c r="A129" s="2">
        <v>46153</v>
      </c>
      <c r="B129" s="1" t="str">
        <f ca="1">IF(Información1[[#This Row],[Fecha]]='Ajuste de fechas'!$A$2,"Día actual","Día anterior")</f>
        <v>Día actual</v>
      </c>
      <c r="C129" t="s">
        <v>8</v>
      </c>
      <c r="D129" t="s">
        <v>10</v>
      </c>
      <c r="E129" t="s">
        <v>249</v>
      </c>
      <c r="F129" t="s">
        <v>22</v>
      </c>
      <c r="G129" t="s">
        <v>248</v>
      </c>
      <c r="H129" t="s">
        <v>11</v>
      </c>
      <c r="I129" t="s">
        <v>7</v>
      </c>
      <c r="J129" t="s">
        <v>62</v>
      </c>
      <c r="K129" t="s">
        <v>14</v>
      </c>
      <c r="L129" t="s">
        <v>58</v>
      </c>
      <c r="M129">
        <v>1</v>
      </c>
    </row>
    <row r="130" spans="1:13" x14ac:dyDescent="0.25">
      <c r="A130" s="2">
        <v>46153</v>
      </c>
      <c r="B130" s="1" t="str">
        <f ca="1">IF(Información1[[#This Row],[Fecha]]='Ajuste de fechas'!$A$2,"Día actual","Día anterior")</f>
        <v>Día actual</v>
      </c>
      <c r="C130" t="s">
        <v>31</v>
      </c>
      <c r="D130" t="s">
        <v>33</v>
      </c>
      <c r="E130" t="s">
        <v>250</v>
      </c>
      <c r="F130" t="s">
        <v>17</v>
      </c>
      <c r="G130" t="s">
        <v>78</v>
      </c>
      <c r="H130" t="s">
        <v>11</v>
      </c>
      <c r="I130" t="s">
        <v>7</v>
      </c>
      <c r="J130" t="s">
        <v>57</v>
      </c>
      <c r="K130" t="s">
        <v>49</v>
      </c>
      <c r="L130" t="s">
        <v>58</v>
      </c>
      <c r="M130">
        <v>1</v>
      </c>
    </row>
    <row r="131" spans="1:13" x14ac:dyDescent="0.25">
      <c r="A131" s="2">
        <v>46153</v>
      </c>
      <c r="B131" s="1" t="str">
        <f ca="1">IF(Información1[[#This Row],[Fecha]]='Ajuste de fechas'!$A$2,"Día actual","Día anterior")</f>
        <v>Día actual</v>
      </c>
      <c r="C131" t="s">
        <v>8</v>
      </c>
      <c r="D131" t="s">
        <v>10</v>
      </c>
      <c r="E131" t="s">
        <v>251</v>
      </c>
      <c r="F131" t="s">
        <v>17</v>
      </c>
      <c r="G131" t="s">
        <v>78</v>
      </c>
      <c r="H131" t="s">
        <v>11</v>
      </c>
      <c r="I131" t="s">
        <v>25</v>
      </c>
      <c r="J131" t="s">
        <v>57</v>
      </c>
      <c r="K131" t="s">
        <v>9</v>
      </c>
      <c r="L131" t="s">
        <v>59</v>
      </c>
      <c r="M131">
        <v>1</v>
      </c>
    </row>
    <row r="132" spans="1:13" x14ac:dyDescent="0.25">
      <c r="A132" s="2">
        <v>46153</v>
      </c>
      <c r="B132" s="1" t="str">
        <f ca="1">IF(Información1[[#This Row],[Fecha]]='Ajuste de fechas'!$A$2,"Día actual","Día anterior")</f>
        <v>Día actual</v>
      </c>
      <c r="C132" t="s">
        <v>8</v>
      </c>
      <c r="D132" t="s">
        <v>10</v>
      </c>
      <c r="E132" t="s">
        <v>252</v>
      </c>
      <c r="F132" t="s">
        <v>17</v>
      </c>
      <c r="G132" t="s">
        <v>78</v>
      </c>
      <c r="H132" t="s">
        <v>11</v>
      </c>
      <c r="I132" t="s">
        <v>7</v>
      </c>
      <c r="J132" t="s">
        <v>57</v>
      </c>
      <c r="K132" t="s">
        <v>9</v>
      </c>
      <c r="L132" t="s">
        <v>59</v>
      </c>
      <c r="M132">
        <v>1</v>
      </c>
    </row>
    <row r="133" spans="1:13" x14ac:dyDescent="0.25">
      <c r="A133" s="2">
        <v>46153</v>
      </c>
      <c r="B133" s="1" t="str">
        <f ca="1">IF(Información1[[#This Row],[Fecha]]='Ajuste de fechas'!$A$2,"Día actual","Día anterior")</f>
        <v>Día actual</v>
      </c>
      <c r="C133" t="s">
        <v>8</v>
      </c>
      <c r="D133" t="s">
        <v>10</v>
      </c>
      <c r="E133" t="s">
        <v>253</v>
      </c>
      <c r="F133" t="s">
        <v>24</v>
      </c>
      <c r="G133" t="s">
        <v>78</v>
      </c>
      <c r="H133" t="s">
        <v>11</v>
      </c>
      <c r="I133" t="s">
        <v>7</v>
      </c>
      <c r="J133" t="s">
        <v>24</v>
      </c>
      <c r="K133" t="s">
        <v>14</v>
      </c>
      <c r="L133" t="s">
        <v>58</v>
      </c>
      <c r="M133">
        <v>1</v>
      </c>
    </row>
    <row r="134" spans="1:13" x14ac:dyDescent="0.25">
      <c r="A134" s="2">
        <v>46153</v>
      </c>
      <c r="B134" s="1" t="str">
        <f ca="1">IF(Información1[[#This Row],[Fecha]]='Ajuste de fechas'!$A$2,"Día actual","Día anterior")</f>
        <v>Día actual</v>
      </c>
      <c r="C134" t="s">
        <v>31</v>
      </c>
      <c r="D134" t="s">
        <v>10</v>
      </c>
      <c r="E134" t="s">
        <v>254</v>
      </c>
      <c r="F134" t="s">
        <v>255</v>
      </c>
      <c r="G134" t="s">
        <v>97</v>
      </c>
      <c r="H134" t="s">
        <v>11</v>
      </c>
      <c r="I134" t="s">
        <v>7</v>
      </c>
      <c r="J134" t="s">
        <v>256</v>
      </c>
      <c r="K134" t="s">
        <v>32</v>
      </c>
      <c r="L134" t="s">
        <v>58</v>
      </c>
      <c r="M134">
        <v>1</v>
      </c>
    </row>
    <row r="135" spans="1:13" x14ac:dyDescent="0.25">
      <c r="A135" s="2">
        <v>46153</v>
      </c>
      <c r="B135" s="1" t="str">
        <f ca="1">IF(Información1[[#This Row],[Fecha]]='Ajuste de fechas'!$A$2,"Día actual","Día anterior")</f>
        <v>Día actual</v>
      </c>
      <c r="C135" t="s">
        <v>31</v>
      </c>
      <c r="D135" t="s">
        <v>10</v>
      </c>
      <c r="E135" t="s">
        <v>257</v>
      </c>
      <c r="F135" t="s">
        <v>15</v>
      </c>
      <c r="G135" t="s">
        <v>135</v>
      </c>
      <c r="H135" t="s">
        <v>11</v>
      </c>
      <c r="I135" t="s">
        <v>7</v>
      </c>
      <c r="J135" t="s">
        <v>57</v>
      </c>
      <c r="K135" t="s">
        <v>32</v>
      </c>
      <c r="L135" t="s">
        <v>58</v>
      </c>
      <c r="M135">
        <v>1</v>
      </c>
    </row>
    <row r="136" spans="1:13" x14ac:dyDescent="0.25">
      <c r="A136" s="2">
        <v>46153</v>
      </c>
      <c r="B136" s="1" t="str">
        <f ca="1">IF(Información1[[#This Row],[Fecha]]='Ajuste de fechas'!$A$2,"Día actual","Día anterior")</f>
        <v>Día actual</v>
      </c>
      <c r="C136" t="s">
        <v>31</v>
      </c>
      <c r="D136" t="s">
        <v>10</v>
      </c>
      <c r="E136" t="s">
        <v>258</v>
      </c>
      <c r="F136" t="s">
        <v>22</v>
      </c>
      <c r="G136" t="s">
        <v>71</v>
      </c>
      <c r="H136" t="s">
        <v>11</v>
      </c>
      <c r="I136" t="s">
        <v>7</v>
      </c>
      <c r="J136" t="s">
        <v>62</v>
      </c>
      <c r="K136" t="s">
        <v>32</v>
      </c>
      <c r="L136" t="s">
        <v>58</v>
      </c>
      <c r="M136">
        <v>1</v>
      </c>
    </row>
    <row r="137" spans="1:13" x14ac:dyDescent="0.25">
      <c r="A137" s="2">
        <v>46153</v>
      </c>
      <c r="B137" s="1" t="str">
        <f ca="1">IF(Información1[[#This Row],[Fecha]]='Ajuste de fechas'!$A$2,"Día actual","Día anterior")</f>
        <v>Día actual</v>
      </c>
      <c r="C137" t="s">
        <v>8</v>
      </c>
      <c r="D137" t="s">
        <v>10</v>
      </c>
      <c r="E137" t="s">
        <v>259</v>
      </c>
      <c r="F137" t="s">
        <v>23</v>
      </c>
      <c r="G137" t="s">
        <v>71</v>
      </c>
      <c r="H137" t="s">
        <v>11</v>
      </c>
      <c r="I137" t="s">
        <v>7</v>
      </c>
      <c r="J137" t="s">
        <v>57</v>
      </c>
      <c r="K137" t="s">
        <v>14</v>
      </c>
      <c r="L137" t="s">
        <v>58</v>
      </c>
      <c r="M137">
        <v>1</v>
      </c>
    </row>
    <row r="138" spans="1:13" x14ac:dyDescent="0.25">
      <c r="A138" s="2">
        <v>46153</v>
      </c>
      <c r="B138" s="1" t="str">
        <f ca="1">IF(Información1[[#This Row],[Fecha]]='Ajuste de fechas'!$A$2,"Día actual","Día anterior")</f>
        <v>Día actual</v>
      </c>
      <c r="C138" t="s">
        <v>31</v>
      </c>
      <c r="D138" t="s">
        <v>10</v>
      </c>
      <c r="E138" t="s">
        <v>260</v>
      </c>
      <c r="F138" t="s">
        <v>22</v>
      </c>
      <c r="G138" t="s">
        <v>261</v>
      </c>
      <c r="H138" t="s">
        <v>11</v>
      </c>
      <c r="I138" t="s">
        <v>7</v>
      </c>
      <c r="J138" t="s">
        <v>62</v>
      </c>
      <c r="K138" t="s">
        <v>32</v>
      </c>
      <c r="L138" t="s">
        <v>58</v>
      </c>
      <c r="M138">
        <v>1</v>
      </c>
    </row>
    <row r="139" spans="1:13" x14ac:dyDescent="0.25">
      <c r="A139" s="2">
        <v>46153</v>
      </c>
      <c r="B139" s="1" t="str">
        <f ca="1">IF(Información1[[#This Row],[Fecha]]='Ajuste de fechas'!$A$2,"Día actual","Día anterior")</f>
        <v>Día actual</v>
      </c>
      <c r="C139" t="s">
        <v>31</v>
      </c>
      <c r="D139" t="s">
        <v>10</v>
      </c>
      <c r="E139" t="s">
        <v>262</v>
      </c>
      <c r="F139" t="s">
        <v>22</v>
      </c>
      <c r="G139" t="s">
        <v>261</v>
      </c>
      <c r="H139" t="s">
        <v>11</v>
      </c>
      <c r="I139" t="s">
        <v>7</v>
      </c>
      <c r="J139" t="s">
        <v>62</v>
      </c>
      <c r="K139" t="s">
        <v>32</v>
      </c>
      <c r="L139" t="s">
        <v>58</v>
      </c>
      <c r="M139">
        <v>1</v>
      </c>
    </row>
    <row r="140" spans="1:13" x14ac:dyDescent="0.25">
      <c r="A140" s="2">
        <v>46153</v>
      </c>
      <c r="B140" s="1" t="str">
        <f ca="1">IF(Información1[[#This Row],[Fecha]]='Ajuste de fechas'!$A$2,"Día actual","Día anterior")</f>
        <v>Día actual</v>
      </c>
      <c r="C140" t="s">
        <v>8</v>
      </c>
      <c r="D140" t="s">
        <v>10</v>
      </c>
      <c r="E140" t="s">
        <v>263</v>
      </c>
      <c r="F140" t="s">
        <v>22</v>
      </c>
      <c r="G140" t="s">
        <v>89</v>
      </c>
      <c r="H140" t="s">
        <v>11</v>
      </c>
      <c r="I140" t="s">
        <v>7</v>
      </c>
      <c r="J140" t="s">
        <v>62</v>
      </c>
      <c r="K140" t="s">
        <v>14</v>
      </c>
      <c r="L140" t="s">
        <v>58</v>
      </c>
      <c r="M140">
        <v>1</v>
      </c>
    </row>
    <row r="141" spans="1:13" x14ac:dyDescent="0.25">
      <c r="A141" s="2">
        <v>46153</v>
      </c>
      <c r="B141" s="1" t="str">
        <f ca="1">IF(Información1[[#This Row],[Fecha]]='Ajuste de fechas'!$A$2,"Día actual","Día anterior")</f>
        <v>Día actual</v>
      </c>
      <c r="C141" t="s">
        <v>31</v>
      </c>
      <c r="D141" t="s">
        <v>10</v>
      </c>
      <c r="E141" t="s">
        <v>264</v>
      </c>
      <c r="F141" t="s">
        <v>265</v>
      </c>
      <c r="G141" t="s">
        <v>266</v>
      </c>
      <c r="H141" t="s">
        <v>11</v>
      </c>
      <c r="I141" t="s">
        <v>7</v>
      </c>
      <c r="J141" t="s">
        <v>57</v>
      </c>
      <c r="K141" t="s">
        <v>32</v>
      </c>
      <c r="L141" t="s">
        <v>58</v>
      </c>
      <c r="M141">
        <v>1</v>
      </c>
    </row>
    <row r="142" spans="1:13" x14ac:dyDescent="0.25">
      <c r="A142" s="2">
        <v>46153</v>
      </c>
      <c r="B142" s="1" t="str">
        <f ca="1">IF(Información1[[#This Row],[Fecha]]='Ajuste de fechas'!$A$2,"Día actual","Día anterior")</f>
        <v>Día actual</v>
      </c>
      <c r="C142" t="s">
        <v>31</v>
      </c>
      <c r="D142" t="s">
        <v>33</v>
      </c>
      <c r="E142" t="s">
        <v>267</v>
      </c>
      <c r="F142" t="s">
        <v>19</v>
      </c>
      <c r="G142" t="s">
        <v>98</v>
      </c>
      <c r="H142" t="s">
        <v>11</v>
      </c>
      <c r="I142" t="s">
        <v>7</v>
      </c>
      <c r="J142" t="s">
        <v>61</v>
      </c>
      <c r="K142" t="s">
        <v>49</v>
      </c>
      <c r="L142" t="s">
        <v>58</v>
      </c>
      <c r="M142">
        <v>1</v>
      </c>
    </row>
    <row r="143" spans="1:13" x14ac:dyDescent="0.25">
      <c r="A143" s="2">
        <v>46153</v>
      </c>
      <c r="B143" s="1" t="str">
        <f ca="1">IF(Información1[[#This Row],[Fecha]]='Ajuste de fechas'!$A$2,"Día actual","Día anterior")</f>
        <v>Día actual</v>
      </c>
      <c r="C143" t="s">
        <v>31</v>
      </c>
      <c r="D143" t="s">
        <v>33</v>
      </c>
      <c r="E143" t="s">
        <v>268</v>
      </c>
      <c r="F143" t="s">
        <v>19</v>
      </c>
      <c r="G143" t="s">
        <v>98</v>
      </c>
      <c r="H143" t="s">
        <v>11</v>
      </c>
      <c r="I143" t="s">
        <v>7</v>
      </c>
      <c r="J143" t="s">
        <v>61</v>
      </c>
      <c r="K143" t="s">
        <v>49</v>
      </c>
      <c r="L143" t="s">
        <v>58</v>
      </c>
      <c r="M143">
        <v>1</v>
      </c>
    </row>
    <row r="144" spans="1:13" x14ac:dyDescent="0.25">
      <c r="A144" s="2">
        <v>46153</v>
      </c>
      <c r="B144" s="1" t="str">
        <f ca="1">IF(Información1[[#This Row],[Fecha]]='Ajuste de fechas'!$A$2,"Día actual","Día anterior")</f>
        <v>Día actual</v>
      </c>
      <c r="C144" t="s">
        <v>31</v>
      </c>
      <c r="D144" t="s">
        <v>10</v>
      </c>
      <c r="E144" t="s">
        <v>269</v>
      </c>
      <c r="F144" t="s">
        <v>19</v>
      </c>
      <c r="G144" t="s">
        <v>270</v>
      </c>
      <c r="H144" t="s">
        <v>11</v>
      </c>
      <c r="I144" t="s">
        <v>7</v>
      </c>
      <c r="J144" t="s">
        <v>61</v>
      </c>
      <c r="K144" t="s">
        <v>32</v>
      </c>
      <c r="L144" t="s">
        <v>58</v>
      </c>
      <c r="M144">
        <v>1</v>
      </c>
    </row>
    <row r="145" spans="1:13" x14ac:dyDescent="0.25">
      <c r="A145" s="2">
        <v>46153</v>
      </c>
      <c r="B145" s="1" t="str">
        <f ca="1">IF(Información1[[#This Row],[Fecha]]='Ajuste de fechas'!$A$2,"Día actual","Día anterior")</f>
        <v>Día actual</v>
      </c>
      <c r="C145" t="s">
        <v>70</v>
      </c>
      <c r="D145" t="s">
        <v>76</v>
      </c>
      <c r="E145" t="s">
        <v>271</v>
      </c>
      <c r="F145" t="s">
        <v>84</v>
      </c>
      <c r="G145" t="s">
        <v>272</v>
      </c>
      <c r="H145" t="s">
        <v>11</v>
      </c>
      <c r="I145" t="s">
        <v>7</v>
      </c>
      <c r="J145" t="s">
        <v>57</v>
      </c>
      <c r="K145" t="s">
        <v>77</v>
      </c>
      <c r="L145" t="s">
        <v>60</v>
      </c>
      <c r="M145">
        <v>1</v>
      </c>
    </row>
    <row r="146" spans="1:13" x14ac:dyDescent="0.25">
      <c r="A146" s="2">
        <v>46153</v>
      </c>
      <c r="B146" s="1" t="str">
        <f ca="1">IF(Información1[[#This Row],[Fecha]]='Ajuste de fechas'!$A$2,"Día actual","Día anterior")</f>
        <v>Día actual</v>
      </c>
      <c r="C146" t="s">
        <v>273</v>
      </c>
      <c r="D146" t="s">
        <v>274</v>
      </c>
      <c r="E146" t="s">
        <v>275</v>
      </c>
      <c r="F146" t="s">
        <v>26</v>
      </c>
      <c r="G146" t="s">
        <v>74</v>
      </c>
      <c r="H146" t="s">
        <v>11</v>
      </c>
      <c r="I146" t="s">
        <v>7</v>
      </c>
      <c r="J146" t="s">
        <v>57</v>
      </c>
      <c r="K146" t="s">
        <v>276</v>
      </c>
      <c r="L146" t="s">
        <v>60</v>
      </c>
      <c r="M146">
        <v>1</v>
      </c>
    </row>
    <row r="147" spans="1:13" x14ac:dyDescent="0.25">
      <c r="A147" s="2">
        <v>46153</v>
      </c>
      <c r="B147" s="1" t="str">
        <f ca="1">IF(Información1[[#This Row],[Fecha]]='Ajuste de fechas'!$A$2,"Día actual","Día anterior")</f>
        <v>Día actual</v>
      </c>
      <c r="C147" t="s">
        <v>70</v>
      </c>
      <c r="D147" t="s">
        <v>76</v>
      </c>
      <c r="E147" t="s">
        <v>275</v>
      </c>
      <c r="F147" t="s">
        <v>26</v>
      </c>
      <c r="G147" t="s">
        <v>74</v>
      </c>
      <c r="H147" t="s">
        <v>11</v>
      </c>
      <c r="I147" t="s">
        <v>7</v>
      </c>
      <c r="J147" t="s">
        <v>57</v>
      </c>
      <c r="K147" t="s">
        <v>77</v>
      </c>
      <c r="L147" t="s">
        <v>60</v>
      </c>
      <c r="M147">
        <v>1</v>
      </c>
    </row>
    <row r="148" spans="1:13" x14ac:dyDescent="0.25">
      <c r="A148" s="2">
        <v>46153</v>
      </c>
      <c r="B148" s="1" t="str">
        <f ca="1">IF(Información1[[#This Row],[Fecha]]='Ajuste de fechas'!$A$2,"Día actual","Día anterior")</f>
        <v>Día actual</v>
      </c>
      <c r="C148" t="s">
        <v>31</v>
      </c>
      <c r="D148" t="s">
        <v>10</v>
      </c>
      <c r="E148" t="s">
        <v>277</v>
      </c>
      <c r="F148" t="s">
        <v>75</v>
      </c>
      <c r="G148" t="s">
        <v>74</v>
      </c>
      <c r="H148" t="s">
        <v>11</v>
      </c>
      <c r="I148" t="s">
        <v>7</v>
      </c>
      <c r="J148" t="s">
        <v>57</v>
      </c>
      <c r="K148" t="s">
        <v>32</v>
      </c>
      <c r="L148" t="s">
        <v>58</v>
      </c>
      <c r="M148">
        <v>1</v>
      </c>
    </row>
    <row r="149" spans="1:13" x14ac:dyDescent="0.25">
      <c r="A149" s="2">
        <v>46153</v>
      </c>
      <c r="B149" s="1" t="str">
        <f ca="1">IF(Información1[[#This Row],[Fecha]]='Ajuste de fechas'!$A$2,"Día actual","Día anterior")</f>
        <v>Día actual</v>
      </c>
      <c r="C149" t="s">
        <v>31</v>
      </c>
      <c r="D149" t="s">
        <v>10</v>
      </c>
      <c r="E149" t="s">
        <v>278</v>
      </c>
      <c r="F149" t="s">
        <v>15</v>
      </c>
      <c r="G149" t="s">
        <v>100</v>
      </c>
      <c r="H149" t="s">
        <v>11</v>
      </c>
      <c r="I149" t="s">
        <v>7</v>
      </c>
      <c r="J149" t="s">
        <v>57</v>
      </c>
      <c r="K149" t="s">
        <v>32</v>
      </c>
      <c r="L149" t="s">
        <v>58</v>
      </c>
      <c r="M149">
        <v>1</v>
      </c>
    </row>
    <row r="150" spans="1:13" x14ac:dyDescent="0.25">
      <c r="A150" s="2">
        <v>46153</v>
      </c>
      <c r="B150" s="1" t="str">
        <f ca="1">IF(Información1[[#This Row],[Fecha]]='Ajuste de fechas'!$A$2,"Día actual","Día anterior")</f>
        <v>Día actual</v>
      </c>
      <c r="C150" t="s">
        <v>8</v>
      </c>
      <c r="D150" t="s">
        <v>10</v>
      </c>
      <c r="E150" t="s">
        <v>279</v>
      </c>
      <c r="F150" t="s">
        <v>19</v>
      </c>
      <c r="G150" t="s">
        <v>95</v>
      </c>
      <c r="H150" t="s">
        <v>11</v>
      </c>
      <c r="I150" t="s">
        <v>7</v>
      </c>
      <c r="J150" t="s">
        <v>61</v>
      </c>
      <c r="K150" t="s">
        <v>14</v>
      </c>
      <c r="L150" t="s">
        <v>58</v>
      </c>
      <c r="M150">
        <v>1</v>
      </c>
    </row>
    <row r="151" spans="1:13" x14ac:dyDescent="0.25">
      <c r="A151" s="2">
        <v>46153</v>
      </c>
      <c r="B151" s="1" t="str">
        <f ca="1">IF(Información1[[#This Row],[Fecha]]='Ajuste de fechas'!$A$2,"Día actual","Día anterior")</f>
        <v>Día actual</v>
      </c>
      <c r="C151" t="s">
        <v>31</v>
      </c>
      <c r="D151" t="s">
        <v>33</v>
      </c>
      <c r="E151" t="s">
        <v>280</v>
      </c>
      <c r="F151" t="s">
        <v>24</v>
      </c>
      <c r="G151" t="s">
        <v>113</v>
      </c>
      <c r="H151" t="s">
        <v>11</v>
      </c>
      <c r="I151" t="s">
        <v>7</v>
      </c>
      <c r="J151" t="s">
        <v>24</v>
      </c>
      <c r="K151" t="s">
        <v>49</v>
      </c>
      <c r="L151" t="s">
        <v>58</v>
      </c>
      <c r="M151">
        <v>1</v>
      </c>
    </row>
    <row r="152" spans="1:13" x14ac:dyDescent="0.25">
      <c r="A152" s="2">
        <v>46153</v>
      </c>
      <c r="B152" s="1" t="str">
        <f ca="1">IF(Información1[[#This Row],[Fecha]]='Ajuste de fechas'!$A$2,"Día actual","Día anterior")</f>
        <v>Día actual</v>
      </c>
      <c r="C152" t="s">
        <v>31</v>
      </c>
      <c r="D152" t="s">
        <v>33</v>
      </c>
      <c r="E152" t="s">
        <v>281</v>
      </c>
      <c r="F152" t="s">
        <v>22</v>
      </c>
      <c r="G152" t="s">
        <v>113</v>
      </c>
      <c r="H152" t="s">
        <v>11</v>
      </c>
      <c r="I152" t="s">
        <v>7</v>
      </c>
      <c r="J152" t="s">
        <v>62</v>
      </c>
      <c r="K152" t="s">
        <v>49</v>
      </c>
      <c r="L152" t="s">
        <v>58</v>
      </c>
      <c r="M152">
        <v>1</v>
      </c>
    </row>
    <row r="153" spans="1:13" x14ac:dyDescent="0.25">
      <c r="A153" s="2">
        <v>46153</v>
      </c>
      <c r="B153" s="1" t="str">
        <f ca="1">IF(Información1[[#This Row],[Fecha]]='Ajuste de fechas'!$A$2,"Día actual","Día anterior")</f>
        <v>Día actual</v>
      </c>
      <c r="C153" t="s">
        <v>31</v>
      </c>
      <c r="D153" t="s">
        <v>10</v>
      </c>
      <c r="E153" t="s">
        <v>282</v>
      </c>
      <c r="F153" t="s">
        <v>21</v>
      </c>
      <c r="G153" t="s">
        <v>113</v>
      </c>
      <c r="H153" t="s">
        <v>11</v>
      </c>
      <c r="I153" t="s">
        <v>7</v>
      </c>
      <c r="J153" t="s">
        <v>57</v>
      </c>
      <c r="K153" t="s">
        <v>32</v>
      </c>
      <c r="L153" t="s">
        <v>58</v>
      </c>
      <c r="M153">
        <v>1</v>
      </c>
    </row>
    <row r="154" spans="1:13" x14ac:dyDescent="0.25">
      <c r="A154" s="2">
        <v>46153</v>
      </c>
      <c r="B154" s="1" t="str">
        <f ca="1">IF(Información1[[#This Row],[Fecha]]='Ajuste de fechas'!$A$2,"Día actual","Día anterior")</f>
        <v>Día actual</v>
      </c>
      <c r="C154" t="s">
        <v>8</v>
      </c>
      <c r="D154" t="s">
        <v>10</v>
      </c>
      <c r="E154" t="s">
        <v>283</v>
      </c>
      <c r="F154" t="s">
        <v>24</v>
      </c>
      <c r="G154" t="s">
        <v>113</v>
      </c>
      <c r="H154" t="s">
        <v>11</v>
      </c>
      <c r="I154" t="s">
        <v>7</v>
      </c>
      <c r="J154" t="s">
        <v>24</v>
      </c>
      <c r="K154" t="s">
        <v>14</v>
      </c>
      <c r="L154" t="s">
        <v>58</v>
      </c>
      <c r="M154">
        <v>1</v>
      </c>
    </row>
    <row r="155" spans="1:13" x14ac:dyDescent="0.25">
      <c r="A155" s="2">
        <v>46153</v>
      </c>
      <c r="B155" s="1" t="str">
        <f ca="1">IF(Información1[[#This Row],[Fecha]]='Ajuste de fechas'!$A$2,"Día actual","Día anterior")</f>
        <v>Día actual</v>
      </c>
      <c r="C155" t="s">
        <v>31</v>
      </c>
      <c r="D155" t="s">
        <v>10</v>
      </c>
      <c r="E155" t="s">
        <v>284</v>
      </c>
      <c r="F155" t="s">
        <v>15</v>
      </c>
      <c r="G155" t="s">
        <v>285</v>
      </c>
      <c r="H155" t="s">
        <v>11</v>
      </c>
      <c r="I155" t="s">
        <v>7</v>
      </c>
      <c r="J155" t="s">
        <v>57</v>
      </c>
      <c r="K155" t="s">
        <v>32</v>
      </c>
      <c r="L155" t="s">
        <v>58</v>
      </c>
      <c r="M155">
        <v>1</v>
      </c>
    </row>
    <row r="156" spans="1:13" x14ac:dyDescent="0.25">
      <c r="A156" s="2">
        <v>46153</v>
      </c>
      <c r="B156" s="1" t="str">
        <f ca="1">IF(Información1[[#This Row],[Fecha]]='Ajuste de fechas'!$A$2,"Día actual","Día anterior")</f>
        <v>Día actual</v>
      </c>
      <c r="C156" t="s">
        <v>31</v>
      </c>
      <c r="D156" t="s">
        <v>10</v>
      </c>
      <c r="E156" t="s">
        <v>286</v>
      </c>
      <c r="F156" t="s">
        <v>21</v>
      </c>
      <c r="G156" t="s">
        <v>287</v>
      </c>
      <c r="H156" t="s">
        <v>11</v>
      </c>
      <c r="I156" t="s">
        <v>7</v>
      </c>
      <c r="J156" t="s">
        <v>57</v>
      </c>
      <c r="K156" t="s">
        <v>32</v>
      </c>
      <c r="L156" t="s">
        <v>58</v>
      </c>
      <c r="M156">
        <v>1</v>
      </c>
    </row>
    <row r="157" spans="1:13" x14ac:dyDescent="0.25">
      <c r="A157" s="2">
        <v>46153</v>
      </c>
      <c r="B157" s="1" t="str">
        <f ca="1">IF(Información1[[#This Row],[Fecha]]='Ajuste de fechas'!$A$2,"Día actual","Día anterior")</f>
        <v>Día actual</v>
      </c>
      <c r="C157" t="s">
        <v>8</v>
      </c>
      <c r="D157" t="s">
        <v>10</v>
      </c>
      <c r="E157" t="s">
        <v>288</v>
      </c>
      <c r="F157" t="s">
        <v>22</v>
      </c>
      <c r="G157" t="s">
        <v>289</v>
      </c>
      <c r="H157" t="s">
        <v>11</v>
      </c>
      <c r="I157" t="s">
        <v>7</v>
      </c>
      <c r="J157" t="s">
        <v>62</v>
      </c>
      <c r="K157" t="s">
        <v>14</v>
      </c>
      <c r="L157" t="s">
        <v>58</v>
      </c>
      <c r="M157">
        <v>1</v>
      </c>
    </row>
    <row r="158" spans="1:13" x14ac:dyDescent="0.25">
      <c r="A158" s="2">
        <v>46153</v>
      </c>
      <c r="B158" s="1" t="str">
        <f ca="1">IF(Información1[[#This Row],[Fecha]]='Ajuste de fechas'!$A$2,"Día actual","Día anterior")</f>
        <v>Día actual</v>
      </c>
      <c r="C158" t="s">
        <v>31</v>
      </c>
      <c r="D158" t="s">
        <v>10</v>
      </c>
      <c r="E158" t="s">
        <v>290</v>
      </c>
      <c r="F158" t="s">
        <v>85</v>
      </c>
      <c r="G158" t="s">
        <v>291</v>
      </c>
      <c r="H158" t="s">
        <v>11</v>
      </c>
      <c r="I158" t="s">
        <v>7</v>
      </c>
      <c r="J158" t="s">
        <v>57</v>
      </c>
      <c r="K158" t="s">
        <v>32</v>
      </c>
      <c r="L158" t="s">
        <v>58</v>
      </c>
      <c r="M15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65</v>
      </c>
      <c r="B1" t="s">
        <v>66</v>
      </c>
    </row>
    <row r="2" spans="1:2" x14ac:dyDescent="0.25">
      <c r="A2" s="2">
        <f ca="1">TODAY()</f>
        <v>46153</v>
      </c>
      <c r="B2" s="2">
        <f ca="1">A2-1</f>
        <v>46152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2026-05-12T00:40:46Z</dcterms:modified>
</cp:coreProperties>
</file>