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51A7F9EE-02D5-4898-9D6C-53B0714FF56F}" xr6:coauthVersionLast="47" xr6:coauthVersionMax="47" xr10:uidLastSave="{00000000-0000-0000-0000-000000000000}"/>
  <bookViews>
    <workbookView xWindow="-19310" yWindow="-110" windowWidth="19420" windowHeight="10300" xr2:uid="{5C0A4D95-2E1C-48C6-BF5D-23E5933B5009}"/>
  </bookViews>
  <sheets>
    <sheet name="Radio" sheetId="2" r:id="rId1"/>
    <sheet name="Ajuste de fechas" sheetId="1" r:id="rId2"/>
  </sheets>
  <definedNames>
    <definedName name="DatosExternos_1" localSheetId="0" hidden="1">Radio!$A$1:$M$148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s="1"/>
  <c r="B89" i="2" l="1"/>
  <c r="B25" i="2"/>
  <c r="B129" i="2"/>
  <c r="B121" i="2"/>
  <c r="B113" i="2"/>
  <c r="B105" i="2"/>
  <c r="B97" i="2"/>
  <c r="B145" i="2"/>
  <c r="B81" i="2"/>
  <c r="B17" i="2"/>
  <c r="B65" i="2"/>
  <c r="B57" i="2"/>
  <c r="B49" i="2"/>
  <c r="B41" i="2"/>
  <c r="B33" i="2"/>
  <c r="B137" i="2"/>
  <c r="B73" i="2"/>
  <c r="B9" i="2"/>
  <c r="B144" i="2"/>
  <c r="B128" i="2"/>
  <c r="B120" i="2"/>
  <c r="B104" i="2"/>
  <c r="B88" i="2"/>
  <c r="B72" i="2"/>
  <c r="B56" i="2"/>
  <c r="B40" i="2"/>
  <c r="B32" i="2"/>
  <c r="B16" i="2"/>
  <c r="B119" i="2"/>
  <c r="B87" i="2"/>
  <c r="B71" i="2"/>
  <c r="B55" i="2"/>
  <c r="B39" i="2"/>
  <c r="B7" i="2"/>
  <c r="B134" i="2"/>
  <c r="B118" i="2"/>
  <c r="B102" i="2"/>
  <c r="B86" i="2"/>
  <c r="B70" i="2"/>
  <c r="B46" i="2"/>
  <c r="B30" i="2"/>
  <c r="B14" i="2"/>
  <c r="B141" i="2"/>
  <c r="B101" i="2"/>
  <c r="B61" i="2"/>
  <c r="B37" i="2"/>
  <c r="B21" i="2"/>
  <c r="B148" i="2"/>
  <c r="B140" i="2"/>
  <c r="B132" i="2"/>
  <c r="B124" i="2"/>
  <c r="B116" i="2"/>
  <c r="B108" i="2"/>
  <c r="B100" i="2"/>
  <c r="B92" i="2"/>
  <c r="B84" i="2"/>
  <c r="B76" i="2"/>
  <c r="B68" i="2"/>
  <c r="B60" i="2"/>
  <c r="B52" i="2"/>
  <c r="B44" i="2"/>
  <c r="B36" i="2"/>
  <c r="B28" i="2"/>
  <c r="B20" i="2"/>
  <c r="B12" i="2"/>
  <c r="B4" i="2"/>
  <c r="B136" i="2"/>
  <c r="B112" i="2"/>
  <c r="B96" i="2"/>
  <c r="B80" i="2"/>
  <c r="B64" i="2"/>
  <c r="B48" i="2"/>
  <c r="B24" i="2"/>
  <c r="B8" i="2"/>
  <c r="B143" i="2"/>
  <c r="B135" i="2"/>
  <c r="B127" i="2"/>
  <c r="B111" i="2"/>
  <c r="B103" i="2"/>
  <c r="B95" i="2"/>
  <c r="B79" i="2"/>
  <c r="B63" i="2"/>
  <c r="B47" i="2"/>
  <c r="B31" i="2"/>
  <c r="B23" i="2"/>
  <c r="B15" i="2"/>
  <c r="B142" i="2"/>
  <c r="B126" i="2"/>
  <c r="B110" i="2"/>
  <c r="B94" i="2"/>
  <c r="B78" i="2"/>
  <c r="B62" i="2"/>
  <c r="B54" i="2"/>
  <c r="B38" i="2"/>
  <c r="B22" i="2"/>
  <c r="B6" i="2"/>
  <c r="B133" i="2"/>
  <c r="B125" i="2"/>
  <c r="B109" i="2"/>
  <c r="B85" i="2"/>
  <c r="B77" i="2"/>
  <c r="B53" i="2"/>
  <c r="B29" i="2"/>
  <c r="B13" i="2"/>
  <c r="B147" i="2"/>
  <c r="B139" i="2"/>
  <c r="B131" i="2"/>
  <c r="B123" i="2"/>
  <c r="B115" i="2"/>
  <c r="B107" i="2"/>
  <c r="B99" i="2"/>
  <c r="B91" i="2"/>
  <c r="B83" i="2"/>
  <c r="B75" i="2"/>
  <c r="B67" i="2"/>
  <c r="B59" i="2"/>
  <c r="B51" i="2"/>
  <c r="B43" i="2"/>
  <c r="B35" i="2"/>
  <c r="B27" i="2"/>
  <c r="B19" i="2"/>
  <c r="B11" i="2"/>
  <c r="B3" i="2"/>
  <c r="B117" i="2"/>
  <c r="B93" i="2"/>
  <c r="B69" i="2"/>
  <c r="B45" i="2"/>
  <c r="B5" i="2"/>
  <c r="B146" i="2"/>
  <c r="B138" i="2"/>
  <c r="B130" i="2"/>
  <c r="B122" i="2"/>
  <c r="B114" i="2"/>
  <c r="B106" i="2"/>
  <c r="B98" i="2"/>
  <c r="B90" i="2"/>
  <c r="B82" i="2"/>
  <c r="B74" i="2"/>
  <c r="B66" i="2"/>
  <c r="B58" i="2"/>
  <c r="B50" i="2"/>
  <c r="B42" i="2"/>
  <c r="B34" i="2"/>
  <c r="B26" i="2"/>
  <c r="B18" i="2"/>
  <c r="B1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<sst xmlns="http://schemas.openxmlformats.org/spreadsheetml/2006/main" count="1484" uniqueCount="305">
  <si>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</si>
  <si>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</si>
  <si>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</si>
  <si>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</si>
  <si>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</si>
  <si>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</si>
  <si>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</si>
  <si>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</si>
  <si>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</si>
  <si>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</si>
  <si>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</si>
  <si>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</si>
  <si>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</si>
  <si>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</si>
  <si>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</si>
  <si>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</si>
  <si>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</si>
  <si>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</si>
  <si>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</si>
  <si>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</si>
  <si>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</si>
  <si>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</si>
  <si>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</si>
  <si>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</si>
  <si>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</si>
  <si>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</si>
  <si>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</si>
  <si>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</si>
  <si>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</si>
  <si>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</si>
  <si>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</si>
  <si>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</si>
  <si>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</si>
  <si>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</si>
  <si>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</si>
  <si>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</si>
  <si>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</si>
  <si>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</si>
  <si>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</si>
  <si>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</si>
  <si>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</si>
  <si>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</si>
  <si>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Entrevista</t>
  </si>
  <si>
    <t>Eulalio Larrieta agradece a Carlos Gamiño por estar al pendiente de temas.</t>
  </si>
  <si>
    <t>Bienestar</t>
  </si>
  <si>
    <t>DIFH</t>
  </si>
  <si>
    <t>Testamento</t>
  </si>
  <si>
    <t>Eulalio Larrieta agradece a Edith Balderas de la Secretaria de Educación Pública.</t>
  </si>
  <si>
    <t>Segobh</t>
  </si>
  <si>
    <t>Eulalio Larrieta agradece a Jair Martínez de la SEGOBH, porque esta al pendiente de lo que se necesite y los reportes.</t>
  </si>
  <si>
    <t>Auxilio vial</t>
  </si>
  <si>
    <t>Abasto de agua</t>
  </si>
  <si>
    <t>SSH</t>
  </si>
  <si>
    <t>Cultura</t>
  </si>
  <si>
    <t>Informe De Gobierno</t>
  </si>
  <si>
    <t>Queja padres de familia</t>
  </si>
  <si>
    <t>RADIO LOCAL</t>
  </si>
  <si>
    <t>Alcantarillado</t>
  </si>
  <si>
    <t>Rehabilitación Vial</t>
  </si>
  <si>
    <t>NQ 90.1 FM</t>
  </si>
  <si>
    <t>Enlace Hidalgo1</t>
  </si>
  <si>
    <t>Jesús Riveros</t>
  </si>
  <si>
    <t>Juan Carlos Santamaría</t>
  </si>
  <si>
    <t>Ultra 102.9 FM</t>
  </si>
  <si>
    <t>Ultra Noticias1</t>
  </si>
  <si>
    <t>Vialidad En Mal Estado</t>
  </si>
  <si>
    <t>TSJEH</t>
  </si>
  <si>
    <t>Aspirantes</t>
  </si>
  <si>
    <t>Daniel Martínez</t>
  </si>
  <si>
    <t>Canal del Pueblo</t>
  </si>
  <si>
    <t>Vocales Radio</t>
  </si>
  <si>
    <t>Saderh</t>
  </si>
  <si>
    <t>TV LOCAL</t>
  </si>
  <si>
    <t>Aldo Falcón</t>
  </si>
  <si>
    <t>Andrés Torres</t>
  </si>
  <si>
    <t>Planeación</t>
  </si>
  <si>
    <t>Reparto de Comisiones</t>
  </si>
  <si>
    <t>Sucesión gubernamental</t>
  </si>
  <si>
    <t>Jessenia Romero</t>
  </si>
  <si>
    <t>Vía telefónica el reporte de Bombero y Protección Civil con Abner Yáñez informa de las diversas emergencias reportadas por la ciudadanía y que fueron atendidas.</t>
  </si>
  <si>
    <t>Auxilio a la ciudadanía</t>
  </si>
  <si>
    <t>Abner Yáñez</t>
  </si>
  <si>
    <t>Participación</t>
  </si>
  <si>
    <t>Afectaciones Por Lluvias</t>
  </si>
  <si>
    <t>La Poderosa Tuxpan 93.1 FM</t>
  </si>
  <si>
    <t>Nn Nuestras Noticias Zona Norte</t>
  </si>
  <si>
    <t>Liz Argüelles</t>
  </si>
  <si>
    <t>Radio Lobo 96.7 FM</t>
  </si>
  <si>
    <t>Enlace Noticias</t>
  </si>
  <si>
    <t>Gina Lorenzo</t>
  </si>
  <si>
    <t>Súper Stéreo 100.5 FM</t>
  </si>
  <si>
    <t>Enfoque Regional Matutino</t>
  </si>
  <si>
    <t>Rodolfo López</t>
  </si>
  <si>
    <t>PGJEH</t>
  </si>
  <si>
    <t>Muy negativo</t>
  </si>
  <si>
    <t>Carril confinado</t>
  </si>
  <si>
    <t>Enlace Hidalgo2</t>
  </si>
  <si>
    <t>Los datos de incidencia delictiva del Secretariado Ejecutivo del Sistema Nacional de Seguridad Pública reflejan una tendencia contrastante en el municipio de Tula de Allende durante los primeros siete meses de 2026. Mientras que los homicidios dolosos registraron una baja del 18.75% —al pasar de 32 a 26 carpetas de investigación en comparación con el mismo periodo de 2025—, el delito de lesiones tuvo un alza del 31.6%, elevándose de 171 a 225 casos. A nivel regional, reportes locales contabilizaron 71 muertes violentas en la zona de Tula durante el primer semestre del año. Tula de Allende encabeza la cifra regional con 26 homicidios, seguida por Tezontepec de Aldama con 23 casos. El análisis destaca que aproximadamente el 80% de estos crímenes fueron ejecutados con armas de fuego. Entre las líneas de investigación identificadas como generadoras de violencia en la región se encuentran los enfrentamientos por el robo de hidrocarburo, la presencia de células delictivas provenientes de entidades colindantes y la extorsión.</t>
  </si>
  <si>
    <t>Incidencia Delictiva</t>
  </si>
  <si>
    <t>Un hombre de 32 años, identificado con las iniciales J. E. M. S., resultó herido por impacto de arma de fuego tras un ataque registrado en las inmediaciones del Centro de Salud de la comunidad de Michimaloya, en el municipio de Tula de Allende. El incidente movilizó a la Policía Municipal, Estatal y a paramédicos de Protección Civil tras múltiples reportes de los vecinos. La víctima recibió atención médica en el sitio por una herida en el tobillo izquierdo y posteriormente fue trasladada al Hospital Regional Tula-Tepeji. Pese a los operativos desplegados en la zona, los agresores no fueron localizados. En el lugar de los hechos, peritos aseguraron casquillos percutidos calibre .223 y .38. La Procuraduría General de Justicia del Estado de Hidalgo asumió la investigación para el levantamiento de pruebas y la integración de la carpeta correspondiente. Autoridades desmintieron las versiones circuladas en redes sociales que aseguraban la existencia de personas fallecidas o ejecutadas durante el evento.</t>
  </si>
  <si>
    <t>Ataque Armado</t>
  </si>
  <si>
    <t>Un saldo fatal dejó un accidente de tránsito registrado sobre la carretera Tulancingo - Acaxochitlán, a la altura de la zona conocida como las curvas de Monterrey, en donde un motociclista perdió la vida tras impactarse o verse involucrado con un vehículo de carga tipo Torton. A pesar de que el conductor de la motocicleta portaba casco de protección, los cuerpos de emergencia confirmaron su fallecimiento en el sitio, quedando el cuerpo sobre la cinta asfáltica. Al lugar acudieron autoridades para acordonar el área, lo que provocó el cierre temporal de la circulación vehicular mientras se llevaban a cabo las diligencias de investigación y las labores para el retiro del cuerpo.</t>
  </si>
  <si>
    <t>Accidente Carretero</t>
  </si>
  <si>
    <t>El titular de la Secretaría de Educación Pública (SEP), Mario Delgado Carrillo, anunció que se prepara un acuerdo nacional para regular e impedir el uso de teléfonos celulares y otros dispositivos digitales en las escuelas primarias y secundarias de México. Esta iniciativa responde a los resultados de una consulta oficial en línea donde participaron más de 565 mil docentes, de los cuales el 81% se pronunció a favor de establecer reglas claras dentro de las aulas para proteger el aprendizaje y la salud mental de los menores.</t>
  </si>
  <si>
    <t>Regulación de dispositivos digitales</t>
  </si>
  <si>
    <t>Ke Buena 106.7 FM</t>
  </si>
  <si>
    <t>Noticias 106.7</t>
  </si>
  <si>
    <t>Gobierno de Hidalgo promueve la cultura testamentaria entre las personas mayores</t>
  </si>
  <si>
    <t>David Cárdenas</t>
  </si>
  <si>
    <t>Despacho del Gobernador afianza recuperación de espacios públicos para la cultura y el deporte</t>
  </si>
  <si>
    <t>Despacho</t>
  </si>
  <si>
    <t>Recuperación De Espacios Públicos</t>
  </si>
  <si>
    <t>El gobernador del estado de Hidalgo, Julio Menchaca Salazar, se posicionó en el primer lugar del ranking nacional de aprobación entre los 32 mandatarios estatales del país, al registrar un 68.4% de respaldo ciudadano en la evaluación correspondiente al mes de agosto de 2026, realizada por la casa encuestadora Demoscopia Digital en alianza con La Jornada de Hidalgo. El desempeño del mandatario estatal destaca por el impulso a programas de cercanía social como las "Rutas de la Transformación", la inversión prioritaria en obras de infraestructura y una disciplina financiera caracterizada por la reducción de gastos superfluos, el manejo adecuado de la deuda y el incremento en la recaudación. Asimismo, la certeza jurídica para la atracción de inversiones privadas y la vinculación de egresados universitarios con el mercado laboral local han sido factores clave para fortalecer el desarrollo económico de la entidad. La medición también resalta la consolidación del turismo mediante la promoción diversificada de regiones como la Huasteca, la zona Otomí-Tepehua, la Sierra, el Valle de Tulancingo y la zona metropolitana. Finalmente, se subrayó la estabilidad laboral que prevalece en Hidalgo como un elemento diferenciador que genera confianza tanto para la inversión como para la creación de empleos en la región.</t>
  </si>
  <si>
    <t>Aprobación Gobernador</t>
  </si>
  <si>
    <t>El secretario de Educación Pública de Hidalgo, Natividad Castrejón Valdez, encabezó una gira de trabajo por cinco municipios de la entidad para realizar la entrega de libros de texto gratuitos, así como de útiles escolares, calzado y uniformes pertenecientes al programa estatal "Alta Gracia Mercado". Esta estrategia busca respaldar la economía de las familias hidalguenses y garantizar las herramientas necesarias para los estudiantes al inicio del ciclo escolar 2026-2027. Durante el recorrido, el titular de la SEPH visitó la Telesecundaria 267 en Mineral de la Reforma, la Secundaria Técnica No. 35 en Zempoala, la Primaria Adolfo López Mateos en Tepeapulco, la Primaria Miguel Hidalgo en Tulancingo y la Secundaria Técnica No. 28 en Cuautepec de Hinojosa. En su mensaje a las comunidades escolares, Castrejón Valdez destacó que bajo la visión del gobernador Julio Menchaca Salazar se refrenda el compromiso con el derecho a la educación, exhortando a las y los alumnos a aprovechar los recursos entregados para construir un proyecto de vida sólido. A la jornada se sumaron los alcaldes Francisco Sinuhé Ramírez Oviedo de Zempoala, Félix Ávila Castelán de Tepeapulco, Lorena García Cázares de Tulancingo y Jorge Hernández Araus de Cuautepec de Hinojosa, quienes coincidieron en la importancia de articular esfuerzos con el gobierno estatal para mejorar las condiciones de aprendizaje y promover la permanencia escolar. Al evento asistieron también autoridades de las subsecretarías de Educación Básica y de Administración y Finanzas de la dependencia.</t>
  </si>
  <si>
    <t>Entrega de uniformes</t>
  </si>
  <si>
    <t>Homenaje a José José recordará los grandes éxitos del Príncipe de la canción</t>
  </si>
  <si>
    <t>OCSAD</t>
  </si>
  <si>
    <t>Concierto Sinfónico</t>
  </si>
  <si>
    <t>Locutor Juan Carlos Santamaría da lectura a comentario de radioescucha que reportó falta de criterio y sensibilidad por parte de inspectores de la Secretaría de Movilidad y Transporte de Hidalgo. Al trasladar de urgencia a un joven hacia la Ciudad de México para una cirugía de corazón, la familia enfrentó un fuerte congestionamiento en el bulevar Felipe Ángeles. Tras comunicarse al 911, personal del número de emergencias les sugirió utilizar el carril confinado del Tuzobús. Sin embargo, a la altura de la estación Téllez fueron interceptados por inspectores que los sancionaron por invadir el carril, ignorando los comprobantes médicos presentados. El locutor señala la necesidad de revisar el constante tráfico al sur de la ciudad y llama a las autoridades a aplicar criterios de flexibilidad ante emergencias de salud.</t>
  </si>
  <si>
    <t>Dos hermanos, identificados preliminarmente con las iniciales G. S. Z. y T. S. Z., fueron hallados sin vida sobre la vialidad Napateco–San Vidal. Las víctimas presentaban signos de violencia e impactos de proyectil de arma de fuego. Elementos de seguridad y servicios de emergencia acudieron a la zona para resguardar la escena, mientras que la Procuraduría General de Justicia del Estado de Hidalgo (PGJEH) dio inicio a las investigaciones para esclarecer los hechos, considerando probables disputas territoriales como una línea de indagación preliminar.</t>
  </si>
  <si>
    <t>Localización de cuerpo</t>
  </si>
  <si>
    <t>Entrega Edda Vite apoyos por 1.2 mdp a comunidades prioritarias de la Huasteca</t>
  </si>
  <si>
    <t>Entrega De Apoyos</t>
  </si>
  <si>
    <t>CEDSPI emite convocatoria para cursos de aprendizaje de lenguas indígenas</t>
  </si>
  <si>
    <t>Preservación Lenguas Maternas</t>
  </si>
  <si>
    <t>Tras una visita de trabajo efectuada en Tulancingo, el secretario de Educación Pública de Hidalgo dio a conocer que la Escuela Primaria Aquiles Serdán, ubicada en el centro del municipio, requerirá de una reconstrucción total debido a que las instalaciones actuales no cuentan con las condiciones físicas óptimas para la impartición de clases. De acuerdo con la propuesta técnica emitida por el Instituto Hidalguense de la Infraestructura Física Educativa (INIFE), el inmueble actual será demolido para construir una nueva infraestructura escolar. Aunque la autoridad aclaró que el edificio no representa un peligro de colapso inminente, sí ha dejado de cumplir con las especificaciones funcionales necesarias para la atención del alumnado. El titular de la SEPH confirmó que los recursos financieros para la obra ya se encuentran autorizados. Sin embargo, precisó que durante los meses de septiembre y octubre —pudiendo extenderse hasta noviembre— se mantendrá un diálogo constante y consensuado con los padres de familia y autoridades municipales para definir una sede temporal en la que los estudiantes y sus maestros continúen las actividades escolares sin ser dispersados en otros planteles. Se estima que la edificación del nuevo inmueble tomará entre ocho y nueve meses. Por otra parte, respecto a la inquietud suscitada en la Escuela Gregorio Torres de la comunidad de La Lagunilla por la falta de personal frente a grupo, el funcionario explicó que el desabasto se originó por la salida de dos docentes que obtuvieron la aprobación del programa Beca Comisión para realizar estudios de posgrado. Señaló que el reemplazo de dichos profesores quedó formalmente resuelto para la inmediata reanudación de las actividades normales en el plantel.</t>
  </si>
  <si>
    <t>Reconstrucción de escuela</t>
  </si>
  <si>
    <t>Entrevista en cabina Dr. Alfredo Alcalá Montaño, consejero electoral e integrante de la Comisión Permanente de Derechos Político Electorales para Pueblos y Comunidades Indígenas del Instituto Estatal Electoral de Hidalgo: Dio a conocer dos convocatorias relevantes de cara al próximo proceso electoral, entre las que destacan, la integración de los 18 Consejos Distritales Electorales, que es un proceso abierto a la ciudadanía hidalguense (registro hasta el 30 de septiembre, examen el 24 de octubre y posterior etapa de entrevistas aleatorias). Se buscan perfiles con vocación democrática, sin militancia directiva ni registro como deudores alimentarios, violentadores de género o manejadores de programas sociales en el último año y la Consultas a Pueblos y Comunidades Indígenas, que consiste en la organización de 13 foros regionales (difusión del 14 de agosto al 14 de septiembre; fase deliberativa del 14 al 16 de septiembre; foros presenciales del 17 al 22 de septiembre) con el fin de consultar las reglas de postulación, acciones afirmativas e identificación de adscripción calificada para candidaturas indígenas a diputaciones y ayuntamientos, evitando así la suplantación de identidad.</t>
  </si>
  <si>
    <t>IEEH</t>
  </si>
  <si>
    <t>Proceso electoral</t>
  </si>
  <si>
    <t>PIBEH y CBTIS No. 8 impulsan Modelo de Educación Dual</t>
  </si>
  <si>
    <t>Educación dual</t>
  </si>
  <si>
    <t>Radioescucha: falta de agua en Campo Alegre desde hace varias semanas. Calle Cipreses</t>
  </si>
  <si>
    <t>Se prevé que el informe de la alcaldesa de Tulancingo, Lorena Cázarez ya no sea el 10 de septiembre, el tema se discutirá en la próxima asamblea municipal.</t>
  </si>
  <si>
    <t>Informe Alcalde</t>
  </si>
  <si>
    <t>Daniel Martínez y Jessenia Romero comentan que Natividad Castrejón aclara que los estudiantes de la escuela Aquiles Serdán no serán reubicados permanentemente, sino que seguirán siendo alumnos de esa institución, pero temporalmente se trasladarán a otros espacios, que pueden ser otras escuelas o edificios adecuados para las clases. Jessenia Romero añade que este cambio es temporal mientras se realizan trabajos importantes y que están colaborando con SEPH Hidalgo, el Gobierno de Tulancingo y la comunidad educativa para encontrar un lugar adecuado. Daniel Martínez destaca que el periodo de reubicación será largo, de aproximadamente 7 a 8 meses, lo que corresponde a más de la mitad del curso escolar. Jessenia Romero enfatiza que este tiempo es considerable y necesario por razones de bienestar y seguridad para la comunidad educativa, lo que hace que estas acciones sean imprescindibles.</t>
  </si>
  <si>
    <t>Andrés Torres hace mención del mal desempeño de varios alcaldes, entre ellos la alcaldesa de Tulancingo, Lorena Cázares quien se ostenta como “la mejor alcaldesa de Latinoamérica" y se pregunta qué de bueno va a decir en su informe.</t>
  </si>
  <si>
    <t>Mal Desempeño</t>
  </si>
  <si>
    <t>Andrés Torres y Milton Cortés comentan sobre el mal desempeño y lo poco que tendrá que informar el alcalde de Zempoala, Sinuhé Ramírez, quien ha sido requerido por tribunales para que entregue información solicitada. Milton explica que la situación en Zempoala se complicó cuando la síndica hacendaria presentó una queja por la negativa del Ayuntamiento a entregar información. El Tribunal Electoral amonestó al municipio por esto, aunque ellos defienden que no hubo negativa. Andrés comenta que parece que no quieren que se sepa cuánto gastan, a lo que Milton asiente. La síndica jurídica reafirma que la información no se entregó en tiempo y forma a pesar de la solicitud. Esto añade un contexto complicado para el informe de Ramírez. El mismo caso es el de la alcaldesa de Tulancingo, Lorena Cázares quien se ostenta como “la mejor alcaldesa de Latinoamérica".</t>
  </si>
  <si>
    <t>Andrés Torres comenta junto con Milton Cortés que municipios, como Mineral de la Reforma y Zempoala, tendrán sus informes próximamente, aunque estos municipios han tenido problemas con la aceptación por parte de la población. Andrés añade que las redes sociales y los medios de comunicación han mostrado un contexto claro sobre la desaprobación en estos municipios. Relata que estuvo en un evento de concientización de Morena en La Providencia, al que no asistió el presidente municipal de Mineral de la Reforma, Eduardo Medécigo, quien aparentemente evitó enfrentar reclamos de la población sobre la falta de servicios. Andrés considera que esto afectará el éxito de Medécigo en su informe, ya que no está dispuesto a enfrentar a la gente que reclama. Milton está de acuerdo y menciona que las últimas semanas también han sido difíciles para Medécigo por problemas familiares y efectos de las lluvias en la infraestructura. Esto hará que la reacción de la población hacia el informe sea interesante de observar.</t>
  </si>
  <si>
    <t>Andrés Torres pregunta sobre los preparativos para el segundo informe del presidente municipal de Pachuca. Comenta que entre los 84 alcaldes del estado, son pocos los que realmente valdría la pena escuchar en su segundo informe. Muchos de ellos están dando informes de manera discreta, y menciona específicamente que la gente solo está interesada en el contenido del informe del alcalde Jorge Reyes. Milton Cortés confirma que el informe de Jorge Alberto Reyes será el 10 de septiembre en la Explanada de la Diosa de los Vientos. Se espera la asistencia de entre 1,000 y 1,500 personas, incluyendo representantes de la sociedad civil, el sector empresarial y colonias. Este evento será importante en el contexto político y electoral del lugar, además de que anticipa que habrá mensajes políticos significativos ese día. También menciona que otros municipios, como Mineral de la Reforma y Zempoala, tendrán sus informes próximamente, aunque estos municipios han tenido problemas con la aceptación por parte de la población.</t>
  </si>
  <si>
    <t>Milton Cortés</t>
  </si>
  <si>
    <t>IMSS Bienestar Hidalgo y la Comisión de Derechos Humanos del Estado de Hidalgo (CDHEH) pusieron en marcha una estrategia conjunta de capacitación en materia de derechos humanos dirigida al personal de salud en agosto de 2026.</t>
  </si>
  <si>
    <t>CDHEH</t>
  </si>
  <si>
    <t>Firma De Convenio</t>
  </si>
  <si>
    <t>Andrés Torres comenta in off con sus compañeros de caima que mañana para el informe del gobernador: "Nosotros vamos a enlazar. Un minuto antes de entrar al aire, Juan Carlos va a hacer su... bueno, va a decir: "Vamos a ir al aire ahora con la transmisión en red del cuarto informe del gobernador Julio Menchaca", ¿no?, como lo estás escuchando. Lo estamos anunciando también en hñahñú y en náhuatl, ¿mm?, para nuestras estaciones de Ixmiquilpan y de y de Huejutla. Y mañana nos enlazamos, así es, ¿no? Si es que el internet nos lo permite, ¿no?, porque pues ahora resulta que nos quieren quitar el internet. Es increíble cómo sabotean el trabajo de radio. Es el segundo director que directamente sabotea el trabajo de radio. ¿Qué tienen en la cabeza? Bueno, lo que lo escuché gritar el otro día en la allá en la Oficialía Mayor que jamás una deslealtad al gobernador... ¡Es lo primero que hacen! Sabotear el estabi... el trabajo de los demás compañeros. ¿Es una deslealtad al gobernador o no? ¿No? Si ya y si hablamos de las corruptelas, pues eso también es una deslealtad, ¿no? Tienen ocho meses aquí haciendo tonterías y puras deslealtades, ¿no? Puras tonterías. Pero bueno.</t>
  </si>
  <si>
    <t>Radiodifusoras</t>
  </si>
  <si>
    <t>Vía telefónica Milton Cortés informa que la Unidad de Rehabilitación de Fauna Silvestre de Pachuca ofrecerá un Curso en Rehabilitación del 9 al 15 de noviembre de 2026. Este curso será híbrido, combinando sesiones teóricas en línea y prácticas presenciales. Los temas incluirán abordaje médico inicial, nutrición, atención neonatal y el modelo de trabajo de la Unidad, famosa por el uso de biosimuladores. Está dirigido a estudiantes y profesionales en Medicina Veterinaria, Zootecnia y Biología. Los participantes tendrán 10 sesiones teóricas y 6 prácticas para mejorar sus conocimientos sobre bienestar y conservación de la fauna silvestre. Las inscripciones son teórico-práctica ($4,100), teórica ($1,800) y práctica ($3,000).</t>
  </si>
  <si>
    <t>Capacitación</t>
  </si>
  <si>
    <t>Hoy se decide quiénes formarán la mesa directiva para septiembre y organizarán el cuarto informe del gobernador Julio Menchaca, que se realizará mañana. Los diputados llegarán temprano a la feria, donde se llevará a cabo el evento, y se constituirán como mesa directiva y pleno. Declararán la feria como sede oficial para que el gobernador presente su informe. Después del evento, los diputados darán su respuesta al informe, con la participación de diferentes partidos de la LXVI Legislatura. Al finalizar, los diputados regresarán al Congreso y declararán el recinto oficial para trabajar el resto del periodo. Así se llevará a cabo mañana el cuarto informe del gobernador y lo que harán los diputados.</t>
  </si>
  <si>
    <t>El día de hoy el Congreso a las 11 de la mañana tendrán sesión para la elección de la mesa directiva de septiembre, correspondiente al primer periodo de sesiones del tercer año y por supuesto, cancelarán la mesa directiva de agosto.</t>
  </si>
  <si>
    <t>Trabajo legislativo</t>
  </si>
  <si>
    <t>Natividad Castrejón entrega útiles, calzado y uniformes en cinco municipios</t>
  </si>
  <si>
    <t>Paquete de apoyos escolares</t>
  </si>
  <si>
    <t>Andrés Torres menciona que nuevamente recibió un mensaje de una persona que se identifica como NGP, que significa Napoleón González Pérez, quien le mostró una denuncia enviada a la Contraloría. Esta denuncia señala que no se han completado las entregas de apoyos del 2025, específicamente sobre el suministro de vientres ovinos en distintos municipios. El mensaje incluía un PDF con la lista de beneficiarios y detalles sobre los montos y la cantidad de animales que se alegan fueron entregados. Además, recibió otra denuncia que menciona irregularidades en el uso de 200 millones de pesos destinados a la construcción de ollas de captación, que son estructuras diseñadas para almacenar agua de lluvia en zonas áridas. Estas ollas son importantes para asegurar suministro de agua, especialmente para ganado, durante períodos de sequía. Los fondos provienen del Gobierno Federal, creado para ayudar a los estados a enfrentar la sequía. Andrés también comenta que esta es la segunda denuncia que envía a la Secretaría de Agricultura y aún no ha recibido respuesta. Menciona que ha recopilado toda la información necesaria y está cumpliendo con su responsabilidad de transmitir los datos y solicitar una investigación sobre estas irregularidades. Andrés Torres busca que se tomen acciones frente a estas denuncias sin respuesta desde la Secretaría.</t>
  </si>
  <si>
    <t>Apoyo ganadero</t>
  </si>
  <si>
    <t>Andrés Torres comenta que, de acuerdo a la encuesta realizada por Demoscopia Digital en agosto, en la que se aplicaron más de 1,000 encuestas; Julio Menchaca ocupa el primer lugar en aprobación a nivel nacional con un 68.4%. La encuesta se realizó a ciudadanos mayores de 18 años mediante un sistema automatizado. La aprobación de Menchaca se ha mantenido estable desde que iniciaron las encuestas desde el inicio de su gestión y se destaca como uno de los líderes en satisfacción entre los gobernadores. La encuesta tiene un margen de error de más/menos 3.5%.</t>
  </si>
  <si>
    <t>En respuesta al radioescucha Pedro Estrada que menciona que los informes de los alcaldes solo consisten en discursos que parecen campañas, sin aportar información nueva ni concreta. Andrés Torres, afirma que la ciudadanía no tiene grandes expectativas sobre estos informes. Coincide con Pedro y señala que no hay mucho que esperar de los informes de los alcaldes. Comenta que, de 84 informes, tal vez solo dos o tres valgan la pena. Destaca que la mayoría de los alcaldes presentan sus informes casi a escondidas y menciona que no solo el alcalde, sino también los miembros del cabildo deben presentar un informe anual. Sin embargo, la expectativa de la población sobre este ejercicio es baja. Torres se pregunta qué podrán informar algunos alcaldes, como el de Ixmiquilpan o el de Huejutla, cuyos discursos probablemente sean sobre sus deseos de reelegirse o buscar otros cargos con otro partido. También menciona que algunos alcaldes enfrentan complicaciones y descontento de la población, según las encuestas del gobierno estatal. Esto se agrava en municipios pequeños, donde los alcaldes se han vuelto como caciques y la información es escasa.</t>
  </si>
  <si>
    <t>La evaluación correspondiente al mes de agosto de 2026, realizada por Demoscopia Digital, ubica a Julio Menchaca, en el primer puesto del ranking nacional de gobernadores. El mandatario hidalguense obtuvo un nivel de aprobación del 68.4%, lo que lo situó en la primera posición de la tabla general a nivel nacional.</t>
  </si>
  <si>
    <t>Mañana tenemos el cuarto informe del gobernador Julio Menchaca. Ya se están transmitiendo los promocionales en lengua náhuatl y Hñahñú. Tendremos una transmisión especial, enlazando todas las estaciones de radio a partir de las 10:30 de la mañana para escuchar el informe en la red estatal de radio. En Ixmiquilpan, ya están los promocionales en Hñahñú, y se invita a todo el auditorio a seguir esta transmisión especial. Gracias al Secretario de Gobierno, Guillermo Olivares Reyna, y al equipo de la Secretaría de Gobernación por su apoyo.</t>
  </si>
  <si>
    <t>Andrés Torres comenta que ayer en Ixmiquilpan izaron la bandera al revés (el águila estaba de cabeza) y gente del ayuntamiento con quien habló le dijo: "Así nos gusta, así queremos". Señala que este acto puede significar una multa por parte de la SEGOB y que lo que llama la atención es el cinismo. Asimismo, dice que esto da una mala imagen al municipio y su alcalde.</t>
  </si>
  <si>
    <t>Andrés Torres y Aldo Falcón comentan que finalmente, el Bulevar Santa Catarina ha abierto casi por completo, aunque queda un pequeño tramo por concluir hacia Nopancalco. Esta rehabilitación y ampliación ha mejorado notablemente el tránsito en la zona sur de la capital hidalguense. Es necesario manejar con precaución, ya que la vía está hecha de concreto hidráulico y algunos conductores están excediendo la velocidad. Este nuevo bulevar ha aliviado el tránsito en otros bulevares importantes como Felipe Ángeles y Colosio, y también ha beneficiado a la zona plateada. Asimismo, el flujo del tránsito en el Nuevo Hidalgo ha mejorado considerablemente. Se agradece al ayuntamiento capitalino, la Secretaría de Infraestructura y a todos los que participaron para que finalmente esta vía ya esté funcionando.</t>
  </si>
  <si>
    <t>La localización de los perros involucrados en dos agresiones ocurridas en Tizayuca se convirtió en una de las principales acciones de las autoridades municipales, luego de que los hechos dejaran una persona muerta y tres más heridas. Los ataques se registraron durante las primeras horas del martes 1 de septiembre en puntos cercanos al Camino Viejo a Bata y al fraccionamiento Héroes de Tizayuca. Ante el riesgo de nuevas agresiones, el gobierno municipal desplegó brigadas para recorrer la zona y ubicar a los animales. Uno de los ejemplares ya fue asegurado y permanece bajo resguardo, mientras continúa el operativo para encontrar a los demás perros que presuntamente participaron en los ataques. En las labores intervienen la Secretaría de Seguridad Ciudadana, Protección Civil y Bomberos, Servicios Públicos Municipales y el CECOBAM. Los ejemplares que sean capturados deberán permanecer durante 10 días bajo observación clínica, conforme al protocolo previsto en la legislación estatal para animales agresores. Durante ese periodo serán evaluados por especialistas y permanecerán bajo custodia de la autoridad. El Ayuntamiento informó que los resultados de estas valoraciones y las demás diligencias serán puestos a disposición del Ministerio Público, instancia que dará seguimiento a la investigación y determinará las medidas que correspondan. Las autoridades mantienen recorridos en los sectores donde ocurrieron las agresiones con el objetivo de localizar al resto de los animales y reducir el riesgo para los habitantes.</t>
  </si>
  <si>
    <t>Control animal</t>
  </si>
  <si>
    <t>IzzaHernández</t>
  </si>
  <si>
    <t>Aprueban actualización del Plan Municipal de Desarrollo 2024 -2027 En un momento fundamental para la presente administración, fue aprobada la Actualización del Plan Municipal de Desarrollo 2024-2027, instrumento de planeación que establece políticas públicas para conducir el desarrollo de Tulancingo con responsabilidad y visión de futuro. La aprobación se realizó este 2 de septiembre, durante la séptima sesión ordinaria del Comité de Planeación para el Desarrollo Municipal (COPLADEM), con la participación de la directora de Planeación Democrática, Laryzza Suye Brindis Díaz, por parte de COPLADEH. El documento, que consta de 466 páginas, se encuentra alineado con el Plan Nacional de Desarrollo 2025-2030, en congruencia con las políticas públicas impulsadas por la presidenta de México, Claudia Sheinbaum Pardo, y el Plan Estatal de Desarrollo 2022-2028, del gobernador de Hidalgo, Julio Ramón Menchaca Salazar, sin perder de vista las condiciones y necesidades particulares de Tulancingo. Como parte de este ejercicio de planeación participativa, se incorporaron los resultados del Censo de Pueblos y Comunidades Indígenas 2026, realizado del 25 de mayo al 25 de junio con la participación de 908 personas, lo que permitió identificar necesidades e incorporar la visión de las comunidades en la política pública municipal. La directora de Planeación Democrática, Laryzza Suye Brindis Díaz, por parte de COPLADEHI, felicitó al Gobierno de Tulancingo por cumplir con esta actualización en tiempo y forma, así como por el extraordinario rendimiento alcanzado durante el proceso. Con esta aprobación, Tulancingo actualiza el instrumento que da dirección a la acción pública y refrenda el compromiso de construir un gobierno que escuche, planee y actúe con responsabilidad, convirtiendo las necesidades en prioridades, las prioridades en acciones y las acciones en resultados, con el bienestar y la calidad de vida de las familias como principal referencia.</t>
  </si>
  <si>
    <t>Plan Municipal de Desarrollo</t>
  </si>
  <si>
    <t>El dirigente de Movimiento Regeneración Nacional (Morena), Marco Antonio Rico Mercado, marcó distancia de las declaraciones de la diputada Tania Meza Escorza sobre la presencia de expriistas en el partido. Meza había señalado que aunque Morena no estaba “lleno de priistas”, algunos provenientes del PRI sí ocupaban cargos de poder, lo cual provocó reacciones dentro del partido. Rico rechazó esa visión y argumentó que quienes han estado trabajando en el movimiento durante años deben considerarse parte de Morena, sin importar su origen partidista. Destacó que muchos, incluidos quienes están en Morena ahora, tienen un pasado en otros partidos, pero han contribuido al movimiento por varios años. Además, reconoció que hay un reclamo legítimo de algunos militantes sobre la llegada de personas de otras fuerzas políticas. Por ello, mencionó que desde hace un año existe una comisión que revisa los antecedentes de quienes quieren unirse a Morena, para evitar la incorporación de personas con comportamientos contrarios a los principios del partido. Rico enfatizó que se deben evaluar las acciones de las personas dentro del proyecto y no solo su militancia anterior.</t>
  </si>
  <si>
    <t>Morena</t>
  </si>
  <si>
    <t>Cuarta Transformación</t>
  </si>
  <si>
    <t>Partidos</t>
  </si>
  <si>
    <t>Por considerar que no es su facultad, el Movimiento Indígena del Estado de Hidalgo rechaza que el Instituto Estatal Electoral de Hidalgo (IEEH) realice los foros de consulta para establecer la autoadscripción indígena calificada para candidaturas. En conferencia de prensa, los integrantes de la organización señalaron que es el Congreso del Estado de Hidalgo es el único facultado para realizar dicha consulta. Se recordó que la Suprema Corte de Justicia le ordenó al Congreso local que se hiciera esta consulta a las más de mil 400 comunidades indígenas que existen en el Estado de Hidalgo. La preocupación del Movimiento Indígena del Estado de Hidalgo es que personas u organismos ajenos quieran decidir por los pueblos indígenas cómo debe de ser ese candidato indígena. Ello por la posibilidad de que los criterios que se pretendan establecer podrían permitir que personas sin una verdadera vinculación comunitaria se presenten como candidatos indígenas. Por lo que el Movimiento Indígena del Estado de Hidalgo rechazó los foros convocados por el organismo electoral y, en caso de que estos continúen, se adelantó, recurrirán a las instancias jurisdiccionales correspondientes. A su vez, la organización hizo un llamado a los pueblos y comunidades originarias de Hidalgo para analizar el proceso antes de participar. De acuerdo con datos del IEEH, del 17 al 22 de septiembre de 2026 realizarán 13 foros regionales presenciales, con sede en Huejutla, San Felipe Orizatlán, Atlapexco, Tlanchinol, Zacualtipán, Pachuca, Zimapán, Ixmiquilpan, Chilcuautla, Tecozautla, Tula de Allende, Tulancingo y San Bartolo Tutotepec. Hasta la fecha el Congreso local no tiene fecha para la futura consulta que está obligado a hacer. Desde hace varias legislaturas ha solicitado que la representación indígena vinculada con el organismo electoral sea consultada directamente por las comunidades y no designada de manera unilateral. “En las comunidades se hace la asamblea y se nombra a nuestra autoridad o nuestro representante. Deberíamos de tener un representante indígena ahí para que pudiera decirle al colegiado del Instituto Electoral: esto es este tema, esto se debe de hacer así”, se señaló.</t>
  </si>
  <si>
    <t>Consulta Indígena</t>
  </si>
  <si>
    <t>Un juzgado federal concedió la suspensión definitiva para frenar temporalmente la ejecución del parque fotovoltaico de la empresa Green Park en Tecozautla. Esta resolución se suma a la carta de desistimiento que presentó la transnacional a la Secretaría de Energía. Respecto al amparo, un juzgado federal concedió la suspensión definitiva para frenar temporalmente el proyecto fotovoltaico de 100 mega watts, que contempla la instalación de 204,288 paneles solares, un sistema de almacenamiento de energía BESS, una subestación eléctrica y una red de media tensión. La determinación corresponde al expediente 1202/2026 y fue emitida el 29 de julio del 2026. La resolución deriva de un juicio de amparo promovido por autoridades tradicionales y ejidales de la comunidad indígena involucrada, así como en representación de niñas, niños y adolescentes de dicha comunidad. De acuerdo con el auto judicial, las personas promoventes reclamaron, entre otros actos, la autorización ambiental emitida el 21 de mayo del 2026 por la Dirección General de Impacto y Riesgo Ambiental de la SEMARNAT, mediante la cual se autorizó de manera condicionada el proyecto. También cuestionaron la realización del procedimiento de consulta relacionado con la construcción y operación de la planta al considerar que se vulneró su derecho a una consulta previa, libre e informada. En su análisis, el órgano jurisdiccional consideró que, de manera preliminar, los promoventes cuentan con interés legítimo para acudir al juicio de amparo. El juzgado tomó en cuenta que las personas quejosas se ostentan como integrantes de autoridades de la comunidad presuntamente afectada y que argumentan una posible incidencia del proyecto sobre su territorio, también sobre sus recursos naturales y su entorno ambiental. Cabe destacar que pues el pasado también 30 de julio, el secretario de Desarrollo Económico, Carlos Henkel Escorza, informó que Green Park presentó una carta de desistimiento ante la Secretaría de Energía, con lo cual, según el funcionario, pues ya quedaría suspendido el proyecto. En esta ocasión, el funcionario detalló que el gobierno de Hidalgo ha planteado a la SENER revisar la viabilidad social de los proyectos antes de que sean registrados oficialmente, con el propósito de evitar que inversiones potenciales enfrenten obstáculos ya una vez iniciado con los trámites</t>
  </si>
  <si>
    <t>Sedeco</t>
  </si>
  <si>
    <t>Parque Fotovoltaico</t>
  </si>
  <si>
    <t>El Tren México-Pachuca obliga a replantear el crecimiento urbano de Pachuca y Mineral de la Reforma La zona donde se construirá una estación del Tren México-Pachuca contará con una estrategia específica de desarrollo urbano para ordenar el crecimiento que se prevé en Pachuca y Mineral de la Reforma. El Programa Parcial de Desarrollo Urbano, publicado en el Periódico Oficial del Estado de Hidalgo, establece mecanismos para que ambos municipios planifiquen de manera conjunta el desarrollo de un territorio que mantiene una creciente integración urbana. El documento contempla la participación de los tres niveles de gobierno, además de empresarios, instituciones educativas y especialistas en arquitectura e ingeniería, quienes podrán intervenir en la definición y seguimiento de proyectos. Entre las herramientas previstas se encuentra un Comité Técnico Interinstitucional y la posible creación de consejos metropolitanos, con los que se busca coordinar decisiones relacionadas con infraestructura, servicios y ordenamiento territorial. También se plantea implementar un Sistema de Información Geográfica que concentre datos sobre el territorio y permita identificar zonas de riesgo, evaluar el crecimiento urbano y dar seguimiento al cumplimiento del programa. El plan incorpora además una propuesta para crear un Fondo Municipal de Infraestructura Verde, que podría financiarse con recursos públicos y privados. Este fondo estaría destinado a obras y proyectos enfocados en sostenibilidad y resiliencia urbana, principalmente en áreas vulnerables o donde el crecimiento de la ciudad genere mayor presión sobre el entorno. El programa establece así una ruta de planeación para acompañar el desarrollo que genere la nueva conexión ferroviaria entre el AIFA y Pachuca.</t>
  </si>
  <si>
    <t>Ordenamiento Territorial</t>
  </si>
  <si>
    <t>cambio fecha informe de lorena</t>
  </si>
  <si>
    <t>Anticipan enroques en gobierno municipal de Tulancingo El Gobierno de Tulancingo tiene considerado realizar dos enroques en dependencias de la administración municipal, sin que hasta el momento estén consideradas salidas definitivas de funcionarios. Así lo estableció el titular de la Secretaría General del Ayuntamiento, Edmundo Aguilar Aranda, ante la versión sobre la supuesta salida del director de Reglamentos y Espectáculos, Óscar Serrano. Señaló que hasta el momento dicho funcionario se mantiene en su puesto, sin abundar si éste forma parte de los cambios que se prevén concretar en próximos días. Insistió que sólo están considerados los cambios señalados en dos de las dependencias de la administración municipal, que implicaría cambio de adscripción para cuatro funcionarios locales, pero sin contemplarse ninguna salida o renuncia, por lo menos hasta el momento. Sobre la razón de los movimientos administrativos, Aguilar Aranda señaló que el objetivo es poder cumplir con los objetivos de trabajo del gobierno municipal de Tulancingo. “Hay metas y objetivos que están en los planes de trabajo, si no se cumplen, pues hay qué tomar previsiones para que en lo que nos resta de administración, pues puedan realizarse y cumplirse”. El funcionario no estableció una fecha para dar a conocer los cambios en dependencias municipales, señalando que en su momento se confirmarán oficialmente. En otro orden de ideas, el titular de la Secretaría General del Gobierno de Tulancingo, señaló que el próximo lunes 7 de septiembre, sesionará la Asamblea Municipal para determinar el posible cambio de fecha para la presentación del segundo Informe de la alcaldesa Lorena García Cázares. Originalmente, se había planteado que el informe se llevará a cabo el jueves 10 de septiembre, fecha que entonces se cambiaría en caso de que lo aprueben los integrantes del Cabildo. Se espera que durante la sesión del cuerpo edilicio se conozcan las causas por las que se propone el cambio de fecha para la entrega del Segundo Informe de Gobierno Municipal en Tulancingo.</t>
  </si>
  <si>
    <t>Cambios En El Gabinete</t>
  </si>
  <si>
    <t>Los conductores de los camiones recolectores de basura conducen mientras usan el celular.</t>
  </si>
  <si>
    <t>Confirma SEPH búsqueda de sede temporal para primaria “Aquiles Serdán” El titular de la Secretaría de Educación Pública en Hidalgo (SEPH), Natividad Castrejón Valdez, confirmó que se están buscando opciones para que los estudiantes de la escuela primaria “Aquiles Serdán”, ubicada en Tulancingo, puedan continuar el ciclo escolar con clases presenciales. El pasado lunes 31 de agosto, día que inició el ciclo escolar 2026-2027, madres y padres de familia de dicha institución académica, se manifestaron en contra de que sus hijas e hijos tomaran clases en línea. Lo anterior, previendo que parte del edificio que alberga al plantel educativo será demolido para su posterior reconstrucción. Tras la manifestación, se acordó un plazo de mes y medio para la búsqueda de otro espacio físico donde los estudiantes puedan tomar las clases presenciales, en tanto se concreta la reconstrucción del plantel para educación básica. “Es una escuela que ya requiere ser rehabilitada, es un bien para los alumnos, y tampoco queremos afectar más de la cuenta a niños y padres de familia”, señaló Castrejón Valdez en entrevista, tras encabezar la ceremonia de entrega de uniformes y útiles escolares, en la escuela primaria “Miguel Hidalgo”, ubicada en el centro de la ciudad de Tulancingo. Para la búsqueda del espacio temporal para seguir con las clases presenciales, el funcionario estatal señaló que la SEPH, la comunidad educativa de la primaria “Aquiles Serdán”, así como el gobierno de Tulancingo, trabajarán en conjunto. Existe la posibilidad de que los alumnos de dicha institución educativa sigan sus clases presenciales en instalaciones separadas, pero se aclaró que no se trata de una reubicación en otras escuelas, sino una reubicación temporal. El funcionario consideró que la obra, considerando la demolición y posterior reconstrucción de instalaciones, tomará un plazo de ejecución entre siete a ocho meses, aproximadamente. Insistió que se busca generar lo mínimo de afectaciones a la comunidad educativa, pero también pidió a esta que se comprenda que el actual edificio ya no puede prestar las funciones que debe, aunque la infraestructura general no está en peligro</t>
  </si>
  <si>
    <t>Por conflicto de propiedad, el área jurídica de la Secretaría de Educación Pública de Hidalgo atiende el caso de la escuela de educación media superior ubicada en el municipio de Tezontepec de Aldama. Quien se señala como propietario de dicho terreno obtuvo una resolución favorable en un juicio, por lo que, pues se busca una alternativa de negociación, como así lo informó Natividad Castrejón Valdez, quien es titular de la SEPH Hidalgo. Explicó también que el previo pues está valuado de hecho entre 10 y 12 millones de pesos, y también con un eh edificio de un valor de 40 millones donde ha funcionado eh pues una institución educativa desde hace 40 años aproximadamente. Y pues el funcionario estatal de hecho eh pues espera que se llegue a un acuerdo que pueda permitir que el plantel educativo eh pues siga funcionando en dicho sitio. Y eh pues reconoció también que quien se señala como propietario del predio, en un principio pidió recursos eh que se consideran pues como fuera de valor eh que tiene de alguna forma realmente un terreno en la zona. Pero hemos ido ajustando, y yo confío en que antes de que termine el sexenio podamos resolverlo, parte de lo que dijo. Y durante el mes de mayo del año pasado, desde el Congreso del Estado de Hidalgo, sí se hizo un llamado eh para poder regularizar eh legalmente los predios de más de 3,000 planteles educativos de educación básica, estos ubicados en distintos puntos de la entidad. Señaló también que estas instituciones eh pues carecen de escrituras y, por tanto, pues de certeza también legal en cuanto a su propiedad. Y pues en este en ese momento la diputada local Yarabi González Martínez señaló que las escuelas se encuentran en terrenos irregulares porque fueron construidas en predios ejidales, privados o que pues fueron donados de alguna forma. De dichos predios se carece también de documentos eh que pues sustenten la propiedad, en el caso hacia la Secretaría de Educación Pública de Hidalgo. Señaló que es urgente que las escuelas de Hidalgo puedan regularizar la propiedad pues para que puedan acceder también a programas federales, estatales e incluso municipales. "La Escuela es Nuestra" es uno de los programas a los que no pueden acceder eh pues por falta de certeza legal, y para este 2025 pues se tiene contemplado también destinar recursos por más de 25,000 millones de pesos en el país. De hecho, la legisladora local solicitó que la SEPH Hidalgo, la Secretaría de Infraestructura Pública y Desarrollo Urbano, así como también a los gobiernos municipales en la entidad eh que participen en la regulación de dichos predios. Y de acuerdo con datos de la propia SEPH Hidalgo, en la entidad existen 7,381 espacios para educación pública, de los cuales 2,799 son preescolares, 2,948 son primarias, secundarias son eh 425 y de educación superior estamos hablando que son 58 planteles.</t>
  </si>
  <si>
    <t>Conflicto predio escolar</t>
  </si>
  <si>
    <t>Acumula Hidalgo 21 casos de miasis por gusano barrenador en humanos En el Estado de Hidalgo se acumulan 21 casos confirmados de miasis humana provocada por el gusano barrenador, luego de que durante agosto fueran incorporados cinco contagios al registro estatal. El Informe Mensual de la Dirección General de Epidemiología contabilizaba 16 casos en Hidalgo al cierre del 31 de julio de 2026; la actualización correspondiente a la semana epidemiológica 33 elevó la cifra a 21, de los cuales dos fueron notificados durante los siete días previos al último corte. Con ello, Hidalgo concentra aproximadamente el 4.1 por ciento de los 516 casos confirmados en México durante 2026. Sin embargo, la entidad se mantiene por debajo de estados como Veracruz, que registra 109; Chiapas, con 70; Puebla, con 58, y Oaxaca, con 54. De acuerdo a los datos oficiales, en el Estado de Hidalgo no se reportan fallecimientos a causa de la miasis en seres humanos. Las cuatro muertes documentadas en México durante 2026 corresponden a Oaxaca, Querétaro, Veracruz y Yucatán, con un caso en cada estado Los datos generales del informe muestran que el 69 por ciento de los casos confirmados en México corresponde a habitantes de zonas rurales, mientras que el 31% restante se ubica en áreas urbanas. También indica que las personas mayores de 60 años concentran el 60 por ciento de los contagios y que los hombres representan el 71 por ciento; la edad promedio de los pacientes es de 54 años, con registros que van desde los tres hasta los 98 años. Estas proporciones corresponden al panorama nacional y el documento no presenta un desglose por edad o sexo exclusivo para los 16 pacientes que Hidalgo tenía al finalizar julio. En cuanto al contacto con animales, el 59 por ciento de los casos nacionales refirió este antecedente, principalmente con perros y bovinos. El 41 por ciento restante no reportó contacto con animales, por lo que la prevención no debe limitarse únicamente a quienes trabajan con ganado.</t>
  </si>
  <si>
    <t>Gusano barrenador</t>
  </si>
  <si>
    <t>Trabajos en la carretera Cuautepec-Santiago generan complicaciones y quejas de automovilistas Los trabajos de reencarpetamiento que comenzaron en la carretera Cuautepec-Santiago han generado complicaciones para quienes utilizan esta vía, particularmente por el cierre de algunos tramos. El gobierno municipal informó que las labores iniciaron con el perfilado de la carpeta asfáltica y que posteriormente se realizarán trabajos relacionados con la línea de distribución de agua potable, para finalmente colocar la nueva carpeta asfáltica. De acuerdo con el Ayuntamiento, el proceso fue diseñado para mantener parcialmente la circulación y evitar el cierre total de la vialidad, además de solicitar a los conductores atender los señalamientos y tomar precauciones. Sin embargo, ciudadanos reportaron que actualmente no existe paso hacia Santiago en un tramo que va desde el Puente de La Paz hasta las inmediaciones de una tienda departamental. Ante esta situación, algunos automovilistas han optado por desplazarse por Tulancingo, lo que, según los reportes, puede incrementar el recorrido de Cuautepec a Santiago hasta dos horas. Los usuarios también señalaron una falta de información precisa sobre las rutas alternas y cuestionaron la ausencia de elementos de seguridad vial, señalamientos suficientes o personal que oriente a los conductores en los puntos donde se encuentra restringido el paso. Mientras continúan los trabajos, el llamado de las autoridades es a circular con precaución y respetar las indicaciones en la zona; en tanto, habitantes y automovilistas solicitan que se informe con mayor claridad sobre los cierres, tiempos de ejecución y alternativas de circulación para evitar mayores afectaciones.</t>
  </si>
  <si>
    <t>Rehabilitación carretera</t>
  </si>
  <si>
    <t>Prevén ya apertura de mercado de Singuilucan; inició su construcción hace casi diez años Prácticamente sólo existe la estructura general del mercado municipal de Singuilucan, sin contar con instalación alguna de servicios, como energía eléctrica, surtido de agua potable, drenaje, entre otros. La alcaldesa Yazmin Dávila López señaló que actualmente sólo existe prácticamente el “cascarón” del edificio considerado para servicio comercial, cuya construcción inició en el año 2017. En ese momento se anunció una inversión por un millón 481 mil pesos, provenientes de recursos propios, para el inicio de la construcción del mercado. En 2019 inició la construcción de la segunda etapa, a cargo de la entonces Secretaría de Obras Públicas y Ordenamiento Territorial del Gobierno del Estado de Hidalgo, aplicando una inversión por 2 millones 59 mil 424 pesos provenientes del Fondo General de Participaciones. La alcaldesa Dávila López señaló que durante la anterior administración municipal se aplicaron recursos extraordinarios por 1.2 millones de pesos para seguir con la construcción del mercado. Sin embargo, enfatizó que la construcción no cuenta con la conexión de los servicios básicos para operación, por lo que se solicitó un crédito a Banobras por 2 millones de pesos para hacer las instalaciones necesarias. A ello se sumarán recursos por aproximadamente 800 mil pesos, obtenidos por medio del programa de apoyo para mejoramiento de infraestructura de mercados municipales, a cargo de la Secretaría de Desarrollo Económico en Hidalgo. Estos últimos recursos se obtuvieron gracias a que las reglas de operación emitidas por la instancia estatal se modificaron, permitiendo la participación de Singuilucan con un mercado aún en obra. Con los recursos señalados, se espera culminar la obra del mercado municipal, entregar los locales disponibles, y con ello iniciar su operación a inicios del siguiente año. La funcionaria municipal señaló que la vocación prevista para el mercado sería para ofrecer la gastronomía, incluso de la región, “en la que Singuilucan tiene un lugar destacado por sus platillos”. La mecánica para la entrega de los 49 locales disponibles sería por medio de una convocatoria pública, dirigida a comerciantes originarios del municipio, con actividad comprobable de varios años y que tenga buenos antecedentes comerciales y financieros, entre otros requisitos. Dávila López anticipó que la revisión de las solicitudes y asignación de los locales será pública, para transparentar completamente el proceso.</t>
  </si>
  <si>
    <t>Rehabilitación De Mercados</t>
  </si>
  <si>
    <t>Radioescucha reporta en la colonia Valle del Palmar, manzana 7, no cae agua, «ya son tres meses... de no caer agua en la llave». Con mucho gusto, con mucho gusto lo pasamos a las autoridades de CAASIM. Muchas, muchas gracias...</t>
  </si>
  <si>
    <t>Tres tráileres chocaron por alcance sobre la autopista Arco Norte, a la altura del kilómetro 91, en el poblado de Tezoquipan, del municipio de Atitalaquia. Ya lo sabe, cuando sucede un accidente en esta autopista, se complica bastante el tráfico y la circulación. Y ese, pues no fue la excepción. De acuerdo con los reportes, un tractocamión con caja seca, cargado con más de 20 toneladas de papa, impactó la parte trasera de un camión tipo Torton, que a su vez se proyectó contra la plataforma de otro tráiler que transportaba block. El operador del Torton resultó lesionado y fue atendido en el lugar por elementos de la Guardia Nacional, mientras que, pues no faltó la persona que aprovechara el accidente para hacer rapiña, para sustraer mercancía y hacerla de las suyas, simplemente con el hecho de decir, la carga está asegurada.</t>
  </si>
  <si>
    <t>Gracias por comunicarse con nosotros. A Laura Jiménez de Tula se comunica a través de los teléfonos de cabina de Super Estéreo. Nos comenta, ojalá arreglen la rejilla de la calle Leandro Valle frente a tienda de autoservicio. Se han registrado algunos accidentes de peatones, por lo que hace un llamado a las autoridades municipales para que puedan atender esta situación. Sabemos que nos escuchan allá en la presidencia municipal. Ojalá que puedan atender este llamado de Laura Jiménez de aquí de Tula para que puedan revisar esta rejilla allá en la calle Leandro Valle.</t>
  </si>
  <si>
    <t>Vamos, otros temas. Aquí mismo, en Tula de Allende, un hombre resultó lesionado por impacto de arma de fuego, luego de ser atacado por sujetos desconocidos en la comunidad de Michimaloya. Los hechos ocurrieron la noche de ayer, miércoles, a la altura del centro de salud, donde vecinos reportaron detonaciones. Al lugar acudieron policías y cuerpos de emergencia, quienes localizaron a la víctima con una herida en el tobillo. El hombre fue trasladado a un hospital para recibir atención médica. Las corporaciones implementaron un operativo de búsqueda, pero no localizaron a los agresores. La Procuraduría General de Justicia de Hidalgo inició las investigaciones correspondientes.</t>
  </si>
  <si>
    <t>Vía telefónica comandante Óscar Sánchez Director General de Tránsito y Vialidad del Municipio de Pachuca con el tema : Libreración de algunas calle para que fluya el trafico al sur de la capital</t>
  </si>
  <si>
    <t>Radioescucha ¿Podrían investigar dónde se podría consultar la convocatoria del trabajo de la reapertura de la empresa Cruz Azul para estar pendiente?». Comenta conductor Eulalio Larrieta : Ahí está en la página de la Cruz Azul también y en el Gobierno del Estado también están ahí en la bolsa de trabajo.</t>
  </si>
  <si>
    <t>STPSH</t>
  </si>
  <si>
    <t>Cruz Azul</t>
  </si>
  <si>
    <t>Dos hombres fueron localizados sin vida la tarde de este miércoles en la colonia San Vidal, en Tulancingo. De acuerdo con fuentes policiales, ambos ya no contaban con signos vitales. Las víctimas presentaban lesiones aparentemente producidas por impactos de arma de fuego. Será la autoridad ministerial la encargada de esclarecer los hechos.</t>
  </si>
  <si>
    <t>Ejecuciones</t>
  </si>
  <si>
    <t>Tenemos información desde el estado de Hidalgo en noticias importantes que se han suscitado desde esa zona. Allá con el Desarrollo Integral para la Familia, entrega Edda Vite apoyos por 1.2 millones de pesos a comunidades prioritarias de la Huasteca hidalguense. De siete comunidades de alta y muy alta marginación recibieron 69 proyectos productivos; 37 personas con discapacidad fueron beneficiadas con sillas de ruedas.</t>
  </si>
  <si>
    <t>DIF Hidalgo entregó 69 proyectos productivos a 100 familias de 7 comunidades de alta y muy alta marginación en la Huasteca, con una inversión federal de más de un millón doscientos ochenta y ocho mil pesos.</t>
  </si>
  <si>
    <t>La presidenta del DIF Estatal de Hidalgo hablaba acerca de una inversión de 1.2 millones de pesos en proyectos productivos y de 26 mil pesos con ayudas técnicas.</t>
  </si>
  <si>
    <t>Radioescucha 33 06. Dice: «Lalo, felicidades al licenciado Andrés Velázquez por el gran trabajo frente al Congreso del Estado de Hidalgo. Asimismo, te pido que le digas que felicite a la diputada Liz Ordaz por el gran trabajo de la gestión en el Distrito 10, particularmente en Real del Monte. Saludos equipo, muchas pero muchas gracias»</t>
  </si>
  <si>
    <t>Felicitaciones</t>
  </si>
  <si>
    <t>Radioescucha reporta falta de agua comenta sobre una fuga de agua en el fraccionamiento Los Arcos, Centro Minero. ¿Sea usted tan amable de ser el intermediario con CAASIM? Muchas pero muchas gracias. Se reportó desde ayer por la tarde y CAASIM no ha... no hemos tenido respuesta. De verdad mi respeto y admiración por su apoyo». No, pues muchas gracias. A ver, aquí nos habían dicho que no había agua, ya les llevaron pipas. Ahora en el fraccionamiento Los Arcos hay una fuga, por favor si nos apoyan, si nos apoya... ¿cómo se llama? Paola, Paola García y Saraí Pineda, por favor. Es en el fraccionamiento Los Arcos. Ahora no tenían agua, les enviaron pipas, eso fue lo bueno, pero ahora tienen una fuga, una fuga de agua. Si nos pueden apoyar, por favor, si nos echan la mano... si nos echan la mano, por favor, eh para que puedan este pues solucionar este problema de la fuga, que no han ido ahí, ¿sí? Vamos a pasarlo de una vez para que no tengamos ningún problema y nos echan la mano ahí en CAASIM</t>
  </si>
  <si>
    <t>Fuga De Agua</t>
  </si>
  <si>
    <t>Y a pesar que es una obra necesaria para el centro de Tula, pues hay algunas inconformidades. Al arribar el edil de Tula a esta calzada para dar inicio con la renovación integral, vecinos y comerciantes de Tula expresaron su inconformidad por el inicio de esta obra. Advierten que el cierre de vialidades podría afectar aún más la actividad económica del centro.A ver, desde la inundación, esta calle no ha sido nada. Económicamente se fue para abajo. ¿Y cómo? ¿Poniendo la bonita va a traer clientes? No, ve acá tus locales vacíos hay. Es una parte importante para que la ciudad se vea, se vea bien. No, tráiganos gente. Nosotros los comerciantes queremos gente desde la inundación. Esta calle ya no es nada. Económicamente se fue. Son muchos los problemas de Tula. Durante una reunión reclamaron al alcalde Cristian Martínez el incumplimiento de la promesa de rehabilitar las calles Rojo del Río, Manuel Doblado y 16 de septiembre. Además de señalar que la obra no fue informada oportunamente a la población.Te repito, no estamos en contra del proyecto. Gracias. Estamos solicitando que nos atiendan y que nos cumplen las promesas que nos hicieron el año pasado. Tú dijiste, Cristian, que la calle de Rojo del Río, Manuel Doblado y 16 de septiembre iban a ser prioritarios para arreglarlas y nos hemos dado cuenta que has arreglado otras calles. Todas han estado dañadas. Eso lo sabemos. No estamos de ojos cerrados.</t>
  </si>
  <si>
    <t>Inconformidad por obra</t>
  </si>
  <si>
    <t>Será el día de mañana viernes cuatro de septiembre cuando se entregue el cuarto informe de gobierno de Julio Menchaca Salazar. El presidente de la junta de gobierno del Congreso del Estado de Hidalgo, el diputado Andrés Velásquez, informó cuál será la dinámica para este acto, para este cuarto informe que se realizará en dos momentos diferentes los días viernes cuatro y sábado cinco de septiembre. Viernes es el es el informe del señor gobernador, el Congreso estamos invitados, somos parte de este proceso y el sábado cinco estará haciendo entrega el señor secretario en una sesión especial aquí en el Congreso del Secretario de Gobierno, el licenciado este Olivares Reyna, estará entregando en una sesión propia de este acontecimiento el informe del señor gobernador. Son diferentes momentos, creo yo que hay que darle el dinamismo, hay que darle un nuevo esquema.Siete de la mañana con cuatro minutos le vamos a presentar toda la información que se dé a conocer a través del cuarto informe de gobierno de Julio Menchaca Salazar.</t>
  </si>
  <si>
    <t>Vía telefónica presidente de la Junta de Gobierno del Congreso del Estado de Hidalgo, Andrés Velázquez Vázquez con el tema : Actividades legislativas en este año en el Congreso.</t>
  </si>
  <si>
    <t>Informe Legislativo</t>
  </si>
  <si>
    <t>Hablando de los bordados, sigue el tema. Los bordados son una de las creaciones artesanales más susceptibles al llamado regateo. No obstante, la población todavía desconoce que este tipo de elaboraciones pueden llevarse hasta un mes o más en realizarse. Así lo dio a conocer María Basilio Martínez, artesana del municipio de Tasquillo.</t>
  </si>
  <si>
    <t>Intermediarismo</t>
  </si>
  <si>
    <t>Radioescucha reporta que ojala las autoridades municipales, apoyen en checar todo Pachuca, ya que en muchas zonas ya se tiene mucha hierba</t>
  </si>
  <si>
    <t>Limpieza Urbana</t>
  </si>
  <si>
    <t>Comenta conductor Eulalio Larrieta : ya comentamos que no era un accidente, era un operativo porque habían encontrado una persona sin vida ahí en los jales, ahí en el bulevar Nuevo Hidalgo atrás de lo que es el Club de Golf. Ahí lo encontraron, es lo que nos... nos comentan</t>
  </si>
  <si>
    <t>Vamos con más de la información. El secretario de Educación Pública de Hidalgo, Natividad Castrejón Valdés, encabezó la entrega de libros de texto, útiles escolares, calzado y uniformes del programa estatal Altagracia Mercado, en beneficio de estudiantes de cinco municipios. Durante una gira de trabajo visitó planteles de Mineral de la Reforma, Zempoala, Tepeapulco, Tulancingo y Cuautepec, donde destacó que estos apoyos respaldan la economía de las familias y contribuyen a fortalecer la permanencia escolar.</t>
  </si>
  <si>
    <t>La Comisión Estatal para el Desarrollo Sostenible de los Pueblos Indígenas abrió la convocatoria para el curso gratuito de lenguas indígenas dirigidas a personas interesadas en aprender ñañú o náhuatl en nivel básico.</t>
  </si>
  <si>
    <t>El Instituto Mexicano del Seguro Social (IMSS) en Hidalgo exhortó a la población a fortalecer el cuidado de la salud mental mediante la adopción de hábitos saludables y actividades que contribuyan al bienestar emocional.La institución destacó que la salud mental influye directamente en la manera en que las personas piensan, sienten y actúan en su vida cotidiana, por lo que su atención es fundamental durante todas las etapas de la vida, particularmente en la adolescencia y juventud, debido a los cambios físicos, hormonales y emocionales propios de estos periodos.El IMSS señaló que los trastornos mentales pueden presentarse en cualquier persona y tienen un origen multifactorial, relacionado con aspectos genéticos, psicológicos, neurológicos, ambientales y sociales.</t>
  </si>
  <si>
    <t>Prevención De Enfermedades</t>
  </si>
  <si>
    <t>El Hospital con Garra ha atendido 310 casos de maltrato, lesiones y abandono de perros y gatos, desde septiembre de 2025 a la fecha.</t>
  </si>
  <si>
    <t>Protección Animal</t>
  </si>
  <si>
    <t>Radioescucha 63 24 dice: «Muy buenos días, un abrazo, saludos. Le comento que en la escuela Ramón G. Bonfil ya estaban integrados los grupos, pero las maestras hicieron un cambio escogiendo a los niños como quisieron y eso no es correcto. Que ponga... que ponga orden la SEPH. Ahí la maestra no quiere trabajar y agarran a niños sin ningún problema académico o psicológico.</t>
  </si>
  <si>
    <t>Y a cuatro años del gobierno de Julio Menchaca Salazar, la Secretaría del Despacho del Poder Ejecutivo, impulsa la recuperación de espacios públicos para fortalecer la convivencia, la cultura y la participación ciudadana. El denominado Palco del Pueblo abrió sus puertas en 102 ocasiones y recibió a 4,805 personas, entre ellas 1,665 niñas y niños.</t>
  </si>
  <si>
    <t>La Unidad de Rehabilitación de Fauna Silvestre de Pachuca realizará una nueva edición de su Curso en Rehabilitación, que se llevará a cabo del 9 al 15 de noviembre de 2026 con una propuesta renovada en modalidad híbrida.Esta dinámica permitirá combinar sesiones teóricas en línea con prácticas presenciales en las instalaciones de la Unidad, para brindar una formación integral en el manejo y rehabilitación de especies silvestres.El programa contempla temas como abordaje médico inicial, nutrición y procesos de rehabilitación, atención neonatal y pediátrica, además del modelo de trabajo implementado por esta Unidad, ampliamente reconocida a nivel nacional por el uso de biosimuladores.Este curso está dirigido a estudiantes de Medicina Veterinaria y Zootecnia, Biología y profesionales que trabajen con fauna silvestre. A lo largo de 10 sesiones teóricas y 6 prácticas, las y los participantes fortalecerán sus conocimientos en medicina veterinaria, biología, bienestar animal, conservación y rehabilitación de fauna silvestre.La capacitación contará con tres modalidades de inscripción: teórico-práctica, con un costo de $4,100; teórica, por $1,800; y práctica, por $3,000. Cada opción está diseñada para responder a las distintas necesidades e intereses de las y los participantes.Con cupo limitado, se invita a las y los interesados a acercarse a la Unidad de Rehabilitación o comunicarse al 771 835 1458 para resolver dudas, conocer el proceso de inscripción y realizar el pago correspondiente.</t>
  </si>
  <si>
    <t>Rehabilitación animal</t>
  </si>
  <si>
    <t>Radioescucha escuché lo de la apertura de la Ramón G. Bonfil. Mi pregunta es: ¿por qué no abren la de Venta Prieta frente a las tiendas departamentales?». Pues vamos a ver qué es lo que pasa</t>
  </si>
  <si>
    <t>En otros temas inició la renovación integral de la calzada principal Melchor Ocampo aquí en Tula de Allende. La información nos la presenta Claudia Alcántara. Gracias, buenos días, con una inversión planeada y validada por la Secretaría de Hacienda, el Ayuntamiento de Tula inició la renovación integral de la calzada principal Melchor Ocampo, obra que busca mejorar la movilidad y recuperar la imagen urbana del municipio, destacó el alcalde de Tula, Cristian Martínez. Pero más allá del tema del presupuesto y el gran esfuerzo que hemos hecho, hoy estamos cumpliendo una demanda de miles de ciudadanos tulenses y de la región. Uno es la mejor movilidad, dos el aspecto de recuperar nuestra ciudad porque el comentario que hacen hacia Tula después de haber sufrido pandemia, después de haber sufrido inundación, es que Tula está feo, que Tula huele mal.Los trabajos comenzarán en los carriles centrales, mientras que los laterales permanecerán habilitados para evitar el cierre total de esta importante vialidad. El proyecto contempla nuevas banquetas, guarniciones, áreas verdes, árboles, una rotonda con escultura y mejoras a la red de drenaje para evitar descargas al río y malos olores en el centro de Tula.</t>
  </si>
  <si>
    <t>Radioescucha 93 13 señor Fidel: Muy buenos días. Licenciado, pues preguntando si sabías cuándo liberarán la tarifa de los taxis, ¿puedes preguntarle a los de la Secretaría? Gracias». Movilidad y Transporte, por favor, mi estimado Cristian Yair Castañeda, Secretario, por favor, si nos echan la mano: ¿cuándo liberarán ya la tarifa de los taxis?, porque es un verdadero desastre ya en un momento determinado.</t>
  </si>
  <si>
    <t>Tarifario de taxis</t>
  </si>
  <si>
    <t>En el marco del mes del testamento, mes de septiembre, mes del testamento, el gobierno de Hidalgo promueve entre las personas adultas mayores la importancia de contar con este documento legal para proteger su patrimonio y evitar conflictos familiares.</t>
  </si>
  <si>
    <t>Vamos a temas en materia de protección civil. La Dirección de Protección Civil y Bomberos de Alfajayucan informó que en coordinación con la CONAGUA se realizan trabajos de trasvase de agua de la presa Javier Rojo Gómez a la presa Vicente Aguirre. Como consecuencia de estas maniobras, se registra acumulación de espuma en el cauce del río, a la altura de la carretera Alfajayucan-Chilcuautla. Las autoridades pidieron a la población tomar vías alternas durante la mañana, evitar cruzar por la zona afectada y atender las indicaciones del personal de protección civil.</t>
  </si>
  <si>
    <t>Trasvase de agua</t>
  </si>
  <si>
    <t>Comentario Locutor sobre venta de uniformes en redes sociales : Y en este México mágico, antes de continuar con esta información, mire, es lamentable que padres de familia, cuando reciben este uniforme o estos zapatos, ya se puede ver en redes sociales, sobre todo en Facebook, que lo están vendiendo a bajo costo. O sea, no les costó nada, se los dio, pues, es parte de nuestros impuestos, pero cuando se los dan de forma gratuita, ya los están publicando en Facebook, en 200 pesos, 250 pesos, imagínese usted.</t>
  </si>
  <si>
    <t>Venta de apoyos sociales</t>
  </si>
  <si>
    <t>Radioescucha pide al ayuntamiento que en el Fraccionamiento Camelinas en la calle de Pirules la chequen, ya que esta en muy mal estado</t>
  </si>
  <si>
    <t>Comentario locutor 4to informe JMS : Las transmisiones en vivo en directo del cuarto informe de gobierno encabezado por el mandatario Julio Menchaca Salazar, en donde se han destacado los avances, lo que se está haciendo en este momento y también los nuevos proyectos. Desde luego, la infraestructura tiene mucho que ver en el desarrollo de las sociedades, de los municipios, de todos los sectores. Hidalgo es una potencia en marcha y se está invirtiendo en todos los rubros. Ya en esta semana comentaba Connie para usted, en materia de educación, la inversión que se lleva a cabo; en materia de infraestructura; la respuesta inmediata en torno a la vaguada amazónica de la cual habló también el gobernador Menchaca Salazar; la respuesta del gobierno federal, del gobierno estatal, gobiernos municipales, de los servidores públicos, funcionarios locales, estatales, municipales; la participación de Protección Civil; y desde luego también, la planeación que se lleva a cabo para nuevas y grandes obras.</t>
  </si>
  <si>
    <t>Enfoque Regional Meridiano</t>
  </si>
  <si>
    <t>Mensaje del gobernador Julio Menchaca Salazar durante su cuarto informe de gobierno. Hoy se llevó a cabo el cuarto informe de gobierno del gobernador Julio Menchaca Salazar desde el recinto ferial de Pachuca, donde a través de un video se compartieron los avances y resultados que mantienen a Hidalgo como potencia en marcha. A cuatro años del inicio de este gobierno, Hidalgo está cambiando. Pasamos de ser uno de los estados más pobres y abandonados del país para convertirnos en una potencia en marcha con bienestar social y crecimiento económico.</t>
  </si>
  <si>
    <t>Jesús González</t>
  </si>
  <si>
    <t>Y donde sí hay presupuesto y hasta se gastaron 80,000 pesos en la adquisición de 20 pants deportivos fue en el Ayuntamiento de Huichapan</t>
  </si>
  <si>
    <t>Sobrecosto</t>
  </si>
  <si>
    <t>En Calnali, vecinos y habitantes de la cabecera municipal expresaron su molestia ante la mala calidad de los adornos patrios colocados por la administración de la doctora Corina Jiménez, con motivo del mes de la patria, asegurando que en lugar de dar alegría, dan pena y vergüenza.</t>
  </si>
  <si>
    <t>Fiestas Patrias</t>
  </si>
  <si>
    <t>La que no se salvó fue la Paloma Morenista, quien invitó a una imitadora de la presidenta Sheinbaum para simular que asistió a su segundo informe. Ni cómo ayudarles en las jaladas de la política y remato diciendo que las niñas quieren parecerse a Claudia. ¡Ya hasta concurso van a hacer! Habrá una dinámica para las niñas que quieran eh participar a ser imitadora de la doctora Claudia Sheinbaum, primaria y secundaria</t>
  </si>
  <si>
    <t>Impericia</t>
  </si>
  <si>
    <t>Las Puntadas de la Semana: Oiga, y es viernes, y es viernes y el sastrerito llega con su desastre. Vamos con las puntadas de la semana.¡Las puntadas de la semana! ¡Aquí se cose y descose la información! Vino la aclaración de jefaturas, después de que llamó jefe al ex coordinador de Morena en el Senado, Adán Augusto López, el senador hidalguense Cuauhtémoc Ochoa, salió a aclarar que no hay confusión, su único jefe es su papá. ¿Quién es su jefe, Nacho Mier o Adán Augusto? Yo tengo mi papá, es mi jefe. Ajá. El pueblo es mi jefe. Pero políticamente es Adán Augusto o el senador Mier. El pueblo, el pueblo. Y sí le van a dar la comisión... No, ahora sí que eso es cuestión del grupo parlamentario. Sí, pero ellos son los que deciden.Esto luego de que Reforma publicara un mensaje de WhatsApp en el que Ochoa le pide autorización a Adán Augusto para encabezar la comisión de bienestar. Y cuando le insistieron sobre su jefe político, contestó, el pueblo, el pueblo. Así que ya quedó el organigrama, en Morena siempre manda el pueblo, en el Senado decide el grupo y en casa de Cuauhtémoc todo parece indicar que manda papá. Yo quiero ser como mi papá.</t>
  </si>
  <si>
    <t>El ensamble musical inclusivo Zempaki celebró su primer aniversario con una presentación en el Auditorio Ramón Noble Olivares, donde niñas, niños y adolescentes con discapacidad demostraron su talento mediante la interpretación de instrumentos prehispánicos. Escuche usted esta bella música.</t>
  </si>
  <si>
    <t>Inclusión</t>
  </si>
  <si>
    <t>El centro de conciliación laboral de Hidalgo realizó 150 audiencias relacionadas con personas adultas mayores entre 2025 y lo que va de este 2026. En ese total, 101 concluyeron mediante convenios, lo que representa el 67%</t>
  </si>
  <si>
    <t>Conciliación Laboral</t>
  </si>
  <si>
    <t>Bueno, en otra información, el gobierno de Hidalgo analiza conectar el sistema de transporte metropolitano con las dos estaciones del tren México-Pachuca ubicadas en la entidad.</t>
  </si>
  <si>
    <t>Tren AIFA</t>
  </si>
  <si>
    <t>Bueno, vamos con la información. Un estudiante falleció, lamentable, un estudiante falleció. Tres jóvenes resultaron lesionados tras volcar el automóvil en el que viajaban en la colonia de San Marcos, municipio de Tula de Allende. El accidente ocurrió la mañana de este jueves sobre la avenida Insurgentes a la altura del canal, donde un Dodge Charger gris modelo 2024 salió de la carretera y terminó volcado en un pastizal. Paramédicos atendieron a tres hombres quienes fueron trasladados al hospital general de Tula-Tepeji, en tanto una joven quedó atrapada entre los fierros del vehículo y al ser rescatada ya no contaba con signos vitales. Y al parecer esta joven menor de edad, 16 años, perdió la vida en el accidente.</t>
  </si>
  <si>
    <t>Muerte de estudiante</t>
  </si>
  <si>
    <t>Una nueva fuga en una tubería de Pemex provocó la inundación del tianguis de mayoreo de Tlahuelilpan durante la madrugada de ayer jueves. El agua ingresó a los locales y ocasionó daños en mercancía además de acumulación de lodo.</t>
  </si>
  <si>
    <t>Y un hombre de aproximadamente cuarenta años fue localizado sin vida la mañana de este jueves en la Ampliación de los Jales en Pachuca.</t>
  </si>
  <si>
    <t>Siete de la mañana ya con catorce minutos en otra información la Secretaría de Seguridad Pública de Hidalgo aseguró a cuatro personas presuntamente relacionadas con el robo a transporte de carga en carreteras federales.</t>
  </si>
  <si>
    <t>Combate a la delincuencia</t>
  </si>
  <si>
    <t>Y una intensa granizada sorprendió a la tarde de ayer jueves habitantes del municipio de Tezontepec de Aldama. La precipitación estuvo acompañada de lluvia y cubrió de hielo calles, patios, y algunas zonas del municipio generando asombro entre la población. Hasta el momento no se ha dado a conocer un reporte oficial de posibles afectaciones derivada de este temporal.</t>
  </si>
  <si>
    <t>Llegó, ya llegó, ya llegó, sí, ya está muy cerca el proceso electoral dos mil veintiséis, dos mil veintisiete. Estamos a seis días, sí, como usted lo escucha, el Instituto Nacional Electoral inició la cuenta regresiva para el proceso electoral dos mil veintiséis, dos mil veintisiete, que comenzará formalmente con ceremonia cívica el próximo diez de septiembre. El próximo jueves el calendario contempla más de quinientas actividades, entre ellas la instalación de los treinta y dos consejos locales y trescientos distritales previstas para el treinta de septiembre. En dos mil veintisiete las precampañas se realizarán de el cuatro de enero al doce de febrero.</t>
  </si>
  <si>
    <t>Vámonos a otros temas desde el primero de septiembre, opera en Pachuca el juzgado especializado en violencia familiar contra las mujeres, atender asuntos penales y familiares derivados de un mismo contexto de violencia con la intención de evitar que las víctimas tengan que acudir a distintos juzgados, colectivos feministas hablan sobre estos espacios.</t>
  </si>
  <si>
    <t>Violencia familiar</t>
  </si>
  <si>
    <t>El secretario de educación pública Natividad Castrejón habló sobre la reubicación de la escuela primaria Aquiles Serdán en Tulancingo</t>
  </si>
  <si>
    <t>Hidalgo es una potencia en marcha. Hidalgo se colocó entre los cinco destinos turísticos más atractivos de México para viajar, ¿De acuerdo? Con la plataforma global Booking dos mil veintiséis.</t>
  </si>
  <si>
    <t>Es hoy viernes cuatro de septiembre que el gobernador Julio Menchaca Salazar presentará su informe de gobierno, su cuarto informe de gobierno ante la ciudadanía hidalguense, será un acto público que se va a realizar en el domo de las instalaciones de la feria de Pachuca. En este ejercicio de rendición de cuentas, el mandatario estatal dará a conocer los avances y resultados de su cuarto año de administración, principalmente en materia de infraestructura, bienestar social, educación, salud, y seguridad</t>
  </si>
  <si>
    <t>Radioescucha reporta muchos baches en Plaza Vertice</t>
  </si>
  <si>
    <t>Radioescucha reporta vialidad en mal estado por Plaza Universidad</t>
  </si>
  <si>
    <t>Radioescucha : Buenos días, quisiera reportar que nuevamente no tenemos agua en Valle de las Estrellas,</t>
  </si>
  <si>
    <t>Radioescucha dice que en la calle Durazno, Ampliación Santa Julia, se han ido varias unidades porque se ha metido el drenaje por CAASIM y se ha tapado, La calle se sumió y se fue la plataforma con todo y los vehículos.</t>
  </si>
  <si>
    <t>Radioesucha : Buenos días, "Licenciado Larrieta, falta de agua en la calle de Trigueros y Covarrubias, no hemos podido bañarnos, sobre todo nuestros adultos mayores".</t>
  </si>
  <si>
    <t>Radioescucha 75 93, Dice: "Muy buenos días, licenciado Larrieta, bendiciones. Mi reporte es para los de CAASIM, nos engañan,</t>
  </si>
  <si>
    <t>Radioescucha 19 20, dice: "Buenos días, licenciado Larrieta. ¡Qué hipocresía del gobierno de Julio Menchaca! Hoy que es el informe de gobierno sí permiten la entrada al carril confinado del Tuzobús.</t>
  </si>
  <si>
    <t>Radioescucha : Lalo, buen día. ¿Qué pretenden algunos funcionarios o funcionarias al abrir el carril del Tuzobús hoy? Hoy es el informe del Gober. Yo creo que le quieren... quieren al Gober maquillar el tráfico. Excelente viernes</t>
  </si>
  <si>
    <t>Radioescucha manda audio :Buenos días, licenciado. Un fuerte abrazo para usted y su equipo. Mire nada más lo que son las injusticias para los jodidos, ¿no? Cómo sí dejan pasar ahorita por el Tuzobús hoy que va a ser el informe para darle fluidez a la circulación, y cuando es normal, no nos dejan pasar. Son unas incoherencias pero totales».</t>
  </si>
  <si>
    <t>Radioescucha : Buenos días, señor Larrieta, solo para comentarle que sí se va a poder ocupar el carril del Tuzobús</t>
  </si>
  <si>
    <t>Comenta Eulalio Larrieta sobre el audio de radioescucha: Ojalá que ya lo hagan así, que ya lo puedan abrir, que lo abran en horarios pico y que nos puedan ayudar para la circulación en esa zona.</t>
  </si>
  <si>
    <t>Con la finalidad de saldar una deuda institucional con la población, garantizar la prestación legal de servicios públicos, brindar certeza jurídica sobre el patrimonio familiar e impulsar un crecimiento urbano ordenado, la administración local concretó la regularización de fraccionamientos en Mineral de la Reforma impulsada por Eduardo Medécigo Rubio.</t>
  </si>
  <si>
    <t>Certeza jurídica</t>
  </si>
  <si>
    <t>Jornada Estatal de Cataratas 2026 devuelve la visión y autonomía a 399 hidalguenses.</t>
  </si>
  <si>
    <t>Jornada de cirugías</t>
  </si>
  <si>
    <t>A cuatro años del gobierno de Julio Menchaca Salazar, fortalece Contraloría la vigilancia de la obra pública</t>
  </si>
  <si>
    <t>Contraloría</t>
  </si>
  <si>
    <t>Pago de prestaciones, principal motivo por el que personas adultas mayores acuden al CCLEH</t>
  </si>
  <si>
    <t>Aprovechará Hidalgo impacto positivo en la zona metropolitana con la llegada del Tren México-Pachuca- Miguel Ángel Tello Vargas, titular de la Unidad de Planeación y Prospectiva de Hidalgo (Uplaph)</t>
  </si>
  <si>
    <t>SSPH asegura a cuatro personas por presunto robo a transporte de carga en carretera federal México–Pachuca</t>
  </si>
  <si>
    <t>Un total de 399 pacientes fueron beneficiados con cirugías gratuitas de cataratas durante una jornada realizada por el IMSS Bienestar en Hidalgo, en coordinación con el Sistema DIF Hidalgo, como parte del programa federal “Ver por México”. Las intervenciones, que consistieron en la extracción de catarata y colocación de lentes intraoculares, se llevaron a cabo en el Hospital General de Tulancingo, con la participación de 34 profesionales de la salud, entre médicos oftalmólogos, anestesiólogos, personal de enfermería e ingenieros biomédicos. De acuerdo con Alejandra Guadalupe Ramírez Reyes, titular de la Oficina de Atención Médica Especializada, la jornada se desarrolló en dos etapas, los días 18 y 19 de agosto, así como el 1 y 2 de septiembre, con el objetivo de acercar atención especializada a personas que enfrentan barreras económicas o geográficas para acceder a este tipo de procedimientos. Como parte de la estrategia, los pacientes recibieron de manera gratuita valoraciones de medicina interna, anestesiología y estudios preoperatorios en 11 hospitales generales y regionales de la red IMSS Bienestar en Hidalgo, ubicados en Pachuca, Tulancingo, Actopan, Apan, Huichapan, Huejutla, Ixmiquilpan, Jacala de Ledezma, Metztitlán, Tula y Tlanchinol. La funcionaria explicó que esta dinámica permitió que los beneficiarios realizaran los estudios necesarios en unidades cercanas a sus lugares de origen, evitando traslados hasta Tulancingo antes de la intervención. Para la realización de las cirugías, el Gobierno Federal, a través del programa “Ver por México”, proporcionó material e insumos quirúrgicos, incluidos los lentes intraoculares. En tanto, el IMSS Bienestar en Hidalgo aportó la infraestructura hospitalaria, quirófanos y áreas de recuperación, además de los insumos médicos y la coordinación del personal que participó en la jornada. Con estas acciones, ambas instituciones buscan ampliar el acceso gratuito y oportuno a servicios de salud especializados, particularmente para personas que enfrentan dificultades económicas o geográficas, contribuyendo a mejorar su calidad de vida y recuperar su capacidad visual.</t>
  </si>
  <si>
    <t>En Apan, Hidalgo, un adolescente perdió la vida luego de que cayera cuando la motocicleta en la que viajara derrapó. Un adolescente de 16 años perdió la vida la noche del miércoles tras sufrir un accidente de motocicleta sobre la carretera Apan–Lázaro Cárdenas, en el municipio de Apan, Hidalgo. El accidente ocurrió cerca de las 23:00 horas del 3 de septiembre, cuando el menor, vecino de la comunidad de Lázaro Cárdenas, circulaba a bordo de una motocicleta Pulsar color azul. De acuerdo con la información recabada en el lugar, el joven habría derrapado mientras circulaba por este tramo carretero, lo que provocó que cayera y sufriera un traumatismo. Tras el reporte, al sitio se movilizaron paramédicos de Protección Civil de Apan, quienes valoraron al motociclista y confirmaron que ya no presentaba signos vitales. También acudieron elementos de la Policía Municipal y Policía Estatal, quienes mantuvieron bajo resguardo la zona mientras se esperaba la llegada de las autoridades ministeriales. Posteriormente, personal de la Procuraduría General de Justicia del Estado de Hidalgo (PGJEH) y del Servicio Médico Forense (SEMEFO) acudió para realizar las diligencias correspondientes y el levantamiento del cuerpo.</t>
  </si>
  <si>
    <t>Una mujer dio a luz a una bebé este viernes 4 de septiembre en el Parque Hidalgo, donde ciudadanos que se encontraban en el lugar se acercaron para auxiliarla mientras llegaban los servicios de emergencia. De acuerdo con información policial, la madre es vecina de la colonia La Raza y comenzó con el trabajo de parto mientras se encontraba en este espacio público de Pachuca. La rapidez con la que ocurrió el nacimiento provocó que las personas presentes fueran las primeras en brindarle apoyo. Posteriormente arribó una ambulancia de la Policía Municipal y Protección Civil. El personal atendió a la mujer y a la recién nacida antes de trasladarlas al Hospital General, donde ambas quedaron bajo valoración. Los primeros reportes indican que la madre y su hija se encuentran estables. Permanecerán bajo atención hasta que el personal médico determine si existen condiciones para otorgarles el alta. Hasta ahora no se han proporcionado datos sobre la hora exacta del nacimiento, el peso de la bebé o las condiciones en las que se desarrolló el parto. Tampoco se ha informado cuánto tiempo llevaba la mujer con contracciones antes de llegar al parque. Después de difundirse el caso, usuarios de redes sociales comenzaron a cuestionar por qué el nacimiento ocurrió en el Parque Hidalgo, debido a la cercanía de este punto con unidades de atención médica. Entre los comentarios surgió la versión de que la mujer habría acudido previamente a recibir atención y que posiblemente le recomendaron caminar para favorecer la dilatación. Otra publicación sostuvo que presuntamente habría sido enviada a su domicilio al presentar dos centímetros de dilatación. Uno de los usuarios afirmó que esta explicación habría sido proporcionada por el esposo de la mujer. Según ese comentario, la pareja se dirigía a su vivienda y caminaba para encontrar transporte cuando el parto se adelantó en el parque. Sin embargo, ninguna de estas versiones ha sido confirmada por la familia, las autoridades de Salud o el hospital donde presuntamente habría sido valorada antes del nacimiento. Tampoco se ha presentado algún documento médico que permita comprobar si fue dada de alta, si recibió la recomendación de caminar o si acudió previamente a una unidad hospitalaria.</t>
  </si>
  <si>
    <t>Asistencia de parto</t>
  </si>
  <si>
    <t>La Dirección de Sanidad Municipal de Tulancingo realiza durante el mes de septiembre una campaña de esterilización y vacunación para perros y gatos, estas jornadas llegan a diferentes colonias y comunidades del municipio.</t>
  </si>
  <si>
    <t>Vacunación Antirrábica</t>
  </si>
  <si>
    <t>Hoy pues fue día de presentación del cuarto informe de gobierno de Julio Menchaca Salazar, gobernador del estado de Hidalgo, donde pues, al dar a conocer las cifras, resultados de lo alcanzado en este cuarto año de su administración aquí precisamente en nuestro estado, pues destacó en su discurso que Hidalgo es una potencia en marcha al destacar los proyectos federales y estatales que se desarrollarán en los próximos dos años de su administración." Entre los proyectos prioritarios pues se encuentra la intervención de la carretera Actopan-Atotonilco el Grande con una inversión de 900 millones de pesos para conectarla con las vías México-Laredo y México-Tampico, y así fortalecer la comunicación entre el Valle del Mezquital, la Sierra Alta y la Huasteca. También anunció la intervención del Río de las Avenidas desde La Paz hasta Las Torres con 2,000 millones de pesos como una vía alterna hacia pues la zona sur de Pachuca y su conexión con el bulevar Felipe Ángeles. El tercer proyecto contempla ampliar a ocho carriles la carretera Pachuca-México con una inversión de 3,200 millones de pesos; los trabajos comenzarán este año con un distribuidor vial en el entronque de Zapotlán. En su discurso, Menchaca sostuvo que Hidalgo vive una de las etapas de mayor dinamismo en su historia bajo la premisa de que cada decisión de gobierno debe atender al interés colectivo. "Afirmó que en lo que va de su administración se generaron 130 compromisos de inversión por más de 147,000 millones de pesos con la creación de 191,000 empleos directos e indirectos. Este año, agregó, la entidad alcanzó el primer lugar en crecimiento económico y el segundo en actividad industrial. Asimismo, señaló que la pobreza disminuyó de 41 a 35%, lo que representa 154,000 personas menos en esta condición." Durante los cuatro años de gobierno se destinaron más de 12,000 millones de pesos a 154 programas sociales y apoyos, además de 121 mil millones de pesos para fortalecer la educación. 'Recaudamos más', dijo, 'invertimos más y debemos menos', así lo dijo el gobernador al referirse a las finanzas estatales. Menchaca Salazar también recordó la emergencia provocada hace 11 meses, ya casi un año, por la llamada vaguada monzónica que afectó a 28 municipios y dejó pérdidas humanas y daños en miles de familias. En ese contexto, reconoció el respaldo de la presidenta Claudia Sheinbaum Pardo, así como la participación de voluntarios locales y de otras entidades. Anunció que en las próximas semanas la presidenta de la República entregará apoyos por 874 millones de pesos a 2,185 familias para la reconstrucción de su patrimonio, aunado a que visitará Hidalgo el 13 de septiembre próximo, lo que será su visita número 15 aquí en la entidad hidalguense. Bueno, pues así algunas de las de las cifras que dio a conocer el día de hoy. Sobre todo en su en su discurso, después de después de presentar un video, un video con de todos los logros, apoyos, alcances que ha tenido precisamente su administración en este cuarto año de de gobierno, su mensaje del gobernador, enseguida emitió su mensaje donde se dieron a conocer estas próximas inversiones. Menchaca Salazar ha explicado también que estas acciones pues buscan, sobre todo en el tema de vialidad de obra pública, agilizar agilizar el tema del traslado entre Hidalgo, el Estado de México, el Aeropuerto Internacional Felipe Ángeles y la capital del país, además de fortalecer la comunicación de la zona metropolitana de Pachuca, por lo que aseguró que, de manera paralela, continuará la obra pública en los 84 municipios. Finalmente dijo: 'Durante mucho tiempo nuestro estado fue marcado por lo que necesitaba superar; hoy puede definirse por aquello que está dispuesto a alcanzar'. Agregó que el reto es lograr que el avance se refleje en cada comunidad mediante mejores oportunidades, seguridad, educación, bienestar, servicios e infraestructura. Finalmente agradeció el acompañamiento del gobierno federal encabezado por la presidenta Claudia Sheinbaum y sostuvo que Hidalgo cuenta con visión de largo plazo y condiciones para mantener su transformación y generar bienestar regional. 'Hidalgo es potencia en marcha', así es como concluyó, también con un grito de '¡Que viva la transformación, que viva Hidalgo!'. Así concluyó su discurso el gobernador Julio Menchaca Salazar, que que prácticamente ocupó una una hora, ¿eh?, para trasladarse ahí desde desde prácticamente el pasillo, la entrada al recinto ferial, y hasta hasta la zona donde donde estaba ya colocado todo el estrado, el inmobiliario, toda la logística para recibirlo. Una hora pero por por saludar obviamente a la gente que lo esperaba, saludar también a los invitados especiales que estuvieron estuvieron por ahí con él. Fue por parte del gobierno federal, fue la secretaria de Cultura, Claudia Curiel, quien estuvo en representación de la presidenta Claudia Sheinbaum; también estuvo la maestra Rebeca Aladro, presidenta magistrada del Tribunal Superior de Justicia, y el diputado Andrés Velázquez Vázquez, diputado local, presidente de la Junta de Gobierno del Congreso del Estado. Pero sobre todo, y pues destaca a diferencia de lo que han hecho otros mandatarios en gobiernos anteriores, que estuvieron ahí con él en el estrado varias de las personas que han sido beneficiadas, es decir, la ciudadanía estuvo ahí en representación de quienes han sido beneficiados con acciones, obras, proyectos, etcétera, en esta a lo largo de estos cuatro años de gobierno de Julio Menchaca Salazar. Pero bueno, obviamente la mejor opinión por supuesto la tiene usted siempre, nosotros aquí cumplimos con informarle estas estas estadísticas que presentó hoy.</t>
  </si>
  <si>
    <t>El Gobierno Municipal de Tulancingo emitió una tarjeta informativa en relación con el conflicto generado durante la rendición de cuentas de la exdelegada Nubia Gicela Lorenzo en la comunidad de Santa Ana Hueytlalpan. Tras no alcanzarse un consenso ni concretarse el nombramiento de Miriam Morales de Jesús por desacuerdos entre la población, la administración local aclaró que actualmente no reconoce formalmente a ninguna persona como enlace vecinal, en tanto la propia comunidad resuelva la elección conforme a sus usos, costumbres y procesos internos. Asimismo, el Ayuntamiento aseguró que está vacante no condiciona la atención ciudadana ni la realización de trámites para los habitantes, ratificando su respeto a los derechos y autonomía de las comunidades indígenas.</t>
  </si>
  <si>
    <t>Jesús Riveros agradece al profesor Juan Carlos Santamaría quien pues ya va a buscar un lugar, un espacio por supuesto allá en el recinto ferial de Pachuca donde, como ya lo comentó, a partir de las 11 de la mañana se dará el mensaje por su cuarto informe de gobierno del gobernador Julio Menchaca Salazar, gobernador del estado de Hidalgo. Y pues bueno, estaremos al pendiente por supuesto llevándole los detalles también a través de estos micrófonos, señaló.</t>
  </si>
  <si>
    <t>Con un intenso despliegue operativo y el arribo masivo de contingentes provenientes de diversas regiones de la entidad, todo se encuentra listo en las instalaciones de la Feria de Pachuca para la rendición del Cuarto Informe de Gobierno del mandatario estatal, Julio Menchaca Salazar. Durante la cobertura previa al evento, se resaltó que uno de los ejes centrales del mensaje será la estrecha colaboración entre la administración estatal y el Gobierno de México, encabezado por la presidenta Claudia Sheinbaum. Entre los avances conjuntos destacan los operativos de seguridad coordinados entre la policía estatal, mandos municipales, la Guardia Nacional y el Ejército Mexicano. En el ámbito económico y de infraestructura, se contempla detallar las acciones para la instalación de un polo de desarrollo en el municipio de Zapotlán, así como la incorporación de Hidalgo al plan hídrico nacional, el cual contempla el saneamiento del río Tula y la tecnificación de los sistemas de riego para el campo hidalguense. Afectaciones viales en el sur de la capital Debido a la concentración de asistentes en las inmediaciones del recinto ferial, el fraccionamiento Juan C. Doria y la Plaza de Toros, las autoridades reportaron una fuerte carga vehicular sobre los bulevares Felipe Ángeles y Nuevo Hidalgo. Elementos de tránsito y cuerpos de emergencia mantienen un operativo permanente en la zona para agilizar la circulación y dar prioridad de paso a unidades de auxilio. Se recomienda a la población evitar la zona sur de Pachuca si no es estrictamente necesario.</t>
  </si>
  <si>
    <t>Con resultados que se viven en el territorio, todo está listo para el cuarto informe del gobernador Julio Menchaca</t>
  </si>
  <si>
    <t>En el marco de la reciente visita a México del presidente de Colombia, Gustavo Petro, y de las discusiones sobre la política energética e intervencionismo extranjero en América Latina, el representante del PRD en Hidalgo, Héctor Chávez Ruiz, fijó la postura del partido local al hacer un llamado a los gobiernos y fuerzas progresistas a consolidar alianzas permanentes para proteger la soberanía y autodeterminación de los pueblos. Durante un encuentro realizado en Mineral del Chico, Chávez Ruiz subrayó que la defensa de las instituciones no debe darse de forma reactiva o coyuntural, sino a través de una agenda continua que impida condicionamientos externos en las decisiones de la nación. Al respecto, el periodista David Cárdenas destacó la relevancia de que un instituto político de carácter local asuma un posicionamiento sobre temas torales de alcance internacional y nacional. Señaló que este planteamiento se alinea con las posturas asumidas por la presidenta de México, Claudia Sheinbaum, y el gobernador de Hidalgo, Julio Menchaca Salazar, quienes han reiterado de manera constante que la soberanía nacional y estatal no se negocia ni se entrega. Finalmente, el análisis transmitido en el noticiero subrayó que la autodeterminación y el rechazo al intervencionismo extranjero rebasan el plano gubernamental y deben constituir una postura ciudadana y social ante los desafíos políticos de la región.</t>
  </si>
  <si>
    <t>Intervención extranjer</t>
  </si>
  <si>
    <t>Una respuesta inmediata de la Secretaría de Seguridad Pública, Tránsito y Vialidad de Pachuca de Soto permitió rescatar a un perro que permanecía encerrado dentro de un vehículo durante varias horas, tras un reporte recibido a través del C4. Los hechos ocurrieron en la zona de Infonavit Santa Julia, sobre la antigua carretera México-Pachuca, donde elementos de Seguridad Pública acudieron de inmediato al sitio para verificar el reporte. Al arribar, los agentes localizaron al animal al interior de un vehículo Pontiac color rojo. De acuerdo con el propietario, identificado como F.E.P.M., el canino había permanecido en el vehículo tras varias horas. Ante esta situación, los elementos procedieron a la detención de la persona por su probable responsabilidad en el delito de maltrato animal. El perro fue puesto a salvo y quedó bajo resguardo del Centro de Atención Integral Veterinario de Pachuca, donde recibirá la atención correspondiente. La intervención refleja la capacidad de respuesta de la corporación municipal ante reportes ciudadanos y su compromiso con la protección y bienestar animal.</t>
  </si>
  <si>
    <t>Detención</t>
  </si>
  <si>
    <t>Elementos de la Secretaría de Seguridad Pública, Tránsito y Vialidad de Pachuca detuvieron a un hombre identificado con las iniciales F.Q.T., quien contaba con una orden de aprehensión vigente por el delito de narcomenudeo. El arresto se llevó a cabo tras un reporte recibido a través del C4 sobre la compra-venta de una motocicleta Italika 300 en el bulevar Ramón G. Bonfil, a la altura de la colonia Piracantos. Al verificar los datos de los involucrados en Plataforma México, el sistema arrojó que el sospechoso era requerido por la justicia por delitos contra la salud en el municipio de Tizayuca. Tras confirmarse el mandato judicial, los policías municipales lo pusieron a disposición de la Policía de Investigación de la Procuraduría General de Justicia del Estado de Hidalgo para determinar su situación legal.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</si>
</sst>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8" tableType="queryTable" totalsRowShown="0">
  <autoFilter ref="A1:M148"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8"/>
  <sheetViews>
    <sheetView tabSelected="1" topLeftCell="A130" workbookViewId="0">
      <selection activeCell="A148" sqref="A148"/>
    </sheetView>
  </sheetViews>
  <sheetFormatPr baseColWidth="10" defaultRowHeight="14.5" x14ac:dyDescent="0.35"/>
  <cols>
    <col min="1" max="1" width="8.1796875" bestFit="1" customWidth="1"/>
    <col min="2" max="2" width="10.26953125" bestFit="1" customWidth="1"/>
    <col min="3" max="3" width="23.7265625" bestFit="1" customWidth="1"/>
    <col min="4" max="4" width="27.36328125" bestFit="1" customWidth="1"/>
    <col min="5" max="5" width="80.7265625" bestFit="1" customWidth="1"/>
    <col min="6" max="6" width="14.26953125" bestFit="1" customWidth="1"/>
    <col min="7" max="7" width="29.81640625" bestFit="1" customWidth="1"/>
    <col min="8" max="8" width="12" bestFit="1" customWidth="1"/>
    <col min="9" max="9" width="11.26953125" bestFit="1" customWidth="1"/>
    <col min="10" max="10" width="23.08984375" bestFit="1" customWidth="1"/>
    <col min="11" max="11" width="19.81640625" bestFit="1" customWidth="1"/>
    <col min="12" max="12" width="11.54296875"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25</v>
      </c>
      <c r="C1" t="s">
        <v>26</v>
      </c>
      <c r="D1" t="s">
        <v>27</v>
      </c>
      <c r="E1" t="s">
        <v>1</v>
      </c>
      <c r="F1" t="s">
        <v>2</v>
      </c>
      <c r="G1" t="s">
        <v>4</v>
      </c>
      <c r="H1" t="s">
        <v>3</v>
      </c>
      <c r="I1" t="s">
        <v>5</v>
      </c>
      <c r="J1" t="s">
        <v>28</v>
      </c>
      <c r="K1" t="s">
        <v>29</v>
      </c>
      <c r="L1" t="s">
        <v>30</v>
      </c>
      <c r="M1" t="s">
        <v>37</v>
      </c>
    </row>
    <row r="2" spans="1:13" x14ac:dyDescent="0.35">
      <c r="A2" s="2">
        <v>46268</v>
      </c>
      <c r="B2" s="1" t="str">
        <f ca="1">IF(Información1[[#This Row],[Fecha]]='Ajuste de fechas'!$A$2,"Día actual","Día anterior")</f>
        <v>Día anterior</v>
      </c>
      <c r="C2" t="s">
        <v>59</v>
      </c>
      <c r="D2" t="s">
        <v>96</v>
      </c>
      <c r="E2" t="s">
        <v>97</v>
      </c>
      <c r="F2" t="s">
        <v>93</v>
      </c>
      <c r="G2" t="s">
        <v>98</v>
      </c>
      <c r="H2" t="s">
        <v>56</v>
      </c>
      <c r="I2" t="s">
        <v>22</v>
      </c>
      <c r="J2" t="s">
        <v>31</v>
      </c>
      <c r="K2" t="s">
        <v>61</v>
      </c>
      <c r="L2" t="s">
        <v>32</v>
      </c>
      <c r="M2">
        <v>1</v>
      </c>
    </row>
    <row r="3" spans="1:13" x14ac:dyDescent="0.35">
      <c r="A3" s="2">
        <v>46268</v>
      </c>
      <c r="B3" s="1" t="str">
        <f ca="1">IF(Información1[[#This Row],[Fecha]]='Ajuste de fechas'!$A$2,"Día actual","Día anterior")</f>
        <v>Día anterior</v>
      </c>
      <c r="C3" t="s">
        <v>59</v>
      </c>
      <c r="D3" t="s">
        <v>96</v>
      </c>
      <c r="E3" t="s">
        <v>99</v>
      </c>
      <c r="F3" t="s">
        <v>93</v>
      </c>
      <c r="G3" t="s">
        <v>100</v>
      </c>
      <c r="H3" t="s">
        <v>56</v>
      </c>
      <c r="I3" t="s">
        <v>7</v>
      </c>
      <c r="J3" t="s">
        <v>31</v>
      </c>
      <c r="K3" t="s">
        <v>61</v>
      </c>
      <c r="L3" t="s">
        <v>32</v>
      </c>
      <c r="M3">
        <v>1</v>
      </c>
    </row>
    <row r="4" spans="1:13" x14ac:dyDescent="0.35">
      <c r="A4" s="2">
        <v>46268</v>
      </c>
      <c r="B4" s="1" t="str">
        <f ca="1">IF(Información1[[#This Row],[Fecha]]='Ajuste de fechas'!$A$2,"Día actual","Día anterior")</f>
        <v>Día anterior</v>
      </c>
      <c r="C4" t="s">
        <v>59</v>
      </c>
      <c r="D4" t="s">
        <v>96</v>
      </c>
      <c r="E4" t="s">
        <v>101</v>
      </c>
      <c r="F4" t="s">
        <v>16</v>
      </c>
      <c r="G4" t="s">
        <v>102</v>
      </c>
      <c r="H4" t="s">
        <v>56</v>
      </c>
      <c r="I4" t="s">
        <v>7</v>
      </c>
      <c r="J4" t="s">
        <v>35</v>
      </c>
      <c r="K4" t="s">
        <v>61</v>
      </c>
      <c r="L4" t="s">
        <v>32</v>
      </c>
      <c r="M4">
        <v>1</v>
      </c>
    </row>
    <row r="5" spans="1:13" x14ac:dyDescent="0.35">
      <c r="A5" s="2">
        <v>46268</v>
      </c>
      <c r="B5" s="1" t="str">
        <f ca="1">IF(Información1[[#This Row],[Fecha]]='Ajuste de fechas'!$A$2,"Día actual","Día anterior")</f>
        <v>Día anterior</v>
      </c>
      <c r="C5" t="s">
        <v>59</v>
      </c>
      <c r="D5" t="s">
        <v>96</v>
      </c>
      <c r="E5" t="s">
        <v>103</v>
      </c>
      <c r="F5" t="s">
        <v>19</v>
      </c>
      <c r="G5" t="s">
        <v>104</v>
      </c>
      <c r="H5" t="s">
        <v>56</v>
      </c>
      <c r="I5" t="s">
        <v>7</v>
      </c>
      <c r="J5" t="s">
        <v>36</v>
      </c>
      <c r="K5" t="s">
        <v>61</v>
      </c>
      <c r="L5" t="s">
        <v>32</v>
      </c>
      <c r="M5">
        <v>1</v>
      </c>
    </row>
    <row r="6" spans="1:13" x14ac:dyDescent="0.35">
      <c r="A6" s="2">
        <v>46268</v>
      </c>
      <c r="B6" s="1" t="str">
        <f ca="1">IF(Información1[[#This Row],[Fecha]]='Ajuste de fechas'!$A$2,"Día actual","Día anterior")</f>
        <v>Día anterior</v>
      </c>
      <c r="C6" t="s">
        <v>105</v>
      </c>
      <c r="D6" t="s">
        <v>106</v>
      </c>
      <c r="E6" t="s">
        <v>107</v>
      </c>
      <c r="F6" t="s">
        <v>44</v>
      </c>
      <c r="G6" t="s">
        <v>46</v>
      </c>
      <c r="H6" t="s">
        <v>56</v>
      </c>
      <c r="I6" t="s">
        <v>11</v>
      </c>
      <c r="J6" t="s">
        <v>31</v>
      </c>
      <c r="K6" t="s">
        <v>108</v>
      </c>
      <c r="L6" t="s">
        <v>34</v>
      </c>
      <c r="M6">
        <v>1</v>
      </c>
    </row>
    <row r="7" spans="1:13" x14ac:dyDescent="0.35">
      <c r="A7" s="2">
        <v>46268</v>
      </c>
      <c r="B7" s="1" t="str">
        <f ca="1">IF(Información1[[#This Row],[Fecha]]='Ajuste de fechas'!$A$2,"Día actual","Día anterior")</f>
        <v>Día anterior</v>
      </c>
      <c r="C7" t="s">
        <v>105</v>
      </c>
      <c r="D7" t="s">
        <v>106</v>
      </c>
      <c r="E7" t="s">
        <v>109</v>
      </c>
      <c r="F7" t="s">
        <v>110</v>
      </c>
      <c r="G7" t="s">
        <v>111</v>
      </c>
      <c r="H7" t="s">
        <v>56</v>
      </c>
      <c r="I7" t="s">
        <v>11</v>
      </c>
      <c r="J7" t="s">
        <v>31</v>
      </c>
      <c r="K7" t="s">
        <v>108</v>
      </c>
      <c r="L7" t="s">
        <v>34</v>
      </c>
      <c r="M7">
        <v>1</v>
      </c>
    </row>
    <row r="8" spans="1:13" x14ac:dyDescent="0.35">
      <c r="A8" s="2">
        <v>46268</v>
      </c>
      <c r="B8" s="1" t="str">
        <f ca="1">IF(Información1[[#This Row],[Fecha]]='Ajuste de fechas'!$A$2,"Día actual","Día anterior")</f>
        <v>Día anterior</v>
      </c>
      <c r="C8" t="s">
        <v>105</v>
      </c>
      <c r="D8" t="s">
        <v>106</v>
      </c>
      <c r="E8" t="s">
        <v>112</v>
      </c>
      <c r="F8" t="s">
        <v>23</v>
      </c>
      <c r="G8" t="s">
        <v>113</v>
      </c>
      <c r="H8" t="s">
        <v>56</v>
      </c>
      <c r="I8" t="s">
        <v>11</v>
      </c>
      <c r="J8" t="s">
        <v>31</v>
      </c>
      <c r="K8" t="s">
        <v>108</v>
      </c>
      <c r="L8" t="s">
        <v>32</v>
      </c>
      <c r="M8">
        <v>1</v>
      </c>
    </row>
    <row r="9" spans="1:13" x14ac:dyDescent="0.35">
      <c r="A9" s="2">
        <v>46268</v>
      </c>
      <c r="B9" s="1" t="str">
        <f ca="1">IF(Información1[[#This Row],[Fecha]]='Ajuste de fechas'!$A$2,"Día actual","Día anterior")</f>
        <v>Día anterior</v>
      </c>
      <c r="C9" t="s">
        <v>59</v>
      </c>
      <c r="D9" t="s">
        <v>60</v>
      </c>
      <c r="E9" t="s">
        <v>114</v>
      </c>
      <c r="F9" t="s">
        <v>18</v>
      </c>
      <c r="G9" t="s">
        <v>115</v>
      </c>
      <c r="H9" t="s">
        <v>56</v>
      </c>
      <c r="I9" t="s">
        <v>7</v>
      </c>
      <c r="J9" t="s">
        <v>31</v>
      </c>
      <c r="K9" t="s">
        <v>61</v>
      </c>
      <c r="L9" t="s">
        <v>32</v>
      </c>
      <c r="M9">
        <v>1</v>
      </c>
    </row>
    <row r="10" spans="1:13" x14ac:dyDescent="0.35">
      <c r="A10" s="2">
        <v>46268</v>
      </c>
      <c r="B10" s="1" t="str">
        <f ca="1">IF(Información1[[#This Row],[Fecha]]='Ajuste de fechas'!$A$2,"Día actual","Día anterior")</f>
        <v>Día anterior</v>
      </c>
      <c r="C10" t="s">
        <v>59</v>
      </c>
      <c r="D10" t="s">
        <v>60</v>
      </c>
      <c r="E10" t="s">
        <v>116</v>
      </c>
      <c r="F10" t="s">
        <v>117</v>
      </c>
      <c r="G10" t="s">
        <v>118</v>
      </c>
      <c r="H10" t="s">
        <v>56</v>
      </c>
      <c r="I10" t="s">
        <v>7</v>
      </c>
      <c r="J10" t="s">
        <v>31</v>
      </c>
      <c r="K10" t="s">
        <v>62</v>
      </c>
      <c r="L10" t="s">
        <v>34</v>
      </c>
      <c r="M10">
        <v>1</v>
      </c>
    </row>
    <row r="11" spans="1:13" x14ac:dyDescent="0.35">
      <c r="A11" s="2">
        <v>46268</v>
      </c>
      <c r="B11" s="1" t="str">
        <f ca="1">IF(Información1[[#This Row],[Fecha]]='Ajuste de fechas'!$A$2,"Día actual","Día anterior")</f>
        <v>Día anterior</v>
      </c>
      <c r="C11" t="s">
        <v>59</v>
      </c>
      <c r="D11" t="s">
        <v>60</v>
      </c>
      <c r="E11" t="s">
        <v>109</v>
      </c>
      <c r="F11" t="s">
        <v>110</v>
      </c>
      <c r="G11" t="s">
        <v>111</v>
      </c>
      <c r="H11" t="s">
        <v>56</v>
      </c>
      <c r="I11" t="s">
        <v>7</v>
      </c>
      <c r="J11" t="s">
        <v>31</v>
      </c>
      <c r="K11" t="s">
        <v>62</v>
      </c>
      <c r="L11" t="s">
        <v>34</v>
      </c>
      <c r="M11">
        <v>1</v>
      </c>
    </row>
    <row r="12" spans="1:13" x14ac:dyDescent="0.35">
      <c r="A12" s="2">
        <v>46268</v>
      </c>
      <c r="B12" s="1" t="str">
        <f ca="1">IF(Información1[[#This Row],[Fecha]]='Ajuste de fechas'!$A$2,"Día actual","Día anterior")</f>
        <v>Día anterior</v>
      </c>
      <c r="C12" t="s">
        <v>59</v>
      </c>
      <c r="D12" t="s">
        <v>60</v>
      </c>
      <c r="E12" t="s">
        <v>119</v>
      </c>
      <c r="F12" t="s">
        <v>14</v>
      </c>
      <c r="G12" t="s">
        <v>95</v>
      </c>
      <c r="H12" t="s">
        <v>56</v>
      </c>
      <c r="I12" t="s">
        <v>94</v>
      </c>
      <c r="J12" t="s">
        <v>31</v>
      </c>
      <c r="K12" t="s">
        <v>62</v>
      </c>
      <c r="L12" t="s">
        <v>33</v>
      </c>
      <c r="M12">
        <v>1</v>
      </c>
    </row>
    <row r="13" spans="1:13" x14ac:dyDescent="0.35">
      <c r="A13" s="2">
        <v>46268</v>
      </c>
      <c r="B13" s="1" t="str">
        <f ca="1">IF(Información1[[#This Row],[Fecha]]='Ajuste de fechas'!$A$2,"Día actual","Día anterior")</f>
        <v>Día anterior</v>
      </c>
      <c r="C13" t="s">
        <v>59</v>
      </c>
      <c r="D13" t="s">
        <v>60</v>
      </c>
      <c r="E13" t="s">
        <v>120</v>
      </c>
      <c r="F13" t="s">
        <v>93</v>
      </c>
      <c r="G13" t="s">
        <v>121</v>
      </c>
      <c r="H13" t="s">
        <v>56</v>
      </c>
      <c r="I13" t="s">
        <v>22</v>
      </c>
      <c r="J13" t="s">
        <v>31</v>
      </c>
      <c r="K13" t="s">
        <v>61</v>
      </c>
      <c r="L13" t="s">
        <v>32</v>
      </c>
      <c r="M13">
        <v>1</v>
      </c>
    </row>
    <row r="14" spans="1:13" x14ac:dyDescent="0.35">
      <c r="A14" s="2">
        <v>46268</v>
      </c>
      <c r="B14" s="1" t="str">
        <f ca="1">IF(Información1[[#This Row],[Fecha]]='Ajuste de fechas'!$A$2,"Día actual","Día anterior")</f>
        <v>Día anterior</v>
      </c>
      <c r="C14" t="s">
        <v>59</v>
      </c>
      <c r="D14" t="s">
        <v>60</v>
      </c>
      <c r="E14" t="s">
        <v>122</v>
      </c>
      <c r="F14" t="s">
        <v>45</v>
      </c>
      <c r="G14" t="s">
        <v>123</v>
      </c>
      <c r="H14" t="s">
        <v>56</v>
      </c>
      <c r="I14" t="s">
        <v>7</v>
      </c>
      <c r="J14" t="s">
        <v>31</v>
      </c>
      <c r="K14" t="s">
        <v>62</v>
      </c>
      <c r="L14" t="s">
        <v>34</v>
      </c>
      <c r="M14">
        <v>1</v>
      </c>
    </row>
    <row r="15" spans="1:13" x14ac:dyDescent="0.35">
      <c r="A15" s="2">
        <v>46268</v>
      </c>
      <c r="B15" s="1" t="str">
        <f ca="1">IF(Información1[[#This Row],[Fecha]]='Ajuste de fechas'!$A$2,"Día actual","Día anterior")</f>
        <v>Día anterior</v>
      </c>
      <c r="C15" t="s">
        <v>59</v>
      </c>
      <c r="D15" t="s">
        <v>60</v>
      </c>
      <c r="E15" t="s">
        <v>124</v>
      </c>
      <c r="F15" t="s">
        <v>75</v>
      </c>
      <c r="G15" t="s">
        <v>125</v>
      </c>
      <c r="H15" t="s">
        <v>56</v>
      </c>
      <c r="I15" t="s">
        <v>7</v>
      </c>
      <c r="J15" t="s">
        <v>31</v>
      </c>
      <c r="K15" t="s">
        <v>62</v>
      </c>
      <c r="L15" t="s">
        <v>34</v>
      </c>
      <c r="M15">
        <v>1</v>
      </c>
    </row>
    <row r="16" spans="1:13" x14ac:dyDescent="0.35">
      <c r="A16" s="2">
        <v>46268</v>
      </c>
      <c r="B16" s="1" t="str">
        <f ca="1">IF(Información1[[#This Row],[Fecha]]='Ajuste de fechas'!$A$2,"Día actual","Día anterior")</f>
        <v>Día anterior</v>
      </c>
      <c r="C16" t="s">
        <v>59</v>
      </c>
      <c r="D16" t="s">
        <v>60</v>
      </c>
      <c r="E16" t="s">
        <v>126</v>
      </c>
      <c r="F16" t="s">
        <v>18</v>
      </c>
      <c r="G16" t="s">
        <v>127</v>
      </c>
      <c r="H16" t="s">
        <v>56</v>
      </c>
      <c r="I16" t="s">
        <v>7</v>
      </c>
      <c r="J16" t="s">
        <v>31</v>
      </c>
      <c r="K16" t="s">
        <v>61</v>
      </c>
      <c r="L16" t="s">
        <v>32</v>
      </c>
      <c r="M16">
        <v>1</v>
      </c>
    </row>
    <row r="17" spans="1:13" x14ac:dyDescent="0.35">
      <c r="A17" s="2">
        <v>46268</v>
      </c>
      <c r="B17" s="1" t="str">
        <f ca="1">IF(Información1[[#This Row],[Fecha]]='Ajuste de fechas'!$A$2,"Día actual","Día anterior")</f>
        <v>Día anterior</v>
      </c>
      <c r="C17" t="s">
        <v>59</v>
      </c>
      <c r="D17" t="s">
        <v>60</v>
      </c>
      <c r="E17" t="s">
        <v>128</v>
      </c>
      <c r="F17" t="s">
        <v>129</v>
      </c>
      <c r="G17" t="s">
        <v>130</v>
      </c>
      <c r="H17" t="s">
        <v>56</v>
      </c>
      <c r="I17" t="s">
        <v>7</v>
      </c>
      <c r="J17" t="s">
        <v>21</v>
      </c>
      <c r="K17" t="s">
        <v>62</v>
      </c>
      <c r="L17" t="s">
        <v>42</v>
      </c>
      <c r="M17">
        <v>1</v>
      </c>
    </row>
    <row r="18" spans="1:13" x14ac:dyDescent="0.35">
      <c r="A18" s="2">
        <v>46268</v>
      </c>
      <c r="B18" s="1" t="str">
        <f ca="1">IF(Información1[[#This Row],[Fecha]]='Ajuste de fechas'!$A$2,"Día actual","Día anterior")</f>
        <v>Día anterior</v>
      </c>
      <c r="C18" t="s">
        <v>59</v>
      </c>
      <c r="D18" t="s">
        <v>60</v>
      </c>
      <c r="E18" t="s">
        <v>131</v>
      </c>
      <c r="F18" t="s">
        <v>20</v>
      </c>
      <c r="G18" t="s">
        <v>132</v>
      </c>
      <c r="H18" t="s">
        <v>56</v>
      </c>
      <c r="I18" t="s">
        <v>7</v>
      </c>
      <c r="J18" t="s">
        <v>31</v>
      </c>
      <c r="K18" t="s">
        <v>62</v>
      </c>
      <c r="L18" t="s">
        <v>34</v>
      </c>
      <c r="M18">
        <v>1</v>
      </c>
    </row>
    <row r="19" spans="1:13" x14ac:dyDescent="0.35">
      <c r="A19" s="2">
        <v>46268</v>
      </c>
      <c r="B19" s="1" t="str">
        <f ca="1">IF(Información1[[#This Row],[Fecha]]='Ajuste de fechas'!$A$2,"Día actual","Día anterior")</f>
        <v>Día anterior</v>
      </c>
      <c r="C19" t="s">
        <v>63</v>
      </c>
      <c r="D19" t="s">
        <v>64</v>
      </c>
      <c r="E19" t="s">
        <v>133</v>
      </c>
      <c r="F19" t="s">
        <v>16</v>
      </c>
      <c r="G19" t="s">
        <v>51</v>
      </c>
      <c r="H19" t="s">
        <v>56</v>
      </c>
      <c r="I19" t="s">
        <v>22</v>
      </c>
      <c r="J19" t="s">
        <v>35</v>
      </c>
      <c r="K19" t="s">
        <v>9</v>
      </c>
      <c r="L19" t="s">
        <v>33</v>
      </c>
      <c r="M19">
        <v>1</v>
      </c>
    </row>
    <row r="20" spans="1:13" x14ac:dyDescent="0.35">
      <c r="A20" s="2">
        <v>46268</v>
      </c>
      <c r="B20" s="1" t="str">
        <f ca="1">IF(Información1[[#This Row],[Fecha]]='Ajuste de fechas'!$A$2,"Día actual","Día anterior")</f>
        <v>Día anterior</v>
      </c>
      <c r="C20" t="s">
        <v>63</v>
      </c>
      <c r="D20" t="s">
        <v>64</v>
      </c>
      <c r="E20" t="s">
        <v>134</v>
      </c>
      <c r="F20" t="s">
        <v>16</v>
      </c>
      <c r="G20" t="s">
        <v>135</v>
      </c>
      <c r="H20" t="s">
        <v>56</v>
      </c>
      <c r="I20" t="s">
        <v>7</v>
      </c>
      <c r="J20" t="s">
        <v>35</v>
      </c>
      <c r="K20" t="s">
        <v>68</v>
      </c>
      <c r="L20" t="s">
        <v>32</v>
      </c>
      <c r="M20">
        <v>1</v>
      </c>
    </row>
    <row r="21" spans="1:13" x14ac:dyDescent="0.35">
      <c r="A21" s="2">
        <v>46268</v>
      </c>
      <c r="B21" s="1" t="str">
        <f ca="1">IF(Información1[[#This Row],[Fecha]]='Ajuste de fechas'!$A$2,"Día actual","Día anterior")</f>
        <v>Día anterior</v>
      </c>
      <c r="C21" t="s">
        <v>63</v>
      </c>
      <c r="D21" t="s">
        <v>64</v>
      </c>
      <c r="E21" t="s">
        <v>136</v>
      </c>
      <c r="F21" t="s">
        <v>18</v>
      </c>
      <c r="G21" t="s">
        <v>127</v>
      </c>
      <c r="H21" t="s">
        <v>56</v>
      </c>
      <c r="I21" t="s">
        <v>11</v>
      </c>
      <c r="J21" t="s">
        <v>31</v>
      </c>
      <c r="K21" t="s">
        <v>68</v>
      </c>
      <c r="L21" t="s">
        <v>33</v>
      </c>
      <c r="M21">
        <v>1</v>
      </c>
    </row>
    <row r="22" spans="1:13" x14ac:dyDescent="0.35">
      <c r="A22" s="2">
        <v>46268</v>
      </c>
      <c r="B22" s="1" t="str">
        <f ca="1">IF(Información1[[#This Row],[Fecha]]='Ajuste de fechas'!$A$2,"Día actual","Día anterior")</f>
        <v>Día anterior</v>
      </c>
      <c r="C22" t="s">
        <v>69</v>
      </c>
      <c r="D22" t="s">
        <v>70</v>
      </c>
      <c r="E22" t="s">
        <v>137</v>
      </c>
      <c r="F22" t="s">
        <v>16</v>
      </c>
      <c r="G22" t="s">
        <v>138</v>
      </c>
      <c r="H22" t="s">
        <v>72</v>
      </c>
      <c r="I22" t="s">
        <v>22</v>
      </c>
      <c r="J22" t="s">
        <v>35</v>
      </c>
      <c r="K22" t="s">
        <v>74</v>
      </c>
      <c r="L22" t="s">
        <v>33</v>
      </c>
      <c r="M22">
        <v>1</v>
      </c>
    </row>
    <row r="23" spans="1:13" x14ac:dyDescent="0.35">
      <c r="A23" s="2">
        <v>46268</v>
      </c>
      <c r="B23" s="1" t="str">
        <f ca="1">IF(Información1[[#This Row],[Fecha]]='Ajuste de fechas'!$A$2,"Día actual","Día anterior")</f>
        <v>Día anterior</v>
      </c>
      <c r="C23" t="s">
        <v>69</v>
      </c>
      <c r="D23" t="s">
        <v>70</v>
      </c>
      <c r="E23" t="s">
        <v>139</v>
      </c>
      <c r="F23" t="s">
        <v>16</v>
      </c>
      <c r="G23" t="s">
        <v>138</v>
      </c>
      <c r="H23" t="s">
        <v>72</v>
      </c>
      <c r="I23" t="s">
        <v>22</v>
      </c>
      <c r="J23" t="s">
        <v>35</v>
      </c>
      <c r="K23" t="s">
        <v>74</v>
      </c>
      <c r="L23" t="s">
        <v>33</v>
      </c>
      <c r="M23">
        <v>1</v>
      </c>
    </row>
    <row r="24" spans="1:13" x14ac:dyDescent="0.35">
      <c r="A24" s="2">
        <v>46268</v>
      </c>
      <c r="B24" s="1" t="str">
        <f ca="1">IF(Información1[[#This Row],[Fecha]]='Ajuste de fechas'!$A$2,"Día actual","Día anterior")</f>
        <v>Día anterior</v>
      </c>
      <c r="C24" t="s">
        <v>69</v>
      </c>
      <c r="D24" t="s">
        <v>70</v>
      </c>
      <c r="E24" t="s">
        <v>140</v>
      </c>
      <c r="F24" t="s">
        <v>16</v>
      </c>
      <c r="G24" t="s">
        <v>138</v>
      </c>
      <c r="H24" t="s">
        <v>72</v>
      </c>
      <c r="I24" t="s">
        <v>22</v>
      </c>
      <c r="J24" t="s">
        <v>35</v>
      </c>
      <c r="K24" t="s">
        <v>74</v>
      </c>
      <c r="L24" t="s">
        <v>33</v>
      </c>
      <c r="M24">
        <v>1</v>
      </c>
    </row>
    <row r="25" spans="1:13" x14ac:dyDescent="0.35">
      <c r="A25" s="2">
        <v>46268</v>
      </c>
      <c r="B25" s="1" t="str">
        <f ca="1">IF(Información1[[#This Row],[Fecha]]='Ajuste de fechas'!$A$2,"Día actual","Día anterior")</f>
        <v>Día anterior</v>
      </c>
      <c r="C25" t="s">
        <v>69</v>
      </c>
      <c r="D25" t="s">
        <v>70</v>
      </c>
      <c r="E25" t="s">
        <v>141</v>
      </c>
      <c r="F25" t="s">
        <v>16</v>
      </c>
      <c r="G25" t="s">
        <v>135</v>
      </c>
      <c r="H25" t="s">
        <v>72</v>
      </c>
      <c r="I25" t="s">
        <v>7</v>
      </c>
      <c r="J25" t="s">
        <v>35</v>
      </c>
      <c r="K25" t="s">
        <v>142</v>
      </c>
      <c r="L25" t="s">
        <v>82</v>
      </c>
      <c r="M25">
        <v>1</v>
      </c>
    </row>
    <row r="26" spans="1:13" x14ac:dyDescent="0.35">
      <c r="A26" s="2">
        <v>46268</v>
      </c>
      <c r="B26" s="1" t="str">
        <f ca="1">IF(Información1[[#This Row],[Fecha]]='Ajuste de fechas'!$A$2,"Día actual","Día anterior")</f>
        <v>Día anterior</v>
      </c>
      <c r="C26" t="s">
        <v>69</v>
      </c>
      <c r="D26" t="s">
        <v>70</v>
      </c>
      <c r="E26" t="s">
        <v>143</v>
      </c>
      <c r="F26" t="s">
        <v>144</v>
      </c>
      <c r="G26" t="s">
        <v>145</v>
      </c>
      <c r="H26" t="s">
        <v>72</v>
      </c>
      <c r="I26" t="s">
        <v>7</v>
      </c>
      <c r="J26" t="s">
        <v>21</v>
      </c>
      <c r="K26" t="s">
        <v>74</v>
      </c>
      <c r="L26" t="s">
        <v>32</v>
      </c>
      <c r="M26">
        <v>1</v>
      </c>
    </row>
    <row r="27" spans="1:13" x14ac:dyDescent="0.35">
      <c r="A27" s="2">
        <v>46268</v>
      </c>
      <c r="B27" s="1" t="str">
        <f ca="1">IF(Información1[[#This Row],[Fecha]]='Ajuste de fechas'!$A$2,"Día actual","Día anterior")</f>
        <v>Día anterior</v>
      </c>
      <c r="C27" t="s">
        <v>69</v>
      </c>
      <c r="D27" t="s">
        <v>70</v>
      </c>
      <c r="E27" t="s">
        <v>146</v>
      </c>
      <c r="F27" t="s">
        <v>48</v>
      </c>
      <c r="G27" t="s">
        <v>147</v>
      </c>
      <c r="H27" t="s">
        <v>72</v>
      </c>
      <c r="I27" t="s">
        <v>22</v>
      </c>
      <c r="J27" t="s">
        <v>31</v>
      </c>
      <c r="K27" t="s">
        <v>74</v>
      </c>
      <c r="L27" t="s">
        <v>33</v>
      </c>
      <c r="M27">
        <v>1</v>
      </c>
    </row>
    <row r="28" spans="1:13" x14ac:dyDescent="0.35">
      <c r="A28" s="2">
        <v>46268</v>
      </c>
      <c r="B28" s="1" t="str">
        <f ca="1">IF(Información1[[#This Row],[Fecha]]='Ajuste de fechas'!$A$2,"Día actual","Día anterior")</f>
        <v>Día anterior</v>
      </c>
      <c r="C28" t="s">
        <v>69</v>
      </c>
      <c r="D28" t="s">
        <v>70</v>
      </c>
      <c r="E28" t="s">
        <v>148</v>
      </c>
      <c r="F28" t="s">
        <v>16</v>
      </c>
      <c r="G28" t="s">
        <v>149</v>
      </c>
      <c r="H28" t="s">
        <v>72</v>
      </c>
      <c r="I28" t="s">
        <v>7</v>
      </c>
      <c r="J28" t="s">
        <v>35</v>
      </c>
      <c r="K28" t="s">
        <v>74</v>
      </c>
      <c r="L28" t="s">
        <v>32</v>
      </c>
      <c r="M28">
        <v>1</v>
      </c>
    </row>
    <row r="29" spans="1:13" x14ac:dyDescent="0.35">
      <c r="A29" s="2">
        <v>46268</v>
      </c>
      <c r="B29" s="1" t="str">
        <f ca="1">IF(Información1[[#This Row],[Fecha]]='Ajuste de fechas'!$A$2,"Día actual","Día anterior")</f>
        <v>Día anterior</v>
      </c>
      <c r="C29" t="s">
        <v>69</v>
      </c>
      <c r="D29" t="s">
        <v>70</v>
      </c>
      <c r="E29" t="s">
        <v>150</v>
      </c>
      <c r="F29" t="s">
        <v>41</v>
      </c>
      <c r="G29" t="s">
        <v>54</v>
      </c>
      <c r="H29" t="s">
        <v>72</v>
      </c>
      <c r="I29" t="s">
        <v>7</v>
      </c>
      <c r="J29" t="s">
        <v>21</v>
      </c>
      <c r="K29" t="s">
        <v>74</v>
      </c>
      <c r="L29" t="s">
        <v>32</v>
      </c>
      <c r="M29">
        <v>1</v>
      </c>
    </row>
    <row r="30" spans="1:13" x14ac:dyDescent="0.35">
      <c r="A30" s="2">
        <v>46268</v>
      </c>
      <c r="B30" s="1" t="str">
        <f ca="1">IF(Información1[[#This Row],[Fecha]]='Ajuste de fechas'!$A$2,"Día actual","Día anterior")</f>
        <v>Día anterior</v>
      </c>
      <c r="C30" t="s">
        <v>69</v>
      </c>
      <c r="D30" t="s">
        <v>70</v>
      </c>
      <c r="E30" t="s">
        <v>151</v>
      </c>
      <c r="F30" t="s">
        <v>41</v>
      </c>
      <c r="G30" t="s">
        <v>152</v>
      </c>
      <c r="H30" t="s">
        <v>72</v>
      </c>
      <c r="I30" t="s">
        <v>7</v>
      </c>
      <c r="J30" t="s">
        <v>21</v>
      </c>
      <c r="K30" t="s">
        <v>74</v>
      </c>
      <c r="L30" t="s">
        <v>32</v>
      </c>
      <c r="M30">
        <v>1</v>
      </c>
    </row>
    <row r="31" spans="1:13" x14ac:dyDescent="0.35">
      <c r="A31" s="2">
        <v>46268</v>
      </c>
      <c r="B31" s="1" t="str">
        <f ca="1">IF(Información1[[#This Row],[Fecha]]='Ajuste de fechas'!$A$2,"Día actual","Día anterior")</f>
        <v>Día anterior</v>
      </c>
      <c r="C31" t="s">
        <v>69</v>
      </c>
      <c r="D31" t="s">
        <v>70</v>
      </c>
      <c r="E31" t="s">
        <v>153</v>
      </c>
      <c r="F31" t="s">
        <v>18</v>
      </c>
      <c r="G31" t="s">
        <v>154</v>
      </c>
      <c r="H31" t="s">
        <v>72</v>
      </c>
      <c r="I31" t="s">
        <v>7</v>
      </c>
      <c r="J31" t="s">
        <v>31</v>
      </c>
      <c r="K31" t="s">
        <v>73</v>
      </c>
      <c r="L31" t="s">
        <v>34</v>
      </c>
      <c r="M31">
        <v>1</v>
      </c>
    </row>
    <row r="32" spans="1:13" x14ac:dyDescent="0.35">
      <c r="A32" s="2">
        <v>46268</v>
      </c>
      <c r="B32" s="1" t="str">
        <f ca="1">IF(Información1[[#This Row],[Fecha]]='Ajuste de fechas'!$A$2,"Día actual","Día anterior")</f>
        <v>Día anterior</v>
      </c>
      <c r="C32" t="s">
        <v>69</v>
      </c>
      <c r="D32" t="s">
        <v>70</v>
      </c>
      <c r="E32" t="s">
        <v>155</v>
      </c>
      <c r="F32" t="s">
        <v>71</v>
      </c>
      <c r="G32" t="s">
        <v>156</v>
      </c>
      <c r="H32" t="s">
        <v>72</v>
      </c>
      <c r="I32" t="s">
        <v>94</v>
      </c>
      <c r="J32" t="s">
        <v>31</v>
      </c>
      <c r="K32" t="s">
        <v>74</v>
      </c>
      <c r="L32" t="s">
        <v>32</v>
      </c>
      <c r="M32">
        <v>1</v>
      </c>
    </row>
    <row r="33" spans="1:13" x14ac:dyDescent="0.35">
      <c r="A33" s="2">
        <v>46268</v>
      </c>
      <c r="B33" s="1" t="str">
        <f ca="1">IF(Información1[[#This Row],[Fecha]]='Ajuste de fechas'!$A$2,"Día actual","Día anterior")</f>
        <v>Día anterior</v>
      </c>
      <c r="C33" t="s">
        <v>69</v>
      </c>
      <c r="D33" t="s">
        <v>70</v>
      </c>
      <c r="E33" t="s">
        <v>124</v>
      </c>
      <c r="F33" t="s">
        <v>75</v>
      </c>
      <c r="G33" t="s">
        <v>125</v>
      </c>
      <c r="H33" t="s">
        <v>72</v>
      </c>
      <c r="I33" t="s">
        <v>7</v>
      </c>
      <c r="J33" t="s">
        <v>31</v>
      </c>
      <c r="K33" t="s">
        <v>73</v>
      </c>
      <c r="L33" t="s">
        <v>34</v>
      </c>
      <c r="M33">
        <v>1</v>
      </c>
    </row>
    <row r="34" spans="1:13" x14ac:dyDescent="0.35">
      <c r="A34" s="2">
        <v>46268</v>
      </c>
      <c r="B34" s="1" t="str">
        <f ca="1">IF(Información1[[#This Row],[Fecha]]='Ajuste de fechas'!$A$2,"Día actual","Día anterior")</f>
        <v>Día anterior</v>
      </c>
      <c r="C34" t="s">
        <v>69</v>
      </c>
      <c r="D34" t="s">
        <v>70</v>
      </c>
      <c r="E34" t="s">
        <v>157</v>
      </c>
      <c r="F34" t="s">
        <v>23</v>
      </c>
      <c r="G34" t="s">
        <v>113</v>
      </c>
      <c r="H34" t="s">
        <v>72</v>
      </c>
      <c r="I34" t="s">
        <v>11</v>
      </c>
      <c r="J34" t="s">
        <v>31</v>
      </c>
      <c r="K34" t="s">
        <v>74</v>
      </c>
      <c r="L34" t="s">
        <v>32</v>
      </c>
      <c r="M34">
        <v>1</v>
      </c>
    </row>
    <row r="35" spans="1:13" x14ac:dyDescent="0.35">
      <c r="A35" s="2">
        <v>46268</v>
      </c>
      <c r="B35" s="1" t="str">
        <f ca="1">IF(Información1[[#This Row],[Fecha]]='Ajuste de fechas'!$A$2,"Día actual","Día anterior")</f>
        <v>Día anterior</v>
      </c>
      <c r="C35" t="s">
        <v>69</v>
      </c>
      <c r="D35" t="s">
        <v>70</v>
      </c>
      <c r="E35" t="s">
        <v>158</v>
      </c>
      <c r="F35" t="s">
        <v>16</v>
      </c>
      <c r="G35" t="s">
        <v>135</v>
      </c>
      <c r="H35" t="s">
        <v>72</v>
      </c>
      <c r="I35" t="s">
        <v>22</v>
      </c>
      <c r="J35" t="s">
        <v>35</v>
      </c>
      <c r="K35" t="s">
        <v>74</v>
      </c>
      <c r="L35" t="s">
        <v>33</v>
      </c>
      <c r="M35">
        <v>2</v>
      </c>
    </row>
    <row r="36" spans="1:13" x14ac:dyDescent="0.35">
      <c r="A36" s="2">
        <v>46268</v>
      </c>
      <c r="B36" s="1" t="str">
        <f ca="1">IF(Información1[[#This Row],[Fecha]]='Ajuste de fechas'!$A$2,"Día actual","Día anterior")</f>
        <v>Día anterior</v>
      </c>
      <c r="C36" t="s">
        <v>69</v>
      </c>
      <c r="D36" t="s">
        <v>70</v>
      </c>
      <c r="E36" t="s">
        <v>159</v>
      </c>
      <c r="F36" t="s">
        <v>23</v>
      </c>
      <c r="G36" t="s">
        <v>113</v>
      </c>
      <c r="H36" t="s">
        <v>72</v>
      </c>
      <c r="I36" t="s">
        <v>11</v>
      </c>
      <c r="J36" t="s">
        <v>31</v>
      </c>
      <c r="K36" t="s">
        <v>74</v>
      </c>
      <c r="L36" t="s">
        <v>32</v>
      </c>
      <c r="M36">
        <v>1</v>
      </c>
    </row>
    <row r="37" spans="1:13" x14ac:dyDescent="0.35">
      <c r="A37" s="2">
        <v>46268</v>
      </c>
      <c r="B37" s="1" t="str">
        <f ca="1">IF(Información1[[#This Row],[Fecha]]='Ajuste de fechas'!$A$2,"Día actual","Día anterior")</f>
        <v>Día anterior</v>
      </c>
      <c r="C37" t="s">
        <v>69</v>
      </c>
      <c r="D37" t="s">
        <v>70</v>
      </c>
      <c r="E37" t="s">
        <v>160</v>
      </c>
      <c r="F37" t="s">
        <v>48</v>
      </c>
      <c r="G37" t="s">
        <v>54</v>
      </c>
      <c r="H37" t="s">
        <v>72</v>
      </c>
      <c r="I37" t="s">
        <v>11</v>
      </c>
      <c r="J37" t="s">
        <v>31</v>
      </c>
      <c r="K37" t="s">
        <v>74</v>
      </c>
      <c r="L37" t="s">
        <v>32</v>
      </c>
      <c r="M37">
        <v>1</v>
      </c>
    </row>
    <row r="38" spans="1:13" x14ac:dyDescent="0.35">
      <c r="A38" s="2">
        <v>46268</v>
      </c>
      <c r="B38" s="1" t="str">
        <f ca="1">IF(Información1[[#This Row],[Fecha]]='Ajuste de fechas'!$A$2,"Día actual","Día anterior")</f>
        <v>Día anterior</v>
      </c>
      <c r="C38" t="s">
        <v>69</v>
      </c>
      <c r="D38" t="s">
        <v>70</v>
      </c>
      <c r="E38" t="s">
        <v>160</v>
      </c>
      <c r="F38" t="s">
        <v>23</v>
      </c>
      <c r="G38" t="s">
        <v>54</v>
      </c>
      <c r="H38" t="s">
        <v>72</v>
      </c>
      <c r="I38" t="s">
        <v>7</v>
      </c>
      <c r="J38" t="s">
        <v>31</v>
      </c>
      <c r="K38" t="s">
        <v>74</v>
      </c>
      <c r="L38" t="s">
        <v>32</v>
      </c>
      <c r="M38">
        <v>1</v>
      </c>
    </row>
    <row r="39" spans="1:13" x14ac:dyDescent="0.35">
      <c r="A39" s="2">
        <v>46268</v>
      </c>
      <c r="B39" s="1" t="str">
        <f ca="1">IF(Información1[[#This Row],[Fecha]]='Ajuste de fechas'!$A$2,"Día actual","Día anterior")</f>
        <v>Día anterior</v>
      </c>
      <c r="C39" t="s">
        <v>69</v>
      </c>
      <c r="D39" t="s">
        <v>70</v>
      </c>
      <c r="E39" t="s">
        <v>161</v>
      </c>
      <c r="F39" t="s">
        <v>16</v>
      </c>
      <c r="G39" t="s">
        <v>138</v>
      </c>
      <c r="H39" t="s">
        <v>72</v>
      </c>
      <c r="I39" t="s">
        <v>22</v>
      </c>
      <c r="J39" t="s">
        <v>35</v>
      </c>
      <c r="K39" t="s">
        <v>74</v>
      </c>
      <c r="L39" t="s">
        <v>32</v>
      </c>
      <c r="M39">
        <v>1</v>
      </c>
    </row>
    <row r="40" spans="1:13" x14ac:dyDescent="0.35">
      <c r="A40" s="2">
        <v>46268</v>
      </c>
      <c r="B40" s="1" t="str">
        <f ca="1">IF(Información1[[#This Row],[Fecha]]='Ajuste de fechas'!$A$2,"Día actual","Día anterior")</f>
        <v>Día anterior</v>
      </c>
      <c r="C40" t="s">
        <v>69</v>
      </c>
      <c r="D40" t="s">
        <v>70</v>
      </c>
      <c r="E40" t="s">
        <v>162</v>
      </c>
      <c r="F40" t="s">
        <v>6</v>
      </c>
      <c r="G40" t="s">
        <v>58</v>
      </c>
      <c r="H40" t="s">
        <v>72</v>
      </c>
      <c r="I40" t="s">
        <v>11</v>
      </c>
      <c r="J40" t="s">
        <v>31</v>
      </c>
      <c r="K40" t="s">
        <v>74</v>
      </c>
      <c r="L40" t="s">
        <v>33</v>
      </c>
      <c r="M40">
        <v>1</v>
      </c>
    </row>
    <row r="41" spans="1:13" x14ac:dyDescent="0.35">
      <c r="A41" s="2">
        <v>46268</v>
      </c>
      <c r="B41" s="1" t="str">
        <f ca="1">IF(Información1[[#This Row],[Fecha]]='Ajuste de fechas'!$A$2,"Día actual","Día anterior")</f>
        <v>Día anterior</v>
      </c>
      <c r="C41" t="s">
        <v>63</v>
      </c>
      <c r="D41" t="s">
        <v>64</v>
      </c>
      <c r="E41" t="s">
        <v>163</v>
      </c>
      <c r="F41" t="s">
        <v>16</v>
      </c>
      <c r="G41" t="s">
        <v>164</v>
      </c>
      <c r="H41" t="s">
        <v>56</v>
      </c>
      <c r="I41" t="s">
        <v>7</v>
      </c>
      <c r="J41" t="s">
        <v>35</v>
      </c>
      <c r="K41" t="s">
        <v>165</v>
      </c>
      <c r="L41" t="s">
        <v>32</v>
      </c>
      <c r="M41">
        <v>1</v>
      </c>
    </row>
    <row r="42" spans="1:13" x14ac:dyDescent="0.35">
      <c r="A42" s="2">
        <v>46268</v>
      </c>
      <c r="B42" s="1" t="str">
        <f ca="1">IF(Información1[[#This Row],[Fecha]]='Ajuste de fechas'!$A$2,"Día actual","Día anterior")</f>
        <v>Día anterior</v>
      </c>
      <c r="C42" t="s">
        <v>63</v>
      </c>
      <c r="D42" t="s">
        <v>64</v>
      </c>
      <c r="E42" t="s">
        <v>166</v>
      </c>
      <c r="F42" t="s">
        <v>16</v>
      </c>
      <c r="G42" t="s">
        <v>167</v>
      </c>
      <c r="H42" t="s">
        <v>56</v>
      </c>
      <c r="I42" t="s">
        <v>7</v>
      </c>
      <c r="J42" t="s">
        <v>35</v>
      </c>
      <c r="K42" t="s">
        <v>68</v>
      </c>
      <c r="L42" t="s">
        <v>32</v>
      </c>
      <c r="M42">
        <v>1</v>
      </c>
    </row>
    <row r="43" spans="1:13" x14ac:dyDescent="0.35">
      <c r="A43" s="2">
        <v>46268</v>
      </c>
      <c r="B43" s="1" t="str">
        <f ca="1">IF(Información1[[#This Row],[Fecha]]='Ajuste de fechas'!$A$2,"Día actual","Día anterior")</f>
        <v>Día anterior</v>
      </c>
      <c r="C43" t="s">
        <v>63</v>
      </c>
      <c r="D43" t="s">
        <v>64</v>
      </c>
      <c r="E43" t="s">
        <v>168</v>
      </c>
      <c r="F43" t="s">
        <v>169</v>
      </c>
      <c r="G43" t="s">
        <v>170</v>
      </c>
      <c r="H43" t="s">
        <v>56</v>
      </c>
      <c r="I43" t="s">
        <v>7</v>
      </c>
      <c r="J43" t="s">
        <v>171</v>
      </c>
      <c r="K43" t="s">
        <v>68</v>
      </c>
      <c r="L43" t="s">
        <v>32</v>
      </c>
      <c r="M43">
        <v>1</v>
      </c>
    </row>
    <row r="44" spans="1:13" x14ac:dyDescent="0.35">
      <c r="A44" s="2">
        <v>46268</v>
      </c>
      <c r="B44" s="1" t="str">
        <f ca="1">IF(Información1[[#This Row],[Fecha]]='Ajuste de fechas'!$A$2,"Día actual","Día anterior")</f>
        <v>Día anterior</v>
      </c>
      <c r="C44" t="s">
        <v>63</v>
      </c>
      <c r="D44" t="s">
        <v>64</v>
      </c>
      <c r="E44" t="s">
        <v>172</v>
      </c>
      <c r="F44" t="s">
        <v>129</v>
      </c>
      <c r="G44" t="s">
        <v>173</v>
      </c>
      <c r="H44" t="s">
        <v>56</v>
      </c>
      <c r="I44" t="s">
        <v>7</v>
      </c>
      <c r="J44" t="s">
        <v>21</v>
      </c>
      <c r="K44" t="s">
        <v>78</v>
      </c>
      <c r="L44" t="s">
        <v>32</v>
      </c>
      <c r="M44">
        <v>1</v>
      </c>
    </row>
    <row r="45" spans="1:13" x14ac:dyDescent="0.35">
      <c r="A45" s="2">
        <v>46268</v>
      </c>
      <c r="B45" s="1" t="str">
        <f ca="1">IF(Información1[[#This Row],[Fecha]]='Ajuste de fechas'!$A$2,"Día actual","Día anterior")</f>
        <v>Día anterior</v>
      </c>
      <c r="C45" t="s">
        <v>63</v>
      </c>
      <c r="D45" t="s">
        <v>64</v>
      </c>
      <c r="E45" t="s">
        <v>153</v>
      </c>
      <c r="F45" t="s">
        <v>18</v>
      </c>
      <c r="G45" t="s">
        <v>154</v>
      </c>
      <c r="H45" t="s">
        <v>56</v>
      </c>
      <c r="I45" t="s">
        <v>7</v>
      </c>
      <c r="J45" t="s">
        <v>31</v>
      </c>
      <c r="K45" t="s">
        <v>68</v>
      </c>
      <c r="L45" t="s">
        <v>34</v>
      </c>
      <c r="M45">
        <v>1</v>
      </c>
    </row>
    <row r="46" spans="1:13" x14ac:dyDescent="0.35">
      <c r="A46" s="2">
        <v>46268</v>
      </c>
      <c r="B46" s="1" t="str">
        <f ca="1">IF(Información1[[#This Row],[Fecha]]='Ajuste de fechas'!$A$2,"Día actual","Día anterior")</f>
        <v>Día anterior</v>
      </c>
      <c r="C46" t="s">
        <v>63</v>
      </c>
      <c r="D46" t="s">
        <v>64</v>
      </c>
      <c r="E46" t="s">
        <v>174</v>
      </c>
      <c r="F46" t="s">
        <v>175</v>
      </c>
      <c r="G46" t="s">
        <v>176</v>
      </c>
      <c r="H46" t="s">
        <v>56</v>
      </c>
      <c r="I46" t="s">
        <v>7</v>
      </c>
      <c r="J46" t="s">
        <v>31</v>
      </c>
      <c r="K46" t="s">
        <v>165</v>
      </c>
      <c r="L46" t="s">
        <v>32</v>
      </c>
      <c r="M46">
        <v>1</v>
      </c>
    </row>
    <row r="47" spans="1:13" x14ac:dyDescent="0.35">
      <c r="A47" s="2">
        <v>46268</v>
      </c>
      <c r="B47" s="1" t="str">
        <f ca="1">IF(Información1[[#This Row],[Fecha]]='Ajuste de fechas'!$A$2,"Día actual","Día anterior")</f>
        <v>Día anterior</v>
      </c>
      <c r="C47" t="s">
        <v>63</v>
      </c>
      <c r="D47" t="s">
        <v>64</v>
      </c>
      <c r="E47" t="s">
        <v>177</v>
      </c>
      <c r="F47" t="s">
        <v>75</v>
      </c>
      <c r="G47" t="s">
        <v>178</v>
      </c>
      <c r="H47" t="s">
        <v>56</v>
      </c>
      <c r="I47" t="s">
        <v>7</v>
      </c>
      <c r="J47" t="s">
        <v>31</v>
      </c>
      <c r="K47" t="s">
        <v>165</v>
      </c>
      <c r="L47" t="s">
        <v>32</v>
      </c>
      <c r="M47">
        <v>1</v>
      </c>
    </row>
    <row r="48" spans="1:13" x14ac:dyDescent="0.35">
      <c r="A48" s="2">
        <v>46268</v>
      </c>
      <c r="B48" s="1" t="str">
        <f ca="1">IF(Información1[[#This Row],[Fecha]]='Ajuste de fechas'!$A$2,"Día actual","Día anterior")</f>
        <v>Día anterior</v>
      </c>
      <c r="C48" t="s">
        <v>63</v>
      </c>
      <c r="D48" t="s">
        <v>64</v>
      </c>
      <c r="E48" t="s">
        <v>179</v>
      </c>
      <c r="F48" t="s">
        <v>16</v>
      </c>
      <c r="G48" t="s">
        <v>135</v>
      </c>
      <c r="H48" t="s">
        <v>56</v>
      </c>
      <c r="I48" t="s">
        <v>7</v>
      </c>
      <c r="J48" t="s">
        <v>35</v>
      </c>
      <c r="K48" t="s">
        <v>68</v>
      </c>
      <c r="L48" t="s">
        <v>32</v>
      </c>
      <c r="M48">
        <v>1</v>
      </c>
    </row>
    <row r="49" spans="1:13" x14ac:dyDescent="0.35">
      <c r="A49" s="2">
        <v>46268</v>
      </c>
      <c r="B49" s="1" t="str">
        <f ca="1">IF(Información1[[#This Row],[Fecha]]='Ajuste de fechas'!$A$2,"Día actual","Día anterior")</f>
        <v>Día anterior</v>
      </c>
      <c r="C49" t="s">
        <v>63</v>
      </c>
      <c r="D49" t="s">
        <v>64</v>
      </c>
      <c r="E49" t="s">
        <v>180</v>
      </c>
      <c r="F49" t="s">
        <v>16</v>
      </c>
      <c r="G49" t="s">
        <v>181</v>
      </c>
      <c r="H49" t="s">
        <v>56</v>
      </c>
      <c r="I49" t="s">
        <v>7</v>
      </c>
      <c r="J49" t="s">
        <v>35</v>
      </c>
      <c r="K49" t="s">
        <v>68</v>
      </c>
      <c r="L49" t="s">
        <v>32</v>
      </c>
      <c r="M49">
        <v>1</v>
      </c>
    </row>
    <row r="50" spans="1:13" x14ac:dyDescent="0.35">
      <c r="A50" s="2">
        <v>46268</v>
      </c>
      <c r="B50" s="1" t="str">
        <f ca="1">IF(Información1[[#This Row],[Fecha]]='Ajuste de fechas'!$A$2,"Día actual","Día anterior")</f>
        <v>Día anterior</v>
      </c>
      <c r="C50" t="s">
        <v>63</v>
      </c>
      <c r="D50" t="s">
        <v>64</v>
      </c>
      <c r="E50" t="s">
        <v>182</v>
      </c>
      <c r="F50" t="s">
        <v>16</v>
      </c>
      <c r="G50" t="s">
        <v>138</v>
      </c>
      <c r="H50" t="s">
        <v>56</v>
      </c>
      <c r="I50" t="s">
        <v>22</v>
      </c>
      <c r="J50" t="s">
        <v>35</v>
      </c>
      <c r="K50" t="s">
        <v>9</v>
      </c>
      <c r="L50" t="s">
        <v>33</v>
      </c>
      <c r="M50">
        <v>1</v>
      </c>
    </row>
    <row r="51" spans="1:13" x14ac:dyDescent="0.35">
      <c r="A51" s="2">
        <v>46268</v>
      </c>
      <c r="B51" s="1" t="str">
        <f ca="1">IF(Información1[[#This Row],[Fecha]]='Ajuste de fechas'!$A$2,"Día actual","Día anterior")</f>
        <v>Día anterior</v>
      </c>
      <c r="C51" t="s">
        <v>63</v>
      </c>
      <c r="D51" t="s">
        <v>64</v>
      </c>
      <c r="E51" t="s">
        <v>183</v>
      </c>
      <c r="F51" t="s">
        <v>18</v>
      </c>
      <c r="G51" t="s">
        <v>127</v>
      </c>
      <c r="H51" t="s">
        <v>56</v>
      </c>
      <c r="I51" t="s">
        <v>7</v>
      </c>
      <c r="J51" t="s">
        <v>31</v>
      </c>
      <c r="K51" t="s">
        <v>78</v>
      </c>
      <c r="L51" t="s">
        <v>32</v>
      </c>
      <c r="M51">
        <v>1</v>
      </c>
    </row>
    <row r="52" spans="1:13" x14ac:dyDescent="0.35">
      <c r="A52" s="2">
        <v>46268</v>
      </c>
      <c r="B52" s="1" t="str">
        <f ca="1">IF(Información1[[#This Row],[Fecha]]='Ajuste de fechas'!$A$2,"Día actual","Día anterior")</f>
        <v>Día anterior</v>
      </c>
      <c r="C52" t="s">
        <v>63</v>
      </c>
      <c r="D52" t="s">
        <v>64</v>
      </c>
      <c r="E52" t="s">
        <v>184</v>
      </c>
      <c r="F52" t="s">
        <v>18</v>
      </c>
      <c r="G52" t="s">
        <v>185</v>
      </c>
      <c r="H52" t="s">
        <v>56</v>
      </c>
      <c r="I52" t="s">
        <v>7</v>
      </c>
      <c r="J52" t="s">
        <v>31</v>
      </c>
      <c r="K52" t="s">
        <v>165</v>
      </c>
      <c r="L52" t="s">
        <v>32</v>
      </c>
      <c r="M52">
        <v>1</v>
      </c>
    </row>
    <row r="53" spans="1:13" x14ac:dyDescent="0.35">
      <c r="A53" s="2">
        <v>46268</v>
      </c>
      <c r="B53" s="1" t="str">
        <f ca="1">IF(Información1[[#This Row],[Fecha]]='Ajuste de fechas'!$A$2,"Día actual","Día anterior")</f>
        <v>Día anterior</v>
      </c>
      <c r="C53" t="s">
        <v>63</v>
      </c>
      <c r="D53" t="s">
        <v>64</v>
      </c>
      <c r="E53" t="s">
        <v>79</v>
      </c>
      <c r="F53" t="s">
        <v>16</v>
      </c>
      <c r="G53" t="s">
        <v>80</v>
      </c>
      <c r="H53" t="s">
        <v>56</v>
      </c>
      <c r="I53" t="s">
        <v>7</v>
      </c>
      <c r="J53" t="s">
        <v>35</v>
      </c>
      <c r="K53" t="s">
        <v>81</v>
      </c>
      <c r="L53" t="s">
        <v>82</v>
      </c>
      <c r="M53">
        <v>1</v>
      </c>
    </row>
    <row r="54" spans="1:13" x14ac:dyDescent="0.35">
      <c r="A54" s="2">
        <v>46268</v>
      </c>
      <c r="B54" s="1" t="str">
        <f ca="1">IF(Información1[[#This Row],[Fecha]]='Ajuste de fechas'!$A$2,"Día actual","Día anterior")</f>
        <v>Día anterior</v>
      </c>
      <c r="C54" t="s">
        <v>63</v>
      </c>
      <c r="D54" t="s">
        <v>64</v>
      </c>
      <c r="E54" t="s">
        <v>107</v>
      </c>
      <c r="F54" t="s">
        <v>44</v>
      </c>
      <c r="G54" t="s">
        <v>46</v>
      </c>
      <c r="H54" t="s">
        <v>56</v>
      </c>
      <c r="I54" t="s">
        <v>7</v>
      </c>
      <c r="J54" t="s">
        <v>31</v>
      </c>
      <c r="K54" t="s">
        <v>68</v>
      </c>
      <c r="L54" t="s">
        <v>34</v>
      </c>
      <c r="M54">
        <v>1</v>
      </c>
    </row>
    <row r="55" spans="1:13" x14ac:dyDescent="0.35">
      <c r="A55" s="2">
        <v>46268</v>
      </c>
      <c r="B55" s="1" t="str">
        <f ca="1">IF(Información1[[#This Row],[Fecha]]='Ajuste de fechas'!$A$2,"Día actual","Día anterior")</f>
        <v>Día anterior</v>
      </c>
      <c r="C55" t="s">
        <v>63</v>
      </c>
      <c r="D55" t="s">
        <v>64</v>
      </c>
      <c r="E55" t="s">
        <v>186</v>
      </c>
      <c r="F55" t="s">
        <v>52</v>
      </c>
      <c r="G55" t="s">
        <v>187</v>
      </c>
      <c r="H55" t="s">
        <v>56</v>
      </c>
      <c r="I55" t="s">
        <v>7</v>
      </c>
      <c r="J55" t="s">
        <v>31</v>
      </c>
      <c r="K55" t="s">
        <v>165</v>
      </c>
      <c r="L55" t="s">
        <v>32</v>
      </c>
      <c r="M55">
        <v>1</v>
      </c>
    </row>
    <row r="56" spans="1:13" x14ac:dyDescent="0.35">
      <c r="A56" s="2">
        <v>46268</v>
      </c>
      <c r="B56" s="1" t="str">
        <f ca="1">IF(Información1[[#This Row],[Fecha]]='Ajuste de fechas'!$A$2,"Día actual","Día anterior")</f>
        <v>Día anterior</v>
      </c>
      <c r="C56" t="s">
        <v>63</v>
      </c>
      <c r="D56" t="s">
        <v>64</v>
      </c>
      <c r="E56" t="s">
        <v>188</v>
      </c>
      <c r="F56" t="s">
        <v>16</v>
      </c>
      <c r="G56" t="s">
        <v>189</v>
      </c>
      <c r="H56" t="s">
        <v>56</v>
      </c>
      <c r="I56" t="s">
        <v>22</v>
      </c>
      <c r="J56" t="s">
        <v>35</v>
      </c>
      <c r="K56" t="s">
        <v>165</v>
      </c>
      <c r="L56" t="s">
        <v>32</v>
      </c>
      <c r="M56">
        <v>1</v>
      </c>
    </row>
    <row r="57" spans="1:13" x14ac:dyDescent="0.35">
      <c r="A57" s="2">
        <v>46268</v>
      </c>
      <c r="B57" s="1" t="str">
        <f ca="1">IF(Información1[[#This Row],[Fecha]]='Ajuste de fechas'!$A$2,"Día actual","Día anterior")</f>
        <v>Día anterior</v>
      </c>
      <c r="C57" t="s">
        <v>63</v>
      </c>
      <c r="D57" t="s">
        <v>64</v>
      </c>
      <c r="E57" t="s">
        <v>190</v>
      </c>
      <c r="F57" t="s">
        <v>16</v>
      </c>
      <c r="G57" t="s">
        <v>191</v>
      </c>
      <c r="H57" t="s">
        <v>56</v>
      </c>
      <c r="I57" t="s">
        <v>7</v>
      </c>
      <c r="J57" t="s">
        <v>35</v>
      </c>
      <c r="K57" t="s">
        <v>165</v>
      </c>
      <c r="L57" t="s">
        <v>32</v>
      </c>
      <c r="M57">
        <v>1</v>
      </c>
    </row>
    <row r="58" spans="1:13" x14ac:dyDescent="0.35">
      <c r="A58" s="2">
        <v>46268</v>
      </c>
      <c r="B58" s="1" t="str">
        <f ca="1">IF(Información1[[#This Row],[Fecha]]='Ajuste de fechas'!$A$2,"Día actual","Día anterior")</f>
        <v>Día anterior</v>
      </c>
      <c r="C58" t="s">
        <v>8</v>
      </c>
      <c r="D58" t="s">
        <v>10</v>
      </c>
      <c r="E58" t="s">
        <v>192</v>
      </c>
      <c r="F58" t="s">
        <v>6</v>
      </c>
      <c r="G58" t="s">
        <v>51</v>
      </c>
      <c r="H58" t="s">
        <v>56</v>
      </c>
      <c r="I58" t="s">
        <v>22</v>
      </c>
      <c r="J58" t="s">
        <v>31</v>
      </c>
      <c r="K58" t="s">
        <v>9</v>
      </c>
      <c r="L58" t="s">
        <v>33</v>
      </c>
      <c r="M58">
        <v>1</v>
      </c>
    </row>
    <row r="59" spans="1:13" x14ac:dyDescent="0.35">
      <c r="A59" s="2">
        <v>46268</v>
      </c>
      <c r="B59" s="1" t="str">
        <f ca="1">IF(Información1[[#This Row],[Fecha]]='Ajuste de fechas'!$A$2,"Día actual","Día anterior")</f>
        <v>Día anterior</v>
      </c>
      <c r="C59" t="s">
        <v>90</v>
      </c>
      <c r="D59" t="s">
        <v>91</v>
      </c>
      <c r="E59" t="s">
        <v>193</v>
      </c>
      <c r="F59" t="s">
        <v>21</v>
      </c>
      <c r="G59" t="s">
        <v>102</v>
      </c>
      <c r="H59" t="s">
        <v>56</v>
      </c>
      <c r="I59" t="s">
        <v>7</v>
      </c>
      <c r="J59" t="s">
        <v>21</v>
      </c>
      <c r="K59" t="s">
        <v>92</v>
      </c>
      <c r="L59" t="s">
        <v>32</v>
      </c>
      <c r="M59">
        <v>1</v>
      </c>
    </row>
    <row r="60" spans="1:13" x14ac:dyDescent="0.35">
      <c r="A60" s="2">
        <v>46268</v>
      </c>
      <c r="B60" s="1" t="str">
        <f ca="1">IF(Información1[[#This Row],[Fecha]]='Ajuste de fechas'!$A$2,"Día actual","Día anterior")</f>
        <v>Día anterior</v>
      </c>
      <c r="C60" t="s">
        <v>90</v>
      </c>
      <c r="D60" t="s">
        <v>91</v>
      </c>
      <c r="E60" t="s">
        <v>194</v>
      </c>
      <c r="F60" t="s">
        <v>16</v>
      </c>
      <c r="G60" t="s">
        <v>57</v>
      </c>
      <c r="H60" t="s">
        <v>56</v>
      </c>
      <c r="I60" t="s">
        <v>7</v>
      </c>
      <c r="J60" t="s">
        <v>35</v>
      </c>
      <c r="K60" t="s">
        <v>9</v>
      </c>
      <c r="L60" t="s">
        <v>32</v>
      </c>
      <c r="M60">
        <v>1</v>
      </c>
    </row>
    <row r="61" spans="1:13" x14ac:dyDescent="0.35">
      <c r="A61" s="2">
        <v>46268</v>
      </c>
      <c r="B61" s="1" t="str">
        <f ca="1">IF(Información1[[#This Row],[Fecha]]='Ajuste de fechas'!$A$2,"Día actual","Día anterior")</f>
        <v>Día anterior</v>
      </c>
      <c r="C61" t="s">
        <v>90</v>
      </c>
      <c r="D61" t="s">
        <v>91</v>
      </c>
      <c r="E61" t="s">
        <v>195</v>
      </c>
      <c r="F61" t="s">
        <v>93</v>
      </c>
      <c r="G61" t="s">
        <v>100</v>
      </c>
      <c r="H61" t="s">
        <v>56</v>
      </c>
      <c r="I61" t="s">
        <v>7</v>
      </c>
      <c r="J61" t="s">
        <v>31</v>
      </c>
      <c r="K61" t="s">
        <v>92</v>
      </c>
      <c r="L61" t="s">
        <v>32</v>
      </c>
      <c r="M61">
        <v>1</v>
      </c>
    </row>
    <row r="62" spans="1:13" x14ac:dyDescent="0.35">
      <c r="A62" s="2">
        <v>46268</v>
      </c>
      <c r="B62" s="1" t="str">
        <f ca="1">IF(Información1[[#This Row],[Fecha]]='Ajuste de fechas'!$A$2,"Día actual","Día anterior")</f>
        <v>Día anterior</v>
      </c>
      <c r="C62" t="s">
        <v>8</v>
      </c>
      <c r="D62" t="s">
        <v>10</v>
      </c>
      <c r="E62" t="s">
        <v>40</v>
      </c>
      <c r="F62" t="s">
        <v>6</v>
      </c>
      <c r="G62" t="s">
        <v>24</v>
      </c>
      <c r="H62" t="s">
        <v>56</v>
      </c>
      <c r="I62" t="s">
        <v>11</v>
      </c>
      <c r="J62" t="s">
        <v>31</v>
      </c>
      <c r="K62" t="s">
        <v>12</v>
      </c>
      <c r="L62" t="s">
        <v>33</v>
      </c>
      <c r="M62">
        <v>1</v>
      </c>
    </row>
    <row r="63" spans="1:13" x14ac:dyDescent="0.35">
      <c r="A63" s="2">
        <v>46268</v>
      </c>
      <c r="B63" s="1" t="str">
        <f ca="1">IF(Información1[[#This Row],[Fecha]]='Ajuste de fechas'!$A$2,"Día actual","Día anterior")</f>
        <v>Día anterior</v>
      </c>
      <c r="C63" t="s">
        <v>8</v>
      </c>
      <c r="D63" t="s">
        <v>10</v>
      </c>
      <c r="E63" t="s">
        <v>47</v>
      </c>
      <c r="F63" t="s">
        <v>18</v>
      </c>
      <c r="G63" t="s">
        <v>24</v>
      </c>
      <c r="H63" t="s">
        <v>56</v>
      </c>
      <c r="I63" t="s">
        <v>11</v>
      </c>
      <c r="J63" t="s">
        <v>31</v>
      </c>
      <c r="K63" t="s">
        <v>12</v>
      </c>
      <c r="L63" t="s">
        <v>33</v>
      </c>
      <c r="M63">
        <v>1</v>
      </c>
    </row>
    <row r="64" spans="1:13" x14ac:dyDescent="0.35">
      <c r="A64" s="2">
        <v>46268</v>
      </c>
      <c r="B64" s="1" t="str">
        <f ca="1">IF(Información1[[#This Row],[Fecha]]='Ajuste de fechas'!$A$2,"Día actual","Día anterior")</f>
        <v>Día anterior</v>
      </c>
      <c r="C64" t="s">
        <v>8</v>
      </c>
      <c r="D64" t="s">
        <v>10</v>
      </c>
      <c r="E64" t="s">
        <v>13</v>
      </c>
      <c r="F64" t="s">
        <v>14</v>
      </c>
      <c r="G64" t="s">
        <v>24</v>
      </c>
      <c r="H64" t="s">
        <v>56</v>
      </c>
      <c r="I64" t="s">
        <v>11</v>
      </c>
      <c r="J64" t="s">
        <v>31</v>
      </c>
      <c r="K64" t="s">
        <v>12</v>
      </c>
      <c r="L64" t="s">
        <v>33</v>
      </c>
      <c r="M64">
        <v>1</v>
      </c>
    </row>
    <row r="65" spans="1:13" x14ac:dyDescent="0.35">
      <c r="A65" s="2">
        <v>46268</v>
      </c>
      <c r="B65" s="1" t="str">
        <f ca="1">IF(Información1[[#This Row],[Fecha]]='Ajuste de fechas'!$A$2,"Día actual","Día anterior")</f>
        <v>Día anterior</v>
      </c>
      <c r="C65" t="s">
        <v>8</v>
      </c>
      <c r="D65" t="s">
        <v>10</v>
      </c>
      <c r="E65" t="s">
        <v>49</v>
      </c>
      <c r="F65" t="s">
        <v>48</v>
      </c>
      <c r="G65" t="s">
        <v>24</v>
      </c>
      <c r="H65" t="s">
        <v>56</v>
      </c>
      <c r="I65" t="s">
        <v>11</v>
      </c>
      <c r="J65" t="s">
        <v>31</v>
      </c>
      <c r="K65" t="s">
        <v>12</v>
      </c>
      <c r="L65" t="s">
        <v>33</v>
      </c>
      <c r="M65">
        <v>1</v>
      </c>
    </row>
    <row r="66" spans="1:13" x14ac:dyDescent="0.35">
      <c r="A66" s="2">
        <v>46268</v>
      </c>
      <c r="B66" s="1" t="str">
        <f ca="1">IF(Información1[[#This Row],[Fecha]]='Ajuste de fechas'!$A$2,"Día actual","Día anterior")</f>
        <v>Día anterior</v>
      </c>
      <c r="C66" t="s">
        <v>8</v>
      </c>
      <c r="D66" t="s">
        <v>10</v>
      </c>
      <c r="E66" t="s">
        <v>43</v>
      </c>
      <c r="F66" t="s">
        <v>41</v>
      </c>
      <c r="G66" t="s">
        <v>24</v>
      </c>
      <c r="H66" t="s">
        <v>56</v>
      </c>
      <c r="I66" t="s">
        <v>11</v>
      </c>
      <c r="J66" t="s">
        <v>21</v>
      </c>
      <c r="K66" t="s">
        <v>12</v>
      </c>
      <c r="L66" t="s">
        <v>33</v>
      </c>
      <c r="M66">
        <v>1</v>
      </c>
    </row>
    <row r="67" spans="1:13" x14ac:dyDescent="0.35">
      <c r="A67" s="2">
        <v>46268</v>
      </c>
      <c r="B67" s="1" t="str">
        <f ca="1">IF(Información1[[#This Row],[Fecha]]='Ajuste de fechas'!$A$2,"Día actual","Día anterior")</f>
        <v>Día anterior</v>
      </c>
      <c r="C67" t="s">
        <v>8</v>
      </c>
      <c r="D67" t="s">
        <v>10</v>
      </c>
      <c r="E67" t="s">
        <v>17</v>
      </c>
      <c r="F67" t="s">
        <v>16</v>
      </c>
      <c r="G67" t="s">
        <v>24</v>
      </c>
      <c r="H67" t="s">
        <v>56</v>
      </c>
      <c r="I67" t="s">
        <v>11</v>
      </c>
      <c r="J67" t="s">
        <v>35</v>
      </c>
      <c r="K67" t="s">
        <v>12</v>
      </c>
      <c r="L67" t="s">
        <v>33</v>
      </c>
      <c r="M67">
        <v>1</v>
      </c>
    </row>
    <row r="68" spans="1:13" x14ac:dyDescent="0.35">
      <c r="A68" s="2">
        <v>46268</v>
      </c>
      <c r="B68" s="1" t="str">
        <f ca="1">IF(Información1[[#This Row],[Fecha]]='Ajuste de fechas'!$A$2,"Día actual","Día anterior")</f>
        <v>Día anterior</v>
      </c>
      <c r="C68" t="s">
        <v>8</v>
      </c>
      <c r="D68" t="s">
        <v>10</v>
      </c>
      <c r="E68" t="s">
        <v>15</v>
      </c>
      <c r="F68" t="s">
        <v>16</v>
      </c>
      <c r="G68" t="s">
        <v>24</v>
      </c>
      <c r="H68" t="s">
        <v>56</v>
      </c>
      <c r="I68" t="s">
        <v>11</v>
      </c>
      <c r="J68" t="s">
        <v>35</v>
      </c>
      <c r="K68" t="s">
        <v>12</v>
      </c>
      <c r="L68" t="s">
        <v>33</v>
      </c>
      <c r="M68">
        <v>1</v>
      </c>
    </row>
    <row r="69" spans="1:13" x14ac:dyDescent="0.35">
      <c r="A69" s="2">
        <v>46268</v>
      </c>
      <c r="B69" s="1" t="str">
        <f ca="1">IF(Información1[[#This Row],[Fecha]]='Ajuste de fechas'!$A$2,"Día actual","Día anterior")</f>
        <v>Día anterior</v>
      </c>
      <c r="C69" t="s">
        <v>8</v>
      </c>
      <c r="D69" t="s">
        <v>10</v>
      </c>
      <c r="E69" t="s">
        <v>196</v>
      </c>
      <c r="F69" t="s">
        <v>16</v>
      </c>
      <c r="G69" t="s">
        <v>50</v>
      </c>
      <c r="H69" t="s">
        <v>56</v>
      </c>
      <c r="I69" t="s">
        <v>7</v>
      </c>
      <c r="J69" t="s">
        <v>35</v>
      </c>
      <c r="K69" t="s">
        <v>12</v>
      </c>
      <c r="L69" t="s">
        <v>42</v>
      </c>
      <c r="M69">
        <v>1</v>
      </c>
    </row>
    <row r="70" spans="1:13" x14ac:dyDescent="0.35">
      <c r="A70" s="2">
        <v>46268</v>
      </c>
      <c r="B70" s="1" t="str">
        <f ca="1">IF(Información1[[#This Row],[Fecha]]='Ajuste de fechas'!$A$2,"Día actual","Día anterior")</f>
        <v>Día anterior</v>
      </c>
      <c r="C70" t="s">
        <v>8</v>
      </c>
      <c r="D70" t="s">
        <v>10</v>
      </c>
      <c r="E70" t="s">
        <v>197</v>
      </c>
      <c r="F70" t="s">
        <v>198</v>
      </c>
      <c r="G70" t="s">
        <v>199</v>
      </c>
      <c r="H70" t="s">
        <v>56</v>
      </c>
      <c r="I70" t="s">
        <v>7</v>
      </c>
      <c r="J70" t="s">
        <v>31</v>
      </c>
      <c r="K70" t="s">
        <v>9</v>
      </c>
      <c r="L70" t="s">
        <v>33</v>
      </c>
      <c r="M70">
        <v>1</v>
      </c>
    </row>
    <row r="71" spans="1:13" x14ac:dyDescent="0.35">
      <c r="A71" s="2">
        <v>46268</v>
      </c>
      <c r="B71" s="1" t="str">
        <f ca="1">IF(Información1[[#This Row],[Fecha]]='Ajuste de fechas'!$A$2,"Día actual","Día anterior")</f>
        <v>Día anterior</v>
      </c>
      <c r="C71" t="s">
        <v>90</v>
      </c>
      <c r="D71" t="s">
        <v>91</v>
      </c>
      <c r="E71" t="s">
        <v>200</v>
      </c>
      <c r="F71" t="s">
        <v>20</v>
      </c>
      <c r="G71" t="s">
        <v>201</v>
      </c>
      <c r="H71" t="s">
        <v>56</v>
      </c>
      <c r="I71" t="s">
        <v>22</v>
      </c>
      <c r="J71" t="s">
        <v>31</v>
      </c>
      <c r="K71" t="s">
        <v>92</v>
      </c>
      <c r="L71" t="s">
        <v>32</v>
      </c>
      <c r="M71">
        <v>1</v>
      </c>
    </row>
    <row r="72" spans="1:13" x14ac:dyDescent="0.35">
      <c r="A72" s="2">
        <v>46268</v>
      </c>
      <c r="B72" s="1" t="str">
        <f ca="1">IF(Información1[[#This Row],[Fecha]]='Ajuste de fechas'!$A$2,"Día actual","Día anterior")</f>
        <v>Día anterior</v>
      </c>
      <c r="C72" t="s">
        <v>87</v>
      </c>
      <c r="D72" t="s">
        <v>88</v>
      </c>
      <c r="E72" t="s">
        <v>202</v>
      </c>
      <c r="F72" t="s">
        <v>45</v>
      </c>
      <c r="G72" t="s">
        <v>123</v>
      </c>
      <c r="H72" t="s">
        <v>56</v>
      </c>
      <c r="I72" t="s">
        <v>7</v>
      </c>
      <c r="J72" t="s">
        <v>31</v>
      </c>
      <c r="K72" t="s">
        <v>89</v>
      </c>
      <c r="L72" t="s">
        <v>34</v>
      </c>
      <c r="M72">
        <v>1</v>
      </c>
    </row>
    <row r="73" spans="1:13" x14ac:dyDescent="0.35">
      <c r="A73" s="2">
        <v>46268</v>
      </c>
      <c r="B73" s="1" t="str">
        <f ca="1">IF(Información1[[#This Row],[Fecha]]='Ajuste de fechas'!$A$2,"Día actual","Día anterior")</f>
        <v>Día anterior</v>
      </c>
      <c r="C73" t="s">
        <v>90</v>
      </c>
      <c r="D73" t="s">
        <v>91</v>
      </c>
      <c r="E73" t="s">
        <v>203</v>
      </c>
      <c r="F73" t="s">
        <v>45</v>
      </c>
      <c r="G73" t="s">
        <v>123</v>
      </c>
      <c r="H73" t="s">
        <v>56</v>
      </c>
      <c r="I73" t="s">
        <v>7</v>
      </c>
      <c r="J73" t="s">
        <v>31</v>
      </c>
      <c r="K73" t="s">
        <v>92</v>
      </c>
      <c r="L73" t="s">
        <v>32</v>
      </c>
      <c r="M73">
        <v>1</v>
      </c>
    </row>
    <row r="74" spans="1:13" x14ac:dyDescent="0.35">
      <c r="A74" s="2">
        <v>46268</v>
      </c>
      <c r="B74" s="1" t="str">
        <f ca="1">IF(Información1[[#This Row],[Fecha]]='Ajuste de fechas'!$A$2,"Día actual","Día anterior")</f>
        <v>Día anterior</v>
      </c>
      <c r="C74" t="s">
        <v>84</v>
      </c>
      <c r="D74" t="s">
        <v>85</v>
      </c>
      <c r="E74" t="s">
        <v>204</v>
      </c>
      <c r="F74" t="s">
        <v>45</v>
      </c>
      <c r="G74" t="s">
        <v>123</v>
      </c>
      <c r="H74" t="s">
        <v>56</v>
      </c>
      <c r="I74" t="s">
        <v>7</v>
      </c>
      <c r="J74" t="s">
        <v>31</v>
      </c>
      <c r="K74" t="s">
        <v>86</v>
      </c>
      <c r="L74" t="s">
        <v>32</v>
      </c>
      <c r="M74">
        <v>1</v>
      </c>
    </row>
    <row r="75" spans="1:13" x14ac:dyDescent="0.35">
      <c r="A75" s="2">
        <v>46268</v>
      </c>
      <c r="B75" s="1" t="str">
        <f ca="1">IF(Información1[[#This Row],[Fecha]]='Ajuste de fechas'!$A$2,"Día actual","Día anterior")</f>
        <v>Día anterior</v>
      </c>
      <c r="C75" t="s">
        <v>8</v>
      </c>
      <c r="D75" t="s">
        <v>10</v>
      </c>
      <c r="E75" t="s">
        <v>205</v>
      </c>
      <c r="F75" t="s">
        <v>41</v>
      </c>
      <c r="G75" t="s">
        <v>206</v>
      </c>
      <c r="H75" t="s">
        <v>56</v>
      </c>
      <c r="I75" t="s">
        <v>11</v>
      </c>
      <c r="J75" t="s">
        <v>21</v>
      </c>
      <c r="K75" t="s">
        <v>9</v>
      </c>
      <c r="L75" t="s">
        <v>33</v>
      </c>
      <c r="M75">
        <v>1</v>
      </c>
    </row>
    <row r="76" spans="1:13" x14ac:dyDescent="0.35">
      <c r="A76" s="2">
        <v>46268</v>
      </c>
      <c r="B76" s="1" t="str">
        <f ca="1">IF(Información1[[#This Row],[Fecha]]='Ajuste de fechas'!$A$2,"Día actual","Día anterior")</f>
        <v>Día anterior</v>
      </c>
      <c r="C76" t="s">
        <v>8</v>
      </c>
      <c r="D76" t="s">
        <v>10</v>
      </c>
      <c r="E76" t="s">
        <v>207</v>
      </c>
      <c r="F76" t="s">
        <v>6</v>
      </c>
      <c r="G76" t="s">
        <v>208</v>
      </c>
      <c r="H76" t="s">
        <v>56</v>
      </c>
      <c r="I76" t="s">
        <v>22</v>
      </c>
      <c r="J76" t="s">
        <v>31</v>
      </c>
      <c r="K76" t="s">
        <v>9</v>
      </c>
      <c r="L76" t="s">
        <v>33</v>
      </c>
      <c r="M76">
        <v>1</v>
      </c>
    </row>
    <row r="77" spans="1:13" x14ac:dyDescent="0.35">
      <c r="A77" s="2">
        <v>46268</v>
      </c>
      <c r="B77" s="1" t="str">
        <f ca="1">IF(Información1[[#This Row],[Fecha]]='Ajuste de fechas'!$A$2,"Día actual","Día anterior")</f>
        <v>Día anterior</v>
      </c>
      <c r="C77" t="s">
        <v>90</v>
      </c>
      <c r="D77" t="s">
        <v>91</v>
      </c>
      <c r="E77" t="s">
        <v>209</v>
      </c>
      <c r="F77" t="s">
        <v>16</v>
      </c>
      <c r="G77" t="s">
        <v>210</v>
      </c>
      <c r="H77" t="s">
        <v>56</v>
      </c>
      <c r="I77" t="s">
        <v>22</v>
      </c>
      <c r="J77" t="s">
        <v>35</v>
      </c>
      <c r="K77" t="s">
        <v>92</v>
      </c>
      <c r="L77" t="s">
        <v>32</v>
      </c>
      <c r="M77">
        <v>1</v>
      </c>
    </row>
    <row r="78" spans="1:13" x14ac:dyDescent="0.35">
      <c r="A78" s="2">
        <v>46268</v>
      </c>
      <c r="B78" s="1" t="str">
        <f ca="1">IF(Información1[[#This Row],[Fecha]]='Ajuste de fechas'!$A$2,"Día actual","Día anterior")</f>
        <v>Día anterior</v>
      </c>
      <c r="C78" t="s">
        <v>90</v>
      </c>
      <c r="D78" t="s">
        <v>91</v>
      </c>
      <c r="E78" t="s">
        <v>211</v>
      </c>
      <c r="F78" t="s">
        <v>41</v>
      </c>
      <c r="G78" t="s">
        <v>54</v>
      </c>
      <c r="H78" t="s">
        <v>56</v>
      </c>
      <c r="I78" t="s">
        <v>7</v>
      </c>
      <c r="J78" t="s">
        <v>21</v>
      </c>
      <c r="K78" t="s">
        <v>92</v>
      </c>
      <c r="L78" t="s">
        <v>32</v>
      </c>
      <c r="M78">
        <v>1</v>
      </c>
    </row>
    <row r="79" spans="1:13" x14ac:dyDescent="0.35">
      <c r="A79" s="2">
        <v>46268</v>
      </c>
      <c r="B79" s="1" t="str">
        <f ca="1">IF(Información1[[#This Row],[Fecha]]='Ajuste de fechas'!$A$2,"Día actual","Día anterior")</f>
        <v>Día anterior</v>
      </c>
      <c r="C79" t="s">
        <v>8</v>
      </c>
      <c r="D79" t="s">
        <v>10</v>
      </c>
      <c r="E79" t="s">
        <v>212</v>
      </c>
      <c r="F79" t="s">
        <v>41</v>
      </c>
      <c r="G79" t="s">
        <v>213</v>
      </c>
      <c r="H79" t="s">
        <v>56</v>
      </c>
      <c r="I79" t="s">
        <v>7</v>
      </c>
      <c r="J79" t="s">
        <v>21</v>
      </c>
      <c r="K79" t="s">
        <v>12</v>
      </c>
      <c r="L79" t="s">
        <v>42</v>
      </c>
      <c r="M79">
        <v>1</v>
      </c>
    </row>
    <row r="80" spans="1:13" x14ac:dyDescent="0.35">
      <c r="A80" s="2">
        <v>46268</v>
      </c>
      <c r="B80" s="1" t="str">
        <f ca="1">IF(Información1[[#This Row],[Fecha]]='Ajuste de fechas'!$A$2,"Día actual","Día anterior")</f>
        <v>Día anterior</v>
      </c>
      <c r="C80" t="s">
        <v>90</v>
      </c>
      <c r="D80" t="s">
        <v>91</v>
      </c>
      <c r="E80" t="s">
        <v>214</v>
      </c>
      <c r="F80" t="s">
        <v>53</v>
      </c>
      <c r="G80" t="s">
        <v>215</v>
      </c>
      <c r="H80" t="s">
        <v>56</v>
      </c>
      <c r="I80" t="s">
        <v>7</v>
      </c>
      <c r="J80" t="s">
        <v>31</v>
      </c>
      <c r="K80" t="s">
        <v>92</v>
      </c>
      <c r="L80" t="s">
        <v>32</v>
      </c>
      <c r="M80">
        <v>1</v>
      </c>
    </row>
    <row r="81" spans="1:13" x14ac:dyDescent="0.35">
      <c r="A81" s="2">
        <v>46268</v>
      </c>
      <c r="B81" s="1" t="str">
        <f ca="1">IF(Información1[[#This Row],[Fecha]]='Ajuste de fechas'!$A$2,"Día actual","Día anterior")</f>
        <v>Día anterior</v>
      </c>
      <c r="C81" t="s">
        <v>8</v>
      </c>
      <c r="D81" t="s">
        <v>10</v>
      </c>
      <c r="E81" t="s">
        <v>216</v>
      </c>
      <c r="F81" t="s">
        <v>16</v>
      </c>
      <c r="G81" t="s">
        <v>217</v>
      </c>
      <c r="H81" t="s">
        <v>56</v>
      </c>
      <c r="I81" t="s">
        <v>22</v>
      </c>
      <c r="J81" t="s">
        <v>35</v>
      </c>
      <c r="K81" t="s">
        <v>9</v>
      </c>
      <c r="L81" t="s">
        <v>33</v>
      </c>
      <c r="M81">
        <v>1</v>
      </c>
    </row>
    <row r="82" spans="1:13" x14ac:dyDescent="0.35">
      <c r="A82" s="2">
        <v>46268</v>
      </c>
      <c r="B82" s="1" t="str">
        <f ca="1">IF(Información1[[#This Row],[Fecha]]='Ajuste de fechas'!$A$2,"Día actual","Día anterior")</f>
        <v>Día anterior</v>
      </c>
      <c r="C82" t="s">
        <v>8</v>
      </c>
      <c r="D82" t="s">
        <v>10</v>
      </c>
      <c r="E82" t="s">
        <v>218</v>
      </c>
      <c r="F82" t="s">
        <v>93</v>
      </c>
      <c r="G82" t="s">
        <v>121</v>
      </c>
      <c r="H82" t="s">
        <v>56</v>
      </c>
      <c r="I82" t="s">
        <v>7</v>
      </c>
      <c r="J82" t="s">
        <v>31</v>
      </c>
      <c r="K82" t="s">
        <v>12</v>
      </c>
      <c r="L82" t="s">
        <v>32</v>
      </c>
      <c r="M82">
        <v>1</v>
      </c>
    </row>
    <row r="83" spans="1:13" x14ac:dyDescent="0.35">
      <c r="A83" s="2">
        <v>46268</v>
      </c>
      <c r="B83" s="1" t="str">
        <f ca="1">IF(Información1[[#This Row],[Fecha]]='Ajuste de fechas'!$A$2,"Día actual","Día anterior")</f>
        <v>Día anterior</v>
      </c>
      <c r="C83" t="s">
        <v>90</v>
      </c>
      <c r="D83" t="s">
        <v>91</v>
      </c>
      <c r="E83" t="s">
        <v>219</v>
      </c>
      <c r="F83" t="s">
        <v>18</v>
      </c>
      <c r="G83" t="s">
        <v>154</v>
      </c>
      <c r="H83" t="s">
        <v>56</v>
      </c>
      <c r="I83" t="s">
        <v>7</v>
      </c>
      <c r="J83" t="s">
        <v>31</v>
      </c>
      <c r="K83" t="s">
        <v>92</v>
      </c>
      <c r="L83" t="s">
        <v>32</v>
      </c>
      <c r="M83">
        <v>1</v>
      </c>
    </row>
    <row r="84" spans="1:13" x14ac:dyDescent="0.35">
      <c r="A84" s="2">
        <v>46268</v>
      </c>
      <c r="B84" s="1" t="str">
        <f ca="1">IF(Información1[[#This Row],[Fecha]]='Ajuste de fechas'!$A$2,"Día actual","Día anterior")</f>
        <v>Día anterior</v>
      </c>
      <c r="C84" t="s">
        <v>8</v>
      </c>
      <c r="D84" t="s">
        <v>10</v>
      </c>
      <c r="E84" t="s">
        <v>124</v>
      </c>
      <c r="F84" t="s">
        <v>75</v>
      </c>
      <c r="G84" t="s">
        <v>125</v>
      </c>
      <c r="H84" t="s">
        <v>56</v>
      </c>
      <c r="I84" t="s">
        <v>7</v>
      </c>
      <c r="J84" t="s">
        <v>31</v>
      </c>
      <c r="K84" t="s">
        <v>12</v>
      </c>
      <c r="L84" t="s">
        <v>34</v>
      </c>
      <c r="M84">
        <v>1</v>
      </c>
    </row>
    <row r="85" spans="1:13" x14ac:dyDescent="0.35">
      <c r="A85" s="2">
        <v>46268</v>
      </c>
      <c r="B85" s="1" t="str">
        <f ca="1">IF(Información1[[#This Row],[Fecha]]='Ajuste de fechas'!$A$2,"Día actual","Día anterior")</f>
        <v>Día anterior</v>
      </c>
      <c r="C85" t="s">
        <v>90</v>
      </c>
      <c r="D85" t="s">
        <v>91</v>
      </c>
      <c r="E85" t="s">
        <v>220</v>
      </c>
      <c r="F85" t="s">
        <v>75</v>
      </c>
      <c r="G85" t="s">
        <v>125</v>
      </c>
      <c r="H85" t="s">
        <v>56</v>
      </c>
      <c r="I85" t="s">
        <v>7</v>
      </c>
      <c r="J85" t="s">
        <v>31</v>
      </c>
      <c r="K85" t="s">
        <v>92</v>
      </c>
      <c r="L85" t="s">
        <v>32</v>
      </c>
      <c r="M85">
        <v>1</v>
      </c>
    </row>
    <row r="86" spans="1:13" x14ac:dyDescent="0.35">
      <c r="A86" s="2">
        <v>46268</v>
      </c>
      <c r="B86" s="1" t="str">
        <f ca="1">IF(Información1[[#This Row],[Fecha]]='Ajuste de fechas'!$A$2,"Día actual","Día anterior")</f>
        <v>Día anterior</v>
      </c>
      <c r="C86" t="s">
        <v>8</v>
      </c>
      <c r="D86" t="s">
        <v>10</v>
      </c>
      <c r="E86" t="s">
        <v>221</v>
      </c>
      <c r="F86" t="s">
        <v>19</v>
      </c>
      <c r="G86" t="s">
        <v>222</v>
      </c>
      <c r="H86" t="s">
        <v>56</v>
      </c>
      <c r="I86" t="s">
        <v>7</v>
      </c>
      <c r="J86" t="s">
        <v>36</v>
      </c>
      <c r="K86" t="s">
        <v>12</v>
      </c>
      <c r="L86" t="s">
        <v>32</v>
      </c>
      <c r="M86">
        <v>1</v>
      </c>
    </row>
    <row r="87" spans="1:13" x14ac:dyDescent="0.35">
      <c r="A87" s="2">
        <v>46268</v>
      </c>
      <c r="B87" s="1" t="str">
        <f ca="1">IF(Información1[[#This Row],[Fecha]]='Ajuste de fechas'!$A$2,"Día actual","Día anterior")</f>
        <v>Día anterior</v>
      </c>
      <c r="C87" t="s">
        <v>8</v>
      </c>
      <c r="D87" t="s">
        <v>10</v>
      </c>
      <c r="E87" t="s">
        <v>223</v>
      </c>
      <c r="F87" t="s">
        <v>16</v>
      </c>
      <c r="G87" t="s">
        <v>224</v>
      </c>
      <c r="H87" t="s">
        <v>56</v>
      </c>
      <c r="I87" t="s">
        <v>7</v>
      </c>
      <c r="J87" t="s">
        <v>35</v>
      </c>
      <c r="K87" t="s">
        <v>12</v>
      </c>
      <c r="L87" t="s">
        <v>32</v>
      </c>
      <c r="M87">
        <v>1</v>
      </c>
    </row>
    <row r="88" spans="1:13" x14ac:dyDescent="0.35">
      <c r="A88" s="2">
        <v>46268</v>
      </c>
      <c r="B88" s="1" t="str">
        <f ca="1">IF(Información1[[#This Row],[Fecha]]='Ajuste de fechas'!$A$2,"Día actual","Día anterior")</f>
        <v>Día anterior</v>
      </c>
      <c r="C88" t="s">
        <v>8</v>
      </c>
      <c r="D88" t="s">
        <v>10</v>
      </c>
      <c r="E88" t="s">
        <v>225</v>
      </c>
      <c r="F88" t="s">
        <v>18</v>
      </c>
      <c r="G88" t="s">
        <v>55</v>
      </c>
      <c r="H88" t="s">
        <v>56</v>
      </c>
      <c r="I88" t="s">
        <v>22</v>
      </c>
      <c r="J88" t="s">
        <v>31</v>
      </c>
      <c r="K88" t="s">
        <v>9</v>
      </c>
      <c r="L88" t="s">
        <v>33</v>
      </c>
      <c r="M88">
        <v>1</v>
      </c>
    </row>
    <row r="89" spans="1:13" x14ac:dyDescent="0.35">
      <c r="A89" s="2">
        <v>46268</v>
      </c>
      <c r="B89" s="1" t="str">
        <f ca="1">IF(Información1[[#This Row],[Fecha]]='Ajuste de fechas'!$A$2,"Día actual","Día anterior")</f>
        <v>Día anterior</v>
      </c>
      <c r="C89" t="s">
        <v>90</v>
      </c>
      <c r="D89" t="s">
        <v>91</v>
      </c>
      <c r="E89" t="s">
        <v>226</v>
      </c>
      <c r="F89" t="s">
        <v>110</v>
      </c>
      <c r="G89" t="s">
        <v>111</v>
      </c>
      <c r="H89" t="s">
        <v>56</v>
      </c>
      <c r="I89" t="s">
        <v>7</v>
      </c>
      <c r="J89" t="s">
        <v>31</v>
      </c>
      <c r="K89" t="s">
        <v>92</v>
      </c>
      <c r="L89" t="s">
        <v>32</v>
      </c>
      <c r="M89">
        <v>1</v>
      </c>
    </row>
    <row r="90" spans="1:13" x14ac:dyDescent="0.35">
      <c r="A90" s="2">
        <v>46268</v>
      </c>
      <c r="B90" s="1" t="str">
        <f ca="1">IF(Información1[[#This Row],[Fecha]]='Ajuste de fechas'!$A$2,"Día actual","Día anterior")</f>
        <v>Día anterior</v>
      </c>
      <c r="C90" t="s">
        <v>8</v>
      </c>
      <c r="D90" t="s">
        <v>10</v>
      </c>
      <c r="E90" t="s">
        <v>109</v>
      </c>
      <c r="F90" t="s">
        <v>110</v>
      </c>
      <c r="G90" t="s">
        <v>111</v>
      </c>
      <c r="H90" t="s">
        <v>56</v>
      </c>
      <c r="I90" t="s">
        <v>7</v>
      </c>
      <c r="J90" t="s">
        <v>31</v>
      </c>
      <c r="K90" t="s">
        <v>12</v>
      </c>
      <c r="L90" t="s">
        <v>34</v>
      </c>
      <c r="M90">
        <v>1</v>
      </c>
    </row>
    <row r="91" spans="1:13" x14ac:dyDescent="0.35">
      <c r="A91" s="2">
        <v>46268</v>
      </c>
      <c r="B91" s="1" t="str">
        <f ca="1">IF(Información1[[#This Row],[Fecha]]='Ajuste de fechas'!$A$2,"Día actual","Día anterior")</f>
        <v>Día anterior</v>
      </c>
      <c r="C91" t="s">
        <v>8</v>
      </c>
      <c r="D91" t="s">
        <v>10</v>
      </c>
      <c r="E91" t="s">
        <v>227</v>
      </c>
      <c r="F91" t="s">
        <v>16</v>
      </c>
      <c r="G91" t="s">
        <v>228</v>
      </c>
      <c r="H91" t="s">
        <v>56</v>
      </c>
      <c r="I91" t="s">
        <v>7</v>
      </c>
      <c r="J91" t="s">
        <v>35</v>
      </c>
      <c r="K91" t="s">
        <v>12</v>
      </c>
      <c r="L91" t="s">
        <v>32</v>
      </c>
      <c r="M91">
        <v>1</v>
      </c>
    </row>
    <row r="92" spans="1:13" x14ac:dyDescent="0.35">
      <c r="A92" s="2">
        <v>46268</v>
      </c>
      <c r="B92" s="1" t="str">
        <f ca="1">IF(Información1[[#This Row],[Fecha]]='Ajuste de fechas'!$A$2,"Día actual","Día anterior")</f>
        <v>Día anterior</v>
      </c>
      <c r="C92" t="s">
        <v>8</v>
      </c>
      <c r="D92" t="s">
        <v>10</v>
      </c>
      <c r="E92" t="s">
        <v>229</v>
      </c>
      <c r="F92" t="s">
        <v>21</v>
      </c>
      <c r="G92" t="s">
        <v>58</v>
      </c>
      <c r="H92" t="s">
        <v>56</v>
      </c>
      <c r="I92" t="s">
        <v>7</v>
      </c>
      <c r="J92" t="s">
        <v>21</v>
      </c>
      <c r="K92" t="s">
        <v>9</v>
      </c>
      <c r="L92" t="s">
        <v>33</v>
      </c>
      <c r="M92">
        <v>1</v>
      </c>
    </row>
    <row r="93" spans="1:13" x14ac:dyDescent="0.35">
      <c r="A93" s="2">
        <v>46268</v>
      </c>
      <c r="B93" s="1" t="str">
        <f ca="1">IF(Información1[[#This Row],[Fecha]]='Ajuste de fechas'!$A$2,"Día actual","Día anterior")</f>
        <v>Día anterior</v>
      </c>
      <c r="C93" t="s">
        <v>90</v>
      </c>
      <c r="D93" t="s">
        <v>91</v>
      </c>
      <c r="E93" t="s">
        <v>230</v>
      </c>
      <c r="F93" t="s">
        <v>16</v>
      </c>
      <c r="G93" t="s">
        <v>58</v>
      </c>
      <c r="H93" t="s">
        <v>56</v>
      </c>
      <c r="I93" t="s">
        <v>7</v>
      </c>
      <c r="J93" t="s">
        <v>35</v>
      </c>
      <c r="K93" t="s">
        <v>92</v>
      </c>
      <c r="L93" t="s">
        <v>32</v>
      </c>
      <c r="M93">
        <v>1</v>
      </c>
    </row>
    <row r="94" spans="1:13" x14ac:dyDescent="0.35">
      <c r="A94" s="2">
        <v>46268</v>
      </c>
      <c r="B94" s="1" t="str">
        <f ca="1">IF(Información1[[#This Row],[Fecha]]='Ajuste de fechas'!$A$2,"Día actual","Día anterior")</f>
        <v>Día anterior</v>
      </c>
      <c r="C94" t="s">
        <v>8</v>
      </c>
      <c r="D94" t="s">
        <v>10</v>
      </c>
      <c r="E94" t="s">
        <v>231</v>
      </c>
      <c r="F94" t="s">
        <v>14</v>
      </c>
      <c r="G94" t="s">
        <v>232</v>
      </c>
      <c r="H94" t="s">
        <v>56</v>
      </c>
      <c r="I94" t="s">
        <v>22</v>
      </c>
      <c r="J94" t="s">
        <v>31</v>
      </c>
      <c r="K94" t="s">
        <v>9</v>
      </c>
      <c r="L94" t="s">
        <v>33</v>
      </c>
      <c r="M94">
        <v>1</v>
      </c>
    </row>
    <row r="95" spans="1:13" x14ac:dyDescent="0.35">
      <c r="A95" s="2">
        <v>46268</v>
      </c>
      <c r="B95" s="1" t="str">
        <f ca="1">IF(Información1[[#This Row],[Fecha]]='Ajuste de fechas'!$A$2,"Día actual","Día anterior")</f>
        <v>Día anterior</v>
      </c>
      <c r="C95" t="s">
        <v>8</v>
      </c>
      <c r="D95" t="s">
        <v>10</v>
      </c>
      <c r="E95" t="s">
        <v>107</v>
      </c>
      <c r="F95" t="s">
        <v>44</v>
      </c>
      <c r="G95" t="s">
        <v>46</v>
      </c>
      <c r="H95" t="s">
        <v>56</v>
      </c>
      <c r="I95" t="s">
        <v>7</v>
      </c>
      <c r="J95" t="s">
        <v>31</v>
      </c>
      <c r="K95" t="s">
        <v>12</v>
      </c>
      <c r="L95" t="s">
        <v>34</v>
      </c>
      <c r="M95">
        <v>1</v>
      </c>
    </row>
    <row r="96" spans="1:13" x14ac:dyDescent="0.35">
      <c r="A96" s="2">
        <v>46268</v>
      </c>
      <c r="B96" s="1" t="str">
        <f ca="1">IF(Información1[[#This Row],[Fecha]]='Ajuste de fechas'!$A$2,"Día actual","Día anterior")</f>
        <v>Día anterior</v>
      </c>
      <c r="C96" t="s">
        <v>90</v>
      </c>
      <c r="D96" t="s">
        <v>91</v>
      </c>
      <c r="E96" t="s">
        <v>233</v>
      </c>
      <c r="F96" t="s">
        <v>44</v>
      </c>
      <c r="G96" t="s">
        <v>46</v>
      </c>
      <c r="H96" t="s">
        <v>56</v>
      </c>
      <c r="I96" t="s">
        <v>7</v>
      </c>
      <c r="J96" t="s">
        <v>31</v>
      </c>
      <c r="K96" t="s">
        <v>92</v>
      </c>
      <c r="L96" t="s">
        <v>32</v>
      </c>
      <c r="M96">
        <v>1</v>
      </c>
    </row>
    <row r="97" spans="1:13" x14ac:dyDescent="0.35">
      <c r="A97" s="2">
        <v>46268</v>
      </c>
      <c r="B97" s="1" t="str">
        <f ca="1">IF(Información1[[#This Row],[Fecha]]='Ajuste de fechas'!$A$2,"Día actual","Día anterior")</f>
        <v>Día anterior</v>
      </c>
      <c r="C97" t="s">
        <v>90</v>
      </c>
      <c r="D97" t="s">
        <v>91</v>
      </c>
      <c r="E97" t="s">
        <v>234</v>
      </c>
      <c r="F97" t="s">
        <v>16</v>
      </c>
      <c r="G97" t="s">
        <v>235</v>
      </c>
      <c r="H97" t="s">
        <v>56</v>
      </c>
      <c r="I97" t="s">
        <v>7</v>
      </c>
      <c r="J97" t="s">
        <v>35</v>
      </c>
      <c r="K97" t="s">
        <v>92</v>
      </c>
      <c r="L97" t="s">
        <v>32</v>
      </c>
      <c r="M97">
        <v>1</v>
      </c>
    </row>
    <row r="98" spans="1:13" x14ac:dyDescent="0.35">
      <c r="A98" s="2">
        <v>46268</v>
      </c>
      <c r="B98" s="1" t="str">
        <f ca="1">IF(Información1[[#This Row],[Fecha]]='Ajuste de fechas'!$A$2,"Día actual","Día anterior")</f>
        <v>Día anterior</v>
      </c>
      <c r="C98" t="s">
        <v>90</v>
      </c>
      <c r="D98" t="s">
        <v>91</v>
      </c>
      <c r="E98" t="s">
        <v>236</v>
      </c>
      <c r="F98" t="s">
        <v>18</v>
      </c>
      <c r="G98" t="s">
        <v>237</v>
      </c>
      <c r="H98" t="s">
        <v>56</v>
      </c>
      <c r="I98" t="s">
        <v>94</v>
      </c>
      <c r="J98" t="s">
        <v>31</v>
      </c>
      <c r="K98" t="s">
        <v>92</v>
      </c>
      <c r="L98" t="s">
        <v>32</v>
      </c>
      <c r="M98">
        <v>1</v>
      </c>
    </row>
    <row r="99" spans="1:13" x14ac:dyDescent="0.35">
      <c r="A99" s="2">
        <v>46268</v>
      </c>
      <c r="B99" s="1" t="str">
        <f ca="1">IF(Información1[[#This Row],[Fecha]]='Ajuste de fechas'!$A$2,"Día actual","Día anterior")</f>
        <v>Día anterior</v>
      </c>
      <c r="C99" t="s">
        <v>8</v>
      </c>
      <c r="D99" t="s">
        <v>10</v>
      </c>
      <c r="E99" t="s">
        <v>238</v>
      </c>
      <c r="F99" t="s">
        <v>16</v>
      </c>
      <c r="G99" t="s">
        <v>65</v>
      </c>
      <c r="H99" t="s">
        <v>56</v>
      </c>
      <c r="I99" t="s">
        <v>7</v>
      </c>
      <c r="J99" t="s">
        <v>35</v>
      </c>
      <c r="K99" t="s">
        <v>9</v>
      </c>
      <c r="L99" t="s">
        <v>33</v>
      </c>
      <c r="M99">
        <v>1</v>
      </c>
    </row>
    <row r="100" spans="1:13" x14ac:dyDescent="0.35">
      <c r="A100" s="2">
        <v>46269</v>
      </c>
      <c r="B100" s="1" t="str">
        <f ca="1">IF(Información1[[#This Row],[Fecha]]='Ajuste de fechas'!$A$2,"Día actual","Día anterior")</f>
        <v>Día actual</v>
      </c>
      <c r="C100" t="s">
        <v>105</v>
      </c>
      <c r="D100" t="s">
        <v>106</v>
      </c>
      <c r="E100" t="s">
        <v>239</v>
      </c>
      <c r="F100" t="s">
        <v>23</v>
      </c>
      <c r="G100" t="s">
        <v>54</v>
      </c>
      <c r="H100" t="s">
        <v>56</v>
      </c>
      <c r="I100" t="s">
        <v>7</v>
      </c>
      <c r="J100" t="s">
        <v>31</v>
      </c>
      <c r="K100" t="s">
        <v>108</v>
      </c>
      <c r="L100" t="s">
        <v>33</v>
      </c>
      <c r="M100">
        <v>1</v>
      </c>
    </row>
    <row r="101" spans="1:13" x14ac:dyDescent="0.35">
      <c r="A101" s="2">
        <v>46269</v>
      </c>
      <c r="B101" s="1" t="str">
        <f ca="1">IF(Información1[[#This Row],[Fecha]]='Ajuste de fechas'!$A$2,"Día actual","Día anterior")</f>
        <v>Día actual</v>
      </c>
      <c r="C101" t="s">
        <v>90</v>
      </c>
      <c r="D101" t="s">
        <v>240</v>
      </c>
      <c r="E101" t="s">
        <v>241</v>
      </c>
      <c r="F101" t="s">
        <v>23</v>
      </c>
      <c r="G101" t="s">
        <v>54</v>
      </c>
      <c r="H101" t="s">
        <v>56</v>
      </c>
      <c r="I101" t="s">
        <v>7</v>
      </c>
      <c r="J101" t="s">
        <v>31</v>
      </c>
      <c r="K101" t="s">
        <v>242</v>
      </c>
      <c r="L101" t="s">
        <v>32</v>
      </c>
      <c r="M101">
        <v>1</v>
      </c>
    </row>
    <row r="102" spans="1:13" x14ac:dyDescent="0.35">
      <c r="A102" s="2">
        <v>46269</v>
      </c>
      <c r="B102" s="1" t="str">
        <f ca="1">IF(Información1[[#This Row],[Fecha]]='Ajuste de fechas'!$A$2,"Día actual","Día anterior")</f>
        <v>Día actual</v>
      </c>
      <c r="C102" t="s">
        <v>90</v>
      </c>
      <c r="D102" t="s">
        <v>91</v>
      </c>
      <c r="E102" t="s">
        <v>243</v>
      </c>
      <c r="F102" t="s">
        <v>16</v>
      </c>
      <c r="G102" t="s">
        <v>244</v>
      </c>
      <c r="H102" t="s">
        <v>56</v>
      </c>
      <c r="I102" t="s">
        <v>94</v>
      </c>
      <c r="J102" t="s">
        <v>35</v>
      </c>
      <c r="K102" t="s">
        <v>92</v>
      </c>
      <c r="L102" t="s">
        <v>32</v>
      </c>
      <c r="M102">
        <v>1</v>
      </c>
    </row>
    <row r="103" spans="1:13" x14ac:dyDescent="0.35">
      <c r="A103" s="2">
        <v>46269</v>
      </c>
      <c r="B103" s="1" t="str">
        <f ca="1">IF(Información1[[#This Row],[Fecha]]='Ajuste de fechas'!$A$2,"Día actual","Día anterior")</f>
        <v>Día actual</v>
      </c>
      <c r="C103" t="s">
        <v>90</v>
      </c>
      <c r="D103" t="s">
        <v>91</v>
      </c>
      <c r="E103" t="s">
        <v>245</v>
      </c>
      <c r="F103" t="s">
        <v>16</v>
      </c>
      <c r="G103" t="s">
        <v>246</v>
      </c>
      <c r="H103" t="s">
        <v>56</v>
      </c>
      <c r="I103" t="s">
        <v>94</v>
      </c>
      <c r="J103" t="s">
        <v>35</v>
      </c>
      <c r="K103" t="s">
        <v>92</v>
      </c>
      <c r="L103" t="s">
        <v>32</v>
      </c>
      <c r="M103">
        <v>1</v>
      </c>
    </row>
    <row r="104" spans="1:13" x14ac:dyDescent="0.35">
      <c r="A104" s="2">
        <v>46269</v>
      </c>
      <c r="B104" s="1" t="str">
        <f ca="1">IF(Información1[[#This Row],[Fecha]]='Ajuste de fechas'!$A$2,"Día actual","Día anterior")</f>
        <v>Día actual</v>
      </c>
      <c r="C104" t="s">
        <v>90</v>
      </c>
      <c r="D104" t="s">
        <v>91</v>
      </c>
      <c r="E104" t="s">
        <v>247</v>
      </c>
      <c r="F104" t="s">
        <v>67</v>
      </c>
      <c r="G104" t="s">
        <v>248</v>
      </c>
      <c r="H104" t="s">
        <v>56</v>
      </c>
      <c r="I104" t="s">
        <v>94</v>
      </c>
      <c r="J104" t="s">
        <v>77</v>
      </c>
      <c r="K104" t="s">
        <v>92</v>
      </c>
      <c r="L104" t="s">
        <v>32</v>
      </c>
      <c r="M104">
        <v>1</v>
      </c>
    </row>
    <row r="105" spans="1:13" x14ac:dyDescent="0.35">
      <c r="A105" s="2">
        <v>46269</v>
      </c>
      <c r="B105" s="1" t="str">
        <f ca="1">IF(Información1[[#This Row],[Fecha]]='Ajuste de fechas'!$A$2,"Día actual","Día anterior")</f>
        <v>Día actual</v>
      </c>
      <c r="C105" t="s">
        <v>90</v>
      </c>
      <c r="D105" t="s">
        <v>91</v>
      </c>
      <c r="E105" t="s">
        <v>249</v>
      </c>
      <c r="F105" t="s">
        <v>67</v>
      </c>
      <c r="G105" t="s">
        <v>76</v>
      </c>
      <c r="H105" t="s">
        <v>56</v>
      </c>
      <c r="I105" t="s">
        <v>94</v>
      </c>
      <c r="J105" t="s">
        <v>77</v>
      </c>
      <c r="K105" t="s">
        <v>92</v>
      </c>
      <c r="L105" t="s">
        <v>32</v>
      </c>
      <c r="M105">
        <v>1</v>
      </c>
    </row>
    <row r="106" spans="1:13" x14ac:dyDescent="0.35">
      <c r="A106" s="2">
        <v>46269</v>
      </c>
      <c r="B106" s="1" t="str">
        <f ca="1">IF(Información1[[#This Row],[Fecha]]='Ajuste de fechas'!$A$2,"Día actual","Día anterior")</f>
        <v>Día actual</v>
      </c>
      <c r="C106" t="s">
        <v>90</v>
      </c>
      <c r="D106" t="s">
        <v>91</v>
      </c>
      <c r="E106" t="s">
        <v>250</v>
      </c>
      <c r="F106" t="s">
        <v>44</v>
      </c>
      <c r="G106" t="s">
        <v>251</v>
      </c>
      <c r="H106" t="s">
        <v>56</v>
      </c>
      <c r="I106" t="s">
        <v>7</v>
      </c>
      <c r="J106" t="s">
        <v>31</v>
      </c>
      <c r="K106" t="s">
        <v>92</v>
      </c>
      <c r="L106" t="s">
        <v>32</v>
      </c>
      <c r="M106">
        <v>1</v>
      </c>
    </row>
    <row r="107" spans="1:13" x14ac:dyDescent="0.35">
      <c r="A107" s="2">
        <v>46269</v>
      </c>
      <c r="B107" s="1" t="str">
        <f ca="1">IF(Información1[[#This Row],[Fecha]]='Ajuste de fechas'!$A$2,"Día actual","Día anterior")</f>
        <v>Día actual</v>
      </c>
      <c r="C107" t="s">
        <v>90</v>
      </c>
      <c r="D107" t="s">
        <v>91</v>
      </c>
      <c r="E107" t="s">
        <v>252</v>
      </c>
      <c r="F107" t="s">
        <v>198</v>
      </c>
      <c r="G107" t="s">
        <v>253</v>
      </c>
      <c r="H107" t="s">
        <v>56</v>
      </c>
      <c r="I107" t="s">
        <v>7</v>
      </c>
      <c r="J107" t="s">
        <v>31</v>
      </c>
      <c r="K107" t="s">
        <v>92</v>
      </c>
      <c r="L107" t="s">
        <v>32</v>
      </c>
      <c r="M107">
        <v>1</v>
      </c>
    </row>
    <row r="108" spans="1:13" x14ac:dyDescent="0.35">
      <c r="A108" s="2">
        <v>46269</v>
      </c>
      <c r="B108" s="1" t="str">
        <f ca="1">IF(Información1[[#This Row],[Fecha]]='Ajuste de fechas'!$A$2,"Día actual","Día anterior")</f>
        <v>Día actual</v>
      </c>
      <c r="C108" t="s">
        <v>90</v>
      </c>
      <c r="D108" t="s">
        <v>91</v>
      </c>
      <c r="E108" t="s">
        <v>254</v>
      </c>
      <c r="F108" t="s">
        <v>75</v>
      </c>
      <c r="G108" t="s">
        <v>255</v>
      </c>
      <c r="H108" t="s">
        <v>56</v>
      </c>
      <c r="I108" t="s">
        <v>7</v>
      </c>
      <c r="J108" t="s">
        <v>31</v>
      </c>
      <c r="K108" t="s">
        <v>92</v>
      </c>
      <c r="L108" t="s">
        <v>32</v>
      </c>
      <c r="M108">
        <v>1</v>
      </c>
    </row>
    <row r="109" spans="1:13" x14ac:dyDescent="0.35">
      <c r="A109" s="2">
        <v>46269</v>
      </c>
      <c r="B109" s="1" t="str">
        <f ca="1">IF(Información1[[#This Row],[Fecha]]='Ajuste de fechas'!$A$2,"Día actual","Día anterior")</f>
        <v>Día actual</v>
      </c>
      <c r="C109" t="s">
        <v>90</v>
      </c>
      <c r="D109" t="s">
        <v>91</v>
      </c>
      <c r="E109" t="s">
        <v>256</v>
      </c>
      <c r="F109" t="s">
        <v>16</v>
      </c>
      <c r="G109" t="s">
        <v>257</v>
      </c>
      <c r="H109" t="s">
        <v>56</v>
      </c>
      <c r="I109" t="s">
        <v>7</v>
      </c>
      <c r="J109" t="s">
        <v>35</v>
      </c>
      <c r="K109" t="s">
        <v>92</v>
      </c>
      <c r="L109" t="s">
        <v>32</v>
      </c>
      <c r="M109">
        <v>1</v>
      </c>
    </row>
    <row r="110" spans="1:13" x14ac:dyDescent="0.35">
      <c r="A110" s="2">
        <v>46269</v>
      </c>
      <c r="B110" s="1" t="str">
        <f ca="1">IF(Información1[[#This Row],[Fecha]]='Ajuste de fechas'!$A$2,"Día actual","Día anterior")</f>
        <v>Día actual</v>
      </c>
      <c r="C110" t="s">
        <v>90</v>
      </c>
      <c r="D110" t="s">
        <v>91</v>
      </c>
      <c r="E110" t="s">
        <v>258</v>
      </c>
      <c r="F110" t="s">
        <v>19</v>
      </c>
      <c r="G110" t="s">
        <v>208</v>
      </c>
      <c r="H110" t="s">
        <v>56</v>
      </c>
      <c r="I110" t="s">
        <v>7</v>
      </c>
      <c r="J110" t="s">
        <v>36</v>
      </c>
      <c r="K110" t="s">
        <v>92</v>
      </c>
      <c r="L110" t="s">
        <v>32</v>
      </c>
      <c r="M110">
        <v>1</v>
      </c>
    </row>
    <row r="111" spans="1:13" x14ac:dyDescent="0.35">
      <c r="A111" s="2">
        <v>46269</v>
      </c>
      <c r="B111" s="1" t="str">
        <f ca="1">IF(Información1[[#This Row],[Fecha]]='Ajuste de fechas'!$A$2,"Día actual","Día anterior")</f>
        <v>Día actual</v>
      </c>
      <c r="C111" t="s">
        <v>90</v>
      </c>
      <c r="D111" t="s">
        <v>91</v>
      </c>
      <c r="E111" t="s">
        <v>259</v>
      </c>
      <c r="F111" t="s">
        <v>93</v>
      </c>
      <c r="G111" t="s">
        <v>121</v>
      </c>
      <c r="H111" t="s">
        <v>56</v>
      </c>
      <c r="I111" t="s">
        <v>7</v>
      </c>
      <c r="J111" t="s">
        <v>31</v>
      </c>
      <c r="K111" t="s">
        <v>92</v>
      </c>
      <c r="L111" t="s">
        <v>32</v>
      </c>
      <c r="M111">
        <v>1</v>
      </c>
    </row>
    <row r="112" spans="1:13" x14ac:dyDescent="0.35">
      <c r="A112" s="2">
        <v>46269</v>
      </c>
      <c r="B112" s="1" t="str">
        <f ca="1">IF(Información1[[#This Row],[Fecha]]='Ajuste de fechas'!$A$2,"Día actual","Día anterior")</f>
        <v>Día actual</v>
      </c>
      <c r="C112" t="s">
        <v>90</v>
      </c>
      <c r="D112" t="s">
        <v>91</v>
      </c>
      <c r="E112" t="s">
        <v>260</v>
      </c>
      <c r="F112" t="s">
        <v>20</v>
      </c>
      <c r="G112" t="s">
        <v>261</v>
      </c>
      <c r="H112" t="s">
        <v>56</v>
      </c>
      <c r="I112" t="s">
        <v>7</v>
      </c>
      <c r="J112" t="s">
        <v>31</v>
      </c>
      <c r="K112" t="s">
        <v>92</v>
      </c>
      <c r="L112" t="s">
        <v>32</v>
      </c>
      <c r="M112">
        <v>1</v>
      </c>
    </row>
    <row r="113" spans="1:13" x14ac:dyDescent="0.35">
      <c r="A113" s="2">
        <v>46269</v>
      </c>
      <c r="B113" s="1" t="str">
        <f ca="1">IF(Información1[[#This Row],[Fecha]]='Ajuste de fechas'!$A$2,"Día actual","Día anterior")</f>
        <v>Día actual</v>
      </c>
      <c r="C113" t="s">
        <v>90</v>
      </c>
      <c r="D113" t="s">
        <v>91</v>
      </c>
      <c r="E113" t="s">
        <v>262</v>
      </c>
      <c r="F113" t="s">
        <v>16</v>
      </c>
      <c r="G113" t="s">
        <v>83</v>
      </c>
      <c r="H113" t="s">
        <v>56</v>
      </c>
      <c r="I113" t="s">
        <v>7</v>
      </c>
      <c r="J113" t="s">
        <v>35</v>
      </c>
      <c r="K113" t="s">
        <v>92</v>
      </c>
      <c r="L113" t="s">
        <v>32</v>
      </c>
      <c r="M113">
        <v>1</v>
      </c>
    </row>
    <row r="114" spans="1:13" x14ac:dyDescent="0.35">
      <c r="A114" s="2">
        <v>46269</v>
      </c>
      <c r="B114" s="1" t="str">
        <f ca="1">IF(Información1[[#This Row],[Fecha]]='Ajuste de fechas'!$A$2,"Día actual","Día anterior")</f>
        <v>Día actual</v>
      </c>
      <c r="C114" t="s">
        <v>90</v>
      </c>
      <c r="D114" t="s">
        <v>91</v>
      </c>
      <c r="E114" t="s">
        <v>263</v>
      </c>
      <c r="F114" t="s">
        <v>21</v>
      </c>
      <c r="G114" t="s">
        <v>130</v>
      </c>
      <c r="H114" t="s">
        <v>56</v>
      </c>
      <c r="I114" t="s">
        <v>7</v>
      </c>
      <c r="J114" t="s">
        <v>21</v>
      </c>
      <c r="K114" t="s">
        <v>92</v>
      </c>
      <c r="L114" t="s">
        <v>32</v>
      </c>
      <c r="M114">
        <v>1</v>
      </c>
    </row>
    <row r="115" spans="1:13" x14ac:dyDescent="0.35">
      <c r="A115" s="2">
        <v>46269</v>
      </c>
      <c r="B115" s="1" t="str">
        <f ca="1">IF(Información1[[#This Row],[Fecha]]='Ajuste de fechas'!$A$2,"Día actual","Día anterior")</f>
        <v>Día actual</v>
      </c>
      <c r="C115" t="s">
        <v>90</v>
      </c>
      <c r="D115" t="s">
        <v>91</v>
      </c>
      <c r="E115" t="s">
        <v>264</v>
      </c>
      <c r="F115" t="s">
        <v>66</v>
      </c>
      <c r="G115" t="s">
        <v>265</v>
      </c>
      <c r="H115" t="s">
        <v>56</v>
      </c>
      <c r="I115" t="s">
        <v>7</v>
      </c>
      <c r="J115" t="s">
        <v>21</v>
      </c>
      <c r="K115" t="s">
        <v>92</v>
      </c>
      <c r="L115" t="s">
        <v>32</v>
      </c>
      <c r="M115">
        <v>1</v>
      </c>
    </row>
    <row r="116" spans="1:13" x14ac:dyDescent="0.35">
      <c r="A116" s="2">
        <v>46269</v>
      </c>
      <c r="B116" s="1" t="str">
        <f ca="1">IF(Información1[[#This Row],[Fecha]]='Ajuste de fechas'!$A$2,"Día actual","Día anterior")</f>
        <v>Día actual</v>
      </c>
      <c r="C116" t="s">
        <v>90</v>
      </c>
      <c r="D116" t="s">
        <v>91</v>
      </c>
      <c r="E116" t="s">
        <v>266</v>
      </c>
      <c r="F116" t="s">
        <v>18</v>
      </c>
      <c r="G116" t="s">
        <v>127</v>
      </c>
      <c r="H116" t="s">
        <v>56</v>
      </c>
      <c r="I116" t="s">
        <v>7</v>
      </c>
      <c r="J116" t="s">
        <v>31</v>
      </c>
      <c r="K116" t="s">
        <v>92</v>
      </c>
      <c r="L116" t="s">
        <v>32</v>
      </c>
      <c r="M116">
        <v>1</v>
      </c>
    </row>
    <row r="117" spans="1:13" x14ac:dyDescent="0.35">
      <c r="A117" s="2">
        <v>46269</v>
      </c>
      <c r="B117" s="1" t="str">
        <f ca="1">IF(Información1[[#This Row],[Fecha]]='Ajuste de fechas'!$A$2,"Día actual","Día anterior")</f>
        <v>Día actual</v>
      </c>
      <c r="C117" t="s">
        <v>90</v>
      </c>
      <c r="D117" t="s">
        <v>91</v>
      </c>
      <c r="E117" t="s">
        <v>267</v>
      </c>
      <c r="F117" t="s">
        <v>23</v>
      </c>
      <c r="G117" t="s">
        <v>113</v>
      </c>
      <c r="H117" t="s">
        <v>56</v>
      </c>
      <c r="I117" t="s">
        <v>7</v>
      </c>
      <c r="J117" t="s">
        <v>31</v>
      </c>
      <c r="K117" t="s">
        <v>92</v>
      </c>
      <c r="L117" t="s">
        <v>32</v>
      </c>
      <c r="M117">
        <v>1</v>
      </c>
    </row>
    <row r="118" spans="1:13" x14ac:dyDescent="0.35">
      <c r="A118" s="2">
        <v>46269</v>
      </c>
      <c r="B118" s="1" t="str">
        <f ca="1">IF(Información1[[#This Row],[Fecha]]='Ajuste de fechas'!$A$2,"Día actual","Día anterior")</f>
        <v>Día actual</v>
      </c>
      <c r="C118" t="s">
        <v>90</v>
      </c>
      <c r="D118" t="s">
        <v>91</v>
      </c>
      <c r="E118" t="s">
        <v>268</v>
      </c>
      <c r="F118" t="s">
        <v>23</v>
      </c>
      <c r="G118" t="s">
        <v>54</v>
      </c>
      <c r="H118" t="s">
        <v>56</v>
      </c>
      <c r="I118" t="s">
        <v>7</v>
      </c>
      <c r="J118" t="s">
        <v>31</v>
      </c>
      <c r="K118" t="s">
        <v>92</v>
      </c>
      <c r="L118" t="s">
        <v>32</v>
      </c>
      <c r="M118">
        <v>1</v>
      </c>
    </row>
    <row r="119" spans="1:13" x14ac:dyDescent="0.35">
      <c r="A119" s="2">
        <v>46269</v>
      </c>
      <c r="B119" s="1" t="str">
        <f ca="1">IF(Información1[[#This Row],[Fecha]]='Ajuste de fechas'!$A$2,"Día actual","Día anterior")</f>
        <v>Día actual</v>
      </c>
      <c r="C119" t="s">
        <v>8</v>
      </c>
      <c r="D119" t="s">
        <v>10</v>
      </c>
      <c r="E119" t="s">
        <v>269</v>
      </c>
      <c r="F119" t="s">
        <v>16</v>
      </c>
      <c r="G119" t="s">
        <v>65</v>
      </c>
      <c r="H119" t="s">
        <v>56</v>
      </c>
      <c r="I119" t="s">
        <v>22</v>
      </c>
      <c r="J119" t="s">
        <v>35</v>
      </c>
      <c r="K119" t="s">
        <v>12</v>
      </c>
      <c r="L119" t="s">
        <v>33</v>
      </c>
      <c r="M119">
        <v>1</v>
      </c>
    </row>
    <row r="120" spans="1:13" x14ac:dyDescent="0.35">
      <c r="A120" s="2">
        <v>46269</v>
      </c>
      <c r="B120" s="1" t="str">
        <f ca="1">IF(Información1[[#This Row],[Fecha]]='Ajuste de fechas'!$A$2,"Día actual","Día anterior")</f>
        <v>Día actual</v>
      </c>
      <c r="C120" t="s">
        <v>8</v>
      </c>
      <c r="D120" t="s">
        <v>10</v>
      </c>
      <c r="E120" t="s">
        <v>270</v>
      </c>
      <c r="F120" t="s">
        <v>16</v>
      </c>
      <c r="G120" t="s">
        <v>65</v>
      </c>
      <c r="H120" t="s">
        <v>56</v>
      </c>
      <c r="I120" t="s">
        <v>22</v>
      </c>
      <c r="J120" t="s">
        <v>35</v>
      </c>
      <c r="K120" t="s">
        <v>12</v>
      </c>
      <c r="L120" t="s">
        <v>33</v>
      </c>
      <c r="M120">
        <v>1</v>
      </c>
    </row>
    <row r="121" spans="1:13" x14ac:dyDescent="0.35">
      <c r="A121" s="2">
        <v>46269</v>
      </c>
      <c r="B121" s="1" t="str">
        <f ca="1">IF(Información1[[#This Row],[Fecha]]='Ajuste de fechas'!$A$2,"Día actual","Día anterior")</f>
        <v>Día actual</v>
      </c>
      <c r="C121" t="s">
        <v>8</v>
      </c>
      <c r="D121" t="s">
        <v>10</v>
      </c>
      <c r="E121" t="s">
        <v>271</v>
      </c>
      <c r="F121" t="s">
        <v>6</v>
      </c>
      <c r="G121" t="s">
        <v>51</v>
      </c>
      <c r="H121" t="s">
        <v>56</v>
      </c>
      <c r="I121" t="s">
        <v>22</v>
      </c>
      <c r="J121" t="s">
        <v>31</v>
      </c>
      <c r="K121" t="s">
        <v>12</v>
      </c>
      <c r="L121" t="s">
        <v>33</v>
      </c>
      <c r="M121">
        <v>1</v>
      </c>
    </row>
    <row r="122" spans="1:13" x14ac:dyDescent="0.35">
      <c r="A122" s="2">
        <v>46269</v>
      </c>
      <c r="B122" s="1" t="str">
        <f ca="1">IF(Información1[[#This Row],[Fecha]]='Ajuste de fechas'!$A$2,"Día actual","Día anterior")</f>
        <v>Día actual</v>
      </c>
      <c r="C122" t="s">
        <v>8</v>
      </c>
      <c r="D122" t="s">
        <v>10</v>
      </c>
      <c r="E122" t="s">
        <v>272</v>
      </c>
      <c r="F122" t="s">
        <v>6</v>
      </c>
      <c r="G122" t="s">
        <v>51</v>
      </c>
      <c r="H122" t="s">
        <v>56</v>
      </c>
      <c r="I122" t="s">
        <v>22</v>
      </c>
      <c r="J122" t="s">
        <v>31</v>
      </c>
      <c r="K122" t="s">
        <v>12</v>
      </c>
      <c r="L122" t="s">
        <v>33</v>
      </c>
      <c r="M122">
        <v>1</v>
      </c>
    </row>
    <row r="123" spans="1:13" x14ac:dyDescent="0.35">
      <c r="A123" s="2">
        <v>46269</v>
      </c>
      <c r="B123" s="1" t="str">
        <f ca="1">IF(Información1[[#This Row],[Fecha]]='Ajuste de fechas'!$A$2,"Día actual","Día anterior")</f>
        <v>Día actual</v>
      </c>
      <c r="C123" t="s">
        <v>8</v>
      </c>
      <c r="D123" t="s">
        <v>10</v>
      </c>
      <c r="E123" t="s">
        <v>273</v>
      </c>
      <c r="F123" t="s">
        <v>6</v>
      </c>
      <c r="G123" t="s">
        <v>51</v>
      </c>
      <c r="H123" t="s">
        <v>56</v>
      </c>
      <c r="I123" t="s">
        <v>22</v>
      </c>
      <c r="J123" t="s">
        <v>31</v>
      </c>
      <c r="K123" t="s">
        <v>12</v>
      </c>
      <c r="L123" t="s">
        <v>33</v>
      </c>
      <c r="M123">
        <v>1</v>
      </c>
    </row>
    <row r="124" spans="1:13" x14ac:dyDescent="0.35">
      <c r="A124" s="2">
        <v>46269</v>
      </c>
      <c r="B124" s="1" t="str">
        <f ca="1">IF(Información1[[#This Row],[Fecha]]='Ajuste de fechas'!$A$2,"Día actual","Día anterior")</f>
        <v>Día actual</v>
      </c>
      <c r="C124" t="s">
        <v>8</v>
      </c>
      <c r="D124" t="s">
        <v>10</v>
      </c>
      <c r="E124" t="s">
        <v>274</v>
      </c>
      <c r="F124" t="s">
        <v>6</v>
      </c>
      <c r="G124" t="s">
        <v>51</v>
      </c>
      <c r="H124" t="s">
        <v>56</v>
      </c>
      <c r="I124" t="s">
        <v>22</v>
      </c>
      <c r="J124" t="s">
        <v>31</v>
      </c>
      <c r="K124" t="s">
        <v>12</v>
      </c>
      <c r="L124" t="s">
        <v>33</v>
      </c>
      <c r="M124">
        <v>1</v>
      </c>
    </row>
    <row r="125" spans="1:13" x14ac:dyDescent="0.35">
      <c r="A125" s="2">
        <v>46269</v>
      </c>
      <c r="B125" s="1" t="str">
        <f ca="1">IF(Información1[[#This Row],[Fecha]]='Ajuste de fechas'!$A$2,"Día actual","Día anterior")</f>
        <v>Día actual</v>
      </c>
      <c r="C125" t="s">
        <v>8</v>
      </c>
      <c r="D125" t="s">
        <v>10</v>
      </c>
      <c r="E125" t="s">
        <v>275</v>
      </c>
      <c r="F125" t="s">
        <v>23</v>
      </c>
      <c r="G125" t="s">
        <v>95</v>
      </c>
      <c r="H125" t="s">
        <v>56</v>
      </c>
      <c r="I125" t="s">
        <v>22</v>
      </c>
      <c r="J125" t="s">
        <v>31</v>
      </c>
      <c r="K125" t="s">
        <v>12</v>
      </c>
      <c r="L125" t="s">
        <v>33</v>
      </c>
      <c r="M125">
        <v>1</v>
      </c>
    </row>
    <row r="126" spans="1:13" x14ac:dyDescent="0.35">
      <c r="A126" s="2">
        <v>46269</v>
      </c>
      <c r="B126" s="1" t="str">
        <f ca="1">IF(Información1[[#This Row],[Fecha]]='Ajuste de fechas'!$A$2,"Día actual","Día anterior")</f>
        <v>Día actual</v>
      </c>
      <c r="C126" t="s">
        <v>8</v>
      </c>
      <c r="D126" t="s">
        <v>10</v>
      </c>
      <c r="E126" t="s">
        <v>276</v>
      </c>
      <c r="F126" t="s">
        <v>23</v>
      </c>
      <c r="G126" t="s">
        <v>95</v>
      </c>
      <c r="H126" t="s">
        <v>56</v>
      </c>
      <c r="I126" t="s">
        <v>22</v>
      </c>
      <c r="J126" t="s">
        <v>31</v>
      </c>
      <c r="K126" t="s">
        <v>12</v>
      </c>
      <c r="L126" t="s">
        <v>33</v>
      </c>
      <c r="M126">
        <v>1</v>
      </c>
    </row>
    <row r="127" spans="1:13" x14ac:dyDescent="0.35">
      <c r="A127" s="2">
        <v>46269</v>
      </c>
      <c r="B127" s="1" t="str">
        <f ca="1">IF(Información1[[#This Row],[Fecha]]='Ajuste de fechas'!$A$2,"Día actual","Día anterior")</f>
        <v>Día actual</v>
      </c>
      <c r="C127" t="s">
        <v>8</v>
      </c>
      <c r="D127" t="s">
        <v>10</v>
      </c>
      <c r="E127" t="s">
        <v>277</v>
      </c>
      <c r="F127" t="s">
        <v>23</v>
      </c>
      <c r="G127" t="s">
        <v>95</v>
      </c>
      <c r="H127" t="s">
        <v>56</v>
      </c>
      <c r="I127" t="s">
        <v>22</v>
      </c>
      <c r="J127" t="s">
        <v>31</v>
      </c>
      <c r="K127" t="s">
        <v>12</v>
      </c>
      <c r="L127" t="s">
        <v>33</v>
      </c>
      <c r="M127">
        <v>1</v>
      </c>
    </row>
    <row r="128" spans="1:13" x14ac:dyDescent="0.35">
      <c r="A128" s="2">
        <v>46269</v>
      </c>
      <c r="B128" s="1" t="str">
        <f ca="1">IF(Información1[[#This Row],[Fecha]]='Ajuste de fechas'!$A$2,"Día actual","Día anterior")</f>
        <v>Día actual</v>
      </c>
      <c r="C128" t="s">
        <v>8</v>
      </c>
      <c r="D128" t="s">
        <v>10</v>
      </c>
      <c r="E128" t="s">
        <v>278</v>
      </c>
      <c r="F128" t="s">
        <v>14</v>
      </c>
      <c r="G128" t="s">
        <v>95</v>
      </c>
      <c r="H128" t="s">
        <v>56</v>
      </c>
      <c r="I128" t="s">
        <v>7</v>
      </c>
      <c r="J128" t="s">
        <v>31</v>
      </c>
      <c r="K128" t="s">
        <v>12</v>
      </c>
      <c r="L128" t="s">
        <v>33</v>
      </c>
      <c r="M128">
        <v>1</v>
      </c>
    </row>
    <row r="129" spans="1:13" x14ac:dyDescent="0.35">
      <c r="A129" s="2">
        <v>46269</v>
      </c>
      <c r="B129" s="1" t="str">
        <f ca="1">IF(Información1[[#This Row],[Fecha]]='Ajuste de fechas'!$A$2,"Día actual","Día anterior")</f>
        <v>Día actual</v>
      </c>
      <c r="C129" t="s">
        <v>8</v>
      </c>
      <c r="D129" t="s">
        <v>10</v>
      </c>
      <c r="E129" t="s">
        <v>279</v>
      </c>
      <c r="F129" t="s">
        <v>14</v>
      </c>
      <c r="G129" t="s">
        <v>95</v>
      </c>
      <c r="H129" t="s">
        <v>56</v>
      </c>
      <c r="I129" t="s">
        <v>7</v>
      </c>
      <c r="J129" t="s">
        <v>31</v>
      </c>
      <c r="K129" t="s">
        <v>12</v>
      </c>
      <c r="L129" t="s">
        <v>33</v>
      </c>
      <c r="M129">
        <v>1</v>
      </c>
    </row>
    <row r="130" spans="1:13" x14ac:dyDescent="0.35">
      <c r="A130" s="2">
        <v>46269</v>
      </c>
      <c r="B130" s="1" t="str">
        <f ca="1">IF(Información1[[#This Row],[Fecha]]='Ajuste de fechas'!$A$2,"Día actual","Día anterior")</f>
        <v>Día actual</v>
      </c>
      <c r="C130" t="s">
        <v>8</v>
      </c>
      <c r="D130" t="s">
        <v>10</v>
      </c>
      <c r="E130" t="s">
        <v>280</v>
      </c>
      <c r="F130" t="s">
        <v>16</v>
      </c>
      <c r="G130" t="s">
        <v>281</v>
      </c>
      <c r="H130" t="s">
        <v>56</v>
      </c>
      <c r="I130" t="s">
        <v>7</v>
      </c>
      <c r="J130" t="s">
        <v>35</v>
      </c>
      <c r="K130" t="s">
        <v>12</v>
      </c>
      <c r="L130" t="s">
        <v>32</v>
      </c>
      <c r="M130">
        <v>1</v>
      </c>
    </row>
    <row r="131" spans="1:13" x14ac:dyDescent="0.35">
      <c r="A131" s="2">
        <v>46269</v>
      </c>
      <c r="B131" s="1" t="str">
        <f ca="1">IF(Información1[[#This Row],[Fecha]]='Ajuste de fechas'!$A$2,"Día actual","Día anterior")</f>
        <v>Día actual</v>
      </c>
      <c r="C131" t="s">
        <v>8</v>
      </c>
      <c r="D131" t="s">
        <v>10</v>
      </c>
      <c r="E131" t="s">
        <v>282</v>
      </c>
      <c r="F131" t="s">
        <v>45</v>
      </c>
      <c r="G131" t="s">
        <v>283</v>
      </c>
      <c r="H131" t="s">
        <v>56</v>
      </c>
      <c r="I131" t="s">
        <v>7</v>
      </c>
      <c r="J131" t="s">
        <v>31</v>
      </c>
      <c r="K131" t="s">
        <v>12</v>
      </c>
      <c r="L131" t="s">
        <v>34</v>
      </c>
      <c r="M131">
        <v>1</v>
      </c>
    </row>
    <row r="132" spans="1:13" x14ac:dyDescent="0.35">
      <c r="A132" s="2">
        <v>46269</v>
      </c>
      <c r="B132" s="1" t="str">
        <f ca="1">IF(Información1[[#This Row],[Fecha]]='Ajuste de fechas'!$A$2,"Día actual","Día anterior")</f>
        <v>Día actual</v>
      </c>
      <c r="C132" t="s">
        <v>8</v>
      </c>
      <c r="D132" t="s">
        <v>10</v>
      </c>
      <c r="E132" t="s">
        <v>284</v>
      </c>
      <c r="F132" t="s">
        <v>285</v>
      </c>
      <c r="G132" t="s">
        <v>54</v>
      </c>
      <c r="H132" t="s">
        <v>56</v>
      </c>
      <c r="I132" t="s">
        <v>7</v>
      </c>
      <c r="J132" t="s">
        <v>31</v>
      </c>
      <c r="K132" t="s">
        <v>12</v>
      </c>
      <c r="L132" t="s">
        <v>34</v>
      </c>
      <c r="M132">
        <v>1</v>
      </c>
    </row>
    <row r="133" spans="1:13" x14ac:dyDescent="0.35">
      <c r="A133" s="2">
        <v>46269</v>
      </c>
      <c r="B133" s="1" t="str">
        <f ca="1">IF(Información1[[#This Row],[Fecha]]='Ajuste de fechas'!$A$2,"Día actual","Día anterior")</f>
        <v>Día actual</v>
      </c>
      <c r="C133" t="s">
        <v>8</v>
      </c>
      <c r="D133" t="s">
        <v>10</v>
      </c>
      <c r="E133" t="s">
        <v>286</v>
      </c>
      <c r="F133" t="s">
        <v>198</v>
      </c>
      <c r="G133" t="s">
        <v>253</v>
      </c>
      <c r="H133" t="s">
        <v>56</v>
      </c>
      <c r="I133" t="s">
        <v>7</v>
      </c>
      <c r="J133" t="s">
        <v>31</v>
      </c>
      <c r="K133" t="s">
        <v>12</v>
      </c>
      <c r="L133" t="s">
        <v>34</v>
      </c>
      <c r="M133">
        <v>1</v>
      </c>
    </row>
    <row r="134" spans="1:13" x14ac:dyDescent="0.35">
      <c r="A134" s="2">
        <v>46269</v>
      </c>
      <c r="B134" s="1" t="str">
        <f ca="1">IF(Información1[[#This Row],[Fecha]]='Ajuste de fechas'!$A$2,"Día actual","Día anterior")</f>
        <v>Día actual</v>
      </c>
      <c r="C134" t="s">
        <v>8</v>
      </c>
      <c r="D134" t="s">
        <v>10</v>
      </c>
      <c r="E134" t="s">
        <v>287</v>
      </c>
      <c r="F134" t="s">
        <v>75</v>
      </c>
      <c r="G134" t="s">
        <v>255</v>
      </c>
      <c r="H134" t="s">
        <v>56</v>
      </c>
      <c r="I134" t="s">
        <v>7</v>
      </c>
      <c r="J134" t="s">
        <v>31</v>
      </c>
      <c r="K134" t="s">
        <v>12</v>
      </c>
      <c r="L134" t="s">
        <v>34</v>
      </c>
      <c r="M134">
        <v>1</v>
      </c>
    </row>
    <row r="135" spans="1:13" x14ac:dyDescent="0.35">
      <c r="A135" s="2">
        <v>46269</v>
      </c>
      <c r="B135" s="1" t="str">
        <f ca="1">IF(Información1[[#This Row],[Fecha]]='Ajuste de fechas'!$A$2,"Día actual","Día anterior")</f>
        <v>Día actual</v>
      </c>
      <c r="C135" t="s">
        <v>8</v>
      </c>
      <c r="D135" t="s">
        <v>10</v>
      </c>
      <c r="E135" t="s">
        <v>288</v>
      </c>
      <c r="F135" t="s">
        <v>20</v>
      </c>
      <c r="G135" t="s">
        <v>261</v>
      </c>
      <c r="H135" t="s">
        <v>56</v>
      </c>
      <c r="I135" t="s">
        <v>7</v>
      </c>
      <c r="J135" t="s">
        <v>31</v>
      </c>
      <c r="K135" t="s">
        <v>12</v>
      </c>
      <c r="L135" t="s">
        <v>34</v>
      </c>
      <c r="M135">
        <v>1</v>
      </c>
    </row>
    <row r="136" spans="1:13" x14ac:dyDescent="0.35">
      <c r="A136" s="2">
        <v>46269</v>
      </c>
      <c r="B136" s="1" t="str">
        <f ca="1">IF(Información1[[#This Row],[Fecha]]='Ajuste de fechas'!$A$2,"Día actual","Día anterior")</f>
        <v>Día actual</v>
      </c>
      <c r="C136" t="s">
        <v>59</v>
      </c>
      <c r="D136" t="s">
        <v>96</v>
      </c>
      <c r="E136" t="s">
        <v>289</v>
      </c>
      <c r="F136" t="s">
        <v>19</v>
      </c>
      <c r="G136" t="s">
        <v>283</v>
      </c>
      <c r="H136" t="s">
        <v>56</v>
      </c>
      <c r="I136" t="s">
        <v>7</v>
      </c>
      <c r="J136" t="s">
        <v>36</v>
      </c>
      <c r="K136" t="s">
        <v>61</v>
      </c>
      <c r="L136" t="s">
        <v>32</v>
      </c>
      <c r="M136">
        <v>1</v>
      </c>
    </row>
    <row r="137" spans="1:13" x14ac:dyDescent="0.35">
      <c r="A137" s="2">
        <v>46269</v>
      </c>
      <c r="B137" s="1" t="str">
        <f ca="1">IF(Información1[[#This Row],[Fecha]]='Ajuste de fechas'!$A$2,"Día actual","Día anterior")</f>
        <v>Día actual</v>
      </c>
      <c r="C137" t="s">
        <v>59</v>
      </c>
      <c r="D137" t="s">
        <v>96</v>
      </c>
      <c r="E137" t="s">
        <v>290</v>
      </c>
      <c r="F137" t="s">
        <v>16</v>
      </c>
      <c r="G137" t="s">
        <v>102</v>
      </c>
      <c r="H137" t="s">
        <v>56</v>
      </c>
      <c r="I137" t="s">
        <v>7</v>
      </c>
      <c r="J137" t="s">
        <v>35</v>
      </c>
      <c r="K137" t="s">
        <v>61</v>
      </c>
      <c r="L137" t="s">
        <v>32</v>
      </c>
      <c r="M137">
        <v>1</v>
      </c>
    </row>
    <row r="138" spans="1:13" x14ac:dyDescent="0.35">
      <c r="A138" s="2">
        <v>46269</v>
      </c>
      <c r="B138" s="1" t="str">
        <f ca="1">IF(Información1[[#This Row],[Fecha]]='Ajuste de fechas'!$A$2,"Día actual","Día anterior")</f>
        <v>Día actual</v>
      </c>
      <c r="C138" t="s">
        <v>59</v>
      </c>
      <c r="D138" t="s">
        <v>96</v>
      </c>
      <c r="E138" t="s">
        <v>291</v>
      </c>
      <c r="F138" t="s">
        <v>16</v>
      </c>
      <c r="G138" t="s">
        <v>292</v>
      </c>
      <c r="H138" t="s">
        <v>56</v>
      </c>
      <c r="I138" t="s">
        <v>7</v>
      </c>
      <c r="J138" t="s">
        <v>35</v>
      </c>
      <c r="K138" t="s">
        <v>61</v>
      </c>
      <c r="L138" t="s">
        <v>32</v>
      </c>
      <c r="M138">
        <v>1</v>
      </c>
    </row>
    <row r="139" spans="1:13" x14ac:dyDescent="0.35">
      <c r="A139" s="2">
        <v>46269</v>
      </c>
      <c r="B139" s="1" t="str">
        <f ca="1">IF(Información1[[#This Row],[Fecha]]='Ajuste de fechas'!$A$2,"Día actual","Día anterior")</f>
        <v>Día actual</v>
      </c>
      <c r="C139" t="s">
        <v>59</v>
      </c>
      <c r="D139" t="s">
        <v>96</v>
      </c>
      <c r="E139" t="s">
        <v>293</v>
      </c>
      <c r="F139" t="s">
        <v>16</v>
      </c>
      <c r="G139" t="s">
        <v>294</v>
      </c>
      <c r="H139" t="s">
        <v>56</v>
      </c>
      <c r="I139" t="s">
        <v>7</v>
      </c>
      <c r="J139" t="s">
        <v>35</v>
      </c>
      <c r="K139" t="s">
        <v>61</v>
      </c>
      <c r="L139" t="s">
        <v>32</v>
      </c>
      <c r="M139">
        <v>1</v>
      </c>
    </row>
    <row r="140" spans="1:13" x14ac:dyDescent="0.35">
      <c r="A140" s="2">
        <v>46269</v>
      </c>
      <c r="B140" s="1" t="str">
        <f ca="1">IF(Información1[[#This Row],[Fecha]]='Ajuste de fechas'!$A$2,"Día actual","Día anterior")</f>
        <v>Día actual</v>
      </c>
      <c r="C140" t="s">
        <v>59</v>
      </c>
      <c r="D140" t="s">
        <v>96</v>
      </c>
      <c r="E140" t="s">
        <v>295</v>
      </c>
      <c r="F140" t="s">
        <v>23</v>
      </c>
      <c r="G140" t="s">
        <v>54</v>
      </c>
      <c r="H140" t="s">
        <v>56</v>
      </c>
      <c r="I140" t="s">
        <v>7</v>
      </c>
      <c r="J140" t="s">
        <v>31</v>
      </c>
      <c r="K140" t="s">
        <v>61</v>
      </c>
      <c r="L140" t="s">
        <v>32</v>
      </c>
      <c r="M140">
        <v>1</v>
      </c>
    </row>
    <row r="141" spans="1:13" x14ac:dyDescent="0.35">
      <c r="A141" s="2">
        <v>46269</v>
      </c>
      <c r="B141" s="1" t="str">
        <f ca="1">IF(Información1[[#This Row],[Fecha]]='Ajuste de fechas'!$A$2,"Día actual","Día anterior")</f>
        <v>Día actual</v>
      </c>
      <c r="C141" t="s">
        <v>59</v>
      </c>
      <c r="D141" t="s">
        <v>60</v>
      </c>
      <c r="E141" t="s">
        <v>296</v>
      </c>
      <c r="F141" t="s">
        <v>16</v>
      </c>
      <c r="H141" t="s">
        <v>56</v>
      </c>
      <c r="I141" t="s">
        <v>7</v>
      </c>
      <c r="J141" t="s">
        <v>35</v>
      </c>
      <c r="K141" t="s">
        <v>61</v>
      </c>
      <c r="L141" t="s">
        <v>32</v>
      </c>
      <c r="M141">
        <v>1</v>
      </c>
    </row>
    <row r="142" spans="1:13" x14ac:dyDescent="0.35">
      <c r="A142" s="2">
        <v>46269</v>
      </c>
      <c r="B142" s="1" t="str">
        <f ca="1">IF(Información1[[#This Row],[Fecha]]='Ajuste de fechas'!$A$2,"Día actual","Día anterior")</f>
        <v>Día actual</v>
      </c>
      <c r="C142" t="s">
        <v>59</v>
      </c>
      <c r="D142" t="s">
        <v>60</v>
      </c>
      <c r="E142" t="s">
        <v>297</v>
      </c>
      <c r="F142" t="s">
        <v>23</v>
      </c>
      <c r="G142" t="s">
        <v>54</v>
      </c>
      <c r="H142" t="s">
        <v>56</v>
      </c>
      <c r="I142" t="s">
        <v>7</v>
      </c>
      <c r="J142" t="s">
        <v>31</v>
      </c>
      <c r="K142" t="s">
        <v>61</v>
      </c>
      <c r="L142" t="s">
        <v>32</v>
      </c>
      <c r="M142">
        <v>1</v>
      </c>
    </row>
    <row r="143" spans="1:13" x14ac:dyDescent="0.35">
      <c r="A143" s="2">
        <v>46269</v>
      </c>
      <c r="B143" s="1" t="str">
        <f ca="1">IF(Información1[[#This Row],[Fecha]]='Ajuste de fechas'!$A$2,"Día actual","Día anterior")</f>
        <v>Día actual</v>
      </c>
      <c r="C143" t="s">
        <v>59</v>
      </c>
      <c r="D143" t="s">
        <v>60</v>
      </c>
      <c r="E143" t="s">
        <v>298</v>
      </c>
      <c r="F143" t="s">
        <v>23</v>
      </c>
      <c r="G143" t="s">
        <v>54</v>
      </c>
      <c r="H143" t="s">
        <v>56</v>
      </c>
      <c r="I143" t="s">
        <v>7</v>
      </c>
      <c r="J143" t="s">
        <v>31</v>
      </c>
      <c r="K143" t="s">
        <v>62</v>
      </c>
      <c r="L143" t="s">
        <v>32</v>
      </c>
      <c r="M143">
        <v>1</v>
      </c>
    </row>
    <row r="144" spans="1:13" x14ac:dyDescent="0.35">
      <c r="A144" s="2">
        <v>46269</v>
      </c>
      <c r="B144" s="1" t="str">
        <f ca="1">IF(Información1[[#This Row],[Fecha]]='Ajuste de fechas'!$A$2,"Día actual","Día anterior")</f>
        <v>Día actual</v>
      </c>
      <c r="C144" t="s">
        <v>59</v>
      </c>
      <c r="D144" t="s">
        <v>60</v>
      </c>
      <c r="E144" t="s">
        <v>299</v>
      </c>
      <c r="F144" t="s">
        <v>117</v>
      </c>
      <c r="G144" t="s">
        <v>54</v>
      </c>
      <c r="H144" t="s">
        <v>56</v>
      </c>
      <c r="I144" t="s">
        <v>7</v>
      </c>
      <c r="J144" t="s">
        <v>31</v>
      </c>
      <c r="K144" t="s">
        <v>62</v>
      </c>
      <c r="L144" t="s">
        <v>34</v>
      </c>
      <c r="M144">
        <v>1</v>
      </c>
    </row>
    <row r="145" spans="1:13" x14ac:dyDescent="0.35">
      <c r="A145" s="2">
        <v>46269</v>
      </c>
      <c r="B145" s="1" t="str">
        <f ca="1">IF(Información1[[#This Row],[Fecha]]='Ajuste de fechas'!$A$2,"Día actual","Día anterior")</f>
        <v>Día actual</v>
      </c>
      <c r="C145" t="s">
        <v>59</v>
      </c>
      <c r="D145" t="s">
        <v>60</v>
      </c>
      <c r="E145" t="s">
        <v>300</v>
      </c>
      <c r="F145" t="s">
        <v>23</v>
      </c>
      <c r="G145" t="s">
        <v>301</v>
      </c>
      <c r="H145" t="s">
        <v>56</v>
      </c>
      <c r="I145" t="s">
        <v>7</v>
      </c>
      <c r="J145" t="s">
        <v>31</v>
      </c>
      <c r="K145" t="s">
        <v>61</v>
      </c>
      <c r="L145" t="s">
        <v>32</v>
      </c>
      <c r="M145">
        <v>1</v>
      </c>
    </row>
    <row r="146" spans="1:13" x14ac:dyDescent="0.35">
      <c r="A146" s="2">
        <v>46269</v>
      </c>
      <c r="B146" s="1" t="str">
        <f ca="1">IF(Información1[[#This Row],[Fecha]]='Ajuste de fechas'!$A$2,"Día actual","Día anterior")</f>
        <v>Día actual</v>
      </c>
      <c r="C146" t="s">
        <v>59</v>
      </c>
      <c r="D146" t="s">
        <v>60</v>
      </c>
      <c r="E146" t="s">
        <v>302</v>
      </c>
      <c r="F146" t="s">
        <v>16</v>
      </c>
      <c r="G146" t="s">
        <v>303</v>
      </c>
      <c r="H146" t="s">
        <v>56</v>
      </c>
      <c r="I146" t="s">
        <v>7</v>
      </c>
      <c r="J146" t="s">
        <v>35</v>
      </c>
      <c r="K146" t="s">
        <v>62</v>
      </c>
      <c r="L146" t="s">
        <v>32</v>
      </c>
      <c r="M146">
        <v>1</v>
      </c>
    </row>
    <row r="147" spans="1:13" x14ac:dyDescent="0.35">
      <c r="A147" s="2">
        <v>46269</v>
      </c>
      <c r="B147" s="1" t="str">
        <f ca="1">IF(Información1[[#This Row],[Fecha]]='Ajuste de fechas'!$A$2,"Día actual","Día anterior")</f>
        <v>Día actual</v>
      </c>
      <c r="C147" t="s">
        <v>59</v>
      </c>
      <c r="D147" t="s">
        <v>60</v>
      </c>
      <c r="E147" t="s">
        <v>304</v>
      </c>
      <c r="F147" t="s">
        <v>16</v>
      </c>
      <c r="G147" t="s">
        <v>303</v>
      </c>
      <c r="H147" t="s">
        <v>56</v>
      </c>
      <c r="I147" t="s">
        <v>7</v>
      </c>
      <c r="J147" t="s">
        <v>35</v>
      </c>
      <c r="K147" t="s">
        <v>62</v>
      </c>
      <c r="L147" t="s">
        <v>32</v>
      </c>
      <c r="M147">
        <v>1</v>
      </c>
    </row>
    <row r="148" spans="1:13" x14ac:dyDescent="0.35">
      <c r="A148" s="2">
        <v>46269</v>
      </c>
      <c r="B148" s="1" t="str">
        <f ca="1">IF(Información1[[#This Row],[Fecha]]='Ajuste de fechas'!$A$2,"Día actual","Día anterior")</f>
        <v>Día actual</v>
      </c>
      <c r="C148" t="s">
        <v>59</v>
      </c>
      <c r="D148" t="s">
        <v>60</v>
      </c>
      <c r="E148" t="s">
        <v>288</v>
      </c>
      <c r="F148" t="s">
        <v>20</v>
      </c>
      <c r="G148" t="s">
        <v>261</v>
      </c>
      <c r="H148" t="s">
        <v>56</v>
      </c>
      <c r="I148" t="s">
        <v>7</v>
      </c>
      <c r="J148" t="s">
        <v>31</v>
      </c>
      <c r="K148" t="s">
        <v>62</v>
      </c>
      <c r="L148" t="s">
        <v>34</v>
      </c>
      <c r="M14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4.5" x14ac:dyDescent="0.35"/>
  <sheetData>
    <row r="1" spans="1:2" x14ac:dyDescent="0.35">
      <c r="A1" t="s">
        <v>38</v>
      </c>
      <c r="B1" t="s">
        <v>39</v>
      </c>
    </row>
    <row r="2" spans="1:2" x14ac:dyDescent="0.35">
      <c r="A2" s="2">
        <f ca="1">TODAY()</f>
        <v>46269</v>
      </c>
      <c r="B2" s="2">
        <f ca="1">A2-1</f>
        <v>46268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2026-09-04T22:29:35Z</dcterms:modified>
</cp:coreProperties>
</file>