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F38387A6-4B9A-4FE8-9CB7-3A706277AD6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94" i="2"/>
  <c r="B96" i="2"/>
  <c r="B97" i="2"/>
  <c r="B99" i="2"/>
  <c r="B101" i="2"/>
  <c r="B103" i="2"/>
  <c r="B104" i="2"/>
  <c r="B105" i="2"/>
  <c r="B107" i="2"/>
  <c r="B109" i="2"/>
  <c r="B111" i="2"/>
  <c r="B113" i="2"/>
  <c r="B115" i="2"/>
  <c r="B117" i="2"/>
  <c r="B119" i="2"/>
  <c r="B121" i="2"/>
  <c r="B123" i="2"/>
  <c r="B126" i="2"/>
  <c r="B127" i="2"/>
  <c r="B130" i="2"/>
  <c r="B132" i="2"/>
  <c r="B135" i="2"/>
  <c r="B137" i="2"/>
  <c r="B139" i="2"/>
  <c r="B141" i="2"/>
  <c r="B144" i="2"/>
  <c r="B146" i="2"/>
  <c r="B156" i="2"/>
  <c r="B157" i="2"/>
  <c r="B159" i="2"/>
  <c r="B161" i="2"/>
  <c r="B162" i="2"/>
  <c r="B164" i="2"/>
  <c r="B166" i="2"/>
  <c r="B167" i="2"/>
  <c r="B169" i="2"/>
  <c r="B171" i="2"/>
  <c r="B173" i="2"/>
  <c r="B174" i="2"/>
  <c r="B175" i="2"/>
  <c r="B178" i="2"/>
  <c r="B180" i="2"/>
  <c r="B182" i="2"/>
  <c r="B185" i="2"/>
  <c r="B187" i="2"/>
  <c r="B189" i="2"/>
  <c r="B191" i="2"/>
  <c r="B194" i="2"/>
  <c r="B195" i="2"/>
  <c r="B196" i="2"/>
  <c r="B197" i="2"/>
  <c r="B198" i="2"/>
  <c r="B200" i="2"/>
  <c r="B202" i="2"/>
  <c r="B204" i="2"/>
  <c r="B207" i="2"/>
  <c r="B209" i="2"/>
  <c r="B211" i="2"/>
  <c r="B213" i="2"/>
  <c r="B216" i="2"/>
  <c r="B218" i="2"/>
  <c r="B220" i="2"/>
  <c r="B222" i="2"/>
  <c r="B224" i="2"/>
  <c r="B226" i="2"/>
  <c r="B228" i="2"/>
  <c r="B230" i="2"/>
  <c r="B232" i="2"/>
  <c r="B234" i="2"/>
  <c r="B237" i="2"/>
  <c r="B239"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5" i="2"/>
  <c r="B98" i="2"/>
  <c r="B100" i="2"/>
  <c r="B102" i="2"/>
  <c r="B106" i="2"/>
  <c r="B108" i="2"/>
  <c r="B110" i="2"/>
  <c r="B112" i="2"/>
  <c r="B114" i="2"/>
  <c r="B116" i="2"/>
  <c r="B118" i="2"/>
  <c r="B120" i="2"/>
  <c r="B122" i="2"/>
  <c r="B124" i="2"/>
  <c r="B125" i="2"/>
  <c r="B128" i="2"/>
  <c r="B129" i="2"/>
  <c r="B131" i="2"/>
  <c r="B133" i="2"/>
  <c r="B134" i="2"/>
  <c r="B136" i="2"/>
  <c r="B138" i="2"/>
  <c r="B140" i="2"/>
  <c r="B142" i="2"/>
  <c r="B143" i="2"/>
  <c r="B145" i="2"/>
  <c r="B147" i="2"/>
  <c r="B148" i="2"/>
  <c r="B149" i="2"/>
  <c r="B150" i="2"/>
  <c r="B151" i="2"/>
  <c r="B152" i="2"/>
  <c r="B153" i="2"/>
  <c r="B154" i="2"/>
  <c r="B155" i="2"/>
  <c r="B158" i="2"/>
  <c r="B160" i="2"/>
  <c r="B163" i="2"/>
  <c r="B165" i="2"/>
  <c r="B168" i="2"/>
  <c r="B170" i="2"/>
  <c r="B172" i="2"/>
  <c r="B176" i="2"/>
  <c r="B177" i="2"/>
  <c r="B179" i="2"/>
  <c r="B181" i="2"/>
  <c r="B183" i="2"/>
  <c r="B184" i="2"/>
  <c r="B186" i="2"/>
  <c r="B188" i="2"/>
  <c r="B190" i="2"/>
  <c r="B192" i="2"/>
  <c r="B193" i="2"/>
  <c r="B199" i="2"/>
  <c r="B201" i="2"/>
  <c r="B203" i="2"/>
  <c r="B205" i="2"/>
  <c r="B206" i="2"/>
  <c r="B208" i="2"/>
  <c r="B210" i="2"/>
  <c r="B212" i="2"/>
  <c r="B214" i="2"/>
  <c r="B215" i="2"/>
  <c r="B217" i="2"/>
  <c r="B219" i="2"/>
  <c r="B221" i="2"/>
  <c r="B223" i="2"/>
  <c r="B225" i="2"/>
  <c r="B227" i="2"/>
  <c r="B229" i="2"/>
  <c r="B231" i="2"/>
  <c r="B233" i="2"/>
  <c r="B235" i="2"/>
  <c r="B236" i="2"/>
  <c r="B23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<sst xmlns="http://schemas.openxmlformats.org/spreadsheetml/2006/main" count="2394" uniqueCount="409">
  <si>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</si>
  <si>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</si>
  <si>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</si>
  <si>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</si>
  <si>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</si>
  <si>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</si>
  <si>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</si>
  <si>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</si>
  <si>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</si>
  <si>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</si>
  <si>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</si>
  <si>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</si>
  <si>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</si>
  <si>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</si>
  <si>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</si>
  <si>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</si>
  <si>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</si>
  <si>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</si>
  <si>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</si>
  <si>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</si>
  <si>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</si>
  <si>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</si>
  <si>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</si>
  <si>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</si>
  <si>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</si>
  <si>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</si>
  <si>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</si>
  <si>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</si>
  <si>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</si>
  <si>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</si>
  <si>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</si>
  <si>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</si>
  <si>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</si>
  <si>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</si>
  <si>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</si>
  <si>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</si>
  <si>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</si>
  <si>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</si>
  <si>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</si>
  <si>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</si>
  <si>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</si>
  <si>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</si>
  <si>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</si>
  <si>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</si>
  <si>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</si>
  <si>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</si>
  <si>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</si>
  <si>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</si>
  <si>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</si>
  <si>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</si>
  <si>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</si>
  <si>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</si>
  <si>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</si>
  <si>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</si>
  <si>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</si>
  <si>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</si>
  <si>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</si>
  <si>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</si>
  <si>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La Poderosa Tuxpan 93.1 FM</t>
  </si>
  <si>
    <t>NN Nuestras Noticias Zona Norte</t>
  </si>
  <si>
    <t>Liz Argüelles</t>
  </si>
  <si>
    <t>Abasto De Agua</t>
  </si>
  <si>
    <t>PGJEH</t>
  </si>
  <si>
    <t>Semarnath</t>
  </si>
  <si>
    <t>SSH</t>
  </si>
  <si>
    <t>Radio Lobo 96.7 FM</t>
  </si>
  <si>
    <t>Enlace Noticias</t>
  </si>
  <si>
    <t>Gina Lorenzo</t>
  </si>
  <si>
    <t>Homicidios</t>
  </si>
  <si>
    <t>Ataque Armado</t>
  </si>
  <si>
    <t>Vía telefónica el reporte de Bombero y Protección Civil con Abner Yáñez informa de las diversas emergencias reportadas por la ciudadanía y que fueron atendidas.</t>
  </si>
  <si>
    <t>Milton Cortés</t>
  </si>
  <si>
    <t>Día del maestro</t>
  </si>
  <si>
    <t>TV Cable hidalguense Canal 6</t>
  </si>
  <si>
    <t>Contigo Noticias</t>
  </si>
  <si>
    <t>Juan Carlos Santamaria</t>
  </si>
  <si>
    <t>Detención</t>
  </si>
  <si>
    <t>NQ 90.1 FM</t>
  </si>
  <si>
    <t>Enlace Hidalgo2</t>
  </si>
  <si>
    <t>Jesús Riveros</t>
  </si>
  <si>
    <t>Ke Buena 106.7 FM</t>
  </si>
  <si>
    <t>Noticias 106.7</t>
  </si>
  <si>
    <t>Localización de cuerpo</t>
  </si>
  <si>
    <t>David Cárdenas</t>
  </si>
  <si>
    <t>Enlace Hidalgo1</t>
  </si>
  <si>
    <t>Entrega de infraestructura escolar</t>
  </si>
  <si>
    <t>Ejecuciones</t>
  </si>
  <si>
    <t>Mesas de acercamiento</t>
  </si>
  <si>
    <t>Mundial De Futbol</t>
  </si>
  <si>
    <t>Levantamiento De Cuerpo</t>
  </si>
  <si>
    <t>Alerta Meteorológica</t>
  </si>
  <si>
    <t>OCSAD</t>
  </si>
  <si>
    <t>Gusano barrenador</t>
  </si>
  <si>
    <t>Fuga De Agua</t>
  </si>
  <si>
    <t>Afectaciones Por Lluvias</t>
  </si>
  <si>
    <t>Riña</t>
  </si>
  <si>
    <t>Gobierno de Hidalgo entrega obras educativas por más de 6 mdp en Huejutla</t>
  </si>
  <si>
    <t>Complejo Gubernamental</t>
  </si>
  <si>
    <t>Vía telefónica Milton Cortés informa que el día de ayer la intensa lluvia y granizada ocasionó inundaciones y encharcamientos en los municipios de la zona metropolitana, por lo que se implementó un operativo. Asimismo, advierte que continuaran las lluvias, por lo que hay que tomar precauciones.</t>
  </si>
  <si>
    <t>Atención Afectaciones Por Lluvias</t>
  </si>
  <si>
    <t>Andrés Torres en respuesta a un radioescucha que se queja de la falta de transporte público después de las 8 de la noche, comenta que está complicadísimo el tema del transporte público en el estado y este es un tema que hoy en muchos medios de comunicación en su portadas cuestionan la falta de transporte colectivo después de las 8 de la noche en la capital hidalguense y esto se debe al tema del coso del pase contra el costo de los combustibles, pues no les es redituable prestar el servicio hasta tarde. Es un tema que ha sido denunciado y a ver qué dice al respecto las autoridades del transporte. Estamos esperando que ya entren en operación las nuevas unidades del Tuzobús, pues hacen falta.</t>
  </si>
  <si>
    <t>Falta de transporte</t>
  </si>
  <si>
    <t>Radioescucha señala que además de mejoras del ya odiado Tuzobús, también debe mejorarse el horario de las combis porque después de las 8 ya no hay transporte los domingos</t>
  </si>
  <si>
    <t>Vía telefónica Miguel Ángel Tello Vargas, titular de la Unidad de Planeación y Prospectiva, informó que ayer durante la conferencia semanal del gobierno de Hidalgo, se hizo el lanzamiento de la convocatoria del programa “Impulso Indígena”, un concurso de artesanía y diseño que busca fusionar el arte textil tradicional de las comunidades originarias de Hidalgo con el escenario internacional del mundial de futbol. El objetivo es diseñar una playera que represente a los pueblos originarios durante la celebración, para visibilizar y dignificar su trabajo, así como proyectar su cosmovisión ante el mundo. La convocatoria cierra el 6 de junio. Finalmente habló del programa de reforestación que realiza en todo el estado y con el que ya ha plantado alrededor de 20 mil árboles.</t>
  </si>
  <si>
    <t>Invitan a participar en el Primer Concurso de Ideas sobre Envejecimiento: “Vida plena en todas las etapas”</t>
  </si>
  <si>
    <t>Envejecimiento saludable</t>
  </si>
  <si>
    <t>En menos de 12 horas, cinco ejecutados fueron localizados en Singuilucan, Zempoala y Mixquiahuala. El primero de estos hechos se presentó en Mixquiahuala la madrugada de este lunes, dónde un grupo de personas arribó a un domicilio de la comunidad de Cañada y disparó contra dos sujetos, dejándolos sin vida. Horas más tarde, en Zempoala, se dio aviso sobre un hombre y una mujer con huellas de violencia e impactos de proyectil a orilla de la carretera México-Tuxpan. Asimismo, entre los límites de Epazoyucan y Singuilucan, un sujeto que presuntamente se dedicaba a la venta de vehículos, fue ejecutado. Durante estos hechos violentos en Actopan un sujeto le disparó a su mujer, esto después de tener una pelea. El hoy detenido tenía en su poder dos armas, las cuales presunta utilizó para arrebatarle la vida a su pareja. Por estas ejecuciones, hasta el cierre de la nota no se reportan personas detenidas.</t>
  </si>
  <si>
    <t>La Subsecretaría de Protección civil del Estado de Hidalgo, mantiene la alerta por el pronóstico de lluvias intensas para los próximos días. Hace un llamado a la población a evitar cruzar ríos, manejar con precaución, evitar ingresar a cuerpos de agua, no tirar basura. Ante las altas temperaturas mantenerse hidratado y a informarse a través de los canales oficiales.</t>
  </si>
  <si>
    <t>Hoy el gobernador Julio Menchaca estará con las Ruta de la Transformación en Tezontepec de Aldama.</t>
  </si>
  <si>
    <t>Ruta de la Transformación</t>
  </si>
  <si>
    <t>Andrés Torres comenta que ayer se originó una riña debido al intenso tráfico que se concentra en el semáforo que está entre y San Antonio el Desmonte y el bulevar Las Torres. Pide que mejor cierren la calle, que no haya salida ni del lado de Zempoala o Pachuca al bulevar Las Torres porque esto ocasiona muchos problemas de tráfico. "hasta que no pase algo, no van a hacer algo en ese bulevar, que diariamente ya es un caos". A ver si ya nos hacen caso, porque las cosas se están saliendo de control. A ver si se dan una vuelta por allá a las horas pico o cuando llueve. No aparece por ahí ninguna patrulla y corre uno el riesgo de que lo maten a trompadas.</t>
  </si>
  <si>
    <t>Natividad Castrejón encabeza entrega de 214 títulos profesionales en la UTMZ</t>
  </si>
  <si>
    <t>Titulación</t>
  </si>
  <si>
    <t>Said Vargas Sáenz, secretario general de la Sección 15 del SNTE en Hidalgo, acompañó el homenaje a maestras y maestros de la Organización III en Zimapán, reconociendo su labor y compromiso con la educación. Lo acompañó el secretario de Educación Pública de Hidalgo, Natividad Castrejón a quien agradeció acompañarlo en esta celebración a los docentes.</t>
  </si>
  <si>
    <t>Comité de Emergencias se mantiene activo ante pronóstico de lluvias: Julio Menchaca</t>
  </si>
  <si>
    <t>Reunión Gabinete De Seguridad</t>
  </si>
  <si>
    <t>Una intensa granizada afectó los municipios de Pachuca, Mineral de la Reforma, Actopan. Dicho fenómeno natural ocasionó daños en láminas y algunos vehículos, así como arbustos. Uno de los principales encharcamientos se presentó en el bulevar Minero de Pachuca, dónde el agua obstruye el paso de algunos vehículos, de igual forma en la Tulipanes de Mineral de la Reforma. Para Actopan la techumbre de cancha de básquetbol del CEDECOM, ubicada en la colonia La Floresta, colapsó. Por estos incidentes no se reportaron personas lesionadas, solo daños materiales.</t>
  </si>
  <si>
    <t>Andrés Torres dice que El Vocero Huasteco del 1010 AM, estación que inauguró el gobernador Julio Menchaca, sigue fuera del aire desde hace más de un mes porque el área administrativa no opera. Asimismo asegura que el área administrativa de Radio y Televisión le envió una carta, dónde le dicen que no pida diesel, que está prohibido que lo pida y que si se vuelve a ir al luz lo van a correr. "Imagínese lo que uno tiene que vivir aquí en Radio y Televisión de Hidalgo. No puede ser, me amenazaron con correrme si se va la luz, pero el transformador está descompuesto y no quieren pagar diesel para echar a andar las plantas de luz yo tengo la culpa. Así las cosas en el 1010 AM El Vocero Huasteco que es nuestra estación bilingüe, inaugurada hace 2 años y medio por el gobernador Julio Menchaca y de acuerdo al área administrativa e Radio y Televisión de Hidalgo nomás no va a funcionar porque no quiere, porque no hay dinero. Sí hay dinero para camionetas, sí hay dinero para sus viajes, para sus viáticos, para andarse paseando para eso sí tienen dinero; pero para lo trabajar, para lo que debe haber no hay. Uno es es el malo, uno es el corrupto, uno es el que tiene todos los defectos. El asunto es que sí sabemos de medos de comunicación, nosotros sí somos gente que ha trabajado en los medios y sabemos cómo funciona, no estamos inventando nada no queremos aplicar modelos con los que lucirnos y que en la vida real no funcionen. todo mundo lo sabemos y menos trabajando dentro del gobierno. Es bonito vivir en una nube allá muy lejos de la realidad", señaló.</t>
  </si>
  <si>
    <t>Hostigamiento Laboral</t>
  </si>
  <si>
    <t>Este lunes dio inicio el cuarto concurso de oratoria para la elección de la presidenta o presidente y del Ayuntamiento Infantil por un Día, en el auditorio Benito Juárez del Centro Cívico Social de Tulancingo, evento encabezado por la alcaldesa Lorena García Cázares. Durante la jornada inaugural, se abordaron temas relacionados con la inclusión, la no discriminación, los derechos humanos, la política en México, así como la importancia de la familia y los valores, demostrando creatividad, capacidad de análisis y compromiso social. Entre las escuelas participantes destacaron Jorge Berganza de la Torre, Instituto Cultural Bilingüe Tollancingo, Judith H. Rueda de Villagrán, Héroes de Chapultepec, Escudo Nacional y el Colegio Nueva Generación Pedro Latapí Sarre, así como estudiantes de Pablo López Venegas, compartieron sus propuestas y reflexiones desde el escenario.</t>
  </si>
  <si>
    <t>Concurso De Oratoria</t>
  </si>
  <si>
    <t>Gobierno de Hidalgo invita a participar en el Primer Concurso de Ideas sobre Envejecimiento: “Vida plena en todas las etapas”</t>
  </si>
  <si>
    <t>Concurso Nacional</t>
  </si>
  <si>
    <t>La Comisión Nacional del Agua (Conagua) informó que las presas de la región del Valle de México registran un almacenamiento global del 94 por ciento. Entre los embalses con mayor nivel se encuentran la presa Taxhimay, que supera el 100 por ciento de su capacidad, y la presa Requena, con 138.9 por ciento; sin embargo, la dependencia aclaró que esta última no representa riesgo para la población, debido a los ajustes normales de operación aplicados durante la temporada de lluvias. Asimismo, la presa Endhó reporta un 98.8 por ciento de almacenamiento, mientras que la Rojo Gómez se encuentra al 56.9 por ciento y la Vicente Aguirre al 29.6 por ciento.</t>
  </si>
  <si>
    <t>Disponibilidad de agua</t>
  </si>
  <si>
    <t>Un camión que transportaba peregrinos cayó al fondo de un barranco la noche de este lunes 18 de mayo en el municipio de Tepehuacán de Guerrero, en la Sierra de Hidalgo, dejando varios lesionados, de acuerdo con reportes de autoridades y cuerpos de emergencia. El accidente ocurrió poco antes de llegar al puente de Tenango, sobre el tramo carretero con dirección hacia la comunidad de Ahuatetla, en una zona de difícil acceso y complicada comunicación telefónica.</t>
  </si>
  <si>
    <t>Accidente autobús</t>
  </si>
  <si>
    <t>No hay intención de realizar para el derribo masivo de árboles en la avenida Fomento Minero, cercano al bulevar Felipe Ángeles, en Pachuca, aseguró Mónica Mixtega Trejo, titular de la Secretaría de Medio Ambiente y Recursos Naturales de Hidalgo (Semarnath). La aclaración fue ofrecida durante la conferencia de prensa semanal que realiza el Gobierno del Estado de Hidalgo, este lunes 18 de mayo, y luego de una manifestación llevada a cabo el pasado fin de semana, para protestar contra el supuesto derribo de árboles. La funcionaria explicó que las marcas colocadas en algunos de los árboles ubicados en la zona señalada, forman parte de trabajos técnicos de diagnóstico fitosanitario y valoración del arbolado urbano. “Hoy además del cambio climático y el estrés hídrico ha comenzado a afectar de manera importante en diferentes especies del arbolado urbano. Por ello el marcaje realizado en algunos árboles corresponde únicamente a una herramienta técnica para iniciar procesos de censo, ubicación y valoración fitosanitaria del arbolado urbano”, señaló la funcionaria. Buena parte de los árboles se ubican cercanos a las instalaciones del Centro de Atención y Servicios para el Pueblo. Mixtega Trejo comentó que gran parte del arbolado urbano en distintas vialidades de la capital hidalguense están integrados por especies introducidas en administraciones anteriores. Entre ellos, eucalipto, ficus, trueno, casuarina y algunas variedades de fresno, las cuales actualmente presentan diversos problemas asociados a las condiciones climáticas y urbanas.</t>
  </si>
  <si>
    <t>En cabina Guadalupe Rodríguez Uribe, titular de la Secretaría de Cultura, Educación, Deporte y Juventud de Tulancingo, invita a las madres de familia a acudir a los eventos que se están organizando en la Unidad Deportiva como parte de los festejos del Día de la Madre.</t>
  </si>
  <si>
    <t>Día de la madre</t>
  </si>
  <si>
    <t>La Fiscalía General de la República (FGR) obtuvo, a través de su Fiscalía Federal en el estado de Tlaxcala, sentencias condenatorias históricas por eventos de robo a transporte de carga ocurridos en la autopista Arco Norte.</t>
  </si>
  <si>
    <t>Sentencia</t>
  </si>
  <si>
    <t>Unidad Especial para la Investigación de Homicidio Doloso y Narcomenudeo obtuvo de la autoridad judicial sentencia de 48 años de prisión para responsable de homicidio calificado y lesiones calificadas agravadas</t>
  </si>
  <si>
    <t>Un hombre atacó a balazos a su expareja en Actopan; la joven murió más tarde en el hospital a causa de las lesiones; él fue detenido con dos armas de fuego. Una presunta riña de pareja terminó en tragedia en Actopan, luego de que una joven de 21 años fuera atacada con arma de fuego presuntamente por su expareja sentimental. De acuerdo con información preliminar, elementos de la Dirección de Seguridad Pública y Tránsito Municipal de Actopan acudieron al sitio tras recibir reportes vecinales sobre una discusión entre una pareja. Al arribar al lugar, los policías detuvieron a un hombre identificado como Erick N, de 33 años de edad, señalado de haber disparado contra la joven identificada como Dulce N, de 21 años. El hombre fue puesto a disposición del Ministerio Público, instancia que realizará las investigaciones correspondientes para determinar las circunstancias del caso y definir su situación legal.</t>
  </si>
  <si>
    <t>Feminicidio</t>
  </si>
  <si>
    <t>Una agresión armada registrada la noche de este domingo 17 de mayo, en Mixquiahuala dejó como saldo a dos hombres sin vida al interior de un domicilio ubicado sobre el camino Cañada–Juandhó. De acuerdo con los primeros reportes, cuerpos policiales y personal de Protección Civil acudieron al lugar tras recibir un llamado de emergencia. Sin embargo, al revisar a las víctimas confirmaron que ya no presentaban signos vitales. Tras los hechos, corporaciones de seguridad de Mixquiahuala y Tetepango desplegaron un operativo de búsqueda en la región para tratar de localizar a los presuntos responsables. Información preliminar señala que los agresores habrían escapado en motocicleta con dirección hacia la comunidad de Teñhé. De manera inicial, las autoridades investigan si el ataque podría estar relacionado con un posible ajuste de cuentas; no obstante, el móvil oficial será determinado conforme avancen las indagatorias correspondientes.</t>
  </si>
  <si>
    <t>Mediante cateos en Zempoala y Mineral de la Reforma, detiene PGJEH a tres personas en posesión de armas de fuego, cartuchos útiles y estupefacientes</t>
  </si>
  <si>
    <t>Combate Al Narcomenudeo</t>
  </si>
  <si>
    <t>SSPH refuerza labores en el Altiplano: caen 2 generadores de violencia de la región</t>
  </si>
  <si>
    <t>Combate a la delincuencia</t>
  </si>
  <si>
    <t>El Gobierno de México enviará al Congreso de la Unión una propuesta de reforma para posponer hasta 2028 la elección de jueces, magistradas y magistrados del Poder Judicial federal y de los estados, incluido Hidalgo, proceso que originalmente estaba previsto para 2027. Durante la conferencia matutina de este lunes, la titular de la Consejería Jurídica de la Presidencia, Luisa María Alcalde Luján, informó que la iniciativa cuenta con el respaldo de la presidenta Claudia Sheinbaum y busca evitar la carga operativa y presupuestal que implicaría realizar de manera simultánea las elecciones ordinarias y la renovación del Poder Judicial el próximo año. La propuesta contempla mover la jornada electoral del 6 de junio de 2027 al 4 de junio de 2028, tanto para los cargos judiciales federales como para los locales. Posteriormente, las elecciones continuarían realizándose de manera concurrente con otros procesos electorales. De aprobarse la reforma por el Congreso y los congresos estatales, en 2028 se renovarán cuatro magistraturas de la Sala Superior del Tribunal Electoral del Poder Judicial de la Federación, además de cientos de magistraturas y juzgados federales y locales en distintas entidades del país.</t>
  </si>
  <si>
    <t>Elección Judicial</t>
  </si>
  <si>
    <t>Integrantes de distintas organizaciones instalaron una mesa informativa en Plaza Independencia, en Pachuca, para convocar a un paro nacional los días 20, 21 y 22 de julio, como protesta contra la implementación de la CURP Biométrica en México. Durante esas fechas, proponen no acudir a trabajar, no consumir en tiendas, no realizar operaciones bancarias, no cargar gasolina y permanecer en casa como una forma de manifestación pacífica.</t>
  </si>
  <si>
    <t>CURP Biométrica</t>
  </si>
  <si>
    <t>En la comunidad de Venustiano Carranza en el municipio de Zempoala, fueron localizados dos cuerpos sin vida de un hombre y una mujer en terrenos de cultivo. De acuerdo con los primeros reportes ambas víctimas permanecen calidad de desconocidos y presentaban lesiones severas en la cabeza, además de visibles huellas de violencia. Información preliminar indicó que el hombre tendría aproximadamente 29 años y presentaba un golpe con exposición de masa encefálica. En el caso de la mujer, de alrededor de 25 años, las autoridades detectaron una lesión similar en el lado izquierdo de la cabeza. Los cuerpos fueron encontrados a unos 30 metros de la cinta asfáltica, entre parcelas de cultivo ubicadas a un costado de la vialidad. Tras el reporte, elementos de Protección Civil acudieron al sitio y confirmaron que ambas personas ya no contaban con signos vitales. Posteriormente, corporaciones de seguridad acordonaron la zona para permitir el desarrollo de las diligencias ministeriales. Personal pericial y agentes investigadores realizaron el levantamiento de indicios y el traslado de los cuerpos al Servicio Médico Forense.</t>
  </si>
  <si>
    <t>Con lesiones producidas con arma de fuego, fue localizado el cuerpo sin vida de un hombre, dentro de tierras de cultivo ubicadas dentro del municipio de Singuilucan. Al sitio arribaron elementos policiacos, así como de Protección Civil, confirmando estos últimos que la persona localizada ya no contaba con signos vitales. También acudieron familiares de la persona localizada sin vida, reconociéndole y señalando que se dedicaba a la venta de automóviles. Hasta el momento, no se han dado a conocer mayores detalles sobre cómo ocurrieron los hechos ni si la agresión se registró en el mismo punto donde fue localizado el cuerpo. Personal de la Procuraduría General de Justicia del Estado de Hidalgo inició la investigación respectiva al caso.</t>
  </si>
  <si>
    <t>Un adulto mayor perdió la vida tras ser atropellado sobre el libramiento Pitula-San Alejo, de la autopista México-Tuxpan, dentro del municipio de Tulancingo. La situación se registró durante la mañana del lunes 18 de mayo; aparentemente el hombre intentó cruzar la vialidad, cuando fue embestido por un vehículo automotor que en ese momento circulaba por la zona. Al sitio donde se registró el accidente acudieron elementos de Guardia Nacional división Caminos, localizando al conductor del vehículo compacto color azul, que habría realizado el impacto mortal. Posteriormente arribaron al sitio personal de la Procuraduría General de Justicia del Estado de Hidalgo para iniciar las investigaciones respectivas, y con ello iniciar las investigaciones relacionadas al caso.</t>
  </si>
  <si>
    <t>Conductor repele presuntos “montachoques” en el centro de Tulancingo. El conductor de una camioneta disparó contra los ocupantes de un vehículo, presuntamente "montachoques", quienes le estaban cerrando el paso para no permitirle circular. El incidente se registró la mañana del lunes 18 de mayo sobre avenida Juárez, en el centro de la ciudad de Tulancingo. El conductor de una camioneta Volkswagen color negro, con placas del Estado de Morelos y de modelo reciente, relató a elementos policiacos que los ocupantes de un automóvil Honda con placas del Estado de Guerrero le cerraban el paso para impedirle circular. Algunos de los ocupantes del automóvil bajaron para comenzar a reclamar al conductor de la camioneta; fue en ese momento cuando al sitio acudieron oficiales de la policía municipal, así como de Tránsito y Movilidad. Al notar que el automóvil Honda tenía huellas de accidente, los oficiales procedieron a revisarlo, encontrando a los ocupantes, una mujer y cuatro hombres, entre ellos uno con discapacidad, pero sin localizar ningún objeto o sustancia que pudiera ser sospechosa. Ante la presencia de los uniformados, ambas partes accedieron a llegar a un acuerdo repararorio; incluso los ocupantes del automóvil señalaron prisa para retirarse del lugar.</t>
  </si>
  <si>
    <t>Debido a que no se contaría con la liquidez suficiente, los integrantes de la Asamblea Municipal de Singuilucan rechazaron adquirir un crédito de Banobras por 3. 4 millones para la adquisición de vehículos y equipo para servicio público. Lo anterior ocurrió durante la décimo séptima sesión pública extraordinaria del Ayuntamiento, donde también se rechazó la propuesta para adquirir un crédito por un millón de pesos con el mismo objetivo de adquisición de vehículos de servicio, pero con alcance obviamente menor. En su intervención, la alcaldesa Yazmín Dávila López, recordó que durante la sesión extraordinaria número 15, celebrada el 23 de abril, el Ayuntamiento aprobó por mayoría, dar continuidad al trámite para obtener el financiamiento ante Banobras. Incluso la Comisión de Hacienda del Congreso del Estado de Hidalgo aprobó que el gobierno municipal de Singuilucan solicitara dicho financiamiento. Los recursos para los pagos serían cubiertos con recursos del Fondo General de Participaciones y del Fondo de Fomento Municipal. Pero de dicho fondo también es utilizado actualmente para el pago de créditos y adeudos fiscales heredados por la pasada administración; por ejemplo, en el caso del Impuesto Sobre la Renta, el adeudo es superior a los 14 millones de pesos. De acuerdo con estimaciones de Banobras, el municipio recibiría los 3.4 millones de pesos en julio de 2026, lo cual implicaría que el monto se dividiera en tres amortizaciones.</t>
  </si>
  <si>
    <t>Financiamiento</t>
  </si>
  <si>
    <t>Daniel Martínez le señala al área de Comunicación Social del ayuntamiento de Santiago Tulantepec que la comunicación no es un privilegio mi es algo que se le tenga que "pichicatear" a quien le caiga bien a ellos; que son el departamento de Comunicación Social o el "departamento buena onda" para organizar pachangas con barbacoa incluida, per no para generar información o ser el puente de la información que requiere la población. Ojalá que entiendan que su trabajo es de comunicación social para la sociedad y lo el departamento de la buena onda, aseveró.</t>
  </si>
  <si>
    <t>Comunicación gubernamental</t>
  </si>
  <si>
    <t>Daniel Martínez respeto a que el municipio de Santiago Tulantepec no se ha pronunciado por el posible cierre de la carretera Tulancingo- Santiago Tulantepec por parte de usuarios que se quejan de su mal estado dice que no es lo mismo organizar pachangas e invitar a ruedas de prensa con barbacoa incluida y cosas de ese tipo, que tener la decencia de contestar o dar un posicionamiento oficial sobre este tema, que tiene sin exagerar, prácticamente de pestañas paradas a quienes usan esa vía o a quienes viven por esa zona.</t>
  </si>
  <si>
    <t>A través de WhatsApp comenzó a circular un mensaje en el que se convoca a un presunto cierre de la carretera que conecta a Tulancingo con Santiago Tulantepec para este 19 de mayo, a la altura de Medias Tierras, debido al deterioro de la vialidad y la falta de respuesta de las autoridades. En el mensaje, los inconformes señalan que las autoridades municipales de Santiago Tulantepec y Tulancingo “no hacen nada” para reparar la carretera, además de acusar que tampoco existe información sobre el puente que presuntamente se construiría en el tramo de Genisa. “Ahora sí no la abriremos hasta que nos den una solución”, se lee en la cadena difundida en redes y aplicaciones de mensajería.Hasta el momento, ninguna autoridad ha confirmado oficialmente la movilización ni ha informado sobre algún diálogo con los posibles manifestantes. Sobre el tema, el gobierno municipal de Tulancingo señaló que la rehabilitación de esa zona corresponde a Santiago Tulantepec. En tanto, por parte del gobierno santiaguense no se ha emitido postura alguna respecto a las condiciones de la carretera o los mensajes difundidos a través de la mensajería instantánea. La carretera Tulancingo–Santiago presenta desde hace años severos daños y múltiples baches, situación que ha generado constantes reportes ciudadanos y afectaciones para automovilistas. Ante la falta de mantenimiento, vecinos han comenzado a rellenar algunos hoyos con tabique, tierra y otros materiales disponibles para disminuir riesgos y daños a vehículos. Habitantes recordaron que el año pasado el gobierno municipal de Santiago Tulantepec arrojó tierra y piedra en algunos tramos, aunque los trabajos provisionales duraron apenas unos días. Es un tramo estatal y al final debería haber una gestión compartida.</t>
  </si>
  <si>
    <t>Carretera En Mal Estado</t>
  </si>
  <si>
    <t>A través de WhatsApp comenzó a circular un mensaje en el que se convoca a un presunto cierre de la carretera que conecta a Tulancingo con Santiago Tulantepec para este 19 de mayo, a la altura de Medias Tierras, debido al deterioro de la vialidad y la falta de respuesta de las autoridades. En el mensaje, los inconformes señalan que las autoridades municipales de Santiago Tulantepec y Tulancingo “no hacen nada” para reparar la carretera, además de acusar que tampoco existe información sobre el puente que presuntamente se construiría en el tramo de Genisa. “Ahora sí no la abriremos hasta que nos den una solución”, se lee en la cadena difundida en redes y aplicaciones de mensajería. Hasta el momento, ninguna autoridad ha confirmado oficialmente la movilización ni ha informado sobre algún diálogo con los posibles manifestantes. Sobre el tema, el gobierno municipal de Tulancingo señaló que la rehabilitación de esa zona corresponde a Santiago Tulantepec. En tanto, por parte del gobierno santiaguense no se ha emitido postura alguna respecto a las condiciones de la carretera o los mensajes difundidos a través de la mensajería instantánea. La carretera Tulancingo–Santiago presenta desde hace años severos daños y múltiples baches, situación que ha generado constantes reportes ciudadanos y afectaciones para automovilistas. Ante la falta de mantenimiento, vecinos han comenzado a rellenar algunos hoyos con tabique, tierra y otros materiales disponibles para disminuir riesgos y daños a vehículos.</t>
  </si>
  <si>
    <t>Desde ayer por la mañana comenzó a difundirse un mensaje a través de WhatsApp, en donde se está invitando a pobladores o usuarios de la carretera Tulancingo- Santiago Tulantepec a manifestarse y bloquear esa vialidad por el mal estado en el que está y exigir a las autoridades su reparación. Hasta el momento no hay bloqueo alguno.</t>
  </si>
  <si>
    <t>Andrés Torres dice que El Vocero Huasteco del 1010 AM, estación que inauguró el gobernador Julio Menchaca, sigue fuera del aire desde hace más de un mes porque el área administrativa no opera. Asimismo, asegura que el área administrativa de Radio y Televisión le envió una carta, dónde le dicen que no pida diesel, que está prohibido que lo pida y que si se vuelve a ir la luz lo van a correr. "Imagínese lo que uno tiene que vivir aquí en Radio y Televisión de Hidalgo. No puede ser, me amenazaron con correrme si se va la luz, pero el transformador está descompuesto y no quieren pagar diesel para echar a andar las plantas de luz yo tengo la culpa. Así las cosas, en el 1010 AM El Vocero Huasteco que es nuestra estación bilingüe, inaugurada hace 2 años y medio por el gobernador Julio Menchaca y de acuerdo al área administrativa e Radio y Televisión de Hidalgo nomás no va a funcionar porque no quiere, porque no hay dinero. Sí hay dinero para camionetas, sí hay dinero para sus viajes, para sus viáticos, para andarse paseando para eso sí tienen dinero; pero para lo trabajar, para lo que debe haber no hay. Uno es el malo, uno es el corrupto, uno es el que tiene todos los defectos. El asunto es que sí sabemos de medos de comunicación, nosotros sí somos gente que ha trabajado en los medios y sabemos cómo funciona, no estamos inventando nada no queremos aplicar modelos con los que lucirnos y que en la vida real no funcionen. todo mundo lo sabemos y menos trabajando dentro del gobierno. Es bonito vivir en una nube allá muy lejos de la realidad", señaló.</t>
  </si>
  <si>
    <t>Montachoques</t>
  </si>
  <si>
    <t>Impulso al agro</t>
  </si>
  <si>
    <t>En materia ambiental, la secretaria de medio ambiente y recursos naturales, Mónica Mixtega Trejo, informó sobre la identificación de 27 islas de calor urbano en Pachuca, zonas donde la temperatura es considerablemente más alta. “Pachuca forma parte del proyecto piloto de identificación y evaluación de acciones y proyectos estratégicos para la atención de las islas de calor urbanas en la megalópolis, donde se identificaron 27 zonas con este fenómeno. Entre las zonas prioritarias de atención se encuentran el área del estadio Hidalgo, galerías Pachuca y corredor zona militar Plaza Explanada, espacios conectados precisamente por el bulevar Felipe Ángeles.”</t>
  </si>
  <si>
    <t>Mitigación ambiental</t>
  </si>
  <si>
    <t>Monitoreo De Presas</t>
  </si>
  <si>
    <t>Entrevista vía telefónica Yazmín Dávila, presidenta municipal de Singuilucan - Habló sobre la mesas de acercamiento que se realizará en el munipio de Singuilucan el día de mañana, miércoles 20 de mayo y que será encabezada por el secretario de Gobierno. Guillermo Oliovares Reyna con cerca de 15 dependencias gubernamentales, con el objetivo de escuchar y resolver las inquitudes y problemáticas de la ciudadanía.</t>
  </si>
  <si>
    <t>Elementos de la Procuraduría General de Justicia del Estado de Hidalgo (PGJEH), informaron la detención de un adolescente de identidad reservada realizada por elementos de Seguridad Pública municipal , luego de lesionar con un machete a otra persona. De acuerdo a los primeros reportes, el probable responsable de 15 años es señalado por el delito de lesiones calificadas y fue detenido por la policía y remitido a la Fiscalía de Adolescentes de Pachuca.</t>
  </si>
  <si>
    <t>Este martes fue localizado el cuerpo sin vida de un hombre en un terreno baldío ubicado a un costado de la carretera México–Pachuca, a la altura de la colonia El Mirador, municipio de Zempoala. De acuerdo con el reporte emitido a los servicios de emergencia, el hallazgo ocurrió pasando el puente de Téllez, donde un informante alertó que una persona se encontraba tirada en la vía pública y aparentemente ya sin signos vitales, además de que el cadáver presentaba visibles huellas de quemaduras y estaba siendo devorado por perros. Tras el reporte, al sitio avanzaron elementos de la Subsecretaría de Operación Policial para verificar la situación y acordonar la zona en espera de las diligencias correspondientes por parte de personal ministerial y pericial. Hasta el momento la víctima permanece en calidad de desconocida y serán las autoridades quienes determinen las causas de muerte, así como la posible relación con hechos delictivos. La zona quedó bajo resguardo mientras se realizaban las labores de levantamiento del cuerpo e integración de la carpeta de investigación.</t>
  </si>
  <si>
    <t>Gobierno de Hidalgo invita a participar en el Primer Concurso de Ideas sobre Envejecimiento: “Vida plena en todas las etapas”.</t>
  </si>
  <si>
    <t>Unidad Especial para la Investigación de Homicidio Doloso y Narcomenudeo obtuvo de la autoridad judicial sentencia de 48 años de prisión para responsable de homicidio calificado y lesiones calificadas agravadas.</t>
  </si>
  <si>
    <t>SSPH refuerza labores en el Altiplano: caen 2 generadores de violencia de la región.</t>
  </si>
  <si>
    <t>Natividad Castrejón encabeza entrega de 214 títulos profesionales en la UTMZ.</t>
  </si>
  <si>
    <t>Entrevista vía telefónica Guillermo Huerta Menses, subsecretario de Ingresos de la Secretaría de Hacienda de Hidalgo - Refrendo vehicular: Habló sobre el periodo para realizar el pago del Refrendo Vehicular 2026 que concluye el 30 de junio de 2026. A partir del 1 de julio, la secretaría de Hacienda comenzará a aplicar el cobro conjunto de refrendo y tenencia, multas y/o recargos. Cabe destacar, que, al corte del día de ayer, se contaba con un registro de más de 277 mil vehículos regularizados, 44 mil vehículos más que el año pasado en la misma fecha, así como una recaudación superior a los 475 mdp, más o menos 100 mdp más que el año anterior, lo que se traduce en una respuesta positiva por parte de la ciudadanía en el cumplimiento de esta obligación. Recordó que Hidalgo es la única entidad que otorga beneficios por cumplir con esta obligación, además de que, los recursos que recauden serán aplicados en obras públicas, lo anterior, por instrucción del gobernador Julio Menchaca.</t>
  </si>
  <si>
    <t>Hacienda</t>
  </si>
  <si>
    <t>Refrendo Vehicular</t>
  </si>
  <si>
    <t>Entrevista pautada</t>
  </si>
  <si>
    <t>Hidalgo se consolida en el top 10 de las entidades más pacíficas de México: Índice de Paz 2026.</t>
  </si>
  <si>
    <t>Índice de paz</t>
  </si>
  <si>
    <t>Gobierno de Hidalgo busca precios justos para productores del campo y fortalecer la seguridad alimentaria. (AUDIO NGP).</t>
  </si>
  <si>
    <t>Convoca gobierno de Hidalgo a participar en concurso artesanal, en el marco del mundial de futbol.</t>
  </si>
  <si>
    <t>Reforestación y mitigación ambiental, prioridad para el desarrollo urbano de la entidad. (AUDIO MMT).</t>
  </si>
  <si>
    <t>Gobierno estatal mantiene coordinación permanente para proteger a población afectada por gusano barrenador. (AUDIO VEA).</t>
  </si>
  <si>
    <t>El rector de la Universidad Autónoma del Estado de Hidalgo (UAEH), Octavio Castillo Acosta, denunció un falso perfil en redes sociales que ofrecía apoyo económico. A través de redes sociales, el dirigente universitario mencionó que identificaron perfiles que han suplantado su identidad y enviado supuestos mensajes de apoyos económicos. De acuerdo con el responsable de la máxima casa de estudios, solo tiene su cuenta de Facebook verificada. Por ello llamó a la comunidad universitaria a evitar compartir información personal ni acceder a enlaces sospechosos. Así como compartir esa información entre estudiantes, docentes y administrativos de la casa de estudios. De la misma manera, recalcó que sigan las cuentas oficiales de la universidad para cualquier anuncio que dé a conocer la institución sobre cualquier situación que se presente en el contexto educativo.</t>
  </si>
  <si>
    <t>UAEH</t>
  </si>
  <si>
    <t>Suplantación de identidad</t>
  </si>
  <si>
    <t>La modernización del sistema de registro de predios y el trabajo impulsado por el gobierno de Tulancingo, encabezado por la presidenta municipal Lorena García Cázares, ha permitido incrementar el padrón catastral en 2 mil 303 cuentas, al pasar de 72 mil 950 a 75 mil 253 registros prediales, de septiembre de 2024 a la fecha. Este crecimiento representa no solo un avance administrativo, sino también un paso importante para fortalecer la recaudación municipal y canalizar mayores recursos hacia obras y acciones que contribuyan al bienestar de las familias tulancinguenses. La directora del Departamento de Catastro, Ana María Guzmán López, destacó que los predios urbanos registraron el mayor número de altas en el sistema, reflejando el dinamismo y la expansión ordenada de la ciudad. “Este aumento es vital para que el municipio pueda planear y ejecutar proyectos que beneficien directamente a nuestra comunidad”, afirmó. Durante este año, el sistema cartográfico de Tulancingo ha presentado importantes actualizaciones, entre ellas la modificación de superficies y valores catastrales, así como el registro de un promedio de 117 altas mensuales en distintos asentamientos del municipio. Para registrar un predio, se requiere acreditar la propiedad, presentar identificación oficial del propietario y realizar el pago correspondiente del impuesto predial, que puede incluir hasta cinco años anteriores más el ejercicio actual. A través de campañas de condonación de recargos impulsadas por la administración municipal, se fomenta que más propietarios regularicen su situación, logrando que actualmente seis de cada diez contribuyentes se encuentren al corriente en sus pagos. Asimismo, se prevé que durante este año continúen las estrategias para reducir aún más la cartera vencida y consolidar un padrón sólido, actualizado y confiable. Además del incremento en el padrón, el Departamento de Catastro brinda diversos servicios a la ciudadanía, entre ellos avalúos catastrales, constancias de no afectación de áreas verdes, constancias administrativas e impresión de croquis, fortaleciendo la transparencia y eficiencia en la atención municipal.</t>
  </si>
  <si>
    <t>Modernización catastral</t>
  </si>
  <si>
    <t>Una intensa lluvia acompañada de granizo se registró la tarde del pasado domingo 17 de mayo en el Valle de Tulancingo, no obstante, uno de los municipios más afectados fue Cuautepec, donde se registraron colapsos de techos en algunos domicilios, así como de un techo en el patio de un preescolar en la comunidad de Texcaltepec. El presidente municipal de Cuautepec de Hinojosa, Jorge Hernández Araus, realizó un recorrido por las colonias Tepantitla, Texcaltepec y Almoloya, con la finalidad de supervisar personalmente las afectaciones ocasionadas por las condiciones climatológicas. Durante la jornada de atención inmediata, autoridades municipales, en coordinación con la Dirección de Seguridad Pública, Tránsito y Vialidad Municipal, así como Protección Civil y Bomberos, realizaron la valoración preliminar de daños en al menos ocho viviendas y un preescolar, donde se reportaron inundaciones, filtraciones y afectaciones en techumbres de lámina. Entre los puntos afectados se encuentran domicilios ubicados en Avenida Progreso, en Tepantitla; calles Centenario, Belisario Domínguez y Jesús Valencia, además del preescolar “Lucas Alemán”, en Texcaltepec; así como viviendas localizadas en calles Puebla, 16 de Septiembre y Privada 16 de Septiembre, en la colonia Almoloya. Debido a las afectaciones registradas en el preescolar “Lucas Alemán”, se determinó la suspensión de actividades escolares para este lunes 18 de mayo, como medida preventiva y con el propósito de salvaguardar la integridad de alumnos, docentes y personal educativo. El alcalde Jorge Hernández Araus acudió personalmente a las zonas afectadas para escuchar de primera mano las necesidades de las familias damnificadas y constatar las condiciones en las que quedaron los hogares tras la fuerte tormenta e instruyó que este lunes 18 de mayo personal a su cargo lleve a cabo un censo en las colonias afectadas, con el objetivo de identificar y cuantificar los daños registrados, permitiendo establecer mecanismos de apoyo y atención directa para las personas afectadas. Las autoridades señalaron que las familias con mayores afectaciones fueron resguardadas temporalmente en domicilios de familiares, garantizando su seguridad mientras continúan las labores de evaluación y atención. El gobierno municipal reiteró que mantendrá el seguimiento permanente a esta situación y continuará trabajando de manera coordinada para brindar respaldo a las familias cuautepequenses afectadas.</t>
  </si>
  <si>
    <t>Entrevista vía telefónica Guillermo Huerta Menses, subsecretario de Ingresos de la Secretaría de Hacienda de Hidalgo - Refrendo vehicular: Habló sobre el periodo para realizar el pago del Refrendo Vehicular 2026 que concluye el 30 de junio de 2026. A partir del 1 de julio, la secretaría de Hacienda comenzará a aplicar el cobro conjunto de refrendo y tenencia, multas y/o recargos. Cabe destacar, que, al corte del día de ayer, se contaba con un registro de más de 277 mil vehículos regularizados, 44 mil vehículos más que el año pasado en la misma fecha, así como una recaudación superior a los 475 mdp, más o menos 100 mdp más que el año anterior, lo que se traduce en una respuesta positiva por parte de la ciudadanía en el cumplimiento de esta obligación.</t>
  </si>
  <si>
    <t>Enfermería, pilar humano y profesional del sistema de salud en Hidalgo.</t>
  </si>
  <si>
    <t>Día de la enfermera</t>
  </si>
  <si>
    <t>"NN Nuestras Noticias ""El Resumen"""</t>
  </si>
  <si>
    <t>Tomás Sosa</t>
  </si>
  <si>
    <t>Gobierno de Hidalgo entrega obras educativas por más de 6 mdp en Huejutla, AUDIO APOYO</t>
  </si>
  <si>
    <t>Un cuerpo sin vida fue localizado este martes en un terreno baldío ubicado a un costado de la carretera México-Pachuca, a la altura de la colonia El Mirador, en el municipio de Zempoala.De acuerdo con la información preliminar, el reporte fue realizado a los servicios de emergencia después de que una persona alertara sobre la presencia de un hombre tirado en la vía pública, pasando el puente de Téllez. Al acercarse al sitio, se informó que la víctima aparentemente ya no presentaba signos vitales y que el cuerpo tenía visibles huellas de quemaduras.</t>
  </si>
  <si>
    <t>Tula se convirtió en el Centro de Atención Arqueológica, tras el hallazgo de diversos contextos funerarios, incluidos cinco entierros semejantes a tumbas de tiro, descubiertos durante la excavación de un conjunto doméstico prehispánico, cercano a la comunidad de Ignacio Zaragoza, arqueólogos del Instituto Nacional de Antropología e Historia, el INAH, hablaron acerca del trabajo que realizan, AUDIO APOYO</t>
  </si>
  <si>
    <t>Vestigios Arqueológicos</t>
  </si>
  <si>
    <t>Finaliza la gira de trabajo del gobernador Julio Menchaca Salazar en el municipio de Tezontepec de Aldama; ya en estos momentos se encuentra en Mixquiahuala, y los compañeros de los medios de comunicación platicaron con él y habló sobre un tema muy importante. Informó que antes de su cuarto informe de gobierno, cuando la planta de la Cruz Azul en Tula ya trabaje de manera normal.</t>
  </si>
  <si>
    <t>Cruz Azul</t>
  </si>
  <si>
    <t>Anoche en una función premiere del documental “Azul celeste azul oscuro” de Carlos Batiz y Carlos Carrera, en Cinemex Plaza Artz Pedregal, en donde se exponen algunos de los episodios más complejos que enfrentó la cooperativa durante los treinta y dos años del mandato de Guillermo "Billy" Álvarez. La producción también aborda uno de los momentos más delicados en la historia de la Cruz Azul, recopila diversas acusaciones en contra el ex directivo quien fue detenido en 2025 por lavado de dinero, corrupción, extorsión, amenazas contra cooperativistas y el uso de empresas fantasma para el desvío de recursos. PRESENTAN TRÁILER AUDIO</t>
  </si>
  <si>
    <t>Integrantes de la Unión de Cebaderos del Altiplano de Hidalgo realizaron una manifestación en las instalaciones de Grupo Modelo, ubicadas en Apan, para exigir mejores condiciones en la compra de cebada y un precio justo para sus cosechas.La protesta inició alrededor de las 06:00 horas, cuando productores tomaron los accesos de la planta cervecera como medida de presión ante la inconformidad del sector agrícola.</t>
  </si>
  <si>
    <t>Cebaderos</t>
  </si>
  <si>
    <t>Hidalgo se consolida en el top 10 de las entidades más pacíficas de México: Índice de Paz 2026</t>
  </si>
  <si>
    <t>Convoca gobierno de Hidalgo a participar en concurso artesanal, en el marco del mundial de futbol, AUDIO APOYO</t>
  </si>
  <si>
    <t>El Hospital General de Zona de Tula de Allende, en Hidalgo, abrirá sus puertas de manera completa en octubre de 2026, con 298 camas disponibles y 36 especialidades médicas, anunció el director general del IMSS, Zoé Robledo Aburto. Este espacio forma parte del plan de expansión hospitalaria del gobierno federal, que busca garantizar atención de calidad desde el inicio de la administración de la presidenta Claudia Sheinbaum Pardo.</t>
  </si>
  <si>
    <t>Hospital Tula</t>
  </si>
  <si>
    <t>Hoy el gobernador Julio Menchaca Salazar estuvo en la región de Tula; informó que sigue la atención a los municipios para responder las necesidades de las familias en cada región de Hidalgo con las rutas de la transformación que hoy llegaron a Tezontepec de Aldama y Mixquiahuala, AUDIO APOYO JMS</t>
  </si>
  <si>
    <t>Reportar heridas y revisar al ganado, fundamentales para combatir al gusano barrenador, AUDIO APOYO</t>
  </si>
  <si>
    <t>Radioescucha reporta que los semaforos de Revolución no funcionan</t>
  </si>
  <si>
    <t>Semaforización</t>
  </si>
  <si>
    <t>Radioescucha reporta que siguen sin arreglar los semáforos que están rumbo a Tulipanes por Chedraui, no funcionan</t>
  </si>
  <si>
    <t>Radioescucha Sr. Fidel pide al presidente de Pachuca, venga a ver la calle de Piracantos, esta horrible y si viene ponerle Likes</t>
  </si>
  <si>
    <t>Vialidad En Mal Estado</t>
  </si>
  <si>
    <t>Radioescucha reporta que en Bosques del Peñar están sus calles en pésimas condiciones y pide al ayuntamiento que apoye.</t>
  </si>
  <si>
    <t>Radioescucha reporta que los taxistas ya hicieron su base de taxis en la entrada del ISSSTE, y no dejan pasar a las personas discapacitadas</t>
  </si>
  <si>
    <t>Bases taxistas</t>
  </si>
  <si>
    <t>Radioescucha reporta que ayer algunos taxis no eran empáticos con la lluvia; con trabajos querían brindar el servicio y, si te lo daban, querían cobrar más de la tarifa indicada.</t>
  </si>
  <si>
    <t>Queja transporte público</t>
  </si>
  <si>
    <t>Radioescucha reporta que llevan 4 días sin agua en Bosques del Peñar</t>
  </si>
  <si>
    <t>Radioescucha reporta 4 coladeras destapadas en calle Campo de Tiro en San Antonio el Desmonte</t>
  </si>
  <si>
    <t>Alcantarillado</t>
  </si>
  <si>
    <t>Radioescucha reporta una coladera en mal estado en Rojo Gómez, por la Plaza Premier</t>
  </si>
  <si>
    <t>Radioescucha reporta fuga de agua en la Palma</t>
  </si>
  <si>
    <t>Radioescucha reporta falta de agua en Valle del Palmar</t>
  </si>
  <si>
    <t>Radioescucha reporta una zanja en Bosques del Peñal, ya que Caasim fue a arreglar y dejó la zanja.</t>
  </si>
  <si>
    <t>Zanjas Caasim</t>
  </si>
  <si>
    <t>Radioescucha pide al gobernador que los ayude a regularizar los pagos de las becas de la Transformación, ya que no les pagan a los alumnos del Tec de Pachuca.</t>
  </si>
  <si>
    <t>Becas Para La Transformación</t>
  </si>
  <si>
    <t>Participación semanal de Roberto Rico con el tema: Reforma Judicial. Comentó que la presidenta Claudia Sheinbaum Pardo enviará una iniciativa de reforma para modificar diversos aspectos de la elección judicial, entre ellos aplazar la jornada electoral prevista para 2027 hasta junio de 2028, homologar criterios de evaluación de candidaturas, reducir el número de aspirantes por cargo y simplificar el diseño de las boletas electorales. La propuesta fue presentada este 18 de mayo durante la conferencia matutina del Gobierno Federal por la consejera jurídica de la Presidencia, Luisa María Alcalde, quien sostuvo que la reforma que enviará el Ejecutivo al Congreso sobre la elección judicial busca establecer reglas más claras y no únicamente aplazar este ejercicio hasta 2028.</t>
  </si>
  <si>
    <t>Vía telefónica Guillermo Huerta Menses, subsecretario de Ingresos de la Secretaría de Hacienda de Hidalgo - Habla sobre refrendo vehicular 2026. Informó que ya estamos a un mes, 11 días de que concluya el programa de refrendo vehicular 2026, en donde toda la gente tiene que aprovechar para pagar y obtener los beneficios que otorga la Secretaría de Hacienda por el cumplimiento de esta obligación. Como el gobernador Julio Menchaca dijo, el 100% de los recursos que se recaudan por este programa son destinados a obras en los 84 municipios del Estado de Hidalgo; somos el único estado en la República que otorga beneficios por el pago de una obligación fiscal.</t>
  </si>
  <si>
    <t>La Conagua, a través de su Dirección Local Hidalgo, informó que las presas ubicadas en la región del Valle de México registran actualmente un almacenamiento global del 94 por ciento.De acuerdo con el informe semanal, la presa Taxhimay se encuentra al 100.1 por ciento de su capacidad, con 39.938 millones de metros cúbicos (Mm3) y un derrame de 0.580 metros cúbicos por segundo (m³/s).Por su parte, la presa Endhó registra un almacenamiento de 98.8 por ciento con 180.625 Mm3; la presa Rojo Gómez se ubica al 56.9 por ciento con 22.746 Mm3; mientras que la Vicente Aguirre reporta un 29.6 por ciento de capacidad con 5.274 Mm3.En tanto, la presa Requena alcanza el 138.9 por ciento de almacenamiento con 50.185 Mm3</t>
  </si>
  <si>
    <t>Como parte de las acciones para fortalecer la autonomía y el empoderamiento de las mujeres, la Secretaría de las Mujeres Pachuca llevó a cabo cuatro ediciones del taller de Mecánica Básica, logrando reunir a más de 200 participantes de distintas colonias de la capital hidalguense y municipios cercanos.El alcalde de Pachuca, Jorge Reyes, reconoció la amplia participación registrada en estas actividades y destacó la importancia de generar espacios que permitan a las mujeres adquirir conocimientos prácticos útiles para su vida diaria, fortaleciendo su independencia y confianza.Por su parte, la titular de la Secretaría de las Mujeres Pachuca, Carmen Rincón, señaló que estos talleres forman parte de una estrategia orientada a acercar herramientas y habilidades que contribuyan al desarrollo personal y la autonomía de las mujeres.</t>
  </si>
  <si>
    <t>Impulso a la mujer</t>
  </si>
  <si>
    <t>Ante la preocupación de vecinos de la avenida Fomento Minero por la tala de árboles para la construcción del Centro Administrativo y de Servicios para el Pueblo, Mónica Mixtega, titular de la Secretaría de Medio Ambiente y Recursos Naturales de Hidalgo, aclaró que no se tiene contemplado derribar árboles. Explicó que los árboles que tienen una marca se debe a un censo de valoración para detectar posibles afectaciones de plagas y otros daños, AUDIO APOYO</t>
  </si>
  <si>
    <t>Durante esta conferencia de prensa del gobierno de Hidalgola secretaria de salud Vanessa Escalante dio a conocer que hasta el momento hay siete casos confirmados de gusano barrenador en humanos, AUDIO APOYO</t>
  </si>
  <si>
    <t>Eulalio Larrieta agradece a Edith Balderas de la Secretaria de Educación Pública.</t>
  </si>
  <si>
    <t>Eulalio Larrieta agradece Paola García y Lic. Sarahi Pineda, por estar atentas a los mensajes de la ciudadanía y por atenderlos.</t>
  </si>
  <si>
    <t>TV del Mezquital</t>
  </si>
  <si>
    <t>https://www.youtube.com/watch?v=WRZ3hAkWut4</t>
  </si>
  <si>
    <t>Lluvias, incendios y detenciones marcan la jornada en Hidalgo</t>
  </si>
  <si>
    <t>Oscar Reséndiz</t>
  </si>
  <si>
    <t>Obra en los 84 municipios, garantía de la administración de Julio Menchaca</t>
  </si>
  <si>
    <t>Julio Menchaca anuncia obras de impacto para Mixquiahuala</t>
  </si>
  <si>
    <t>Vinculados a proceso nueve elementos de Seguridad Pública de Progreso de Obregón por homicidio doloso calificado y lesiones Los nueve elementos policiacos municipales de Progreso de Obregón, fueron vinculados a proceso por un juez de control luego de que la Procuraduría General de Justicia del Estado de Hidalgo (PGJEH), presentó datos de prueba suficientes en su contra. Las personas ahora imputadas, identificadas con iniciales A. M. D., D. B. M., M. A. R. H., A. F. C., A. P. M., S. P. S., A. S. A., L. E. A. T. y O. F. Z. R., son investigadas por hechos que la ley sanciona como homicidio doloso calificado y lesiones. El pasado miércoles 13 de mayo, en un operativo conjunto entre Policía Estatal, Ejército Mexicano y agentes de la Agencia de Investigación Criminal (AIC), se realizaron las detenciones. Minutos después del despliegue, los elementos de la Policía Municipal fueron concentrados y formados en la explanada principal, donde agentes de la AIC comenzaron a nombrar uno por uno a los oficiales que serían asegurados. De acuerdo con los reportes, nueve policías municipales fueron separados del resto y posteriormente subidos a camionetas tipo panel de color blanco. Entre las personas detenidas se encuentran ocho hombres y una mujer.</t>
  </si>
  <si>
    <t>Detención de policía</t>
  </si>
  <si>
    <t>El Índice de Paz 2026 colocó a Hidalgo entre los 10 estados más pacíficos de México, señalando que ha logrado contener factores de riesgo relacionados con violencia y delincuencia organizada. Hidalgo logró posicionarse entre las entidades con mejores niveles de seguridad y estabilidad social en México, al colocarse en el noveno lugar nacional dentro del Índice de Paz México (IPM) 2026, elaborado por el Instituto para la Economía y la Paz (IEP). La entidad obtuvo una calificación general de 2.296 puntos, resultado que le permitió mantenerse por tercer año consecutivo dentro del grupo de los diez estados considerados con mejores condiciones de paz en el país. El informe destaca que, en medio de un escenario nacional marcado por problemas de inseguridad y presencia de grupos delictivos en distintas regiones, Hidalgo ha logrado contener factores de riesgo relacionados con violencia y delincuencia organizada. Dentro de la región centro del país, el estado alcanzó la segunda posición regional, únicamente por debajo de Tlaxcala, gracias a reducciones en indicadores considerados clave por el estudio. Uno de los apartados donde la entidad obtuvo mejores resultados fue en los delitos vinculados con la delincuencia organizada, rubro en el que se ubicó en el séptimo lugar nacional con una calificación de 2.034 puntos. En cuanto a delitos cometidos con armas de fuego, el estado se posicionó en el lugar 11 nacional, con un puntaje de 1.834, mientras que la tasa de homicidios se mantuvo en niveles controlados con una evaluación de 1.580 puntos, colocándolo en la posición 12 del país. El análisis también resalta un dato considerado relevante: la diferencia entre la percepción ciudadana y la incidencia real de violencia es menor en Hidalgo en comparación con otras entidades del país.</t>
  </si>
  <si>
    <t>ITESA impulsa talento estudiantil con Maratón de Conocimientos</t>
  </si>
  <si>
    <t>Justa Académica</t>
  </si>
  <si>
    <t>La Secretaría de Salud reconoce el profesionalismo y la entrega del personal de enfermería.</t>
  </si>
  <si>
    <t>Hidalgo fortalece una justicia laboral más humana, accesible e incluyente</t>
  </si>
  <si>
    <t>STPSH</t>
  </si>
  <si>
    <t>Conciliación Laboral</t>
  </si>
  <si>
    <t>Aldo Falcón</t>
  </si>
  <si>
    <t>María Fernanda Ibarra Pelcastre, directora general de Promoción y mercadotecnia de la Secretaría de Turismo, dio a conocer a la audiencia de Canal 6 los requisitos y facilidades que existen para que tanto micro como grandes productoras puedan realizar filmaciones en el estado de Hidalgo, destacando el acompañamiento y apoyo que se brinda a este tipo de proyectos audiovisuales. "Justamente la Secretaría de Turismo es el eje rector que maneja este tipo de vinculaciones, a través de la Secretaría, por supuesto, el Gobierno del Estado, el Gobernador Julio Menchaca, impulsa las producciones dentro del Estado de Hidalgo, justo a través de esta vinculación, tanto en materia federal como en los municipios y en todo lo que abarca, pues el territorio hidalguense". Así mismo, realizó una invitación a las casas productoras y creadores cinematográficos a voltear a ver a Hidalgo como un destino ideal para desarrollar producciones gracias a su diversidad de escenarios, riqueza cultural y potencial turístico.</t>
  </si>
  <si>
    <t>Turismo</t>
  </si>
  <si>
    <t>Producción audiovisual</t>
  </si>
  <si>
    <t>Hoy conocimos a Sebastián Guarneros, director, escritor y productor hidalguense que se prepara para estrenar su segunda película Lo que intentamos ser, proyecto que además llevará a Hidalgo a participar en la edición número 41 del Festival Internacional de Cine con sede en Guadalajara. Durante su encuentro con los medios, el cineasta invitó a la audiencia de Canal 6 a acercarse al cine hecho en Hidalgo, apoyar el talento local y esperar muy pronto el estreno de esta historia que busca conectar con el público a través de sus emociones y escenarios hidalguenses.</t>
  </si>
  <si>
    <t>Este martes 19 de mayo, la Secretaría de Turismo de Hidalgo presentó la participación del estado en la edición número 41 del Festival Internacional de Cine con sede en Guadalajara, donde estará presente la película "Lo que intentamos ser", destacando la proyección cultural y cinematográfica de Hidalgo a nivel nacional e internacional. Presente durante la rueda de prensa, Sebastián Guarneros, director, escritor y productor de la película, compartió cómo nació este proyecto cinematográfico y relató parte del proceso de grabación de la cinta, destacando además la riqueza visual y las múltiples locaciones que ofrece el estado de Hidalgo para impulsar producciones cinematográficas.</t>
  </si>
  <si>
    <t>Inauguran laboratorios para fortalecer formación médica</t>
  </si>
  <si>
    <t>Hospital-Escuela</t>
  </si>
  <si>
    <t>Inauguran laboratorios para fortalecer formación médica en la UTSH</t>
  </si>
  <si>
    <t>Gobierno de Hidalgo llama a tomar acción en la protección a los polinizadores</t>
  </si>
  <si>
    <t>Conservación de Polinizadores</t>
  </si>
  <si>
    <t>Producción hecha en Hidalgo destaca en el Festival de Cine en Guadalajara</t>
  </si>
  <si>
    <t>UPLAPH continúa con divulgación de los apoyos para estudios de posgrado e investigación 2026. (AUDIO MATV).</t>
  </si>
  <si>
    <t>Becas De Posgrado</t>
  </si>
  <si>
    <t>Vinculados a proceso nueve elementos de Seguridad Pública de Progreso de Obregón por homicidio doloso calificado y lesiones.</t>
  </si>
  <si>
    <t>En coordinación operativa, Gabinete de Seguridad da golpe contra la delincuencia en Tepetitlán.</t>
  </si>
  <si>
    <t>IHE fortalece espacios escolares en Actopan.</t>
  </si>
  <si>
    <t>Entrega De Equipo Escolar</t>
  </si>
  <si>
    <t>través de la Secretaría del Despacho del Gobernador, a cargo de Alejandro Velázquez Mendoza, la administración estatal encabezada por Julio Menchaca Salazar gestionó el traslado aéreo de una paciente de 26 años en estado crítico, desde el Hospital Integral de Tlanchinol al Hospital General de Pachuca.</t>
  </si>
  <si>
    <t>Puente aéreo</t>
  </si>
  <si>
    <t>Julio Menchaca anuncia obras de impacto para Mixquiahuala. (AUDIO JMS).</t>
  </si>
  <si>
    <t>Obra en los 84 municipios, garantía de la administración de Julio Menchaca. (AUDIO JMS).</t>
  </si>
  <si>
    <t>Vinculados a proceso nueve elementos de Seguridad Pública de Progreso de Obregón por homicidio doloso calificado y lesiones</t>
  </si>
  <si>
    <t>Producción hecha en Hidalgo destaca en el Festival de Cine en Guadalajara.</t>
  </si>
  <si>
    <t>A través de la Secretaría del Despacho del Gobernador, a cargo de Alejandro Velázquez Mendoza, la administración estatal encabezada por Julio Menchaca Salazar gestionó el traslado aéreo de una paciente de 26 años en estado crítico, desde el Hospital Integral de Tlanchinol al Hospital General de Pachuca.</t>
  </si>
  <si>
    <t>Julio Menchaca anuncia obras de impacto para Mixquiahuala (AUDIO JMS).</t>
  </si>
  <si>
    <t>Obra en los 84 municipios, garantía de la administración de Julio Menchaca.</t>
  </si>
  <si>
    <t>La Unidad de Planeación y Prospectiva de Hidalgo continúa promoviendo las becas de posgrado 2026 y el Fondo Hidalgo Ciencia y Tecnología entre Estudiantes del ITESA en Japán. Su titular, Miguel Ángel Tello Vargas, destacó que estos apoyos buscan fortalecer la formación académica y el desarrollo de proyectos innovadores para atender las necesidades de Hidalgo. Las becas contemplan apoyos de hasta 30 mil pesos para estudios de especialidad, maestría, doctorado y post doctorado, tanto en instituciones nacionales como en extranjeras.Además, el Fondo Hidalgo Ciencia y Tecnología mantiene abierta la convocatoria para financiar proyectos sociales y de investigación científica con recursos de hasta 250 mil pesos. Estamos dando de 200 a 250 mil pesos a los investigadores para que nos ayuden a buscar una propuesta de solución a los problemas de la ciencia. Para las becas, no les dije cuánto era, porque es muy variable, pero son de 16 mil a casi 30 mil pesos al mes a los estudiantes que se van a estudiar otros datos</t>
  </si>
  <si>
    <t>Autoridades estatales desmantelaron un presunto centro de operaciones criminales en el municipio de Tepetitlán, donde fueron aseguradas armas largas, droga y vehículos con reporte de robo. El operativo se realizó en un inmueble de la colonia Sayula Pueblo, mediante trabajos de inteligencia coordinados por la Secretaría de Seguridad Pública de Hidalgo, la Procuraduría Estatal, Sedena y Guardia Nacional. Durante el cateo los agentes localizaron tres rifles calibre .223, un fusil AK-47, 23 cargadores abastecidos y más de 570 cartuchos sutiles, además de chalecos balísticos y equipo táctico. También fueron aseguradas 17 unidades entre camionetas, motocicletas y vehículos tipo SUV y sedan, varios de ellos con reporte de robo o alteraciones en sus medios de identificación. En el lugar se decomisaron además más de mil dosis de presunta droga entre marihuana y cristal, lo que refuerza las investigaciones por posibles actividades de narcomenudeo en la región</t>
  </si>
  <si>
    <t>¿Se acuerda de este caso? ¿No de policías municipales de Progreso de Obregón que fueron detenidos? Pues ahora ya están vinculados a proceso por los delitos de homicidio doloso calificado y lesiones, informó la Procuraduría de Hidalgo. Los imputados fueron detenidos el pasado 13 de mayo durante un operativo coordinado por el Gabinete de Seguridad en la colonia centro de ese municipio. Durante la audiencia inicial, el Ministerio Público presentó datos de pruebas suficientes para que un juez de control dictara la vinculación a proceso contra los exelementos de seguridad pública municipal. Además, la autoridad judicial les impuso la medida cautelar de prisión preventiva oficiosa y fijó un plazo de tres meses para el cierre de la investigación complementaria. Cambiemos de tema. Las lluvias registradas en Hidalgo ya dejan afectaciones en al menos 10 municipios, con caída de árboles, encharcamientos y derrumbes. Mientras las autoridades mantienen activo el Comité de Emergencias, los incidentes por lluvias e incendios siguen acumulándose. Tan solo este año ya suman 367 siniestros en la entidad,</t>
  </si>
  <si>
    <t>PIBEH impulsa el crecimiento profesional de quienes forman parte de la institución, AUDIO APOYO</t>
  </si>
  <si>
    <t>Firma De Convenio</t>
  </si>
  <si>
    <t>Reportar heridas y revisar al ganado, fundamentales para combatir al gusano barrenador</t>
  </si>
  <si>
    <t>Obra en los 84 municipios, garantía de la administración de Julio Menchaca, AUDIO APOYO</t>
  </si>
  <si>
    <t>Julio Menchaca anuncia obras de impacto para Mixquiahuala, AUDIO APOYO</t>
  </si>
  <si>
    <t>Como parte de estas rutas de la transformación el gobernador de Hidalgo Julio Menchaca Salazar encabezó una gira de trabajo en Mixquiahuala de Juárez donde supervisó y anunció obras de infraestructura educativa y urbana con una inversión estatal superior a los 154 millones de pesos. Durante su visita al Instituto Tecnológico Superior del Occidente del estado de Hidalgo, el mandatario destacó que la prioridad es fortalecer la educación y generar mejores oportunidades para la juventud hidalguense. Ahí supervisó la construcción de una barda perimetral y la rehabilitación del edificio 1 del plantel. AUDIO DE APOYO,</t>
  </si>
  <si>
    <t>El gobernador de Hidalgo, Julio Menchaca Salazar, anunció nuevas obras y apoyos para Tezontepec de Aldama durante su cuarta visita al municipio como parte de las rutas de la transformación y los servicios para el pueblo. El mandatario informó que lo que va de su administración se han destinado a más de 169 millones de pesos en infraestructura para esa demarcación con obras de agua potable, pavimentaciones y rehabilitación de carreteras.Para este año adelantó la segunda etapa de la carretera San Gabriel Carrasco, la rehabilitación del boulevard de acceso, la plaza principal y la reposición del puente en la cruz sobre el río Salado. AUDIO DE APOYO,</t>
  </si>
  <si>
    <t>Andrés Torres comenta que ayer Latinus publicó un reportaje sobre el costo de las tarifas de los taxis en Pachuca y vaya exhibida. Tomaron tres taxis, uno de Villas al Centro; otro del Centro a una colonia popular y de regreso. En los 3 viajes les cobraron el 50% o hasta el 100% del doble de la tarifa. Andrés Torres justifica estos aumentos a las actuales obras que ocasionan el aumento del tiempo de viaje y por lo tanto el gasto de gasolina.</t>
  </si>
  <si>
    <t>Alteración tarifa de transporte</t>
  </si>
  <si>
    <t>Andrés Torres y Milton Cortés comentan que ayer y en los últimos días el bulevar Felipe Ángeles, Santa Catarina, Las Torres y Nuevo Hidalgo, así como otras vías se han vuelto un problema por el gran tráfico vial derivado de las obras. Todo mundo busca vías alternas y estas están saturadas, falta presencia de elementos policíacos y se arman batallas campales entre los conductores.</t>
  </si>
  <si>
    <t>Rehabilitación Vial</t>
  </si>
  <si>
    <t>Vía Telefónica Milton Cortés informa que en Zempoala existe preocupación entre habitantes de la comunidad de El Mirador y Venustiano Carranza, así como de Estacionamientos por la inseguridad que se ha vivido en los últimos meses. La noche de este martes un joven fue herido por arma blanca a unos pasos de la presidencia municipal en una riña callejera. Solicitan más rondines policiacos y que exista mayor coordinación metropolitana entre Zempoala, Mineral de la Reforma y Pachuca por el aumento de delitos en las últimas 6 semanas.</t>
  </si>
  <si>
    <t>Exigen seguridad</t>
  </si>
  <si>
    <t>Habitantes de la comunidad de La Loma del Oro se manifestaron frente a la presidencia municipal de Ixmiquilpan, Hidalgo, para exigir la reapertura del histórico camino intercomunitario que conecta con la localidad de Panales. Los vecinos denunciaron que la vía fue cerrada por un particular para unir sus propiedades. Le dijeron al alcalde Emmanuel Hernández que cuando estuvo en campaña nadie iba a estar por encima de la ley y entonces por qué les cierran el camino. El ayuntamiento no se ha pronunciado al respecto.</t>
  </si>
  <si>
    <t>Exigencia de obra</t>
  </si>
  <si>
    <t>Andrés Torres comenta que hace unos días le fue entregado un Doctorado Honoris Causa al Subprocurador de Justicia, Iram González y en algunos medios hubo controversia. Hay medios de que dicen que el Subprocurador aspira a ser alcalde de Mineral de la Reforma, pero él no lo cree, pues piensa que es unos de los prospectos para ser el próximo Fiscal General del Estado.</t>
  </si>
  <si>
    <t>Transición a Fiscalía</t>
  </si>
  <si>
    <t>Personal de Protección Civil de Pachuca y Bomberos de Hidalgo, retiraron un panal de abejas en la presidencia municipal de Pachuca.</t>
  </si>
  <si>
    <t>Vinculación A Proceso</t>
  </si>
  <si>
    <t>En la Colonia el Mirador del municipio de Zempoala fue localizado el cuerpo de un persona semicalcinado, de acuerdo a la Secretaría de Seguridad Pública mediante una llamada telefónica se dio aviso de este hallazgo en un terreno del Cultivo. al lugar arribó la Procuraduría General de justicia del Estado de Hidalgo para abrir la carpeta de investigación correspondiente.</t>
  </si>
  <si>
    <t>Radioescucha, Roberto Pérez Serrano: Excelente gira del gobernador por Tezontepec de Aldama con grandes obras de impacto social y con la promesa de inauguración y puesta en operación de la nueva línea de conducción de agua potable de nuestro gobernador y el director de la Conagua.</t>
  </si>
  <si>
    <t>Desarrollan proyecto verde y azul en el municipio de Tula</t>
  </si>
  <si>
    <t>Parque ecohidrológico</t>
  </si>
  <si>
    <t>En un ambiente de unidad, reconocimiento y celebración, la Organización VI de la Sección 15 del Sindicato Nacional de Trabajadores de la Educación (SNTE) llevó a cabo el magno festejo. Reuniendo a cientos de trabajadores de la educación de dicha región. El evento contó con la presencia de autoridades sindicales, educativas e invitados especiales, la Lic. Maricarmen Mandujano, acudió con la representatividad del Dr. Natividad Castrejón Valdez, refrendando el compromiso institucional con el magisterio hidalguense quien reconoció la invaluable labor de quienes dedican de manera profesional su vida a la educación. Durante el acto protocolario, se destacó el papel fundamental de las maestras y los maestros como agentes de transformación social, constructores o posibilitadores de conocimientos y pilares esenciales para el desarrollo de Hidalgo y de México.</t>
  </si>
  <si>
    <t>El día de hoy el gobernador encabezará un evento en un salón de fiestas de Pachuca con motivo del Día del Maestro.</t>
  </si>
  <si>
    <t>Andrés Torres comenta que e la zona de la huasteca es común que en la temporada de calor por la alta demanda de energía eléctrica hay fallas y no es culpa suya como dicen y hoy el 92.7 FM, trabaja con su planta a diesel a toda capacidad para seguir informando, pues el voltaje eléctrico es tan bajo que prácticamente no hay luz. Reitera que no es su culpa que no haya luz y que si buscan culpables pues volteen al cielo, porque de repende las incapacidades y las ineptitudes solamente permiten descargar culpas. "Aquí no se aplican modelos, aquí se trabaja todos los días en la calle, e las estaciones para llevar la información a usted. Estamos fuera del aire desde hace más de un mes en el 1010 AM El Vocero Huasteco, estación en Náhuatl y en castellano. La primera estación que inauguró el gobernador Julio Menchaca, está fuera del aire porque no quieren ponerla al aire las áreas administrativas porque dicen que no tienen dinero. Nosotros sí trabajamos diario, no ponemos pretextos, estamos al pie del cañón para darle información. También menciona que no en Tulancingo no hay señal de radio y televisión.</t>
  </si>
  <si>
    <t>Radiodifusoras</t>
  </si>
  <si>
    <t>Inauguran laboratorios para fortalecer formación médica La Universidad Tecnológica de la Sierra Hidalguense (UTSH) inauguró los nuevos Laboratorios de Medicina, proyecto que representó una inversión superior a los 5 millones de pesos para fortalecer la formación académica y práctica de las y los estudiantes de la carrera de Médico Cirujano. La obra contempla seis áreas especializadas: Laboratorio de quirófano y expulsión, simulación, pediatría, hospitalización, consulta externa y procedimientos básicos, espacios diseñados para acercar al alumnado a escenarios reales de atención médica. Durante el acto inaugural, en representación del secretario de Educación Pública de Hidalgo, Natividad Castrejón Valdez, el director general de Educación Superior, Emmanuel Flores Bermúdez, indicó que con esta infraestructura, las y los estudiantes fortalecerán sus competencias clínicas, la toma de decisiones y el desarrollo de habilidades profesionales y humanas fundamentales para el ejercicio médico.</t>
  </si>
  <si>
    <t>Las bibliotecas públicas de Tulancingo continúan consolidándose como verdaderos centros de aprendizaje, recreación y desarrollo cultural para la comunidad. Así lo reconoció Arturo Alvar Gómez Xelhuantzi, jefe de Proyectos Especiales de la Dirección General de Bibliotecas del Gobierno Federal, durante su reciente visita al municipio. Su presencia coincidió con actividades que reflejan el dinamismo cultural que hoy distingue a la red de bibliotecas municipales y a la Biblioteca Pública Regional Sor Juana Inés de la Cruz. Entre ellas destacó la presentación de la obra teatral “Conjuro en Tres”, una puesta en escena que imaginó un encuentro entre las escritoras Elena Garro, Rosario Castellanos y Pita Amor.</t>
  </si>
  <si>
    <t>Bibliotecas</t>
  </si>
  <si>
    <t>A unas semanas de que se anunciará la apertura de un nuevo relleno sanitario privado, para atender la demanda en la recolección de basura en Tula, la noche del lunes, el ayuntamiento informó la suspensión del servicio. En lo que va del año, ya son dos las ocasiones que ocurre la problemática, luego del cierre del relleno sanitario regional y la cancelación del polo de desarrollo de economía circular. De acuerdo con la información, emitida por el municipio, no se tiene fecha para la reanudación del servicio. Sobre el nuevo relleno sanitario, la titular de la Semarnath, Lizbeth Robles dijo que el proyecto ya está en fase de construcción debido a que la alcaldía ya cumplió con los requisitos para el impacto ambiental.</t>
  </si>
  <si>
    <t>Recolección De Basura</t>
  </si>
  <si>
    <t>La rápida reacción de elementos de la Policía Preventiva de Pachuca permitió frustrar un robo al interior del restaurante María Palapa, ubicado sobre el bulevar Felipe Ángeles, en la colonia Santa Julia. El incidente fue detectado por la propietaria del establecimiento, quien observó a través de las cámaras de videovigilancia la presencia de un hombre dentro del inmueble fuera del horario habitual, por lo que solicitó apoyo mediante los números de emergencia. Minutos después del reporte, agentes de la Secretaría de Seguridad Pública, Tránsito y Vialidad arribaron al lugar y desplegaron un operativo al interior del restaurante, donde localizaron y aseguraron al presunto implicado antes de que pudiera huir.</t>
  </si>
  <si>
    <t>Un oficial de la policía de Pachuca se encuentra en recuperación luego de que fuera atropellado el pasado 18 de mayo por un hombre que circulaba sobre el bulevar San Javier y que se dio a la fuga.</t>
  </si>
  <si>
    <t>Atropellamiento de policía</t>
  </si>
  <si>
    <t>Un accidente vial registrado sobre la carretera Pachuca-Sahagún, a la altura del municipio de Tlanalapa, dejó al menos cuatro personas lesionadas, durante la mañana del martes 19 de mayo. El percance ocurrió en el tramo cercano a la comunidad de Tepeyahualco, donde el vehículo salió del camino y posteriormente volcó. Tras el reporte, paramédicos y cuerpos de auxilio se trasladaron al sitio para brindar atención inmediata a las personas lesionadas, quienes fueron trasladadas para ofrecerles atención médica especializada tras estabilizarles. De manera preliminar, se informó que los ocupantes fueron estabilizados en el lugar antes de ser trasladados a un hospital, donde recibirían valoración médica y tratamiento correspondiente.</t>
  </si>
  <si>
    <t>Una persona que se encontraba dirigiendo a uno de los equipos de fútbol que jugaban un parido en la cancha de fútbol rápido de la zona residencial Puerta de Hierro en Pachuca, murió repentinamente la noche de ayer tras caer desvanecido al parecer por causas naturales. El hecho genero la movilización de cuerpos de emergencia que llegaron en auxilio del masculino que ya no tenía signos vitales. El hecho fue del dominio del ministerio público que realizó el levantamiento de la victima no identificada que al parecer murió por un infarto sin embargo las autoridades determinaran la causa del deceso.</t>
  </si>
  <si>
    <t>Un cuerpo sin vida en avanzado estado de descomposición fue localizado en la colonia El Mirador, perteneciente al municipio de Zempoala. Los hechos ocurrieron en un terreno de siembra situado en inmediaciones de la carretera México-Pachuca, donde pobladores reportaron a las autoridades la presencia de un cuerpo que ya era comido por la fauna del lugar y presentaba huellas de violencia. Un cuerpo sin vida en avanzado estado de descomposición fue localizado en la colonia El Mirador, perteneciente al municipio de Zempoala. Al trasladarse hasta la zona elementos de la Policía estatal y municipal confirmaron lo sucedido y procedieron a resguardar la zona, en espera del personal ministerial de la Procuraduría General de Justicia del Estado de Hidalgo (PGJEH), para la realización de las investigaciones correspondientes y el posterior retiro del cuerpo.</t>
  </si>
  <si>
    <t>Dos personas murieron y al menos 18 resultaron lesionadas luego de que la camioneta en la que viajaban cayera a un barranco en la comunidad de Tenango, perteneciente al municipio de Tepehuacán de Guerrero. La camioneta de doble cabina presuntamente se quedó sin frenos al llegar al puente de Tenango, lo que provocó que el conductor perdiera el control y se precipitara al barranco. En un video difundido en redes sociales se observa a un hombre, quien dijo ser el conductor de la unidad, subir hasta la carretera para pedir ayuda; metros abajo se aprecia una luz y se escuchan gritos de auxilio. Al lugar arribaron cuerpos de emergencia de varios municipios aledaños, quienes trasladaron a hospitales de la región a las personas lesionadas. Algunas víctimas también fueron auxiliadas por automovilistas que circulaban por la zona.</t>
  </si>
  <si>
    <t>La discusión sobre las corridas de toros en Hidalgo podría quedar en manos de la ciudadanía. Este martes 19 de mayo de 2026, diputados de Morena y Nueva Alianza presentaron ante el Congreso local una solicitud de consulta popular para que los hidalguenses decidan si la tauromaquia debe continuar permitiéndose en el estado o si debe prohibirse por completo. La propuesta fue impulsada por las diputadas Paloma Barragán, Alma Rosa Elías Paso, Diana Rangel Zúñiga, Lizbeth Ordaz Islas e Hilda Miranda Miranda, además de los legisladores Andrés Velázquez Vázquez, Miguel Ángel Moreno Zamora, Juan Pablo Escalante Urban, Arturo Gómez Canales, José María Alejandro Pérez Ramírez y Jorge Argüelles Salazar. Durante la sesión, se explicó que el mecanismo de participación ciudadana busca conocer la postura de la población respecto a la realización de corridas de toros y demás actividades relacionadas con la tauromaquia, así como definir si esta práctica debe seguir considerándose parte del patrimonio cultural inmaterial de Hidalgo.</t>
  </si>
  <si>
    <t>Congreso</t>
  </si>
  <si>
    <t>Tauromaquia</t>
  </si>
  <si>
    <t>Las altas temperaturas registradas durante las últimas semanas de este 2026 han generado preocupación entre corporaciones de emergencia de la región Tulancingo, luego de que Bomberos y Protección Civil de Tulancingo confirmaran la atención de cuatro casos de golpe de calor. La dependencia informó que los síntomas por agotamiento o golpe de calor pueden confundirse con enfermedades virales, ya que incluyen fatiga, debilidad, náuseas, vómito, mareos, calambres musculares, dolores corporales e irritabilidad. También alertaron sobre signos de alarma como aumento súbito de la temperatura corporal, confusión mental y pérdida de conocimiento. De acuerdo con la corporación, los sectores más vulnerables son personas trabajadoras al aire libre, deportistas que realizan actividades bajo el sol, adultos mayores, niñas y niños, así como mascotas. Además, señalaron que las altas temperaturas también han provocado un incremento en incendios de pasto, hierba seca y basura en terrenos baldíos durante esta temporada. Entre las recomendaciones emitidas se encuentran vestir ropa ligera y de colores claros, utilizar sombrero o sombrilla, evitar actividades físicas intensas durante las horas de mayor calor, mantenerse hidratados y no dejar a menores o animales dentro de vehículos cerrados.</t>
  </si>
  <si>
    <t>Golpe de calor</t>
  </si>
  <si>
    <t>San Luis Potosí se ubicó en el lugar 18 de 32 entidades federativas en el Índice de Paz México 2026, estudio realizado por el Instituto para la Economía y la Paz (IEP), el cual utiliza diversos indicadores relacionados con la comisión de delitos y percepción de seguridad para definir los niveles de paz en los estados. De acuerdo con información de este estudio, la paz mejoró en 22 estados, mientras que se deterioró en 10, entre los que se encuentra San Luis Potosí. En este sentido, Colima es el estado que ha registrado el mayor deterioro en la paz desde el 2015, experimentando deterioros en todos los indicadores del Índice de Paz México (IPM).</t>
  </si>
  <si>
    <t>Aproximadamente 20 hectáreas de invernaderos ubicados en Acatlán, resultaron afectadas por la lluvia acompañada de granizo que se registró durante el pasado domingo 17 de mayo. El alcalde Pasiano Barranco Islas señaló que las afectaciones son sobre todo en los recubrimientos de plástico; aunque los daños no son tan visibles, los productores estarán revisando las estructuras para evitar registro de goteo. Señaló que el goteo puede provocar humedad no controlada, lo que puede dañar a las plantas y provocar incluso que se pudra la producción, así como el registro de plagas dentro los espacios de producción agrícola controlada. El Yolo, La Unión, San Bartolo, entre otras localidades ubicadas en la zona de barrancas dentro del municipio, es donde se encuentra la mayoría de los invernaderos donde se registraron las afectaciones. Barranco Islas señaló que de mantener vigilancia los productores de sus cultivos para evitar el ingreso de humedad, la producción del presente ciclo agrícola aún puede salvarse y ser rentable. Derivado de la lluvia con granizo registrado el pasado fin de semana, también se registraron afectaciones en algunos cultivos a cielo abierto, sobre todo en la localidad de San Bartolo. En este momento, tanto el alcalde como sus colaboradores están realizando recorridos para evaluar la magnitud de los daños, por lo que sería en los próximos días cuando se conozca el tipo de apoyos que se brindará a los productores afectados.</t>
  </si>
  <si>
    <t>afecta</t>
  </si>
  <si>
    <t>Este miércoles 20 de mayo, el Centro Cultural Ricardo Garibay se convertirá en un espacio de oportunidades para quienes buscan empleo, a través de Emplea Tulancingo 2026, donde decenas de empresas de la región ofrecerán vacantes en los ramos operativo, técnico y administrativo. Gracias a la colaboración entre la Secretaría de Trabajo y Previsión Social de Hidalgo, a través del Servicio Nacional del Empleo Hidalgo, y la administración municipal, encabezada por la presidenta Lorena García Cázares, los asistentes podrán acceder a entrevistas laborales y postularse directamente a los puestos que más se ajusten a su perfil, de 10:00 a 15:00 horas. Desde el inicio de su gestión, la presidenta Lorena García Cázares ha fomentado la vinculación directa entre buscadores de empleo y empresas locales. En la edición 2025 de Emplearte, realizada en presidencia municipal, se ofertaron más de 250 vacantes y participaron una veintena de empresas, beneficiando a hombres y mujeres de ocho municipios de la región.</t>
  </si>
  <si>
    <t>Vinculación Laboral</t>
  </si>
  <si>
    <t>Productores de cebada bloquearon los accesos a la empresa cervecera multinancional instalada en el municipio de Apan, buscando mejorar el precio por tonelada del grano que se les ofrece, actualmente de siete mil pesos. Fueron los integrantes de la Unión de Cebaderos del Altiplano Hidalguense (UCAH) quienes realizaron el bloqueo, señalando que dos años a la fecha el precio del producto se registra a la baja, pues de 8 mil 400 en 2024, el año pasado se fijó en 7 mil 500. Agregaron que la empresa cervecera no adquirió toda la producción hidalguense, pues lo hizo también de otras partes del país, lo que ha complicado aún más sus ingresos. El secretario de Agricultura de Hidalgo, Napoleón González Pérez, informó a inicios de esta semana que continúa la negociación para buscar “precios justos” en la tonelada de cebada que actualmente se comercializa en 7 mil pesos. A partir de 2023, la cebada maltera ocupa el primer lugar de producción en Hidalgo, tanto en cantidad como en la extensión de hectáreas, explicó. En dicho año el registro fue de 174 mil 298 toneladas producidas, lo que aumentó a 195 mil 412 para la anualidad 2024; sin embargo, para 2025 existió una baja del 5 por ciento al pasar a 184 mil 915 toneladas. Uno de los puntos principales de la solicitud por parte de los productores es la garantía de compra de alrededor de 15 mil toneladas de cebada correspondientes al próximo ciclo agrícola.</t>
  </si>
  <si>
    <t>Saderh</t>
  </si>
  <si>
    <t>Diez infracciones emitidas por el Gobierno de Tulancingo por invasión de espacios públicos, en la zona conocida como Pifsal y al interior de la Central de Abastos en el mismo espacio, se registró en las inspecciones que se han realizado desde inicio de esta semana. Por medio de un comunicado oficial, también se informó sobre la clausura temporal de un negocio que reincidió en colocar objetos y mercancías sobre la banqueta. El pasado viernes se inició con la notificación preventiva a comerciantes y locatarios, a fin de que regularizaran voluntariamente sus espacios y retiraran mercancía, estructuras u objetos colocados sobre banquetas y áreas de circulación. En ese momento se les señaló que en caso de no hacerlo, se aplicarían medidas como las que finalmente se concretaron a los negocios citados. Fue este martes 19 de mayo y como seguimiento al operativo, se efectuó la clausura de un comercio que reincidió en laextensión de su actividad comercial sobre la banqueta. El objetivo del operativo es garantizar una movilidad segura, ordenada y libre de obstáculos para peatones y automovilistas. Con ello además se busca agilizar la movilidad, evitar accidentes y establecer espacios más adecuados para el comercio. Estas acciones son coordinadas por las direcciones de Reglamentos, Mercados y Central de Abastos, Bomberos y Protección Civil, así como Movilidad y Transporte, con el respaldo de elementos de Seguridad Pública Municipal.</t>
  </si>
  <si>
    <t>Ambulantaje</t>
  </si>
  <si>
    <t>Comenzamos con información del panorama deportivo ya que, la delegación hidalguense culminó su participación en la disciplina de judo dentro de la olimpiada nacional 2026, con una destacada actuación al conquistar dos medallas de oro y dos presas de bronce durante la última jornada de competencias, cerrando así su participación con un total de tres oros y seis bronces, los hidalguenses Cynthia Kab Rubio Martínez en la categoría -48 kilogramos, sub 21 y Emiliano Rubio Martínez en los -60 kilogramos sub-24 se proclamaron campeones nacionales tras una sobresaliente participación sobre el Tatami, adjudicándose la medalla de oro para Hidalgo, así mismo Carol Olvera evangelista en la división -48 kilogramos y María de Guadalupe Márquez Amador en la categoría +70 kilogramos sub-24 lograron subir al pódium nacional luego de obtener la medalla de bronce en sus respectivas competencias.</t>
  </si>
  <si>
    <t>Nacionales Conade</t>
  </si>
  <si>
    <t>Con el objetivo de fortalecer el emprendimiento juvenil y brindar oportunidades de desarrollo económico a las nuevas generaciones, el presidente municipal de Mineral de la Reforma, Eduardo Medécigo Rubio, realizó la entrega de apoyo económico dentro del programa “Juventud Innovadora”. Esta iniciativa tuvo como propósito seleccionar y respaldar a los 30 mejores proyectos de jóvenes emprendedores del municipio, quienes recibieron un apoyo económico inicial de 10 mil pesos para el arranque y consolidación de sus microempresas.</t>
  </si>
  <si>
    <t>Apoyo a emprendedores</t>
  </si>
  <si>
    <t>Como parte de las acciones para fortalecer la autonomía y el empoderamiento de las mujeres, la Secretaría de las Mujeres Pachuca llevó a cabo cuatro ediciones del taller de Mecánica Básica, logrando reunir a más de 200 participantes de distintas colonias de la capital hidalguense y municipios cercanos. El alcalde de Pachuca, Jorge Reyes, reconoció la amplia participación registrada en estas actividades y destacó la importancia de generar espacios que permitan a las mujeres adquirir conocimientos prácticos útiles para su vida diaria, fortaleciendo su independencia y confianza. Por su parte, la titular de la Secretaría de las Mujeres Pachuca, Carmen Rincón, señaló que estos talleres forman parte de una estrategia orientada a acercar herramientas y habilidades que contribuyan al desarrollo personal y la autonomía de las mujeres.</t>
  </si>
  <si>
    <t>En la Colonia el Mirador del municipio de Zempoala fue localizado el cuerpo de una persona semicalcinado, de acuerdo a la Secretaría de Seguridad Pública mediante una llamada telefónica se dio aviso de este hallazgo en un terreno del Cultivo. al lugar arribó la Procuraduría General de justicia del Estado de Hidalgo para abrir la carpeta de investigación correspondiente.</t>
  </si>
  <si>
    <t>A partir del próximo 3 de junio y hasta el 3 de julio comenzará la entrega de tarjetas de pago de la beca Rita Cetina, específicamente el programa dirigido a estudiantes de primaria y que contempla un apoyo anual de 2 mil 500 pesos. Sin embargo, el depósito correspondiente llegará hasta agosto de 2026. El delegado del Bienestar en Hidalgo, Abraham Mendoza, informó que en la entidad serán 109 mil 300 beneficiarios, mientras que a nivel nacional el padrón supera los 7 millones de estudiantes. Asimismo, explicó que cada escuela colocará carteles informativos con la fecha, hora y lugar donde madres, padres y tutores deberán acudir para recoger las tarjetas, por lo que llamó a las familias a mantenerse atentas a los avisos en los planteles educativos.</t>
  </si>
  <si>
    <t>Delegación</t>
  </si>
  <si>
    <t>Programas Del Bienestar</t>
  </si>
  <si>
    <t>El Síndico Procurador del ayuntamiento de Huichapan, Israel Bautista Suarez, presentó una denuncia ante la Fiscalía Especializada en Delitos de Corrupción contra quien resulte responsable por posibles irregularidades de más de dos millones de pesos detectadas en diversos servicios prestados durante la Feria del Calvario 2025. En entrevista para Quadratín Hidalgo, el funcionario explicó que, tras revisar la documentación correspondiente a los gastos realizados para la organización de esta festividad, encontró dichas observaciones. Detalló que entre las inconsistencias detectadas se encuentra una presunta duplicidad de pagos, ya que algunos servicios habrían sido cubiertos en más de una ocasión por el mismo concepto, aunque con distintos proveedores, situación que consideró irregular. Por ello, exigió investigar el manejo de los recursos públicos destinados a la organización de dicho evento. Asimismo, indicó que será la autoridad ministerial la encargada de determinar si existieron responsabilidades administrativas o penales derivadas de estas posibles irregularidades financieras relacionadas con la Feria del Calvario 2025.</t>
  </si>
  <si>
    <t>Desvío de recursos</t>
  </si>
  <si>
    <t>Las fuertes rachas de viento y lluvias registradas la tarde y noche de ayer provocaron diversas afectaciones en municipios del Valle del Mezquital, donde autoridades y cuerpos de emergencia continúan este miércoles con la valoración de daños y labores para la liberación de caminos y espacios afectados. Entre los municipios que reportaron daños se encuentra Alfajayucan, donde se reportó la caída de un árbol que bloquea completamente el camino de acceso a la localidad de Cebolletas, situación que movilizó a personal de apoyo para liberar la vialidad y evitar riesgos para los habitantes. En Chapantongo también se registraron varias caídas de árboles sobre carreteras y caminos, por lo que desde la madrugada brigadas comenzaron los trabajos para retirar ramas y troncos que impedían el paso vehicular. Así también se informó que el centro recreativo El Tanque permanecerá cerrado durante este día, debido a las labores de limpieza y retiro de árboles y ramas que se realizan en el lugar. Mientras tanto, en Ixmiquilpan se reportaron apagones en distintos sectores, siendo una de las principales afectaciones derivadas de la tormenta que se presentó en la región. Autoridades locales mantienen recorridos en distintos puntos para supervisar posibles daños adicionales y atender reportes ciudadanos relacionados con caída de árboles, afectaciones en caminos y fallas en el suministro eléctrico.</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</si>
  <si>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 El legislador Miguel Ángel Moreno Zamora (Morena) detalló que los municipios beneficiados serán: Atlapexco, Calnali, Chapulhuacán, Eloxochitlán, Huautla, Huehuetla, Huejutla, Jacala, Juárez, La Misión, Lolotla, Metztitlán, Molango, Pacula, Pisaflores, San Bartolo Tutotepec, Tenango, Tepehuacán, Tianguistengo, Tlahuiltepa, Tlanchinol, Xochiatipan, Xochicoatlán, Yahualica, Zacualtipán y Zimapán.</t>
  </si>
  <si>
    <t>Financiamiento municipios</t>
  </si>
  <si>
    <t>El gobierno municipal de Tulancingo mantiene un operativo en la zona de PIFSAL y la Central de Abastos para retirar objetos, mercancía y estructuras que invaden banquetas y vialidades, una problemática que durante años ha complicado el paso peatonal y la circulación vehicular en el área. Las acciones son coordinadas por distintas dependencias municipales, entre ellas Reglamentos, Mercados, Movilidad y Protección Civil, con apoyo de Seguridad Pública. De acuerdo con autoridades locales, primero se realizaron notificaciones preventivas a comerciantes y locatarios para que liberaran voluntariamente los espacios públicos. Sin embargo, tras las inspecciones efectuadas esta semana, se aplicaron 10 infracciones por invasión de banquetas y posteriormente se clausuró un establecimiento reincidente. La zona de PIFSAL y la Central de Abastos es uno de los puntos con mayor actividad comercial en Tulancingo, pero también uno de los espacios donde peatones suelen enfrentar dificultades para transitar debido a la ocupación irregular de banquetas. Aunque algunos comerciantes consideran que estas medidas afectan sus ventas, ciudadanos han señalado constantemente la necesidad de recuperar espacios públicos y garantizar condiciones seguras para personas adultas mayores, estudiantes y personas con discapacidad. Autoridades municipales informaron que los operativos continuarán de manera permanente hasta lograr el despeje total de las áreas de circulación y mantener el orden comercial en la zona.</t>
  </si>
  <si>
    <t>Inspección de mercados</t>
  </si>
  <si>
    <t>Columna a media semana - En un hecho sin precedente, el gobierno municipal de Atotonilco de Tula, deberá pagar más de 105 millones de pesos a la empresa ID Leasing, luego de que la firma les ganara un litigio de más de 6 años por el arrendamiento de 10 patrullas, una ambulancia y dos camionetas que se encuentran en condición de chatarra. El problema que tiene su origen en el administrador del ex-presidente Julio César Ángeles Mendoza, ahora tendrá que ser resuelto por la actual alcaldesa Yocelín Tovar Mendoza, porque a sus antecesores Raúl López y Jaime Ramírez no les importó comprometer las finanzas municipales. El adeudo inició con 6 millones de pesos en el 2019, pero la indolencia oficial lo llevó a una cifra que resulta impagable para el municipio y que seguirá creciendo mientras no se liquide; alguien debe fincar responsabilidades penales y administrativas a los artífices de lo que es un desfalco al erario.</t>
  </si>
  <si>
    <t>Laudos Municipios</t>
  </si>
  <si>
    <t>Joel Sánchez</t>
  </si>
  <si>
    <t>Columna a media semana - Donde también crecen los problemas de manera preocupante es en el municipio de Francisco I Madero, en el que esta semana, personal sindicalizado tomó las instalaciones del ayuntamiento, para demandar el pago de laudos pendientes, que se cumpla con los ajustes salariales y la regularización de prestaciones, cuestiones que ha postergado la alcaldesa Maricela Hernández Lugo, llevando al gobierno municipal hasta el punto de la inoperatividad; la parte más difícil de cubrir es la correspondiente a los laudos, ya que representan sumas millonarias, lo que no parece preocuparle a ninguno de los funcionarios municipales ni al cabildo, lo que al final terminará siendo de gran perjuicio para el pueblo, los servicios y la obra pública.</t>
  </si>
  <si>
    <t>Protesta sindical</t>
  </si>
  <si>
    <t>Columna a media semana - Ante la indiferencia de las autoridades municipales de Actopan y ahora también de la Secretaría del Medio Ambiente y Recursos Naturales de Hidalgo, el tiradero a cielo abierto que funciona en la comunidad de La Estancia, se convierte en un cada vez más grande foco de infección y es motivo de contaminación de dos pozos de agua potable, según han advertido los vecinos, quienes aseguran que la alcaldesa Imelda Cuellar Cano, prefiere ignorar el problema antes que solucionarlo, en tanto que la SEMARNATH, ha negado incluso por escrito, que el basurero esté funcionando. Lo cierto -dicen- es que son 14 mil metros cuadrados los ocupados por desechos sólidos que el ayuntamiento no ve y que son un riesgo para la salud pública, para la telesecundaria, el centro gastronómico y el tianguis que operan a unos cuantos metros; los afectados aseguran que la presencia de fauna nociva y diversas enfermedades, crece a consecuencia de la basura.</t>
  </si>
  <si>
    <t>Basurero Clandestino</t>
  </si>
  <si>
    <t>El Tribunal Federal de Justicia Administrativa y la Secretaría de la Función Pública, impusieron una sanción ejemplar a Frida Martínez Zamora y Damián Canales Mena, hidalguenses que fueran funcionarios de la extinta Policía Federal, quienes fueron inhabilitados por 20 y 15 años respectivamente, para ocupar cargos en la administración pública, además de que deberán pagar un monto de 65 millones de dólares americanos, por su presunta participación en el desvío de recursos por una cantidad similar, cuando se desempeñaban como Comisaria General y Director de Inteligencia de la citada corporación. El asunto que involucra a ambos protegidos del ex-gobernador Miguel Ángel Osorio Chong se encuentra en las manos de la fiscalía general de la República, por lo que no terminará con la inhabilitación y la orden de pago, que ni siquiera se va a cumplir.</t>
  </si>
  <si>
    <t>Inhabilitación</t>
  </si>
  <si>
    <t>Dos ex funcionarios de la Policía Federal que estaban bajo el mando del ex secretario de Gobernación, Miguel Ángel Osorio Chong, fueron sancionados con inhabilitaciones de hasta 20 años para ocupar cargos públicos y el pago de indemnizaciones por un monto superior a los 65 millones de dólares, tras acreditarse su presunta responsabilidad en un desvío de recursos públicos. La Secretaría Anticorrupción y Buen Gobierno, a través de la Unidad de Combate a la Impunidad, informó que, tras una serie de investigaciones realizadas por esa dependencia, finalmente se logró acreditar que la exsecretaria general de la Policía Federal, Frida Martínez Zamora, y el jefe de la División de Inteligencia de esa corporación, Damián Canales Mena, incurrieron en “faltas administrativas graves” en su calidad de personas servidoras públicas. La sanción fue confirmada por el Tribunal Federal de Justicia Administrativa, ratificando que Frida Martínez y Damián Canales estarán inhabilitados para desempeñar cualquier empleo, cargos o comisiones en el servicio público, además de imponerles severas sanciones económicas.</t>
  </si>
  <si>
    <t>Por la probable comisión del delito de despojo de aguas, en el municipio de Acatlán, la Fiscalía General de la República (FGR) cateó un domicilio y aseguró un pozo de agua que presuntamente carecía de permisos. La carpeta de investigación inició, en atención a la recepción de una denuncia interpuesta por la Comisión Nacional del Agua (CONAGUA), en el estado de Hidalgo, en la cual informó a la Fiscalía Federal, sobre la existencia de un pozo de agua, presuntamente clandestino, dentro de un predio ubicado en el ejido de Jaltepec, municipio de Acatlán. El operativo se llevó a cabo en coordinación con elementos de la Policía Federal Ministerial (PFM) y del Centro Federal Pericial Forense, ambos de la Agencia de Investigación Criminal (AIC), quienes aseguraron cinco tramos de manguera, tres motobombas y el inmueble. Se identificó que al interior del inmueble se encontró una perforación en el suelo con muros de concreto, con función de pozo, en el cual se encontró un espejo de agua. Se indicó que el cateo se llevó a cabo en coordinación con elementos de la Guardia Nacional (GN), Secretaría de la Defensa Nacional (SEDENA) y de la Policía Estatal. Los objetos de delito quedaron a disposición del Ministerio Público Federal para continuar con la investigación correspondiente.</t>
  </si>
  <si>
    <t>Robo De Agua</t>
  </si>
  <si>
    <t>Columna a media semana - El grupo de Danza Tradicional Huehuetinij, de la comunidad de Tecacahuaco, municipio de Atlapexco, denunció públicamente lo que pudiera considerarse como un acto de maltrato y discriminación hacia sus integrantes; resulta que como parte del programa «Hidalgo en Los Pinos», este 9 de mayo acudieron a realizar una presentación a lo que fue la casa presidencial, siendo informados por la Secretaría de Cultura, de que el hospedaje y sus viáticos serían cubiertos por el ayuntamiento, lo cual no ocurrió y hasta los dejaron sin comer varias horas. Señalan que, en cambio, el alcalde Juan de Dios Nochebuena Hernández, acudió a pavonearse durante el evento, pero ni siquiera los saludó, mucho menos atendió sus necesidades, es más, en la Dirección de Cultura de la presidencia municipal, ya ni les contestaron el teléfono cuando buscaban solucionar su problema. En Los Pinos había vales de comida para todos, menos para los danzantes huastecos.</t>
  </si>
  <si>
    <t>Hidalgo en Los Pinos</t>
  </si>
  <si>
    <t>El próximo 20 de mayo, el Centro Cultural Ricardo Garibay será sede para el reclutamiento laboral en la que empresas de la región ofertarán empleos dirigidos a distintos perfiles, desde operativos hasta administrativos y técnicos. La actividad, denominada Emplea Tulancingo 2026, se realizará de 10:00 a 15:00 horas y permitirá a los asistentes entrevistarse directamente con representantes de compañías participantes, además de postularse a puestos acordes con su experiencia y habilidades. La estrategia es impulsada de manera conjunta por la Secretaría del Trabajo y Previsión Social de Hidalgo, a través del Servicio Nacional del Empleo, y el gobierno municipal de Tulancingo.</t>
  </si>
  <si>
    <t>Feria De Empleo</t>
  </si>
  <si>
    <t>Radioescucha agradece que, gracias al reporte de ayer de falta de agua, se contactaron de Caasim y ya tiene agua</t>
  </si>
  <si>
    <t>Eulalio Larrieta agradece a Carlos Gamiño por estar al pendiente de temas</t>
  </si>
  <si>
    <t>Movilización de servicios de emergencia se generó por el reporte de un panal de abejas en la calle Miguel Lerdo de Tejada, en la colonia centro de Pachuca.Al lugar arribaron Bomberos del Estado de Hidalgo y Protección Civil de Pachuca, quienes localizaron el panal en el edificio de la presidencia municipal de Pachuca, por lo que acordonaron la zona para evitar riesgos a trabajadores, peatones que transitaban por la zona. Al menos tres personas resultaron con picaduras de abejas, previo a que el enjambre fuera controlado, sin embargo, no se reportaron lesiones de gravedad</t>
  </si>
  <si>
    <t>Productores de la Unión de Cebaderos del Antiplano Hidalguense levantaron el bloqueo que mantenían desde ayer en los accesos de la planta de Grupo Modelo en Jalpan, luego de alcanzar una mesa de diálogo con directivos de la empresa y autoridades estatales. Durante el encuentro, los productores entregaron su pliego petitorio y exigieron un precio justo para la tonelada de cebada, al señalar que los costos de producción y del paquete tecnológico se han incrementado para el próximo ciclo agrícola primavera-verano 2026. La protesta concluyó tras varias horas de negociación, mientras que ambas partes acordaron continuar el diálogo para buscar acuerdos que beneficien al sector agrícola hidalguense.</t>
  </si>
  <si>
    <t>En entrevista con medios de comunicación el gobernador Julio Menchaca anunció que el gobierno estatal adquirió nueva maquinaria para triturar y extraer el lirio acuático, un problema ambiental que afecta severamente a las comunidades ribereñas. Explicó que los mosquitos generaron resistencia a los insecticidas comunes. El reto actual es encontrar un químico que los elimine sin dañar la salud de la población ni la fauna local.Se busca concretar un proyecto con Pemex basado en una tecnología que ya dio resultados en Valsequillo (Puebla), utilizando barcos procesadores para limpiar la presa. Aunque requiere inversiones muy fuertes, ya se registran avances. AUDIOS JMS ENTREVISTA</t>
  </si>
  <si>
    <t>Control lirio acuático</t>
  </si>
  <si>
    <t>En entrevista con medios de comunicación el gobernador Julio Menchaca anunció que la planta de Cruz Azul reiniciará actividades antes del cuarto informe de gobierno, lo cual representará un fuerte impulso económico para Ciudad Cooperativa y toda la región, AUDIO JMS</t>
  </si>
  <si>
    <t>En entrevista con medios de comunicación el gobernador Julio Menchaca anunció que la planta de Cruz Azul reiniciará actividades antes del cuarto informe de gobierno, lo cual representará un fuerte impulso económico para Ciudad Cooperativa y toda la región. Destacó el esfuerzo de reconciliación que están haciendo los más de 700 cooperativistas para solucionar el conflicto interno que mantenían.</t>
  </si>
  <si>
    <t>En entrevista con medios de comunicación, el gobernador Julio Menchaca habló sobre la detención del director de Seguridad Pública del municipio de Tezontepec de Aldama; el hombre, junto a dos personas más, es acusado por narcotráfico. Dijo que se está realizando una revisión y evaluación del trabajo que realizan los policías,AUDIO JMS</t>
  </si>
  <si>
    <t>En entrevista con medios de comunicación el gobernador Julio Menchaca señaló que existen elementos suficientes que respaldan la detención de los mandos policiales en la región, respetando siempre la presunción de inocencia.La Secretaría de Seguridad Pública estatal instruyó reforzar la seguridad en la zona y apoyar a los municipios en la contratación y preparación adecuada del personal policial. Aunque se respeta la autonomía municipal (Artículo 115 constitucional), se insistió en la importancia de sumarse al mando coordinado para combatir de manera continua la delincuencia.</t>
  </si>
  <si>
    <t>Ayer 19 de mayo, colectivos familiares, amigos y civiles organizaron una concentración pública con el objetivo de exigir el esclarecimiento y justicia expedita ante el feminicidio de Dulce, una joven de 21 años de edad cuyo caso ha sido integrado por las corporaciones policiales y judiciales bajo el protocolo de feminicidio.Las manifestantes enfatizaron la urgencia de que las instituciones encargadas de la Procuración de Justicia actúen con estricta perspectiva de género, denunciando el impacto que tiene la violencia de género aquí en Hidalgo, dentro de los entornos municipales, AUDIO</t>
  </si>
  <si>
    <t>Exigen Esclarecer Feminicidio</t>
  </si>
  <si>
    <t>Participación semanal vía telefónica Lamán Carranza con el tema: Inteleligencia artificial en la salud . Comentó que antes nos convertíamos en médicos por medio del buscador; terminábamos más espantados que al principio. Un tema relevante en Hidalgo es el gusano barrenador; suena algo lejano de entrada, como que solo le pasa a las vacas y a los borregos del rancho, pero también nos puede pegar a los humanos si descuidamos una cosa chiquita como una herida, un olor raro o algo que se mueve debajo de la piel. Justo es en este momento en donde la inteligencia artificial no cura; lo que hace la tecnología es ayudar a aprender la alerta a tiempo.</t>
  </si>
  <si>
    <t>El director general del IMSS, Zoé Robledo, presentó ayer los avances en la construcción de hospitales y nuevas unidades médicas en México. Entre ellos destaca el Hospital de Tula de Allende, que iniciará operaciones en octubre de 2026. AUDIO DE APOYO MAÑANERA</t>
  </si>
  <si>
    <t>El Congreso del Estado de Hidalgo organizó una mesa de trabajo para el fortalecimiento de municipios afectados por la vaguada monzónica registrada en octubre de 2025, con el objetivo de brindar información detallada y asesoría técnica respecto al dictamen y decreto recientemente aprobado por el Poder Legislativo, mediante los cuales se les autoriza gestionar y contratar financiamientos de largo plazo para fortalecer el desarrollo de infraestructura, así como atender las necesidades y prioridades de sus comunidades. El diputado Andrés Velázquez Vázquez, presidente de la Junta de Gobierno, detalló que el esquema de financiamiento promovido por el gobierno estatal, el Congreso y Banobras busca brindar a los municipios una herramienta económica adicional para atender los daños ocasionados por las contingencias recientes.</t>
  </si>
  <si>
    <t>Huracán Priscilla</t>
  </si>
  <si>
    <t>La presidenta municipal de Tepetitlán, Ana Elsa Castillo Osea, inauguró la obra de construcción de la línea de agua potable en la calle 6 de Enero en la comunidad de General Pedro María Anaya, proyecto realizado con recursos del Fondo de Aportaciones para la Infraestructura Social Municipal.La alcaldesa destacó que estas acciones buscan mejorar las condiciones de vida de las familias y fortalecer la infraestructura básica del municipio. La obra contempló la colocación de más de 477 metros de tubería PBC de 6 pulgadas, construcción de cajas de válvulas, excavaciones, demoliciones y reposición de concreto hidráulico, con el objetivo de optimizar el suministro de agua en la comunidad. Durante la inauguración participaron autoridades municipales, regidores e integrantes del comité de obra, quienes señalaron que este proyecto presenta un beneficio importante para las y los habitantes de General Pedro María Anaya- AUDIO DE APOYO</t>
  </si>
  <si>
    <t>Infraestructura Hidráulica</t>
  </si>
  <si>
    <t>Radioescucha Sr. Paredes sigue reportando que no funciona la lámpara que está en la esquina del callejón de Quintana Roo y Plaza de Patoni</t>
  </si>
  <si>
    <t>Luminarias</t>
  </si>
  <si>
    <t>“Desgraciadamente estamos en una situación muy fea. Muchos moscos vienen a fumigar y matan una vez, pero dos, tres días que le echan líquido y de vuelta vuelve lo mismo. Es un desorden con los animales.Nosotros ya en la tarde nos encerramos porque no aguanto los moscos. Los animales son los que pagan el pato porque se defienden. Nos han dado un líquido, pero francamente ese líquido no mata al mosco.Diario con el rayo, el rayo de aquí a mañana nos va a hacer daño también a nosotros. A la larga nos va a hacer mal todo eso. Desgraciadamente no tenemos dónde correr más que aquí estamos aquí.Aquí nacimos y aquí estamos y muero. ¿Qué hacemos? AUDIOS AFECTADOS COMUNIDADES RIBEREÑAS R.- Eso que usted acaba de escuchar es lo que viven todos los días los habitantes de los pueblos ribereños de la Presa Endhó. Enjambres de moscos. La secretaria de Medio Ambiente y Recursos Naturales de Hidalgo, Mónica Mixtega Trejo, habló sobre los trabajos del lirio acuático de la Presa Endhó. AUDIO MAÑANERAM-M- “Cuatro máquinas Retador que se adquirieron por gobierno del Estado en el año 2005. Sin embargo, necesariamente tienen un deterioro importante en virtud de la calidad del agua de la Presa Endhó. Nosotros retomamos los trabajos de trituración del lirio acuático en marzo de 2025.Mientras tanto, los pobladores continúan siendo afectados. Tenemos demasiado, ya no soportamos uno mismo, los animales y los niños que ya tenemos muy lastimados, los niños ya están roñando, se están enfermando.Las autoridades han venido a prometernos promesas y promesas y no hacen nada. Y es que andan fumigando, la fumigación a lo mejor uno o dos días y vuelve a lo mismo. El problema es que trituren el lirio.No habiendo lirio no tenemos este problema. Después ya no podemos dormir, son 12 de la noche y hasta el amanecer, es un zancuderío que de plano no sabemos ni de dónde se meten. La verdad es que sí es intolerable, los chicos nos llegan con los ojitos rojos, luego yo les pregunto, bueno, ¿y por qué? Es que más el “fumolín” que se pone nos está generando los ojos irritados, incluso nos empieza a arder la garganta.AUDIOS AFECTADOS COMUNIDADES RIBEREÑAS.</t>
  </si>
  <si>
    <t>Mosco Culex</t>
  </si>
  <si>
    <t>Radioescucha pide que quiten los autos de un hojalatero que estorban la vía pública, en la calle San José en Palmitas, comenta conductor que con el operativo rastrillo lo pueden ayudar</t>
  </si>
  <si>
    <t>Operativo Rastrillo</t>
  </si>
  <si>
    <t>Radioescucha reporta que en Zona Plateada apartan los lugares para estacionarte.</t>
  </si>
  <si>
    <t>Ordenamiento vial</t>
  </si>
  <si>
    <t>Los huesos son elementales en las funciones cotidianas del organismo pues proporcionan soporte estructural, protección a órganos vitales, y facilitan el movimiento en conjunto con los músculos, estos almacenan minerales como calcio y producen células sanguíneas en la médula ósea.Por lo anterior, el IMSS en Hidalgo invita a la población a mantener hábitos saludables, para prevenir enfermedades óseas como la osteoporosis y la osteopenia, las cuales causan debilidad en los huesos.</t>
  </si>
  <si>
    <t>Prevención De Enfermedades</t>
  </si>
  <si>
    <t>Antes de que concluya el primer semestre de este año, se programa la reconstrucción de 2.5 kilómetros de los bordes del río Tula. Se trata de la zona de Bojay, que protegerá a las poblaciones de San Lorenzo, San Marcos y San Francisco Bojay. El costo es de 467 millones de pesos. De acuerdo con Efraín Morales, director general de la Comisión Nacional del Agua, la obra es para lograr que el caudal de las aguas procedentes de la Ciudad de México, del Estado de México y algunos municipios de la región hidalguense que desembocan en el río puedan lograr el paso sin inundar el municipio de Tula, así como otros ocho que están aledaños, como ocurrió en septiembre de 2021. AUDIO DE APOYO</t>
  </si>
  <si>
    <t>Prevención de inundaciones</t>
  </si>
  <si>
    <t>Radioescucha: Los conductores de transporte público no respetan semáforos, vienen peleando con otros autos, traen a la novia a un lado, llenas hasta el tope, vienen con el celular y aparte se ponen a comer.</t>
  </si>
  <si>
    <t>Miled 97.1 FM</t>
  </si>
  <si>
    <t>Línea en Alta Tensión</t>
  </si>
  <si>
    <t>Vía telefónica Guillermo Huerta Meneses, subsecretario de Ingresos de la Secretaría de Hacienda de Hidalgo - Refrendo vehicular. Comenta que ya estan a 40 dias para que finalice este programa de Refrendo Vehicular, terminando el 30 de junio del 2026, recordó que Hidalgo es la única entidad que otorga beneficios por cumplir con esta obligación, el 100 % de los recursos recaudados son para obras publicas como lo dijo el gobernador Julio Mechaca</t>
  </si>
  <si>
    <t>María Antonieta Islas</t>
  </si>
  <si>
    <t>Vía telefónica, Jorge Reyes, presidente municipal de Pachuca, sobre el tema rehabilitación de las unidades deportivas, comentó que es una de las solicitudes más importantes para la ciudadanía. Se inició la rehabilitación de algunas áreas; ya algunas están en buen estado. Se tiene control de las personas que entran y salen de cada unidad deportiva.</t>
  </si>
  <si>
    <t>Rehabilitación de espacios públicos</t>
  </si>
  <si>
    <t>En entrevista con medios de comunicación el gobernador Julio Menchaca calificó la situación de la basura en la región de Tula como complicada debido al abandono que sufrió el tema en administraciones pasadas.Se trabaja en conjunto con la Secretaría de Medio Ambiente federal y la Presidencia de la República para buscar alternativas. El objetivo es dejar de enterrar los desechos y apostar por la tecnología, el reciclaje y la reutilización de recursos.La Secretaría de Medio Ambiente local busca soluciones específicas para cada municipio afectado. Actualmente, ya se están autorizando dos proyectos con impacto regional en Tula.</t>
  </si>
  <si>
    <t>Relleno Sanitario</t>
  </si>
  <si>
    <t>Un pozo de agua clandestino fue detectado en el municipio de Acatlán en Hidalgo, autoridades federales aseguraron e inhabilitaron el punto de extracción ilegal ubicado en el ejido de Jaltepec.La Fiscalía General de la República, cateo una propiedad privada luego que un representante legal de la CONAGUA, interpusiera una denuncia por la posible extracción ilegal del recurso natural.Tras obtener la orden de inspección de un juez federal, elementos de la policía federal ninisterial y peritos de la agencia de investigación criminal llevaron a cabo la incursión al predio señalado, donde localizaron una perforación recubierta de concreto ppr donde se extraia el vital liquido.En el sitio fueron asegurados cinco tramos de manguera, tres motobombas y el inmueble donde operaba la toma clandestina. Todo lo asegurado quedó a disposición del Ministerio Público Federal, mientras continúan las investigaciones.</t>
  </si>
  <si>
    <t>Activistas protectores de los derechos animales condenan la solicitud de consulta ciudadana; dicen “QUE LOS DERECHOS HUMANOS NO SE DEBEN CONSULTAR”. Estas son 2 ideas muy diferentes y sobre todo mencionan que es algo anticonstitucional.</t>
  </si>
  <si>
    <t>Primero, todos estaban a favor de quitar la tauromaquia y luego llegó alguien, los meneó y dijo que siempre no, son dos ideas muy radicales.</t>
  </si>
  <si>
    <t>En el marco de la discusión de la iniciativa promovida para la eliminación de la fiesta brava en Hidalgo, diputados de los grupos legislativos de Morena y Nueva Alianza presentaron una solicitud de consulta popular para conocer la opinión de la ciudadanía sobre la eliminación de la tauromaquia.Mediante la lectura de una comunicación enviada a la Mesa Directiva del Congreso estatal, la diputada de Nueva Alianza, Mónica Leanett Reyes, precisó que el objetivo es coadyuvar a determinar si en el estado se debe seguir permitiendo la realización de corridas de toros.Destacó que en la consulta también se preguntará si dicha práctica debe considerarse patrimonio cultural inmaterial y si deben continuar los espectáculos públicos y privados relacionados con la tauromaquia.La legisladora aseveró que se trata de una herramienta democrática fundamentada en el artículo 7 de la Ley de Participación, por lo que fue turnada a la Comisión de Gobernación del Congreso, que preside el diputado José Luis Rodríguez Higareda.El documento fue firmado por las y los diputados de Morena, Lizbeth Iraís Ordaz, Paloma Barragán, Alma Rosa Elías, Diana Rangel Zúñiga, Hilda Miranda, Andrés Velázquez, Miguel Moreno, Juan Pablo Escalante, Arturo Gómez Canales y de Nueva Alianza Hidalgo, José María Alejandro Pérez y Jorge Argüelles.AUDIO APOYO</t>
  </si>
  <si>
    <t>Radioescucha Sr. Fidel pide que en la avenida Piracantos ya la arreglen.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</si>
</sst>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39" tableType="queryTable" totalsRowShown="0">
  <autoFilter ref="A1:M23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39"/>
  <sheetViews>
    <sheetView tabSelected="1" workbookViewId="0">
      <selection activeCell="D16" sqref="D16"/>
    </sheetView>
  </sheetViews>
  <sheetFormatPr baseColWidth="10" defaultRowHeight="15" x14ac:dyDescent="0.25"/>
  <cols>
    <col min="1" max="1" width="8.5703125" bestFit="1" customWidth="1"/>
    <col min="2" max="2" width="11.42578125" bestFit="1" customWidth="1"/>
    <col min="3" max="3" width="27.28515625" bestFit="1" customWidth="1"/>
    <col min="4" max="4" width="46" bestFit="1" customWidth="1"/>
    <col min="5" max="5" width="81.140625" bestFit="1" customWidth="1"/>
    <col min="6" max="6" width="15.28515625" bestFit="1" customWidth="1"/>
    <col min="7" max="7" width="33.5703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55</v>
      </c>
    </row>
    <row r="2" spans="1:13" x14ac:dyDescent="0.25">
      <c r="A2" s="2">
        <v>46161</v>
      </c>
      <c r="B2" s="1" t="str">
        <f ca="1">IF(Información1[[#This Row],[Fecha]]='Ajuste de fechas'!$A$2,"Día actual","Día anterior")</f>
        <v>Día anterior</v>
      </c>
      <c r="C2" s="3" t="s">
        <v>34</v>
      </c>
      <c r="D2" t="s">
        <v>35</v>
      </c>
      <c r="E2" s="3" t="s">
        <v>98</v>
      </c>
      <c r="F2" s="3" t="s">
        <v>24</v>
      </c>
      <c r="G2" s="3" t="s">
        <v>99</v>
      </c>
      <c r="H2" s="3" t="s">
        <v>32</v>
      </c>
      <c r="I2" s="3" t="s">
        <v>7</v>
      </c>
      <c r="J2" s="3" t="s">
        <v>24</v>
      </c>
      <c r="K2" s="3" t="s">
        <v>71</v>
      </c>
      <c r="L2" s="3" t="s">
        <v>49</v>
      </c>
      <c r="M2">
        <v>3</v>
      </c>
    </row>
    <row r="3" spans="1:13" x14ac:dyDescent="0.25">
      <c r="A3" s="2">
        <v>46161</v>
      </c>
      <c r="B3" s="1" t="str">
        <f ca="1">IF(Información1[[#This Row],[Fecha]]='Ajuste de fechas'!$A$2,"Día actual","Día anterior")</f>
        <v>Día anterior</v>
      </c>
      <c r="C3" s="3" t="s">
        <v>34</v>
      </c>
      <c r="D3" t="s">
        <v>35</v>
      </c>
      <c r="E3" s="3" t="s">
        <v>100</v>
      </c>
      <c r="F3" s="3" t="s">
        <v>17</v>
      </c>
      <c r="G3" s="3" t="s">
        <v>101</v>
      </c>
      <c r="H3" s="3" t="s">
        <v>32</v>
      </c>
      <c r="I3" s="3" t="s">
        <v>25</v>
      </c>
      <c r="J3" s="3" t="s">
        <v>48</v>
      </c>
      <c r="K3" s="3" t="s">
        <v>27</v>
      </c>
      <c r="L3" s="3" t="s">
        <v>50</v>
      </c>
      <c r="M3">
        <v>3</v>
      </c>
    </row>
    <row r="4" spans="1:13" x14ac:dyDescent="0.25">
      <c r="A4" s="2">
        <v>46161</v>
      </c>
      <c r="B4" s="1" t="str">
        <f ca="1">IF(Información1[[#This Row],[Fecha]]='Ajuste de fechas'!$A$2,"Día actual","Día anterior")</f>
        <v>Día anterior</v>
      </c>
      <c r="C4" s="3" t="s">
        <v>34</v>
      </c>
      <c r="D4" t="s">
        <v>35</v>
      </c>
      <c r="E4" s="3" t="s">
        <v>102</v>
      </c>
      <c r="F4" s="3" t="s">
        <v>17</v>
      </c>
      <c r="G4" s="3" t="s">
        <v>101</v>
      </c>
      <c r="H4" s="3" t="s">
        <v>32</v>
      </c>
      <c r="I4" s="3" t="s">
        <v>25</v>
      </c>
      <c r="J4" s="3" t="s">
        <v>48</v>
      </c>
      <c r="K4" s="3" t="s">
        <v>9</v>
      </c>
      <c r="L4" s="3" t="s">
        <v>50</v>
      </c>
      <c r="M4">
        <v>3</v>
      </c>
    </row>
    <row r="5" spans="1:13" x14ac:dyDescent="0.25">
      <c r="A5" s="2">
        <v>46161</v>
      </c>
      <c r="B5" s="1" t="str">
        <f ca="1">IF(Información1[[#This Row],[Fecha]]='Ajuste de fechas'!$A$2,"Día actual","Día anterior")</f>
        <v>Día anterior</v>
      </c>
      <c r="C5" s="3" t="s">
        <v>34</v>
      </c>
      <c r="D5" t="s">
        <v>35</v>
      </c>
      <c r="E5" s="3" t="s">
        <v>103</v>
      </c>
      <c r="F5" s="3" t="s">
        <v>36</v>
      </c>
      <c r="G5" s="3" t="s">
        <v>88</v>
      </c>
      <c r="H5" s="3" t="s">
        <v>32</v>
      </c>
      <c r="I5" s="3" t="s">
        <v>7</v>
      </c>
      <c r="J5" s="3" t="s">
        <v>48</v>
      </c>
      <c r="K5" s="3" t="s">
        <v>27</v>
      </c>
      <c r="L5" s="3" t="s">
        <v>54</v>
      </c>
      <c r="M5">
        <v>3</v>
      </c>
    </row>
    <row r="6" spans="1:13" x14ac:dyDescent="0.25">
      <c r="A6" s="2">
        <v>46161</v>
      </c>
      <c r="B6" s="1" t="str">
        <f ca="1">IF(Información1[[#This Row],[Fecha]]='Ajuste de fechas'!$A$2,"Día actual","Día anterior")</f>
        <v>Día anterior</v>
      </c>
      <c r="C6" s="3" t="s">
        <v>34</v>
      </c>
      <c r="D6" t="s">
        <v>35</v>
      </c>
      <c r="E6" s="3" t="s">
        <v>104</v>
      </c>
      <c r="F6" s="3" t="s">
        <v>15</v>
      </c>
      <c r="G6" s="3" t="s">
        <v>105</v>
      </c>
      <c r="H6" s="3" t="s">
        <v>32</v>
      </c>
      <c r="I6" s="3" t="s">
        <v>7</v>
      </c>
      <c r="J6" s="3" t="s">
        <v>48</v>
      </c>
      <c r="K6" s="3" t="s">
        <v>27</v>
      </c>
      <c r="L6" s="3" t="s">
        <v>51</v>
      </c>
      <c r="M6">
        <v>3</v>
      </c>
    </row>
    <row r="7" spans="1:13" x14ac:dyDescent="0.25">
      <c r="A7" s="2">
        <v>46161</v>
      </c>
      <c r="B7" s="1" t="str">
        <f ca="1">IF(Información1[[#This Row],[Fecha]]='Ajuste de fechas'!$A$2,"Día actual","Día anterior")</f>
        <v>Día anterior</v>
      </c>
      <c r="C7" s="3" t="s">
        <v>34</v>
      </c>
      <c r="D7" t="s">
        <v>35</v>
      </c>
      <c r="E7" s="3" t="s">
        <v>106</v>
      </c>
      <c r="F7" s="3" t="s">
        <v>62</v>
      </c>
      <c r="G7" s="3" t="s">
        <v>86</v>
      </c>
      <c r="H7" s="3" t="s">
        <v>32</v>
      </c>
      <c r="I7" s="3" t="s">
        <v>25</v>
      </c>
      <c r="J7" s="3" t="s">
        <v>48</v>
      </c>
      <c r="K7" s="3" t="s">
        <v>27</v>
      </c>
      <c r="L7" s="3" t="s">
        <v>49</v>
      </c>
      <c r="M7">
        <v>3</v>
      </c>
    </row>
    <row r="8" spans="1:13" x14ac:dyDescent="0.25">
      <c r="A8" s="2">
        <v>46161</v>
      </c>
      <c r="B8" s="1" t="str">
        <f ca="1">IF(Información1[[#This Row],[Fecha]]='Ajuste de fechas'!$A$2,"Día actual","Día anterior")</f>
        <v>Día anterior</v>
      </c>
      <c r="C8" s="3" t="s">
        <v>34</v>
      </c>
      <c r="D8" t="s">
        <v>35</v>
      </c>
      <c r="E8" s="3" t="s">
        <v>107</v>
      </c>
      <c r="F8" s="3" t="s">
        <v>15</v>
      </c>
      <c r="G8" s="3" t="s">
        <v>90</v>
      </c>
      <c r="H8" s="3" t="s">
        <v>32</v>
      </c>
      <c r="I8" s="3" t="s">
        <v>7</v>
      </c>
      <c r="J8" s="3" t="s">
        <v>48</v>
      </c>
      <c r="K8" s="3" t="s">
        <v>27</v>
      </c>
      <c r="L8" s="3" t="s">
        <v>49</v>
      </c>
      <c r="M8">
        <v>3</v>
      </c>
    </row>
    <row r="9" spans="1:13" x14ac:dyDescent="0.25">
      <c r="A9" s="2">
        <v>46161</v>
      </c>
      <c r="B9" s="1" t="str">
        <f ca="1">IF(Información1[[#This Row],[Fecha]]='Ajuste de fechas'!$A$2,"Día actual","Día anterior")</f>
        <v>Día anterior</v>
      </c>
      <c r="C9" s="3" t="s">
        <v>34</v>
      </c>
      <c r="D9" t="s">
        <v>35</v>
      </c>
      <c r="E9" s="3" t="s">
        <v>108</v>
      </c>
      <c r="F9" s="3" t="s">
        <v>26</v>
      </c>
      <c r="G9" s="3" t="s">
        <v>109</v>
      </c>
      <c r="H9" s="3" t="s">
        <v>32</v>
      </c>
      <c r="I9" s="3" t="s">
        <v>7</v>
      </c>
      <c r="J9" s="3" t="s">
        <v>48</v>
      </c>
      <c r="K9" s="3" t="s">
        <v>27</v>
      </c>
      <c r="L9" s="3" t="s">
        <v>49</v>
      </c>
      <c r="M9">
        <v>3</v>
      </c>
    </row>
    <row r="10" spans="1:13" x14ac:dyDescent="0.25">
      <c r="A10" s="2">
        <v>46161</v>
      </c>
      <c r="B10" s="1" t="str">
        <f ca="1">IF(Información1[[#This Row],[Fecha]]='Ajuste de fechas'!$A$2,"Día actual","Día anterior")</f>
        <v>Día anterior</v>
      </c>
      <c r="C10" s="3" t="s">
        <v>34</v>
      </c>
      <c r="D10" t="s">
        <v>35</v>
      </c>
      <c r="E10" s="3" t="s">
        <v>110</v>
      </c>
      <c r="F10" s="3" t="s">
        <v>19</v>
      </c>
      <c r="G10" s="3" t="s">
        <v>95</v>
      </c>
      <c r="H10" s="3" t="s">
        <v>32</v>
      </c>
      <c r="I10" s="3" t="s">
        <v>25</v>
      </c>
      <c r="J10" s="3" t="s">
        <v>52</v>
      </c>
      <c r="K10" s="3" t="s">
        <v>27</v>
      </c>
      <c r="L10" s="3" t="s">
        <v>50</v>
      </c>
      <c r="M10">
        <v>3</v>
      </c>
    </row>
    <row r="11" spans="1:13" x14ac:dyDescent="0.25">
      <c r="A11" s="2">
        <v>46161</v>
      </c>
      <c r="B11" s="1" t="str">
        <f ca="1">IF(Información1[[#This Row],[Fecha]]='Ajuste de fechas'!$A$2,"Día actual","Día anterior")</f>
        <v>Día anterior</v>
      </c>
      <c r="C11" s="3" t="s">
        <v>34</v>
      </c>
      <c r="D11" t="s">
        <v>35</v>
      </c>
      <c r="E11" s="3" t="s">
        <v>111</v>
      </c>
      <c r="F11" s="3" t="s">
        <v>21</v>
      </c>
      <c r="G11" s="3" t="s">
        <v>112</v>
      </c>
      <c r="H11" s="3" t="s">
        <v>32</v>
      </c>
      <c r="I11" s="3" t="s">
        <v>7</v>
      </c>
      <c r="J11" s="3" t="s">
        <v>48</v>
      </c>
      <c r="K11" s="3" t="s">
        <v>27</v>
      </c>
      <c r="L11" s="3" t="s">
        <v>51</v>
      </c>
      <c r="M11">
        <v>3</v>
      </c>
    </row>
    <row r="12" spans="1:13" x14ac:dyDescent="0.25">
      <c r="A12" s="2">
        <v>46161</v>
      </c>
      <c r="B12" s="1" t="str">
        <f ca="1">IF(Información1[[#This Row],[Fecha]]='Ajuste de fechas'!$A$2,"Día actual","Día anterior")</f>
        <v>Día anterior</v>
      </c>
      <c r="C12" s="3" t="s">
        <v>34</v>
      </c>
      <c r="D12" t="s">
        <v>35</v>
      </c>
      <c r="E12" s="3" t="s">
        <v>113</v>
      </c>
      <c r="F12" s="3" t="s">
        <v>21</v>
      </c>
      <c r="G12" s="3" t="s">
        <v>72</v>
      </c>
      <c r="H12" s="3" t="s">
        <v>32</v>
      </c>
      <c r="I12" s="3" t="s">
        <v>7</v>
      </c>
      <c r="J12" s="3" t="s">
        <v>48</v>
      </c>
      <c r="K12" s="3" t="s">
        <v>27</v>
      </c>
      <c r="L12" s="3" t="s">
        <v>49</v>
      </c>
      <c r="M12">
        <v>3</v>
      </c>
    </row>
    <row r="13" spans="1:13" x14ac:dyDescent="0.25">
      <c r="A13" s="2">
        <v>46161</v>
      </c>
      <c r="B13" s="1" t="str">
        <f ca="1">IF(Información1[[#This Row],[Fecha]]='Ajuste de fechas'!$A$2,"Día actual","Día anterior")</f>
        <v>Día anterior</v>
      </c>
      <c r="C13" s="3" t="s">
        <v>34</v>
      </c>
      <c r="D13" t="s">
        <v>35</v>
      </c>
      <c r="E13" s="3" t="s">
        <v>114</v>
      </c>
      <c r="F13" s="3" t="s">
        <v>26</v>
      </c>
      <c r="G13" s="3" t="s">
        <v>115</v>
      </c>
      <c r="H13" s="3" t="s">
        <v>32</v>
      </c>
      <c r="I13" s="3" t="s">
        <v>7</v>
      </c>
      <c r="J13" s="3" t="s">
        <v>48</v>
      </c>
      <c r="K13" s="3" t="s">
        <v>27</v>
      </c>
      <c r="L13" s="3" t="s">
        <v>51</v>
      </c>
      <c r="M13">
        <v>3</v>
      </c>
    </row>
    <row r="14" spans="1:13" x14ac:dyDescent="0.25">
      <c r="A14" s="2">
        <v>46161</v>
      </c>
      <c r="B14" s="1" t="str">
        <f ca="1">IF(Información1[[#This Row],[Fecha]]='Ajuste de fechas'!$A$2,"Día actual","Día anterior")</f>
        <v>Día anterior</v>
      </c>
      <c r="C14" s="3" t="s">
        <v>34</v>
      </c>
      <c r="D14" t="s">
        <v>35</v>
      </c>
      <c r="E14" s="3" t="s">
        <v>116</v>
      </c>
      <c r="F14" s="3" t="s">
        <v>24</v>
      </c>
      <c r="G14" s="3" t="s">
        <v>94</v>
      </c>
      <c r="H14" s="3" t="s">
        <v>32</v>
      </c>
      <c r="I14" s="3" t="s">
        <v>7</v>
      </c>
      <c r="J14" s="3" t="s">
        <v>24</v>
      </c>
      <c r="K14" s="3" t="s">
        <v>27</v>
      </c>
      <c r="L14" s="3" t="s">
        <v>49</v>
      </c>
      <c r="M14">
        <v>3</v>
      </c>
    </row>
    <row r="15" spans="1:13" x14ac:dyDescent="0.25">
      <c r="A15" s="2">
        <v>46161</v>
      </c>
      <c r="B15" s="1" t="str">
        <f ca="1">IF(Información1[[#This Row],[Fecha]]='Ajuste de fechas'!$A$2,"Día actual","Día anterior")</f>
        <v>Día anterior</v>
      </c>
      <c r="C15" s="3" t="s">
        <v>34</v>
      </c>
      <c r="D15" t="s">
        <v>35</v>
      </c>
      <c r="E15" s="3" t="s">
        <v>117</v>
      </c>
      <c r="F15" s="3" t="s">
        <v>15</v>
      </c>
      <c r="G15" s="3" t="s">
        <v>118</v>
      </c>
      <c r="H15" s="3" t="s">
        <v>32</v>
      </c>
      <c r="I15" s="3" t="s">
        <v>25</v>
      </c>
      <c r="J15" s="3" t="s">
        <v>48</v>
      </c>
      <c r="K15" s="3" t="s">
        <v>27</v>
      </c>
      <c r="L15" s="3" t="s">
        <v>50</v>
      </c>
      <c r="M15">
        <v>1</v>
      </c>
    </row>
    <row r="16" spans="1:13" x14ac:dyDescent="0.25">
      <c r="A16" s="2">
        <v>46161</v>
      </c>
      <c r="B16" s="1" t="str">
        <f ca="1">IF(Información1[[#This Row],[Fecha]]='Ajuste de fechas'!$A$2,"Día actual","Día anterior")</f>
        <v>Día anterior</v>
      </c>
      <c r="C16" s="3" t="s">
        <v>37</v>
      </c>
      <c r="D16" t="s">
        <v>38</v>
      </c>
      <c r="E16" s="3" t="s">
        <v>119</v>
      </c>
      <c r="F16" s="3" t="s">
        <v>19</v>
      </c>
      <c r="G16" s="3" t="s">
        <v>120</v>
      </c>
      <c r="H16" s="3" t="s">
        <v>11</v>
      </c>
      <c r="I16" s="3" t="s">
        <v>7</v>
      </c>
      <c r="J16" s="3" t="s">
        <v>52</v>
      </c>
      <c r="K16" s="3" t="s">
        <v>39</v>
      </c>
      <c r="L16" s="3" t="s">
        <v>49</v>
      </c>
      <c r="M16">
        <v>2</v>
      </c>
    </row>
    <row r="17" spans="1:13" x14ac:dyDescent="0.25">
      <c r="A17" s="2">
        <v>46161</v>
      </c>
      <c r="B17" s="1" t="str">
        <f ca="1">IF(Información1[[#This Row],[Fecha]]='Ajuste de fechas'!$A$2,"Día actual","Día anterior")</f>
        <v>Día anterior</v>
      </c>
      <c r="C17" s="3" t="s">
        <v>37</v>
      </c>
      <c r="D17" t="s">
        <v>38</v>
      </c>
      <c r="E17" s="3" t="s">
        <v>121</v>
      </c>
      <c r="F17" s="3" t="s">
        <v>15</v>
      </c>
      <c r="G17" s="3" t="s">
        <v>122</v>
      </c>
      <c r="H17" s="3" t="s">
        <v>11</v>
      </c>
      <c r="I17" s="3" t="s">
        <v>7</v>
      </c>
      <c r="J17" s="3" t="s">
        <v>48</v>
      </c>
      <c r="K17" s="3" t="s">
        <v>39</v>
      </c>
      <c r="L17" s="3" t="s">
        <v>51</v>
      </c>
      <c r="M17">
        <v>2</v>
      </c>
    </row>
    <row r="18" spans="1:13" x14ac:dyDescent="0.25">
      <c r="A18" s="2">
        <v>46161</v>
      </c>
      <c r="B18" s="1" t="str">
        <f ca="1">IF(Información1[[#This Row],[Fecha]]='Ajuste de fechas'!$A$2,"Día actual","Día anterior")</f>
        <v>Día anterior</v>
      </c>
      <c r="C18" s="3" t="s">
        <v>37</v>
      </c>
      <c r="D18" t="s">
        <v>38</v>
      </c>
      <c r="E18" s="3" t="s">
        <v>123</v>
      </c>
      <c r="F18" s="3" t="s">
        <v>22</v>
      </c>
      <c r="G18" s="3" t="s">
        <v>124</v>
      </c>
      <c r="H18" s="3" t="s">
        <v>11</v>
      </c>
      <c r="I18" s="3" t="s">
        <v>7</v>
      </c>
      <c r="J18" s="3" t="s">
        <v>53</v>
      </c>
      <c r="K18" s="3" t="s">
        <v>39</v>
      </c>
      <c r="L18" s="3" t="s">
        <v>49</v>
      </c>
      <c r="M18">
        <v>1</v>
      </c>
    </row>
    <row r="19" spans="1:13" x14ac:dyDescent="0.25">
      <c r="A19" s="2">
        <v>46161</v>
      </c>
      <c r="B19" s="1" t="str">
        <f ca="1">IF(Información1[[#This Row],[Fecha]]='Ajuste de fechas'!$A$2,"Día actual","Día anterior")</f>
        <v>Día anterior</v>
      </c>
      <c r="C19" s="3" t="s">
        <v>37</v>
      </c>
      <c r="D19" t="s">
        <v>38</v>
      </c>
      <c r="E19" s="3" t="s">
        <v>125</v>
      </c>
      <c r="F19" s="3" t="s">
        <v>19</v>
      </c>
      <c r="G19" s="3" t="s">
        <v>126</v>
      </c>
      <c r="H19" s="3" t="s">
        <v>11</v>
      </c>
      <c r="I19" s="3" t="s">
        <v>7</v>
      </c>
      <c r="J19" s="3" t="s">
        <v>52</v>
      </c>
      <c r="K19" s="3" t="s">
        <v>39</v>
      </c>
      <c r="L19" s="3" t="s">
        <v>49</v>
      </c>
      <c r="M19">
        <v>2</v>
      </c>
    </row>
    <row r="20" spans="1:13" x14ac:dyDescent="0.25">
      <c r="A20" s="2">
        <v>46161</v>
      </c>
      <c r="B20" s="1" t="str">
        <f ca="1">IF(Información1[[#This Row],[Fecha]]='Ajuste de fechas'!$A$2,"Día actual","Día anterior")</f>
        <v>Día anterior</v>
      </c>
      <c r="C20" s="3" t="s">
        <v>37</v>
      </c>
      <c r="D20" t="s">
        <v>38</v>
      </c>
      <c r="E20" s="3" t="s">
        <v>128</v>
      </c>
      <c r="F20" s="3" t="s">
        <v>19</v>
      </c>
      <c r="G20" s="3" t="s">
        <v>129</v>
      </c>
      <c r="H20" s="3" t="s">
        <v>11</v>
      </c>
      <c r="I20" s="3" t="s">
        <v>7</v>
      </c>
      <c r="J20" s="3" t="s">
        <v>52</v>
      </c>
      <c r="K20" s="3" t="s">
        <v>39</v>
      </c>
      <c r="L20" s="3" t="s">
        <v>54</v>
      </c>
      <c r="M20">
        <v>2</v>
      </c>
    </row>
    <row r="21" spans="1:13" x14ac:dyDescent="0.25">
      <c r="A21" s="2">
        <v>46161</v>
      </c>
      <c r="B21" s="1" t="str">
        <f ca="1">IF(Información1[[#This Row],[Fecha]]='Ajuste de fechas'!$A$2,"Día actual","Día anterior")</f>
        <v>Día anterior</v>
      </c>
      <c r="C21" s="3" t="s">
        <v>37</v>
      </c>
      <c r="D21" t="s">
        <v>38</v>
      </c>
      <c r="E21" s="3" t="s">
        <v>130</v>
      </c>
      <c r="F21" s="3" t="s">
        <v>22</v>
      </c>
      <c r="G21" s="3" t="s">
        <v>131</v>
      </c>
      <c r="H21" s="3" t="s">
        <v>11</v>
      </c>
      <c r="I21" s="3" t="s">
        <v>7</v>
      </c>
      <c r="J21" s="3" t="s">
        <v>53</v>
      </c>
      <c r="K21" s="3" t="s">
        <v>39</v>
      </c>
      <c r="L21" s="3" t="s">
        <v>49</v>
      </c>
      <c r="M21">
        <v>2</v>
      </c>
    </row>
    <row r="22" spans="1:13" x14ac:dyDescent="0.25">
      <c r="A22" s="2">
        <v>46161</v>
      </c>
      <c r="B22" s="1" t="str">
        <f ca="1">IF(Información1[[#This Row],[Fecha]]='Ajuste de fechas'!$A$2,"Día actual","Día anterior")</f>
        <v>Día anterior</v>
      </c>
      <c r="C22" s="3" t="s">
        <v>37</v>
      </c>
      <c r="D22" t="s">
        <v>38</v>
      </c>
      <c r="E22" s="3" t="s">
        <v>132</v>
      </c>
      <c r="F22" s="3" t="s">
        <v>62</v>
      </c>
      <c r="G22" s="3" t="s">
        <v>131</v>
      </c>
      <c r="H22" s="3" t="s">
        <v>11</v>
      </c>
      <c r="I22" s="3" t="s">
        <v>7</v>
      </c>
      <c r="J22" s="3" t="s">
        <v>48</v>
      </c>
      <c r="K22" s="3" t="s">
        <v>39</v>
      </c>
      <c r="L22" s="3" t="s">
        <v>51</v>
      </c>
      <c r="M22">
        <v>2</v>
      </c>
    </row>
    <row r="23" spans="1:13" x14ac:dyDescent="0.25">
      <c r="A23" s="2">
        <v>46161</v>
      </c>
      <c r="B23" s="1" t="str">
        <f ca="1">IF(Información1[[#This Row],[Fecha]]='Ajuste de fechas'!$A$2,"Día actual","Día anterior")</f>
        <v>Día anterior</v>
      </c>
      <c r="C23" s="3" t="s">
        <v>37</v>
      </c>
      <c r="D23" t="s">
        <v>38</v>
      </c>
      <c r="E23" s="3" t="s">
        <v>133</v>
      </c>
      <c r="F23" s="3" t="s">
        <v>62</v>
      </c>
      <c r="G23" s="3" t="s">
        <v>134</v>
      </c>
      <c r="H23" s="3" t="s">
        <v>11</v>
      </c>
      <c r="I23" s="3" t="s">
        <v>7</v>
      </c>
      <c r="J23" s="3" t="s">
        <v>48</v>
      </c>
      <c r="K23" s="3" t="s">
        <v>39</v>
      </c>
      <c r="L23" s="3" t="s">
        <v>49</v>
      </c>
      <c r="M23">
        <v>2</v>
      </c>
    </row>
    <row r="24" spans="1:13" x14ac:dyDescent="0.25">
      <c r="A24" s="2">
        <v>46161</v>
      </c>
      <c r="B24" s="1" t="str">
        <f ca="1">IF(Información1[[#This Row],[Fecha]]='Ajuste de fechas'!$A$2,"Día actual","Día anterior")</f>
        <v>Día anterior</v>
      </c>
      <c r="C24" s="3" t="s">
        <v>37</v>
      </c>
      <c r="D24" t="s">
        <v>38</v>
      </c>
      <c r="E24" s="3" t="s">
        <v>135</v>
      </c>
      <c r="F24" s="3" t="s">
        <v>19</v>
      </c>
      <c r="G24" s="3" t="s">
        <v>69</v>
      </c>
      <c r="H24" s="3" t="s">
        <v>11</v>
      </c>
      <c r="I24" s="3" t="s">
        <v>25</v>
      </c>
      <c r="J24" s="3" t="s">
        <v>52</v>
      </c>
      <c r="K24" s="3" t="s">
        <v>39</v>
      </c>
      <c r="L24" s="3" t="s">
        <v>49</v>
      </c>
      <c r="M24">
        <v>2</v>
      </c>
    </row>
    <row r="25" spans="1:13" x14ac:dyDescent="0.25">
      <c r="A25" s="2">
        <v>46161</v>
      </c>
      <c r="B25" s="1" t="str">
        <f ca="1">IF(Información1[[#This Row],[Fecha]]='Ajuste de fechas'!$A$2,"Día actual","Día anterior")</f>
        <v>Día anterior</v>
      </c>
      <c r="C25" s="3" t="s">
        <v>37</v>
      </c>
      <c r="D25" t="s">
        <v>38</v>
      </c>
      <c r="E25" s="3" t="s">
        <v>136</v>
      </c>
      <c r="F25" s="3" t="s">
        <v>62</v>
      </c>
      <c r="G25" s="3" t="s">
        <v>137</v>
      </c>
      <c r="H25" s="3" t="s">
        <v>11</v>
      </c>
      <c r="I25" s="3" t="s">
        <v>7</v>
      </c>
      <c r="J25" s="3" t="s">
        <v>48</v>
      </c>
      <c r="K25" s="3" t="s">
        <v>39</v>
      </c>
      <c r="L25" s="3" t="s">
        <v>51</v>
      </c>
      <c r="M25">
        <v>2</v>
      </c>
    </row>
    <row r="26" spans="1:13" x14ac:dyDescent="0.25">
      <c r="A26" s="2">
        <v>46161</v>
      </c>
      <c r="B26" s="1" t="str">
        <f ca="1">IF(Información1[[#This Row],[Fecha]]='Ajuste de fechas'!$A$2,"Día actual","Día anterior")</f>
        <v>Día anterior</v>
      </c>
      <c r="C26" s="3" t="s">
        <v>37</v>
      </c>
      <c r="D26" t="s">
        <v>38</v>
      </c>
      <c r="E26" s="3" t="s">
        <v>138</v>
      </c>
      <c r="F26" s="3" t="s">
        <v>23</v>
      </c>
      <c r="G26" s="3" t="s">
        <v>139</v>
      </c>
      <c r="H26" s="3" t="s">
        <v>11</v>
      </c>
      <c r="I26" s="3" t="s">
        <v>7</v>
      </c>
      <c r="J26" s="3" t="s">
        <v>48</v>
      </c>
      <c r="K26" s="3" t="s">
        <v>39</v>
      </c>
      <c r="L26" s="3" t="s">
        <v>51</v>
      </c>
      <c r="M26">
        <v>2</v>
      </c>
    </row>
    <row r="27" spans="1:13" x14ac:dyDescent="0.25">
      <c r="A27" s="2">
        <v>46161</v>
      </c>
      <c r="B27" s="1" t="str">
        <f ca="1">IF(Información1[[#This Row],[Fecha]]='Ajuste de fechas'!$A$2,"Día actual","Día anterior")</f>
        <v>Día anterior</v>
      </c>
      <c r="C27" s="3" t="s">
        <v>37</v>
      </c>
      <c r="D27" t="s">
        <v>38</v>
      </c>
      <c r="E27" s="3" t="s">
        <v>140</v>
      </c>
      <c r="F27" s="3" t="s">
        <v>22</v>
      </c>
      <c r="G27" s="3" t="s">
        <v>141</v>
      </c>
      <c r="H27" s="3" t="s">
        <v>11</v>
      </c>
      <c r="I27" s="3" t="s">
        <v>7</v>
      </c>
      <c r="J27" s="3" t="s">
        <v>53</v>
      </c>
      <c r="K27" s="3" t="s">
        <v>39</v>
      </c>
      <c r="L27" s="3" t="s">
        <v>49</v>
      </c>
      <c r="M27">
        <v>2</v>
      </c>
    </row>
    <row r="28" spans="1:13" x14ac:dyDescent="0.25">
      <c r="A28" s="2">
        <v>46161</v>
      </c>
      <c r="B28" s="1" t="str">
        <f ca="1">IF(Información1[[#This Row],[Fecha]]='Ajuste de fechas'!$A$2,"Día actual","Día anterior")</f>
        <v>Día anterior</v>
      </c>
      <c r="C28" s="3" t="s">
        <v>37</v>
      </c>
      <c r="D28" t="s">
        <v>38</v>
      </c>
      <c r="E28" s="3" t="s">
        <v>142</v>
      </c>
      <c r="F28" s="3" t="s">
        <v>22</v>
      </c>
      <c r="G28" s="3" t="s">
        <v>143</v>
      </c>
      <c r="H28" s="3" t="s">
        <v>11</v>
      </c>
      <c r="I28" s="3" t="s">
        <v>25</v>
      </c>
      <c r="J28" s="3" t="s">
        <v>53</v>
      </c>
      <c r="K28" s="3" t="s">
        <v>39</v>
      </c>
      <c r="L28" s="3" t="s">
        <v>49</v>
      </c>
      <c r="M28">
        <v>2</v>
      </c>
    </row>
    <row r="29" spans="1:13" x14ac:dyDescent="0.25">
      <c r="A29" s="2">
        <v>46161</v>
      </c>
      <c r="B29" s="1" t="str">
        <f ca="1">IF(Información1[[#This Row],[Fecha]]='Ajuste de fechas'!$A$2,"Día actual","Día anterior")</f>
        <v>Día anterior</v>
      </c>
      <c r="C29" s="3" t="s">
        <v>37</v>
      </c>
      <c r="D29" t="s">
        <v>38</v>
      </c>
      <c r="E29" s="3" t="s">
        <v>70</v>
      </c>
      <c r="F29" s="3" t="s">
        <v>19</v>
      </c>
      <c r="G29" s="3" t="s">
        <v>33</v>
      </c>
      <c r="H29" s="3" t="s">
        <v>11</v>
      </c>
      <c r="I29" s="3" t="s">
        <v>25</v>
      </c>
      <c r="J29" s="3" t="s">
        <v>52</v>
      </c>
      <c r="K29" s="3" t="s">
        <v>39</v>
      </c>
      <c r="L29" s="3" t="s">
        <v>49</v>
      </c>
      <c r="M29">
        <v>2</v>
      </c>
    </row>
    <row r="30" spans="1:13" x14ac:dyDescent="0.25">
      <c r="A30" s="2">
        <v>46161</v>
      </c>
      <c r="B30" s="1" t="str">
        <f ca="1">IF(Información1[[#This Row],[Fecha]]='Ajuste de fechas'!$A$2,"Día actual","Día anterior")</f>
        <v>Día anterior</v>
      </c>
      <c r="C30" s="3" t="s">
        <v>37</v>
      </c>
      <c r="D30" t="s">
        <v>38</v>
      </c>
      <c r="E30" s="3" t="s">
        <v>144</v>
      </c>
      <c r="F30" s="3" t="s">
        <v>62</v>
      </c>
      <c r="G30" s="3" t="s">
        <v>86</v>
      </c>
      <c r="H30" s="3" t="s">
        <v>11</v>
      </c>
      <c r="I30" s="3" t="s">
        <v>25</v>
      </c>
      <c r="J30" s="3" t="s">
        <v>48</v>
      </c>
      <c r="K30" s="3" t="s">
        <v>39</v>
      </c>
      <c r="L30" s="3" t="s">
        <v>49</v>
      </c>
      <c r="M30">
        <v>2</v>
      </c>
    </row>
    <row r="31" spans="1:13" x14ac:dyDescent="0.25">
      <c r="A31" s="2">
        <v>46161</v>
      </c>
      <c r="B31" s="1" t="str">
        <f ca="1">IF(Información1[[#This Row],[Fecha]]='Ajuste de fechas'!$A$2,"Día actual","Día anterior")</f>
        <v>Día anterior</v>
      </c>
      <c r="C31" s="3" t="s">
        <v>37</v>
      </c>
      <c r="D31" t="s">
        <v>38</v>
      </c>
      <c r="E31" s="3" t="s">
        <v>145</v>
      </c>
      <c r="F31" s="3" t="s">
        <v>62</v>
      </c>
      <c r="G31" s="3" t="s">
        <v>68</v>
      </c>
      <c r="H31" s="3" t="s">
        <v>11</v>
      </c>
      <c r="I31" s="3" t="s">
        <v>25</v>
      </c>
      <c r="J31" s="3" t="s">
        <v>48</v>
      </c>
      <c r="K31" s="3" t="s">
        <v>39</v>
      </c>
      <c r="L31" s="3" t="s">
        <v>49</v>
      </c>
      <c r="M31">
        <v>2</v>
      </c>
    </row>
    <row r="32" spans="1:13" x14ac:dyDescent="0.25">
      <c r="A32" s="2">
        <v>46161</v>
      </c>
      <c r="B32" s="1" t="str">
        <f ca="1">IF(Información1[[#This Row],[Fecha]]='Ajuste de fechas'!$A$2,"Día actual","Día anterior")</f>
        <v>Día anterior</v>
      </c>
      <c r="C32" s="3" t="s">
        <v>37</v>
      </c>
      <c r="D32" t="s">
        <v>38</v>
      </c>
      <c r="E32" s="3" t="s">
        <v>146</v>
      </c>
      <c r="F32" s="3" t="s">
        <v>62</v>
      </c>
      <c r="G32" s="3" t="s">
        <v>89</v>
      </c>
      <c r="H32" s="3" t="s">
        <v>11</v>
      </c>
      <c r="I32" s="3" t="s">
        <v>7</v>
      </c>
      <c r="J32" s="3" t="s">
        <v>48</v>
      </c>
      <c r="K32" s="3" t="s">
        <v>39</v>
      </c>
      <c r="L32" s="3" t="s">
        <v>49</v>
      </c>
      <c r="M32">
        <v>2</v>
      </c>
    </row>
    <row r="33" spans="1:13" x14ac:dyDescent="0.25">
      <c r="A33" s="2">
        <v>46161</v>
      </c>
      <c r="B33" s="1" t="str">
        <f ca="1">IF(Información1[[#This Row],[Fecha]]='Ajuste de fechas'!$A$2,"Día actual","Día anterior")</f>
        <v>Día anterior</v>
      </c>
      <c r="C33" s="3" t="s">
        <v>37</v>
      </c>
      <c r="D33" t="s">
        <v>38</v>
      </c>
      <c r="E33" s="3" t="s">
        <v>147</v>
      </c>
      <c r="F33" s="3" t="s">
        <v>19</v>
      </c>
      <c r="G33" s="3"/>
      <c r="H33" s="3" t="s">
        <v>11</v>
      </c>
      <c r="I33" s="3" t="s">
        <v>7</v>
      </c>
      <c r="J33" s="3" t="s">
        <v>52</v>
      </c>
      <c r="K33" s="3" t="s">
        <v>39</v>
      </c>
      <c r="L33" s="3" t="s">
        <v>49</v>
      </c>
      <c r="M33">
        <v>1</v>
      </c>
    </row>
    <row r="34" spans="1:13" x14ac:dyDescent="0.25">
      <c r="A34" s="2">
        <v>46161</v>
      </c>
      <c r="B34" s="1" t="str">
        <f ca="1">IF(Información1[[#This Row],[Fecha]]='Ajuste de fechas'!$A$2,"Día actual","Día anterior")</f>
        <v>Día anterior</v>
      </c>
      <c r="C34" s="3" t="s">
        <v>37</v>
      </c>
      <c r="D34" t="s">
        <v>38</v>
      </c>
      <c r="E34" s="3" t="s">
        <v>148</v>
      </c>
      <c r="F34" s="3" t="s">
        <v>19</v>
      </c>
      <c r="G34" s="3" t="s">
        <v>149</v>
      </c>
      <c r="H34" s="3" t="s">
        <v>11</v>
      </c>
      <c r="I34" s="3" t="s">
        <v>7</v>
      </c>
      <c r="J34" s="3" t="s">
        <v>52</v>
      </c>
      <c r="K34" s="3" t="s">
        <v>39</v>
      </c>
      <c r="L34" s="3" t="s">
        <v>49</v>
      </c>
      <c r="M34">
        <v>2</v>
      </c>
    </row>
    <row r="35" spans="1:13" x14ac:dyDescent="0.25">
      <c r="A35" s="2">
        <v>46161</v>
      </c>
      <c r="B35" s="1" t="str">
        <f ca="1">IF(Información1[[#This Row],[Fecha]]='Ajuste de fechas'!$A$2,"Día actual","Día anterior")</f>
        <v>Día anterior</v>
      </c>
      <c r="C35" s="3" t="s">
        <v>37</v>
      </c>
      <c r="D35" t="s">
        <v>38</v>
      </c>
      <c r="E35" s="3" t="s">
        <v>150</v>
      </c>
      <c r="F35" s="3" t="s">
        <v>19</v>
      </c>
      <c r="G35" s="3" t="s">
        <v>151</v>
      </c>
      <c r="H35" s="3" t="s">
        <v>11</v>
      </c>
      <c r="I35" s="3" t="s">
        <v>25</v>
      </c>
      <c r="J35" s="3" t="s">
        <v>52</v>
      </c>
      <c r="K35" s="3" t="s">
        <v>39</v>
      </c>
      <c r="L35" s="3" t="s">
        <v>50</v>
      </c>
      <c r="M35">
        <v>2</v>
      </c>
    </row>
    <row r="36" spans="1:13" x14ac:dyDescent="0.25">
      <c r="A36" s="2">
        <v>46161</v>
      </c>
      <c r="B36" s="1" t="str">
        <f ca="1">IF(Información1[[#This Row],[Fecha]]='Ajuste de fechas'!$A$2,"Día actual","Día anterior")</f>
        <v>Día anterior</v>
      </c>
      <c r="C36" s="3" t="s">
        <v>37</v>
      </c>
      <c r="D36" t="s">
        <v>38</v>
      </c>
      <c r="E36" s="3" t="s">
        <v>152</v>
      </c>
      <c r="F36" s="3" t="s">
        <v>19</v>
      </c>
      <c r="G36" s="3" t="s">
        <v>151</v>
      </c>
      <c r="H36" s="3" t="s">
        <v>11</v>
      </c>
      <c r="I36" s="3" t="s">
        <v>25</v>
      </c>
      <c r="J36" s="3" t="s">
        <v>52</v>
      </c>
      <c r="K36" s="3" t="s">
        <v>39</v>
      </c>
      <c r="L36" s="3" t="s">
        <v>50</v>
      </c>
      <c r="M36">
        <v>2</v>
      </c>
    </row>
    <row r="37" spans="1:13" x14ac:dyDescent="0.25">
      <c r="A37" s="2">
        <v>46161</v>
      </c>
      <c r="B37" s="1" t="str">
        <f ca="1">IF(Información1[[#This Row],[Fecha]]='Ajuste de fechas'!$A$2,"Día actual","Día anterior")</f>
        <v>Día anterior</v>
      </c>
      <c r="C37" s="3" t="s">
        <v>37</v>
      </c>
      <c r="D37" t="s">
        <v>38</v>
      </c>
      <c r="E37" s="3" t="s">
        <v>153</v>
      </c>
      <c r="F37" s="3" t="s">
        <v>19</v>
      </c>
      <c r="G37" s="3" t="s">
        <v>154</v>
      </c>
      <c r="H37" s="3" t="s">
        <v>11</v>
      </c>
      <c r="I37" s="3" t="s">
        <v>25</v>
      </c>
      <c r="J37" s="3" t="s">
        <v>52</v>
      </c>
      <c r="K37" s="3" t="s">
        <v>39</v>
      </c>
      <c r="L37" s="3" t="s">
        <v>49</v>
      </c>
      <c r="M37">
        <v>2</v>
      </c>
    </row>
    <row r="38" spans="1:13" x14ac:dyDescent="0.25">
      <c r="A38" s="2">
        <v>46161</v>
      </c>
      <c r="B38" s="1" t="str">
        <f ca="1">IF(Información1[[#This Row],[Fecha]]='Ajuste de fechas'!$A$2,"Día actual","Día anterior")</f>
        <v>Día anterior</v>
      </c>
      <c r="C38" s="3" t="s">
        <v>37</v>
      </c>
      <c r="D38" t="s">
        <v>38</v>
      </c>
      <c r="E38" s="3" t="s">
        <v>155</v>
      </c>
      <c r="F38" s="3" t="s">
        <v>19</v>
      </c>
      <c r="G38" s="3" t="s">
        <v>154</v>
      </c>
      <c r="H38" s="3" t="s">
        <v>11</v>
      </c>
      <c r="I38" s="3" t="s">
        <v>7</v>
      </c>
      <c r="J38" s="3" t="s">
        <v>52</v>
      </c>
      <c r="K38" s="3" t="s">
        <v>39</v>
      </c>
      <c r="L38" s="3" t="s">
        <v>49</v>
      </c>
      <c r="M38">
        <v>2</v>
      </c>
    </row>
    <row r="39" spans="1:13" x14ac:dyDescent="0.25">
      <c r="A39" s="2">
        <v>46161</v>
      </c>
      <c r="B39" s="1" t="str">
        <f ca="1">IF(Información1[[#This Row],[Fecha]]='Ajuste de fechas'!$A$2,"Día actual","Día anterior")</f>
        <v>Día anterior</v>
      </c>
      <c r="C39" s="3" t="s">
        <v>37</v>
      </c>
      <c r="D39" t="s">
        <v>38</v>
      </c>
      <c r="E39" s="3" t="s">
        <v>156</v>
      </c>
      <c r="F39" s="3" t="s">
        <v>19</v>
      </c>
      <c r="G39" s="3" t="s">
        <v>154</v>
      </c>
      <c r="H39" s="3" t="s">
        <v>11</v>
      </c>
      <c r="I39" s="3" t="s">
        <v>25</v>
      </c>
      <c r="J39" s="3" t="s">
        <v>52</v>
      </c>
      <c r="K39" s="3" t="s">
        <v>39</v>
      </c>
      <c r="L39" s="3" t="s">
        <v>49</v>
      </c>
      <c r="M39">
        <v>2</v>
      </c>
    </row>
    <row r="40" spans="1:13" x14ac:dyDescent="0.25">
      <c r="A40" s="2">
        <v>46161</v>
      </c>
      <c r="B40" s="1" t="str">
        <f ca="1">IF(Información1[[#This Row],[Fecha]]='Ajuste de fechas'!$A$2,"Día actual","Día anterior")</f>
        <v>Día anterior</v>
      </c>
      <c r="C40" s="3" t="s">
        <v>34</v>
      </c>
      <c r="D40" t="s">
        <v>35</v>
      </c>
      <c r="E40" s="3" t="s">
        <v>157</v>
      </c>
      <c r="F40" s="3" t="s">
        <v>15</v>
      </c>
      <c r="G40" s="3" t="s">
        <v>118</v>
      </c>
      <c r="H40" s="3" t="s">
        <v>32</v>
      </c>
      <c r="I40" s="3" t="s">
        <v>25</v>
      </c>
      <c r="J40" s="3" t="s">
        <v>48</v>
      </c>
      <c r="K40" s="3" t="s">
        <v>27</v>
      </c>
      <c r="L40" s="3" t="s">
        <v>50</v>
      </c>
      <c r="M40">
        <v>2</v>
      </c>
    </row>
    <row r="41" spans="1:13" x14ac:dyDescent="0.25">
      <c r="A41" s="2">
        <v>46161</v>
      </c>
      <c r="B41" s="1" t="str">
        <f ca="1">IF(Información1[[#This Row],[Fecha]]='Ajuste de fechas'!$A$2,"Día actual","Día anterior")</f>
        <v>Día anterior</v>
      </c>
      <c r="C41" s="3" t="s">
        <v>37</v>
      </c>
      <c r="D41" t="s">
        <v>38</v>
      </c>
      <c r="E41" s="3" t="s">
        <v>123</v>
      </c>
      <c r="F41" s="3" t="s">
        <v>22</v>
      </c>
      <c r="G41" s="3" t="s">
        <v>162</v>
      </c>
      <c r="H41" s="3" t="s">
        <v>11</v>
      </c>
      <c r="I41" s="3" t="s">
        <v>7</v>
      </c>
      <c r="J41" s="3" t="s">
        <v>53</v>
      </c>
      <c r="K41" s="3" t="s">
        <v>39</v>
      </c>
      <c r="L41" s="3" t="s">
        <v>49</v>
      </c>
      <c r="M41">
        <v>1</v>
      </c>
    </row>
    <row r="42" spans="1:13" x14ac:dyDescent="0.25">
      <c r="A42" s="2">
        <v>46161</v>
      </c>
      <c r="B42" s="1" t="str">
        <f ca="1">IF(Información1[[#This Row],[Fecha]]='Ajuste de fechas'!$A$2,"Día actual","Día anterior")</f>
        <v>Día anterior</v>
      </c>
      <c r="C42" s="3" t="s">
        <v>37</v>
      </c>
      <c r="D42" t="s">
        <v>38</v>
      </c>
      <c r="E42" s="3" t="s">
        <v>127</v>
      </c>
      <c r="F42" s="3" t="s">
        <v>63</v>
      </c>
      <c r="G42" s="3" t="s">
        <v>97</v>
      </c>
      <c r="H42" s="3" t="s">
        <v>11</v>
      </c>
      <c r="I42" s="3" t="s">
        <v>7</v>
      </c>
      <c r="J42" s="3" t="s">
        <v>48</v>
      </c>
      <c r="K42" s="3" t="s">
        <v>39</v>
      </c>
      <c r="L42" s="3" t="s">
        <v>49</v>
      </c>
      <c r="M42">
        <v>1</v>
      </c>
    </row>
    <row r="43" spans="1:13" x14ac:dyDescent="0.25">
      <c r="A43" s="2">
        <v>46161</v>
      </c>
      <c r="B43" s="1" t="str">
        <f ca="1">IF(Información1[[#This Row],[Fecha]]='Ajuste de fechas'!$A$2,"Día actual","Día anterior")</f>
        <v>Día anterior</v>
      </c>
      <c r="C43" s="3" t="s">
        <v>37</v>
      </c>
      <c r="D43" t="s">
        <v>38</v>
      </c>
      <c r="E43" s="3" t="s">
        <v>147</v>
      </c>
      <c r="F43" s="3" t="s">
        <v>19</v>
      </c>
      <c r="G43" s="3" t="s">
        <v>158</v>
      </c>
      <c r="H43" s="3" t="s">
        <v>11</v>
      </c>
      <c r="I43" s="3" t="s">
        <v>7</v>
      </c>
      <c r="J43" s="3" t="s">
        <v>52</v>
      </c>
      <c r="K43" s="3" t="s">
        <v>39</v>
      </c>
      <c r="L43" s="3" t="s">
        <v>49</v>
      </c>
      <c r="M43">
        <v>1</v>
      </c>
    </row>
    <row r="44" spans="1:13" x14ac:dyDescent="0.25">
      <c r="A44" s="2">
        <v>46161</v>
      </c>
      <c r="B44" s="1" t="str">
        <f ca="1">IF(Información1[[#This Row],[Fecha]]='Ajuste de fechas'!$A$2,"Día actual","Día anterior")</f>
        <v>Día anterior</v>
      </c>
      <c r="C44" s="3" t="s">
        <v>77</v>
      </c>
      <c r="D44" t="s">
        <v>78</v>
      </c>
      <c r="E44" s="3" t="s">
        <v>163</v>
      </c>
      <c r="F44" s="3" t="s">
        <v>19</v>
      </c>
      <c r="G44" s="3" t="s">
        <v>87</v>
      </c>
      <c r="H44" s="3" t="s">
        <v>11</v>
      </c>
      <c r="I44" s="3" t="s">
        <v>7</v>
      </c>
      <c r="J44" s="3" t="s">
        <v>52</v>
      </c>
      <c r="K44" s="3" t="s">
        <v>79</v>
      </c>
      <c r="L44" s="3" t="s">
        <v>54</v>
      </c>
      <c r="M44">
        <v>1</v>
      </c>
    </row>
    <row r="45" spans="1:13" x14ac:dyDescent="0.25">
      <c r="A45" s="2">
        <v>46161</v>
      </c>
      <c r="B45" s="1" t="str">
        <f ca="1">IF(Información1[[#This Row],[Fecha]]='Ajuste de fechas'!$A$2,"Día actual","Día anterior")</f>
        <v>Día anterior</v>
      </c>
      <c r="C45" s="3" t="s">
        <v>77</v>
      </c>
      <c r="D45" t="s">
        <v>78</v>
      </c>
      <c r="E45" s="3" t="s">
        <v>164</v>
      </c>
      <c r="F45" s="3" t="s">
        <v>62</v>
      </c>
      <c r="G45" s="3" t="s">
        <v>76</v>
      </c>
      <c r="H45" s="3" t="s">
        <v>11</v>
      </c>
      <c r="I45" s="3" t="s">
        <v>7</v>
      </c>
      <c r="J45" s="3" t="s">
        <v>48</v>
      </c>
      <c r="K45" s="3" t="s">
        <v>79</v>
      </c>
      <c r="L45" s="3" t="s">
        <v>49</v>
      </c>
      <c r="M45">
        <v>1</v>
      </c>
    </row>
    <row r="46" spans="1:13" x14ac:dyDescent="0.25">
      <c r="A46" s="2">
        <v>46161</v>
      </c>
      <c r="B46" s="1" t="str">
        <f ca="1">IF(Información1[[#This Row],[Fecha]]='Ajuste de fechas'!$A$2,"Día actual","Día anterior")</f>
        <v>Día anterior</v>
      </c>
      <c r="C46" s="3" t="s">
        <v>77</v>
      </c>
      <c r="D46" t="s">
        <v>78</v>
      </c>
      <c r="E46" s="3" t="s">
        <v>165</v>
      </c>
      <c r="F46" s="3" t="s">
        <v>62</v>
      </c>
      <c r="G46" s="3" t="s">
        <v>82</v>
      </c>
      <c r="H46" s="3" t="s">
        <v>11</v>
      </c>
      <c r="I46" s="3" t="s">
        <v>7</v>
      </c>
      <c r="J46" s="3" t="s">
        <v>48</v>
      </c>
      <c r="K46" s="3" t="s">
        <v>79</v>
      </c>
      <c r="L46" s="3" t="s">
        <v>49</v>
      </c>
      <c r="M46">
        <v>1</v>
      </c>
    </row>
    <row r="47" spans="1:13" x14ac:dyDescent="0.25">
      <c r="A47" s="2">
        <v>46161</v>
      </c>
      <c r="B47" s="1" t="str">
        <f ca="1">IF(Información1[[#This Row],[Fecha]]='Ajuste de fechas'!$A$2,"Día actual","Día anterior")</f>
        <v>Día anterior</v>
      </c>
      <c r="C47" s="3" t="s">
        <v>80</v>
      </c>
      <c r="D47" t="s">
        <v>81</v>
      </c>
      <c r="E47" s="3" t="s">
        <v>166</v>
      </c>
      <c r="F47" s="3" t="s">
        <v>15</v>
      </c>
      <c r="G47" s="3" t="s">
        <v>122</v>
      </c>
      <c r="H47" s="3" t="s">
        <v>11</v>
      </c>
      <c r="I47" s="3" t="s">
        <v>7</v>
      </c>
      <c r="J47" s="3" t="s">
        <v>48</v>
      </c>
      <c r="K47" s="3" t="s">
        <v>83</v>
      </c>
      <c r="L47" s="3" t="s">
        <v>51</v>
      </c>
      <c r="M47">
        <v>1</v>
      </c>
    </row>
    <row r="48" spans="1:13" x14ac:dyDescent="0.25">
      <c r="A48" s="2">
        <v>46161</v>
      </c>
      <c r="B48" s="1" t="str">
        <f ca="1">IF(Información1[[#This Row],[Fecha]]='Ajuste de fechas'!$A$2,"Día actual","Día anterior")</f>
        <v>Día anterior</v>
      </c>
      <c r="C48" s="3" t="s">
        <v>80</v>
      </c>
      <c r="D48" t="s">
        <v>81</v>
      </c>
      <c r="E48" s="3" t="s">
        <v>167</v>
      </c>
      <c r="F48" s="3" t="s">
        <v>62</v>
      </c>
      <c r="G48" s="3" t="s">
        <v>131</v>
      </c>
      <c r="H48" s="3" t="s">
        <v>11</v>
      </c>
      <c r="I48" s="3" t="s">
        <v>7</v>
      </c>
      <c r="J48" s="3" t="s">
        <v>48</v>
      </c>
      <c r="K48" s="3" t="s">
        <v>83</v>
      </c>
      <c r="L48" s="3" t="s">
        <v>51</v>
      </c>
      <c r="M48">
        <v>1</v>
      </c>
    </row>
    <row r="49" spans="1:13" x14ac:dyDescent="0.25">
      <c r="A49" s="2">
        <v>46161</v>
      </c>
      <c r="B49" s="1" t="str">
        <f ca="1">IF(Información1[[#This Row],[Fecha]]='Ajuste de fechas'!$A$2,"Día actual","Día anterior")</f>
        <v>Día anterior</v>
      </c>
      <c r="C49" s="3" t="s">
        <v>80</v>
      </c>
      <c r="D49" t="s">
        <v>81</v>
      </c>
      <c r="E49" s="3" t="s">
        <v>168</v>
      </c>
      <c r="F49" s="3" t="s">
        <v>23</v>
      </c>
      <c r="G49" s="3" t="s">
        <v>139</v>
      </c>
      <c r="H49" s="3" t="s">
        <v>11</v>
      </c>
      <c r="I49" s="3" t="s">
        <v>7</v>
      </c>
      <c r="J49" s="3" t="s">
        <v>48</v>
      </c>
      <c r="K49" s="3" t="s">
        <v>83</v>
      </c>
      <c r="L49" s="3" t="s">
        <v>51</v>
      </c>
      <c r="M49">
        <v>1</v>
      </c>
    </row>
    <row r="50" spans="1:13" x14ac:dyDescent="0.25">
      <c r="A50" s="2">
        <v>46161</v>
      </c>
      <c r="B50" s="1" t="str">
        <f ca="1">IF(Información1[[#This Row],[Fecha]]='Ajuste de fechas'!$A$2,"Día actual","Día anterior")</f>
        <v>Día anterior</v>
      </c>
      <c r="C50" s="3" t="s">
        <v>80</v>
      </c>
      <c r="D50" t="s">
        <v>81</v>
      </c>
      <c r="E50" s="3" t="s">
        <v>169</v>
      </c>
      <c r="F50" s="3" t="s">
        <v>21</v>
      </c>
      <c r="G50" s="3" t="s">
        <v>112</v>
      </c>
      <c r="H50" s="3" t="s">
        <v>11</v>
      </c>
      <c r="I50" s="3" t="s">
        <v>7</v>
      </c>
      <c r="J50" s="3" t="s">
        <v>48</v>
      </c>
      <c r="K50" s="3" t="s">
        <v>83</v>
      </c>
      <c r="L50" s="3" t="s">
        <v>51</v>
      </c>
      <c r="M50">
        <v>1</v>
      </c>
    </row>
    <row r="51" spans="1:13" x14ac:dyDescent="0.25">
      <c r="A51" s="2">
        <v>46161</v>
      </c>
      <c r="B51" s="1" t="str">
        <f ca="1">IF(Información1[[#This Row],[Fecha]]='Ajuste de fechas'!$A$2,"Día actual","Día anterior")</f>
        <v>Día anterior</v>
      </c>
      <c r="C51" s="3" t="s">
        <v>80</v>
      </c>
      <c r="D51" t="s">
        <v>81</v>
      </c>
      <c r="E51" s="3" t="s">
        <v>170</v>
      </c>
      <c r="F51" s="3" t="s">
        <v>171</v>
      </c>
      <c r="G51" s="3" t="s">
        <v>172</v>
      </c>
      <c r="H51" s="3" t="s">
        <v>11</v>
      </c>
      <c r="I51" s="3" t="s">
        <v>12</v>
      </c>
      <c r="J51" s="3" t="s">
        <v>48</v>
      </c>
      <c r="K51" s="3" t="s">
        <v>83</v>
      </c>
      <c r="L51" s="3" t="s">
        <v>173</v>
      </c>
      <c r="M51">
        <v>1</v>
      </c>
    </row>
    <row r="52" spans="1:13" x14ac:dyDescent="0.25">
      <c r="A52" s="2">
        <v>46161</v>
      </c>
      <c r="B52" s="1" t="str">
        <f ca="1">IF(Información1[[#This Row],[Fecha]]='Ajuste de fechas'!$A$2,"Día actual","Día anterior")</f>
        <v>Día anterior</v>
      </c>
      <c r="C52" s="3" t="s">
        <v>80</v>
      </c>
      <c r="D52" t="s">
        <v>81</v>
      </c>
      <c r="E52" s="3" t="s">
        <v>174</v>
      </c>
      <c r="F52" s="3" t="s">
        <v>23</v>
      </c>
      <c r="G52" s="3" t="s">
        <v>175</v>
      </c>
      <c r="H52" s="3" t="s">
        <v>11</v>
      </c>
      <c r="I52" s="3" t="s">
        <v>7</v>
      </c>
      <c r="J52" s="3" t="s">
        <v>48</v>
      </c>
      <c r="K52" s="3" t="s">
        <v>83</v>
      </c>
      <c r="L52" s="3" t="s">
        <v>51</v>
      </c>
      <c r="M52">
        <v>1</v>
      </c>
    </row>
    <row r="53" spans="1:13" x14ac:dyDescent="0.25">
      <c r="A53" s="2">
        <v>46161</v>
      </c>
      <c r="B53" s="1" t="str">
        <f ca="1">IF(Información1[[#This Row],[Fecha]]='Ajuste de fechas'!$A$2,"Día actual","Día anterior")</f>
        <v>Día anterior</v>
      </c>
      <c r="C53" s="3" t="s">
        <v>80</v>
      </c>
      <c r="D53" t="s">
        <v>81</v>
      </c>
      <c r="E53" s="3" t="s">
        <v>176</v>
      </c>
      <c r="F53" s="3" t="s">
        <v>91</v>
      </c>
      <c r="G53" s="3" t="s">
        <v>159</v>
      </c>
      <c r="H53" s="3" t="s">
        <v>11</v>
      </c>
      <c r="I53" s="3" t="s">
        <v>7</v>
      </c>
      <c r="J53" s="3" t="s">
        <v>48</v>
      </c>
      <c r="K53" s="3" t="s">
        <v>83</v>
      </c>
      <c r="L53" s="3" t="s">
        <v>51</v>
      </c>
      <c r="M53">
        <v>1</v>
      </c>
    </row>
    <row r="54" spans="1:13" x14ac:dyDescent="0.25">
      <c r="A54" s="2">
        <v>46161</v>
      </c>
      <c r="B54" s="1" t="str">
        <f ca="1">IF(Información1[[#This Row],[Fecha]]='Ajuste de fechas'!$A$2,"Día actual","Día anterior")</f>
        <v>Día anterior</v>
      </c>
      <c r="C54" s="3" t="s">
        <v>80</v>
      </c>
      <c r="D54" t="s">
        <v>81</v>
      </c>
      <c r="E54" s="3" t="s">
        <v>177</v>
      </c>
      <c r="F54" s="3" t="s">
        <v>36</v>
      </c>
      <c r="G54" s="3" t="s">
        <v>88</v>
      </c>
      <c r="H54" s="3" t="s">
        <v>11</v>
      </c>
      <c r="I54" s="3" t="s">
        <v>7</v>
      </c>
      <c r="J54" s="3" t="s">
        <v>48</v>
      </c>
      <c r="K54" s="3" t="s">
        <v>83</v>
      </c>
      <c r="L54" s="3" t="s">
        <v>51</v>
      </c>
      <c r="M54">
        <v>1</v>
      </c>
    </row>
    <row r="55" spans="1:13" x14ac:dyDescent="0.25">
      <c r="A55" s="2">
        <v>46161</v>
      </c>
      <c r="B55" s="1" t="str">
        <f ca="1">IF(Información1[[#This Row],[Fecha]]='Ajuste de fechas'!$A$2,"Día actual","Día anterior")</f>
        <v>Día anterior</v>
      </c>
      <c r="C55" s="3" t="s">
        <v>80</v>
      </c>
      <c r="D55" t="s">
        <v>81</v>
      </c>
      <c r="E55" s="3" t="s">
        <v>178</v>
      </c>
      <c r="F55" s="3" t="s">
        <v>91</v>
      </c>
      <c r="G55" s="3" t="s">
        <v>161</v>
      </c>
      <c r="H55" s="3" t="s">
        <v>11</v>
      </c>
      <c r="I55" s="3" t="s">
        <v>7</v>
      </c>
      <c r="J55" s="3" t="s">
        <v>48</v>
      </c>
      <c r="K55" s="3" t="s">
        <v>83</v>
      </c>
      <c r="L55" s="3" t="s">
        <v>51</v>
      </c>
      <c r="M55">
        <v>1</v>
      </c>
    </row>
    <row r="56" spans="1:13" x14ac:dyDescent="0.25">
      <c r="A56" s="2">
        <v>46161</v>
      </c>
      <c r="B56" s="1" t="str">
        <f ca="1">IF(Información1[[#This Row],[Fecha]]='Ajuste de fechas'!$A$2,"Día actual","Día anterior")</f>
        <v>Día anterior</v>
      </c>
      <c r="C56" s="3" t="s">
        <v>80</v>
      </c>
      <c r="D56" t="s">
        <v>81</v>
      </c>
      <c r="E56" s="3" t="s">
        <v>179</v>
      </c>
      <c r="F56" s="3" t="s">
        <v>91</v>
      </c>
      <c r="G56" s="3" t="s">
        <v>92</v>
      </c>
      <c r="H56" s="3" t="s">
        <v>11</v>
      </c>
      <c r="I56" s="3" t="s">
        <v>7</v>
      </c>
      <c r="J56" s="3" t="s">
        <v>48</v>
      </c>
      <c r="K56" s="3" t="s">
        <v>83</v>
      </c>
      <c r="L56" s="3" t="s">
        <v>51</v>
      </c>
      <c r="M56">
        <v>1</v>
      </c>
    </row>
    <row r="57" spans="1:13" x14ac:dyDescent="0.25">
      <c r="A57" s="2">
        <v>46161</v>
      </c>
      <c r="B57" s="1" t="str">
        <f ca="1">IF(Información1[[#This Row],[Fecha]]='Ajuste de fechas'!$A$2,"Día actual","Día anterior")</f>
        <v>Día anterior</v>
      </c>
      <c r="C57" s="3" t="s">
        <v>77</v>
      </c>
      <c r="D57" t="s">
        <v>84</v>
      </c>
      <c r="E57" s="3" t="s">
        <v>180</v>
      </c>
      <c r="F57" s="3" t="s">
        <v>181</v>
      </c>
      <c r="G57" s="3" t="s">
        <v>182</v>
      </c>
      <c r="H57" s="3" t="s">
        <v>11</v>
      </c>
      <c r="I57" s="3" t="s">
        <v>7</v>
      </c>
      <c r="J57" s="3" t="s">
        <v>24</v>
      </c>
      <c r="K57" s="3" t="s">
        <v>75</v>
      </c>
      <c r="L57" s="3" t="s">
        <v>49</v>
      </c>
      <c r="M57">
        <v>1</v>
      </c>
    </row>
    <row r="58" spans="1:13" x14ac:dyDescent="0.25">
      <c r="A58" s="2">
        <v>46161</v>
      </c>
      <c r="B58" s="1" t="str">
        <f ca="1">IF(Información1[[#This Row],[Fecha]]='Ajuste de fechas'!$A$2,"Día actual","Día anterior")</f>
        <v>Día anterior</v>
      </c>
      <c r="C58" s="3" t="s">
        <v>77</v>
      </c>
      <c r="D58" t="s">
        <v>84</v>
      </c>
      <c r="E58" s="3" t="s">
        <v>183</v>
      </c>
      <c r="F58" s="3" t="s">
        <v>19</v>
      </c>
      <c r="G58" s="3" t="s">
        <v>184</v>
      </c>
      <c r="H58" s="3" t="s">
        <v>11</v>
      </c>
      <c r="I58" s="3" t="s">
        <v>7</v>
      </c>
      <c r="J58" s="3" t="s">
        <v>52</v>
      </c>
      <c r="K58" s="3" t="s">
        <v>79</v>
      </c>
      <c r="L58" s="3" t="s">
        <v>49</v>
      </c>
      <c r="M58">
        <v>1</v>
      </c>
    </row>
    <row r="59" spans="1:13" x14ac:dyDescent="0.25">
      <c r="A59" s="2">
        <v>46161</v>
      </c>
      <c r="B59" s="1" t="str">
        <f ca="1">IF(Información1[[#This Row],[Fecha]]='Ajuste de fechas'!$A$2,"Día actual","Día anterior")</f>
        <v>Día anterior</v>
      </c>
      <c r="C59" s="3" t="s">
        <v>77</v>
      </c>
      <c r="D59" t="s">
        <v>84</v>
      </c>
      <c r="E59" s="3" t="s">
        <v>185</v>
      </c>
      <c r="F59" s="3" t="s">
        <v>19</v>
      </c>
      <c r="G59" s="3" t="s">
        <v>99</v>
      </c>
      <c r="H59" s="3" t="s">
        <v>11</v>
      </c>
      <c r="I59" s="3" t="s">
        <v>7</v>
      </c>
      <c r="J59" s="3" t="s">
        <v>52</v>
      </c>
      <c r="K59" s="3" t="s">
        <v>79</v>
      </c>
      <c r="L59" s="3" t="s">
        <v>49</v>
      </c>
      <c r="M59">
        <v>1</v>
      </c>
    </row>
    <row r="60" spans="1:13" x14ac:dyDescent="0.25">
      <c r="A60" s="2">
        <v>46161</v>
      </c>
      <c r="B60" s="1" t="str">
        <f ca="1">IF(Información1[[#This Row],[Fecha]]='Ajuste de fechas'!$A$2,"Día actual","Día anterior")</f>
        <v>Día anterior</v>
      </c>
      <c r="C60" s="3" t="s">
        <v>77</v>
      </c>
      <c r="D60" t="s">
        <v>84</v>
      </c>
      <c r="E60" s="3" t="s">
        <v>186</v>
      </c>
      <c r="F60" s="3" t="s">
        <v>171</v>
      </c>
      <c r="G60" s="3" t="s">
        <v>172</v>
      </c>
      <c r="H60" s="3" t="s">
        <v>11</v>
      </c>
      <c r="I60" s="3" t="s">
        <v>7</v>
      </c>
      <c r="J60" s="3" t="s">
        <v>48</v>
      </c>
      <c r="K60" s="3" t="s">
        <v>75</v>
      </c>
      <c r="L60" s="3" t="s">
        <v>173</v>
      </c>
      <c r="M60">
        <v>1</v>
      </c>
    </row>
    <row r="61" spans="1:13" x14ac:dyDescent="0.25">
      <c r="A61" s="2">
        <v>46161</v>
      </c>
      <c r="B61" s="1" t="str">
        <f ca="1">IF(Información1[[#This Row],[Fecha]]='Ajuste de fechas'!$A$2,"Día actual","Día anterior")</f>
        <v>Día anterior</v>
      </c>
      <c r="C61" s="3" t="s">
        <v>77</v>
      </c>
      <c r="D61" t="s">
        <v>84</v>
      </c>
      <c r="E61" s="3" t="s">
        <v>187</v>
      </c>
      <c r="F61" s="3" t="s">
        <v>64</v>
      </c>
      <c r="G61" s="3" t="s">
        <v>188</v>
      </c>
      <c r="H61" s="3" t="s">
        <v>11</v>
      </c>
      <c r="I61" s="3" t="s">
        <v>7</v>
      </c>
      <c r="J61" s="3" t="s">
        <v>48</v>
      </c>
      <c r="K61" s="3" t="s">
        <v>75</v>
      </c>
      <c r="L61" s="3" t="s">
        <v>51</v>
      </c>
      <c r="M61">
        <v>1</v>
      </c>
    </row>
    <row r="62" spans="1:13" x14ac:dyDescent="0.25">
      <c r="A62" s="2">
        <v>46161</v>
      </c>
      <c r="B62" s="1" t="str">
        <f ca="1">IF(Información1[[#This Row],[Fecha]]='Ajuste de fechas'!$A$2,"Día actual","Día anterior")</f>
        <v>Día anterior</v>
      </c>
      <c r="C62" s="3" t="s">
        <v>65</v>
      </c>
      <c r="D62" t="s">
        <v>66</v>
      </c>
      <c r="E62" s="3" t="s">
        <v>187</v>
      </c>
      <c r="F62" s="3" t="s">
        <v>64</v>
      </c>
      <c r="G62" s="3" t="s">
        <v>188</v>
      </c>
      <c r="H62" s="3" t="s">
        <v>11</v>
      </c>
      <c r="I62" s="3" t="s">
        <v>7</v>
      </c>
      <c r="J62" s="3" t="s">
        <v>48</v>
      </c>
      <c r="K62" s="3" t="s">
        <v>67</v>
      </c>
      <c r="L62" s="3" t="s">
        <v>51</v>
      </c>
      <c r="M62">
        <v>1</v>
      </c>
    </row>
    <row r="63" spans="1:13" x14ac:dyDescent="0.25">
      <c r="A63" s="2">
        <v>46161</v>
      </c>
      <c r="B63" s="1" t="str">
        <f ca="1">IF(Información1[[#This Row],[Fecha]]='Ajuste de fechas'!$A$2,"Día actual","Día anterior")</f>
        <v>Día anterior</v>
      </c>
      <c r="C63" s="3" t="s">
        <v>28</v>
      </c>
      <c r="D63" t="s">
        <v>30</v>
      </c>
      <c r="E63" s="3" t="s">
        <v>192</v>
      </c>
      <c r="F63" s="3" t="s">
        <v>62</v>
      </c>
      <c r="G63" s="3" t="s">
        <v>82</v>
      </c>
      <c r="H63" s="3" t="s">
        <v>11</v>
      </c>
      <c r="I63" s="3" t="s">
        <v>7</v>
      </c>
      <c r="J63" s="3" t="s">
        <v>48</v>
      </c>
      <c r="K63" s="3" t="s">
        <v>41</v>
      </c>
      <c r="L63" s="3" t="s">
        <v>49</v>
      </c>
      <c r="M63">
        <v>1</v>
      </c>
    </row>
    <row r="64" spans="1:13" x14ac:dyDescent="0.25">
      <c r="A64" s="2">
        <v>46161</v>
      </c>
      <c r="B64" s="1" t="str">
        <f ca="1">IF(Información1[[#This Row],[Fecha]]='Ajuste de fechas'!$A$2,"Día actual","Día anterior")</f>
        <v>Día anterior</v>
      </c>
      <c r="C64" s="3" t="s">
        <v>28</v>
      </c>
      <c r="D64" t="s">
        <v>30</v>
      </c>
      <c r="E64" s="3" t="s">
        <v>193</v>
      </c>
      <c r="F64" s="3" t="s">
        <v>22</v>
      </c>
      <c r="G64" s="3" t="s">
        <v>194</v>
      </c>
      <c r="H64" s="3" t="s">
        <v>11</v>
      </c>
      <c r="I64" s="3" t="s">
        <v>7</v>
      </c>
      <c r="J64" s="3" t="s">
        <v>53</v>
      </c>
      <c r="K64" s="3" t="s">
        <v>41</v>
      </c>
      <c r="L64" s="3" t="s">
        <v>49</v>
      </c>
      <c r="M64">
        <v>1</v>
      </c>
    </row>
    <row r="65" spans="1:13" x14ac:dyDescent="0.25">
      <c r="A65" s="2">
        <v>46161</v>
      </c>
      <c r="B65" s="1" t="str">
        <f ca="1">IF(Información1[[#This Row],[Fecha]]='Ajuste de fechas'!$A$2,"Día actual","Día anterior")</f>
        <v>Día anterior</v>
      </c>
      <c r="C65" s="3" t="s">
        <v>28</v>
      </c>
      <c r="D65" t="s">
        <v>30</v>
      </c>
      <c r="E65" s="3" t="s">
        <v>195</v>
      </c>
      <c r="F65" s="3" t="s">
        <v>26</v>
      </c>
      <c r="G65" s="3" t="s">
        <v>196</v>
      </c>
      <c r="H65" s="3" t="s">
        <v>11</v>
      </c>
      <c r="I65" s="3" t="s">
        <v>7</v>
      </c>
      <c r="J65" s="3" t="s">
        <v>48</v>
      </c>
      <c r="K65" s="3" t="s">
        <v>41</v>
      </c>
      <c r="L65" s="3" t="s">
        <v>49</v>
      </c>
      <c r="M65">
        <v>1</v>
      </c>
    </row>
    <row r="66" spans="1:13" x14ac:dyDescent="0.25">
      <c r="A66" s="2">
        <v>46161</v>
      </c>
      <c r="B66" s="1" t="str">
        <f ca="1">IF(Información1[[#This Row],[Fecha]]='Ajuste de fechas'!$A$2,"Día actual","Día anterior")</f>
        <v>Día anterior</v>
      </c>
      <c r="C66" s="3" t="s">
        <v>28</v>
      </c>
      <c r="D66" t="s">
        <v>30</v>
      </c>
      <c r="E66" s="3" t="s">
        <v>197</v>
      </c>
      <c r="F66" s="3" t="s">
        <v>24</v>
      </c>
      <c r="G66" s="3" t="s">
        <v>196</v>
      </c>
      <c r="H66" s="3" t="s">
        <v>11</v>
      </c>
      <c r="I66" s="3" t="s">
        <v>7</v>
      </c>
      <c r="J66" s="3" t="s">
        <v>24</v>
      </c>
      <c r="K66" s="3" t="s">
        <v>41</v>
      </c>
      <c r="L66" s="3" t="s">
        <v>49</v>
      </c>
      <c r="M66">
        <v>1</v>
      </c>
    </row>
    <row r="67" spans="1:13" x14ac:dyDescent="0.25">
      <c r="A67" s="2">
        <v>46161</v>
      </c>
      <c r="B67" s="1" t="str">
        <f ca="1">IF(Información1[[#This Row],[Fecha]]='Ajuste de fechas'!$A$2,"Día actual","Día anterior")</f>
        <v>Día anterior</v>
      </c>
      <c r="C67" s="3" t="s">
        <v>28</v>
      </c>
      <c r="D67" t="s">
        <v>30</v>
      </c>
      <c r="E67" s="3" t="s">
        <v>198</v>
      </c>
      <c r="F67" s="3" t="s">
        <v>24</v>
      </c>
      <c r="G67" s="3" t="s">
        <v>199</v>
      </c>
      <c r="H67" s="3" t="s">
        <v>11</v>
      </c>
      <c r="I67" s="3" t="s">
        <v>7</v>
      </c>
      <c r="J67" s="3" t="s">
        <v>24</v>
      </c>
      <c r="K67" s="3" t="s">
        <v>41</v>
      </c>
      <c r="L67" s="3" t="s">
        <v>49</v>
      </c>
      <c r="M67">
        <v>1</v>
      </c>
    </row>
    <row r="68" spans="1:13" x14ac:dyDescent="0.25">
      <c r="A68" s="2">
        <v>46161</v>
      </c>
      <c r="B68" s="1" t="str">
        <f ca="1">IF(Información1[[#This Row],[Fecha]]='Ajuste de fechas'!$A$2,"Día actual","Día anterior")</f>
        <v>Día anterior</v>
      </c>
      <c r="C68" s="3" t="s">
        <v>28</v>
      </c>
      <c r="D68" t="s">
        <v>30</v>
      </c>
      <c r="E68" s="3" t="s">
        <v>125</v>
      </c>
      <c r="F68" s="3" t="s">
        <v>19</v>
      </c>
      <c r="G68" s="3" t="s">
        <v>126</v>
      </c>
      <c r="H68" s="3" t="s">
        <v>11</v>
      </c>
      <c r="I68" s="3" t="s">
        <v>7</v>
      </c>
      <c r="J68" s="3" t="s">
        <v>52</v>
      </c>
      <c r="K68" s="3" t="s">
        <v>41</v>
      </c>
      <c r="L68" s="3" t="s">
        <v>49</v>
      </c>
      <c r="M68">
        <v>1</v>
      </c>
    </row>
    <row r="69" spans="1:13" x14ac:dyDescent="0.25">
      <c r="A69" s="2">
        <v>46161</v>
      </c>
      <c r="B69" s="1" t="str">
        <f ca="1">IF(Información1[[#This Row],[Fecha]]='Ajuste de fechas'!$A$2,"Día actual","Día anterior")</f>
        <v>Día anterior</v>
      </c>
      <c r="C69" s="3" t="s">
        <v>28</v>
      </c>
      <c r="D69" t="s">
        <v>30</v>
      </c>
      <c r="E69" s="3" t="s">
        <v>132</v>
      </c>
      <c r="F69" s="3" t="s">
        <v>62</v>
      </c>
      <c r="G69" s="3" t="s">
        <v>131</v>
      </c>
      <c r="H69" s="3" t="s">
        <v>11</v>
      </c>
      <c r="I69" s="3" t="s">
        <v>7</v>
      </c>
      <c r="J69" s="3" t="s">
        <v>48</v>
      </c>
      <c r="K69" s="3" t="s">
        <v>41</v>
      </c>
      <c r="L69" s="3" t="s">
        <v>51</v>
      </c>
      <c r="M69">
        <v>1</v>
      </c>
    </row>
    <row r="70" spans="1:13" x14ac:dyDescent="0.25">
      <c r="A70" s="2">
        <v>46161</v>
      </c>
      <c r="B70" s="1" t="str">
        <f ca="1">IF(Información1[[#This Row],[Fecha]]='Ajuste de fechas'!$A$2,"Día actual","Día anterior")</f>
        <v>Día anterior</v>
      </c>
      <c r="C70" s="3" t="s">
        <v>28</v>
      </c>
      <c r="D70" t="s">
        <v>30</v>
      </c>
      <c r="E70" s="3" t="s">
        <v>136</v>
      </c>
      <c r="F70" s="3" t="s">
        <v>62</v>
      </c>
      <c r="G70" s="3" t="s">
        <v>137</v>
      </c>
      <c r="H70" s="3" t="s">
        <v>11</v>
      </c>
      <c r="I70" s="3" t="s">
        <v>7</v>
      </c>
      <c r="J70" s="3" t="s">
        <v>48</v>
      </c>
      <c r="K70" s="3" t="s">
        <v>41</v>
      </c>
      <c r="L70" s="3" t="s">
        <v>51</v>
      </c>
      <c r="M70">
        <v>1</v>
      </c>
    </row>
    <row r="71" spans="1:13" x14ac:dyDescent="0.25">
      <c r="A71" s="2">
        <v>46161</v>
      </c>
      <c r="B71" s="1" t="str">
        <f ca="1">IF(Información1[[#This Row],[Fecha]]='Ajuste de fechas'!$A$2,"Día actual","Día anterior")</f>
        <v>Día anterior</v>
      </c>
      <c r="C71" s="3" t="s">
        <v>28</v>
      </c>
      <c r="D71" t="s">
        <v>30</v>
      </c>
      <c r="E71" s="3" t="s">
        <v>200</v>
      </c>
      <c r="F71" s="3" t="s">
        <v>23</v>
      </c>
      <c r="G71" s="3" t="s">
        <v>175</v>
      </c>
      <c r="H71" s="3" t="s">
        <v>11</v>
      </c>
      <c r="I71" s="3" t="s">
        <v>7</v>
      </c>
      <c r="J71" s="3" t="s">
        <v>48</v>
      </c>
      <c r="K71" s="3" t="s">
        <v>41</v>
      </c>
      <c r="L71" s="3" t="s">
        <v>51</v>
      </c>
      <c r="M71">
        <v>1</v>
      </c>
    </row>
    <row r="72" spans="1:13" x14ac:dyDescent="0.25">
      <c r="A72" s="2">
        <v>46161</v>
      </c>
      <c r="B72" s="1" t="str">
        <f ca="1">IF(Información1[[#This Row],[Fecha]]='Ajuste de fechas'!$A$2,"Día actual","Día anterior")</f>
        <v>Día anterior</v>
      </c>
      <c r="C72" s="3" t="s">
        <v>28</v>
      </c>
      <c r="D72" t="s">
        <v>30</v>
      </c>
      <c r="E72" s="3" t="s">
        <v>201</v>
      </c>
      <c r="F72" s="3" t="s">
        <v>36</v>
      </c>
      <c r="G72" s="3" t="s">
        <v>88</v>
      </c>
      <c r="H72" s="3" t="s">
        <v>11</v>
      </c>
      <c r="I72" s="3" t="s">
        <v>7</v>
      </c>
      <c r="J72" s="3" t="s">
        <v>48</v>
      </c>
      <c r="K72" s="3" t="s">
        <v>41</v>
      </c>
      <c r="L72" s="3" t="s">
        <v>51</v>
      </c>
      <c r="M72">
        <v>1</v>
      </c>
    </row>
    <row r="73" spans="1:13" x14ac:dyDescent="0.25">
      <c r="A73" s="2">
        <v>46161</v>
      </c>
      <c r="B73" s="1" t="str">
        <f ca="1">IF(Información1[[#This Row],[Fecha]]='Ajuste de fechas'!$A$2,"Día actual","Día anterior")</f>
        <v>Día anterior</v>
      </c>
      <c r="C73" s="3" t="s">
        <v>28</v>
      </c>
      <c r="D73" t="s">
        <v>30</v>
      </c>
      <c r="E73" s="3" t="s">
        <v>202</v>
      </c>
      <c r="F73" s="3" t="s">
        <v>22</v>
      </c>
      <c r="G73" s="3" t="s">
        <v>203</v>
      </c>
      <c r="H73" s="3" t="s">
        <v>11</v>
      </c>
      <c r="I73" s="3" t="s">
        <v>7</v>
      </c>
      <c r="J73" s="3" t="s">
        <v>53</v>
      </c>
      <c r="K73" s="3" t="s">
        <v>41</v>
      </c>
      <c r="L73" s="3" t="s">
        <v>49</v>
      </c>
      <c r="M73">
        <v>1</v>
      </c>
    </row>
    <row r="74" spans="1:13" x14ac:dyDescent="0.25">
      <c r="A74" s="2">
        <v>46161</v>
      </c>
      <c r="B74" s="1" t="str">
        <f ca="1">IF(Información1[[#This Row],[Fecha]]='Ajuste de fechas'!$A$2,"Día actual","Día anterior")</f>
        <v>Día anterior</v>
      </c>
      <c r="C74" s="3" t="s">
        <v>28</v>
      </c>
      <c r="D74" t="s">
        <v>30</v>
      </c>
      <c r="E74" s="3" t="s">
        <v>204</v>
      </c>
      <c r="F74" s="3" t="s">
        <v>26</v>
      </c>
      <c r="G74" s="3" t="s">
        <v>109</v>
      </c>
      <c r="H74" s="3" t="s">
        <v>11</v>
      </c>
      <c r="I74" s="3" t="s">
        <v>7</v>
      </c>
      <c r="J74" s="3" t="s">
        <v>48</v>
      </c>
      <c r="K74" s="3" t="s">
        <v>41</v>
      </c>
      <c r="L74" s="3" t="s">
        <v>49</v>
      </c>
      <c r="M74">
        <v>1</v>
      </c>
    </row>
    <row r="75" spans="1:13" x14ac:dyDescent="0.25">
      <c r="A75" s="2">
        <v>46161</v>
      </c>
      <c r="B75" s="1" t="str">
        <f ca="1">IF(Información1[[#This Row],[Fecha]]='Ajuste de fechas'!$A$2,"Día actual","Día anterior")</f>
        <v>Día anterior</v>
      </c>
      <c r="C75" s="3" t="s">
        <v>58</v>
      </c>
      <c r="D75" t="s">
        <v>59</v>
      </c>
      <c r="E75" s="3" t="s">
        <v>191</v>
      </c>
      <c r="F75" s="3" t="s">
        <v>21</v>
      </c>
      <c r="G75" s="3" t="s">
        <v>85</v>
      </c>
      <c r="H75" s="3" t="s">
        <v>11</v>
      </c>
      <c r="I75" s="3" t="s">
        <v>7</v>
      </c>
      <c r="J75" s="3" t="s">
        <v>48</v>
      </c>
      <c r="K75" s="3" t="s">
        <v>60</v>
      </c>
      <c r="L75" s="3" t="s">
        <v>51</v>
      </c>
      <c r="M75">
        <v>1</v>
      </c>
    </row>
    <row r="76" spans="1:13" x14ac:dyDescent="0.25">
      <c r="A76" s="2">
        <v>46161</v>
      </c>
      <c r="B76" s="1" t="str">
        <f ca="1">IF(Información1[[#This Row],[Fecha]]='Ajuste de fechas'!$A$2,"Día actual","Día anterior")</f>
        <v>Día anterior</v>
      </c>
      <c r="C76" s="3" t="s">
        <v>58</v>
      </c>
      <c r="D76" t="s">
        <v>59</v>
      </c>
      <c r="E76" s="3" t="s">
        <v>205</v>
      </c>
      <c r="F76" s="3" t="s">
        <v>91</v>
      </c>
      <c r="G76" s="3" t="s">
        <v>92</v>
      </c>
      <c r="H76" s="3" t="s">
        <v>11</v>
      </c>
      <c r="I76" s="3" t="s">
        <v>7</v>
      </c>
      <c r="J76" s="3" t="s">
        <v>48</v>
      </c>
      <c r="K76" s="3" t="s">
        <v>60</v>
      </c>
      <c r="L76" s="3" t="s">
        <v>51</v>
      </c>
      <c r="M76">
        <v>1</v>
      </c>
    </row>
    <row r="77" spans="1:13" x14ac:dyDescent="0.25">
      <c r="A77" s="2">
        <v>46161</v>
      </c>
      <c r="B77" s="1" t="str">
        <f ca="1">IF(Información1[[#This Row],[Fecha]]='Ajuste de fechas'!$A$2,"Día actual","Día anterior")</f>
        <v>Día anterior</v>
      </c>
      <c r="C77" s="3" t="s">
        <v>8</v>
      </c>
      <c r="D77" t="s">
        <v>10</v>
      </c>
      <c r="E77" s="3" t="s">
        <v>206</v>
      </c>
      <c r="F77" s="3" t="s">
        <v>19</v>
      </c>
      <c r="G77" s="3" t="s">
        <v>207</v>
      </c>
      <c r="H77" s="3" t="s">
        <v>11</v>
      </c>
      <c r="I77" s="3" t="s">
        <v>25</v>
      </c>
      <c r="J77" s="3" t="s">
        <v>52</v>
      </c>
      <c r="K77" s="3" t="s">
        <v>9</v>
      </c>
      <c r="L77" s="3" t="s">
        <v>50</v>
      </c>
      <c r="M77">
        <v>1</v>
      </c>
    </row>
    <row r="78" spans="1:13" x14ac:dyDescent="0.25">
      <c r="A78" s="2">
        <v>46161</v>
      </c>
      <c r="B78" s="1" t="str">
        <f ca="1">IF(Información1[[#This Row],[Fecha]]='Ajuste de fechas'!$A$2,"Día actual","Día anterior")</f>
        <v>Día anterior</v>
      </c>
      <c r="C78" s="3" t="s">
        <v>8</v>
      </c>
      <c r="D78" t="s">
        <v>10</v>
      </c>
      <c r="E78" s="3" t="s">
        <v>208</v>
      </c>
      <c r="F78" s="3" t="s">
        <v>19</v>
      </c>
      <c r="G78" s="3" t="s">
        <v>207</v>
      </c>
      <c r="H78" s="3" t="s">
        <v>11</v>
      </c>
      <c r="I78" s="3" t="s">
        <v>25</v>
      </c>
      <c r="J78" s="3" t="s">
        <v>52</v>
      </c>
      <c r="K78" s="3" t="s">
        <v>9</v>
      </c>
      <c r="L78" s="3" t="s">
        <v>50</v>
      </c>
      <c r="M78">
        <v>1</v>
      </c>
    </row>
    <row r="79" spans="1:13" x14ac:dyDescent="0.25">
      <c r="A79" s="2">
        <v>46161</v>
      </c>
      <c r="B79" s="1" t="str">
        <f ca="1">IF(Información1[[#This Row],[Fecha]]='Ajuste de fechas'!$A$2,"Día actual","Día anterior")</f>
        <v>Día anterior</v>
      </c>
      <c r="C79" s="3" t="s">
        <v>8</v>
      </c>
      <c r="D79" t="s">
        <v>10</v>
      </c>
      <c r="E79" s="3" t="s">
        <v>209</v>
      </c>
      <c r="F79" s="3" t="s">
        <v>19</v>
      </c>
      <c r="G79" s="3" t="s">
        <v>210</v>
      </c>
      <c r="H79" s="3" t="s">
        <v>11</v>
      </c>
      <c r="I79" s="3" t="s">
        <v>25</v>
      </c>
      <c r="J79" s="3" t="s">
        <v>52</v>
      </c>
      <c r="K79" s="3" t="s">
        <v>9</v>
      </c>
      <c r="L79" s="3" t="s">
        <v>50</v>
      </c>
      <c r="M79">
        <v>1</v>
      </c>
    </row>
    <row r="80" spans="1:13" x14ac:dyDescent="0.25">
      <c r="A80" s="2">
        <v>46161</v>
      </c>
      <c r="B80" s="1" t="str">
        <f ca="1">IF(Información1[[#This Row],[Fecha]]='Ajuste de fechas'!$A$2,"Día actual","Día anterior")</f>
        <v>Día anterior</v>
      </c>
      <c r="C80" s="3" t="s">
        <v>8</v>
      </c>
      <c r="D80" t="s">
        <v>10</v>
      </c>
      <c r="E80" s="3" t="s">
        <v>211</v>
      </c>
      <c r="F80" s="3" t="s">
        <v>19</v>
      </c>
      <c r="G80" s="3" t="s">
        <v>210</v>
      </c>
      <c r="H80" s="3" t="s">
        <v>11</v>
      </c>
      <c r="I80" s="3" t="s">
        <v>25</v>
      </c>
      <c r="J80" s="3" t="s">
        <v>52</v>
      </c>
      <c r="K80" s="3" t="s">
        <v>9</v>
      </c>
      <c r="L80" s="3" t="s">
        <v>50</v>
      </c>
      <c r="M80">
        <v>1</v>
      </c>
    </row>
    <row r="81" spans="1:13" x14ac:dyDescent="0.25">
      <c r="A81" s="2">
        <v>46161</v>
      </c>
      <c r="B81" s="1" t="str">
        <f ca="1">IF(Información1[[#This Row],[Fecha]]='Ajuste de fechas'!$A$2,"Día actual","Día anterior")</f>
        <v>Día anterior</v>
      </c>
      <c r="C81" s="3" t="s">
        <v>8</v>
      </c>
      <c r="D81" t="s">
        <v>10</v>
      </c>
      <c r="E81" s="3" t="s">
        <v>212</v>
      </c>
      <c r="F81" s="3" t="s">
        <v>17</v>
      </c>
      <c r="G81" s="3" t="s">
        <v>213</v>
      </c>
      <c r="H81" s="3" t="s">
        <v>11</v>
      </c>
      <c r="I81" s="3" t="s">
        <v>25</v>
      </c>
      <c r="J81" s="3" t="s">
        <v>48</v>
      </c>
      <c r="K81" s="3" t="s">
        <v>9</v>
      </c>
      <c r="L81" s="3" t="s">
        <v>50</v>
      </c>
      <c r="M81">
        <v>1</v>
      </c>
    </row>
    <row r="82" spans="1:13" x14ac:dyDescent="0.25">
      <c r="A82" s="2">
        <v>46161</v>
      </c>
      <c r="B82" s="1" t="str">
        <f ca="1">IF(Información1[[#This Row],[Fecha]]='Ajuste de fechas'!$A$2,"Día actual","Día anterior")</f>
        <v>Día anterior</v>
      </c>
      <c r="C82" s="3" t="s">
        <v>8</v>
      </c>
      <c r="D82" t="s">
        <v>10</v>
      </c>
      <c r="E82" s="3" t="s">
        <v>214</v>
      </c>
      <c r="F82" s="3" t="s">
        <v>17</v>
      </c>
      <c r="G82" s="3" t="s">
        <v>215</v>
      </c>
      <c r="H82" s="3" t="s">
        <v>11</v>
      </c>
      <c r="I82" s="3" t="s">
        <v>25</v>
      </c>
      <c r="J82" s="3" t="s">
        <v>48</v>
      </c>
      <c r="K82" s="3" t="s">
        <v>9</v>
      </c>
      <c r="L82" s="3" t="s">
        <v>50</v>
      </c>
      <c r="M82">
        <v>1</v>
      </c>
    </row>
    <row r="83" spans="1:13" x14ac:dyDescent="0.25">
      <c r="A83" s="2">
        <v>46161</v>
      </c>
      <c r="B83" s="1" t="str">
        <f ca="1">IF(Información1[[#This Row],[Fecha]]='Ajuste de fechas'!$A$2,"Día actual","Día anterior")</f>
        <v>Día anterior</v>
      </c>
      <c r="C83" s="3" t="s">
        <v>8</v>
      </c>
      <c r="D83" t="s">
        <v>10</v>
      </c>
      <c r="E83" s="3" t="s">
        <v>216</v>
      </c>
      <c r="F83" s="3" t="s">
        <v>6</v>
      </c>
      <c r="G83" s="3" t="s">
        <v>61</v>
      </c>
      <c r="H83" s="3" t="s">
        <v>11</v>
      </c>
      <c r="I83" s="3" t="s">
        <v>25</v>
      </c>
      <c r="J83" s="3" t="s">
        <v>48</v>
      </c>
      <c r="K83" s="3" t="s">
        <v>9</v>
      </c>
      <c r="L83" s="3" t="s">
        <v>50</v>
      </c>
      <c r="M83">
        <v>1</v>
      </c>
    </row>
    <row r="84" spans="1:13" x14ac:dyDescent="0.25">
      <c r="A84" s="2">
        <v>46161</v>
      </c>
      <c r="B84" s="1" t="str">
        <f ca="1">IF(Información1[[#This Row],[Fecha]]='Ajuste de fechas'!$A$2,"Día actual","Día anterior")</f>
        <v>Día anterior</v>
      </c>
      <c r="C84" s="3" t="s">
        <v>8</v>
      </c>
      <c r="D84" t="s">
        <v>10</v>
      </c>
      <c r="E84" s="3" t="s">
        <v>217</v>
      </c>
      <c r="F84" s="3" t="s">
        <v>6</v>
      </c>
      <c r="G84" s="3" t="s">
        <v>218</v>
      </c>
      <c r="H84" s="3" t="s">
        <v>11</v>
      </c>
      <c r="I84" s="3" t="s">
        <v>25</v>
      </c>
      <c r="J84" s="3" t="s">
        <v>48</v>
      </c>
      <c r="K84" s="3" t="s">
        <v>9</v>
      </c>
      <c r="L84" s="3" t="s">
        <v>50</v>
      </c>
      <c r="M84">
        <v>1</v>
      </c>
    </row>
    <row r="85" spans="1:13" x14ac:dyDescent="0.25">
      <c r="A85" s="2">
        <v>46161</v>
      </c>
      <c r="B85" s="1" t="str">
        <f ca="1">IF(Información1[[#This Row],[Fecha]]='Ajuste de fechas'!$A$2,"Día actual","Día anterior")</f>
        <v>Día anterior</v>
      </c>
      <c r="C85" s="3" t="s">
        <v>8</v>
      </c>
      <c r="D85" t="s">
        <v>10</v>
      </c>
      <c r="E85" s="3" t="s">
        <v>219</v>
      </c>
      <c r="F85" s="3" t="s">
        <v>6</v>
      </c>
      <c r="G85" s="3" t="s">
        <v>218</v>
      </c>
      <c r="H85" s="3" t="s">
        <v>11</v>
      </c>
      <c r="I85" s="3" t="s">
        <v>25</v>
      </c>
      <c r="J85" s="3" t="s">
        <v>48</v>
      </c>
      <c r="K85" s="3" t="s">
        <v>9</v>
      </c>
      <c r="L85" s="3" t="s">
        <v>50</v>
      </c>
      <c r="M85">
        <v>1</v>
      </c>
    </row>
    <row r="86" spans="1:13" x14ac:dyDescent="0.25">
      <c r="A86" s="2">
        <v>46161</v>
      </c>
      <c r="B86" s="1" t="str">
        <f ca="1">IF(Información1[[#This Row],[Fecha]]='Ajuste de fechas'!$A$2,"Día actual","Día anterior")</f>
        <v>Día anterior</v>
      </c>
      <c r="C86" s="3" t="s">
        <v>8</v>
      </c>
      <c r="D86" t="s">
        <v>10</v>
      </c>
      <c r="E86" s="3" t="s">
        <v>220</v>
      </c>
      <c r="F86" s="3" t="s">
        <v>6</v>
      </c>
      <c r="G86" s="3" t="s">
        <v>93</v>
      </c>
      <c r="H86" s="3" t="s">
        <v>11</v>
      </c>
      <c r="I86" s="3" t="s">
        <v>25</v>
      </c>
      <c r="J86" s="3" t="s">
        <v>48</v>
      </c>
      <c r="K86" s="3" t="s">
        <v>9</v>
      </c>
      <c r="L86" s="3" t="s">
        <v>50</v>
      </c>
      <c r="M86">
        <v>1</v>
      </c>
    </row>
    <row r="87" spans="1:13" x14ac:dyDescent="0.25">
      <c r="A87" s="2">
        <v>46161</v>
      </c>
      <c r="B87" s="1" t="str">
        <f ca="1">IF(Información1[[#This Row],[Fecha]]='Ajuste de fechas'!$A$2,"Día actual","Día anterior")</f>
        <v>Día anterior</v>
      </c>
      <c r="C87" s="3" t="s">
        <v>8</v>
      </c>
      <c r="D87" t="s">
        <v>10</v>
      </c>
      <c r="E87" s="3" t="s">
        <v>221</v>
      </c>
      <c r="F87" s="3" t="s">
        <v>6</v>
      </c>
      <c r="G87" s="3" t="s">
        <v>61</v>
      </c>
      <c r="H87" s="3" t="s">
        <v>11</v>
      </c>
      <c r="I87" s="3" t="s">
        <v>25</v>
      </c>
      <c r="J87" s="3" t="s">
        <v>48</v>
      </c>
      <c r="K87" s="3" t="s">
        <v>9</v>
      </c>
      <c r="L87" s="3" t="s">
        <v>50</v>
      </c>
      <c r="M87">
        <v>1</v>
      </c>
    </row>
    <row r="88" spans="1:13" x14ac:dyDescent="0.25">
      <c r="A88" s="2">
        <v>46161</v>
      </c>
      <c r="B88" s="1" t="str">
        <f ca="1">IF(Información1[[#This Row],[Fecha]]='Ajuste de fechas'!$A$2,"Día actual","Día anterior")</f>
        <v>Día anterior</v>
      </c>
      <c r="C88" s="3" t="s">
        <v>8</v>
      </c>
      <c r="D88" t="s">
        <v>10</v>
      </c>
      <c r="E88" s="3" t="s">
        <v>222</v>
      </c>
      <c r="F88" s="3" t="s">
        <v>6</v>
      </c>
      <c r="G88" s="3" t="s">
        <v>223</v>
      </c>
      <c r="H88" s="3" t="s">
        <v>11</v>
      </c>
      <c r="I88" s="3" t="s">
        <v>25</v>
      </c>
      <c r="J88" s="3" t="s">
        <v>48</v>
      </c>
      <c r="K88" s="3" t="s">
        <v>9</v>
      </c>
      <c r="L88" s="3" t="s">
        <v>50</v>
      </c>
      <c r="M88">
        <v>1</v>
      </c>
    </row>
    <row r="89" spans="1:13" x14ac:dyDescent="0.25">
      <c r="A89" s="2">
        <v>46161</v>
      </c>
      <c r="B89" s="1" t="str">
        <f ca="1">IF(Información1[[#This Row],[Fecha]]='Ajuste de fechas'!$A$2,"Día actual","Día anterior")</f>
        <v>Día anterior</v>
      </c>
      <c r="C89" s="3" t="s">
        <v>8</v>
      </c>
      <c r="D89" t="s">
        <v>10</v>
      </c>
      <c r="E89" s="3" t="s">
        <v>224</v>
      </c>
      <c r="F89" s="3" t="s">
        <v>26</v>
      </c>
      <c r="G89" s="3" t="s">
        <v>225</v>
      </c>
      <c r="H89" s="3" t="s">
        <v>11</v>
      </c>
      <c r="I89" s="3" t="s">
        <v>7</v>
      </c>
      <c r="J89" s="3" t="s">
        <v>48</v>
      </c>
      <c r="K89" s="3" t="s">
        <v>9</v>
      </c>
      <c r="L89" s="3" t="s">
        <v>50</v>
      </c>
      <c r="M89">
        <v>1</v>
      </c>
    </row>
    <row r="90" spans="1:13" x14ac:dyDescent="0.25">
      <c r="A90" s="2">
        <v>46161</v>
      </c>
      <c r="B90" s="1" t="str">
        <f ca="1">IF(Información1[[#This Row],[Fecha]]='Ajuste de fechas'!$A$2,"Día actual","Día anterior")</f>
        <v>Día anterior</v>
      </c>
      <c r="C90" s="3" t="s">
        <v>8</v>
      </c>
      <c r="D90" t="s">
        <v>10</v>
      </c>
      <c r="E90" s="3" t="s">
        <v>226</v>
      </c>
      <c r="F90" s="3" t="s">
        <v>22</v>
      </c>
      <c r="G90" s="3" t="s">
        <v>141</v>
      </c>
      <c r="H90" s="3" t="s">
        <v>11</v>
      </c>
      <c r="I90" s="3" t="s">
        <v>7</v>
      </c>
      <c r="J90" s="3" t="s">
        <v>53</v>
      </c>
      <c r="K90" s="3" t="s">
        <v>14</v>
      </c>
      <c r="L90" s="3" t="s">
        <v>50</v>
      </c>
      <c r="M90">
        <v>1</v>
      </c>
    </row>
    <row r="91" spans="1:13" x14ac:dyDescent="0.25">
      <c r="A91" s="2">
        <v>46161</v>
      </c>
      <c r="B91" s="1" t="str">
        <f ca="1">IF(Información1[[#This Row],[Fecha]]='Ajuste de fechas'!$A$2,"Día actual","Día anterior")</f>
        <v>Día anterior</v>
      </c>
      <c r="C91" s="3" t="s">
        <v>8</v>
      </c>
      <c r="D91" t="s">
        <v>10</v>
      </c>
      <c r="E91" s="3" t="s">
        <v>227</v>
      </c>
      <c r="F91" s="3" t="s">
        <v>171</v>
      </c>
      <c r="G91" s="3" t="s">
        <v>172</v>
      </c>
      <c r="H91" s="3" t="s">
        <v>11</v>
      </c>
      <c r="I91" s="3" t="s">
        <v>12</v>
      </c>
      <c r="J91" s="3" t="s">
        <v>48</v>
      </c>
      <c r="K91" s="3" t="s">
        <v>14</v>
      </c>
      <c r="L91" s="3" t="s">
        <v>173</v>
      </c>
      <c r="M91">
        <v>1</v>
      </c>
    </row>
    <row r="92" spans="1:13" x14ac:dyDescent="0.25">
      <c r="A92" s="2">
        <v>46161</v>
      </c>
      <c r="B92" s="1" t="str">
        <f ca="1">IF(Información1[[#This Row],[Fecha]]='Ajuste de fechas'!$A$2,"Día actual","Día anterior")</f>
        <v>Día anterior</v>
      </c>
      <c r="C92" s="3" t="s">
        <v>8</v>
      </c>
      <c r="D92" t="s">
        <v>10</v>
      </c>
      <c r="E92" s="3" t="s">
        <v>136</v>
      </c>
      <c r="F92" s="3" t="s">
        <v>62</v>
      </c>
      <c r="G92" s="3" t="s">
        <v>137</v>
      </c>
      <c r="H92" s="3" t="s">
        <v>11</v>
      </c>
      <c r="I92" s="3" t="s">
        <v>7</v>
      </c>
      <c r="J92" s="3" t="s">
        <v>48</v>
      </c>
      <c r="K92" s="3" t="s">
        <v>14</v>
      </c>
      <c r="L92" s="3" t="s">
        <v>51</v>
      </c>
      <c r="M92">
        <v>1</v>
      </c>
    </row>
    <row r="93" spans="1:13" x14ac:dyDescent="0.25">
      <c r="A93" s="2">
        <v>46161</v>
      </c>
      <c r="B93" s="1" t="str">
        <f ca="1">IF(Información1[[#This Row],[Fecha]]='Ajuste de fechas'!$A$2,"Día actual","Día anterior")</f>
        <v>Día anterior</v>
      </c>
      <c r="C93" s="3" t="s">
        <v>8</v>
      </c>
      <c r="D93" t="s">
        <v>10</v>
      </c>
      <c r="E93" s="3" t="s">
        <v>228</v>
      </c>
      <c r="F93" s="3" t="s">
        <v>22</v>
      </c>
      <c r="G93" s="3" t="s">
        <v>162</v>
      </c>
      <c r="H93" s="3" t="s">
        <v>11</v>
      </c>
      <c r="I93" s="3" t="s">
        <v>7</v>
      </c>
      <c r="J93" s="3" t="s">
        <v>53</v>
      </c>
      <c r="K93" s="3" t="s">
        <v>14</v>
      </c>
      <c r="L93" s="3" t="s">
        <v>49</v>
      </c>
      <c r="M93">
        <v>1</v>
      </c>
    </row>
    <row r="94" spans="1:13" x14ac:dyDescent="0.25">
      <c r="A94" s="2">
        <v>46161</v>
      </c>
      <c r="B94" s="1" t="str">
        <f ca="1">IF(Información1[[#This Row],[Fecha]]='Ajuste de fechas'!$A$2,"Día actual","Día anterior")</f>
        <v>Día anterior</v>
      </c>
      <c r="C94" s="3" t="s">
        <v>8</v>
      </c>
      <c r="D94" t="s">
        <v>10</v>
      </c>
      <c r="E94" s="3" t="s">
        <v>229</v>
      </c>
      <c r="F94" s="3" t="s">
        <v>19</v>
      </c>
      <c r="G94" s="3" t="s">
        <v>230</v>
      </c>
      <c r="H94" s="3" t="s">
        <v>11</v>
      </c>
      <c r="I94" s="3" t="s">
        <v>7</v>
      </c>
      <c r="J94" s="3" t="s">
        <v>52</v>
      </c>
      <c r="K94" s="3" t="s">
        <v>14</v>
      </c>
      <c r="L94" s="3" t="s">
        <v>49</v>
      </c>
      <c r="M94">
        <v>1</v>
      </c>
    </row>
    <row r="95" spans="1:13" x14ac:dyDescent="0.25">
      <c r="A95" s="2">
        <v>46161</v>
      </c>
      <c r="B95" s="1" t="str">
        <f ca="1">IF(Información1[[#This Row],[Fecha]]='Ajuste de fechas'!$A$2,"Día actual","Día anterior")</f>
        <v>Día anterior</v>
      </c>
      <c r="C95" s="3" t="s">
        <v>8</v>
      </c>
      <c r="D95" t="s">
        <v>10</v>
      </c>
      <c r="E95" s="3" t="s">
        <v>138</v>
      </c>
      <c r="F95" s="3" t="s">
        <v>23</v>
      </c>
      <c r="G95" s="3" t="s">
        <v>139</v>
      </c>
      <c r="H95" s="3" t="s">
        <v>11</v>
      </c>
      <c r="I95" s="3" t="s">
        <v>7</v>
      </c>
      <c r="J95" s="3" t="s">
        <v>48</v>
      </c>
      <c r="K95" s="3" t="s">
        <v>14</v>
      </c>
      <c r="L95" s="3" t="s">
        <v>51</v>
      </c>
      <c r="M95">
        <v>1</v>
      </c>
    </row>
    <row r="96" spans="1:13" x14ac:dyDescent="0.25">
      <c r="A96" s="2">
        <v>46161</v>
      </c>
      <c r="B96" s="1" t="str">
        <f ca="1">IF(Información1[[#This Row],[Fecha]]='Ajuste de fechas'!$A$2,"Día actual","Día anterior")</f>
        <v>Día anterior</v>
      </c>
      <c r="C96" s="3" t="s">
        <v>8</v>
      </c>
      <c r="D96" t="s">
        <v>10</v>
      </c>
      <c r="E96" s="3" t="s">
        <v>231</v>
      </c>
      <c r="F96" s="3" t="s">
        <v>63</v>
      </c>
      <c r="G96" s="3" t="s">
        <v>97</v>
      </c>
      <c r="H96" s="3" t="s">
        <v>11</v>
      </c>
      <c r="I96" s="3" t="s">
        <v>7</v>
      </c>
      <c r="J96" s="3" t="s">
        <v>48</v>
      </c>
      <c r="K96" s="3" t="s">
        <v>14</v>
      </c>
      <c r="L96" s="3" t="s">
        <v>51</v>
      </c>
      <c r="M96">
        <v>1</v>
      </c>
    </row>
    <row r="97" spans="1:13" x14ac:dyDescent="0.25">
      <c r="A97" s="2">
        <v>46161</v>
      </c>
      <c r="B97" s="1" t="str">
        <f ca="1">IF(Información1[[#This Row],[Fecha]]='Ajuste de fechas'!$A$2,"Día actual","Día anterior")</f>
        <v>Día anterior</v>
      </c>
      <c r="C97" s="3" t="s">
        <v>8</v>
      </c>
      <c r="D97" t="s">
        <v>10</v>
      </c>
      <c r="E97" s="3" t="s">
        <v>232</v>
      </c>
      <c r="F97" s="3" t="s">
        <v>64</v>
      </c>
      <c r="G97" s="3" t="s">
        <v>92</v>
      </c>
      <c r="H97" s="3" t="s">
        <v>11</v>
      </c>
      <c r="I97" s="3" t="s">
        <v>7</v>
      </c>
      <c r="J97" s="3" t="s">
        <v>48</v>
      </c>
      <c r="K97" s="3" t="s">
        <v>14</v>
      </c>
      <c r="L97" s="3" t="s">
        <v>49</v>
      </c>
      <c r="M97">
        <v>1</v>
      </c>
    </row>
    <row r="98" spans="1:13" x14ac:dyDescent="0.25">
      <c r="A98" s="2">
        <v>46161</v>
      </c>
      <c r="B98" s="1" t="str">
        <f ca="1">IF(Información1[[#This Row],[Fecha]]='Ajuste de fechas'!$A$2,"Día actual","Día anterior")</f>
        <v>Día anterior</v>
      </c>
      <c r="C98" s="3" t="s">
        <v>8</v>
      </c>
      <c r="D98" t="s">
        <v>10</v>
      </c>
      <c r="E98" s="3" t="s">
        <v>20</v>
      </c>
      <c r="F98" s="3" t="s">
        <v>19</v>
      </c>
      <c r="G98" s="3" t="s">
        <v>40</v>
      </c>
      <c r="H98" s="3" t="s">
        <v>11</v>
      </c>
      <c r="I98" s="3" t="s">
        <v>12</v>
      </c>
      <c r="J98" s="3" t="s">
        <v>52</v>
      </c>
      <c r="K98" s="3" t="s">
        <v>14</v>
      </c>
      <c r="L98" s="3" t="s">
        <v>50</v>
      </c>
      <c r="M98">
        <v>1</v>
      </c>
    </row>
    <row r="99" spans="1:13" x14ac:dyDescent="0.25">
      <c r="A99" s="2">
        <v>46161</v>
      </c>
      <c r="B99" s="1" t="str">
        <f ca="1">IF(Información1[[#This Row],[Fecha]]='Ajuste de fechas'!$A$2,"Día actual","Día anterior")</f>
        <v>Día anterior</v>
      </c>
      <c r="C99" s="3" t="s">
        <v>8</v>
      </c>
      <c r="D99" t="s">
        <v>10</v>
      </c>
      <c r="E99" s="3" t="s">
        <v>18</v>
      </c>
      <c r="F99" s="3" t="s">
        <v>19</v>
      </c>
      <c r="G99" s="3" t="s">
        <v>40</v>
      </c>
      <c r="H99" s="3" t="s">
        <v>11</v>
      </c>
      <c r="I99" s="3" t="s">
        <v>12</v>
      </c>
      <c r="J99" s="3" t="s">
        <v>52</v>
      </c>
      <c r="K99" s="3" t="s">
        <v>14</v>
      </c>
      <c r="L99" s="3" t="s">
        <v>50</v>
      </c>
      <c r="M99">
        <v>1</v>
      </c>
    </row>
    <row r="100" spans="1:13" x14ac:dyDescent="0.25">
      <c r="A100" s="2">
        <v>46161</v>
      </c>
      <c r="B100" s="1" t="str">
        <f ca="1">IF(Información1[[#This Row],[Fecha]]='Ajuste de fechas'!$A$2,"Día actual","Día anterior")</f>
        <v>Día anterior</v>
      </c>
      <c r="C100" s="3" t="s">
        <v>8</v>
      </c>
      <c r="D100" t="s">
        <v>10</v>
      </c>
      <c r="E100" s="3" t="s">
        <v>233</v>
      </c>
      <c r="F100" s="3" t="s">
        <v>21</v>
      </c>
      <c r="G100" s="3" t="s">
        <v>40</v>
      </c>
      <c r="H100" s="3" t="s">
        <v>11</v>
      </c>
      <c r="I100" s="3" t="s">
        <v>12</v>
      </c>
      <c r="J100" s="3" t="s">
        <v>48</v>
      </c>
      <c r="K100" s="3" t="s">
        <v>14</v>
      </c>
      <c r="L100" s="3" t="s">
        <v>50</v>
      </c>
      <c r="M100">
        <v>1</v>
      </c>
    </row>
    <row r="101" spans="1:13" x14ac:dyDescent="0.25">
      <c r="A101" s="2">
        <v>46161</v>
      </c>
      <c r="B101" s="1" t="str">
        <f ca="1">IF(Información1[[#This Row],[Fecha]]='Ajuste de fechas'!$A$2,"Día actual","Día anterior")</f>
        <v>Día anterior</v>
      </c>
      <c r="C101" s="3" t="s">
        <v>8</v>
      </c>
      <c r="D101" t="s">
        <v>10</v>
      </c>
      <c r="E101" s="3" t="s">
        <v>13</v>
      </c>
      <c r="F101" s="3" t="s">
        <v>15</v>
      </c>
      <c r="G101" s="3" t="s">
        <v>40</v>
      </c>
      <c r="H101" s="3" t="s">
        <v>11</v>
      </c>
      <c r="I101" s="3" t="s">
        <v>12</v>
      </c>
      <c r="J101" s="3" t="s">
        <v>48</v>
      </c>
      <c r="K101" s="3" t="s">
        <v>14</v>
      </c>
      <c r="L101" s="3" t="s">
        <v>50</v>
      </c>
      <c r="M101">
        <v>1</v>
      </c>
    </row>
    <row r="102" spans="1:13" x14ac:dyDescent="0.25">
      <c r="A102" s="2">
        <v>46161</v>
      </c>
      <c r="B102" s="1" t="str">
        <f ca="1">IF(Información1[[#This Row],[Fecha]]='Ajuste de fechas'!$A$2,"Día actual","Día anterior")</f>
        <v>Día anterior</v>
      </c>
      <c r="C102" s="3" t="s">
        <v>8</v>
      </c>
      <c r="D102" t="s">
        <v>10</v>
      </c>
      <c r="E102" s="3" t="s">
        <v>16</v>
      </c>
      <c r="F102" s="3" t="s">
        <v>17</v>
      </c>
      <c r="G102" s="3" t="s">
        <v>40</v>
      </c>
      <c r="H102" s="3" t="s">
        <v>11</v>
      </c>
      <c r="I102" s="3" t="s">
        <v>12</v>
      </c>
      <c r="J102" s="3" t="s">
        <v>48</v>
      </c>
      <c r="K102" s="3" t="s">
        <v>14</v>
      </c>
      <c r="L102" s="3" t="s">
        <v>50</v>
      </c>
      <c r="M102">
        <v>1</v>
      </c>
    </row>
    <row r="103" spans="1:13" x14ac:dyDescent="0.25">
      <c r="A103" s="2">
        <v>46161</v>
      </c>
      <c r="B103" s="1" t="str">
        <f ca="1">IF(Información1[[#This Row],[Fecha]]='Ajuste de fechas'!$A$2,"Día actual","Día anterior")</f>
        <v>Día anterior</v>
      </c>
      <c r="C103" s="3" t="s">
        <v>8</v>
      </c>
      <c r="D103" t="s">
        <v>10</v>
      </c>
      <c r="E103" s="3" t="s">
        <v>234</v>
      </c>
      <c r="F103" s="3" t="s">
        <v>6</v>
      </c>
      <c r="G103" s="3" t="s">
        <v>40</v>
      </c>
      <c r="H103" s="3" t="s">
        <v>11</v>
      </c>
      <c r="I103" s="3" t="s">
        <v>12</v>
      </c>
      <c r="J103" s="3" t="s">
        <v>48</v>
      </c>
      <c r="K103" s="3" t="s">
        <v>14</v>
      </c>
      <c r="L103" s="3" t="s">
        <v>50</v>
      </c>
      <c r="M103">
        <v>1</v>
      </c>
    </row>
    <row r="104" spans="1:13" x14ac:dyDescent="0.25">
      <c r="A104" s="2">
        <v>46161</v>
      </c>
      <c r="B104" s="1" t="str">
        <f ca="1">IF(Información1[[#This Row],[Fecha]]='Ajuste de fechas'!$A$2,"Día actual","Día anterior")</f>
        <v>Día anterior</v>
      </c>
      <c r="C104" s="3" t="s">
        <v>235</v>
      </c>
      <c r="D104" t="s">
        <v>236</v>
      </c>
      <c r="E104" s="3" t="s">
        <v>237</v>
      </c>
      <c r="F104" s="3" t="s">
        <v>26</v>
      </c>
      <c r="G104" s="3" t="s">
        <v>115</v>
      </c>
      <c r="H104" s="3" t="s">
        <v>32</v>
      </c>
      <c r="I104" s="3" t="s">
        <v>7</v>
      </c>
      <c r="J104" s="3" t="s">
        <v>48</v>
      </c>
      <c r="K104" s="3" t="s">
        <v>238</v>
      </c>
      <c r="L104" s="3" t="s">
        <v>51</v>
      </c>
      <c r="M104">
        <v>1</v>
      </c>
    </row>
    <row r="105" spans="1:13" x14ac:dyDescent="0.25">
      <c r="A105" s="2">
        <v>46162</v>
      </c>
      <c r="B105" s="1" t="str">
        <f ca="1">IF(Información1[[#This Row],[Fecha]]='Ajuste de fechas'!$A$2,"Día actual","Día anterior")</f>
        <v>Día actual</v>
      </c>
      <c r="C105" s="3" t="s">
        <v>34</v>
      </c>
      <c r="D105" t="s">
        <v>35</v>
      </c>
      <c r="E105" s="3" t="s">
        <v>287</v>
      </c>
      <c r="F105" s="3" t="s">
        <v>17</v>
      </c>
      <c r="G105" s="3" t="s">
        <v>288</v>
      </c>
      <c r="H105" s="3" t="s">
        <v>32</v>
      </c>
      <c r="I105" s="3" t="s">
        <v>25</v>
      </c>
      <c r="J105" s="3" t="s">
        <v>48</v>
      </c>
      <c r="K105" s="3" t="s">
        <v>27</v>
      </c>
      <c r="L105" s="3" t="s">
        <v>49</v>
      </c>
      <c r="M105">
        <v>3</v>
      </c>
    </row>
    <row r="106" spans="1:13" x14ac:dyDescent="0.25">
      <c r="A106" s="2">
        <v>46162</v>
      </c>
      <c r="B106" s="1" t="str">
        <f ca="1">IF(Información1[[#This Row],[Fecha]]='Ajuste de fechas'!$A$2,"Día actual","Día anterior")</f>
        <v>Día actual</v>
      </c>
      <c r="C106" s="3" t="s">
        <v>34</v>
      </c>
      <c r="D106" t="s">
        <v>35</v>
      </c>
      <c r="E106" s="3" t="s">
        <v>289</v>
      </c>
      <c r="F106" s="3" t="s">
        <v>6</v>
      </c>
      <c r="G106" s="3" t="s">
        <v>290</v>
      </c>
      <c r="H106" s="3" t="s">
        <v>32</v>
      </c>
      <c r="I106" s="3" t="s">
        <v>25</v>
      </c>
      <c r="J106" s="3" t="s">
        <v>48</v>
      </c>
      <c r="K106" s="3" t="s">
        <v>27</v>
      </c>
      <c r="L106" s="3" t="s">
        <v>50</v>
      </c>
      <c r="M106">
        <v>3</v>
      </c>
    </row>
    <row r="107" spans="1:13" x14ac:dyDescent="0.25">
      <c r="A107" s="2">
        <v>46162</v>
      </c>
      <c r="B107" s="1" t="str">
        <f ca="1">IF(Información1[[#This Row],[Fecha]]='Ajuste de fechas'!$A$2,"Día actual","Día anterior")</f>
        <v>Día actual</v>
      </c>
      <c r="C107" s="3" t="s">
        <v>34</v>
      </c>
      <c r="D107" t="s">
        <v>35</v>
      </c>
      <c r="E107" s="3" t="s">
        <v>291</v>
      </c>
      <c r="F107" s="3" t="s">
        <v>19</v>
      </c>
      <c r="G107" s="3" t="s">
        <v>292</v>
      </c>
      <c r="H107" s="3" t="s">
        <v>32</v>
      </c>
      <c r="I107" s="3" t="s">
        <v>25</v>
      </c>
      <c r="J107" s="3" t="s">
        <v>52</v>
      </c>
      <c r="K107" s="3" t="s">
        <v>71</v>
      </c>
      <c r="L107" s="3" t="s">
        <v>49</v>
      </c>
      <c r="M107">
        <v>3</v>
      </c>
    </row>
    <row r="108" spans="1:13" x14ac:dyDescent="0.25">
      <c r="A108" s="2">
        <v>46162</v>
      </c>
      <c r="B108" s="1" t="str">
        <f ca="1">IF(Información1[[#This Row],[Fecha]]='Ajuste de fechas'!$A$2,"Día actual","Día anterior")</f>
        <v>Día actual</v>
      </c>
      <c r="C108" s="3" t="s">
        <v>34</v>
      </c>
      <c r="D108" t="s">
        <v>35</v>
      </c>
      <c r="E108" s="3" t="s">
        <v>293</v>
      </c>
      <c r="F108" s="3" t="s">
        <v>19</v>
      </c>
      <c r="G108" s="3" t="s">
        <v>294</v>
      </c>
      <c r="H108" s="3" t="s">
        <v>32</v>
      </c>
      <c r="I108" s="3" t="s">
        <v>25</v>
      </c>
      <c r="J108" s="3" t="s">
        <v>52</v>
      </c>
      <c r="K108" s="3" t="s">
        <v>27</v>
      </c>
      <c r="L108" s="3" t="s">
        <v>49</v>
      </c>
      <c r="M108">
        <v>3</v>
      </c>
    </row>
    <row r="109" spans="1:13" x14ac:dyDescent="0.25">
      <c r="A109" s="2">
        <v>46162</v>
      </c>
      <c r="B109" s="1" t="str">
        <f ca="1">IF(Información1[[#This Row],[Fecha]]='Ajuste de fechas'!$A$2,"Día actual","Día anterior")</f>
        <v>Día actual</v>
      </c>
      <c r="C109" s="3" t="s">
        <v>34</v>
      </c>
      <c r="D109" t="s">
        <v>35</v>
      </c>
      <c r="E109" s="3" t="s">
        <v>295</v>
      </c>
      <c r="F109" s="3" t="s">
        <v>62</v>
      </c>
      <c r="G109" s="3" t="s">
        <v>296</v>
      </c>
      <c r="H109" s="3" t="s">
        <v>32</v>
      </c>
      <c r="I109" s="3" t="s">
        <v>7</v>
      </c>
      <c r="J109" s="3" t="s">
        <v>48</v>
      </c>
      <c r="K109" s="3" t="s">
        <v>27</v>
      </c>
      <c r="L109" s="3" t="s">
        <v>50</v>
      </c>
      <c r="M109">
        <v>3</v>
      </c>
    </row>
    <row r="110" spans="1:13" x14ac:dyDescent="0.25">
      <c r="A110" s="2">
        <v>46162</v>
      </c>
      <c r="B110" s="1" t="str">
        <f ca="1">IF(Información1[[#This Row],[Fecha]]='Ajuste de fechas'!$A$2,"Día actual","Día anterior")</f>
        <v>Día actual</v>
      </c>
      <c r="C110" s="3" t="s">
        <v>34</v>
      </c>
      <c r="D110" t="s">
        <v>35</v>
      </c>
      <c r="E110" s="3" t="s">
        <v>297</v>
      </c>
      <c r="F110" s="3" t="s">
        <v>23</v>
      </c>
      <c r="G110" s="3" t="s">
        <v>33</v>
      </c>
      <c r="H110" s="3" t="s">
        <v>32</v>
      </c>
      <c r="I110" s="3" t="s">
        <v>7</v>
      </c>
      <c r="J110" s="3" t="s">
        <v>48</v>
      </c>
      <c r="K110" s="3" t="s">
        <v>27</v>
      </c>
      <c r="L110" s="3" t="s">
        <v>49</v>
      </c>
      <c r="M110">
        <v>3</v>
      </c>
    </row>
    <row r="111" spans="1:13" x14ac:dyDescent="0.25">
      <c r="A111" s="2">
        <v>46162</v>
      </c>
      <c r="B111" s="1" t="str">
        <f ca="1">IF(Información1[[#This Row],[Fecha]]='Ajuste de fechas'!$A$2,"Día actual","Día anterior")</f>
        <v>Día actual</v>
      </c>
      <c r="C111" s="3" t="s">
        <v>34</v>
      </c>
      <c r="D111" t="s">
        <v>35</v>
      </c>
      <c r="E111" s="3" t="s">
        <v>272</v>
      </c>
      <c r="F111" s="3" t="s">
        <v>23</v>
      </c>
      <c r="G111" s="3" t="s">
        <v>298</v>
      </c>
      <c r="H111" s="3" t="s">
        <v>32</v>
      </c>
      <c r="I111" s="3" t="s">
        <v>7</v>
      </c>
      <c r="J111" s="3" t="s">
        <v>48</v>
      </c>
      <c r="K111" s="3" t="s">
        <v>27</v>
      </c>
      <c r="L111" s="3" t="s">
        <v>51</v>
      </c>
      <c r="M111">
        <v>3</v>
      </c>
    </row>
    <row r="112" spans="1:13" x14ac:dyDescent="0.25">
      <c r="A112" s="2">
        <v>46162</v>
      </c>
      <c r="B112" s="1" t="str">
        <f ca="1">IF(Información1[[#This Row],[Fecha]]='Ajuste de fechas'!$A$2,"Día actual","Día anterior")</f>
        <v>Día actual</v>
      </c>
      <c r="C112" s="3" t="s">
        <v>34</v>
      </c>
      <c r="D112" t="s">
        <v>35</v>
      </c>
      <c r="E112" s="3" t="s">
        <v>299</v>
      </c>
      <c r="F112" s="3" t="s">
        <v>62</v>
      </c>
      <c r="G112" s="3" t="s">
        <v>68</v>
      </c>
      <c r="H112" s="3" t="s">
        <v>32</v>
      </c>
      <c r="I112" s="3" t="s">
        <v>25</v>
      </c>
      <c r="J112" s="3" t="s">
        <v>48</v>
      </c>
      <c r="K112" s="3" t="s">
        <v>27</v>
      </c>
      <c r="L112" s="3" t="s">
        <v>49</v>
      </c>
      <c r="M112">
        <v>3</v>
      </c>
    </row>
    <row r="113" spans="1:13" x14ac:dyDescent="0.25">
      <c r="A113" s="2">
        <v>46162</v>
      </c>
      <c r="B113" s="1" t="str">
        <f ca="1">IF(Información1[[#This Row],[Fecha]]='Ajuste de fechas'!$A$2,"Día actual","Día anterior")</f>
        <v>Día actual</v>
      </c>
      <c r="C113" s="3" t="s">
        <v>34</v>
      </c>
      <c r="D113" t="s">
        <v>35</v>
      </c>
      <c r="E113" s="3" t="s">
        <v>300</v>
      </c>
      <c r="F113" s="3" t="s">
        <v>26</v>
      </c>
      <c r="G113" s="3" t="s">
        <v>109</v>
      </c>
      <c r="H113" s="3" t="s">
        <v>32</v>
      </c>
      <c r="I113" s="3" t="s">
        <v>12</v>
      </c>
      <c r="J113" s="3" t="s">
        <v>48</v>
      </c>
      <c r="K113" s="3" t="s">
        <v>9</v>
      </c>
      <c r="L113" s="3" t="s">
        <v>50</v>
      </c>
      <c r="M113">
        <v>3</v>
      </c>
    </row>
    <row r="114" spans="1:13" x14ac:dyDescent="0.25">
      <c r="A114" s="2">
        <v>46162</v>
      </c>
      <c r="B114" s="1" t="str">
        <f ca="1">IF(Información1[[#This Row],[Fecha]]='Ajuste de fechas'!$A$2,"Día actual","Día anterior")</f>
        <v>Día actual</v>
      </c>
      <c r="C114" s="3" t="s">
        <v>34</v>
      </c>
      <c r="D114" t="s">
        <v>35</v>
      </c>
      <c r="E114" s="3" t="s">
        <v>258</v>
      </c>
      <c r="F114" s="3" t="s">
        <v>21</v>
      </c>
      <c r="G114" s="3" t="s">
        <v>85</v>
      </c>
      <c r="H114" s="3" t="s">
        <v>32</v>
      </c>
      <c r="I114" s="3" t="s">
        <v>7</v>
      </c>
      <c r="J114" s="3" t="s">
        <v>48</v>
      </c>
      <c r="K114" s="3" t="s">
        <v>27</v>
      </c>
      <c r="L114" s="3" t="s">
        <v>51</v>
      </c>
      <c r="M114">
        <v>2</v>
      </c>
    </row>
    <row r="115" spans="1:13" x14ac:dyDescent="0.25">
      <c r="A115" s="2">
        <v>46162</v>
      </c>
      <c r="B115" s="1" t="str">
        <f ca="1">IF(Información1[[#This Row],[Fecha]]='Ajuste de fechas'!$A$2,"Día actual","Día anterior")</f>
        <v>Día actual</v>
      </c>
      <c r="C115" s="3" t="s">
        <v>34</v>
      </c>
      <c r="D115" t="s">
        <v>35</v>
      </c>
      <c r="E115" s="3" t="s">
        <v>301</v>
      </c>
      <c r="F115" s="3" t="s">
        <v>36</v>
      </c>
      <c r="G115" s="3" t="s">
        <v>302</v>
      </c>
      <c r="H115" s="3" t="s">
        <v>32</v>
      </c>
      <c r="I115" s="3" t="s">
        <v>7</v>
      </c>
      <c r="J115" s="3" t="s">
        <v>48</v>
      </c>
      <c r="K115" s="3" t="s">
        <v>27</v>
      </c>
      <c r="L115" s="3" t="s">
        <v>51</v>
      </c>
      <c r="M115">
        <v>3</v>
      </c>
    </row>
    <row r="116" spans="1:13" x14ac:dyDescent="0.25">
      <c r="A116" s="2">
        <v>46162</v>
      </c>
      <c r="B116" s="1" t="str">
        <f ca="1">IF(Información1[[#This Row],[Fecha]]='Ajuste de fechas'!$A$2,"Día actual","Día anterior")</f>
        <v>Día actual</v>
      </c>
      <c r="C116" s="3" t="s">
        <v>34</v>
      </c>
      <c r="D116" t="s">
        <v>35</v>
      </c>
      <c r="E116" s="3" t="s">
        <v>303</v>
      </c>
      <c r="F116" s="3" t="s">
        <v>24</v>
      </c>
      <c r="G116" s="3" t="s">
        <v>72</v>
      </c>
      <c r="H116" s="3" t="s">
        <v>32</v>
      </c>
      <c r="I116" s="3" t="s">
        <v>7</v>
      </c>
      <c r="J116" s="3" t="s">
        <v>24</v>
      </c>
      <c r="K116" s="3" t="s">
        <v>27</v>
      </c>
      <c r="L116" s="3" t="s">
        <v>49</v>
      </c>
      <c r="M116">
        <v>3</v>
      </c>
    </row>
    <row r="117" spans="1:13" x14ac:dyDescent="0.25">
      <c r="A117" s="2">
        <v>46162</v>
      </c>
      <c r="B117" s="1" t="str">
        <f ca="1">IF(Información1[[#This Row],[Fecha]]='Ajuste de fechas'!$A$2,"Día actual","Día anterior")</f>
        <v>Día actual</v>
      </c>
      <c r="C117" s="3" t="s">
        <v>34</v>
      </c>
      <c r="D117" t="s">
        <v>35</v>
      </c>
      <c r="E117" s="3" t="s">
        <v>239</v>
      </c>
      <c r="F117" s="3" t="s">
        <v>26</v>
      </c>
      <c r="G117" s="3" t="s">
        <v>109</v>
      </c>
      <c r="H117" s="3" t="s">
        <v>32</v>
      </c>
      <c r="I117" s="3" t="s">
        <v>7</v>
      </c>
      <c r="J117" s="3" t="s">
        <v>48</v>
      </c>
      <c r="K117" s="3" t="s">
        <v>27</v>
      </c>
      <c r="L117" s="3" t="s">
        <v>51</v>
      </c>
      <c r="M117">
        <v>3</v>
      </c>
    </row>
    <row r="118" spans="1:13" x14ac:dyDescent="0.25">
      <c r="A118" s="2">
        <v>46162</v>
      </c>
      <c r="B118" s="1" t="str">
        <f ca="1">IF(Información1[[#This Row],[Fecha]]='Ajuste de fechas'!$A$2,"Día actual","Día anterior")</f>
        <v>Día actual</v>
      </c>
      <c r="C118" s="3" t="s">
        <v>34</v>
      </c>
      <c r="D118" t="s">
        <v>35</v>
      </c>
      <c r="E118" s="3" t="s">
        <v>304</v>
      </c>
      <c r="F118" s="3" t="s">
        <v>26</v>
      </c>
      <c r="G118" s="3" t="s">
        <v>72</v>
      </c>
      <c r="H118" s="3" t="s">
        <v>32</v>
      </c>
      <c r="I118" s="3" t="s">
        <v>7</v>
      </c>
      <c r="J118" s="3" t="s">
        <v>48</v>
      </c>
      <c r="K118" s="3" t="s">
        <v>27</v>
      </c>
      <c r="L118" s="3" t="s">
        <v>49</v>
      </c>
      <c r="M118">
        <v>3</v>
      </c>
    </row>
    <row r="119" spans="1:13" x14ac:dyDescent="0.25">
      <c r="A119" s="2">
        <v>46162</v>
      </c>
      <c r="B119" s="1" t="str">
        <f ca="1">IF(Información1[[#This Row],[Fecha]]='Ajuste de fechas'!$A$2,"Día actual","Día anterior")</f>
        <v>Día actual</v>
      </c>
      <c r="C119" s="3" t="s">
        <v>34</v>
      </c>
      <c r="D119" t="s">
        <v>35</v>
      </c>
      <c r="E119" s="3" t="s">
        <v>240</v>
      </c>
      <c r="F119" s="3" t="s">
        <v>26</v>
      </c>
      <c r="G119" s="3" t="s">
        <v>109</v>
      </c>
      <c r="H119" s="3" t="s">
        <v>32</v>
      </c>
      <c r="I119" s="3" t="s">
        <v>7</v>
      </c>
      <c r="J119" s="3" t="s">
        <v>48</v>
      </c>
      <c r="K119" s="3" t="s">
        <v>27</v>
      </c>
      <c r="L119" s="3" t="s">
        <v>51</v>
      </c>
      <c r="M119">
        <v>3</v>
      </c>
    </row>
    <row r="120" spans="1:13" x14ac:dyDescent="0.25">
      <c r="A120" s="2">
        <v>46162</v>
      </c>
      <c r="B120" s="1" t="str">
        <f ca="1">IF(Información1[[#This Row],[Fecha]]='Ajuste de fechas'!$A$2,"Día actual","Día anterior")</f>
        <v>Día actual</v>
      </c>
      <c r="C120" s="3" t="s">
        <v>34</v>
      </c>
      <c r="D120" t="s">
        <v>35</v>
      </c>
      <c r="E120" s="3" t="s">
        <v>305</v>
      </c>
      <c r="F120" s="3" t="s">
        <v>15</v>
      </c>
      <c r="G120" s="3" t="s">
        <v>306</v>
      </c>
      <c r="H120" s="3" t="s">
        <v>32</v>
      </c>
      <c r="I120" s="3" t="s">
        <v>25</v>
      </c>
      <c r="J120" s="3" t="s">
        <v>48</v>
      </c>
      <c r="K120" s="3" t="s">
        <v>27</v>
      </c>
      <c r="L120" s="3" t="s">
        <v>50</v>
      </c>
      <c r="M120">
        <v>3</v>
      </c>
    </row>
    <row r="121" spans="1:13" x14ac:dyDescent="0.25">
      <c r="A121" s="2">
        <v>46162</v>
      </c>
      <c r="B121" s="1" t="str">
        <f ca="1">IF(Información1[[#This Row],[Fecha]]='Ajuste de fechas'!$A$2,"Día actual","Día anterior")</f>
        <v>Día actual</v>
      </c>
      <c r="C121" s="3" t="s">
        <v>37</v>
      </c>
      <c r="D121" t="s">
        <v>38</v>
      </c>
      <c r="E121" s="3" t="s">
        <v>307</v>
      </c>
      <c r="F121" s="3" t="s">
        <v>21</v>
      </c>
      <c r="G121" s="3" t="s">
        <v>85</v>
      </c>
      <c r="H121" s="3" t="s">
        <v>11</v>
      </c>
      <c r="I121" s="3" t="s">
        <v>7</v>
      </c>
      <c r="J121" s="3" t="s">
        <v>48</v>
      </c>
      <c r="K121" s="3" t="s">
        <v>39</v>
      </c>
      <c r="L121" s="3" t="s">
        <v>49</v>
      </c>
      <c r="M121">
        <v>1</v>
      </c>
    </row>
    <row r="122" spans="1:13" x14ac:dyDescent="0.25">
      <c r="A122" s="2">
        <v>46162</v>
      </c>
      <c r="B122" s="1" t="str">
        <f ca="1">IF(Información1[[#This Row],[Fecha]]='Ajuste de fechas'!$A$2,"Día actual","Día anterior")</f>
        <v>Día actual</v>
      </c>
      <c r="C122" s="3" t="s">
        <v>37</v>
      </c>
      <c r="D122" t="s">
        <v>38</v>
      </c>
      <c r="E122" s="3" t="s">
        <v>308</v>
      </c>
      <c r="F122" s="3" t="s">
        <v>22</v>
      </c>
      <c r="G122" s="3" t="s">
        <v>309</v>
      </c>
      <c r="H122" s="3" t="s">
        <v>11</v>
      </c>
      <c r="I122" s="3" t="s">
        <v>25</v>
      </c>
      <c r="J122" s="3" t="s">
        <v>53</v>
      </c>
      <c r="K122" s="3" t="s">
        <v>39</v>
      </c>
      <c r="L122" s="3" t="s">
        <v>49</v>
      </c>
      <c r="M122">
        <v>2</v>
      </c>
    </row>
    <row r="123" spans="1:13" x14ac:dyDescent="0.25">
      <c r="A123" s="2">
        <v>46162</v>
      </c>
      <c r="B123" s="1" t="str">
        <f ca="1">IF(Información1[[#This Row],[Fecha]]='Ajuste de fechas'!$A$2,"Día actual","Día anterior")</f>
        <v>Día actual</v>
      </c>
      <c r="C123" s="3" t="s">
        <v>37</v>
      </c>
      <c r="D123" t="s">
        <v>38</v>
      </c>
      <c r="E123" s="3" t="s">
        <v>310</v>
      </c>
      <c r="F123" s="3" t="s">
        <v>19</v>
      </c>
      <c r="G123" s="3" t="s">
        <v>311</v>
      </c>
      <c r="H123" s="3" t="s">
        <v>11</v>
      </c>
      <c r="I123" s="3" t="s">
        <v>25</v>
      </c>
      <c r="J123" s="3" t="s">
        <v>52</v>
      </c>
      <c r="K123" s="3" t="s">
        <v>39</v>
      </c>
      <c r="L123" s="3" t="s">
        <v>49</v>
      </c>
      <c r="M123">
        <v>2</v>
      </c>
    </row>
    <row r="124" spans="1:13" x14ac:dyDescent="0.25">
      <c r="A124" s="2">
        <v>46162</v>
      </c>
      <c r="B124" s="1" t="str">
        <f ca="1">IF(Información1[[#This Row],[Fecha]]='Ajuste de fechas'!$A$2,"Día actual","Día anterior")</f>
        <v>Día actual</v>
      </c>
      <c r="C124" s="3" t="s">
        <v>37</v>
      </c>
      <c r="D124" t="s">
        <v>38</v>
      </c>
      <c r="E124" s="3" t="s">
        <v>312</v>
      </c>
      <c r="F124" s="3" t="s">
        <v>19</v>
      </c>
      <c r="G124" s="3" t="s">
        <v>139</v>
      </c>
      <c r="H124" s="3" t="s">
        <v>11</v>
      </c>
      <c r="I124" s="3" t="s">
        <v>7</v>
      </c>
      <c r="J124" s="3" t="s">
        <v>52</v>
      </c>
      <c r="K124" s="3" t="s">
        <v>39</v>
      </c>
      <c r="L124" s="3" t="s">
        <v>49</v>
      </c>
      <c r="M124">
        <v>2</v>
      </c>
    </row>
    <row r="125" spans="1:13" x14ac:dyDescent="0.25">
      <c r="A125" s="2">
        <v>46162</v>
      </c>
      <c r="B125" s="1" t="str">
        <f ca="1">IF(Información1[[#This Row],[Fecha]]='Ajuste de fechas'!$A$2,"Día actual","Día anterior")</f>
        <v>Día actual</v>
      </c>
      <c r="C125" s="3" t="s">
        <v>37</v>
      </c>
      <c r="D125" t="s">
        <v>38</v>
      </c>
      <c r="E125" s="3" t="s">
        <v>313</v>
      </c>
      <c r="F125" s="3" t="s">
        <v>19</v>
      </c>
      <c r="G125" s="3" t="s">
        <v>314</v>
      </c>
      <c r="H125" s="3" t="s">
        <v>11</v>
      </c>
      <c r="I125" s="3" t="s">
        <v>7</v>
      </c>
      <c r="J125" s="3" t="s">
        <v>52</v>
      </c>
      <c r="K125" s="3" t="s">
        <v>39</v>
      </c>
      <c r="L125" s="3" t="s">
        <v>49</v>
      </c>
      <c r="M125">
        <v>2</v>
      </c>
    </row>
    <row r="126" spans="1:13" x14ac:dyDescent="0.25">
      <c r="A126" s="2">
        <v>46162</v>
      </c>
      <c r="B126" s="1" t="str">
        <f ca="1">IF(Información1[[#This Row],[Fecha]]='Ajuste de fechas'!$A$2,"Día actual","Día anterior")</f>
        <v>Día actual</v>
      </c>
      <c r="C126" s="3" t="s">
        <v>37</v>
      </c>
      <c r="D126" t="s">
        <v>38</v>
      </c>
      <c r="E126" s="3" t="s">
        <v>315</v>
      </c>
      <c r="F126" s="3" t="s">
        <v>19</v>
      </c>
      <c r="G126" s="3" t="s">
        <v>33</v>
      </c>
      <c r="H126" s="3" t="s">
        <v>11</v>
      </c>
      <c r="I126" s="3" t="s">
        <v>7</v>
      </c>
      <c r="J126" s="3" t="s">
        <v>52</v>
      </c>
      <c r="K126" s="3" t="s">
        <v>39</v>
      </c>
      <c r="L126" s="3" t="s">
        <v>49</v>
      </c>
      <c r="M126">
        <v>2</v>
      </c>
    </row>
    <row r="127" spans="1:13" x14ac:dyDescent="0.25">
      <c r="A127" s="2">
        <v>46162</v>
      </c>
      <c r="B127" s="1" t="str">
        <f ca="1">IF(Información1[[#This Row],[Fecha]]='Ajuste de fechas'!$A$2,"Día actual","Día anterior")</f>
        <v>Día actual</v>
      </c>
      <c r="C127" s="3" t="s">
        <v>37</v>
      </c>
      <c r="D127" t="s">
        <v>38</v>
      </c>
      <c r="E127" s="3" t="s">
        <v>316</v>
      </c>
      <c r="F127" s="3" t="s">
        <v>62</v>
      </c>
      <c r="G127" s="3" t="s">
        <v>89</v>
      </c>
      <c r="H127" s="3" t="s">
        <v>11</v>
      </c>
      <c r="I127" s="3" t="s">
        <v>7</v>
      </c>
      <c r="J127" s="3" t="s">
        <v>48</v>
      </c>
      <c r="K127" s="3" t="s">
        <v>39</v>
      </c>
      <c r="L127" s="3" t="s">
        <v>49</v>
      </c>
      <c r="M127">
        <v>2</v>
      </c>
    </row>
    <row r="128" spans="1:13" x14ac:dyDescent="0.25">
      <c r="A128" s="2">
        <v>46162</v>
      </c>
      <c r="B128" s="1" t="str">
        <f ca="1">IF(Información1[[#This Row],[Fecha]]='Ajuste de fechas'!$A$2,"Día actual","Día anterior")</f>
        <v>Día actual</v>
      </c>
      <c r="C128" s="3" t="s">
        <v>37</v>
      </c>
      <c r="D128" t="s">
        <v>38</v>
      </c>
      <c r="E128" s="3" t="s">
        <v>317</v>
      </c>
      <c r="F128" s="3" t="s">
        <v>62</v>
      </c>
      <c r="G128" s="3" t="s">
        <v>68</v>
      </c>
      <c r="H128" s="3" t="s">
        <v>11</v>
      </c>
      <c r="I128" s="3" t="s">
        <v>7</v>
      </c>
      <c r="J128" s="3" t="s">
        <v>48</v>
      </c>
      <c r="K128" s="3" t="s">
        <v>39</v>
      </c>
      <c r="L128" s="3" t="s">
        <v>49</v>
      </c>
      <c r="M128">
        <v>2</v>
      </c>
    </row>
    <row r="129" spans="1:13" x14ac:dyDescent="0.25">
      <c r="A129" s="2">
        <v>46162</v>
      </c>
      <c r="B129" s="1" t="str">
        <f ca="1">IF(Información1[[#This Row],[Fecha]]='Ajuste de fechas'!$A$2,"Día actual","Día anterior")</f>
        <v>Día actual</v>
      </c>
      <c r="C129" s="3" t="s">
        <v>37</v>
      </c>
      <c r="D129" t="s">
        <v>38</v>
      </c>
      <c r="E129" s="3" t="s">
        <v>241</v>
      </c>
      <c r="F129" s="3" t="s">
        <v>23</v>
      </c>
      <c r="G129" s="3" t="s">
        <v>242</v>
      </c>
      <c r="H129" s="3" t="s">
        <v>11</v>
      </c>
      <c r="I129" s="3" t="s">
        <v>7</v>
      </c>
      <c r="J129" s="3" t="s">
        <v>48</v>
      </c>
      <c r="K129" s="3" t="s">
        <v>39</v>
      </c>
      <c r="L129" s="3" t="s">
        <v>49</v>
      </c>
      <c r="M129">
        <v>2</v>
      </c>
    </row>
    <row r="130" spans="1:13" x14ac:dyDescent="0.25">
      <c r="A130" s="2">
        <v>46162</v>
      </c>
      <c r="B130" s="1" t="str">
        <f ca="1">IF(Información1[[#This Row],[Fecha]]='Ajuste de fechas'!$A$2,"Día actual","Día anterior")</f>
        <v>Día actual</v>
      </c>
      <c r="C130" s="3" t="s">
        <v>37</v>
      </c>
      <c r="D130" t="s">
        <v>38</v>
      </c>
      <c r="E130" s="3" t="s">
        <v>318</v>
      </c>
      <c r="F130" s="3" t="s">
        <v>19</v>
      </c>
      <c r="G130" s="3" t="s">
        <v>126</v>
      </c>
      <c r="H130" s="3" t="s">
        <v>11</v>
      </c>
      <c r="I130" s="3" t="s">
        <v>7</v>
      </c>
      <c r="J130" s="3" t="s">
        <v>52</v>
      </c>
      <c r="K130" s="3" t="s">
        <v>39</v>
      </c>
      <c r="L130" s="3" t="s">
        <v>49</v>
      </c>
      <c r="M130">
        <v>2</v>
      </c>
    </row>
    <row r="131" spans="1:13" x14ac:dyDescent="0.25">
      <c r="A131" s="2">
        <v>46162</v>
      </c>
      <c r="B131" s="1" t="str">
        <f ca="1">IF(Información1[[#This Row],[Fecha]]='Ajuste de fechas'!$A$2,"Día actual","Día anterior")</f>
        <v>Día actual</v>
      </c>
      <c r="C131" s="3" t="s">
        <v>37</v>
      </c>
      <c r="D131" t="s">
        <v>38</v>
      </c>
      <c r="E131" s="3" t="s">
        <v>319</v>
      </c>
      <c r="F131" s="3" t="s">
        <v>320</v>
      </c>
      <c r="G131" s="3" t="s">
        <v>321</v>
      </c>
      <c r="H131" s="3" t="s">
        <v>11</v>
      </c>
      <c r="I131" s="3" t="s">
        <v>7</v>
      </c>
      <c r="J131" s="3" t="s">
        <v>24</v>
      </c>
      <c r="K131" s="3" t="s">
        <v>39</v>
      </c>
      <c r="L131" s="3" t="s">
        <v>49</v>
      </c>
      <c r="M131">
        <v>2</v>
      </c>
    </row>
    <row r="132" spans="1:13" x14ac:dyDescent="0.25">
      <c r="A132" s="2">
        <v>46162</v>
      </c>
      <c r="B132" s="1" t="str">
        <f ca="1">IF(Información1[[#This Row],[Fecha]]='Ajuste de fechas'!$A$2,"Día actual","Día anterior")</f>
        <v>Día actual</v>
      </c>
      <c r="C132" s="3" t="s">
        <v>37</v>
      </c>
      <c r="D132" t="s">
        <v>38</v>
      </c>
      <c r="E132" s="3" t="s">
        <v>160</v>
      </c>
      <c r="F132" s="3" t="s">
        <v>63</v>
      </c>
      <c r="G132" s="3" t="s">
        <v>161</v>
      </c>
      <c r="H132" s="3" t="s">
        <v>11</v>
      </c>
      <c r="I132" s="3" t="s">
        <v>7</v>
      </c>
      <c r="J132" s="3" t="s">
        <v>48</v>
      </c>
      <c r="K132" s="3" t="s">
        <v>39</v>
      </c>
      <c r="L132" s="3" t="s">
        <v>49</v>
      </c>
      <c r="M132">
        <v>2</v>
      </c>
    </row>
    <row r="133" spans="1:13" x14ac:dyDescent="0.25">
      <c r="A133" s="2">
        <v>46162</v>
      </c>
      <c r="B133" s="1" t="str">
        <f ca="1">IF(Información1[[#This Row],[Fecha]]='Ajuste de fechas'!$A$2,"Día actual","Día anterior")</f>
        <v>Día actual</v>
      </c>
      <c r="C133" s="3" t="s">
        <v>37</v>
      </c>
      <c r="D133" t="s">
        <v>38</v>
      </c>
      <c r="E133" s="3" t="s">
        <v>322</v>
      </c>
      <c r="F133" s="3" t="s">
        <v>19</v>
      </c>
      <c r="G133" s="3" t="s">
        <v>323</v>
      </c>
      <c r="H133" s="3" t="s">
        <v>11</v>
      </c>
      <c r="I133" s="3" t="s">
        <v>7</v>
      </c>
      <c r="J133" s="3" t="s">
        <v>52</v>
      </c>
      <c r="K133" s="3" t="s">
        <v>39</v>
      </c>
      <c r="L133" s="3" t="s">
        <v>49</v>
      </c>
      <c r="M133">
        <v>2</v>
      </c>
    </row>
    <row r="134" spans="1:13" x14ac:dyDescent="0.25">
      <c r="A134" s="2">
        <v>46162</v>
      </c>
      <c r="B134" s="1" t="str">
        <f ca="1">IF(Información1[[#This Row],[Fecha]]='Ajuste de fechas'!$A$2,"Día actual","Día anterior")</f>
        <v>Día actual</v>
      </c>
      <c r="C134" s="3" t="s">
        <v>37</v>
      </c>
      <c r="D134" t="s">
        <v>38</v>
      </c>
      <c r="E134" s="3" t="s">
        <v>243</v>
      </c>
      <c r="F134" s="3" t="s">
        <v>23</v>
      </c>
      <c r="G134" s="3" t="s">
        <v>175</v>
      </c>
      <c r="H134" s="3" t="s">
        <v>11</v>
      </c>
      <c r="I134" s="3" t="s">
        <v>7</v>
      </c>
      <c r="J134" s="3" t="s">
        <v>48</v>
      </c>
      <c r="K134" s="3" t="s">
        <v>39</v>
      </c>
      <c r="L134" s="3" t="s">
        <v>49</v>
      </c>
      <c r="M134">
        <v>2</v>
      </c>
    </row>
    <row r="135" spans="1:13" x14ac:dyDescent="0.25">
      <c r="A135" s="2">
        <v>46162</v>
      </c>
      <c r="B135" s="1" t="str">
        <f ca="1">IF(Información1[[#This Row],[Fecha]]='Ajuste de fechas'!$A$2,"Día actual","Día anterior")</f>
        <v>Día actual</v>
      </c>
      <c r="C135" s="3" t="s">
        <v>37</v>
      </c>
      <c r="D135" t="s">
        <v>38</v>
      </c>
      <c r="E135" s="3" t="s">
        <v>324</v>
      </c>
      <c r="F135" s="3" t="s">
        <v>22</v>
      </c>
      <c r="G135" s="3" t="s">
        <v>175</v>
      </c>
      <c r="H135" s="3" t="s">
        <v>11</v>
      </c>
      <c r="I135" s="3" t="s">
        <v>7</v>
      </c>
      <c r="J135" s="3" t="s">
        <v>53</v>
      </c>
      <c r="K135" s="3" t="s">
        <v>39</v>
      </c>
      <c r="L135" s="3" t="s">
        <v>49</v>
      </c>
      <c r="M135">
        <v>2</v>
      </c>
    </row>
    <row r="136" spans="1:13" x14ac:dyDescent="0.25">
      <c r="A136" s="2">
        <v>46162</v>
      </c>
      <c r="B136" s="1" t="str">
        <f ca="1">IF(Información1[[#This Row],[Fecha]]='Ajuste de fechas'!$A$2,"Día actual","Día anterior")</f>
        <v>Día actual</v>
      </c>
      <c r="C136" s="3" t="s">
        <v>37</v>
      </c>
      <c r="D136" t="s">
        <v>38</v>
      </c>
      <c r="E136" s="3" t="s">
        <v>239</v>
      </c>
      <c r="F136" s="3" t="s">
        <v>26</v>
      </c>
      <c r="G136" s="3" t="s">
        <v>109</v>
      </c>
      <c r="H136" s="3" t="s">
        <v>11</v>
      </c>
      <c r="I136" s="3" t="s">
        <v>7</v>
      </c>
      <c r="J136" s="3" t="s">
        <v>48</v>
      </c>
      <c r="K136" s="3" t="s">
        <v>39</v>
      </c>
      <c r="L136" s="3" t="s">
        <v>51</v>
      </c>
      <c r="M136">
        <v>2</v>
      </c>
    </row>
    <row r="137" spans="1:13" x14ac:dyDescent="0.25">
      <c r="A137" s="2">
        <v>46162</v>
      </c>
      <c r="B137" s="1" t="str">
        <f ca="1">IF(Información1[[#This Row],[Fecha]]='Ajuste de fechas'!$A$2,"Día actual","Día anterior")</f>
        <v>Día actual</v>
      </c>
      <c r="C137" s="3" t="s">
        <v>37</v>
      </c>
      <c r="D137" t="s">
        <v>38</v>
      </c>
      <c r="E137" s="3" t="s">
        <v>70</v>
      </c>
      <c r="F137" s="3" t="s">
        <v>19</v>
      </c>
      <c r="G137" s="3" t="s">
        <v>33</v>
      </c>
      <c r="H137" s="3" t="s">
        <v>11</v>
      </c>
      <c r="I137" s="3" t="s">
        <v>7</v>
      </c>
      <c r="J137" s="3" t="s">
        <v>52</v>
      </c>
      <c r="K137" s="3" t="s">
        <v>39</v>
      </c>
      <c r="L137" s="3" t="s">
        <v>49</v>
      </c>
      <c r="M137">
        <v>2</v>
      </c>
    </row>
    <row r="138" spans="1:13" x14ac:dyDescent="0.25">
      <c r="A138" s="2">
        <v>46162</v>
      </c>
      <c r="B138" s="1" t="str">
        <f ca="1">IF(Información1[[#This Row],[Fecha]]='Ajuste de fechas'!$A$2,"Día actual","Día anterior")</f>
        <v>Día actual</v>
      </c>
      <c r="C138" s="3" t="s">
        <v>37</v>
      </c>
      <c r="D138" t="s">
        <v>38</v>
      </c>
      <c r="E138" s="3" t="s">
        <v>325</v>
      </c>
      <c r="F138" s="3" t="s">
        <v>19</v>
      </c>
      <c r="G138" s="3" t="s">
        <v>326</v>
      </c>
      <c r="H138" s="3" t="s">
        <v>11</v>
      </c>
      <c r="I138" s="3" t="s">
        <v>7</v>
      </c>
      <c r="J138" s="3" t="s">
        <v>52</v>
      </c>
      <c r="K138" s="3" t="s">
        <v>39</v>
      </c>
      <c r="L138" s="3" t="s">
        <v>49</v>
      </c>
      <c r="M138">
        <v>2</v>
      </c>
    </row>
    <row r="139" spans="1:13" x14ac:dyDescent="0.25">
      <c r="A139" s="2">
        <v>46162</v>
      </c>
      <c r="B139" s="1" t="str">
        <f ca="1">IF(Información1[[#This Row],[Fecha]]='Ajuste de fechas'!$A$2,"Día actual","Día anterior")</f>
        <v>Día actual</v>
      </c>
      <c r="C139" s="3" t="s">
        <v>37</v>
      </c>
      <c r="D139" t="s">
        <v>38</v>
      </c>
      <c r="E139" s="3" t="s">
        <v>327</v>
      </c>
      <c r="F139" s="3" t="s">
        <v>19</v>
      </c>
      <c r="G139" s="3" t="s">
        <v>328</v>
      </c>
      <c r="H139" s="3" t="s">
        <v>11</v>
      </c>
      <c r="I139" s="3" t="s">
        <v>7</v>
      </c>
      <c r="J139" s="3" t="s">
        <v>52</v>
      </c>
      <c r="K139" s="3" t="s">
        <v>39</v>
      </c>
      <c r="L139" s="3" t="s">
        <v>49</v>
      </c>
      <c r="M139">
        <v>2</v>
      </c>
    </row>
    <row r="140" spans="1:13" x14ac:dyDescent="0.25">
      <c r="A140" s="2">
        <v>46162</v>
      </c>
      <c r="B140" s="1" t="str">
        <f ca="1">IF(Información1[[#This Row],[Fecha]]='Ajuste de fechas'!$A$2,"Día actual","Día anterior")</f>
        <v>Día actual</v>
      </c>
      <c r="C140" s="3" t="s">
        <v>37</v>
      </c>
      <c r="D140" t="s">
        <v>38</v>
      </c>
      <c r="E140" s="3" t="s">
        <v>329</v>
      </c>
      <c r="F140" s="3" t="s">
        <v>330</v>
      </c>
      <c r="G140" s="3" t="s">
        <v>199</v>
      </c>
      <c r="H140" s="3" t="s">
        <v>11</v>
      </c>
      <c r="I140" s="3" t="s">
        <v>7</v>
      </c>
      <c r="J140" s="3" t="s">
        <v>48</v>
      </c>
      <c r="K140" s="3" t="s">
        <v>39</v>
      </c>
      <c r="L140" s="3" t="s">
        <v>49</v>
      </c>
      <c r="M140">
        <v>2</v>
      </c>
    </row>
    <row r="141" spans="1:13" x14ac:dyDescent="0.25">
      <c r="A141" s="2">
        <v>46162</v>
      </c>
      <c r="B141" s="1" t="str">
        <f ca="1">IF(Información1[[#This Row],[Fecha]]='Ajuste de fechas'!$A$2,"Día actual","Día anterior")</f>
        <v>Día actual</v>
      </c>
      <c r="C141" s="3" t="s">
        <v>37</v>
      </c>
      <c r="D141" t="s">
        <v>38</v>
      </c>
      <c r="E141" s="3" t="s">
        <v>331</v>
      </c>
      <c r="F141" s="3" t="s">
        <v>19</v>
      </c>
      <c r="G141" s="3" t="s">
        <v>332</v>
      </c>
      <c r="H141" s="3" t="s">
        <v>11</v>
      </c>
      <c r="I141" s="3" t="s">
        <v>7</v>
      </c>
      <c r="J141" s="3" t="s">
        <v>52</v>
      </c>
      <c r="K141" s="3" t="s">
        <v>39</v>
      </c>
      <c r="L141" s="3" t="s">
        <v>49</v>
      </c>
      <c r="M141">
        <v>2</v>
      </c>
    </row>
    <row r="142" spans="1:13" x14ac:dyDescent="0.25">
      <c r="A142" s="2">
        <v>46161</v>
      </c>
      <c r="B142" s="1" t="str">
        <f ca="1">IF(Información1[[#This Row],[Fecha]]='Ajuste de fechas'!$A$2,"Día actual","Día anterior")</f>
        <v>Día anterior</v>
      </c>
      <c r="C142" s="3" t="s">
        <v>73</v>
      </c>
      <c r="D142" t="s">
        <v>74</v>
      </c>
      <c r="E142" s="3" t="s">
        <v>333</v>
      </c>
      <c r="F142" s="3" t="s">
        <v>21</v>
      </c>
      <c r="G142" s="3" t="s">
        <v>334</v>
      </c>
      <c r="H142" s="3" t="s">
        <v>32</v>
      </c>
      <c r="I142" s="3" t="s">
        <v>7</v>
      </c>
      <c r="J142" s="3" t="s">
        <v>48</v>
      </c>
      <c r="K142" s="3" t="s">
        <v>75</v>
      </c>
      <c r="L142" s="3" t="s">
        <v>49</v>
      </c>
      <c r="M142">
        <v>1</v>
      </c>
    </row>
    <row r="143" spans="1:13" x14ac:dyDescent="0.25">
      <c r="A143" s="2">
        <v>46161</v>
      </c>
      <c r="B143" s="1" t="str">
        <f ca="1">IF(Información1[[#This Row],[Fecha]]='Ajuste de fechas'!$A$2,"Día actual","Día anterior")</f>
        <v>Día anterior</v>
      </c>
      <c r="C143" s="3" t="s">
        <v>73</v>
      </c>
      <c r="D143" t="s">
        <v>74</v>
      </c>
      <c r="E143" s="3" t="s">
        <v>136</v>
      </c>
      <c r="F143" s="3" t="s">
        <v>62</v>
      </c>
      <c r="G143" s="3" t="s">
        <v>137</v>
      </c>
      <c r="H143" s="3" t="s">
        <v>32</v>
      </c>
      <c r="I143" s="3" t="s">
        <v>7</v>
      </c>
      <c r="J143" s="3" t="s">
        <v>48</v>
      </c>
      <c r="K143" s="3" t="s">
        <v>75</v>
      </c>
      <c r="L143" s="3" t="s">
        <v>51</v>
      </c>
      <c r="M143">
        <v>1</v>
      </c>
    </row>
    <row r="144" spans="1:13" x14ac:dyDescent="0.25">
      <c r="A144" s="2">
        <v>46161</v>
      </c>
      <c r="B144" s="1" t="str">
        <f ca="1">IF(Información1[[#This Row],[Fecha]]='Ajuste de fechas'!$A$2,"Día actual","Día anterior")</f>
        <v>Día anterior</v>
      </c>
      <c r="C144" s="3" t="s">
        <v>73</v>
      </c>
      <c r="D144" t="s">
        <v>74</v>
      </c>
      <c r="E144" s="3" t="s">
        <v>138</v>
      </c>
      <c r="F144" s="3" t="s">
        <v>23</v>
      </c>
      <c r="G144" s="3" t="s">
        <v>139</v>
      </c>
      <c r="H144" s="3" t="s">
        <v>32</v>
      </c>
      <c r="I144" s="3" t="s">
        <v>7</v>
      </c>
      <c r="J144" s="3" t="s">
        <v>48</v>
      </c>
      <c r="K144" s="3" t="s">
        <v>75</v>
      </c>
      <c r="L144" s="3" t="s">
        <v>51</v>
      </c>
      <c r="M144">
        <v>1</v>
      </c>
    </row>
    <row r="145" spans="1:13" x14ac:dyDescent="0.25">
      <c r="A145" s="2">
        <v>46161</v>
      </c>
      <c r="B145" s="1" t="str">
        <f ca="1">IF(Información1[[#This Row],[Fecha]]='Ajuste de fechas'!$A$2,"Día actual","Día anterior")</f>
        <v>Día anterior</v>
      </c>
      <c r="C145" s="3" t="s">
        <v>73</v>
      </c>
      <c r="D145" t="s">
        <v>74</v>
      </c>
      <c r="E145" s="3" t="s">
        <v>132</v>
      </c>
      <c r="F145" s="3" t="s">
        <v>62</v>
      </c>
      <c r="G145" s="3" t="s">
        <v>131</v>
      </c>
      <c r="H145" s="3" t="s">
        <v>32</v>
      </c>
      <c r="I145" s="3" t="s">
        <v>7</v>
      </c>
      <c r="J145" s="3" t="s">
        <v>48</v>
      </c>
      <c r="K145" s="3" t="s">
        <v>75</v>
      </c>
      <c r="L145" s="3" t="s">
        <v>51</v>
      </c>
      <c r="M145">
        <v>1</v>
      </c>
    </row>
    <row r="146" spans="1:13" x14ac:dyDescent="0.25">
      <c r="A146" s="2">
        <v>46161</v>
      </c>
      <c r="B146" s="1" t="str">
        <f ca="1">IF(Información1[[#This Row],[Fecha]]='Ajuste de fechas'!$A$2,"Día actual","Día anterior")</f>
        <v>Día anterior</v>
      </c>
      <c r="C146" s="3" t="s">
        <v>73</v>
      </c>
      <c r="D146" t="s">
        <v>74</v>
      </c>
      <c r="E146" s="3" t="s">
        <v>244</v>
      </c>
      <c r="F146" s="3" t="s">
        <v>21</v>
      </c>
      <c r="G146" s="3" t="s">
        <v>245</v>
      </c>
      <c r="H146" s="3" t="s">
        <v>32</v>
      </c>
      <c r="I146" s="3" t="s">
        <v>7</v>
      </c>
      <c r="J146" s="3" t="s">
        <v>48</v>
      </c>
      <c r="K146" s="3" t="s">
        <v>75</v>
      </c>
      <c r="L146" s="3" t="s">
        <v>51</v>
      </c>
      <c r="M146">
        <v>1</v>
      </c>
    </row>
    <row r="147" spans="1:13" x14ac:dyDescent="0.25">
      <c r="A147" s="2">
        <v>46161</v>
      </c>
      <c r="B147" s="1" t="str">
        <f ca="1">IF(Información1[[#This Row],[Fecha]]='Ajuste de fechas'!$A$2,"Día actual","Día anterior")</f>
        <v>Día anterior</v>
      </c>
      <c r="C147" s="3" t="s">
        <v>73</v>
      </c>
      <c r="D147" t="s">
        <v>74</v>
      </c>
      <c r="E147" s="3" t="s">
        <v>335</v>
      </c>
      <c r="F147" s="3" t="s">
        <v>19</v>
      </c>
      <c r="G147" s="3" t="s">
        <v>336</v>
      </c>
      <c r="H147" s="3" t="s">
        <v>32</v>
      </c>
      <c r="I147" s="3" t="s">
        <v>7</v>
      </c>
      <c r="J147" s="3" t="s">
        <v>52</v>
      </c>
      <c r="K147" s="3" t="s">
        <v>75</v>
      </c>
      <c r="L147" s="3" t="s">
        <v>49</v>
      </c>
      <c r="M147">
        <v>1</v>
      </c>
    </row>
    <row r="148" spans="1:13" x14ac:dyDescent="0.25">
      <c r="A148" s="2">
        <v>46161</v>
      </c>
      <c r="B148" s="1" t="str">
        <f ca="1">IF(Información1[[#This Row],[Fecha]]='Ajuste de fechas'!$A$2,"Día actual","Día anterior")</f>
        <v>Día anterior</v>
      </c>
      <c r="C148" s="3" t="s">
        <v>73</v>
      </c>
      <c r="D148" t="s">
        <v>74</v>
      </c>
      <c r="E148" s="3" t="s">
        <v>246</v>
      </c>
      <c r="F148" s="3" t="s">
        <v>64</v>
      </c>
      <c r="G148" s="3" t="s">
        <v>188</v>
      </c>
      <c r="H148" s="3" t="s">
        <v>32</v>
      </c>
      <c r="I148" s="3" t="s">
        <v>7</v>
      </c>
      <c r="J148" s="3" t="s">
        <v>48</v>
      </c>
      <c r="K148" s="3" t="s">
        <v>75</v>
      </c>
      <c r="L148" s="3" t="s">
        <v>51</v>
      </c>
      <c r="M148">
        <v>1</v>
      </c>
    </row>
    <row r="149" spans="1:13" x14ac:dyDescent="0.25">
      <c r="A149" s="2">
        <v>46161</v>
      </c>
      <c r="B149" s="1" t="str">
        <f ca="1">IF(Información1[[#This Row],[Fecha]]='Ajuste de fechas'!$A$2,"Día actual","Día anterior")</f>
        <v>Día anterior</v>
      </c>
      <c r="C149" s="3" t="s">
        <v>73</v>
      </c>
      <c r="D149" t="s">
        <v>74</v>
      </c>
      <c r="E149" s="3" t="s">
        <v>337</v>
      </c>
      <c r="F149" s="3" t="s">
        <v>19</v>
      </c>
      <c r="G149" s="3" t="s">
        <v>230</v>
      </c>
      <c r="H149" s="3" t="s">
        <v>32</v>
      </c>
      <c r="I149" s="3" t="s">
        <v>7</v>
      </c>
      <c r="J149" s="3" t="s">
        <v>52</v>
      </c>
      <c r="K149" s="3" t="s">
        <v>75</v>
      </c>
      <c r="L149" s="3" t="s">
        <v>49</v>
      </c>
      <c r="M149">
        <v>1</v>
      </c>
    </row>
    <row r="150" spans="1:13" x14ac:dyDescent="0.25">
      <c r="A150" s="2">
        <v>46161</v>
      </c>
      <c r="B150" s="1" t="str">
        <f ca="1">IF(Información1[[#This Row],[Fecha]]='Ajuste de fechas'!$A$2,"Día actual","Día anterior")</f>
        <v>Día anterior</v>
      </c>
      <c r="C150" s="3" t="s">
        <v>73</v>
      </c>
      <c r="D150" t="s">
        <v>74</v>
      </c>
      <c r="E150" s="3" t="s">
        <v>247</v>
      </c>
      <c r="F150" s="3" t="s">
        <v>248</v>
      </c>
      <c r="G150" s="3" t="s">
        <v>249</v>
      </c>
      <c r="H150" s="3" t="s">
        <v>32</v>
      </c>
      <c r="I150" s="3" t="s">
        <v>7</v>
      </c>
      <c r="J150" s="3" t="s">
        <v>48</v>
      </c>
      <c r="K150" s="3" t="s">
        <v>250</v>
      </c>
      <c r="L150" s="3" t="s">
        <v>51</v>
      </c>
      <c r="M150">
        <v>1</v>
      </c>
    </row>
    <row r="151" spans="1:13" x14ac:dyDescent="0.25">
      <c r="A151" s="2">
        <v>46161</v>
      </c>
      <c r="B151" s="1" t="str">
        <f ca="1">IF(Información1[[#This Row],[Fecha]]='Ajuste de fechas'!$A$2,"Día actual","Día anterior")</f>
        <v>Día anterior</v>
      </c>
      <c r="C151" s="3" t="s">
        <v>73</v>
      </c>
      <c r="D151" t="s">
        <v>74</v>
      </c>
      <c r="E151" s="3" t="s">
        <v>297</v>
      </c>
      <c r="F151" s="3" t="s">
        <v>23</v>
      </c>
      <c r="G151" s="3" t="s">
        <v>33</v>
      </c>
      <c r="H151" s="3" t="s">
        <v>32</v>
      </c>
      <c r="I151" s="3" t="s">
        <v>7</v>
      </c>
      <c r="J151" s="3" t="s">
        <v>48</v>
      </c>
      <c r="K151" s="3" t="s">
        <v>250</v>
      </c>
      <c r="L151" s="3" t="s">
        <v>49</v>
      </c>
      <c r="M151">
        <v>1</v>
      </c>
    </row>
    <row r="152" spans="1:13" x14ac:dyDescent="0.25">
      <c r="A152" s="2">
        <v>46161</v>
      </c>
      <c r="B152" s="1" t="str">
        <f ca="1">IF(Información1[[#This Row],[Fecha]]='Ajuste de fechas'!$A$2,"Día actual","Día anterior")</f>
        <v>Día anterior</v>
      </c>
      <c r="C152" s="3" t="s">
        <v>73</v>
      </c>
      <c r="D152" t="s">
        <v>74</v>
      </c>
      <c r="E152" s="3" t="s">
        <v>338</v>
      </c>
      <c r="F152" s="3" t="s">
        <v>62</v>
      </c>
      <c r="G152" s="3" t="s">
        <v>68</v>
      </c>
      <c r="H152" s="3" t="s">
        <v>32</v>
      </c>
      <c r="I152" s="3" t="s">
        <v>25</v>
      </c>
      <c r="J152" s="3" t="s">
        <v>48</v>
      </c>
      <c r="K152" s="3" t="s">
        <v>250</v>
      </c>
      <c r="L152" s="3" t="s">
        <v>49</v>
      </c>
      <c r="M152">
        <v>1</v>
      </c>
    </row>
    <row r="153" spans="1:13" x14ac:dyDescent="0.25">
      <c r="A153" s="2">
        <v>46161</v>
      </c>
      <c r="B153" s="1" t="str">
        <f ca="1">IF(Información1[[#This Row],[Fecha]]='Ajuste de fechas'!$A$2,"Día actual","Día anterior")</f>
        <v>Día anterior</v>
      </c>
      <c r="C153" s="3" t="s">
        <v>73</v>
      </c>
      <c r="D153" t="s">
        <v>74</v>
      </c>
      <c r="E153" s="3" t="s">
        <v>111</v>
      </c>
      <c r="F153" s="3" t="s">
        <v>21</v>
      </c>
      <c r="G153" s="3" t="s">
        <v>112</v>
      </c>
      <c r="H153" s="3" t="s">
        <v>32</v>
      </c>
      <c r="I153" s="3" t="s">
        <v>7</v>
      </c>
      <c r="J153" s="3" t="s">
        <v>48</v>
      </c>
      <c r="K153" s="3" t="s">
        <v>75</v>
      </c>
      <c r="L153" s="3" t="s">
        <v>51</v>
      </c>
      <c r="M153">
        <v>1</v>
      </c>
    </row>
    <row r="154" spans="1:13" x14ac:dyDescent="0.25">
      <c r="A154" s="2">
        <v>46161</v>
      </c>
      <c r="B154" s="1" t="str">
        <f ca="1">IF(Información1[[#This Row],[Fecha]]='Ajuste de fechas'!$A$2,"Día actual","Día anterior")</f>
        <v>Día anterior</v>
      </c>
      <c r="C154" s="3" t="s">
        <v>73</v>
      </c>
      <c r="D154" t="s">
        <v>74</v>
      </c>
      <c r="E154" s="3" t="s">
        <v>121</v>
      </c>
      <c r="F154" s="3" t="s">
        <v>15</v>
      </c>
      <c r="G154" s="3" t="s">
        <v>122</v>
      </c>
      <c r="H154" s="3" t="s">
        <v>32</v>
      </c>
      <c r="I154" s="3" t="s">
        <v>7</v>
      </c>
      <c r="J154" s="3" t="s">
        <v>48</v>
      </c>
      <c r="K154" s="3" t="s">
        <v>75</v>
      </c>
      <c r="L154" s="3" t="s">
        <v>51</v>
      </c>
      <c r="M154">
        <v>1</v>
      </c>
    </row>
    <row r="155" spans="1:13" x14ac:dyDescent="0.25">
      <c r="A155" s="2">
        <v>46161</v>
      </c>
      <c r="B155" s="1" t="str">
        <f ca="1">IF(Información1[[#This Row],[Fecha]]='Ajuste de fechas'!$A$2,"Día actual","Día anterior")</f>
        <v>Día anterior</v>
      </c>
      <c r="C155" s="3" t="s">
        <v>73</v>
      </c>
      <c r="D155" t="s">
        <v>74</v>
      </c>
      <c r="E155" s="3" t="s">
        <v>251</v>
      </c>
      <c r="F155" s="3" t="s">
        <v>252</v>
      </c>
      <c r="G155" s="3" t="s">
        <v>253</v>
      </c>
      <c r="H155" s="3" t="s">
        <v>32</v>
      </c>
      <c r="I155" s="3" t="s">
        <v>7</v>
      </c>
      <c r="J155" s="3" t="s">
        <v>48</v>
      </c>
      <c r="K155" s="3" t="s">
        <v>75</v>
      </c>
      <c r="L155" s="3" t="s">
        <v>49</v>
      </c>
      <c r="M155">
        <v>1</v>
      </c>
    </row>
    <row r="156" spans="1:13" x14ac:dyDescent="0.25">
      <c r="A156" s="2">
        <v>46161</v>
      </c>
      <c r="B156" s="1" t="str">
        <f ca="1">IF(Información1[[#This Row],[Fecha]]='Ajuste de fechas'!$A$2,"Día actual","Día anterior")</f>
        <v>Día anterior</v>
      </c>
      <c r="C156" s="3" t="s">
        <v>73</v>
      </c>
      <c r="D156" t="s">
        <v>74</v>
      </c>
      <c r="E156" s="3" t="s">
        <v>254</v>
      </c>
      <c r="F156" s="3" t="s">
        <v>252</v>
      </c>
      <c r="G156" s="3" t="s">
        <v>253</v>
      </c>
      <c r="H156" s="3" t="s">
        <v>32</v>
      </c>
      <c r="I156" s="3" t="s">
        <v>7</v>
      </c>
      <c r="J156" s="3" t="s">
        <v>48</v>
      </c>
      <c r="K156" s="3" t="s">
        <v>75</v>
      </c>
      <c r="L156" s="3" t="s">
        <v>54</v>
      </c>
      <c r="M156">
        <v>1</v>
      </c>
    </row>
    <row r="157" spans="1:13" x14ac:dyDescent="0.25">
      <c r="A157" s="2">
        <v>46161</v>
      </c>
      <c r="B157" s="1" t="str">
        <f ca="1">IF(Información1[[#This Row],[Fecha]]='Ajuste de fechas'!$A$2,"Día actual","Día anterior")</f>
        <v>Día anterior</v>
      </c>
      <c r="C157" s="3" t="s">
        <v>73</v>
      </c>
      <c r="D157" t="s">
        <v>74</v>
      </c>
      <c r="E157" s="3" t="s">
        <v>255</v>
      </c>
      <c r="F157" s="3" t="s">
        <v>252</v>
      </c>
      <c r="G157" s="3" t="s">
        <v>253</v>
      </c>
      <c r="H157" s="3" t="s">
        <v>32</v>
      </c>
      <c r="I157" s="3" t="s">
        <v>7</v>
      </c>
      <c r="J157" s="3" t="s">
        <v>48</v>
      </c>
      <c r="K157" s="3" t="s">
        <v>75</v>
      </c>
      <c r="L157" s="3" t="s">
        <v>49</v>
      </c>
      <c r="M157">
        <v>1</v>
      </c>
    </row>
    <row r="158" spans="1:13" x14ac:dyDescent="0.25">
      <c r="A158" s="2">
        <v>46161</v>
      </c>
      <c r="B158" s="1" t="str">
        <f ca="1">IF(Información1[[#This Row],[Fecha]]='Ajuste de fechas'!$A$2,"Día actual","Día anterior")</f>
        <v>Día anterior</v>
      </c>
      <c r="C158" s="3" t="s">
        <v>73</v>
      </c>
      <c r="D158" t="s">
        <v>74</v>
      </c>
      <c r="E158" s="3" t="s">
        <v>114</v>
      </c>
      <c r="F158" s="3" t="s">
        <v>26</v>
      </c>
      <c r="G158" s="3" t="s">
        <v>115</v>
      </c>
      <c r="H158" s="3" t="s">
        <v>32</v>
      </c>
      <c r="I158" s="3" t="s">
        <v>7</v>
      </c>
      <c r="J158" s="3" t="s">
        <v>48</v>
      </c>
      <c r="K158" s="3" t="s">
        <v>75</v>
      </c>
      <c r="L158" s="3" t="s">
        <v>51</v>
      </c>
      <c r="M158">
        <v>1</v>
      </c>
    </row>
    <row r="159" spans="1:13" x14ac:dyDescent="0.25">
      <c r="A159" s="2">
        <v>46162</v>
      </c>
      <c r="B159" s="1" t="str">
        <f ca="1">IF(Información1[[#This Row],[Fecha]]='Ajuste de fechas'!$A$2,"Día actual","Día anterior")</f>
        <v>Día actual</v>
      </c>
      <c r="C159" s="3" t="s">
        <v>37</v>
      </c>
      <c r="D159" t="s">
        <v>38</v>
      </c>
      <c r="E159" s="3" t="s">
        <v>256</v>
      </c>
      <c r="F159" s="3" t="s">
        <v>21</v>
      </c>
      <c r="G159" s="3" t="s">
        <v>257</v>
      </c>
      <c r="H159" s="3" t="s">
        <v>11</v>
      </c>
      <c r="I159" s="3" t="s">
        <v>7</v>
      </c>
      <c r="J159" s="3" t="s">
        <v>48</v>
      </c>
      <c r="K159" s="3" t="s">
        <v>39</v>
      </c>
      <c r="L159" s="3" t="s">
        <v>51</v>
      </c>
      <c r="M159">
        <v>1</v>
      </c>
    </row>
    <row r="160" spans="1:13" x14ac:dyDescent="0.25">
      <c r="A160" s="2">
        <v>46162</v>
      </c>
      <c r="B160" s="1" t="str">
        <f ca="1">IF(Información1[[#This Row],[Fecha]]='Ajuste de fechas'!$A$2,"Día actual","Día anterior")</f>
        <v>Día actual</v>
      </c>
      <c r="C160" s="3" t="s">
        <v>34</v>
      </c>
      <c r="D160" t="s">
        <v>35</v>
      </c>
      <c r="E160" s="3" t="s">
        <v>258</v>
      </c>
      <c r="F160" s="3" t="s">
        <v>21</v>
      </c>
      <c r="G160" s="3" t="s">
        <v>257</v>
      </c>
      <c r="H160" s="3" t="s">
        <v>32</v>
      </c>
      <c r="I160" s="3" t="s">
        <v>7</v>
      </c>
      <c r="J160" s="3" t="s">
        <v>48</v>
      </c>
      <c r="K160" s="3" t="s">
        <v>27</v>
      </c>
      <c r="L160" s="3" t="s">
        <v>51</v>
      </c>
      <c r="M160">
        <v>1</v>
      </c>
    </row>
    <row r="161" spans="1:13" x14ac:dyDescent="0.25">
      <c r="A161" s="2">
        <v>46162</v>
      </c>
      <c r="B161" s="1" t="str">
        <f ca="1">IF(Información1[[#This Row],[Fecha]]='Ajuste de fechas'!$A$2,"Día actual","Día anterior")</f>
        <v>Día actual</v>
      </c>
      <c r="C161" s="3" t="s">
        <v>77</v>
      </c>
      <c r="D161" t="s">
        <v>78</v>
      </c>
      <c r="E161" s="3" t="s">
        <v>339</v>
      </c>
      <c r="F161" s="3" t="s">
        <v>340</v>
      </c>
      <c r="G161" s="3" t="s">
        <v>341</v>
      </c>
      <c r="H161" s="3" t="s">
        <v>11</v>
      </c>
      <c r="I161" s="3" t="s">
        <v>7</v>
      </c>
      <c r="J161" s="3" t="s">
        <v>24</v>
      </c>
      <c r="K161" s="3" t="s">
        <v>79</v>
      </c>
      <c r="L161" s="3" t="s">
        <v>49</v>
      </c>
      <c r="M161">
        <v>1</v>
      </c>
    </row>
    <row r="162" spans="1:13" x14ac:dyDescent="0.25">
      <c r="A162" s="2">
        <v>46162</v>
      </c>
      <c r="B162" s="1" t="str">
        <f ca="1">IF(Información1[[#This Row],[Fecha]]='Ajuste de fechas'!$A$2,"Día actual","Día anterior")</f>
        <v>Día actual</v>
      </c>
      <c r="C162" s="3" t="s">
        <v>80</v>
      </c>
      <c r="D162" t="s">
        <v>81</v>
      </c>
      <c r="E162" s="3" t="s">
        <v>342</v>
      </c>
      <c r="F162" s="3" t="s">
        <v>19</v>
      </c>
      <c r="G162" s="3" t="s">
        <v>343</v>
      </c>
      <c r="H162" s="3" t="s">
        <v>11</v>
      </c>
      <c r="I162" s="3" t="s">
        <v>7</v>
      </c>
      <c r="J162" s="3" t="s">
        <v>52</v>
      </c>
      <c r="K162" s="3" t="s">
        <v>83</v>
      </c>
      <c r="L162" s="3" t="s">
        <v>49</v>
      </c>
      <c r="M162">
        <v>1</v>
      </c>
    </row>
    <row r="163" spans="1:13" x14ac:dyDescent="0.25">
      <c r="A163" s="2">
        <v>46162</v>
      </c>
      <c r="B163" s="1" t="str">
        <f ca="1">IF(Información1[[#This Row],[Fecha]]='Ajuste de fechas'!$A$2,"Día actual","Día anterior")</f>
        <v>Día actual</v>
      </c>
      <c r="C163" s="3" t="s">
        <v>80</v>
      </c>
      <c r="D163" t="s">
        <v>81</v>
      </c>
      <c r="E163" s="3" t="s">
        <v>344</v>
      </c>
      <c r="F163" s="3" t="s">
        <v>19</v>
      </c>
      <c r="G163" s="3" t="s">
        <v>99</v>
      </c>
      <c r="H163" s="3" t="s">
        <v>11</v>
      </c>
      <c r="I163" s="3" t="s">
        <v>7</v>
      </c>
      <c r="J163" s="3" t="s">
        <v>52</v>
      </c>
      <c r="K163" s="3" t="s">
        <v>83</v>
      </c>
      <c r="L163" s="3" t="s">
        <v>49</v>
      </c>
      <c r="M163">
        <v>1</v>
      </c>
    </row>
    <row r="164" spans="1:13" x14ac:dyDescent="0.25">
      <c r="A164" s="2">
        <v>46162</v>
      </c>
      <c r="B164" s="1" t="str">
        <f ca="1">IF(Información1[[#This Row],[Fecha]]='Ajuste de fechas'!$A$2,"Día actual","Día anterior")</f>
        <v>Día actual</v>
      </c>
      <c r="C164" s="3" t="s">
        <v>80</v>
      </c>
      <c r="D164" t="s">
        <v>81</v>
      </c>
      <c r="E164" s="3" t="s">
        <v>259</v>
      </c>
      <c r="F164" s="3" t="s">
        <v>91</v>
      </c>
      <c r="G164" s="3" t="s">
        <v>260</v>
      </c>
      <c r="H164" s="3" t="s">
        <v>11</v>
      </c>
      <c r="I164" s="3" t="s">
        <v>7</v>
      </c>
      <c r="J164" s="3" t="s">
        <v>48</v>
      </c>
      <c r="K164" s="3" t="s">
        <v>83</v>
      </c>
      <c r="L164" s="3" t="s">
        <v>51</v>
      </c>
      <c r="M164">
        <v>1</v>
      </c>
    </row>
    <row r="165" spans="1:13" x14ac:dyDescent="0.25">
      <c r="A165" s="2">
        <v>46162</v>
      </c>
      <c r="B165" s="1" t="str">
        <f ca="1">IF(Información1[[#This Row],[Fecha]]='Ajuste de fechas'!$A$2,"Día actual","Día anterior")</f>
        <v>Día actual</v>
      </c>
      <c r="C165" s="3" t="s">
        <v>80</v>
      </c>
      <c r="D165" t="s">
        <v>81</v>
      </c>
      <c r="E165" s="3" t="s">
        <v>261</v>
      </c>
      <c r="F165" s="3" t="s">
        <v>252</v>
      </c>
      <c r="G165" s="3" t="s">
        <v>253</v>
      </c>
      <c r="H165" s="3" t="s">
        <v>11</v>
      </c>
      <c r="I165" s="3" t="s">
        <v>7</v>
      </c>
      <c r="J165" s="3" t="s">
        <v>48</v>
      </c>
      <c r="K165" s="3" t="s">
        <v>83</v>
      </c>
      <c r="L165" s="3" t="s">
        <v>51</v>
      </c>
      <c r="M165">
        <v>1</v>
      </c>
    </row>
    <row r="166" spans="1:13" x14ac:dyDescent="0.25">
      <c r="A166" s="2">
        <v>46162</v>
      </c>
      <c r="B166" s="1" t="str">
        <f ca="1">IF(Información1[[#This Row],[Fecha]]='Ajuste de fechas'!$A$2,"Día actual","Día anterior")</f>
        <v>Día actual</v>
      </c>
      <c r="C166" s="3" t="s">
        <v>80</v>
      </c>
      <c r="D166" t="s">
        <v>81</v>
      </c>
      <c r="E166" s="3" t="s">
        <v>262</v>
      </c>
      <c r="F166" s="3" t="s">
        <v>36</v>
      </c>
      <c r="G166" s="3" t="s">
        <v>263</v>
      </c>
      <c r="H166" s="3" t="s">
        <v>11</v>
      </c>
      <c r="I166" s="3" t="s">
        <v>7</v>
      </c>
      <c r="J166" s="3" t="s">
        <v>48</v>
      </c>
      <c r="K166" s="3" t="s">
        <v>83</v>
      </c>
      <c r="L166" s="3" t="s">
        <v>51</v>
      </c>
      <c r="M166">
        <v>1</v>
      </c>
    </row>
    <row r="167" spans="1:13" x14ac:dyDescent="0.25">
      <c r="A167" s="2">
        <v>46162</v>
      </c>
      <c r="B167" s="1" t="str">
        <f ca="1">IF(Información1[[#This Row],[Fecha]]='Ajuste de fechas'!$A$2,"Día actual","Día anterior")</f>
        <v>Día actual</v>
      </c>
      <c r="C167" s="3" t="s">
        <v>80</v>
      </c>
      <c r="D167" t="s">
        <v>81</v>
      </c>
      <c r="E167" s="3" t="s">
        <v>264</v>
      </c>
      <c r="F167" s="3" t="s">
        <v>62</v>
      </c>
      <c r="G167" s="3" t="s">
        <v>242</v>
      </c>
      <c r="H167" s="3" t="s">
        <v>11</v>
      </c>
      <c r="I167" s="3" t="s">
        <v>7</v>
      </c>
      <c r="J167" s="3" t="s">
        <v>48</v>
      </c>
      <c r="K167" s="3" t="s">
        <v>83</v>
      </c>
      <c r="L167" s="3" t="s">
        <v>51</v>
      </c>
      <c r="M167">
        <v>1</v>
      </c>
    </row>
    <row r="168" spans="1:13" x14ac:dyDescent="0.25">
      <c r="A168" s="2">
        <v>46162</v>
      </c>
      <c r="B168" s="1" t="str">
        <f ca="1">IF(Información1[[#This Row],[Fecha]]='Ajuste de fechas'!$A$2,"Día actual","Día anterior")</f>
        <v>Día actual</v>
      </c>
      <c r="C168" s="3" t="s">
        <v>80</v>
      </c>
      <c r="D168" t="s">
        <v>81</v>
      </c>
      <c r="E168" s="3" t="s">
        <v>265</v>
      </c>
      <c r="F168" s="3" t="s">
        <v>23</v>
      </c>
      <c r="G168" s="3" t="s">
        <v>139</v>
      </c>
      <c r="H168" s="3" t="s">
        <v>11</v>
      </c>
      <c r="I168" s="3" t="s">
        <v>7</v>
      </c>
      <c r="J168" s="3" t="s">
        <v>48</v>
      </c>
      <c r="K168" s="3" t="s">
        <v>83</v>
      </c>
      <c r="L168" s="3" t="s">
        <v>51</v>
      </c>
      <c r="M168">
        <v>1</v>
      </c>
    </row>
    <row r="169" spans="1:13" x14ac:dyDescent="0.25">
      <c r="A169" s="2">
        <v>46162</v>
      </c>
      <c r="B169" s="1" t="str">
        <f ca="1">IF(Información1[[#This Row],[Fecha]]='Ajuste de fechas'!$A$2,"Día actual","Día anterior")</f>
        <v>Día actual</v>
      </c>
      <c r="C169" s="3" t="s">
        <v>80</v>
      </c>
      <c r="D169" t="s">
        <v>81</v>
      </c>
      <c r="E169" s="3" t="s">
        <v>266</v>
      </c>
      <c r="F169" s="3" t="s">
        <v>21</v>
      </c>
      <c r="G169" s="3" t="s">
        <v>267</v>
      </c>
      <c r="H169" s="3" t="s">
        <v>11</v>
      </c>
      <c r="I169" s="3" t="s">
        <v>7</v>
      </c>
      <c r="J169" s="3" t="s">
        <v>48</v>
      </c>
      <c r="K169" s="3" t="s">
        <v>83</v>
      </c>
      <c r="L169" s="3" t="s">
        <v>51</v>
      </c>
      <c r="M169">
        <v>1</v>
      </c>
    </row>
    <row r="170" spans="1:13" x14ac:dyDescent="0.25">
      <c r="A170" s="2">
        <v>46162</v>
      </c>
      <c r="B170" s="1" t="str">
        <f ca="1">IF(Información1[[#This Row],[Fecha]]='Ajuste de fechas'!$A$2,"Día actual","Día anterior")</f>
        <v>Día actual</v>
      </c>
      <c r="C170" s="3" t="s">
        <v>80</v>
      </c>
      <c r="D170" t="s">
        <v>81</v>
      </c>
      <c r="E170" s="3" t="s">
        <v>268</v>
      </c>
      <c r="F170" s="3" t="s">
        <v>91</v>
      </c>
      <c r="G170" s="3" t="s">
        <v>269</v>
      </c>
      <c r="H170" s="3" t="s">
        <v>11</v>
      </c>
      <c r="I170" s="3" t="s">
        <v>7</v>
      </c>
      <c r="J170" s="3" t="s">
        <v>48</v>
      </c>
      <c r="K170" s="3" t="s">
        <v>83</v>
      </c>
      <c r="L170" s="3" t="s">
        <v>49</v>
      </c>
      <c r="M170">
        <v>1</v>
      </c>
    </row>
    <row r="171" spans="1:13" x14ac:dyDescent="0.25">
      <c r="A171" s="2">
        <v>46162</v>
      </c>
      <c r="B171" s="1" t="str">
        <f ca="1">IF(Información1[[#This Row],[Fecha]]='Ajuste de fechas'!$A$2,"Día actual","Día anterior")</f>
        <v>Día actual</v>
      </c>
      <c r="C171" s="3" t="s">
        <v>80</v>
      </c>
      <c r="D171" t="s">
        <v>81</v>
      </c>
      <c r="E171" s="3" t="s">
        <v>270</v>
      </c>
      <c r="F171" s="3" t="s">
        <v>26</v>
      </c>
      <c r="G171" s="3" t="s">
        <v>109</v>
      </c>
      <c r="H171" s="3" t="s">
        <v>11</v>
      </c>
      <c r="I171" s="3" t="s">
        <v>7</v>
      </c>
      <c r="J171" s="3" t="s">
        <v>48</v>
      </c>
      <c r="K171" s="3" t="s">
        <v>83</v>
      </c>
      <c r="L171" s="3" t="s">
        <v>51</v>
      </c>
      <c r="M171">
        <v>1</v>
      </c>
    </row>
    <row r="172" spans="1:13" x14ac:dyDescent="0.25">
      <c r="A172" s="2">
        <v>46162</v>
      </c>
      <c r="B172" s="1" t="str">
        <f ca="1">IF(Información1[[#This Row],[Fecha]]='Ajuste de fechas'!$A$2,"Día actual","Día anterior")</f>
        <v>Día actual</v>
      </c>
      <c r="C172" s="3" t="s">
        <v>80</v>
      </c>
      <c r="D172" t="s">
        <v>81</v>
      </c>
      <c r="E172" s="3" t="s">
        <v>271</v>
      </c>
      <c r="F172" s="3" t="s">
        <v>26</v>
      </c>
      <c r="G172" s="3" t="s">
        <v>109</v>
      </c>
      <c r="H172" s="3" t="s">
        <v>11</v>
      </c>
      <c r="I172" s="3" t="s">
        <v>7</v>
      </c>
      <c r="J172" s="3" t="s">
        <v>48</v>
      </c>
      <c r="K172" s="3" t="s">
        <v>83</v>
      </c>
      <c r="L172" s="3" t="s">
        <v>51</v>
      </c>
      <c r="M172">
        <v>1</v>
      </c>
    </row>
    <row r="173" spans="1:13" x14ac:dyDescent="0.25">
      <c r="A173" s="2">
        <v>46162</v>
      </c>
      <c r="B173" s="1" t="str">
        <f ca="1">IF(Información1[[#This Row],[Fecha]]='Ajuste de fechas'!$A$2,"Día actual","Día anterior")</f>
        <v>Día actual</v>
      </c>
      <c r="C173" s="3" t="s">
        <v>80</v>
      </c>
      <c r="D173" t="s">
        <v>81</v>
      </c>
      <c r="E173" s="3" t="s">
        <v>345</v>
      </c>
      <c r="F173" s="3" t="s">
        <v>320</v>
      </c>
      <c r="G173" s="3" t="s">
        <v>346</v>
      </c>
      <c r="H173" s="3" t="s">
        <v>11</v>
      </c>
      <c r="I173" s="3" t="s">
        <v>7</v>
      </c>
      <c r="J173" s="3" t="s">
        <v>24</v>
      </c>
      <c r="K173" s="3" t="s">
        <v>83</v>
      </c>
      <c r="L173" s="3" t="s">
        <v>49</v>
      </c>
      <c r="M173">
        <v>1</v>
      </c>
    </row>
    <row r="174" spans="1:13" x14ac:dyDescent="0.25">
      <c r="A174" s="2">
        <v>46162</v>
      </c>
      <c r="B174" s="1" t="str">
        <f ca="1">IF(Información1[[#This Row],[Fecha]]='Ajuste de fechas'!$A$2,"Día actual","Día anterior")</f>
        <v>Día actual</v>
      </c>
      <c r="C174" s="3" t="s">
        <v>77</v>
      </c>
      <c r="D174" t="s">
        <v>84</v>
      </c>
      <c r="E174" s="3" t="s">
        <v>347</v>
      </c>
      <c r="F174" s="3" t="s">
        <v>19</v>
      </c>
      <c r="G174" s="3" t="s">
        <v>348</v>
      </c>
      <c r="H174" s="3" t="s">
        <v>11</v>
      </c>
      <c r="I174" s="3" t="s">
        <v>7</v>
      </c>
      <c r="J174" s="3" t="s">
        <v>52</v>
      </c>
      <c r="K174" s="3" t="s">
        <v>79</v>
      </c>
      <c r="L174" s="3" t="s">
        <v>49</v>
      </c>
      <c r="M174">
        <v>1</v>
      </c>
    </row>
    <row r="175" spans="1:13" x14ac:dyDescent="0.25">
      <c r="A175" s="2">
        <v>46162</v>
      </c>
      <c r="B175" s="1" t="str">
        <f ca="1">IF(Información1[[#This Row],[Fecha]]='Ajuste de fechas'!$A$2,"Día actual","Día anterior")</f>
        <v>Día actual</v>
      </c>
      <c r="C175" s="3" t="s">
        <v>77</v>
      </c>
      <c r="D175" t="s">
        <v>84</v>
      </c>
      <c r="E175" s="3" t="s">
        <v>349</v>
      </c>
      <c r="F175" s="3" t="s">
        <v>19</v>
      </c>
      <c r="G175" s="3" t="s">
        <v>350</v>
      </c>
      <c r="H175" s="3" t="s">
        <v>11</v>
      </c>
      <c r="I175" s="3" t="s">
        <v>25</v>
      </c>
      <c r="J175" s="3" t="s">
        <v>52</v>
      </c>
      <c r="K175" s="3" t="s">
        <v>351</v>
      </c>
      <c r="L175" s="3" t="s">
        <v>50</v>
      </c>
      <c r="M175">
        <v>1</v>
      </c>
    </row>
    <row r="176" spans="1:13" x14ac:dyDescent="0.25">
      <c r="A176" s="2">
        <v>46162</v>
      </c>
      <c r="B176" s="1" t="str">
        <f ca="1">IF(Información1[[#This Row],[Fecha]]='Ajuste de fechas'!$A$2,"Día actual","Día anterior")</f>
        <v>Día actual</v>
      </c>
      <c r="C176" s="3" t="s">
        <v>77</v>
      </c>
      <c r="D176" t="s">
        <v>84</v>
      </c>
      <c r="E176" s="3" t="s">
        <v>352</v>
      </c>
      <c r="F176" s="3" t="s">
        <v>19</v>
      </c>
      <c r="G176" s="3" t="s">
        <v>353</v>
      </c>
      <c r="H176" s="3" t="s">
        <v>11</v>
      </c>
      <c r="I176" s="3" t="s">
        <v>25</v>
      </c>
      <c r="J176" s="3" t="s">
        <v>52</v>
      </c>
      <c r="K176" s="3" t="s">
        <v>351</v>
      </c>
      <c r="L176" s="3" t="s">
        <v>50</v>
      </c>
      <c r="M176">
        <v>1</v>
      </c>
    </row>
    <row r="177" spans="1:13" x14ac:dyDescent="0.25">
      <c r="A177" s="2">
        <v>46162</v>
      </c>
      <c r="B177" s="1" t="str">
        <f ca="1">IF(Información1[[#This Row],[Fecha]]='Ajuste de fechas'!$A$2,"Día actual","Día anterior")</f>
        <v>Día actual</v>
      </c>
      <c r="C177" s="3" t="s">
        <v>77</v>
      </c>
      <c r="D177" t="s">
        <v>84</v>
      </c>
      <c r="E177" s="3" t="s">
        <v>354</v>
      </c>
      <c r="F177" s="3" t="s">
        <v>19</v>
      </c>
      <c r="G177" s="3" t="s">
        <v>355</v>
      </c>
      <c r="H177" s="3" t="s">
        <v>11</v>
      </c>
      <c r="I177" s="3" t="s">
        <v>25</v>
      </c>
      <c r="J177" s="3" t="s">
        <v>52</v>
      </c>
      <c r="K177" s="3" t="s">
        <v>351</v>
      </c>
      <c r="L177" s="3" t="s">
        <v>50</v>
      </c>
      <c r="M177">
        <v>1</v>
      </c>
    </row>
    <row r="178" spans="1:13" x14ac:dyDescent="0.25">
      <c r="A178" s="2">
        <v>46162</v>
      </c>
      <c r="B178" s="1" t="str">
        <f ca="1">IF(Información1[[#This Row],[Fecha]]='Ajuste de fechas'!$A$2,"Día actual","Día anterior")</f>
        <v>Día actual</v>
      </c>
      <c r="C178" s="3" t="s">
        <v>77</v>
      </c>
      <c r="D178" t="s">
        <v>84</v>
      </c>
      <c r="E178" s="3" t="s">
        <v>354</v>
      </c>
      <c r="F178" s="3" t="s">
        <v>63</v>
      </c>
      <c r="G178" s="3" t="s">
        <v>355</v>
      </c>
      <c r="H178" s="3" t="s">
        <v>11</v>
      </c>
      <c r="I178" s="3" t="s">
        <v>25</v>
      </c>
      <c r="J178" s="3" t="s">
        <v>48</v>
      </c>
      <c r="K178" s="3" t="s">
        <v>351</v>
      </c>
      <c r="L178" s="3" t="s">
        <v>50</v>
      </c>
      <c r="M178">
        <v>1</v>
      </c>
    </row>
    <row r="179" spans="1:13" x14ac:dyDescent="0.25">
      <c r="A179" s="2">
        <v>46162</v>
      </c>
      <c r="B179" s="1" t="str">
        <f ca="1">IF(Información1[[#This Row],[Fecha]]='Ajuste de fechas'!$A$2,"Día actual","Día anterior")</f>
        <v>Día actual</v>
      </c>
      <c r="C179" s="3" t="s">
        <v>77</v>
      </c>
      <c r="D179" t="s">
        <v>84</v>
      </c>
      <c r="E179" s="3" t="s">
        <v>356</v>
      </c>
      <c r="F179" s="3" t="s">
        <v>22</v>
      </c>
      <c r="G179" s="3" t="s">
        <v>357</v>
      </c>
      <c r="H179" s="3" t="s">
        <v>11</v>
      </c>
      <c r="I179" s="3" t="s">
        <v>7</v>
      </c>
      <c r="J179" s="3" t="s">
        <v>53</v>
      </c>
      <c r="K179" s="3" t="s">
        <v>351</v>
      </c>
      <c r="L179" s="3" t="s">
        <v>50</v>
      </c>
      <c r="M179">
        <v>1</v>
      </c>
    </row>
    <row r="180" spans="1:13" x14ac:dyDescent="0.25">
      <c r="A180" s="2">
        <v>46162</v>
      </c>
      <c r="B180" s="1" t="str">
        <f ca="1">IF(Información1[[#This Row],[Fecha]]='Ajuste de fechas'!$A$2,"Día actual","Día anterior")</f>
        <v>Día actual</v>
      </c>
      <c r="C180" s="3" t="s">
        <v>77</v>
      </c>
      <c r="D180" t="s">
        <v>84</v>
      </c>
      <c r="E180" s="3" t="s">
        <v>358</v>
      </c>
      <c r="F180" s="3" t="s">
        <v>22</v>
      </c>
      <c r="G180" s="3" t="s">
        <v>357</v>
      </c>
      <c r="H180" s="3" t="s">
        <v>11</v>
      </c>
      <c r="I180" s="3" t="s">
        <v>7</v>
      </c>
      <c r="J180" s="3" t="s">
        <v>53</v>
      </c>
      <c r="K180" s="3" t="s">
        <v>79</v>
      </c>
      <c r="L180" s="3" t="s">
        <v>49</v>
      </c>
      <c r="M180">
        <v>1</v>
      </c>
    </row>
    <row r="181" spans="1:13" x14ac:dyDescent="0.25">
      <c r="A181" s="2">
        <v>46162</v>
      </c>
      <c r="B181" s="1" t="str">
        <f ca="1">IF(Información1[[#This Row],[Fecha]]='Ajuste de fechas'!$A$2,"Día actual","Día anterior")</f>
        <v>Día actual</v>
      </c>
      <c r="C181" s="3" t="s">
        <v>77</v>
      </c>
      <c r="D181" t="s">
        <v>84</v>
      </c>
      <c r="E181" s="3" t="s">
        <v>359</v>
      </c>
      <c r="F181" s="3" t="s">
        <v>22</v>
      </c>
      <c r="G181" s="3" t="s">
        <v>360</v>
      </c>
      <c r="H181" s="3" t="s">
        <v>11</v>
      </c>
      <c r="I181" s="3" t="s">
        <v>7</v>
      </c>
      <c r="J181" s="3" t="s">
        <v>53</v>
      </c>
      <c r="K181" s="3" t="s">
        <v>79</v>
      </c>
      <c r="L181" s="3" t="s">
        <v>49</v>
      </c>
      <c r="M181">
        <v>1</v>
      </c>
    </row>
    <row r="182" spans="1:13" x14ac:dyDescent="0.25">
      <c r="A182" s="2">
        <v>46162</v>
      </c>
      <c r="B182" s="1" t="str">
        <f ca="1">IF(Información1[[#This Row],[Fecha]]='Ajuste de fechas'!$A$2,"Día actual","Día anterior")</f>
        <v>Día actual</v>
      </c>
      <c r="C182" s="3" t="s">
        <v>77</v>
      </c>
      <c r="D182" t="s">
        <v>84</v>
      </c>
      <c r="E182" s="3" t="s">
        <v>361</v>
      </c>
      <c r="F182" s="3" t="s">
        <v>19</v>
      </c>
      <c r="G182" s="3" t="s">
        <v>362</v>
      </c>
      <c r="H182" s="3" t="s">
        <v>11</v>
      </c>
      <c r="I182" s="3" t="s">
        <v>25</v>
      </c>
      <c r="J182" s="3" t="s">
        <v>52</v>
      </c>
      <c r="K182" s="3" t="s">
        <v>351</v>
      </c>
      <c r="L182" s="3" t="s">
        <v>50</v>
      </c>
      <c r="M182">
        <v>1</v>
      </c>
    </row>
    <row r="183" spans="1:13" x14ac:dyDescent="0.25">
      <c r="A183" s="2">
        <v>46162</v>
      </c>
      <c r="B183" s="1" t="str">
        <f ca="1">IF(Información1[[#This Row],[Fecha]]='Ajuste de fechas'!$A$2,"Día actual","Día anterior")</f>
        <v>Día actual</v>
      </c>
      <c r="C183" s="3" t="s">
        <v>77</v>
      </c>
      <c r="D183" t="s">
        <v>84</v>
      </c>
      <c r="E183" s="3" t="s">
        <v>363</v>
      </c>
      <c r="F183" s="3" t="s">
        <v>19</v>
      </c>
      <c r="G183" s="3" t="s">
        <v>364</v>
      </c>
      <c r="H183" s="3" t="s">
        <v>11</v>
      </c>
      <c r="I183" s="3" t="s">
        <v>7</v>
      </c>
      <c r="J183" s="3" t="s">
        <v>52</v>
      </c>
      <c r="K183" s="3" t="s">
        <v>79</v>
      </c>
      <c r="L183" s="3" t="s">
        <v>49</v>
      </c>
      <c r="M183">
        <v>1</v>
      </c>
    </row>
    <row r="184" spans="1:13" x14ac:dyDescent="0.25">
      <c r="A184" s="2">
        <v>46162</v>
      </c>
      <c r="B184" s="1" t="str">
        <f ca="1">IF(Información1[[#This Row],[Fecha]]='Ajuste de fechas'!$A$2,"Día actual","Día anterior")</f>
        <v>Día actual</v>
      </c>
      <c r="C184" s="3" t="s">
        <v>77</v>
      </c>
      <c r="D184" t="s">
        <v>84</v>
      </c>
      <c r="E184" s="3" t="s">
        <v>272</v>
      </c>
      <c r="F184" s="3" t="s">
        <v>62</v>
      </c>
      <c r="G184" s="3" t="s">
        <v>242</v>
      </c>
      <c r="H184" s="3" t="s">
        <v>11</v>
      </c>
      <c r="I184" s="3" t="s">
        <v>7</v>
      </c>
      <c r="J184" s="3" t="s">
        <v>48</v>
      </c>
      <c r="K184" s="3" t="s">
        <v>75</v>
      </c>
      <c r="L184" s="3" t="s">
        <v>51</v>
      </c>
      <c r="M184">
        <v>1</v>
      </c>
    </row>
    <row r="185" spans="1:13" x14ac:dyDescent="0.25">
      <c r="A185" s="2">
        <v>46162</v>
      </c>
      <c r="B185" s="1" t="str">
        <f ca="1">IF(Información1[[#This Row],[Fecha]]='Ajuste de fechas'!$A$2,"Día actual","Día anterior")</f>
        <v>Día actual</v>
      </c>
      <c r="C185" s="3" t="s">
        <v>77</v>
      </c>
      <c r="D185" t="s">
        <v>84</v>
      </c>
      <c r="E185" s="3" t="s">
        <v>273</v>
      </c>
      <c r="F185" s="3" t="s">
        <v>252</v>
      </c>
      <c r="G185" s="3" t="s">
        <v>253</v>
      </c>
      <c r="H185" s="3" t="s">
        <v>11</v>
      </c>
      <c r="I185" s="3" t="s">
        <v>7</v>
      </c>
      <c r="J185" s="3" t="s">
        <v>48</v>
      </c>
      <c r="K185" s="3" t="s">
        <v>75</v>
      </c>
      <c r="L185" s="3" t="s">
        <v>51</v>
      </c>
      <c r="M185">
        <v>1</v>
      </c>
    </row>
    <row r="186" spans="1:13" x14ac:dyDescent="0.25">
      <c r="A186" s="2">
        <v>46162</v>
      </c>
      <c r="B186" s="1" t="str">
        <f ca="1">IF(Información1[[#This Row],[Fecha]]='Ajuste de fechas'!$A$2,"Día actual","Día anterior")</f>
        <v>Día actual</v>
      </c>
      <c r="C186" s="3" t="s">
        <v>77</v>
      </c>
      <c r="D186" t="s">
        <v>84</v>
      </c>
      <c r="E186" s="3" t="s">
        <v>265</v>
      </c>
      <c r="F186" s="3" t="s">
        <v>23</v>
      </c>
      <c r="G186" s="3" t="s">
        <v>139</v>
      </c>
      <c r="H186" s="3" t="s">
        <v>11</v>
      </c>
      <c r="I186" s="3" t="s">
        <v>7</v>
      </c>
      <c r="J186" s="3" t="s">
        <v>48</v>
      </c>
      <c r="K186" s="3" t="s">
        <v>75</v>
      </c>
      <c r="L186" s="3" t="s">
        <v>51</v>
      </c>
      <c r="M186">
        <v>1</v>
      </c>
    </row>
    <row r="187" spans="1:13" x14ac:dyDescent="0.25">
      <c r="A187" s="2">
        <v>46162</v>
      </c>
      <c r="B187" s="1" t="str">
        <f ca="1">IF(Información1[[#This Row],[Fecha]]='Ajuste de fechas'!$A$2,"Día actual","Día anterior")</f>
        <v>Día actual</v>
      </c>
      <c r="C187" s="3" t="s">
        <v>77</v>
      </c>
      <c r="D187" t="s">
        <v>84</v>
      </c>
      <c r="E187" s="3" t="s">
        <v>274</v>
      </c>
      <c r="F187" s="3" t="s">
        <v>91</v>
      </c>
      <c r="G187" s="3" t="s">
        <v>269</v>
      </c>
      <c r="H187" s="3" t="s">
        <v>11</v>
      </c>
      <c r="I187" s="3" t="s">
        <v>7</v>
      </c>
      <c r="J187" s="3" t="s">
        <v>48</v>
      </c>
      <c r="K187" s="3" t="s">
        <v>75</v>
      </c>
      <c r="L187" s="3" t="s">
        <v>51</v>
      </c>
      <c r="M187">
        <v>1</v>
      </c>
    </row>
    <row r="188" spans="1:13" x14ac:dyDescent="0.25">
      <c r="A188" s="2">
        <v>46162</v>
      </c>
      <c r="B188" s="1" t="str">
        <f ca="1">IF(Información1[[#This Row],[Fecha]]='Ajuste de fechas'!$A$2,"Día actual","Día anterior")</f>
        <v>Día actual</v>
      </c>
      <c r="C188" s="3" t="s">
        <v>77</v>
      </c>
      <c r="D188" t="s">
        <v>84</v>
      </c>
      <c r="E188" s="3" t="s">
        <v>174</v>
      </c>
      <c r="F188" s="3" t="s">
        <v>23</v>
      </c>
      <c r="G188" s="3" t="s">
        <v>175</v>
      </c>
      <c r="H188" s="3" t="s">
        <v>11</v>
      </c>
      <c r="I188" s="3" t="s">
        <v>7</v>
      </c>
      <c r="J188" s="3" t="s">
        <v>48</v>
      </c>
      <c r="K188" s="3" t="s">
        <v>75</v>
      </c>
      <c r="L188" s="3" t="s">
        <v>51</v>
      </c>
      <c r="M188">
        <v>1</v>
      </c>
    </row>
    <row r="189" spans="1:13" x14ac:dyDescent="0.25">
      <c r="A189" s="2">
        <v>46162</v>
      </c>
      <c r="B189" s="1" t="str">
        <f ca="1">IF(Información1[[#This Row],[Fecha]]='Ajuste de fechas'!$A$2,"Día actual","Día anterior")</f>
        <v>Día actual</v>
      </c>
      <c r="C189" s="3" t="s">
        <v>77</v>
      </c>
      <c r="D189" t="s">
        <v>84</v>
      </c>
      <c r="E189" s="3" t="s">
        <v>275</v>
      </c>
      <c r="F189" s="3" t="s">
        <v>26</v>
      </c>
      <c r="G189" s="3" t="s">
        <v>109</v>
      </c>
      <c r="H189" s="3" t="s">
        <v>11</v>
      </c>
      <c r="I189" s="3" t="s">
        <v>7</v>
      </c>
      <c r="J189" s="3" t="s">
        <v>48</v>
      </c>
      <c r="K189" s="3" t="s">
        <v>75</v>
      </c>
      <c r="L189" s="3" t="s">
        <v>51</v>
      </c>
      <c r="M189">
        <v>1</v>
      </c>
    </row>
    <row r="190" spans="1:13" x14ac:dyDescent="0.25">
      <c r="A190" s="2">
        <v>46162</v>
      </c>
      <c r="B190" s="1" t="str">
        <f ca="1">IF(Información1[[#This Row],[Fecha]]='Ajuste de fechas'!$A$2,"Día actual","Día anterior")</f>
        <v>Día actual</v>
      </c>
      <c r="C190" s="3" t="s">
        <v>77</v>
      </c>
      <c r="D190" t="s">
        <v>84</v>
      </c>
      <c r="E190" s="3" t="s">
        <v>276</v>
      </c>
      <c r="F190" s="3" t="s">
        <v>26</v>
      </c>
      <c r="G190" s="3" t="s">
        <v>109</v>
      </c>
      <c r="H190" s="3" t="s">
        <v>11</v>
      </c>
      <c r="I190" s="3" t="s">
        <v>7</v>
      </c>
      <c r="J190" s="3" t="s">
        <v>48</v>
      </c>
      <c r="K190" s="3" t="s">
        <v>75</v>
      </c>
      <c r="L190" s="3" t="s">
        <v>51</v>
      </c>
      <c r="M190">
        <v>1</v>
      </c>
    </row>
    <row r="191" spans="1:13" x14ac:dyDescent="0.25">
      <c r="A191" s="2">
        <v>46162</v>
      </c>
      <c r="B191" s="1" t="str">
        <f ca="1">IF(Información1[[#This Row],[Fecha]]='Ajuste de fechas'!$A$2,"Día actual","Día anterior")</f>
        <v>Día actual</v>
      </c>
      <c r="C191" s="3" t="s">
        <v>8</v>
      </c>
      <c r="D191" t="s">
        <v>10</v>
      </c>
      <c r="E191" s="3" t="s">
        <v>365</v>
      </c>
      <c r="F191" s="3" t="s">
        <v>6</v>
      </c>
      <c r="G191" s="3" t="s">
        <v>61</v>
      </c>
      <c r="H191" s="3" t="s">
        <v>11</v>
      </c>
      <c r="I191" s="3" t="s">
        <v>12</v>
      </c>
      <c r="J191" s="3" t="s">
        <v>48</v>
      </c>
      <c r="K191" s="3" t="s">
        <v>9</v>
      </c>
      <c r="L191" s="3" t="s">
        <v>50</v>
      </c>
      <c r="M191">
        <v>1</v>
      </c>
    </row>
    <row r="192" spans="1:13" x14ac:dyDescent="0.25">
      <c r="A192" s="2">
        <v>46162</v>
      </c>
      <c r="B192" s="1" t="str">
        <f ca="1">IF(Información1[[#This Row],[Fecha]]='Ajuste de fechas'!$A$2,"Día actual","Día anterior")</f>
        <v>Día actual</v>
      </c>
      <c r="C192" s="3" t="s">
        <v>8</v>
      </c>
      <c r="D192" t="s">
        <v>10</v>
      </c>
      <c r="E192" s="3" t="s">
        <v>20</v>
      </c>
      <c r="F192" s="3" t="s">
        <v>19</v>
      </c>
      <c r="G192" s="3" t="s">
        <v>40</v>
      </c>
      <c r="H192" s="3" t="s">
        <v>11</v>
      </c>
      <c r="I192" s="3" t="s">
        <v>12</v>
      </c>
      <c r="J192" s="3" t="s">
        <v>52</v>
      </c>
      <c r="K192" s="3" t="s">
        <v>14</v>
      </c>
      <c r="L192" s="3" t="s">
        <v>50</v>
      </c>
      <c r="M192">
        <v>1</v>
      </c>
    </row>
    <row r="193" spans="1:13" x14ac:dyDescent="0.25">
      <c r="A193" s="2">
        <v>46162</v>
      </c>
      <c r="B193" s="1" t="str">
        <f ca="1">IF(Información1[[#This Row],[Fecha]]='Ajuste de fechas'!$A$2,"Día actual","Día anterior")</f>
        <v>Día actual</v>
      </c>
      <c r="C193" s="3" t="s">
        <v>8</v>
      </c>
      <c r="D193" t="s">
        <v>10</v>
      </c>
      <c r="E193" s="3" t="s">
        <v>18</v>
      </c>
      <c r="F193" s="3" t="s">
        <v>19</v>
      </c>
      <c r="G193" s="3" t="s">
        <v>40</v>
      </c>
      <c r="H193" s="3" t="s">
        <v>11</v>
      </c>
      <c r="I193" s="3" t="s">
        <v>12</v>
      </c>
      <c r="J193" s="3" t="s">
        <v>52</v>
      </c>
      <c r="K193" s="3" t="s">
        <v>14</v>
      </c>
      <c r="L193" s="3" t="s">
        <v>50</v>
      </c>
      <c r="M193">
        <v>1</v>
      </c>
    </row>
    <row r="194" spans="1:13" x14ac:dyDescent="0.25">
      <c r="A194" s="2">
        <v>46162</v>
      </c>
      <c r="B194" s="1" t="str">
        <f ca="1">IF(Información1[[#This Row],[Fecha]]='Ajuste de fechas'!$A$2,"Día actual","Día anterior")</f>
        <v>Día actual</v>
      </c>
      <c r="C194" s="3" t="s">
        <v>8</v>
      </c>
      <c r="D194" t="s">
        <v>10</v>
      </c>
      <c r="E194" s="3" t="s">
        <v>366</v>
      </c>
      <c r="F194" s="3" t="s">
        <v>320</v>
      </c>
      <c r="G194" s="3" t="s">
        <v>40</v>
      </c>
      <c r="H194" s="3" t="s">
        <v>11</v>
      </c>
      <c r="I194" s="3" t="s">
        <v>12</v>
      </c>
      <c r="J194" s="3" t="s">
        <v>24</v>
      </c>
      <c r="K194" s="3" t="s">
        <v>14</v>
      </c>
      <c r="L194" s="3" t="s">
        <v>50</v>
      </c>
      <c r="M194">
        <v>1</v>
      </c>
    </row>
    <row r="195" spans="1:13" x14ac:dyDescent="0.25">
      <c r="A195" s="2">
        <v>46162</v>
      </c>
      <c r="B195" s="1" t="str">
        <f ca="1">IF(Información1[[#This Row],[Fecha]]='Ajuste de fechas'!$A$2,"Día actual","Día anterior")</f>
        <v>Día actual</v>
      </c>
      <c r="C195" s="3" t="s">
        <v>8</v>
      </c>
      <c r="D195" t="s">
        <v>10</v>
      </c>
      <c r="E195" s="3" t="s">
        <v>233</v>
      </c>
      <c r="F195" s="3" t="s">
        <v>21</v>
      </c>
      <c r="G195" s="3" t="s">
        <v>40</v>
      </c>
      <c r="H195" s="3" t="s">
        <v>11</v>
      </c>
      <c r="I195" s="3" t="s">
        <v>12</v>
      </c>
      <c r="J195" s="3" t="s">
        <v>48</v>
      </c>
      <c r="K195" s="3" t="s">
        <v>14</v>
      </c>
      <c r="L195" s="3" t="s">
        <v>50</v>
      </c>
      <c r="M195">
        <v>1</v>
      </c>
    </row>
    <row r="196" spans="1:13" x14ac:dyDescent="0.25">
      <c r="A196" s="2">
        <v>46162</v>
      </c>
      <c r="B196" s="1" t="str">
        <f ca="1">IF(Información1[[#This Row],[Fecha]]='Ajuste de fechas'!$A$2,"Día actual","Día anterior")</f>
        <v>Día actual</v>
      </c>
      <c r="C196" s="3" t="s">
        <v>8</v>
      </c>
      <c r="D196" t="s">
        <v>10</v>
      </c>
      <c r="E196" s="3" t="s">
        <v>13</v>
      </c>
      <c r="F196" s="3" t="s">
        <v>15</v>
      </c>
      <c r="G196" s="3" t="s">
        <v>40</v>
      </c>
      <c r="H196" s="3" t="s">
        <v>11</v>
      </c>
      <c r="I196" s="3" t="s">
        <v>12</v>
      </c>
      <c r="J196" s="3" t="s">
        <v>48</v>
      </c>
      <c r="K196" s="3" t="s">
        <v>14</v>
      </c>
      <c r="L196" s="3" t="s">
        <v>50</v>
      </c>
      <c r="M196">
        <v>1</v>
      </c>
    </row>
    <row r="197" spans="1:13" x14ac:dyDescent="0.25">
      <c r="A197" s="2">
        <v>46162</v>
      </c>
      <c r="B197" s="1" t="str">
        <f ca="1">IF(Información1[[#This Row],[Fecha]]='Ajuste de fechas'!$A$2,"Día actual","Día anterior")</f>
        <v>Día actual</v>
      </c>
      <c r="C197" s="3" t="s">
        <v>8</v>
      </c>
      <c r="D197" t="s">
        <v>10</v>
      </c>
      <c r="E197" s="3" t="s">
        <v>16</v>
      </c>
      <c r="F197" s="3" t="s">
        <v>17</v>
      </c>
      <c r="G197" s="3" t="s">
        <v>40</v>
      </c>
      <c r="H197" s="3" t="s">
        <v>11</v>
      </c>
      <c r="I197" s="3" t="s">
        <v>12</v>
      </c>
      <c r="J197" s="3" t="s">
        <v>48</v>
      </c>
      <c r="K197" s="3" t="s">
        <v>14</v>
      </c>
      <c r="L197" s="3" t="s">
        <v>50</v>
      </c>
      <c r="M197">
        <v>1</v>
      </c>
    </row>
    <row r="198" spans="1:13" x14ac:dyDescent="0.25">
      <c r="A198" s="2">
        <v>46162</v>
      </c>
      <c r="B198" s="1" t="str">
        <f ca="1">IF(Información1[[#This Row],[Fecha]]='Ajuste de fechas'!$A$2,"Día actual","Día anterior")</f>
        <v>Día actual</v>
      </c>
      <c r="C198" s="3" t="s">
        <v>8</v>
      </c>
      <c r="D198" t="s">
        <v>10</v>
      </c>
      <c r="E198" s="3" t="s">
        <v>234</v>
      </c>
      <c r="F198" s="3" t="s">
        <v>6</v>
      </c>
      <c r="G198" s="3" t="s">
        <v>40</v>
      </c>
      <c r="H198" s="3" t="s">
        <v>11</v>
      </c>
      <c r="I198" s="3" t="s">
        <v>12</v>
      </c>
      <c r="J198" s="3" t="s">
        <v>48</v>
      </c>
      <c r="K198" s="3" t="s">
        <v>14</v>
      </c>
      <c r="L198" s="3" t="s">
        <v>50</v>
      </c>
      <c r="M198">
        <v>1</v>
      </c>
    </row>
    <row r="199" spans="1:13" x14ac:dyDescent="0.25">
      <c r="A199" s="2">
        <v>46162</v>
      </c>
      <c r="B199" s="1" t="str">
        <f ca="1">IF(Información1[[#This Row],[Fecha]]='Ajuste de fechas'!$A$2,"Día actual","Día anterior")</f>
        <v>Día actual</v>
      </c>
      <c r="C199" s="3" t="s">
        <v>8</v>
      </c>
      <c r="D199" t="s">
        <v>10</v>
      </c>
      <c r="E199" s="3" t="s">
        <v>367</v>
      </c>
      <c r="F199" s="3" t="s">
        <v>19</v>
      </c>
      <c r="G199" s="3" t="s">
        <v>33</v>
      </c>
      <c r="H199" s="3" t="s">
        <v>11</v>
      </c>
      <c r="I199" s="3" t="s">
        <v>7</v>
      </c>
      <c r="J199" s="3" t="s">
        <v>52</v>
      </c>
      <c r="K199" s="3" t="s">
        <v>14</v>
      </c>
      <c r="L199" s="3" t="s">
        <v>49</v>
      </c>
      <c r="M199">
        <v>1</v>
      </c>
    </row>
    <row r="200" spans="1:13" x14ac:dyDescent="0.25">
      <c r="A200" s="2">
        <v>46162</v>
      </c>
      <c r="B200" s="1" t="str">
        <f ca="1">IF(Información1[[#This Row],[Fecha]]='Ajuste de fechas'!$A$2,"Día actual","Día anterior")</f>
        <v>Día actual</v>
      </c>
      <c r="C200" s="3" t="s">
        <v>28</v>
      </c>
      <c r="D200" t="s">
        <v>31</v>
      </c>
      <c r="E200" s="3" t="s">
        <v>277</v>
      </c>
      <c r="F200" s="3" t="s">
        <v>36</v>
      </c>
      <c r="G200" s="3" t="s">
        <v>263</v>
      </c>
      <c r="H200" s="3" t="s">
        <v>11</v>
      </c>
      <c r="I200" s="3" t="s">
        <v>7</v>
      </c>
      <c r="J200" s="3" t="s">
        <v>48</v>
      </c>
      <c r="K200" s="3" t="s">
        <v>29</v>
      </c>
      <c r="L200" s="3" t="s">
        <v>49</v>
      </c>
      <c r="M200">
        <v>1</v>
      </c>
    </row>
    <row r="201" spans="1:13" x14ac:dyDescent="0.25">
      <c r="A201" s="2">
        <v>46162</v>
      </c>
      <c r="B201" s="1" t="str">
        <f ca="1">IF(Información1[[#This Row],[Fecha]]='Ajuste de fechas'!$A$2,"Día actual","Día anterior")</f>
        <v>Día actual</v>
      </c>
      <c r="C201" s="3" t="s">
        <v>28</v>
      </c>
      <c r="D201" t="s">
        <v>31</v>
      </c>
      <c r="E201" s="3" t="s">
        <v>368</v>
      </c>
      <c r="F201" s="3" t="s">
        <v>24</v>
      </c>
      <c r="G201" s="3" t="s">
        <v>199</v>
      </c>
      <c r="H201" s="3" t="s">
        <v>11</v>
      </c>
      <c r="I201" s="3" t="s">
        <v>7</v>
      </c>
      <c r="J201" s="3" t="s">
        <v>24</v>
      </c>
      <c r="K201" s="3" t="s">
        <v>29</v>
      </c>
      <c r="L201" s="3" t="s">
        <v>49</v>
      </c>
      <c r="M201">
        <v>1</v>
      </c>
    </row>
    <row r="202" spans="1:13" x14ac:dyDescent="0.25">
      <c r="A202" s="2">
        <v>46162</v>
      </c>
      <c r="B202" s="1" t="str">
        <f ca="1">IF(Información1[[#This Row],[Fecha]]='Ajuste de fechas'!$A$2,"Día actual","Día anterior")</f>
        <v>Día actual</v>
      </c>
      <c r="C202" s="3" t="s">
        <v>28</v>
      </c>
      <c r="D202" t="s">
        <v>31</v>
      </c>
      <c r="E202" s="3" t="s">
        <v>278</v>
      </c>
      <c r="F202" s="3" t="s">
        <v>23</v>
      </c>
      <c r="G202" s="3" t="s">
        <v>139</v>
      </c>
      <c r="H202" s="3" t="s">
        <v>11</v>
      </c>
      <c r="I202" s="3" t="s">
        <v>7</v>
      </c>
      <c r="J202" s="3" t="s">
        <v>48</v>
      </c>
      <c r="K202" s="3" t="s">
        <v>29</v>
      </c>
      <c r="L202" s="3" t="s">
        <v>49</v>
      </c>
      <c r="M202">
        <v>1</v>
      </c>
    </row>
    <row r="203" spans="1:13" x14ac:dyDescent="0.25">
      <c r="A203" s="2">
        <v>46162</v>
      </c>
      <c r="B203" s="1" t="str">
        <f ca="1">IF(Información1[[#This Row],[Fecha]]='Ajuste de fechas'!$A$2,"Día actual","Día anterior")</f>
        <v>Día actual</v>
      </c>
      <c r="C203" s="3" t="s">
        <v>28</v>
      </c>
      <c r="D203" t="s">
        <v>31</v>
      </c>
      <c r="E203" s="3" t="s">
        <v>369</v>
      </c>
      <c r="F203" s="3" t="s">
        <v>26</v>
      </c>
      <c r="G203" s="3" t="s">
        <v>370</v>
      </c>
      <c r="H203" s="3" t="s">
        <v>11</v>
      </c>
      <c r="I203" s="3" t="s">
        <v>7</v>
      </c>
      <c r="J203" s="3" t="s">
        <v>48</v>
      </c>
      <c r="K203" s="3" t="s">
        <v>29</v>
      </c>
      <c r="L203" s="3" t="s">
        <v>49</v>
      </c>
      <c r="M203">
        <v>1</v>
      </c>
    </row>
    <row r="204" spans="1:13" x14ac:dyDescent="0.25">
      <c r="A204" s="2">
        <v>46162</v>
      </c>
      <c r="B204" s="1" t="str">
        <f ca="1">IF(Información1[[#This Row],[Fecha]]='Ajuste de fechas'!$A$2,"Día actual","Día anterior")</f>
        <v>Día actual</v>
      </c>
      <c r="C204" s="3" t="s">
        <v>28</v>
      </c>
      <c r="D204" t="s">
        <v>30</v>
      </c>
      <c r="E204" s="3" t="s">
        <v>371</v>
      </c>
      <c r="F204" s="3" t="s">
        <v>26</v>
      </c>
      <c r="G204" s="3" t="s">
        <v>196</v>
      </c>
      <c r="H204" s="3" t="s">
        <v>11</v>
      </c>
      <c r="I204" s="3" t="s">
        <v>7</v>
      </c>
      <c r="J204" s="3" t="s">
        <v>48</v>
      </c>
      <c r="K204" s="3" t="s">
        <v>41</v>
      </c>
      <c r="L204" s="3" t="s">
        <v>49</v>
      </c>
      <c r="M204">
        <v>1</v>
      </c>
    </row>
    <row r="205" spans="1:13" x14ac:dyDescent="0.25">
      <c r="A205" s="2">
        <v>46162</v>
      </c>
      <c r="B205" s="1" t="str">
        <f ca="1">IF(Información1[[#This Row],[Fecha]]='Ajuste de fechas'!$A$2,"Día actual","Día anterior")</f>
        <v>Día actual</v>
      </c>
      <c r="C205" s="3" t="s">
        <v>28</v>
      </c>
      <c r="D205" t="s">
        <v>31</v>
      </c>
      <c r="E205" s="3" t="s">
        <v>372</v>
      </c>
      <c r="F205" s="3" t="s">
        <v>26</v>
      </c>
      <c r="G205" s="3" t="s">
        <v>196</v>
      </c>
      <c r="H205" s="3" t="s">
        <v>11</v>
      </c>
      <c r="I205" s="3" t="s">
        <v>7</v>
      </c>
      <c r="J205" s="3" t="s">
        <v>48</v>
      </c>
      <c r="K205" s="3" t="s">
        <v>29</v>
      </c>
      <c r="L205" s="3" t="s">
        <v>49</v>
      </c>
      <c r="M205">
        <v>1</v>
      </c>
    </row>
    <row r="206" spans="1:13" x14ac:dyDescent="0.25">
      <c r="A206" s="2">
        <v>46162</v>
      </c>
      <c r="B206" s="1" t="str">
        <f ca="1">IF(Información1[[#This Row],[Fecha]]='Ajuste de fechas'!$A$2,"Día actual","Día anterior")</f>
        <v>Día actual</v>
      </c>
      <c r="C206" s="3" t="s">
        <v>28</v>
      </c>
      <c r="D206" t="s">
        <v>30</v>
      </c>
      <c r="E206" s="3" t="s">
        <v>373</v>
      </c>
      <c r="F206" s="3" t="s">
        <v>26</v>
      </c>
      <c r="G206" s="3" t="s">
        <v>242</v>
      </c>
      <c r="H206" s="3" t="s">
        <v>11</v>
      </c>
      <c r="I206" s="3" t="s">
        <v>7</v>
      </c>
      <c r="J206" s="3" t="s">
        <v>48</v>
      </c>
      <c r="K206" s="3" t="s">
        <v>41</v>
      </c>
      <c r="L206" s="3" t="s">
        <v>49</v>
      </c>
      <c r="M206">
        <v>1</v>
      </c>
    </row>
    <row r="207" spans="1:13" x14ac:dyDescent="0.25">
      <c r="A207" s="2">
        <v>46162</v>
      </c>
      <c r="B207" s="1" t="str">
        <f ca="1">IF(Información1[[#This Row],[Fecha]]='Ajuste de fechas'!$A$2,"Día actual","Día anterior")</f>
        <v>Día actual</v>
      </c>
      <c r="C207" s="3" t="s">
        <v>28</v>
      </c>
      <c r="D207" t="s">
        <v>31</v>
      </c>
      <c r="E207" s="3" t="s">
        <v>279</v>
      </c>
      <c r="F207" s="3" t="s">
        <v>62</v>
      </c>
      <c r="G207" s="3" t="s">
        <v>242</v>
      </c>
      <c r="H207" s="3" t="s">
        <v>11</v>
      </c>
      <c r="I207" s="3" t="s">
        <v>7</v>
      </c>
      <c r="J207" s="3" t="s">
        <v>48</v>
      </c>
      <c r="K207" s="3" t="s">
        <v>29</v>
      </c>
      <c r="L207" s="3" t="s">
        <v>49</v>
      </c>
      <c r="M207">
        <v>1</v>
      </c>
    </row>
    <row r="208" spans="1:13" x14ac:dyDescent="0.25">
      <c r="A208" s="2">
        <v>46162</v>
      </c>
      <c r="B208" s="1" t="str">
        <f ca="1">IF(Información1[[#This Row],[Fecha]]='Ajuste de fechas'!$A$2,"Día actual","Día anterior")</f>
        <v>Día actual</v>
      </c>
      <c r="C208" s="3" t="s">
        <v>28</v>
      </c>
      <c r="D208" t="s">
        <v>31</v>
      </c>
      <c r="E208" s="3" t="s">
        <v>374</v>
      </c>
      <c r="F208" s="3" t="s">
        <v>26</v>
      </c>
      <c r="G208" s="3" t="s">
        <v>242</v>
      </c>
      <c r="H208" s="3" t="s">
        <v>11</v>
      </c>
      <c r="I208" s="3" t="s">
        <v>7</v>
      </c>
      <c r="J208" s="3" t="s">
        <v>48</v>
      </c>
      <c r="K208" s="3" t="s">
        <v>29</v>
      </c>
      <c r="L208" s="3" t="s">
        <v>49</v>
      </c>
      <c r="M208">
        <v>1</v>
      </c>
    </row>
    <row r="209" spans="1:13" x14ac:dyDescent="0.25">
      <c r="A209" s="2">
        <v>46161</v>
      </c>
      <c r="B209" s="1" t="str">
        <f ca="1">IF(Información1[[#This Row],[Fecha]]='Ajuste de fechas'!$A$2,"Día actual","Día anterior")</f>
        <v>Día anterior</v>
      </c>
      <c r="C209" s="3" t="s">
        <v>58</v>
      </c>
      <c r="D209" t="s">
        <v>189</v>
      </c>
      <c r="E209" s="3" t="s">
        <v>96</v>
      </c>
      <c r="F209" s="3" t="s">
        <v>21</v>
      </c>
      <c r="G209" s="3" t="s">
        <v>85</v>
      </c>
      <c r="H209" s="3" t="s">
        <v>11</v>
      </c>
      <c r="I209" s="3" t="s">
        <v>7</v>
      </c>
      <c r="J209" s="3" t="s">
        <v>48</v>
      </c>
      <c r="K209" s="3" t="s">
        <v>190</v>
      </c>
      <c r="L209" s="3" t="s">
        <v>51</v>
      </c>
      <c r="M209">
        <v>1</v>
      </c>
    </row>
    <row r="210" spans="1:13" x14ac:dyDescent="0.25">
      <c r="A210" s="2">
        <v>46162</v>
      </c>
      <c r="B210" s="1" t="str">
        <f ca="1">IF(Información1[[#This Row],[Fecha]]='Ajuste de fechas'!$A$2,"Día actual","Día anterior")</f>
        <v>Día actual</v>
      </c>
      <c r="C210" s="3" t="s">
        <v>28</v>
      </c>
      <c r="D210" t="s">
        <v>30</v>
      </c>
      <c r="E210" s="3" t="s">
        <v>375</v>
      </c>
      <c r="F210" s="3" t="s">
        <v>62</v>
      </c>
      <c r="G210" s="3" t="s">
        <v>376</v>
      </c>
      <c r="H210" s="3" t="s">
        <v>11</v>
      </c>
      <c r="I210" s="3" t="s">
        <v>25</v>
      </c>
      <c r="J210" s="3" t="s">
        <v>48</v>
      </c>
      <c r="K210" s="3" t="s">
        <v>41</v>
      </c>
      <c r="L210" s="3" t="s">
        <v>49</v>
      </c>
      <c r="M210">
        <v>1</v>
      </c>
    </row>
    <row r="211" spans="1:13" x14ac:dyDescent="0.25">
      <c r="A211" s="2">
        <v>46162</v>
      </c>
      <c r="B211" s="1" t="str">
        <f ca="1">IF(Información1[[#This Row],[Fecha]]='Ajuste de fechas'!$A$2,"Día actual","Día anterior")</f>
        <v>Día actual</v>
      </c>
      <c r="C211" s="3" t="s">
        <v>58</v>
      </c>
      <c r="D211" t="s">
        <v>59</v>
      </c>
      <c r="E211" s="3" t="s">
        <v>280</v>
      </c>
      <c r="F211" s="3" t="s">
        <v>23</v>
      </c>
      <c r="G211" s="3" t="s">
        <v>281</v>
      </c>
      <c r="H211" s="3" t="s">
        <v>11</v>
      </c>
      <c r="I211" s="3" t="s">
        <v>7</v>
      </c>
      <c r="J211" s="3" t="s">
        <v>48</v>
      </c>
      <c r="K211" s="3" t="s">
        <v>60</v>
      </c>
      <c r="L211" s="3" t="s">
        <v>51</v>
      </c>
      <c r="M211">
        <v>1</v>
      </c>
    </row>
    <row r="212" spans="1:13" x14ac:dyDescent="0.25">
      <c r="A212" s="2">
        <v>46161</v>
      </c>
      <c r="B212" s="1" t="str">
        <f ca="1">IF(Información1[[#This Row],[Fecha]]='Ajuste de fechas'!$A$2,"Día actual","Día anterior")</f>
        <v>Día anterior</v>
      </c>
      <c r="C212" s="3" t="s">
        <v>58</v>
      </c>
      <c r="D212" t="s">
        <v>189</v>
      </c>
      <c r="E212" s="3" t="s">
        <v>282</v>
      </c>
      <c r="F212" s="3" t="s">
        <v>91</v>
      </c>
      <c r="G212" s="3" t="s">
        <v>92</v>
      </c>
      <c r="H212" s="3" t="s">
        <v>11</v>
      </c>
      <c r="I212" s="3" t="s">
        <v>7</v>
      </c>
      <c r="J212" s="3" t="s">
        <v>48</v>
      </c>
      <c r="K212" s="3" t="s">
        <v>190</v>
      </c>
      <c r="L212" s="3" t="s">
        <v>51</v>
      </c>
      <c r="M212">
        <v>1</v>
      </c>
    </row>
    <row r="213" spans="1:13" x14ac:dyDescent="0.25">
      <c r="A213" s="2">
        <v>46162</v>
      </c>
      <c r="B213" s="1" t="str">
        <f ca="1">IF(Información1[[#This Row],[Fecha]]='Ajuste de fechas'!$A$2,"Día actual","Día anterior")</f>
        <v>Día actual</v>
      </c>
      <c r="C213" s="3" t="s">
        <v>8</v>
      </c>
      <c r="D213" t="s">
        <v>10</v>
      </c>
      <c r="E213" s="3" t="s">
        <v>377</v>
      </c>
      <c r="F213" s="3" t="s">
        <v>24</v>
      </c>
      <c r="G213" s="3" t="s">
        <v>92</v>
      </c>
      <c r="H213" s="3" t="s">
        <v>11</v>
      </c>
      <c r="I213" s="3" t="s">
        <v>7</v>
      </c>
      <c r="J213" s="3" t="s">
        <v>24</v>
      </c>
      <c r="K213" s="3" t="s">
        <v>14</v>
      </c>
      <c r="L213" s="3" t="s">
        <v>50</v>
      </c>
      <c r="M213">
        <v>1</v>
      </c>
    </row>
    <row r="214" spans="1:13" x14ac:dyDescent="0.25">
      <c r="A214" s="2">
        <v>46162</v>
      </c>
      <c r="B214" s="1" t="str">
        <f ca="1">IF(Información1[[#This Row],[Fecha]]='Ajuste de fechas'!$A$2,"Día actual","Día anterior")</f>
        <v>Día actual</v>
      </c>
      <c r="C214" s="3" t="s">
        <v>28</v>
      </c>
      <c r="D214" t="s">
        <v>31</v>
      </c>
      <c r="E214" s="3" t="s">
        <v>378</v>
      </c>
      <c r="F214" s="3" t="s">
        <v>22</v>
      </c>
      <c r="G214" s="3" t="s">
        <v>203</v>
      </c>
      <c r="H214" s="3" t="s">
        <v>11</v>
      </c>
      <c r="I214" s="3" t="s">
        <v>7</v>
      </c>
      <c r="J214" s="3" t="s">
        <v>53</v>
      </c>
      <c r="K214" s="3" t="s">
        <v>29</v>
      </c>
      <c r="L214" s="3" t="s">
        <v>49</v>
      </c>
      <c r="M214">
        <v>1</v>
      </c>
    </row>
    <row r="215" spans="1:13" x14ac:dyDescent="0.25">
      <c r="A215" s="2">
        <v>46162</v>
      </c>
      <c r="B215" s="1" t="str">
        <f ca="1">IF(Información1[[#This Row],[Fecha]]='Ajuste de fechas'!$A$2,"Día actual","Día anterior")</f>
        <v>Día actual</v>
      </c>
      <c r="C215" s="3" t="s">
        <v>8</v>
      </c>
      <c r="D215" t="s">
        <v>10</v>
      </c>
      <c r="E215" s="3" t="s">
        <v>379</v>
      </c>
      <c r="F215" s="3" t="s">
        <v>320</v>
      </c>
      <c r="G215" s="3" t="s">
        <v>380</v>
      </c>
      <c r="H215" s="3" t="s">
        <v>11</v>
      </c>
      <c r="I215" s="3" t="s">
        <v>7</v>
      </c>
      <c r="J215" s="3" t="s">
        <v>24</v>
      </c>
      <c r="K215" s="3" t="s">
        <v>14</v>
      </c>
      <c r="L215" s="3" t="s">
        <v>49</v>
      </c>
      <c r="M215">
        <v>1</v>
      </c>
    </row>
    <row r="216" spans="1:13" x14ac:dyDescent="0.25">
      <c r="A216" s="2">
        <v>46162</v>
      </c>
      <c r="B216" s="1" t="str">
        <f ca="1">IF(Información1[[#This Row],[Fecha]]='Ajuste de fechas'!$A$2,"Día actual","Día anterior")</f>
        <v>Día actual</v>
      </c>
      <c r="C216" s="3" t="s">
        <v>8</v>
      </c>
      <c r="D216" t="s">
        <v>10</v>
      </c>
      <c r="E216" s="3" t="s">
        <v>174</v>
      </c>
      <c r="F216" s="3" t="s">
        <v>23</v>
      </c>
      <c r="G216" s="3" t="s">
        <v>175</v>
      </c>
      <c r="H216" s="3" t="s">
        <v>11</v>
      </c>
      <c r="I216" s="3" t="s">
        <v>7</v>
      </c>
      <c r="J216" s="3" t="s">
        <v>48</v>
      </c>
      <c r="K216" s="3" t="s">
        <v>14</v>
      </c>
      <c r="L216" s="3" t="s">
        <v>51</v>
      </c>
      <c r="M216">
        <v>1</v>
      </c>
    </row>
    <row r="217" spans="1:13" x14ac:dyDescent="0.25">
      <c r="A217" s="2">
        <v>46162</v>
      </c>
      <c r="B217" s="1" t="str">
        <f ca="1">IF(Información1[[#This Row],[Fecha]]='Ajuste de fechas'!$A$2,"Día actual","Día anterior")</f>
        <v>Día actual</v>
      </c>
      <c r="C217" s="3" t="s">
        <v>28</v>
      </c>
      <c r="D217" t="s">
        <v>31</v>
      </c>
      <c r="E217" s="3" t="s">
        <v>381</v>
      </c>
      <c r="F217" s="3" t="s">
        <v>19</v>
      </c>
      <c r="G217" s="3" t="s">
        <v>382</v>
      </c>
      <c r="H217" s="3" t="s">
        <v>11</v>
      </c>
      <c r="I217" s="3" t="s">
        <v>7</v>
      </c>
      <c r="J217" s="3" t="s">
        <v>52</v>
      </c>
      <c r="K217" s="3" t="s">
        <v>29</v>
      </c>
      <c r="L217" s="3" t="s">
        <v>49</v>
      </c>
      <c r="M217">
        <v>1</v>
      </c>
    </row>
    <row r="218" spans="1:13" x14ac:dyDescent="0.25">
      <c r="A218" s="2">
        <v>46162</v>
      </c>
      <c r="B218" s="1" t="str">
        <f ca="1">IF(Información1[[#This Row],[Fecha]]='Ajuste de fechas'!$A$2,"Día actual","Día anterior")</f>
        <v>Día actual</v>
      </c>
      <c r="C218" s="3" t="s">
        <v>8</v>
      </c>
      <c r="D218" t="s">
        <v>10</v>
      </c>
      <c r="E218" s="3" t="s">
        <v>244</v>
      </c>
      <c r="F218" s="3" t="s">
        <v>21</v>
      </c>
      <c r="G218" s="3" t="s">
        <v>245</v>
      </c>
      <c r="H218" s="3" t="s">
        <v>11</v>
      </c>
      <c r="I218" s="3" t="s">
        <v>7</v>
      </c>
      <c r="J218" s="3" t="s">
        <v>48</v>
      </c>
      <c r="K218" s="3" t="s">
        <v>14</v>
      </c>
      <c r="L218" s="3" t="s">
        <v>51</v>
      </c>
      <c r="M218">
        <v>1</v>
      </c>
    </row>
    <row r="219" spans="1:13" x14ac:dyDescent="0.25">
      <c r="A219" s="2">
        <v>46162</v>
      </c>
      <c r="B219" s="1" t="str">
        <f ca="1">IF(Información1[[#This Row],[Fecha]]='Ajuste de fechas'!$A$2,"Día actual","Día anterior")</f>
        <v>Día actual</v>
      </c>
      <c r="C219" s="3" t="s">
        <v>8</v>
      </c>
      <c r="D219" t="s">
        <v>10</v>
      </c>
      <c r="E219" s="3" t="s">
        <v>383</v>
      </c>
      <c r="F219" s="3" t="s">
        <v>19</v>
      </c>
      <c r="G219" s="3" t="s">
        <v>384</v>
      </c>
      <c r="H219" s="3" t="s">
        <v>11</v>
      </c>
      <c r="I219" s="3" t="s">
        <v>25</v>
      </c>
      <c r="J219" s="3" t="s">
        <v>52</v>
      </c>
      <c r="K219" s="3" t="s">
        <v>9</v>
      </c>
      <c r="L219" s="3" t="s">
        <v>50</v>
      </c>
      <c r="M219">
        <v>1</v>
      </c>
    </row>
    <row r="220" spans="1:13" x14ac:dyDescent="0.25">
      <c r="A220" s="2">
        <v>46162</v>
      </c>
      <c r="B220" s="1" t="str">
        <f ca="1">IF(Información1[[#This Row],[Fecha]]='Ajuste de fechas'!$A$2,"Día actual","Día anterior")</f>
        <v>Día actual</v>
      </c>
      <c r="C220" s="3" t="s">
        <v>28</v>
      </c>
      <c r="D220" t="s">
        <v>31</v>
      </c>
      <c r="E220" s="3" t="s">
        <v>385</v>
      </c>
      <c r="F220" s="3" t="s">
        <v>63</v>
      </c>
      <c r="G220" s="3" t="s">
        <v>386</v>
      </c>
      <c r="H220" s="3" t="s">
        <v>11</v>
      </c>
      <c r="I220" s="3" t="s">
        <v>25</v>
      </c>
      <c r="J220" s="3" t="s">
        <v>48</v>
      </c>
      <c r="K220" s="3" t="s">
        <v>29</v>
      </c>
      <c r="L220" s="3" t="s">
        <v>49</v>
      </c>
      <c r="M220">
        <v>1</v>
      </c>
    </row>
    <row r="221" spans="1:13" x14ac:dyDescent="0.25">
      <c r="A221" s="2">
        <v>46162</v>
      </c>
      <c r="B221" s="1" t="str">
        <f ca="1">IF(Información1[[#This Row],[Fecha]]='Ajuste de fechas'!$A$2,"Día actual","Día anterior")</f>
        <v>Día actual</v>
      </c>
      <c r="C221" s="3" t="s">
        <v>8</v>
      </c>
      <c r="D221" t="s">
        <v>10</v>
      </c>
      <c r="E221" s="3" t="s">
        <v>387</v>
      </c>
      <c r="F221" s="3" t="s">
        <v>19</v>
      </c>
      <c r="G221" s="3" t="s">
        <v>388</v>
      </c>
      <c r="H221" s="3" t="s">
        <v>11</v>
      </c>
      <c r="I221" s="3" t="s">
        <v>7</v>
      </c>
      <c r="J221" s="3" t="s">
        <v>52</v>
      </c>
      <c r="K221" s="3" t="s">
        <v>9</v>
      </c>
      <c r="L221" s="3" t="s">
        <v>50</v>
      </c>
      <c r="M221">
        <v>1</v>
      </c>
    </row>
    <row r="222" spans="1:13" x14ac:dyDescent="0.25">
      <c r="A222" s="2">
        <v>46162</v>
      </c>
      <c r="B222" s="1" t="str">
        <f ca="1">IF(Información1[[#This Row],[Fecha]]='Ajuste de fechas'!$A$2,"Día actual","Día anterior")</f>
        <v>Día actual</v>
      </c>
      <c r="C222" s="3" t="s">
        <v>8</v>
      </c>
      <c r="D222" t="s">
        <v>10</v>
      </c>
      <c r="E222" s="3" t="s">
        <v>389</v>
      </c>
      <c r="F222" s="3" t="s">
        <v>19</v>
      </c>
      <c r="G222" s="3" t="s">
        <v>390</v>
      </c>
      <c r="H222" s="3" t="s">
        <v>11</v>
      </c>
      <c r="I222" s="3" t="s">
        <v>25</v>
      </c>
      <c r="J222" s="3" t="s">
        <v>52</v>
      </c>
      <c r="K222" s="3" t="s">
        <v>9</v>
      </c>
      <c r="L222" s="3" t="s">
        <v>50</v>
      </c>
      <c r="M222">
        <v>1</v>
      </c>
    </row>
    <row r="223" spans="1:13" x14ac:dyDescent="0.25">
      <c r="A223" s="2">
        <v>46162</v>
      </c>
      <c r="B223" s="1" t="str">
        <f ca="1">IF(Información1[[#This Row],[Fecha]]='Ajuste de fechas'!$A$2,"Día actual","Día anterior")</f>
        <v>Día actual</v>
      </c>
      <c r="C223" s="3" t="s">
        <v>8</v>
      </c>
      <c r="D223" t="s">
        <v>10</v>
      </c>
      <c r="E223" s="3" t="s">
        <v>391</v>
      </c>
      <c r="F223" s="3" t="s">
        <v>22</v>
      </c>
      <c r="G223" s="3" t="s">
        <v>392</v>
      </c>
      <c r="H223" s="3" t="s">
        <v>11</v>
      </c>
      <c r="I223" s="3" t="s">
        <v>7</v>
      </c>
      <c r="J223" s="3" t="s">
        <v>53</v>
      </c>
      <c r="K223" s="3" t="s">
        <v>14</v>
      </c>
      <c r="L223" s="3" t="s">
        <v>49</v>
      </c>
      <c r="M223">
        <v>1</v>
      </c>
    </row>
    <row r="224" spans="1:13" x14ac:dyDescent="0.25">
      <c r="A224" s="2">
        <v>46162</v>
      </c>
      <c r="B224" s="1" t="str">
        <f ca="1">IF(Información1[[#This Row],[Fecha]]='Ajuste de fechas'!$A$2,"Día actual","Día anterior")</f>
        <v>Día actual</v>
      </c>
      <c r="C224" s="3" t="s">
        <v>28</v>
      </c>
      <c r="D224" t="s">
        <v>31</v>
      </c>
      <c r="E224" s="3" t="s">
        <v>393</v>
      </c>
      <c r="F224" s="3" t="s">
        <v>22</v>
      </c>
      <c r="G224" s="3" t="s">
        <v>394</v>
      </c>
      <c r="H224" s="3" t="s">
        <v>11</v>
      </c>
      <c r="I224" s="3" t="s">
        <v>7</v>
      </c>
      <c r="J224" s="3" t="s">
        <v>53</v>
      </c>
      <c r="K224" s="3" t="s">
        <v>29</v>
      </c>
      <c r="L224" s="3" t="s">
        <v>49</v>
      </c>
      <c r="M224">
        <v>1</v>
      </c>
    </row>
    <row r="225" spans="1:13" x14ac:dyDescent="0.25">
      <c r="A225" s="2">
        <v>46162</v>
      </c>
      <c r="B225" s="1" t="str">
        <f ca="1">IF(Información1[[#This Row],[Fecha]]='Ajuste de fechas'!$A$2,"Día actual","Día anterior")</f>
        <v>Día actual</v>
      </c>
      <c r="C225" s="3" t="s">
        <v>58</v>
      </c>
      <c r="D225" t="s">
        <v>59</v>
      </c>
      <c r="E225" s="3" t="s">
        <v>274</v>
      </c>
      <c r="F225" s="3" t="s">
        <v>91</v>
      </c>
      <c r="G225" s="3" t="s">
        <v>269</v>
      </c>
      <c r="H225" s="3" t="s">
        <v>11</v>
      </c>
      <c r="I225" s="3" t="s">
        <v>7</v>
      </c>
      <c r="J225" s="3" t="s">
        <v>48</v>
      </c>
      <c r="K225" s="3" t="s">
        <v>60</v>
      </c>
      <c r="L225" s="3" t="s">
        <v>51</v>
      </c>
      <c r="M225">
        <v>1</v>
      </c>
    </row>
    <row r="226" spans="1:13" x14ac:dyDescent="0.25">
      <c r="A226" s="2">
        <v>46162</v>
      </c>
      <c r="B226" s="1" t="str">
        <f ca="1">IF(Información1[[#This Row],[Fecha]]='Ajuste de fechas'!$A$2,"Día actual","Día anterior")</f>
        <v>Día actual</v>
      </c>
      <c r="C226" s="3" t="s">
        <v>8</v>
      </c>
      <c r="D226" t="s">
        <v>10</v>
      </c>
      <c r="E226" s="3" t="s">
        <v>395</v>
      </c>
      <c r="F226" s="3" t="s">
        <v>17</v>
      </c>
      <c r="G226" s="3" t="s">
        <v>215</v>
      </c>
      <c r="H226" s="3" t="s">
        <v>11</v>
      </c>
      <c r="I226" s="3" t="s">
        <v>25</v>
      </c>
      <c r="J226" s="3" t="s">
        <v>48</v>
      </c>
      <c r="K226" s="3" t="s">
        <v>9</v>
      </c>
      <c r="L226" s="3" t="s">
        <v>50</v>
      </c>
      <c r="M226">
        <v>1</v>
      </c>
    </row>
    <row r="227" spans="1:13" x14ac:dyDescent="0.25">
      <c r="A227" s="2">
        <v>46162</v>
      </c>
      <c r="B227" s="1" t="str">
        <f ca="1">IF(Información1[[#This Row],[Fecha]]='Ajuste de fechas'!$A$2,"Día actual","Día anterior")</f>
        <v>Día actual</v>
      </c>
      <c r="C227" s="3" t="s">
        <v>396</v>
      </c>
      <c r="D227" t="s">
        <v>397</v>
      </c>
      <c r="E227" s="3" t="s">
        <v>398</v>
      </c>
      <c r="F227" s="3" t="s">
        <v>171</v>
      </c>
      <c r="G227" s="3" t="s">
        <v>172</v>
      </c>
      <c r="H227" s="3" t="s">
        <v>11</v>
      </c>
      <c r="I227" s="3" t="s">
        <v>12</v>
      </c>
      <c r="J227" s="3" t="s">
        <v>48</v>
      </c>
      <c r="K227" s="3" t="s">
        <v>399</v>
      </c>
      <c r="L227" s="3" t="s">
        <v>173</v>
      </c>
      <c r="M227">
        <v>1</v>
      </c>
    </row>
    <row r="228" spans="1:13" x14ac:dyDescent="0.25">
      <c r="A228" s="2">
        <v>46162</v>
      </c>
      <c r="B228" s="1" t="str">
        <f ca="1">IF(Información1[[#This Row],[Fecha]]='Ajuste de fechas'!$A$2,"Día actual","Día anterior")</f>
        <v>Día actual</v>
      </c>
      <c r="C228" s="3" t="s">
        <v>28</v>
      </c>
      <c r="D228" t="s">
        <v>30</v>
      </c>
      <c r="E228" s="3" t="s">
        <v>398</v>
      </c>
      <c r="F228" s="3" t="s">
        <v>171</v>
      </c>
      <c r="G228" s="3" t="s">
        <v>172</v>
      </c>
      <c r="H228" s="3" t="s">
        <v>11</v>
      </c>
      <c r="I228" s="3" t="s">
        <v>12</v>
      </c>
      <c r="J228" s="3" t="s">
        <v>48</v>
      </c>
      <c r="K228" s="3" t="s">
        <v>41</v>
      </c>
      <c r="L228" s="3" t="s">
        <v>173</v>
      </c>
      <c r="M228">
        <v>1</v>
      </c>
    </row>
    <row r="229" spans="1:13" x14ac:dyDescent="0.25">
      <c r="A229" s="2">
        <v>46162</v>
      </c>
      <c r="B229" s="1" t="str">
        <f ca="1">IF(Información1[[#This Row],[Fecha]]='Ajuste de fechas'!$A$2,"Día actual","Día anterior")</f>
        <v>Día actual</v>
      </c>
      <c r="C229" s="3" t="s">
        <v>8</v>
      </c>
      <c r="D229" t="s">
        <v>10</v>
      </c>
      <c r="E229" s="3" t="s">
        <v>400</v>
      </c>
      <c r="F229" s="3" t="s">
        <v>19</v>
      </c>
      <c r="G229" s="3" t="s">
        <v>401</v>
      </c>
      <c r="H229" s="3" t="s">
        <v>11</v>
      </c>
      <c r="I229" s="3" t="s">
        <v>7</v>
      </c>
      <c r="J229" s="3" t="s">
        <v>52</v>
      </c>
      <c r="K229" s="3" t="s">
        <v>14</v>
      </c>
      <c r="L229" s="3" t="s">
        <v>54</v>
      </c>
      <c r="M229">
        <v>1</v>
      </c>
    </row>
    <row r="230" spans="1:13" x14ac:dyDescent="0.25">
      <c r="A230" s="2">
        <v>46162</v>
      </c>
      <c r="B230" s="1" t="str">
        <f ca="1">IF(Información1[[#This Row],[Fecha]]='Ajuste de fechas'!$A$2,"Día actual","Día anterior")</f>
        <v>Día actual</v>
      </c>
      <c r="C230" s="3" t="s">
        <v>28</v>
      </c>
      <c r="D230" t="s">
        <v>31</v>
      </c>
      <c r="E230" s="3" t="s">
        <v>402</v>
      </c>
      <c r="F230" s="3" t="s">
        <v>26</v>
      </c>
      <c r="G230" s="3" t="s">
        <v>403</v>
      </c>
      <c r="H230" s="3" t="s">
        <v>11</v>
      </c>
      <c r="I230" s="3" t="s">
        <v>7</v>
      </c>
      <c r="J230" s="3" t="s">
        <v>48</v>
      </c>
      <c r="K230" s="3" t="s">
        <v>29</v>
      </c>
      <c r="L230" s="3" t="s">
        <v>49</v>
      </c>
      <c r="M230">
        <v>1</v>
      </c>
    </row>
    <row r="231" spans="1:13" x14ac:dyDescent="0.25">
      <c r="A231" s="2">
        <v>46162</v>
      </c>
      <c r="B231" s="1" t="str">
        <f ca="1">IF(Información1[[#This Row],[Fecha]]='Ajuste de fechas'!$A$2,"Día actual","Día anterior")</f>
        <v>Día actual</v>
      </c>
      <c r="C231" s="3" t="s">
        <v>8</v>
      </c>
      <c r="D231" t="s">
        <v>10</v>
      </c>
      <c r="E231" s="3" t="s">
        <v>404</v>
      </c>
      <c r="F231" s="3" t="s">
        <v>22</v>
      </c>
      <c r="G231" s="3" t="s">
        <v>360</v>
      </c>
      <c r="H231" s="3" t="s">
        <v>11</v>
      </c>
      <c r="I231" s="3" t="s">
        <v>7</v>
      </c>
      <c r="J231" s="3" t="s">
        <v>53</v>
      </c>
      <c r="K231" s="3" t="s">
        <v>14</v>
      </c>
      <c r="L231" s="3" t="s">
        <v>49</v>
      </c>
      <c r="M231">
        <v>1</v>
      </c>
    </row>
    <row r="232" spans="1:13" x14ac:dyDescent="0.25">
      <c r="A232" s="2">
        <v>46162</v>
      </c>
      <c r="B232" s="1" t="str">
        <f ca="1">IF(Información1[[#This Row],[Fecha]]='Ajuste de fechas'!$A$2,"Día actual","Día anterior")</f>
        <v>Día actual</v>
      </c>
      <c r="C232" s="3" t="s">
        <v>28</v>
      </c>
      <c r="D232" t="s">
        <v>30</v>
      </c>
      <c r="E232" s="3" t="s">
        <v>283</v>
      </c>
      <c r="F232" s="3" t="s">
        <v>26</v>
      </c>
      <c r="G232" s="3" t="s">
        <v>109</v>
      </c>
      <c r="H232" s="3" t="s">
        <v>11</v>
      </c>
      <c r="I232" s="3" t="s">
        <v>7</v>
      </c>
      <c r="J232" s="3" t="s">
        <v>48</v>
      </c>
      <c r="K232" s="3" t="s">
        <v>41</v>
      </c>
      <c r="L232" s="3" t="s">
        <v>51</v>
      </c>
      <c r="M232">
        <v>1</v>
      </c>
    </row>
    <row r="233" spans="1:13" x14ac:dyDescent="0.25">
      <c r="A233" s="2">
        <v>46162</v>
      </c>
      <c r="B233" s="1" t="str">
        <f ca="1">IF(Información1[[#This Row],[Fecha]]='Ajuste de fechas'!$A$2,"Día actual","Día anterior")</f>
        <v>Día actual</v>
      </c>
      <c r="C233" s="3" t="s">
        <v>28</v>
      </c>
      <c r="D233" t="s">
        <v>30</v>
      </c>
      <c r="E233" s="3" t="s">
        <v>284</v>
      </c>
      <c r="F233" s="3" t="s">
        <v>26</v>
      </c>
      <c r="G233" s="3" t="s">
        <v>109</v>
      </c>
      <c r="H233" s="3" t="s">
        <v>11</v>
      </c>
      <c r="I233" s="3" t="s">
        <v>7</v>
      </c>
      <c r="J233" s="3" t="s">
        <v>48</v>
      </c>
      <c r="K233" s="3" t="s">
        <v>41</v>
      </c>
      <c r="L233" s="3" t="s">
        <v>51</v>
      </c>
      <c r="M233">
        <v>1</v>
      </c>
    </row>
    <row r="234" spans="1:13" x14ac:dyDescent="0.25">
      <c r="A234" s="2">
        <v>46162</v>
      </c>
      <c r="B234" s="1" t="str">
        <f ca="1">IF(Información1[[#This Row],[Fecha]]='Ajuste de fechas'!$A$2,"Día actual","Día anterior")</f>
        <v>Día actual</v>
      </c>
      <c r="C234" s="3" t="s">
        <v>28</v>
      </c>
      <c r="D234" t="s">
        <v>31</v>
      </c>
      <c r="E234" s="3" t="s">
        <v>285</v>
      </c>
      <c r="F234" s="3" t="s">
        <v>26</v>
      </c>
      <c r="G234" s="3" t="s">
        <v>109</v>
      </c>
      <c r="H234" s="3" t="s">
        <v>11</v>
      </c>
      <c r="I234" s="3" t="s">
        <v>7</v>
      </c>
      <c r="J234" s="3" t="s">
        <v>48</v>
      </c>
      <c r="K234" s="3" t="s">
        <v>29</v>
      </c>
      <c r="L234" s="3" t="s">
        <v>49</v>
      </c>
      <c r="M234">
        <v>1</v>
      </c>
    </row>
    <row r="235" spans="1:13" x14ac:dyDescent="0.25">
      <c r="A235" s="2">
        <v>46162</v>
      </c>
      <c r="B235" s="1" t="str">
        <f ca="1">IF(Información1[[#This Row],[Fecha]]='Ajuste de fechas'!$A$2,"Día actual","Día anterior")</f>
        <v>Día actual</v>
      </c>
      <c r="C235" s="3" t="s">
        <v>28</v>
      </c>
      <c r="D235" t="s">
        <v>31</v>
      </c>
      <c r="E235" s="3" t="s">
        <v>286</v>
      </c>
      <c r="F235" s="3" t="s">
        <v>26</v>
      </c>
      <c r="G235" s="3" t="s">
        <v>109</v>
      </c>
      <c r="H235" s="3" t="s">
        <v>11</v>
      </c>
      <c r="I235" s="3" t="s">
        <v>7</v>
      </c>
      <c r="J235" s="3" t="s">
        <v>48</v>
      </c>
      <c r="K235" s="3" t="s">
        <v>29</v>
      </c>
      <c r="L235" s="3" t="s">
        <v>49</v>
      </c>
      <c r="M235">
        <v>1</v>
      </c>
    </row>
    <row r="236" spans="1:13" x14ac:dyDescent="0.25">
      <c r="A236" s="2">
        <v>46162</v>
      </c>
      <c r="B236" s="1" t="str">
        <f ca="1">IF(Información1[[#This Row],[Fecha]]='Ajuste de fechas'!$A$2,"Día actual","Día anterior")</f>
        <v>Día actual</v>
      </c>
      <c r="C236" s="3" t="s">
        <v>28</v>
      </c>
      <c r="D236" t="s">
        <v>30</v>
      </c>
      <c r="E236" s="3" t="s">
        <v>405</v>
      </c>
      <c r="F236" s="3" t="s">
        <v>24</v>
      </c>
      <c r="G236" s="3" t="s">
        <v>321</v>
      </c>
      <c r="H236" s="3" t="s">
        <v>11</v>
      </c>
      <c r="I236" s="3" t="s">
        <v>7</v>
      </c>
      <c r="J236" s="3" t="s">
        <v>24</v>
      </c>
      <c r="K236" s="3" t="s">
        <v>41</v>
      </c>
      <c r="L236" s="3" t="s">
        <v>49</v>
      </c>
      <c r="M236">
        <v>1</v>
      </c>
    </row>
    <row r="237" spans="1:13" x14ac:dyDescent="0.25">
      <c r="A237" s="2">
        <v>46162</v>
      </c>
      <c r="B237" s="1" t="str">
        <f ca="1">IF(Información1[[#This Row],[Fecha]]='Ajuste de fechas'!$A$2,"Día actual","Día anterior")</f>
        <v>Día actual</v>
      </c>
      <c r="C237" s="3" t="s">
        <v>28</v>
      </c>
      <c r="D237" t="s">
        <v>30</v>
      </c>
      <c r="E237" s="3" t="s">
        <v>406</v>
      </c>
      <c r="F237" s="3" t="s">
        <v>24</v>
      </c>
      <c r="G237" s="3" t="s">
        <v>321</v>
      </c>
      <c r="H237" s="3" t="s">
        <v>11</v>
      </c>
      <c r="I237" s="3" t="s">
        <v>7</v>
      </c>
      <c r="J237" s="3" t="s">
        <v>24</v>
      </c>
      <c r="K237" s="3" t="s">
        <v>41</v>
      </c>
      <c r="L237" s="3" t="s">
        <v>50</v>
      </c>
      <c r="M237">
        <v>1</v>
      </c>
    </row>
    <row r="238" spans="1:13" x14ac:dyDescent="0.25">
      <c r="A238" s="2">
        <v>46162</v>
      </c>
      <c r="B238" s="1" t="str">
        <f ca="1">IF(Información1[[#This Row],[Fecha]]='Ajuste de fechas'!$A$2,"Día actual","Día anterior")</f>
        <v>Día actual</v>
      </c>
      <c r="C238" s="3" t="s">
        <v>28</v>
      </c>
      <c r="D238" t="s">
        <v>30</v>
      </c>
      <c r="E238" s="3" t="s">
        <v>407</v>
      </c>
      <c r="F238" s="3" t="s">
        <v>320</v>
      </c>
      <c r="G238" s="3" t="s">
        <v>321</v>
      </c>
      <c r="H238" s="3" t="s">
        <v>11</v>
      </c>
      <c r="I238" s="3" t="s">
        <v>7</v>
      </c>
      <c r="J238" s="3" t="s">
        <v>24</v>
      </c>
      <c r="K238" s="3" t="s">
        <v>41</v>
      </c>
      <c r="L238" s="3" t="s">
        <v>49</v>
      </c>
      <c r="M238">
        <v>1</v>
      </c>
    </row>
    <row r="239" spans="1:13" x14ac:dyDescent="0.25">
      <c r="A239" s="2">
        <v>46162</v>
      </c>
      <c r="B239" s="1" t="str">
        <f ca="1">IF(Información1[[#This Row],[Fecha]]='Ajuste de fechas'!$A$2,"Día actual","Día anterior")</f>
        <v>Día actual</v>
      </c>
      <c r="C239" s="3" t="s">
        <v>8</v>
      </c>
      <c r="D239" t="s">
        <v>10</v>
      </c>
      <c r="E239" s="3" t="s">
        <v>408</v>
      </c>
      <c r="F239" s="3" t="s">
        <v>19</v>
      </c>
      <c r="G239" s="3" t="s">
        <v>210</v>
      </c>
      <c r="H239" s="3" t="s">
        <v>11</v>
      </c>
      <c r="I239" s="3" t="s">
        <v>25</v>
      </c>
      <c r="J239" s="3" t="s">
        <v>52</v>
      </c>
      <c r="K239" s="3" t="s">
        <v>9</v>
      </c>
      <c r="L239" s="3" t="s">
        <v>50</v>
      </c>
      <c r="M23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56</v>
      </c>
      <c r="B1" t="s">
        <v>57</v>
      </c>
    </row>
    <row r="2" spans="1:2" x14ac:dyDescent="0.25">
      <c r="A2" s="2">
        <f ca="1">TODAY()</f>
        <v>46162</v>
      </c>
      <c r="B2" s="2">
        <f ca="1">A2-1</f>
        <v>46161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2026-05-21T02:29:23Z</dcterms:modified>
</cp:coreProperties>
</file>