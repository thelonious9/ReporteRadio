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vivie\ReporteRadio\"/>
    </mc:Choice>
  </mc:AlternateContent>
  <xr:revisionPtr revIDLastSave="0" documentId="13_ncr:1_{9B4577D6-B3E8-4B23-971C-27EBD8EDE1D6}"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Radio!$A$1:$M$149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73" i="2"/>
  <c r="B75" i="2"/>
  <c r="B100" i="2"/>
  <c r="B102" i="2"/>
  <c r="B104" i="2"/>
  <c r="B106" i="2"/>
  <c r="B108" i="2"/>
  <c r="B110" i="2"/>
  <c r="B111" i="2"/>
  <c r="B113" i="2"/>
  <c r="B115" i="2"/>
  <c r="B117" i="2"/>
  <c r="B118" i="2"/>
  <c r="B120" i="2"/>
  <c r="B122" i="2"/>
  <c r="B124" i="2"/>
  <c r="B126" i="2"/>
  <c r="B128" i="2"/>
  <c r="B130" i="2"/>
  <c r="B132" i="2"/>
  <c r="B76" i="2"/>
  <c r="B78" i="2"/>
  <c r="B80" i="2"/>
  <c r="B82" i="2"/>
  <c r="B83" i="2"/>
  <c r="B84" i="2"/>
  <c r="B86" i="2"/>
  <c r="B88" i="2"/>
  <c r="B90" i="2"/>
  <c r="B91" i="2"/>
  <c r="B94" i="2"/>
  <c r="B95" i="2"/>
  <c r="B97" i="2"/>
  <c r="B134" i="2"/>
  <c r="B135" i="2"/>
  <c r="B137" i="2"/>
  <c r="B139" i="2"/>
  <c r="B141" i="2"/>
  <c r="B143" i="2"/>
  <c r="B146" i="2"/>
  <c r="B147" i="2"/>
  <c r="B149"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4" i="2"/>
  <c r="B99" i="2"/>
  <c r="B101" i="2"/>
  <c r="B103" i="2"/>
  <c r="B105" i="2"/>
  <c r="B107" i="2"/>
  <c r="B109" i="2"/>
  <c r="B112" i="2"/>
  <c r="B114" i="2"/>
  <c r="B116" i="2"/>
  <c r="B119" i="2"/>
  <c r="B121" i="2"/>
  <c r="B123" i="2"/>
  <c r="B125" i="2"/>
  <c r="B127" i="2"/>
  <c r="B129" i="2"/>
  <c r="B131" i="2"/>
  <c r="B133" i="2"/>
  <c r="B77" i="2"/>
  <c r="B79" i="2"/>
  <c r="B81" i="2"/>
  <c r="B85" i="2"/>
  <c r="B87" i="2"/>
  <c r="B89" i="2"/>
  <c r="B92" i="2"/>
  <c r="B93" i="2"/>
  <c r="B96" i="2"/>
  <c r="B98" i="2"/>
  <c r="B136" i="2"/>
  <c r="B138" i="2"/>
  <c r="B140" i="2"/>
  <c r="B142" i="2"/>
  <c r="B144" i="2"/>
  <c r="B145" i="2"/>
  <c r="B148"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<sst xmlns="http://schemas.openxmlformats.org/spreadsheetml/2006/main" count="1493" uniqueCount="309">
  <si>
    <t>Fecha</t>
  </si>
  <si>
    <t>Titular</t>
  </si>
  <si>
    <t>Dependencia</t>
  </si>
  <si>
    <t>Canal</t>
  </si>
  <si>
    <t>Tema</t>
  </si>
  <si>
    <t>Estatus</t>
  </si>
  <si>
    <t>Sipdus</t>
  </si>
  <si>
    <t>Informativa</t>
  </si>
  <si>
    <t>Acir 92.5 FM</t>
  </si>
  <si>
    <t>Radioescucha</t>
  </si>
  <si>
    <t>Panorama Informativo Pachuca</t>
  </si>
  <si>
    <t>Radio local</t>
  </si>
  <si>
    <t>Positiva</t>
  </si>
  <si>
    <t>Eulalio Larrieta agradece a Jair Martínez de la SEGOBH, porque esta al pendiente de lo que se necesite y los reportes.</t>
  </si>
  <si>
    <t>Eulalio Larrieta</t>
  </si>
  <si>
    <t>Segobh</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</si>
  <si>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</si>
  <si>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</si>
  <si>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</si>
  <si>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</si>
  <si>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</si>
  <si>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</si>
  <si>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Presidencia</t>
  </si>
  <si>
    <t>SSPH</t>
  </si>
  <si>
    <t>Otros</t>
  </si>
  <si>
    <t>Negativa</t>
  </si>
  <si>
    <t>Gobernador</t>
  </si>
  <si>
    <t>Andrés Torres</t>
  </si>
  <si>
    <t>Súper Stéreo 100.5 FM</t>
  </si>
  <si>
    <t>Rodolfo López</t>
  </si>
  <si>
    <t>Enfoque Regional Meridiano</t>
  </si>
  <si>
    <t>Enfoque Regional Matutino</t>
  </si>
  <si>
    <t>TV local</t>
  </si>
  <si>
    <t>Auxilio a la ciudadanía</t>
  </si>
  <si>
    <t>Canal del Pueblo</t>
  </si>
  <si>
    <t>Vocales Radio</t>
  </si>
  <si>
    <t>Planeación</t>
  </si>
  <si>
    <t>Ultra 102.9 FM</t>
  </si>
  <si>
    <t>Ultra Noticias1</t>
  </si>
  <si>
    <t>Daniel Martínez</t>
  </si>
  <si>
    <t>Atención Ciudadana</t>
  </si>
  <si>
    <t>Jesús González</t>
  </si>
  <si>
    <t>Día</t>
  </si>
  <si>
    <t>Radiodifusora</t>
  </si>
  <si>
    <t>Programa</t>
  </si>
  <si>
    <t>Clasificación</t>
  </si>
  <si>
    <t>Autor</t>
  </si>
  <si>
    <t>Género</t>
  </si>
  <si>
    <t>Gobierno del estado</t>
  </si>
  <si>
    <t>Noticia</t>
  </si>
  <si>
    <t>Opinión</t>
  </si>
  <si>
    <t>Boletín</t>
  </si>
  <si>
    <t>Alcaldías</t>
  </si>
  <si>
    <t>Presidencia de la República</t>
  </si>
  <si>
    <t>Entrevista</t>
  </si>
  <si>
    <t>Recuento</t>
  </si>
  <si>
    <t>Día actual</t>
  </si>
  <si>
    <t>Día anterior</t>
  </si>
  <si>
    <t>Radiodifusoras</t>
  </si>
  <si>
    <t>La Poderosa Tuxpan 93.1 FM</t>
  </si>
  <si>
    <t>NN Nuestras Noticias Zona Norte</t>
  </si>
  <si>
    <t>Liz Argüelles</t>
  </si>
  <si>
    <t>Abasto De Agua</t>
  </si>
  <si>
    <t>PGJEH</t>
  </si>
  <si>
    <t>Semarnath</t>
  </si>
  <si>
    <t>Congreso</t>
  </si>
  <si>
    <t>Combate Al Huachicol</t>
  </si>
  <si>
    <t>SSH</t>
  </si>
  <si>
    <t>Radio Lobo 96.7 FM</t>
  </si>
  <si>
    <t>Enlace Noticias</t>
  </si>
  <si>
    <t>Gina Lorenzo</t>
  </si>
  <si>
    <t>Homicidios</t>
  </si>
  <si>
    <t>Ataque Armado</t>
  </si>
  <si>
    <t>Plan Nacional De Vivienda</t>
  </si>
  <si>
    <t>Vía telefónica el reporte de Bombero y Protección Civil con Abner Yáñez informa de las diversas emergencias reportadas por la ciudadanía y que fueron atendidas.</t>
  </si>
  <si>
    <t>Detención de policía</t>
  </si>
  <si>
    <t>Milton Cortés</t>
  </si>
  <si>
    <t>Día del maestro</t>
  </si>
  <si>
    <t>IMSS Bienestar</t>
  </si>
  <si>
    <t>TV Cable hidalguense Canal 6</t>
  </si>
  <si>
    <t>Contigo Noticias</t>
  </si>
  <si>
    <t>Turismo</t>
  </si>
  <si>
    <t>Juan Carlos Santamaria</t>
  </si>
  <si>
    <t>Detención</t>
  </si>
  <si>
    <t>NQ 90.1 FM</t>
  </si>
  <si>
    <t>Enlace Hidalgo2</t>
  </si>
  <si>
    <t>Irving Sánchez</t>
  </si>
  <si>
    <t>Jesús Riveros</t>
  </si>
  <si>
    <t>Ke Buena 106.7 FM</t>
  </si>
  <si>
    <t>Noticias 106.7</t>
  </si>
  <si>
    <t>Localización de cuerpo</t>
  </si>
  <si>
    <t>David Cárdenas</t>
  </si>
  <si>
    <t>Enlace Hidalgo1</t>
  </si>
  <si>
    <t>Partidos</t>
  </si>
  <si>
    <t>Impericia</t>
  </si>
  <si>
    <t>Entrega de infraestructura escolar</t>
  </si>
  <si>
    <t>Ejecuciones</t>
  </si>
  <si>
    <t>Tauromaquia</t>
  </si>
  <si>
    <t>Mesas de acercamiento</t>
  </si>
  <si>
    <t>Cultura</t>
  </si>
  <si>
    <t>Hidalgo en Los Pinos</t>
  </si>
  <si>
    <t>Indicación geográfica</t>
  </si>
  <si>
    <t>Audioescándalo</t>
  </si>
  <si>
    <t>Nacionales Conade</t>
  </si>
  <si>
    <t>Seguridad Social</t>
  </si>
  <si>
    <t>Deuda Pública</t>
  </si>
  <si>
    <t>SSH: Apoyos funcionales y atención médica especializada para las familias de Huehuetla.</t>
  </si>
  <si>
    <t>Apoyos funcionales</t>
  </si>
  <si>
    <t>Hidalgo reunió a más de 12 mil asistentes en su encuentro artístico en Los Pinos.</t>
  </si>
  <si>
    <t>Embajadora de Sudáfrica recorre Centro Gastronómico de Santiago de Anaya.</t>
  </si>
  <si>
    <t>Mundial De Futbol</t>
  </si>
  <si>
    <t>Hidalgo invita al sector turístico a sumarse a “La Gran Escapada”.</t>
  </si>
  <si>
    <t>Impulso Al Turismo</t>
  </si>
  <si>
    <t>Prevención De Embarazo Adolescente</t>
  </si>
  <si>
    <t>Andrés Torres recomienda leer su columna "Las Vocales Extraviadas", en la que habla de: El gobernador de Hidalgo, Julio Menchaca Salazar, ha intensificado su política de seguridad pública, implementando "cero tolerancia" a la corrupción policial y un enfoque fuerte contra el crimen organizado. Asegura que la ley se aplica de manera justa y que todos los delincuentes serán castigados, sin distinción. Recientemente, se han realizado detenciones de policías y funcionarios públicos acusados de delitos graves, lo que marca el inicio de una operación de limpieza en el estado. Menchaca Salazar enfatiza que la conectividad de Hidalgo atrae a criminales y que hay una "Alerta preventiva" debido al aumento de homicidios en áreas cercanas. A pesar de esto, se rechazan las "alertas de viaje internacionales" al considerar que el estado es seguro. El secretario de Seguridad Pública, Salvador Cruz Neri, está alineado con esta política, ordenando cambios en mandos ineficientes y respondiendo a quejas ciudadanas sobre prácticas corruptas.</t>
  </si>
  <si>
    <t>Combate a la corrupción</t>
  </si>
  <si>
    <t>Un sujeto perdió la vida al ser atacado con arma de fuego en Tula de Allende, en un hecho registrado sobre la calle Josefa Ortiz de Domínguez, en el Barrio Alto. De acuerdo con la policía municipal de Tula de Allende, mediante una llamada de emergencia se dio aviso sobre disparos de arma de fuego en esa vialidad, lo que generó la movilización de elementos de seguridad. Por este hecho, personal de la Procuraduría General de Justicia del Estado de Hidalgo (PGJEH) inició la carpeta de investigación correspondiente para esclarecer el homicidio ocurrido en Tula de Allende, Hidalgo.</t>
  </si>
  <si>
    <t>La mañana de este jueves, se presentó un accidente vial en Mineral de la Reforma, el cual dejó una persona lesionada y considerables daños materiales. De acuerdo con la Policía municipal, este percance se presentó en la estación de servicio ubicada en el acceso principal a la colonia La Providencia, en el que un vehículo particular y una camioneta se vieron involucrados.</t>
  </si>
  <si>
    <t>Accidente Vial</t>
  </si>
  <si>
    <t>En sus redes sociales el secretario de la SEPH, Natividad Castrejón comparte: Hoy quiero expresar mi reconocimiento y gratitud a todas las maestras y maestros que, con pasión, entrega y un profundo compromiso, acompañan y transforman la vida de miles de estudiantes en Hidalgo. Su vocación inspira, guía y deja huella todos los días dentro y fuera del aula. Gracias por ser pieza fundamental en la construcción de una educación más humana, integral y de excelencia para nuestras niñas, niños y jóvenes.</t>
  </si>
  <si>
    <t>Invitan a participar en convocatoria de Becas de Posgrado 2026 a comunidad de la UAEH</t>
  </si>
  <si>
    <t>Becas De Posgrado</t>
  </si>
  <si>
    <t>Andrés Torres comenta que hoy no cuentan con computadora, no tienen internet, no hay teléfono y trabajan con su propio equipo, que todo lo que se ve ahí es de ellos para traerle la mejor información a su público y todavía cuando dicen las cosas, cuando las investigan, ser enojan cuando las dicen.</t>
  </si>
  <si>
    <t>Andrés Torres comenta que en Tulancingo la señal de televisión del canal del Pueblo tiene más de un año fuera porque la antena no funciona y agradece que quienes a pesar de no tener señal de radio en la huasteca y de televisión en Tulancingo, los siguen el Facebook</t>
  </si>
  <si>
    <t>Andrés Torres informa que la señal del 1010 AM de El Vocero Huasteco está fuera del aire desde hace más de un mes, pero sí se escuchan en 92.7 FM. Está estación insignia que transmite en náhuatl y castellano. Señala que están esperando que el área administrativa haga su deber y deje a un lado las "grillas" y se pongan a trabajar, dejen de señalar culpas y hagan lo que tienen que hacer. La Secretaría de Gobierno ya tomó cartas en el asunto y verán que muy pronto vamos a volver al aire, aseveró.</t>
  </si>
  <si>
    <t>Hoy inician las obras de bacheo y concreto hidráulico en el bulevar Las Torres, con dirección de la carretera México-Pachuca hacia la carretea Pachuca- Ciudad- Sahagún.</t>
  </si>
  <si>
    <t>Rehabilitación carretera</t>
  </si>
  <si>
    <t>Sobre el audio del alcalde de Pachuca, Jorge Reyes donde amenazaba a los trabajadores con despedirlos si no compartían y daban like a sus publicaciones de redes sociales, el gobernador Julio Menchaca dijo que sus palabras fueron descontextualizadas y que es importante que las actividades del gobierno sean conocidas, pero se debe ser cuidadoso en el tema.</t>
  </si>
  <si>
    <t>Vía telefónica Milton Cortés informó que taxistas llevaron a cabo este jueves una manifestación en las instalaciones de la Secretaría de Movilidad y Transporte de Hidalgo (Semot) tras la retención de la unidad de uno de sus compañeros, un conductor de la tercera edad, durante un operativo de revisión documental. Durante varias horas, representantes de la organización mantuvieron un diálogo con autoridades de la Semot, logrando finalmente un acuerdo para liberar la unidad retenida. Además, se otorgó un plazo al taxista para regularizar su documentación y evitar sanciones futuras. Asimismo pidieron se revise la tarifa y se considere un incremento que oscile entre los 50 y los 60 pesos.</t>
  </si>
  <si>
    <t>En sesión ordinaria, diputadas y diputados integrantes de la LXVI Legislatura avalaron con 24 votos a favor, cero en contra y cero abstenciones, el dictamen que autoriza a 26 municipios a gestionar y contratar con la o las instituciones financieras o de crédito que ofrezcan las mejores condiciones de mercado, uno o varios financiamientos de largo plazo, hasta por el monto, destino, plazos, términos, condiciones y características que en éste se establecen, para que afecten como fuente de pago del o los financiamientos que contraten, un porcentaje del derecho a recibir y los flujos de recursos que individualmente les correspondan del Fondo de Aportaciones para la Infraestructura Social Municipal y de las Demarcaciones Territoriales del Distrito Federal, emitido por la primera Comisión Permanente de Hacienda y Presupuesto. El legislador Miguel Ángel Moreno Zamora (Morena) detalló que los municipios beneficiados serán: Atlapexco, Calnali, Chapulhuacán, Eloxochitlán, Huautla, Huehuetla, Huejutla, Jacala, Juárez, La Misión, Lolotla, Metztitlán, Molango, Pacula, Pisaflores, San Bartolo Tutotepec, Tenango, Tepehuacán, Tianguistengo, Tlahuiltepa, Tlanchinol, Xochiatipan, Xochicoatlán, Yahualica, Zacualtipán y Zimapán.</t>
  </si>
  <si>
    <t>En un ambiente de alegría y convivencia, maestras y maestros de la Organización XI celebraron el Día de la Maestra y el Maestro en la región Huasteca Hidalguense, en un encuentro donde se reconoció su vocación, compromiso y entrega en favor de la educación. Durante el festejo participaron docentes de los municipios de Huautla, Xochiatipan, Atlapexco, Yahualica, Calnali y Yatipán, quienes refrendaron su compromiso con la formación de las nuevas generaciones y con el fortalecimiento de #LaNuevaHistoriaDelMagisterio. En el evento se contó con la presencia del secretario de Educación Pública de Hidalgo, Naty Castrejón; del representante del CEN del SNTE en la Sección 15, Jesús Jaime Rochín Carrillo; así como de los diputados locales Jorge Arguelles y Alejandro Pérez, además de presidentes municipales de la región. Las autoridades destacaron la importancia del trabajo docente como pieza fundamental para el desarrollo educativo y social de Hidalgo.</t>
  </si>
  <si>
    <t>El gobernador Julio Menchaca asistirá a un evento con motivo del Día del Maestro, don de hará un reconocimiento a su labor.</t>
  </si>
  <si>
    <t>El gobernador en sus redes sociales comparte: Trabajamos en equipo con nuestra Presidenta Claudia Sheinbaum para consolidar un sistema de salud con calidad para todas y todos. Nos reunimos con gobernadoras y gobernadores incorporados al IMSS Bienestar para dar seguimiento a los avances de este sistema de salud.</t>
  </si>
  <si>
    <t>Menchaca y Sheinbaum verifican avances del IMSS Bienestar en Hidalgo</t>
  </si>
  <si>
    <t>Una persona sin vida y en avanzado estado de descomposición fue localizado al interior de una vivienda ubicada el fraccionamiento Paseos de la Pradera, dentro del municipio de Atotonilco de Tula. El hallazgo fue realizado la tarde del miércoles 13 de mayo, luego de que vecinos en la zona reportaran fuertes olores fétidos provenientes del interior de la vivienda. Elementos policiacos ingresaron a esta junto con personal de Protección Civil, luego de obtener autorización para ello, confirmando que al interior se encontraba el cuerpo de una persona, que posteriormente se identificó como A.S.R., de 52 años de edad. Hasta el momento, las autoridades informaron que el cuerpo no presentaba signos visibles de violencia; serán los estudios forenses y la necropsia de ley los que determinen las causas exactas del fallecimiento.</t>
  </si>
  <si>
    <t>Uno de los edificios que actualmente se encuentran en construcción en la ciudad de Pachuca tuvo una trágica incidencia por la tarde de este jueves 14 de mayo, cuando fue reportada la muerte de uno de los trabajadores, luego de que este cayera al vacío desde al menos siete pisos de altura. Razón por la cual, agentes de la Policía municipal que acudieron en coordinación con los galenos procedieron a levantar un acordonamiento para proteger el lugar del hecho y se pidió la presencia de peritos de la Procuraduría General de Justicia del Estado de Hidalgo (PGJEH), quienes custodiaron el cuerpo.</t>
  </si>
  <si>
    <t>Levantamiento De Cuerpo</t>
  </si>
  <si>
    <t>Elementos de la Procuraduría General de Justicia del Estado de Hidalgo (PGJEH), informaron la detención de un adolescente de identidad reservada realizada por elementos de Seguridad Pública municipal , luego de lesionar con un machete a otra persona. De acuerdo a los primeros reportes, el probable responsable de 15 años es señalado por el delito de lesiones calificadas y fue detenido por la policía y remitido a la Fiscalía de Adolescentes de Pachuca. Según la información recabada, el afectado recibió un machetazo en el abdomen y fue trasladado de urgencia al Hospital Regional de la Huasteca, su estado de salud es reportado como estable; mientras tanto la situación legal del menor se determinará en la Fiscalía de Adolescentes en la capital del estado, derivado a una carpeta de investigación iniciada por la PGJEH.</t>
  </si>
  <si>
    <t>Un hombre perdió la vida en la entrada de su vivienda, luego de ser atacado con arma de fuego por un grupo de sujetos que llegaron al sitio para realizar el ataque directo. La situación se registró la tarde del miércoles 13 de mayo, en la colonia Barrio Alto, dentro del municipio de Tula de Allende, donde los atacantes huyeron del sitio inmediatamente después de balear a la víctima. Personas que se encontraban cerca del sitio donde se registró el ataque, solicitaron el apoyo de elementos policiacos, quienes acudieron junto con paramédicos; estos últimos confirmaron que el hombre atacado ya no contaba con signos vitales. Se realizó operativo para la búsqueda y eventual localización de los responsables del ataque, sin que hasta el momento se haya reportado detención alguna. Personal de la Procuraduría General de Justicia del Estado de Hidalgo inició las investigaciones respectivas al caso, con el levantamiento de pruebas y testimoniales.</t>
  </si>
  <si>
    <t>El partido Movimiento Regeneración Nacional (Morena) justificó las declaraciones del alcalde de Pachuca, Jorge Alberto Reyes Hernández, y aseguró que "está bajo mucha presión" y no utilizó las palabras correctas, pero respaldó la petición de compartir los logros del ayuntamiento. En conferencia de prensa, el dirigente estatal morenista, Marco Antonio Rico Mercado, fue cuestionado sobre el audio que se viralizó, en el cual Reyes Hernández exigió a sus trabajadores compartir sus publicaciones en sus redes sociales personales o, en caso contrario, se les "daría las gracias". El líder justificó al presidente municipal morenista bajo el argumento de que se encuentra bajo presión por difundir los logros de su administración ante un contexto de "calumnias en redes sociales". Como ejemplo, mencionó que en la instalación de Consejos Municipales en las 84 demarcaciones hidalguenses, se les están asignando tareas, entre las cuales está la difusión de sus logros de los gobiernos de la Cuarta Transformación (4T) para amortiguar la desinformación y "guerra sucia" en contra del partido guinda.</t>
  </si>
  <si>
    <t>Morena</t>
  </si>
  <si>
    <t>En cabina Hugo Flores, Secretario de Campo de Tulancingo y Gabriel Valdez informaron que el municipio de Tulancingo será sede de la Feria de los Girasoles 2026, un evento que busca impulsar la convivencia familiar, el talento local y la promoción cultural durante los días 16 y 17 de mayo. Las actividades se desarrollarán sobre el bulevar Nuevo San Nicolás y comenzarán ambos días a partir de las 10:00 de la mañana con presentaciones musicales, talleres, gastronomía y actividades recreativas.</t>
  </si>
  <si>
    <t>Evento turístico</t>
  </si>
  <si>
    <t>La propuesta fue avalada durante sesión ordinaria con 24 votos a favor, sin votos en contra ni abstenciones. El esquema permitirá que los ayuntamientos utilicen un porcentaje del Fondo de Aportaciones para la Infraestructura Social Municipal como garantía de pago. El presidente de la Comisión de Hacienda y Presupuesto, Miguel Ángel Moreno Zamora, explicó que la medida busca agilizar el acceso a recursos para las demarcaciones afectadas, sin generar afectaciones severas a las finanzas municipales. Entre los municipios incluidos se encuentran Atlapexco, Calnali, Chapulhuacán, Eloxochitlán, Huautla, Huehuetla, Huejutla de Reyes, Jacala de Ledezma, Juárez Hidalgo, La Misión, Lolotla, Metztitlán, Molango de Escamilla, Pacula, Pisaflores, San Bartolo Tutotepec, Tenango de Doria, Tepehuacán de Guerrero, Tianguistengo, Tlahuiltepa, Tlanchinol, Xochiatipan, Xochicoatlán, Yahualica, Zacualtipán de Ángeles y Zimapán. Los montos autorizados varían dependiendo de cada municipio. Eloxochitlán podrá acceder hasta a 3 millones de pesos, mientras que Huejutla de Reyes tendrá la posibilidad de contratar más de 66 millones de pesos.</t>
  </si>
  <si>
    <t>Hidalgo inaugura la Sala de Población Interactiva, un espacio único en el país para promover la cultura demográfica</t>
  </si>
  <si>
    <t>Sala interactiva</t>
  </si>
  <si>
    <t>El director de la Comisión de Agua y Alcantarillado del Municipio de Tulancingo (CAAMT), Enzo Balderas Castro, informó que continúan los trabajos preventivos y de limpieza en distintos puntos del municipio para disminuir afectaciones durante la temporada de lluvias. Entre las acciones realizadas destacó labores en el dren Buenos Aires, así como en el Río Tulancingo, particularmente a la altura de la colonia Estrella. También señaló que ya fueron atendidos puntos cercanos a la Universidad Politécnica de Tulancingo (UPT). De acuerdo con el funcionario, hasta el momento se han trabajado 5 mil 784 metros lineales como parte de las acciones de limpieza y mantenimiento.Respecto a las problemáticas registradas en colonias como Vicente Guerrero e Insurgentes, donde constantemente se presentan encharcamientos durante las lluvias, Balderas Castro explicó que desde enero comenzaron con la limpieza de alcantarillas y líneas de drenaje, trabajos que continúan actualmente. Indicó que una de las principales dificultades en esa zona es que el drenaje resulta insuficiente para la cantidad de agua que se acumula, además de tratarse de una problemática que lleva varios años sin resolverse. Añadió que durante las jornadas de limpieza han retirado grandes cantidades de basura, situación que también contribuye a las inundaciones y taponamientos.</t>
  </si>
  <si>
    <t>Desazolve</t>
  </si>
  <si>
    <t>Hidalgo registró una disminución de 17.8 por ciento en homicidios dolosos durante el primer cuatrimestre de 2026, de acuerdo con datos presentados por el Secretariado Ejecutivo del Sistema Nacional de Seguridad Pública. Durante la conferencia encabezada por la presidenta Claudia Sheinbaum, la titular del organismo, Marcela Figueroa Franco, informó que en abril la entidad acumuló 21 casos de homicidio doloso, cifra que representa el 1.3 por ciento del total nacional. La funcionaria detalló que el promedio nacional mensual fue de 49.2 homicidios dolosos, por lo que Hidalgo se mantuvo por debajo de la media nacional. Además, señaló que 26 estados registraron una reducción en el promedio diario de homicidios al comparar el periodo de enero a abril de 2025 con el mismo lapso de 2026, entre ellos Hidalgo. En el informe también se indicó que Chihuahua y Guanajuato encabezaron la lista nacional con 129 homicidios cada uno, seguidos de Morelos, Baja California, Sinaloa, Estado de México, Veracruz y Guerrero. A nivel nacional, el promedio diario de delitos de alto impacto presentó una reducción de 52.2 por ciento en comparación con 2018, según los datos expuestos durante la conferencia federal.</t>
  </si>
  <si>
    <t>Los gobiernos municipales son responsables de que sus elementos policiacos cumplan con los requisitos legales para estar en funciones dentro de las corporaciones locales en el Estado de Hidalgo. La declaración fue realizada por Guillermo Olivares Reyna, Secretario General de Gobierno estatal, tras la detención esta semana de once elementos de Seguridad Pública de los municipios de Tezontepec de Aldama y Progreso de Obregón. “Lo que les hemos exhortado y esto es año con año, es de que se den tiempo de su cuerpo policial, de que cubran los distintos requisitos que por ley lo deben de cubrir. Al final de cuentas, si cubren con esos requisitos, necesariamente las cosas cambian para bien”. Enfatizó que dentro de los gobiernos municipales debe existir disciplina para que sus cuerpos policiacos laboren adecuadamente. “No se puede pensar en un cuerpo policial profesional si no hay disciplina, si no hay orden y esto desde luego en primera instancia le corresponde instaurarlo al ayuntamiento, es el responsable”. Respecto al municipio de Tezontepec de Aldama, que actualmente no forma parte del esquema de Mando Coordinado con el gobierno estatal, Olivares Reyna indicó que cada municipio, en ejercicio de su autonomía, decide si se incorpora o no a este modelo de seguridad. Aseguró que desde el inicio de la administración estatal se ha ofrecido a los 84 municipios de Hidalgo la posibilidad de trabajar de manera coordinada con el estado a través de esta estrategia, aunque la adhesión depende de cada gobierno municipal. Señaló que el gobierno estatal “no se lava las manos” y continuará brindando respaldo y acompañamiento a los municipios dentro del marco de respeto a su autonomía. “Seguiremos acompañándolos siempre tomando en cuenta el respeto institucional pero cuando ellos nos requieran ahí estamos y con mucho gusto”.</t>
  </si>
  <si>
    <t>Bienestar</t>
  </si>
  <si>
    <t>El secretario de Educación Pública (SEP), Mario Delgado Carrillo, anunció el aumento salarial de 9% a los docentes como un “gran reconocimiento” a su labor en el país. Durante el acto de celebración por el Día de las Maestras y los Maestros en la sede histórica de la SEP, el funcionario dijo que ese aumento “refleja la voluntad de la propuesta de México por mejorar de manera permanente las condiciones laborales económicas del magisterio”.</t>
  </si>
  <si>
    <t>Aumento salarial</t>
  </si>
  <si>
    <t>La Coordinación Nacional de Protección Civil (CNPC), adscrita a la Secretaría de Seguridad y Protección Ciudadana (SSPC), puso en marcha un operativo de coordinación con las 32 entidades del país para fortalecer las acciones preventivas ante el inicio de la temporada de huracanes 2026. De acuerdo con el Servicio Meteorológico Nacional (SMN), dependiente de la Comisión Nacional del Agua (Conagua), el periodo de lluvias y ciclones tropicales comienza este 15 de mayo en el océano Pacífico, mientras que en el Atlántico iniciará el 1 de junio, lo que marca el arranque formal de la vigilancia meteorológica en el país. Como parte de las medidas preventivas, la CNPC instruyó a los gobiernos estatales a intensificar la supervisión de zonas vulnerables a inundaciones y deslaves, además de reforzar trabajos de desazolve en drenajes, canales y sistemas pluviales para reducir riesgos durante las lluvias intensas.</t>
  </si>
  <si>
    <t>Alerta Meteorológica</t>
  </si>
  <si>
    <t>Un hombre presuntamente se quitó la vida al interior de su domicilio, ubicado en Tepeapulco, luego de sostener una discusión con su pareja sentimental. De acuerdo con la Policía municipal, a través de una llamada de emergencia se reportaron detonaciones de arma de fuego en la comunidad Tultengo. Al arribar al lugar, los oficiales localizaron a un hombre sin signos vitales, quien presentaba un impacto de proyectil. Según las primeras indagatorias en el sitio, el individuo habría discutido con su pareja antes de presuntamente accionar el arma contra sí mismo. Por estos hechos, personal de la Procuraduría General de Justicia del Estado de Hidalgo (PGJEH) acudió al sitio para realizar el acordonamiento, llevar a cabo el levantamiento del cuerpo e iniciar la carpeta de investigación correspondiente.</t>
  </si>
  <si>
    <t>Suicidio</t>
  </si>
  <si>
    <t>Se reúnen en Hidalgo representantes de la industria cinematográfica.</t>
  </si>
  <si>
    <t>Producción audiovisual</t>
  </si>
  <si>
    <t>El titular de la Secretaría de Gobierno del Estado, Guillermo Olivares Reyna, refirió que son los municipios a quienes les corresponde la tarea de garantizar que sus elementos de seguridad pública cumplan con los requisitos y estándares para ser uniformados, esto tras la detención de varios policías de Tezontepec de Aldama. Para ello, han realizado en conjunto revisiones de manera coordinada y se les invita a adherirse al Mando Coordinado para garantizar la confiabilidad de sus elementos, “hemos ofrecido una y otra vez la coadyuvancia para con ellos, la metodología que aterriza el mando coordinado” expresó.</t>
  </si>
  <si>
    <t>Una mujer originaria de Tulancingo resultó con traumatismo facial y múltiples lesiones que pusieron en riesgo su vida luego de ser presuntamente agredida por un familiar en la comunidad de San Miguel Regla, municipio de Huasca de Ocampo. La víctima, identificada con las iniciales E.G.M., de cuarenta y nueve años de edad, presentó una denuncia ante la Procuraduría General de Justicia del Estado de Hidalgo (PGJEH) contra su primo G.M.O. por violencia familiar, lesiones y amenazas. De acuerdo con el testimonio de la agraviada, el conflicto inició por el cierre de un canal de riego que, con autorización del encargado, fue bloqueado debido a filtraciones que afectaban su terreno. La mujer relató que el señalado reaccionó de forma violenta contra un adulto mayor tras enterarse del cierre. Posteriormente, ella acudió junto con su madre para dialogar y evitar que la situación escalara, pero recibió un golpe con la cacha de una pistola y un puñetazo en el rostro. La agresión le provocó la pérdida del conocimiento, por lo que fue trasladada en estado crítico a una clínica particular, donde tuvieron que reconstruirle el rostro. Actualmente permanece en recuperación y señaló que no había podido ampliar su declaración debido a su estado físico y emocional. La denunciante manifestó que teme por su vida y por la seguridad de su familia, ya que aseguró que el presunto agresor suele portar armas de fuego y, pese a la denuncia, continúa en libertad. También afirmó que el hombre ya había ejercido violencia contra otros familiares. Añadió que las lesiones le han impedido trabajar y realizar sus actividades cotidianas, además de que ha tenido que gastar todos sus ahorros en atención médica. Indicó que desconoce si podrá recuperar completamente la apariencia de su rostro. Según el dictamen de la otorrinolaringóloga que la atiende, la víctima presentó traumatismo facial, fractura multifragmentada de huesos propios de la nariz, fractura de maxila, fractura de premaxila y ruptura de cartílago septal, entre otras lesiones. Además, reportó problemas para respirar y pérdida temporal del olfato.</t>
  </si>
  <si>
    <t>Violencia familiar</t>
  </si>
  <si>
    <t>Hidalgo prioriza acciones a favor de su biodiversidad. (AUDIO ERG).</t>
  </si>
  <si>
    <t>OCSAD</t>
  </si>
  <si>
    <t>Conservación de especies</t>
  </si>
  <si>
    <t>Menchaca y Sheinbaum verifican avances del IMSS Bienestar en Hidalgo.</t>
  </si>
  <si>
    <t>En su colaboración semanal, Gustavo Rosales habló sobre los resultados de los Nacionales Conade, en donde, la delegación hidalguense conquistó dos preseas de bronce en la disciplina de boxeo por conducto de Perla Nazaret Castillo Hernández en la categoría sub19 de 65 kg: Carlos Jayden Morales Carranza también en la categoría sub19 de 55 kg. Siguen sumándose las medallas para los atletas hidalguenses, aunque, Hidalgo ha bajado en la clasificación general, ubicándose en el lugar 18 del medallero.</t>
  </si>
  <si>
    <t>Financiamiento municipios</t>
  </si>
  <si>
    <t>Hidalgo prioriza acciones a favor de su biodiversidad,</t>
  </si>
  <si>
    <t>El manejo del agua potable volvió a colocarse en el centro del debate político en Huichapán, luego de que durante la más reciente sesión de Cabildo resurgieran señalamientos relacionados con el presunto uso de recursos del organismo operador para abastecer a una empresa privada. El regidor Omar Minutti retomó públicamente las acusaciones en contra de Mauricio Yáñez, titular de la Comisión de Agua Potable, Alcantarillado y Saneamiento del municipio, al cuestionar las acciones emprendidas por el gobierno municipal frente a los señalamientos sobre el supuesto suministro de agua mediante pipas oficiales a una empresa laminadora presuntamente vinculada a este funcionario. Ante los cuestionamientos, la presidenta municipal de Huichapán Mtra. Yeymi Yadira Solís respondió que corresponde a las instancias competentes realizar las investigaciones y determinar cualquier posible responsabilidad al señalar que existen autoridades facultadas para atender este tipo de asuntos, AUDIO APOYO</t>
  </si>
  <si>
    <t>Luego de ligero error de la senadora Simey Olvera Bautista, en donde citó incorrectamente una frase de Benito Juárez, la senadora ya hizo un pronunciamiento a través de sus redes sociales desde la plaza Juárez en Pachuca, AUDIO VIDEO</t>
  </si>
  <si>
    <t>Aspirantes</t>
  </si>
  <si>
    <t>Sucesión gubernamental</t>
  </si>
  <si>
    <t>La presidenta municipal Ana Elsa Castillo Cea dio el banderazo de inicio a la obra de pavimentación asfáltica en la calle principal de acceso a la comunidad de El Retiro, una acción que transformará la movilidad y mejorará las condiciones de tránsito para las familias de la localidad. Esta importante obra contempla más de 3 mil metros cuadrados de carpeta asfáltica, además de trabajos de compactación, base hidráulica y señalamiento vial, realizándose con recursos propios del Fondo de Reposición, AUDIO APOYO</t>
  </si>
  <si>
    <t>Pavimentación</t>
  </si>
  <si>
    <t>La presidenta municipal Claudia Sandoval continúa fortaleciendo el contacto directo con la ciudadanía a través del programa “Caminando con el Pueblo”, visitando en esta ocasión la comunidad de Cardonal para escuchar y atender de manera cercana las necesidades de las familias. Acompañada por titulares y personal de distintas áreas del Gobierno Municipal, la alcaldesa dialogó con vecinas y vecinos, dando seguimiento puntual a sus solicitudes y reafirmando el compromiso de construir soluciones desde el territorio y junto al pueblo.Con acciones como esta, el Gobierno de la Transformación de Atitalaquia sigue impulsando una administración cercana, humana y comprometida con el bienestar de todas y todos, AUDIO APOYO</t>
  </si>
  <si>
    <t>Peculado</t>
  </si>
  <si>
    <t>Hidalgo prioriza acciones a favor de su biodiversidad, AUDIO APOYO</t>
  </si>
  <si>
    <t>La presidenta de México, Claudia Sheinbaum Pardo, destacó que su gobierno destina cerca de 12.000 millones de pesos en acciones para prevenir inundaciones y proteger la vida de las personas. Además, informó que a través de la Comisión Nacional del Agua, la CONAGUA, y en coordinación con gobiernos estatales y municipales, se realizan 23.000 obras de agua potable, drenaje y saneamiento en alrededor de 2.300 municipios del país. En Hidalgo, se realizan obras de protección del río Tula, así lo detalló el director general de la CONAGUA, Efraín Morales López.</t>
  </si>
  <si>
    <t>Prevención De Riesgos</t>
  </si>
  <si>
    <t>El gobernador Julio Menchaca afirmó que la detención del director y subdirector de Seguridad Pública de Tezontepec de Aldama, así como de un ex-elemento policial presuntamente relacionados con actividades delictivas, deriva exclusivamente del avance de carpetas de investigación y no de motivaciones políticas, AUDIO APOYO JMS</t>
  </si>
  <si>
    <t>Desde Palacio Nacional, en Ciudad de México, el mandatario estatal reiteró el compromiso del gobierno de Hidalgo para garantizar una atención integral y de calidad para toda la población hidalguense.” Muy buena tarde, les saludo desde Palacio Nacional, después de una reunión muy fructífera con la presidenta Claudia Sheinbaum,sobre el avance que tenemos en el programa del IMSS-Bienestar”</t>
  </si>
  <si>
    <t>El secretario de Educación Pública de Hidalgo, Natividad Castrejón Valdés en sus redes sociales reconoció el compromiso, la vocación y el esfuerzo diario de las maestras y maestros hidalguenses, AUDIO APOYO</t>
  </si>
  <si>
    <t>Julio Menchaca Salazar, en sus redes sociales emitió un mensaje de reconocimiento y felicitación dirigido a las maestras y maestros hidalguenses, AUDIO APOYO</t>
  </si>
  <si>
    <t>Alerta De Fraude</t>
  </si>
  <si>
    <t>Un grupo de taxistas de la organización de Tamexun, se manifestaron en las oficinas de la Secretaría de Movilidad en Pachuca, piden que los dejen trabajar, porque según ellos, los multan por cualquier cosa. AUDIO MANIFESTANTE APOYO</t>
  </si>
  <si>
    <t>Supervisión de Transporte</t>
  </si>
  <si>
    <t>La Secretaría del Trabajo y Previsión Social de Hidalgo inauguró la exposición Voces de la Justicia Laboral, una muestra histórica que reúne expedientes sobre conflictos obreros y mineros registrados en la entidad. Entre 1924 y 1975, la exposición integra dos expedientes de la Junta Local de Conciliación y Arbitraje, donde se documentan casos de accidentes laborales, enfermedades de trabajo y otros temas en el sector minero. Estará abierta al público de manera gratuita del 12 de mayo al 12 de junio en el Archivo General del Estado, ubicado en Pachuca.,</t>
  </si>
  <si>
    <t>STPSH</t>
  </si>
  <si>
    <t>Exposición documental</t>
  </si>
  <si>
    <t>La Secretaría de Gobierno de Hidalgo inauguró la nueva Sala de Población Interactiva en la Biblioteca Ricardo Garibay, un espacio educativo y lúdico impulsado por el COESPO para acercar a niñas, niños, jóvenes y adultos al conocimiento de los cambios sociodemográficos y su impacto en la sociedad. Durante la apertura, el representante del Fondo de Población de las Naciones Unidas en México, destacó que este proyecto es pionero a nivel nacional al convertirse en una herramienta para reducir brechas sociales mediante la educación demográfica.El Secretario de Gobierno, Guillermo Olivares Reina, señaló que la Sala posiciona a Hidalgo como referente nacional en cultura demográfica gracias al trabajo coordinado con organismos nacionales e internacionales y el respaldo del gobernador Julio Menchaca Salazar. Por favor, sea un conducto para invitar a la gente que más pueda a que existe esta Sala Interactiva. Necesitamos aprovechar toda esta infraestructura que alimenta el alma, que nos potencializa como seres humanos. AUDIO DE APOYO,</t>
  </si>
  <si>
    <t>Hablando de este tema del turismo, también hay que decirlo, se aproxima el mundial, faltan 27 días, Hidalgo ya se suma a la estrategia nacional, la gran escapada para fortalecer la promoción turística y abrir nuevas oportunidades de negocio para prestadores de servicios rumbo a este mundial 2026, estamos a 27 días. La iniciativa impulsada por la Canaco Servitur contempla una plataforma digital donde empresas turísticas podrán difundir promociones, paquetes y experiencias para atraer visitantes nacionales e internacionales. AUDIO DE APOYO</t>
  </si>
  <si>
    <t>Hidalgo continúa posicionándose como uno de los destinos audiovisuales más importantes del país, alcanzando en la presente administración 90 filmaciones y grabaciones, la generación de más de 3 mil empleos directos y una derrama económica superior a los 64 millones de pesos. Así lo dio a conocer la Secretaría de Turismo del Estado, Elizabeth Quintanar Gómez, quien destacó en el evento Luces Cámara Hidalgo, Locaciones Hidalgo, que gracias al impulso del gobernador Julio Menchaca Salazar y al trabajo coordinado con los tres órdenes de gobierno, se continúa en la estrategia de promoción de la cultura cinematográfica en los municipios que permita potenciar y difundir la cultura, historia y atractivos turísticos de la entidad como escenario para proyectos audiovisuales. AUDIOS DE APOYO,</t>
  </si>
  <si>
    <t>En el mes de junio el Instituto Hidalguense de la Competitividad Empresarial abrirá la convocatoria para que microempresas hidalguenses que cuenten con al menos un año de operación puedan participar en el programa Hidalgo con Potencial, el cual ofrece un financiamiento de hasta 50 mil pesos para adquirir mobiliario o infraestructura, informó Carlos Martín Pérez Quijano, director del Instituto Hidalguense de Competitividad Empresarial. Este programa va dirigido a negocios, micro negocios, que ya tienen por lo menos dos años de tener trabajando de manera formal ante el SAT y es una forma de impulsarlos para que se sigan desarrollando. AUDIO DE APOYO</t>
  </si>
  <si>
    <t>Sedeco</t>
  </si>
  <si>
    <t>Apoyo A Mipymes</t>
  </si>
  <si>
    <t>El subsecretario de Sustentabilidad y Cambio Climático, Enrique Rojo García, señaló que en lo que va del programa se han rescatado 76 ejemplares de fauna silvestre, principalmente aves, zorros, tlacuaches, armadillos y venados, muchos de ellos detectados en la región huasteca. AUDIO DE APOYO,</t>
  </si>
  <si>
    <t>La Secretaria de Medio Ambiente estatal informó que destina cerca de un millón setecientos mil pesos anuales a programas de conservación y rescate de fauna silvestre con el objetivo de frenar el tráfico ilegal de especies y preservar los ecosistemas en la entidad</t>
  </si>
  <si>
    <t>El secretario de Educación Pública de Hidalgo, Natividad Castrejón Valdés, inauguró un nuevo edificio de tres niveles en la Secundaria General Profesor David Noble, en Mixquiahuala, obra que representó una inversión de 17.3 millones de pesos en beneficio de 579 estudiantes. La nueva infraestructura contempla 11 aulas, 2 talleres y un módulo de sanitarios con el objetivo de fortalecer las condiciones de aprendizaje y brindar espacios dignos y seguros para la comunidad estudiantil. En su mensaje, Castrejón Valdés destacó que el gobierno, encabezado por Julio Menchaca Salazar, mantiene el impulso a obras educativas para mejorar las condiciones de estudio en la entidad. AUDIO DE APOYO,</t>
  </si>
  <si>
    <t>El secretario del Trabajo también se refirió a la Ley Silla. Es de materia federal, la Ley Silla es materia federal, pero nosotros coadyuvamos, acabamos de estar con el Gobierno de México, con el secretario de Trabajo, y nos comprometimos a coadyuvar con ellos. AUDIOS DE APOYO.</t>
  </si>
  <si>
    <t>Ley Silla</t>
  </si>
  <si>
    <t>Siguen los fraudes, los engaños en el tema del trabajo. El secretario de trabajo en este tema, secretario de trabajo aquí en la entidad, Oscar Javier González Hernández, pues refirió que, pues está trabajando para combatir este tipo de fraude, sobre todo a jornaleros agrícolas. AUDIO DE APOYO.</t>
  </si>
  <si>
    <t>Las autoridades de Salud y Agricultura en Hidalgo reportan que por quince meses pudieron contener el avance y la presencia del gusano barrenador en ganado de la entidad, pero sin duda pues esta situación no es exclusiva del Estado, sino de todo el país, y ya desde febrero a la fecha suman 535 casos, a pesar de estos esfuerzos confirmando que pues se presentaron los primeros cuatro contagios en seres humanos. AUDIO DE APOYO</t>
  </si>
  <si>
    <t>Saderh</t>
  </si>
  <si>
    <t>Gusano barrenador</t>
  </si>
  <si>
    <t>Hablando del servicio del transporte público, tanto colectivo como individual, estamos hablando de los taxistas, pues el gobernador de Hidalgo, Julio Menchaca, enfatizó que va a ser muy estricto para que el transporte público cumpla con la ley. AUDIO DE APOYO</t>
  </si>
  <si>
    <t>Ordenamiento de transporte</t>
  </si>
  <si>
    <t>De enero a abril de este año, Hidalgo es el estado número 8 a nivel nacional, por la cantidad de patentes concebidas por el Instituto Mexicano de la Propiedad Industrial, el IMPI, el primer lugar lo ocupa la Ciudad de México, informó Santiago Nieto, el ahora exdirector del Instituto Mexicano de la Propiedad Industrial. AUDIO DE APOYO</t>
  </si>
  <si>
    <t>Radioescucha reporta que ayer los policías de tránsito estaban quitando las placas de los automóviles que estaban estacionados en el estacionamiento de los comercios que están enfrente del estadio.</t>
  </si>
  <si>
    <t>Multas de tránsito</t>
  </si>
  <si>
    <t>Radioescucha vuelve a reportar una fuga de agua en la calle Morelos 108 en colonia Venta Prieta; ya se reportó desde hace días</t>
  </si>
  <si>
    <t>Fuga De Agua</t>
  </si>
  <si>
    <t>Radioescucha reporta falta de agua en La Palma</t>
  </si>
  <si>
    <t>Radioescucha reporta que en Campestre Villas del Álamo, tenemos 5 dias sin agua</t>
  </si>
  <si>
    <t>En sesión ordinaria, diputadas y diputados integrantes de la LXVI Legislatura avalaron con 24 votos a favor, cero en contra y cero abstenciones, el dictamen que autoriza a 26 municipios a gestionar y contratar con la o las instituciones financieras o de crédito que ofrezcan las mejores condiciones de mercado, uno o varios financiamientos de largo plazo, hasta por el monto, destino, plazos, términos, condiciones y características que en éste se establecen, para que afecten como fuente de pago del o los financiamientos que contraten, un porcentaje del derecho a recibir y los flujos de recursos que individualmente les correspondan del Fondo de Aportaciones para la Infraestructura Social Municipal y de las Demarcaciones Territoriales del Distrito Federal, emitido por la primera Comisión Permanente de Hacienda y Presupuesto.El legislador Miguel Ángel Moreno Zamora (Morena) detalló que los municipios beneficiados serán: Atlapexco, Calnali, Chapulhuacán, Eloxochitlán, Huautla, Huehuetla, Huejutla, Jacala, Juárez, La Misión, Lolotla, Metztitlán, Molango, Pacula, Pisaflores, San Bartolo Tutotepec, Tenango, Tepehuacán, Tianguistengo, Tlahuiltepa, Tlanchinol, Xochiatipan, Xochicoatlán, Yahualica, Zacualtipán y Zimapán.</t>
  </si>
  <si>
    <t>Ante el inicio de la temporada de lluvias, la Conagua, a través de la Dirección Local Hidalgo, se encuentra preparada mediante maquinaria y brigadas debidamente capacitadas para brindar respuesta oportuna a las emergencias que pudieran presentarse en la entidad derivadas de fenómenos hidrometeorológicos.En ese sentido, se cuenta con 14 elementos que integran la brigada Conagua en la entidad, quienes cuentan con preparación en materia de atención a sequía, inundaciones, cloración de agua y operación de maquinaria, entre otros.En Hidalgo, la Conagua tiene tres bombas de extracción, dos plantas potabilizadoras, una planta generadora de energía eléctrica, una torre de iluminación y un camión cisterna tipo pipa con capacidad de 10 mil litros, así como un camión plataforma con grúa articulada Hiab, los cuales se encuentran en condiciones óptimas de operación.</t>
  </si>
  <si>
    <t>Instituto Mexicano del Seguro Social (IMSS) en Hidalgo invita a las personas a mantener las medidas necesarias para evitar complicaciones en caso de padecer asma y mantener una adecuada calidad de vida.Durante los cambios en el estado del tiempo las crisis asmáticas pueden detonarse, ya que los cambios bruscos de temperatura, el aire frío y seco, la alta humedad, la contaminación aumentan las crisis de asma al inflamar las vías respiratorias y aumentar los alérgenos.</t>
  </si>
  <si>
    <t>Prevención De Enfermedades</t>
  </si>
  <si>
    <t>El bulevar Las Torres, al sur de la Zona Metropolitana de Pachuca, tendrá nuevos cierres viales a partir del próximo viernes 22 de mayo debido a más obras de rehabilitación.</t>
  </si>
  <si>
    <t>Rehabilitación Vial</t>
  </si>
  <si>
    <t>Larrieta agradece Paola García y Lic. Sarahi Pineda, por estar atentas a los mensajes de la ciudadanía y por atenderlos.</t>
  </si>
  <si>
    <t>La policía municipal de Pachuca dio un paso histórico en materia de dignificación policial al convertirse en la primera corporación municipal de Hidalgo en garantizar a sus elementos el acceso a una vivienda propia, a través del programa impulsado por la presidenta de México, Claudia Sheinbaum Pardo, en coordinación con el Infonavit y gracias al trabajo conjunto y la buena relación institucional entre el gobierno federal, el gobierno del estado y el gobierno municipal.</t>
  </si>
  <si>
    <t>Con el objetivo de fortalecer las acciones de protección, atención y previsión dirigidas a niñas, niños y adolescentes, el gobierno municipal de Mineral de la Reforma llevó a cabo la creación e instalación del Comité Municipal de Prevención de Embarazos en Adolescentes (Comupea). La conformación de este organismo se encuentra sustentada en la Ley de los Derechos de Niñas, Niños y Adolescentes y permitirá establecer mecanismos de coordinación, cooperación y comunicación entre las distintas áreas del gobierno municipal para implementar la “Estrategia Hidalguense para la Prevención de Embarazos en Adolescentes”. Durante la instalación del comité, el presidente municipal, Eduardo Medécigo Rubio, destacó que el embarazo en niñas y adolescentes representa un problema multicausal y culturalmente complejo, además de constituir una consecuencia de violaciones a los derechos humanos, debido a que es una de las principales causas de deserción escolar y afecta directamente el proyecto de vida de quienes enfrentan una maternidad temprana.</t>
  </si>
  <si>
    <t>Hidalgo prioriza acciones a favor de su biodiversidad</t>
  </si>
  <si>
    <t>Incorpora UNIDEH nuevo doctorado a su oferta educativa</t>
  </si>
  <si>
    <t>Oferta educativa</t>
  </si>
  <si>
    <t>Vía telefónica Katia Moreno, informa que este fin de semana se puede acudir al municipio de Atotonilco El Grande a visitar sus atractivos. Asimismo, en este mismo municipio se llevará a cabo el Festival del Cordero y el Mezcal.</t>
  </si>
  <si>
    <t>Festival Gastronómico</t>
  </si>
  <si>
    <t>Katia Moreno</t>
  </si>
  <si>
    <t>La Comisión de Derechos Humanos del Estado de Hidalgo (CDHEH) y la Comisión Nacional de los Derechos Humanos (CNDH) firmaron un convenio de colaboración para fortalecer la capacitación, protección y divulgación de los derechos fundamentales en la entidad. El acuerdo contempla la elaboración y ejecución de planes de estudio, cursos y acciones de formación en modalidades presencial y en línea, orientados a fortalecer el acceso a la educación para la paz y la protección de derechos fundamentales, con incidencia en la vida social y en el fortalecimiento del estado democrático de derecho.</t>
  </si>
  <si>
    <t>CDHEH</t>
  </si>
  <si>
    <t>Firma De Convenio</t>
  </si>
  <si>
    <t>Gobierno de Hidalgo fortalece atención a víctimas de violencia en Tulancingo de Bravo</t>
  </si>
  <si>
    <t>La tarde de ayer en el Salón Pachuca del Tuzofórum, se llevó a cabo una rueda de prensa en la que estuvieron presentes directivos de futbol, representantes de la Secretaría de Turismo, así como de ex jugadores de fútbol, donde se compartieron detalles del “Partido de Leyendas”, encuentro deportivo en el que figuras históricas de los clubes Pachuca y América que será el próximo 30 de mayo a las 16:00 horas en el Estadio Hidalgo.</t>
  </si>
  <si>
    <t>Justa Deportiva</t>
  </si>
  <si>
    <t>Radioescucha: así como subieron el pasaje, así deberían de tratar a la gente con respeto. Hay unos choferes groseros y que llevan sobrecupo de gente parada hasta de 6 personas. Ejemplo de este es en la ruta de Puerto Lobo</t>
  </si>
  <si>
    <t>Quejas transporte público</t>
  </si>
  <si>
    <t>UPLAPH supervisa obras prioritarias para las familias de la región de Tula</t>
  </si>
  <si>
    <t>Supervisión de obra</t>
  </si>
  <si>
    <t>La senadora Simey Olvera Bautista, consideró que por ser mujer ha sido víctima de violencia digital, luego de citar una frase de Benito Juárez durante una sesión de la Cámara Alta realizada esta semana. En dicha sesión, citó “el derecho al respeto ajeno es la paz”; la frase completa, con el texto atribuido a quien fuera Presidente de México durante el siglo XIX, es “Entre los individuos, como entre las naciones, el respeto al derecho ajeno es la paz”. Ello durante su participación en la sesión, al momento de referirse a la intervención de otros países dentro de México. Señaló que el error de fraseo ha sido compartido de forma masiva en redes sociales, lo que ha generado críticas y burlas, sin embargo consideró que por ser mujer, las descalificaciones han sido más intensas. “Un error lo comete cualquiera, pero un hombre lo comete y dicen que es humano, pero una mujer (es atacada) ahorita incluso dicen que si no soy capaz, que porque estoy en la tribuna, se han burlado y eso pues sí tiene una connotación machista”, señaló. Aunque reconoció que se le ha criticado, señaló que se deben señalar tanto los errores como los logros, aunque esta situación “no debe pasar a mayores”.</t>
  </si>
  <si>
    <t>Violencia Política De Género</t>
  </si>
  <si>
    <t>Dos accidentes se registraron sobre la carretera México-Pachuca, en el mismo punto, justo en los límites de los municipios de Tolcayuca y Zapotlán de Juárez. En el kilómetro 66 de la vía carretera, la madrugada del sábado 16 de mayo, una camioneta de carga Ford se impactó contra un señalamiento vial que divide el puente de San Javier, con registro de dos personas lesionadas, así como daños importantes a la unidad citada. Personal de Protección Civil de Zapotlán de Juárez atendieron la situación, brindando atención a las personas lesionadas en el accidente.</t>
  </si>
  <si>
    <t>Una persona perdió la vida y otra más resultó con lesiones de gravedad durante un accidente automovilístico registrado la mañana de este sábado sobre la carretera Alfajayucan–Ixmiquilpan, a la altura de las inmediaciones de Santa María Xigui.</t>
  </si>
  <si>
    <t>Debido a un intercambio de disparos con arma de fuego, al menos una oficial municipal de Actopan y tres presuntos delincuentes resultaron heridos con arma de fuego al ser trasladados ante autoridades ministeriales el pasado sábado en Actopan. Durante la intervención, uno de los detenidos sacó de entre sus prendas un arma de fuego, exigió que lo liberar y posteriormente hirió a la mujer policía. en respuesta a la agresión otro uniformado repelió el ataque lesionando a los presuntos responsables.</t>
  </si>
  <si>
    <t>Agresión A Policía</t>
  </si>
  <si>
    <t>Una unidad del transporte público de Tlaxcoapan atropelló a una mujer, quien tras el impacto falleció en el lugar. De acuerdo con los testigos, los hechos ocurrieron entre las calles 16 de Septiembre y Revolución, en la cabecera municipal, cuando una camioneta del transporte público de la ruta La Loma-Atitalaquia-El Refugio, iba a exceso de velocidad y no alcanzó a frenar. Los cuerpos de emergencia arribaron rápidamente al lugar, pero la mujer ya no contaba con signos vitales por lo que se acordonó la zona y se informó a la Procuraduría General de Justicia del Estado de Hidalgo para llevar a cabo las diligencias de ley.</t>
  </si>
  <si>
    <t>Accidente transporte público</t>
  </si>
  <si>
    <t>Un hombre fue localizado sin vida al interior de una vivienda ubicada en la comunidad de Tultengo, dentro del municipio de Tepeapulco, la mañana del viernes 15 de mayo. Una mujer, al parecer ex pareja sentimental del ahora fallecido, salió de la vivienda, pero al escuchar sonido de detonaciones por arma de fuego, decidió regresar. Tras ingresar y ver al hombre lesionado, la mujer solicitó apoyo a la policía local, acudiendo los elementos en compañía de paramédicos de la Cruz Roja local. Después de confirmarse el fallecimiento, elementos policiacos acordonaron el domicilio para permitir que personal de la Procuraduría General de Justicia del Estado de Hidalgo iniciaras las primeras investigaciones relacionadas con el caso.</t>
  </si>
  <si>
    <t>Este domingo, pobladores de Tezontepec de Aldama localizaron un cuerpo en avanzado estado de descomposición en una parcela de la comunidad de Cerro del Tezontle. Ciudadanos alertaron sobre olores fétidos provenientes de una zona ubicada entre las compuertas 5 y 6 del canal G5. Los primeros reportes de aviso se emitieron a las 8:48 horas a través del número de emergencias. Tras el reporte, elementos de Seguridad Pública acudieron al sitio para verificar la situación, confirmando la localización del cuerpo en el área señalada, por lo que el hecho fue notificado a personal ministerial de la Procuraduría General de Justicia del Estado de Hidalgo (PGJEH).</t>
  </si>
  <si>
    <t>Sin conocerse los motivos, dos sujetos agredieron con arma de fuego a un hombre, quien posteriormente perdió la vida por la gravedad de las heridas que recibió en el ataque. La situación se registró la tarde del viernes 15 de mayo sobre la avenida Los Pinos, correspondiente a la localidad de San Miguel La Higa, dentro del municipio de Mineral de la Reforma. Testimonios señalan que la víctima, de 73 años de edad, se encontraba en la vialidad citada cuando fue atacado a disparos; los agresores huyeron de inmediato, en tanto que vecinos de la zona solicitaban apoyo de la corporación policiaca. Paramédicos de la Cruz Roja local también acudieron, en su caso, para atender al hombre lesionado; tras revisión corporal, confirmaron que ya no contaba con signos vitales. Se implementó operativo para la búsqueda y eventual localización de los agresores, de quienes se reporta huyeron a bordo de un vehículo tipo sedán color azul. Hasta el momento no se reporta detención alguna relacionada con el ataque; en tanto, el sitio fue acordonado para el inicio de investigaciones por parte de la Procuraduría General de Justicia del Estado de Hidalgo.</t>
  </si>
  <si>
    <t>SSPH desmantela almacén de hidrocarburo robado en Singuilucan</t>
  </si>
  <si>
    <t>Un grupo de motociclistas que presuntamente participarían en un evento de “arrancones”, se dispersó al momento que llegaron elementos policiacos y de tránsito para realizar operativo para evitar ducha actividad. El operativo se llevó a cabo en el fraccionamiento Héroes de Tizayuca, atendiendo un reporte ciudadano que señalaba la intención de llevar a cabo el evento señalado sobre la Avenida Océano Pacífico. La intervención fue encabezada por la Secretaría de Seguridad Ciudadana de Tizayuca, en coordinación con la Subsecretaría de Operación Policial de la Jefatura Regional Pachuca y la Dirección de Tránsito y Vialidad. Al llegar al punto señalado, las corporaciones localizaron alrededor de 30 motocicletas y aproximadamente 50 personas reunidas sobre la vialidad. Tras notar la presencia de las patrullas, varios de los asistentes comenzaron a dispersarse, mientras que otro grupo ingresó a un comercio ubicado en la misma zona, donde se ofrecían alimentos y bebidas. Inspectores de la Dirección municipal de Reglamentos en Tizayuca acudieron a revisar las instalaciones del negocio, confirmando que no contaba con los requisitos legales para operar, por lo que fue clausurado.</t>
  </si>
  <si>
    <t>Operativo policiaco</t>
  </si>
  <si>
    <t>Daniel Martínez luego de dar a conocer el boletín: Docentes fortalecen avances educativos en Hidalgo: SEPH, comenta que hay dos temas pendientes para que se una educación constructiva: una es la falta de internet como en la Sierra Otomí Tepehua y la Sierra Alta y la revisión de las instalaciones de los planteles educativos en servicios tan básicos como los sanitarios y ya ni le digo de los salones. No les quiero echar a perder la panchanga, pero veamos cómo está también la realidad.</t>
  </si>
  <si>
    <t>Infraestructura escolar</t>
  </si>
  <si>
    <t>Cuatro casos de gusano barrenador en el Estado de Hidalgo se han registrado, de los cuales dos se mantienen activos y en los dos restantes ya existe recuperación de las personas. De acuerdo a datos de la Secretaría de Salud en Hidalgo, dos de los casos se registraron en el municipio de Tenango de Doria en personas de 57 y 77 años de edad. En Tlaxcoapan y Tlanchinol se ubican los otros dos casos, en personas de 79 y 73 años de edad, respectivamente. Tras conocerse de los casos, se otorgó la atención correspondiente, realizando monitoreo para una adecuada evolución de las personas que fueron detectadas con gusano barrenador. También se han registrado casos al respecto en animales de compañía así como en situación de calle, sobre todo en perros, con un total de 28 casos activos. De estos, tres se ubicaron en Cuautepec; mientras que en Acaxochitlán, Epazoyucan y Mineral de la Reforma se han atendido dos en cada uno de estos últimos municipios, en tanto que se ha detectado un caso en otras demarcaciones dentro del Estado de Hidalgo.</t>
  </si>
  <si>
    <t>Tras el registro de 554 casos de gusano barrenador registrados en el Estado de Hidalgo, este lunes 18 de mayo se instalará el comité estatal para prevenir casos y que se sigan extendiendo. El anuncio fue realizado por Napoleón González Pérez, titular de la Secretaría de Agricultura y Desarrollo Rural (Saderh), señalando que se han atendido los casos desde que se conoció el primero en la entidad. Por lo que señaló que desde ese momento comenzaron a desarrollarse labores conjuntas para atender la situación sanitaria en el ganado, de forma coordinada con el Servicio Nacional de Sanidad, Inocuidad y Calidad Agroalimentaria (Senasica), así como el Comité de Sanidad Pecuaria y los gobiernos municipales donde se han reportado casos de gusano barrenador. El estado de Hidalgo acumula 554 casos de gusano barrenador desde noviembre de 2024 hasta el corte del 15 de mayo de 2026, de los cuales 120 permanecen activos. El primero caso de la plaga del gusano barrenador en la entidad se registró en febrero de 2026 y hasta el 6 de abril, sumaban 229 acumulados, principalmente en bovinos; sin embargo, la cantidad se duplicó, según datos proporcionados por el titular de la Saderh. “El dato más importante no es únicamente el número de casos detectados, sino cuántos se han podido atender y sanar; aproximadamente entre el 66 y 67 por ciento de los animales afectados ya se recuperaron”, dijo. Para atender la plaga, se formalizará la creación del comité señalado, conformado por autoridades federales y de tres secretarías de Hidalgo: la Saderh para los animales ganaderos y de producción; la Secretaría de Medio Ambiente para la fauna silvestre y la Secretaría de Salud para atender a personas. El anuncio de este comité se dio a conocer en la primera semana de abril, pero aún no se conforma de manera oficial, aunque González Pérez aseguró que ya existe trabajo de las autoridades involucradas.</t>
  </si>
  <si>
    <t>Cinco casos de golpe de calor se han registrado en días recientes en municipios del Valle del Mezquital, reportan gobiernos locales, así como instancias de atención a la salud. Las temperaturas pico en dicha región han llegado a los 38 grados, lo que sumado a condiciones en donde las personas se mantienen a la intemperie durante prolongados periodos de tiempo, da como resultado resentir los golpes de calor. Uno de los casos más complicados se presentó en el municipio de Ixmiquilpan, donde un elemento policiaco presentó un golpe de calor cuando se encontraba laborando. Al respecto, el gobierno municipal informó que el elemento fue visto recargado en una jardinera, por lo que fue grabado y posteriormente se difundió el video en redes sociales. “Lamentamos que la persona que grabó y difundió el video no haya intervenido para brindar apoyo o solicitar atención médica para auxiliar al compañero policía”, mencionó en un comunicado. En cuanto al estado de salud del elemento, se reporta como estable y por lo tanto sin peligro para su vida. Un golpe de calor es un aumento de temperatura del cuerpo por una exposición prolongada al sol o por practicar ejercicios de manera excesiva en ambientes calurosos.</t>
  </si>
  <si>
    <t>Golpe de calor</t>
  </si>
  <si>
    <t>El Congreso de Hidalgo debe tener una postura neutral respecto al debate público de la tauromaquia en el estado, para que pueda pronunciarse de manera objetiva y apegada a lo jurídico, además de no usar el tema como botín político, indicó la titular de la CDHEH, Ana Karen Parra Bonilla. Tras la polémica generada en la entidad por dos iniciativas, una que busca prohibir las corridas de toros en el estado y otra que pretende su declaración como patrimonio cultural, la presidenta de la Comisión de Derechos Humanos de Hidalgo (CDHEH) comentó que la institución ha sido respetuosa con los procedimientos del Congreso local. Adelantó que en próximos días el organismo albergará un foro de personas que se dedican al bienestar de los animales, y están abiertos a escuchar a todas las partes. Además que recolectarán toda la información necesaria para tener elementos y saber en qué momento y qué es lo que tenga que hacer la Comisión. Agregó que debe haber responsabilidad en el Poder Legislativo en ese tipo de situaciones para que no se vea un beneficio a favor de una fracción o de otra fracción, ya que es en beneficio de los seres sintientes y por ende de la comunidad. Hasta el momento, dijo, la Comisión de Legislación y Puntos Constitucionales no le ha requerido alguna opinión técnica, pero la CDHEH se pronunciará al respecto en el momento que tenga los elementos.</t>
  </si>
  <si>
    <t>Ninguno de los tres juicios de amparo presentados ante el Poder Judicial de la Federación (PJF) en contra de las corridas de toros en el Estado de Hidalgo, ninguno ha prosperado hasta el momento. Lo anterior fue informado en rueda de prensa por integrantes de Tauromaquia Mexicana Hidalgo, aclarando Aldo Rodríguez, representante legal de dicha organización, que en ninguno de los amparos se ha otorgado suspensión provisional o definitiva para impedir corridas de toros en la entidad. “La Ley de Bienestar Animal vigente en Hidalgo excluye explícitamente a la tauromaquia de las disposiciones relacionadas con maltrato animal; además no existe actualmente ninguna resolución de la Suprema Corte de Justicia de la Nación que declare ilegal la tauromaquia en México”, señaló. En la misma rueda de prensa, el torero Luis Gallardo informó que se iniciará un procedimiento administrativo ante la Contraloría estatal hacia Erika Ortigoza Vázquez, titular de la Comisión Estatal de Biodiversidad de Hidalgo.</t>
  </si>
  <si>
    <t>745 personas acudieron al registro de Vivienda del Bienestar convocado por Infonavit para la región Tulancingo, de las cuales, aproximadamente el 90 por ciento cumplen con los requisitos para asignación. El registro se llevó a cabo este domingo 17 de mayo en el centro de la ciudad; personal de la institución federal informó que el restante porcentaje fue asesorado para completar la documentación así como requisitos que les permita acceder a una de las viviendas de interés social que actualmente se construyen en la zona de Valle Verde, dentro del mismo municipio de Tulancingo. Las personas que cumplen con los requisitos y trámites quedarán en un listado de asignación, por lo que estarán a la espera de aviso por parte de Infonavit para tomar posesión de su casa, en fecha aún por determinar. Aunque la atención inició a las 9 de la mañana, desde la madrugada llegaron derechohabientes con seguridad social, buscando la inscripción en el programa Vivienda del Bienestar. El personal a cargo informó que acudieron alrededor de una decena de personas que no cuentan con Infonavit, buscando acceder al registro, pero precisamente al no ser empleados con seguridad social, no se les pudo dar la inscripción.</t>
  </si>
  <si>
    <t>Docentes fortalecen avances educativos en Hidalgo: SEPH</t>
  </si>
  <si>
    <t>Más de un centenar de solicitudes para la calibración de básculas, principalmente de negocios del primer cuadro de la ciudad, han sido gestionadas a través de la Oficina de Enlaces de Servicios Federales y Estatales de Tulancingo ante la ODECO Pachuca, con el objetivo de garantizar que los consumidores reciban productos justos y precisos. Este apoyo permite que los comerciantes realicen de manera personal la solicitud de verificación y ajuste de sus instrumentos de medición, en cumplimiento con la normativa oficial. Los negocios que completan este procedimiento reciben un holograma que avala la exactitud de sus mediciones y brinda mayor confianza a sus clientes. La verificación es obligatoria para quienes operan básculas y, gracias al enlace entre el municipio y la ODECO Pachuca, el trámite se realiza de manera segura ante instancias autorizadas, evitando posibles fraudes por parte de terceros.</t>
  </si>
  <si>
    <t>Supervisión de establecimiento</t>
  </si>
  <si>
    <t>El proyecto para la creación de un centro de convivencia social integrado al zoológico municipal “Nicolás Bravo”, al norte de la ciudad de Tulancingo, sigue adelante con algunas adecuaciones que se realizarán. Lo anterior es confirmado por Armando Pérez Alcibar, titular de la Secretaría municipal de Desarrollo Urbano, Obras Públicas y Medio Ambiente, tras versiones de inconformidad sobre el proyecto por parte de vecinos de la zona. Uno de los principales temas fue el supuesto cierre de un pasillo que conecta a las colonias Francisco I. Madero y Lindavista, desmintiendo el funcionario dicha versión. Señaló que se harán adecuaciones, siendo la principal el arreglo de una cuchilla en la zona peatonal para que sea más amplia y segura para circular, lo cual fue acordado en una reunión vecinal. En la misma reunión se aclaró que la cancha no será usada para ampliar el zoológico, pues en la parte de abajo existe una cisterna que se afectaría con la presencia de los animales. Esa zona será usada para la creación para un centro de convivencia social, que contará con una ludoteca, manualidades y foro ludoteca, un espacio para la elaboración de manualidades, un foro para espectáculos, entre otros atractivos y servicios.</t>
  </si>
  <si>
    <t>Zoológico</t>
  </si>
  <si>
    <t>Las localidades de Almoloya y Texcaltepec, dentro del municipio de Cuautepec de Hinojosa, fueron las más afectadas por las descargas pluviales registradas este domingo 17 de mayo. Una fuerte tromba acompañada de granizo, afectó varias viviendas de las localidades mencionadas; también se registraron afectaciones mayores en las instalaciones de un plantel de educación preescolar ubicado en la zona. Por lo que se determinó suspender clases presenciales en dicho espacio para prevenir algún incidente mayor que pudiera afectar a los integrantes de la comunidad educativa. Elementos de Bomberos y Protección Civil así como de la policía municipal iniciaron acciones de retiro del granizo, así como de limpieza general para liberar los caminos afectados. En próximas horas se realizará evaluación de infraestructura y viviendas afectadas, para establecer posibles medidas de atención y reparación. En Tulancingo, las afectaciones fueron sobre todo de nuevo en calles de las colonias Insurgentes y Vicente Guerrero, con anegamientos donde el agua de lluvia acumulada entre los 5 a 10 centímetros.</t>
  </si>
  <si>
    <t>Afectaciones Por Lluvias</t>
  </si>
  <si>
    <t>En cabina Alberto González y Andrés Torres hablan de que ya arrancó el proceso electoral interno de selección de candidatos de Morena en Hidalgo para la elección del 2027. Ya hay quienes están en campaña y se realizan hasta encuestas para analizar la reelección de Tatiana Tonatzin P. Ángeles Moreno como diputada federal; de Miguel Moreno Zamora a la curul local, y la peor de las tres preguntas en ese sentido, la de Imelda Cuellar a la presidencia municipal.</t>
  </si>
  <si>
    <t>Candidaturas</t>
  </si>
  <si>
    <t>Alberto González</t>
  </si>
  <si>
    <t>Radioescucha: el día sábado mi familia y yo a las 2:20 abordamos el Tuzobús en la estación de la Zona Plateada rumbo al centro de la ciudad y al tratar de subir el Tuzobús el puente que cruza Colosio, lo tuvo que hacer en 3 ocasiones, ya que no pudo en las dos primeras. Qué diría el director de este servicio si utiliza el equipo, pone en riesgo a su usuario. Para lograrlo tuvo que regresar en reversa y tomar vuelo para subir. Andrés torres dice que ya es urgente que entren las nuevas unidades.</t>
  </si>
  <si>
    <t>Deficiencias Tuzobús</t>
  </si>
  <si>
    <t>Radioescucha, Samperio Ortiz: toma uno el Tuzobús con tiempo para llegar al trabajo y se descompone a medio camino.</t>
  </si>
  <si>
    <t>La tarde de este domingo se presentó una riña en el fraccionamiento el Palmar de Pachuca, esto después de un encuentro deportivo. De acuerdo con un vídeo de redes sociales, se observa cómo hombre y mujeres participan en una trifulca.</t>
  </si>
  <si>
    <t>Riña</t>
  </si>
  <si>
    <t>Como parte de las acciones para reforzar la seguridad pública y prevenir conductas delictivas, el alcalde Jorge Reyes impulsa la instalación de un moderno sistema de videovigilancia urbana integrado por 64 postes y 256 cámaras distribuidas en puntos estratégicos de la capital. El proyecto contempla la colocación de equipos en vialidades principales, accesos de entrada y salida de la ciudad, zonas de alta afluencia y espacios identificados con necesidades de mayor monitoreo, con el objetivo de mejorar la capacidad de atención y respuesta ante situaciones de riesgo.</t>
  </si>
  <si>
    <t>Videovigilancia</t>
  </si>
  <si>
    <t>El secretario de Planeación, Miguel Ángel Tello realizó acciones de reforestación en el municipio de Tepeji del Río.</t>
  </si>
  <si>
    <t>Reforestación</t>
  </si>
  <si>
    <t>Gobierno de Hidalgo entrega obras educativas por más de 6 mdp en Huejutla</t>
  </si>
  <si>
    <t>Con el respaldo de más de 3 mil 400 asistentes, el Magisterio Hidalguense celebró el Día de la Maestra y del Maestro en la región Huasteca, en una jornada que destacó por el reconocimiento, la identidad gremial y el fortalecimiento de la unidad sindical de la Sección 15 del SNTE. El encuentro reunió a maestras, maestros y Personal de Apoyo y Asistencia a la Educación, quienes refrendaron su compromiso con la organización sindical y la defensa de los derechos laborales, consolidando a la Sección 15 como una representación cercana a sus agremiados y fortalecida por la participación de su base trabajadora. El evento fue encabezado por el secretario general de la Sección 15 del SNTE en Hidalgo, Mtro. Said Vargas Sáenz, acompañado por el titular del Instituto Hidalguense de Educación, Dr. Natividad Castrejón Valdez; el representante del Comité Ejecutivo Nacional del SNTE en Hidalgo, Mtro. Jesús Jaime Rochín Carrillo; además de autoridades municipales de Huejutla de Reyes y Jaltocán.</t>
  </si>
  <si>
    <t>CDHEH y Gobierno de Hidalgo impulsan jornada “Un gol contra la discriminación”. En el marco del 17 de mayo, Día Internacional contra la Homofobia, la Transfobia y la Bifobia, la Comisión de Derechos Humanos del Estado de Hidalgo (CDHEH), en coordinación con la Dirección de Diversidad Sexual del Gobierno del Estado de Hidalgo, llevaron a cabo la jornada “Un gol contra la discriminación”, una actividad orientada a promover espacios seguros, libres de violencia y discriminación para todas las personas. El evento reunió a personas activistas, juventudes, asociaciones civiles, colectivas y ciudadanía en general, quienes participaron en actividades recreativas, deportivas y de reflexión encaminadas a fortalecer la cultura del respeto, la igualdad y la no discriminación.</t>
  </si>
  <si>
    <t>Discriminación</t>
  </si>
  <si>
    <t>Andrés Torres informa que la señal del 1010 AM de El Vocero Huasteco está fuera del aire desde hace más de un mes y que "la inoperancia del área administrativa no les permite echar a andar la estación. No quieren, simplemente nos dicen que no. Esa es la respuesta reiterada: no, no y no. Entonces, qué puede uno hacer antes estas situaciones."</t>
  </si>
  <si>
    <t>“Reciclando Transformamos Hidalgo”: llamado a crear conciencia ciudadana sobre la disposición de residuos electrónicos.</t>
  </si>
  <si>
    <t>Campaña de reciclaje</t>
  </si>
  <si>
    <t>Reportar heridas y revisar al ganado, fundamentales para combatir al gusano barrenador.</t>
  </si>
  <si>
    <t>Participa Cobaeh en reunión nacional sobre educación media superior.</t>
  </si>
  <si>
    <t>Reunión Nacional</t>
  </si>
  <si>
    <t>Con entrega de aves de doble propósito gobierno de Hidalgo fortalece la economía de las mujeres rurales</t>
  </si>
  <si>
    <t>Apoyo Al Agro</t>
  </si>
  <si>
    <t>El titular de la Unidad de Planeación y Prospectiva de Hidalgo, Miguel Ángel Tello Vargas, realizó una gira de trabajo por la región de Tula con el fin de supervisar obras de infraestructura, participar en festejos conmemorativos por el Día de las Madres y anunciar próximos proyectos para la dependencia que encabeza. Durante su recorrido, el funcionario visitó el Parque Chamizal, ubicado en la colonia San Marcos de Tula de Allende, donde verificó los trabajos de protección sobre la margen derecha del río Tula y el resguardo de la zona. Más tarde, en Atotonilco de Tula, Tello Vargas acompañó a la alcaldesa Jocelyn Tovar en un evento por el Día de las Madres, marco en el cual reconoció el esfuerzo y la importancia fundamental de las mujeres en el desarrollo de las comunidades hidalguenses. Se espera que en las próximas horas el titular de la Unidad de Planeación y Prospectiva detalle las nuevas obras proyectadas para las distintas regiones de la entidad.</t>
  </si>
  <si>
    <t>Hidalgo invierte en espacios de atención de personas mayores en Huejutla , AUDIO APOYO</t>
  </si>
  <si>
    <t>Rehabilitación centro gerontológico</t>
  </si>
  <si>
    <t>La Secretaría de la Contraloría informó que, en lo que va del año 2026, más de 50 mil servidores públicos del Poder Ejecutivo de Hidalgo ya cumplieron con su declaración patrimonial. El contralor Álvaro Bardales detalló que entre el 1 y el 13 de mayo se registraron exactamente 50 mil 390 declaraciones, lo que representa un avance del 61.8% del total de los trabajadores obligados a realizar este trámite. Aunque aún quedan más de 29 mil declaraciones pendientes, 19 dependencias estatales ya alcanzaron el 100% de cumplimiento, destacando entre ellas Turismo, Desarrollo Económico y la Comisión Estatal de Agua y Alcantarillado. Asimismo, registran más del 90% de avance la Policía Industrial Bancaria, la Secretaría de Seguridad Pública y el Colegio de Bachilleres; mientras tanto, la Secretaría de Educación Pública reporta más de 20 mil declaraciones presentadas, equivalentes al 45.5% de su padrón.</t>
  </si>
  <si>
    <t>Contraloría</t>
  </si>
  <si>
    <t>Declaración patrimonial</t>
  </si>
  <si>
    <t>Reciclaje, eje de transformación en Hidalgo</t>
  </si>
  <si>
    <t>Cultura de reciclaje</t>
  </si>
  <si>
    <t>La Secretaría de Medio Ambiente y Recursos Naturales de Hidalgo desmintió versiones difundidas en redes sociales sobre un presunto derribo masivo de árboles en Avenida Fomento Minero en Pachuca Relacionado con la construcción de accesos Al nuevo edificio gubernamental. En comunicado emitido al respecto que solo se realizan recorridos de diagnóstico ambiental y fitosanitario al arbolado urbano.</t>
  </si>
  <si>
    <t>Complejo Gubernamental</t>
  </si>
  <si>
    <t>La Secretaría de Medio Ambiente y Recursos Naturales de Hidalgo informó que es falsa la información difundida en redes sociales respecto a un presente derribo masivo de árboles en la zona de Avenida Fomento Minero, derivado de la construcción de viabilidades o accesos al nuevo edificio gubernamental.</t>
  </si>
  <si>
    <t>Elementos de la Secretaría de Seguridad Pública de Hidalgo desmantelaron un presunto centro de almacenamiento de hidrocarburo robado en el municipio de Singilucan. Durante el operativo se decomisaron casi 6 mil litros de combustible distribuidos en 21 contenedores, dos camionetas tipo pick-up, así como 437 dosis de presunta marihuana y cristal. Todo lo asegurado quedó a disposición del Ministerio Público Federal.</t>
  </si>
  <si>
    <t>Casi seis mil litros de hidrocarburo, cientos de dosis de presunta droga y equipo especializado para el manejo ilegal de combustible fueron asegurados durante un operativo encabezado por la Secretaría de Seguridad Pública de Hidalgo (SSPH) en el municipio de Singuilucan, donde además fue desmantelado un presunto centro de almacenamiento de hidrocarburo robado, donde tenían lugar otras actividades delictivas.La acción operativa se realizó mediante trabajos coordinados entre la SSPH, la Procuraduría General de Justicia del Estado (PGJEH), la Secretaría de la Defensa Nacional (Sedena) y la Guardia Nacional (GN), ejecutando una acción de técnica de cateo que derivó en el aseguramiento de 5 mil 896 litros de hidrocarburo distribuidos en 21 contenedores de distintas capacidades, desde los 50 hasta los mil litros.Durante la intervención también fueron localizados 360 metros de manguera de alta presión, presuntamente utilizada para el trasiego de combustible, además de dos camionetas tipo pick up y 437 dosis de sustancias con características propias de la marihuana y del cristal.</t>
  </si>
  <si>
    <t>En el marco del día mundial del reciclaje La Secretaría de Medio Ambiente Y Recursos Naturales de Hidalgo anunció la campaña Reciclando, transformamos Hidalgo. Una jornada estatal de acopio de residuos electrónicos y electrodomésticos para evitar que estos aparatos terminen contaminando calles barrancas, cuerpos de agua y algunos otros sitios.</t>
  </si>
  <si>
    <t>Para conmemorar el Día Mundial de Reciclaje, del 18 al 22 de mayo, se estará llevando a cabo la campaña de acopio de residuos electrónicos y electrodomésticos en desuso en el Parque Ecológico Cubitos, en un horario de 9:30 a las 16:30. Con esta campaña, se busca reducir residuos contaminantes y cuidar el medio ambiente.</t>
  </si>
  <si>
    <t>Con entrega de aves de doble propósito gobierno de Hidalgo fortalece la economía de las mujeres rurales, AUDIO APOYO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</si>
</sst>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4" fontId="0" fillId="0" borderId="0" xfId="0" applyNumberFormat="1"/>
    <xf numFmtId="164" fontId="0" fillId="0" borderId="0" xfId="0" applyNumberFormat="1"/>
  </cellXfs>
  <cellStyles count="1">
    <cellStyle name="Normal" xfId="0" builtinId="0"/>
  </cellStyles>
  <dxfs count="11">
    <dxf>
      <numFmt numFmtId="19" formatCode="dd/mm/yyyy"/>
    </dxf>
    <dxf>
      <numFmt numFmtId="164" formatCode="d/m/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49" tableType="queryTable" totalsRowShown="0">
  <autoFilter ref="A1:M149" xr:uid="{717AF3FA-E95C-4D17-A1C9-B8D7CBE34EF0}"/>
  <sortState xmlns:xlrd2="http://schemas.microsoft.com/office/spreadsheetml/2017/richdata2" ref="A2:M149">
    <sortCondition ref="A1:A149"/>
  </sortState>
  <tableColumns count="13">
    <tableColumn id="1" xr3:uid="{EB19E952-2F9B-4E64-9A19-C7B52F571890}" uniqueName="1" name="Fecha" queryTableFieldId="1" dataDxfId="1"/>
    <tableColumn id="11" xr3:uid="{A48192A8-75D4-491A-AE26-6A961BCFF6FF}" uniqueName="11" name="Día" queryTableFieldId="11" dataDxfId="0">
      <calculatedColumnFormula>IF(Información1[[#This Row],[Fecha]]='Ajuste de fechas'!$A$2,"Día actual","Día anterior")</calculatedColumnFormula>
    </tableColumn>
    <tableColumn id="12" xr3:uid="{4F30991B-1882-48AE-BBBC-64FCA8279BA1}" uniqueName="12" name="Radiodifusora" queryTableFieldId="12" dataDxfId="10"/>
    <tableColumn id="13" xr3:uid="{517B0A2C-DF6B-4794-9C97-29B5F886839A}" uniqueName="13" name="Programa" queryTableFieldId="13"/>
    <tableColumn id="3" xr3:uid="{3DD51BE0-FD5E-43FC-B095-76D2D204B603}" uniqueName="3" name="Titular" queryTableFieldId="3" dataDxfId="9"/>
    <tableColumn id="6" xr3:uid="{26FEF469-35CF-4C60-A1AE-6CF1039F413A}" uniqueName="6" name="Dependencia" queryTableFieldId="6" dataDxfId="8"/>
    <tableColumn id="9" xr3:uid="{A1DC7DCD-8016-4C54-B5CE-B9D28C1CC171}" uniqueName="9" name="Tema" queryTableFieldId="9" dataDxfId="7"/>
    <tableColumn id="8" xr3:uid="{B82BEC87-3598-42A1-B8B9-34F0762C5BB2}" uniqueName="8" name="Canal" queryTableFieldId="8" dataDxfId="6"/>
    <tableColumn id="10" xr3:uid="{692FF757-1020-40D1-A4F6-D548E7C4E980}" uniqueName="10" name="Estatus" queryTableFieldId="10" dataDxfId="5"/>
    <tableColumn id="14" xr3:uid="{C39741D3-700F-486E-B020-D2528DDA6016}" uniqueName="14" name="Clasificación" queryTableFieldId="14" dataDxfId="4"/>
    <tableColumn id="15" xr3:uid="{33A7D71D-EB15-4FD0-8031-4FF610A857BA}" uniqueName="15" name="Autor" queryTableFieldId="15" dataDxfId="3"/>
    <tableColumn id="16" xr3:uid="{B0698B4E-43A3-42F4-8099-288A9107B833}" uniqueName="16" name="Género" queryTableFieldId="16" dataDxfId="2"/>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49"/>
  <sheetViews>
    <sheetView tabSelected="1" topLeftCell="A114" workbookViewId="0">
      <selection activeCell="A149" sqref="A149"/>
    </sheetView>
  </sheetViews>
  <sheetFormatPr baseColWidth="10" defaultRowHeight="15" x14ac:dyDescent="0.25"/>
  <cols>
    <col min="1" max="1" width="8.5703125" bestFit="1" customWidth="1"/>
    <col min="2" max="2" width="11.42578125" bestFit="1" customWidth="1"/>
    <col min="3" max="3" width="27.28515625" bestFit="1" customWidth="1"/>
    <col min="4" max="4" width="30.7109375" bestFit="1" customWidth="1"/>
    <col min="5" max="5" width="81.140625" bestFit="1" customWidth="1"/>
    <col min="6" max="6" width="15.28515625" bestFit="1" customWidth="1"/>
    <col min="7" max="7" width="34.42578125" bestFit="1" customWidth="1"/>
    <col min="8" max="8" width="11" bestFit="1" customWidth="1"/>
    <col min="9" max="9" width="11.140625" bestFit="1" customWidth="1"/>
    <col min="10" max="10" width="25.7109375" bestFit="1" customWidth="1"/>
    <col min="11" max="11" width="22.28515625" bestFit="1" customWidth="1"/>
    <col min="12" max="12" width="10"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42</v>
      </c>
      <c r="C1" t="s">
        <v>43</v>
      </c>
      <c r="D1" t="s">
        <v>44</v>
      </c>
      <c r="E1" t="s">
        <v>1</v>
      </c>
      <c r="F1" t="s">
        <v>2</v>
      </c>
      <c r="G1" t="s">
        <v>4</v>
      </c>
      <c r="H1" t="s">
        <v>3</v>
      </c>
      <c r="I1" t="s">
        <v>5</v>
      </c>
      <c r="J1" t="s">
        <v>45</v>
      </c>
      <c r="K1" t="s">
        <v>46</v>
      </c>
      <c r="L1" t="s">
        <v>47</v>
      </c>
      <c r="M1" t="s">
        <v>55</v>
      </c>
    </row>
    <row r="2" spans="1:13" x14ac:dyDescent="0.25">
      <c r="A2" s="2">
        <v>46157</v>
      </c>
      <c r="B2" s="1" t="str">
        <f ca="1">IF(Información1[[#This Row],[Fecha]]='Ajuste de fechas'!$A$2,"Día actual","Día anterior")</f>
        <v>Día anterior</v>
      </c>
      <c r="C2" t="s">
        <v>34</v>
      </c>
      <c r="D2" t="s">
        <v>35</v>
      </c>
      <c r="E2" t="s">
        <v>114</v>
      </c>
      <c r="F2" t="s">
        <v>26</v>
      </c>
      <c r="G2" t="s">
        <v>115</v>
      </c>
      <c r="H2" t="s">
        <v>32</v>
      </c>
      <c r="I2" t="s">
        <v>12</v>
      </c>
      <c r="J2" t="s">
        <v>48</v>
      </c>
      <c r="K2" t="s">
        <v>27</v>
      </c>
      <c r="L2" t="s">
        <v>50</v>
      </c>
      <c r="M2">
        <v>4</v>
      </c>
    </row>
    <row r="3" spans="1:13" x14ac:dyDescent="0.25">
      <c r="A3" s="2">
        <v>46157</v>
      </c>
      <c r="B3" s="1" t="str">
        <f ca="1">IF(Información1[[#This Row],[Fecha]]='Ajuste de fechas'!$A$2,"Día actual","Día anterior")</f>
        <v>Día anterior</v>
      </c>
      <c r="C3" t="s">
        <v>34</v>
      </c>
      <c r="D3" t="s">
        <v>35</v>
      </c>
      <c r="E3" t="s">
        <v>116</v>
      </c>
      <c r="F3" t="s">
        <v>63</v>
      </c>
      <c r="G3" t="s">
        <v>96</v>
      </c>
      <c r="H3" t="s">
        <v>32</v>
      </c>
      <c r="I3" t="s">
        <v>25</v>
      </c>
      <c r="J3" t="s">
        <v>48</v>
      </c>
      <c r="K3" t="s">
        <v>27</v>
      </c>
      <c r="L3" t="s">
        <v>49</v>
      </c>
      <c r="M3">
        <v>4</v>
      </c>
    </row>
    <row r="4" spans="1:13" x14ac:dyDescent="0.25">
      <c r="A4" s="2">
        <v>46157</v>
      </c>
      <c r="B4" s="1" t="str">
        <f ca="1">IF(Información1[[#This Row],[Fecha]]='Ajuste de fechas'!$A$2,"Día actual","Día anterior")</f>
        <v>Día anterior</v>
      </c>
      <c r="C4" t="s">
        <v>34</v>
      </c>
      <c r="D4" t="s">
        <v>35</v>
      </c>
      <c r="E4" t="s">
        <v>117</v>
      </c>
      <c r="F4" t="s">
        <v>19</v>
      </c>
      <c r="G4" t="s">
        <v>118</v>
      </c>
      <c r="H4" t="s">
        <v>32</v>
      </c>
      <c r="I4" t="s">
        <v>7</v>
      </c>
      <c r="J4" t="s">
        <v>52</v>
      </c>
      <c r="K4" t="s">
        <v>27</v>
      </c>
      <c r="L4" t="s">
        <v>49</v>
      </c>
      <c r="M4">
        <v>4</v>
      </c>
    </row>
    <row r="5" spans="1:13" x14ac:dyDescent="0.25">
      <c r="A5" s="2">
        <v>46157</v>
      </c>
      <c r="B5" s="1" t="str">
        <f ca="1">IF(Información1[[#This Row],[Fecha]]='Ajuste de fechas'!$A$2,"Día actual","Día anterior")</f>
        <v>Día anterior</v>
      </c>
      <c r="C5" t="s">
        <v>34</v>
      </c>
      <c r="D5" t="s">
        <v>35</v>
      </c>
      <c r="E5" t="s">
        <v>119</v>
      </c>
      <c r="F5" t="s">
        <v>21</v>
      </c>
      <c r="G5" t="s">
        <v>77</v>
      </c>
      <c r="H5" t="s">
        <v>32</v>
      </c>
      <c r="I5" t="s">
        <v>7</v>
      </c>
      <c r="J5" t="s">
        <v>48</v>
      </c>
      <c r="K5" t="s">
        <v>27</v>
      </c>
      <c r="L5" t="s">
        <v>49</v>
      </c>
      <c r="M5">
        <v>4</v>
      </c>
    </row>
    <row r="6" spans="1:13" x14ac:dyDescent="0.25">
      <c r="A6" s="2">
        <v>46157</v>
      </c>
      <c r="B6" s="1" t="str">
        <f ca="1">IF(Información1[[#This Row],[Fecha]]='Ajuste de fechas'!$A$2,"Día actual","Día anterior")</f>
        <v>Día anterior</v>
      </c>
      <c r="C6" t="s">
        <v>34</v>
      </c>
      <c r="D6" t="s">
        <v>35</v>
      </c>
      <c r="E6" t="s">
        <v>120</v>
      </c>
      <c r="F6" t="s">
        <v>36</v>
      </c>
      <c r="G6" t="s">
        <v>121</v>
      </c>
      <c r="H6" t="s">
        <v>32</v>
      </c>
      <c r="I6" t="s">
        <v>7</v>
      </c>
      <c r="J6" t="s">
        <v>48</v>
      </c>
      <c r="K6" t="s">
        <v>27</v>
      </c>
      <c r="L6" t="s">
        <v>51</v>
      </c>
      <c r="M6">
        <v>4</v>
      </c>
    </row>
    <row r="7" spans="1:13" x14ac:dyDescent="0.25">
      <c r="A7" s="2">
        <v>46157</v>
      </c>
      <c r="B7" s="1" t="str">
        <f ca="1">IF(Información1[[#This Row],[Fecha]]='Ajuste de fechas'!$A$2,"Día actual","Día anterior")</f>
        <v>Día anterior</v>
      </c>
      <c r="C7" t="s">
        <v>34</v>
      </c>
      <c r="D7" t="s">
        <v>35</v>
      </c>
      <c r="E7" t="s">
        <v>122</v>
      </c>
      <c r="F7" t="s">
        <v>15</v>
      </c>
      <c r="G7" t="s">
        <v>34</v>
      </c>
      <c r="H7" t="s">
        <v>32</v>
      </c>
      <c r="I7" t="s">
        <v>7</v>
      </c>
      <c r="J7" t="s">
        <v>48</v>
      </c>
      <c r="K7" t="s">
        <v>27</v>
      </c>
      <c r="L7" t="s">
        <v>50</v>
      </c>
      <c r="M7">
        <v>4</v>
      </c>
    </row>
    <row r="8" spans="1:13" x14ac:dyDescent="0.25">
      <c r="A8" s="2">
        <v>46157</v>
      </c>
      <c r="B8" s="1" t="str">
        <f ca="1">IF(Información1[[#This Row],[Fecha]]='Ajuste de fechas'!$A$2,"Día actual","Día anterior")</f>
        <v>Día anterior</v>
      </c>
      <c r="C8" t="s">
        <v>34</v>
      </c>
      <c r="D8" t="s">
        <v>35</v>
      </c>
      <c r="E8" t="s">
        <v>123</v>
      </c>
      <c r="F8" t="s">
        <v>15</v>
      </c>
      <c r="G8" t="s">
        <v>34</v>
      </c>
      <c r="H8" t="s">
        <v>32</v>
      </c>
      <c r="I8" t="s">
        <v>25</v>
      </c>
      <c r="J8" t="s">
        <v>48</v>
      </c>
      <c r="K8" t="s">
        <v>27</v>
      </c>
      <c r="L8" t="s">
        <v>50</v>
      </c>
      <c r="M8">
        <v>4</v>
      </c>
    </row>
    <row r="9" spans="1:13" x14ac:dyDescent="0.25">
      <c r="A9" s="2">
        <v>46157</v>
      </c>
      <c r="B9" s="1" t="str">
        <f ca="1">IF(Información1[[#This Row],[Fecha]]='Ajuste de fechas'!$A$2,"Día actual","Día anterior")</f>
        <v>Día anterior</v>
      </c>
      <c r="C9" t="s">
        <v>34</v>
      </c>
      <c r="D9" t="s">
        <v>35</v>
      </c>
      <c r="E9" t="s">
        <v>124</v>
      </c>
      <c r="F9" t="s">
        <v>15</v>
      </c>
      <c r="G9" t="s">
        <v>58</v>
      </c>
      <c r="H9" t="s">
        <v>32</v>
      </c>
      <c r="I9" t="s">
        <v>25</v>
      </c>
      <c r="J9" t="s">
        <v>48</v>
      </c>
      <c r="K9" t="s">
        <v>27</v>
      </c>
      <c r="L9" t="s">
        <v>50</v>
      </c>
      <c r="M9">
        <v>4</v>
      </c>
    </row>
    <row r="10" spans="1:13" x14ac:dyDescent="0.25">
      <c r="A10" s="2">
        <v>46157</v>
      </c>
      <c r="B10" s="1" t="str">
        <f ca="1">IF(Información1[[#This Row],[Fecha]]='Ajuste de fechas'!$A$2,"Día actual","Día anterior")</f>
        <v>Día anterior</v>
      </c>
      <c r="C10" t="s">
        <v>34</v>
      </c>
      <c r="D10" t="s">
        <v>35</v>
      </c>
      <c r="E10" t="s">
        <v>125</v>
      </c>
      <c r="F10" t="s">
        <v>6</v>
      </c>
      <c r="G10" t="s">
        <v>126</v>
      </c>
      <c r="H10" t="s">
        <v>32</v>
      </c>
      <c r="I10" t="s">
        <v>7</v>
      </c>
      <c r="J10" t="s">
        <v>48</v>
      </c>
      <c r="K10" t="s">
        <v>27</v>
      </c>
      <c r="L10" t="s">
        <v>49</v>
      </c>
      <c r="M10">
        <v>4</v>
      </c>
    </row>
    <row r="11" spans="1:13" x14ac:dyDescent="0.25">
      <c r="A11" s="2">
        <v>46157</v>
      </c>
      <c r="B11" s="1" t="str">
        <f ca="1">IF(Información1[[#This Row],[Fecha]]='Ajuste de fechas'!$A$2,"Día actual","Día anterior")</f>
        <v>Día anterior</v>
      </c>
      <c r="C11" t="s">
        <v>34</v>
      </c>
      <c r="D11" t="s">
        <v>35</v>
      </c>
      <c r="E11" t="s">
        <v>127</v>
      </c>
      <c r="F11" t="s">
        <v>26</v>
      </c>
      <c r="G11" t="s">
        <v>102</v>
      </c>
      <c r="H11" t="s">
        <v>32</v>
      </c>
      <c r="I11" t="s">
        <v>7</v>
      </c>
      <c r="J11" t="s">
        <v>48</v>
      </c>
      <c r="K11" t="s">
        <v>76</v>
      </c>
      <c r="L11" t="s">
        <v>49</v>
      </c>
      <c r="M11">
        <v>4</v>
      </c>
    </row>
    <row r="12" spans="1:13" x14ac:dyDescent="0.25">
      <c r="A12" s="2">
        <v>46157</v>
      </c>
      <c r="B12" s="1" t="str">
        <f ca="1">IF(Información1[[#This Row],[Fecha]]='Ajuste de fechas'!$A$2,"Día actual","Día anterior")</f>
        <v>Día anterior</v>
      </c>
      <c r="C12" t="s">
        <v>34</v>
      </c>
      <c r="D12" t="s">
        <v>35</v>
      </c>
      <c r="E12" t="s">
        <v>128</v>
      </c>
      <c r="F12" t="s">
        <v>17</v>
      </c>
      <c r="H12" t="s">
        <v>32</v>
      </c>
      <c r="I12" t="s">
        <v>7</v>
      </c>
      <c r="J12" t="s">
        <v>48</v>
      </c>
      <c r="K12" t="s">
        <v>76</v>
      </c>
      <c r="L12" t="s">
        <v>49</v>
      </c>
      <c r="M12">
        <v>4</v>
      </c>
    </row>
    <row r="13" spans="1:13" x14ac:dyDescent="0.25">
      <c r="A13" s="2">
        <v>46157</v>
      </c>
      <c r="B13" s="1" t="str">
        <f ca="1">IF(Información1[[#This Row],[Fecha]]='Ajuste de fechas'!$A$2,"Día actual","Día anterior")</f>
        <v>Día anterior</v>
      </c>
      <c r="C13" t="s">
        <v>34</v>
      </c>
      <c r="D13" t="s">
        <v>35</v>
      </c>
      <c r="E13" t="s">
        <v>129</v>
      </c>
      <c r="F13" t="s">
        <v>65</v>
      </c>
      <c r="G13" t="s">
        <v>105</v>
      </c>
      <c r="H13" t="s">
        <v>32</v>
      </c>
      <c r="I13" t="s">
        <v>7</v>
      </c>
      <c r="J13" t="s">
        <v>24</v>
      </c>
      <c r="K13" t="s">
        <v>27</v>
      </c>
      <c r="L13" t="s">
        <v>49</v>
      </c>
      <c r="M13">
        <v>4</v>
      </c>
    </row>
    <row r="14" spans="1:13" x14ac:dyDescent="0.25">
      <c r="A14" s="2">
        <v>46157</v>
      </c>
      <c r="B14" s="1" t="str">
        <f ca="1">IF(Información1[[#This Row],[Fecha]]='Ajuste de fechas'!$A$2,"Día actual","Día anterior")</f>
        <v>Día anterior</v>
      </c>
      <c r="C14" t="s">
        <v>34</v>
      </c>
      <c r="D14" t="s">
        <v>35</v>
      </c>
      <c r="E14" t="s">
        <v>130</v>
      </c>
      <c r="F14" t="s">
        <v>21</v>
      </c>
      <c r="G14" t="s">
        <v>77</v>
      </c>
      <c r="H14" t="s">
        <v>32</v>
      </c>
      <c r="I14" t="s">
        <v>7</v>
      </c>
      <c r="J14" t="s">
        <v>48</v>
      </c>
      <c r="K14" t="s">
        <v>27</v>
      </c>
      <c r="L14" t="s">
        <v>49</v>
      </c>
      <c r="M14">
        <v>4</v>
      </c>
    </row>
    <row r="15" spans="1:13" x14ac:dyDescent="0.25">
      <c r="A15" s="2">
        <v>46157</v>
      </c>
      <c r="B15" s="1" t="str">
        <f ca="1">IF(Información1[[#This Row],[Fecha]]='Ajuste de fechas'!$A$2,"Día actual","Día anterior")</f>
        <v>Día anterior</v>
      </c>
      <c r="C15" t="s">
        <v>34</v>
      </c>
      <c r="D15" t="s">
        <v>35</v>
      </c>
      <c r="E15" t="s">
        <v>131</v>
      </c>
      <c r="F15" t="s">
        <v>26</v>
      </c>
      <c r="G15" t="s">
        <v>77</v>
      </c>
      <c r="H15" t="s">
        <v>32</v>
      </c>
      <c r="I15" t="s">
        <v>7</v>
      </c>
      <c r="J15" t="s">
        <v>48</v>
      </c>
      <c r="K15" t="s">
        <v>27</v>
      </c>
      <c r="L15" t="s">
        <v>49</v>
      </c>
      <c r="M15">
        <v>4</v>
      </c>
    </row>
    <row r="16" spans="1:13" x14ac:dyDescent="0.25">
      <c r="A16" s="2">
        <v>46157</v>
      </c>
      <c r="B16" s="1" t="str">
        <f ca="1">IF(Información1[[#This Row],[Fecha]]='Ajuste de fechas'!$A$2,"Día actual","Día anterior")</f>
        <v>Día anterior</v>
      </c>
      <c r="C16" t="s">
        <v>34</v>
      </c>
      <c r="D16" t="s">
        <v>35</v>
      </c>
      <c r="E16" t="s">
        <v>132</v>
      </c>
      <c r="F16" t="s">
        <v>26</v>
      </c>
      <c r="G16" t="s">
        <v>78</v>
      </c>
      <c r="H16" t="s">
        <v>32</v>
      </c>
      <c r="I16" t="s">
        <v>7</v>
      </c>
      <c r="J16" t="s">
        <v>48</v>
      </c>
      <c r="K16" t="s">
        <v>27</v>
      </c>
      <c r="L16" t="s">
        <v>49</v>
      </c>
      <c r="M16">
        <v>4</v>
      </c>
    </row>
    <row r="17" spans="1:13" x14ac:dyDescent="0.25">
      <c r="A17" s="2">
        <v>46157</v>
      </c>
      <c r="B17" s="1" t="str">
        <f ca="1">IF(Información1[[#This Row],[Fecha]]='Ajuste de fechas'!$A$2,"Día actual","Día anterior")</f>
        <v>Día anterior</v>
      </c>
      <c r="C17" t="s">
        <v>34</v>
      </c>
      <c r="D17" t="s">
        <v>35</v>
      </c>
      <c r="E17" t="s">
        <v>133</v>
      </c>
      <c r="F17" t="s">
        <v>26</v>
      </c>
      <c r="G17" t="s">
        <v>78</v>
      </c>
      <c r="H17" t="s">
        <v>32</v>
      </c>
      <c r="I17" t="s">
        <v>7</v>
      </c>
      <c r="J17" t="s">
        <v>48</v>
      </c>
      <c r="K17" t="s">
        <v>27</v>
      </c>
      <c r="L17" t="s">
        <v>51</v>
      </c>
      <c r="M17">
        <v>4</v>
      </c>
    </row>
    <row r="18" spans="1:13" x14ac:dyDescent="0.25">
      <c r="A18" s="2">
        <v>46157</v>
      </c>
      <c r="B18" s="1" t="str">
        <f ca="1">IF(Información1[[#This Row],[Fecha]]='Ajuste de fechas'!$A$2,"Día actual","Día anterior")</f>
        <v>Día anterior</v>
      </c>
      <c r="C18" t="s">
        <v>37</v>
      </c>
      <c r="D18" t="s">
        <v>38</v>
      </c>
      <c r="E18" t="s">
        <v>134</v>
      </c>
      <c r="F18" t="s">
        <v>19</v>
      </c>
      <c r="G18" t="s">
        <v>90</v>
      </c>
      <c r="H18" t="s">
        <v>11</v>
      </c>
      <c r="I18" t="s">
        <v>25</v>
      </c>
      <c r="J18" t="s">
        <v>52</v>
      </c>
      <c r="K18" t="s">
        <v>39</v>
      </c>
      <c r="L18" t="s">
        <v>49</v>
      </c>
      <c r="M18">
        <v>2</v>
      </c>
    </row>
    <row r="19" spans="1:13" x14ac:dyDescent="0.25">
      <c r="A19" s="2">
        <v>46157</v>
      </c>
      <c r="B19" s="1" t="str">
        <f ca="1">IF(Información1[[#This Row],[Fecha]]='Ajuste de fechas'!$A$2,"Día actual","Día anterior")</f>
        <v>Día anterior</v>
      </c>
      <c r="C19" t="s">
        <v>37</v>
      </c>
      <c r="D19" t="s">
        <v>38</v>
      </c>
      <c r="E19" t="s">
        <v>135</v>
      </c>
      <c r="F19" t="s">
        <v>63</v>
      </c>
      <c r="G19" t="s">
        <v>136</v>
      </c>
      <c r="H19" t="s">
        <v>11</v>
      </c>
      <c r="I19" t="s">
        <v>25</v>
      </c>
      <c r="J19" t="s">
        <v>48</v>
      </c>
      <c r="K19" t="s">
        <v>39</v>
      </c>
      <c r="L19" t="s">
        <v>49</v>
      </c>
      <c r="M19">
        <v>2</v>
      </c>
    </row>
    <row r="20" spans="1:13" x14ac:dyDescent="0.25">
      <c r="A20" s="2">
        <v>46157</v>
      </c>
      <c r="B20" s="1" t="str">
        <f ca="1">IF(Información1[[#This Row],[Fecha]]='Ajuste de fechas'!$A$2,"Día actual","Día anterior")</f>
        <v>Día anterior</v>
      </c>
      <c r="C20" t="s">
        <v>37</v>
      </c>
      <c r="D20" t="s">
        <v>38</v>
      </c>
      <c r="E20" t="s">
        <v>137</v>
      </c>
      <c r="F20" t="s">
        <v>63</v>
      </c>
      <c r="G20" t="s">
        <v>83</v>
      </c>
      <c r="H20" t="s">
        <v>11</v>
      </c>
      <c r="I20" t="s">
        <v>25</v>
      </c>
      <c r="J20" t="s">
        <v>48</v>
      </c>
      <c r="K20" t="s">
        <v>39</v>
      </c>
      <c r="L20" t="s">
        <v>49</v>
      </c>
      <c r="M20">
        <v>2</v>
      </c>
    </row>
    <row r="21" spans="1:13" x14ac:dyDescent="0.25">
      <c r="A21" s="2">
        <v>46157</v>
      </c>
      <c r="B21" s="1" t="str">
        <f ca="1">IF(Información1[[#This Row],[Fecha]]='Ajuste de fechas'!$A$2,"Día actual","Día anterior")</f>
        <v>Día anterior</v>
      </c>
      <c r="C21" t="s">
        <v>37</v>
      </c>
      <c r="D21" t="s">
        <v>38</v>
      </c>
      <c r="E21" t="s">
        <v>138</v>
      </c>
      <c r="F21" t="s">
        <v>63</v>
      </c>
      <c r="G21" t="s">
        <v>72</v>
      </c>
      <c r="H21" t="s">
        <v>11</v>
      </c>
      <c r="I21" t="s">
        <v>25</v>
      </c>
      <c r="J21" t="s">
        <v>48</v>
      </c>
      <c r="K21" t="s">
        <v>39</v>
      </c>
      <c r="L21" t="s">
        <v>49</v>
      </c>
      <c r="M21">
        <v>2</v>
      </c>
    </row>
    <row r="22" spans="1:13" x14ac:dyDescent="0.25">
      <c r="A22" s="2">
        <v>46157</v>
      </c>
      <c r="B22" s="1" t="str">
        <f ca="1">IF(Información1[[#This Row],[Fecha]]='Ajuste de fechas'!$A$2,"Día actual","Día anterior")</f>
        <v>Día anterior</v>
      </c>
      <c r="C22" t="s">
        <v>37</v>
      </c>
      <c r="D22" t="s">
        <v>38</v>
      </c>
      <c r="E22" t="s">
        <v>139</v>
      </c>
      <c r="F22" t="s">
        <v>140</v>
      </c>
      <c r="G22" t="s">
        <v>102</v>
      </c>
      <c r="H22" t="s">
        <v>11</v>
      </c>
      <c r="I22" t="s">
        <v>7</v>
      </c>
      <c r="J22" t="s">
        <v>93</v>
      </c>
      <c r="K22" t="s">
        <v>39</v>
      </c>
      <c r="L22" t="s">
        <v>49</v>
      </c>
      <c r="M22">
        <v>2</v>
      </c>
    </row>
    <row r="23" spans="1:13" x14ac:dyDescent="0.25">
      <c r="A23" s="2">
        <v>46157</v>
      </c>
      <c r="B23" s="1" t="str">
        <f ca="1">IF(Información1[[#This Row],[Fecha]]='Ajuste de fechas'!$A$2,"Día actual","Día anterior")</f>
        <v>Día anterior</v>
      </c>
      <c r="C23" t="s">
        <v>37</v>
      </c>
      <c r="D23" t="s">
        <v>38</v>
      </c>
      <c r="E23" t="s">
        <v>141</v>
      </c>
      <c r="F23" t="s">
        <v>19</v>
      </c>
      <c r="G23" t="s">
        <v>142</v>
      </c>
      <c r="H23" t="s">
        <v>11</v>
      </c>
      <c r="I23" t="s">
        <v>7</v>
      </c>
      <c r="J23" t="s">
        <v>52</v>
      </c>
      <c r="K23" t="s">
        <v>39</v>
      </c>
      <c r="L23" t="s">
        <v>54</v>
      </c>
      <c r="M23">
        <v>2</v>
      </c>
    </row>
    <row r="24" spans="1:13" x14ac:dyDescent="0.25">
      <c r="A24" s="2">
        <v>46157</v>
      </c>
      <c r="B24" s="1" t="str">
        <f ca="1">IF(Información1[[#This Row],[Fecha]]='Ajuste de fechas'!$A$2,"Día actual","Día anterior")</f>
        <v>Día anterior</v>
      </c>
      <c r="C24" t="s">
        <v>37</v>
      </c>
      <c r="D24" t="s">
        <v>38</v>
      </c>
      <c r="E24" t="s">
        <v>143</v>
      </c>
      <c r="F24" t="s">
        <v>65</v>
      </c>
      <c r="G24" t="s">
        <v>105</v>
      </c>
      <c r="H24" t="s">
        <v>11</v>
      </c>
      <c r="I24" t="s">
        <v>7</v>
      </c>
      <c r="J24" t="s">
        <v>24</v>
      </c>
      <c r="K24" t="s">
        <v>39</v>
      </c>
      <c r="L24" t="s">
        <v>49</v>
      </c>
      <c r="M24">
        <v>2</v>
      </c>
    </row>
    <row r="25" spans="1:13" x14ac:dyDescent="0.25">
      <c r="A25" s="2">
        <v>46157</v>
      </c>
      <c r="B25" s="1" t="str">
        <f ca="1">IF(Información1[[#This Row],[Fecha]]='Ajuste de fechas'!$A$2,"Día actual","Día anterior")</f>
        <v>Día anterior</v>
      </c>
      <c r="C25" t="s">
        <v>37</v>
      </c>
      <c r="D25" t="s">
        <v>38</v>
      </c>
      <c r="E25" t="s">
        <v>144</v>
      </c>
      <c r="F25" t="s">
        <v>15</v>
      </c>
      <c r="G25" t="s">
        <v>145</v>
      </c>
      <c r="H25" t="s">
        <v>11</v>
      </c>
      <c r="I25" t="s">
        <v>7</v>
      </c>
      <c r="J25" t="s">
        <v>48</v>
      </c>
      <c r="K25" t="s">
        <v>39</v>
      </c>
      <c r="L25" t="s">
        <v>51</v>
      </c>
      <c r="M25">
        <v>2</v>
      </c>
    </row>
    <row r="26" spans="1:13" x14ac:dyDescent="0.25">
      <c r="A26" s="2">
        <v>46157</v>
      </c>
      <c r="B26" s="1" t="str">
        <f ca="1">IF(Información1[[#This Row],[Fecha]]='Ajuste de fechas'!$A$2,"Día actual","Día anterior")</f>
        <v>Día anterior</v>
      </c>
      <c r="C26" t="s">
        <v>37</v>
      </c>
      <c r="D26" t="s">
        <v>38</v>
      </c>
      <c r="E26" t="s">
        <v>146</v>
      </c>
      <c r="F26" t="s">
        <v>19</v>
      </c>
      <c r="G26" t="s">
        <v>147</v>
      </c>
      <c r="H26" t="s">
        <v>11</v>
      </c>
      <c r="I26" t="s">
        <v>7</v>
      </c>
      <c r="J26" t="s">
        <v>52</v>
      </c>
      <c r="K26" t="s">
        <v>39</v>
      </c>
      <c r="L26" t="s">
        <v>49</v>
      </c>
      <c r="M26">
        <v>2</v>
      </c>
    </row>
    <row r="27" spans="1:13" x14ac:dyDescent="0.25">
      <c r="A27" s="2">
        <v>46157</v>
      </c>
      <c r="B27" s="1" t="str">
        <f ca="1">IF(Información1[[#This Row],[Fecha]]='Ajuste de fechas'!$A$2,"Día actual","Día anterior")</f>
        <v>Día anterior</v>
      </c>
      <c r="C27" t="s">
        <v>37</v>
      </c>
      <c r="D27" t="s">
        <v>38</v>
      </c>
      <c r="E27" t="s">
        <v>74</v>
      </c>
      <c r="F27" t="s">
        <v>19</v>
      </c>
      <c r="G27" t="s">
        <v>33</v>
      </c>
      <c r="H27" t="s">
        <v>11</v>
      </c>
      <c r="I27" t="s">
        <v>7</v>
      </c>
      <c r="J27" t="s">
        <v>52</v>
      </c>
      <c r="K27" t="s">
        <v>39</v>
      </c>
      <c r="L27" t="s">
        <v>49</v>
      </c>
      <c r="M27">
        <v>2</v>
      </c>
    </row>
    <row r="28" spans="1:13" x14ac:dyDescent="0.25">
      <c r="A28" s="2">
        <v>46157</v>
      </c>
      <c r="B28" s="1" t="str">
        <f ca="1">IF(Información1[[#This Row],[Fecha]]='Ajuste de fechas'!$A$2,"Día actual","Día anterior")</f>
        <v>Día anterior</v>
      </c>
      <c r="C28" t="s">
        <v>37</v>
      </c>
      <c r="D28" t="s">
        <v>38</v>
      </c>
      <c r="E28" t="s">
        <v>148</v>
      </c>
      <c r="F28" t="s">
        <v>63</v>
      </c>
      <c r="G28" t="s">
        <v>71</v>
      </c>
      <c r="H28" t="s">
        <v>11</v>
      </c>
      <c r="I28" t="s">
        <v>7</v>
      </c>
      <c r="J28" t="s">
        <v>48</v>
      </c>
      <c r="K28" t="s">
        <v>39</v>
      </c>
      <c r="L28" t="s">
        <v>49</v>
      </c>
      <c r="M28">
        <v>2</v>
      </c>
    </row>
    <row r="29" spans="1:13" x14ac:dyDescent="0.25">
      <c r="A29" s="2">
        <v>46157</v>
      </c>
      <c r="B29" s="1" t="str">
        <f ca="1">IF(Información1[[#This Row],[Fecha]]='Ajuste de fechas'!$A$2,"Día actual","Día anterior")</f>
        <v>Día anterior</v>
      </c>
      <c r="C29" t="s">
        <v>37</v>
      </c>
      <c r="D29" t="s">
        <v>38</v>
      </c>
      <c r="E29" t="s">
        <v>149</v>
      </c>
      <c r="F29" t="s">
        <v>15</v>
      </c>
      <c r="H29" t="s">
        <v>11</v>
      </c>
      <c r="I29" t="s">
        <v>7</v>
      </c>
      <c r="J29" t="s">
        <v>48</v>
      </c>
      <c r="K29" t="s">
        <v>39</v>
      </c>
      <c r="L29" t="s">
        <v>49</v>
      </c>
      <c r="M29">
        <v>2</v>
      </c>
    </row>
    <row r="30" spans="1:13" x14ac:dyDescent="0.25">
      <c r="A30" s="2">
        <v>46157</v>
      </c>
      <c r="B30" s="1" t="str">
        <f ca="1">IF(Información1[[#This Row],[Fecha]]='Ajuste de fechas'!$A$2,"Día actual","Día anterior")</f>
        <v>Día anterior</v>
      </c>
      <c r="C30" t="s">
        <v>84</v>
      </c>
      <c r="D30" t="s">
        <v>85</v>
      </c>
      <c r="E30" t="s">
        <v>151</v>
      </c>
      <c r="F30" t="s">
        <v>22</v>
      </c>
      <c r="G30" t="s">
        <v>152</v>
      </c>
      <c r="H30" t="s">
        <v>11</v>
      </c>
      <c r="I30" t="s">
        <v>7</v>
      </c>
      <c r="J30" t="s">
        <v>53</v>
      </c>
      <c r="K30" t="s">
        <v>87</v>
      </c>
      <c r="L30" t="s">
        <v>49</v>
      </c>
      <c r="M30">
        <v>1</v>
      </c>
    </row>
    <row r="31" spans="1:13" x14ac:dyDescent="0.25">
      <c r="A31" s="2">
        <v>46157</v>
      </c>
      <c r="B31" s="1" t="str">
        <f ca="1">IF(Información1[[#This Row],[Fecha]]='Ajuste de fechas'!$A$2,"Día actual","Día anterior")</f>
        <v>Día anterior</v>
      </c>
      <c r="C31" t="s">
        <v>84</v>
      </c>
      <c r="D31" t="s">
        <v>85</v>
      </c>
      <c r="E31" t="s">
        <v>153</v>
      </c>
      <c r="F31" t="s">
        <v>22</v>
      </c>
      <c r="G31" t="s">
        <v>154</v>
      </c>
      <c r="H31" t="s">
        <v>11</v>
      </c>
      <c r="I31" t="s">
        <v>7</v>
      </c>
      <c r="J31" t="s">
        <v>53</v>
      </c>
      <c r="K31" t="s">
        <v>86</v>
      </c>
      <c r="L31" t="s">
        <v>49</v>
      </c>
      <c r="M31">
        <v>1</v>
      </c>
    </row>
    <row r="32" spans="1:13" x14ac:dyDescent="0.25">
      <c r="A32" s="2">
        <v>46157</v>
      </c>
      <c r="B32" s="1" t="str">
        <f ca="1">IF(Información1[[#This Row],[Fecha]]='Ajuste de fechas'!$A$2,"Día actual","Día anterior")</f>
        <v>Día anterior</v>
      </c>
      <c r="C32" t="s">
        <v>84</v>
      </c>
      <c r="D32" t="s">
        <v>85</v>
      </c>
      <c r="E32" t="s">
        <v>155</v>
      </c>
      <c r="F32" t="s">
        <v>19</v>
      </c>
      <c r="G32" t="s">
        <v>156</v>
      </c>
      <c r="H32" t="s">
        <v>11</v>
      </c>
      <c r="I32" t="s">
        <v>7</v>
      </c>
      <c r="J32" t="s">
        <v>52</v>
      </c>
      <c r="K32" t="s">
        <v>87</v>
      </c>
      <c r="L32" t="s">
        <v>49</v>
      </c>
      <c r="M32">
        <v>1</v>
      </c>
    </row>
    <row r="33" spans="1:13" x14ac:dyDescent="0.25">
      <c r="A33" s="2">
        <v>46157</v>
      </c>
      <c r="B33" s="1" t="str">
        <f ca="1">IF(Información1[[#This Row],[Fecha]]='Ajuste de fechas'!$A$2,"Día actual","Día anterior")</f>
        <v>Día anterior</v>
      </c>
      <c r="C33" t="s">
        <v>88</v>
      </c>
      <c r="D33" t="s">
        <v>89</v>
      </c>
      <c r="E33" t="s">
        <v>144</v>
      </c>
      <c r="F33" t="s">
        <v>15</v>
      </c>
      <c r="G33" t="s">
        <v>145</v>
      </c>
      <c r="H33" t="s">
        <v>11</v>
      </c>
      <c r="I33" t="s">
        <v>7</v>
      </c>
      <c r="J33" t="s">
        <v>48</v>
      </c>
      <c r="K33" t="s">
        <v>91</v>
      </c>
      <c r="L33" t="s">
        <v>51</v>
      </c>
      <c r="M33">
        <v>1</v>
      </c>
    </row>
    <row r="34" spans="1:13" x14ac:dyDescent="0.25">
      <c r="A34" s="2">
        <v>46157</v>
      </c>
      <c r="B34" s="1" t="str">
        <f ca="1">IF(Información1[[#This Row],[Fecha]]='Ajuste de fechas'!$A$2,"Día actual","Día anterior")</f>
        <v>Día anterior</v>
      </c>
      <c r="C34" t="s">
        <v>88</v>
      </c>
      <c r="D34" t="s">
        <v>89</v>
      </c>
      <c r="E34" t="s">
        <v>106</v>
      </c>
      <c r="F34" t="s">
        <v>67</v>
      </c>
      <c r="G34" t="s">
        <v>107</v>
      </c>
      <c r="H34" t="s">
        <v>11</v>
      </c>
      <c r="I34" t="s">
        <v>7</v>
      </c>
      <c r="J34" t="s">
        <v>48</v>
      </c>
      <c r="K34" t="s">
        <v>91</v>
      </c>
      <c r="L34" t="s">
        <v>51</v>
      </c>
      <c r="M34">
        <v>1</v>
      </c>
    </row>
    <row r="35" spans="1:13" x14ac:dyDescent="0.25">
      <c r="A35" s="2">
        <v>46157</v>
      </c>
      <c r="B35" s="1" t="str">
        <f ca="1">IF(Información1[[#This Row],[Fecha]]='Ajuste de fechas'!$A$2,"Día actual","Día anterior")</f>
        <v>Día anterior</v>
      </c>
      <c r="C35" t="s">
        <v>88</v>
      </c>
      <c r="D35" t="s">
        <v>89</v>
      </c>
      <c r="E35" t="s">
        <v>157</v>
      </c>
      <c r="F35" t="s">
        <v>81</v>
      </c>
      <c r="G35" t="s">
        <v>158</v>
      </c>
      <c r="H35" t="s">
        <v>11</v>
      </c>
      <c r="I35" t="s">
        <v>7</v>
      </c>
      <c r="J35" t="s">
        <v>48</v>
      </c>
      <c r="K35" t="s">
        <v>91</v>
      </c>
      <c r="L35" t="s">
        <v>51</v>
      </c>
      <c r="M35">
        <v>1</v>
      </c>
    </row>
    <row r="36" spans="1:13" x14ac:dyDescent="0.25">
      <c r="A36" s="2">
        <v>46157</v>
      </c>
      <c r="B36" s="1" t="str">
        <f ca="1">IF(Información1[[#This Row],[Fecha]]='Ajuste de fechas'!$A$2,"Día actual","Día anterior")</f>
        <v>Día anterior</v>
      </c>
      <c r="C36" t="s">
        <v>88</v>
      </c>
      <c r="D36" t="s">
        <v>89</v>
      </c>
      <c r="E36" t="s">
        <v>159</v>
      </c>
      <c r="F36" t="s">
        <v>15</v>
      </c>
      <c r="G36" t="s">
        <v>75</v>
      </c>
      <c r="H36" t="s">
        <v>11</v>
      </c>
      <c r="I36" t="s">
        <v>7</v>
      </c>
      <c r="J36" t="s">
        <v>48</v>
      </c>
      <c r="K36" t="s">
        <v>91</v>
      </c>
      <c r="L36" t="s">
        <v>49</v>
      </c>
      <c r="M36">
        <v>1</v>
      </c>
    </row>
    <row r="37" spans="1:13" x14ac:dyDescent="0.25">
      <c r="A37" s="2">
        <v>46157</v>
      </c>
      <c r="B37" s="1" t="str">
        <f ca="1">IF(Información1[[#This Row],[Fecha]]='Ajuste de fechas'!$A$2,"Día actual","Día anterior")</f>
        <v>Día anterior</v>
      </c>
      <c r="C37" t="s">
        <v>84</v>
      </c>
      <c r="D37" t="s">
        <v>92</v>
      </c>
      <c r="E37" t="s">
        <v>160</v>
      </c>
      <c r="F37" t="s">
        <v>63</v>
      </c>
      <c r="G37" t="s">
        <v>161</v>
      </c>
      <c r="H37" t="s">
        <v>11</v>
      </c>
      <c r="I37" t="s">
        <v>7</v>
      </c>
      <c r="J37" t="s">
        <v>48</v>
      </c>
      <c r="K37" t="s">
        <v>87</v>
      </c>
      <c r="L37" t="s">
        <v>49</v>
      </c>
      <c r="M37">
        <v>1</v>
      </c>
    </row>
    <row r="38" spans="1:13" x14ac:dyDescent="0.25">
      <c r="A38" s="2">
        <v>46157</v>
      </c>
      <c r="B38" s="1" t="str">
        <f ca="1">IF(Información1[[#This Row],[Fecha]]='Ajuste de fechas'!$A$2,"Día actual","Día anterior")</f>
        <v>Día anterior</v>
      </c>
      <c r="C38" t="s">
        <v>84</v>
      </c>
      <c r="D38" t="s">
        <v>92</v>
      </c>
      <c r="E38" t="s">
        <v>157</v>
      </c>
      <c r="F38" t="s">
        <v>81</v>
      </c>
      <c r="G38" t="s">
        <v>158</v>
      </c>
      <c r="H38" t="s">
        <v>11</v>
      </c>
      <c r="I38" t="s">
        <v>7</v>
      </c>
      <c r="J38" t="s">
        <v>48</v>
      </c>
      <c r="K38" t="s">
        <v>82</v>
      </c>
      <c r="L38" t="s">
        <v>51</v>
      </c>
      <c r="M38">
        <v>1</v>
      </c>
    </row>
    <row r="39" spans="1:13" x14ac:dyDescent="0.25">
      <c r="A39" s="2">
        <v>46157</v>
      </c>
      <c r="B39" s="1" t="str">
        <f ca="1">IF(Información1[[#This Row],[Fecha]]='Ajuste de fechas'!$A$2,"Día actual","Día anterior")</f>
        <v>Día anterior</v>
      </c>
      <c r="C39" t="s">
        <v>84</v>
      </c>
      <c r="D39" t="s">
        <v>92</v>
      </c>
      <c r="E39" t="s">
        <v>162</v>
      </c>
      <c r="F39" t="s">
        <v>163</v>
      </c>
      <c r="G39" t="s">
        <v>164</v>
      </c>
      <c r="H39" t="s">
        <v>11</v>
      </c>
      <c r="I39" t="s">
        <v>7</v>
      </c>
      <c r="J39" t="s">
        <v>48</v>
      </c>
      <c r="K39" t="s">
        <v>82</v>
      </c>
      <c r="L39" t="s">
        <v>51</v>
      </c>
      <c r="M39">
        <v>1</v>
      </c>
    </row>
    <row r="40" spans="1:13" x14ac:dyDescent="0.25">
      <c r="A40" s="2">
        <v>46157</v>
      </c>
      <c r="B40" s="1" t="str">
        <f ca="1">IF(Información1[[#This Row],[Fecha]]='Ajuste de fechas'!$A$2,"Día actual","Día anterior")</f>
        <v>Día anterior</v>
      </c>
      <c r="C40" t="s">
        <v>84</v>
      </c>
      <c r="D40" t="s">
        <v>92</v>
      </c>
      <c r="E40" t="s">
        <v>165</v>
      </c>
      <c r="F40" t="s">
        <v>26</v>
      </c>
      <c r="G40" t="s">
        <v>78</v>
      </c>
      <c r="H40" t="s">
        <v>11</v>
      </c>
      <c r="I40" t="s">
        <v>7</v>
      </c>
      <c r="J40" t="s">
        <v>48</v>
      </c>
      <c r="K40" t="s">
        <v>82</v>
      </c>
      <c r="L40" t="s">
        <v>51</v>
      </c>
      <c r="M40">
        <v>1</v>
      </c>
    </row>
    <row r="41" spans="1:13" x14ac:dyDescent="0.25">
      <c r="A41" s="2">
        <v>46157</v>
      </c>
      <c r="B41" s="1" t="str">
        <f ca="1">IF(Información1[[#This Row],[Fecha]]='Ajuste de fechas'!$A$2,"Día actual","Día anterior")</f>
        <v>Día anterior</v>
      </c>
      <c r="C41" t="s">
        <v>84</v>
      </c>
      <c r="D41" t="s">
        <v>92</v>
      </c>
      <c r="E41" t="s">
        <v>166</v>
      </c>
      <c r="F41" t="s">
        <v>21</v>
      </c>
      <c r="G41" t="s">
        <v>103</v>
      </c>
      <c r="H41" t="s">
        <v>11</v>
      </c>
      <c r="I41" t="s">
        <v>12</v>
      </c>
      <c r="J41" t="s">
        <v>48</v>
      </c>
      <c r="K41" t="s">
        <v>82</v>
      </c>
      <c r="L41" t="s">
        <v>50</v>
      </c>
      <c r="M41">
        <v>1</v>
      </c>
    </row>
    <row r="42" spans="1:13" x14ac:dyDescent="0.25">
      <c r="A42" s="2">
        <v>46157</v>
      </c>
      <c r="B42" s="1" t="str">
        <f ca="1">IF(Información1[[#This Row],[Fecha]]='Ajuste de fechas'!$A$2,"Día actual","Día anterior")</f>
        <v>Día anterior</v>
      </c>
      <c r="C42" t="s">
        <v>84</v>
      </c>
      <c r="D42" t="s">
        <v>92</v>
      </c>
      <c r="E42" t="s">
        <v>129</v>
      </c>
      <c r="F42" t="s">
        <v>65</v>
      </c>
      <c r="G42" t="s">
        <v>167</v>
      </c>
      <c r="H42" t="s">
        <v>11</v>
      </c>
      <c r="I42" t="s">
        <v>7</v>
      </c>
      <c r="J42" t="s">
        <v>24</v>
      </c>
      <c r="K42" t="s">
        <v>82</v>
      </c>
      <c r="L42" t="s">
        <v>49</v>
      </c>
      <c r="M42">
        <v>1</v>
      </c>
    </row>
    <row r="43" spans="1:13" x14ac:dyDescent="0.25">
      <c r="A43" s="2">
        <v>46157</v>
      </c>
      <c r="B43" s="1" t="str">
        <f ca="1">IF(Información1[[#This Row],[Fecha]]='Ajuste de fechas'!$A$2,"Día actual","Día anterior")</f>
        <v>Día anterior</v>
      </c>
      <c r="C43" t="s">
        <v>68</v>
      </c>
      <c r="D43" t="s">
        <v>69</v>
      </c>
      <c r="E43" t="s">
        <v>168</v>
      </c>
      <c r="F43" t="s">
        <v>163</v>
      </c>
      <c r="G43" t="s">
        <v>164</v>
      </c>
      <c r="H43" t="s">
        <v>11</v>
      </c>
      <c r="I43" t="s">
        <v>7</v>
      </c>
      <c r="J43" t="s">
        <v>48</v>
      </c>
      <c r="K43" t="s">
        <v>70</v>
      </c>
      <c r="L43" t="s">
        <v>51</v>
      </c>
      <c r="M43">
        <v>1</v>
      </c>
    </row>
    <row r="44" spans="1:13" x14ac:dyDescent="0.25">
      <c r="A44" s="2">
        <v>46157</v>
      </c>
      <c r="B44" s="1" t="str">
        <f ca="1">IF(Información1[[#This Row],[Fecha]]='Ajuste de fechas'!$A$2,"Día actual","Día anterior")</f>
        <v>Día anterior</v>
      </c>
      <c r="C44" t="s">
        <v>28</v>
      </c>
      <c r="D44" t="s">
        <v>30</v>
      </c>
      <c r="E44" t="s">
        <v>169</v>
      </c>
      <c r="F44" t="s">
        <v>19</v>
      </c>
      <c r="G44" t="s">
        <v>40</v>
      </c>
      <c r="H44" t="s">
        <v>11</v>
      </c>
      <c r="I44" t="s">
        <v>7</v>
      </c>
      <c r="J44" t="s">
        <v>52</v>
      </c>
      <c r="K44" t="s">
        <v>41</v>
      </c>
      <c r="L44" t="s">
        <v>49</v>
      </c>
      <c r="M44">
        <v>1</v>
      </c>
    </row>
    <row r="45" spans="1:13" x14ac:dyDescent="0.25">
      <c r="A45" s="2">
        <v>46157</v>
      </c>
      <c r="B45" s="1" t="str">
        <f ca="1">IF(Información1[[#This Row],[Fecha]]='Ajuste de fechas'!$A$2,"Día actual","Día anterior")</f>
        <v>Día anterior</v>
      </c>
      <c r="C45" t="s">
        <v>28</v>
      </c>
      <c r="D45" t="s">
        <v>30</v>
      </c>
      <c r="E45" t="s">
        <v>170</v>
      </c>
      <c r="F45" t="s">
        <v>171</v>
      </c>
      <c r="G45" t="s">
        <v>94</v>
      </c>
      <c r="H45" t="s">
        <v>11</v>
      </c>
      <c r="I45" t="s">
        <v>7</v>
      </c>
      <c r="J45" t="s">
        <v>172</v>
      </c>
      <c r="K45" t="s">
        <v>41</v>
      </c>
      <c r="L45" t="s">
        <v>49</v>
      </c>
      <c r="M45">
        <v>1</v>
      </c>
    </row>
    <row r="46" spans="1:13" x14ac:dyDescent="0.25">
      <c r="A46" s="2">
        <v>46157</v>
      </c>
      <c r="B46" s="1" t="str">
        <f ca="1">IF(Información1[[#This Row],[Fecha]]='Ajuste de fechas'!$A$2,"Día actual","Día anterior")</f>
        <v>Día anterior</v>
      </c>
      <c r="C46" t="s">
        <v>28</v>
      </c>
      <c r="D46" t="s">
        <v>30</v>
      </c>
      <c r="E46" t="s">
        <v>173</v>
      </c>
      <c r="F46" t="s">
        <v>19</v>
      </c>
      <c r="G46" t="s">
        <v>174</v>
      </c>
      <c r="H46" t="s">
        <v>11</v>
      </c>
      <c r="I46" t="s">
        <v>7</v>
      </c>
      <c r="J46" t="s">
        <v>52</v>
      </c>
      <c r="K46" t="s">
        <v>41</v>
      </c>
      <c r="L46" t="s">
        <v>49</v>
      </c>
      <c r="M46">
        <v>1</v>
      </c>
    </row>
    <row r="47" spans="1:13" x14ac:dyDescent="0.25">
      <c r="A47" s="2">
        <v>46157</v>
      </c>
      <c r="B47" s="1" t="str">
        <f ca="1">IF(Información1[[#This Row],[Fecha]]='Ajuste de fechas'!$A$2,"Día actual","Día anterior")</f>
        <v>Día anterior</v>
      </c>
      <c r="C47" t="s">
        <v>28</v>
      </c>
      <c r="D47" t="s">
        <v>30</v>
      </c>
      <c r="E47" t="s">
        <v>175</v>
      </c>
      <c r="F47" t="s">
        <v>19</v>
      </c>
      <c r="G47" t="s">
        <v>176</v>
      </c>
      <c r="H47" t="s">
        <v>11</v>
      </c>
      <c r="I47" t="s">
        <v>7</v>
      </c>
      <c r="J47" t="s">
        <v>52</v>
      </c>
      <c r="K47" t="s">
        <v>41</v>
      </c>
      <c r="L47" t="s">
        <v>49</v>
      </c>
      <c r="M47">
        <v>1</v>
      </c>
    </row>
    <row r="48" spans="1:13" x14ac:dyDescent="0.25">
      <c r="A48" s="2">
        <v>46157</v>
      </c>
      <c r="B48" s="1" t="str">
        <f ca="1">IF(Información1[[#This Row],[Fecha]]='Ajuste de fechas'!$A$2,"Día actual","Día anterior")</f>
        <v>Día anterior</v>
      </c>
      <c r="C48" t="s">
        <v>28</v>
      </c>
      <c r="D48" t="s">
        <v>30</v>
      </c>
      <c r="E48" t="s">
        <v>177</v>
      </c>
      <c r="F48" t="s">
        <v>163</v>
      </c>
      <c r="G48" t="s">
        <v>164</v>
      </c>
      <c r="H48" t="s">
        <v>11</v>
      </c>
      <c r="I48" t="s">
        <v>7</v>
      </c>
      <c r="J48" t="s">
        <v>48</v>
      </c>
      <c r="K48" t="s">
        <v>41</v>
      </c>
      <c r="L48" t="s">
        <v>51</v>
      </c>
      <c r="M48">
        <v>1</v>
      </c>
    </row>
    <row r="49" spans="1:13" x14ac:dyDescent="0.25">
      <c r="A49" s="2">
        <v>46157</v>
      </c>
      <c r="B49" s="1" t="str">
        <f ca="1">IF(Información1[[#This Row],[Fecha]]='Ajuste de fechas'!$A$2,"Día actual","Día anterior")</f>
        <v>Día anterior</v>
      </c>
      <c r="C49" t="s">
        <v>28</v>
      </c>
      <c r="D49" t="s">
        <v>30</v>
      </c>
      <c r="E49" t="s">
        <v>178</v>
      </c>
      <c r="F49" t="s">
        <v>22</v>
      </c>
      <c r="G49" t="s">
        <v>179</v>
      </c>
      <c r="H49" t="s">
        <v>11</v>
      </c>
      <c r="I49" t="s">
        <v>7</v>
      </c>
      <c r="J49" t="s">
        <v>53</v>
      </c>
      <c r="K49" t="s">
        <v>41</v>
      </c>
      <c r="L49" t="s">
        <v>49</v>
      </c>
      <c r="M49">
        <v>1</v>
      </c>
    </row>
    <row r="50" spans="1:13" x14ac:dyDescent="0.25">
      <c r="A50" s="2">
        <v>46157</v>
      </c>
      <c r="B50" s="1" t="str">
        <f ca="1">IF(Información1[[#This Row],[Fecha]]='Ajuste de fechas'!$A$2,"Día actual","Día anterior")</f>
        <v>Día anterior</v>
      </c>
      <c r="C50" t="s">
        <v>28</v>
      </c>
      <c r="D50" t="s">
        <v>30</v>
      </c>
      <c r="E50" t="s">
        <v>180</v>
      </c>
      <c r="F50" t="s">
        <v>26</v>
      </c>
      <c r="G50" t="s">
        <v>75</v>
      </c>
      <c r="H50" t="s">
        <v>11</v>
      </c>
      <c r="I50" t="s">
        <v>7</v>
      </c>
      <c r="J50" t="s">
        <v>48</v>
      </c>
      <c r="K50" t="s">
        <v>41</v>
      </c>
      <c r="L50" t="s">
        <v>49</v>
      </c>
      <c r="M50">
        <v>1</v>
      </c>
    </row>
    <row r="51" spans="1:13" x14ac:dyDescent="0.25">
      <c r="A51" s="2">
        <v>46157</v>
      </c>
      <c r="B51" s="1" t="str">
        <f ca="1">IF(Información1[[#This Row],[Fecha]]='Ajuste de fechas'!$A$2,"Día actual","Día anterior")</f>
        <v>Día anterior</v>
      </c>
      <c r="C51" t="s">
        <v>28</v>
      </c>
      <c r="D51" t="s">
        <v>30</v>
      </c>
      <c r="E51" t="s">
        <v>181</v>
      </c>
      <c r="F51" t="s">
        <v>26</v>
      </c>
      <c r="G51" t="s">
        <v>78</v>
      </c>
      <c r="H51" t="s">
        <v>11</v>
      </c>
      <c r="I51" t="s">
        <v>7</v>
      </c>
      <c r="J51" t="s">
        <v>48</v>
      </c>
      <c r="K51" t="s">
        <v>41</v>
      </c>
      <c r="L51" t="s">
        <v>49</v>
      </c>
      <c r="M51">
        <v>1</v>
      </c>
    </row>
    <row r="52" spans="1:13" x14ac:dyDescent="0.25">
      <c r="A52" s="2">
        <v>46157</v>
      </c>
      <c r="B52" s="1" t="str">
        <f ca="1">IF(Información1[[#This Row],[Fecha]]='Ajuste de fechas'!$A$2,"Día actual","Día anterior")</f>
        <v>Día anterior</v>
      </c>
      <c r="C52" t="s">
        <v>28</v>
      </c>
      <c r="D52" t="s">
        <v>30</v>
      </c>
      <c r="E52" t="s">
        <v>157</v>
      </c>
      <c r="F52" t="s">
        <v>81</v>
      </c>
      <c r="G52" t="s">
        <v>158</v>
      </c>
      <c r="H52" t="s">
        <v>11</v>
      </c>
      <c r="I52" t="s">
        <v>7</v>
      </c>
      <c r="J52" t="s">
        <v>48</v>
      </c>
      <c r="K52" t="s">
        <v>41</v>
      </c>
      <c r="L52" t="s">
        <v>51</v>
      </c>
      <c r="M52">
        <v>1</v>
      </c>
    </row>
    <row r="53" spans="1:13" x14ac:dyDescent="0.25">
      <c r="A53" s="2">
        <v>46157</v>
      </c>
      <c r="B53" s="1" t="str">
        <f ca="1">IF(Información1[[#This Row],[Fecha]]='Ajuste de fechas'!$A$2,"Día actual","Día anterior")</f>
        <v>Día anterior</v>
      </c>
      <c r="C53" t="s">
        <v>28</v>
      </c>
      <c r="D53" t="s">
        <v>30</v>
      </c>
      <c r="E53" t="s">
        <v>182</v>
      </c>
      <c r="F53" t="s">
        <v>21</v>
      </c>
      <c r="G53" t="s">
        <v>77</v>
      </c>
      <c r="H53" t="s">
        <v>11</v>
      </c>
      <c r="I53" t="s">
        <v>7</v>
      </c>
      <c r="J53" t="s">
        <v>48</v>
      </c>
      <c r="K53" t="s">
        <v>41</v>
      </c>
      <c r="L53" t="s">
        <v>49</v>
      </c>
      <c r="M53">
        <v>1</v>
      </c>
    </row>
    <row r="54" spans="1:13" x14ac:dyDescent="0.25">
      <c r="A54" s="2">
        <v>46157</v>
      </c>
      <c r="B54" s="1" t="str">
        <f ca="1">IF(Información1[[#This Row],[Fecha]]='Ajuste de fechas'!$A$2,"Día actual","Día anterior")</f>
        <v>Día anterior</v>
      </c>
      <c r="C54" t="s">
        <v>28</v>
      </c>
      <c r="D54" t="s">
        <v>30</v>
      </c>
      <c r="E54" t="s">
        <v>183</v>
      </c>
      <c r="F54" t="s">
        <v>26</v>
      </c>
      <c r="G54" t="s">
        <v>77</v>
      </c>
      <c r="H54" t="s">
        <v>11</v>
      </c>
      <c r="I54" t="s">
        <v>7</v>
      </c>
      <c r="J54" t="s">
        <v>48</v>
      </c>
      <c r="K54" t="s">
        <v>41</v>
      </c>
      <c r="L54" t="s">
        <v>49</v>
      </c>
      <c r="M54">
        <v>1</v>
      </c>
    </row>
    <row r="55" spans="1:13" x14ac:dyDescent="0.25">
      <c r="A55" s="2">
        <v>46157</v>
      </c>
      <c r="B55" s="1" t="str">
        <f ca="1">IF(Información1[[#This Row],[Fecha]]='Ajuste de fechas'!$A$2,"Día actual","Día anterior")</f>
        <v>Día anterior</v>
      </c>
      <c r="C55" t="s">
        <v>28</v>
      </c>
      <c r="D55" t="s">
        <v>31</v>
      </c>
      <c r="E55" t="s">
        <v>185</v>
      </c>
      <c r="F55" t="s">
        <v>17</v>
      </c>
      <c r="G55" t="s">
        <v>186</v>
      </c>
      <c r="H55" t="s">
        <v>11</v>
      </c>
      <c r="I55" t="s">
        <v>25</v>
      </c>
      <c r="J55" t="s">
        <v>48</v>
      </c>
      <c r="K55" t="s">
        <v>29</v>
      </c>
      <c r="L55" t="s">
        <v>49</v>
      </c>
      <c r="M55">
        <v>1</v>
      </c>
    </row>
    <row r="56" spans="1:13" x14ac:dyDescent="0.25">
      <c r="A56" s="2">
        <v>46157</v>
      </c>
      <c r="B56" s="1" t="str">
        <f ca="1">IF(Información1[[#This Row],[Fecha]]='Ajuste de fechas'!$A$2,"Día actual","Día anterior")</f>
        <v>Día anterior</v>
      </c>
      <c r="C56" t="s">
        <v>28</v>
      </c>
      <c r="D56" t="s">
        <v>31</v>
      </c>
      <c r="E56" t="s">
        <v>187</v>
      </c>
      <c r="F56" t="s">
        <v>188</v>
      </c>
      <c r="G56" t="s">
        <v>189</v>
      </c>
      <c r="H56" t="s">
        <v>11</v>
      </c>
      <c r="I56" t="s">
        <v>7</v>
      </c>
      <c r="J56" t="s">
        <v>48</v>
      </c>
      <c r="K56" t="s">
        <v>29</v>
      </c>
      <c r="L56" t="s">
        <v>49</v>
      </c>
      <c r="M56">
        <v>1</v>
      </c>
    </row>
    <row r="57" spans="1:13" x14ac:dyDescent="0.25">
      <c r="A57" s="2">
        <v>46157</v>
      </c>
      <c r="B57" s="1" t="str">
        <f ca="1">IF(Información1[[#This Row],[Fecha]]='Ajuste de fechas'!$A$2,"Día actual","Día anterior")</f>
        <v>Día anterior</v>
      </c>
      <c r="C57" t="s">
        <v>28</v>
      </c>
      <c r="D57" t="s">
        <v>31</v>
      </c>
      <c r="E57" t="s">
        <v>190</v>
      </c>
      <c r="F57" t="s">
        <v>15</v>
      </c>
      <c r="G57" t="s">
        <v>145</v>
      </c>
      <c r="H57" t="s">
        <v>11</v>
      </c>
      <c r="I57" t="s">
        <v>7</v>
      </c>
      <c r="J57" t="s">
        <v>48</v>
      </c>
      <c r="K57" t="s">
        <v>29</v>
      </c>
      <c r="L57" t="s">
        <v>49</v>
      </c>
      <c r="M57">
        <v>1</v>
      </c>
    </row>
    <row r="58" spans="1:13" x14ac:dyDescent="0.25">
      <c r="A58" s="2">
        <v>46157</v>
      </c>
      <c r="B58" s="1" t="str">
        <f ca="1">IF(Información1[[#This Row],[Fecha]]='Ajuste de fechas'!$A$2,"Día actual","Día anterior")</f>
        <v>Día anterior</v>
      </c>
      <c r="C58" t="s">
        <v>28</v>
      </c>
      <c r="D58" t="s">
        <v>31</v>
      </c>
      <c r="E58" t="s">
        <v>191</v>
      </c>
      <c r="F58" t="s">
        <v>81</v>
      </c>
      <c r="G58" t="s">
        <v>112</v>
      </c>
      <c r="H58" t="s">
        <v>11</v>
      </c>
      <c r="I58" t="s">
        <v>7</v>
      </c>
      <c r="J58" t="s">
        <v>48</v>
      </c>
      <c r="K58" t="s">
        <v>29</v>
      </c>
      <c r="L58" t="s">
        <v>49</v>
      </c>
      <c r="M58">
        <v>1</v>
      </c>
    </row>
    <row r="59" spans="1:13" x14ac:dyDescent="0.25">
      <c r="A59" s="2">
        <v>46157</v>
      </c>
      <c r="B59" s="1" t="str">
        <f ca="1">IF(Información1[[#This Row],[Fecha]]='Ajuste de fechas'!$A$2,"Día actual","Día anterior")</f>
        <v>Día anterior</v>
      </c>
      <c r="C59" t="s">
        <v>28</v>
      </c>
      <c r="D59" t="s">
        <v>31</v>
      </c>
      <c r="E59" t="s">
        <v>192</v>
      </c>
      <c r="F59" t="s">
        <v>81</v>
      </c>
      <c r="G59" t="s">
        <v>158</v>
      </c>
      <c r="H59" t="s">
        <v>11</v>
      </c>
      <c r="I59" t="s">
        <v>7</v>
      </c>
      <c r="J59" t="s">
        <v>48</v>
      </c>
      <c r="K59" t="s">
        <v>29</v>
      </c>
      <c r="L59" t="s">
        <v>49</v>
      </c>
      <c r="M59">
        <v>1</v>
      </c>
    </row>
    <row r="60" spans="1:13" x14ac:dyDescent="0.25">
      <c r="A60" s="2">
        <v>46157</v>
      </c>
      <c r="B60" s="1" t="str">
        <f ca="1">IF(Información1[[#This Row],[Fecha]]='Ajuste de fechas'!$A$2,"Día actual","Día anterior")</f>
        <v>Día anterior</v>
      </c>
      <c r="C60" t="s">
        <v>28</v>
      </c>
      <c r="D60" t="s">
        <v>31</v>
      </c>
      <c r="E60" t="s">
        <v>193</v>
      </c>
      <c r="F60" t="s">
        <v>194</v>
      </c>
      <c r="G60" t="s">
        <v>195</v>
      </c>
      <c r="H60" t="s">
        <v>11</v>
      </c>
      <c r="I60" t="s">
        <v>7</v>
      </c>
      <c r="J60" t="s">
        <v>48</v>
      </c>
      <c r="K60" t="s">
        <v>29</v>
      </c>
      <c r="L60" t="s">
        <v>49</v>
      </c>
      <c r="M60">
        <v>1</v>
      </c>
    </row>
    <row r="61" spans="1:13" x14ac:dyDescent="0.25">
      <c r="A61" s="2">
        <v>46157</v>
      </c>
      <c r="B61" s="1" t="str">
        <f ca="1">IF(Información1[[#This Row],[Fecha]]='Ajuste de fechas'!$A$2,"Día actual","Día anterior")</f>
        <v>Día anterior</v>
      </c>
      <c r="C61" t="s">
        <v>28</v>
      </c>
      <c r="D61" t="s">
        <v>31</v>
      </c>
      <c r="E61" t="s">
        <v>196</v>
      </c>
      <c r="F61" t="s">
        <v>64</v>
      </c>
      <c r="G61" t="s">
        <v>164</v>
      </c>
      <c r="H61" t="s">
        <v>11</v>
      </c>
      <c r="I61" t="s">
        <v>7</v>
      </c>
      <c r="J61" t="s">
        <v>48</v>
      </c>
      <c r="K61" t="s">
        <v>29</v>
      </c>
      <c r="L61" t="s">
        <v>49</v>
      </c>
      <c r="M61">
        <v>1</v>
      </c>
    </row>
    <row r="62" spans="1:13" x14ac:dyDescent="0.25">
      <c r="A62" s="2">
        <v>46157</v>
      </c>
      <c r="B62" s="1" t="str">
        <f ca="1">IF(Información1[[#This Row],[Fecha]]='Ajuste de fechas'!$A$2,"Día actual","Día anterior")</f>
        <v>Día anterior</v>
      </c>
      <c r="C62" t="s">
        <v>28</v>
      </c>
      <c r="D62" t="s">
        <v>31</v>
      </c>
      <c r="E62" t="s">
        <v>197</v>
      </c>
      <c r="F62" t="s">
        <v>64</v>
      </c>
      <c r="G62" t="s">
        <v>164</v>
      </c>
      <c r="H62" t="s">
        <v>11</v>
      </c>
      <c r="I62" t="s">
        <v>7</v>
      </c>
      <c r="J62" t="s">
        <v>48</v>
      </c>
      <c r="K62" t="s">
        <v>29</v>
      </c>
      <c r="L62" t="s">
        <v>49</v>
      </c>
      <c r="M62">
        <v>1</v>
      </c>
    </row>
    <row r="63" spans="1:13" x14ac:dyDescent="0.25">
      <c r="A63" s="2">
        <v>46157</v>
      </c>
      <c r="B63" s="1" t="str">
        <f ca="1">IF(Información1[[#This Row],[Fecha]]='Ajuste de fechas'!$A$2,"Día actual","Día anterior")</f>
        <v>Día anterior</v>
      </c>
      <c r="C63" t="s">
        <v>28</v>
      </c>
      <c r="D63" t="s">
        <v>31</v>
      </c>
      <c r="E63" t="s">
        <v>198</v>
      </c>
      <c r="F63" t="s">
        <v>21</v>
      </c>
      <c r="G63" t="s">
        <v>95</v>
      </c>
      <c r="H63" t="s">
        <v>11</v>
      </c>
      <c r="I63" t="s">
        <v>7</v>
      </c>
      <c r="J63" t="s">
        <v>48</v>
      </c>
      <c r="K63" t="s">
        <v>29</v>
      </c>
      <c r="L63" t="s">
        <v>49</v>
      </c>
      <c r="M63">
        <v>1</v>
      </c>
    </row>
    <row r="64" spans="1:13" x14ac:dyDescent="0.25">
      <c r="A64" s="2">
        <v>46157</v>
      </c>
      <c r="B64" s="1" t="str">
        <f ca="1">IF(Información1[[#This Row],[Fecha]]='Ajuste de fechas'!$A$2,"Día actual","Día anterior")</f>
        <v>Día anterior</v>
      </c>
      <c r="C64" t="s">
        <v>79</v>
      </c>
      <c r="D64" t="s">
        <v>80</v>
      </c>
      <c r="E64" t="s">
        <v>221</v>
      </c>
      <c r="F64" t="s">
        <v>19</v>
      </c>
      <c r="G64" t="s">
        <v>104</v>
      </c>
      <c r="H64" t="s">
        <v>32</v>
      </c>
      <c r="I64" t="s">
        <v>7</v>
      </c>
      <c r="J64" t="s">
        <v>52</v>
      </c>
      <c r="K64" t="s">
        <v>82</v>
      </c>
      <c r="L64" t="s">
        <v>49</v>
      </c>
      <c r="M64">
        <v>1</v>
      </c>
    </row>
    <row r="65" spans="1:13" x14ac:dyDescent="0.25">
      <c r="A65" s="2">
        <v>46157</v>
      </c>
      <c r="B65" s="1" t="str">
        <f ca="1">IF(Información1[[#This Row],[Fecha]]='Ajuste de fechas'!$A$2,"Día actual","Día anterior")</f>
        <v>Día anterior</v>
      </c>
      <c r="C65" t="s">
        <v>79</v>
      </c>
      <c r="D65" t="s">
        <v>80</v>
      </c>
      <c r="E65" t="s">
        <v>106</v>
      </c>
      <c r="F65" t="s">
        <v>67</v>
      </c>
      <c r="G65" t="s">
        <v>107</v>
      </c>
      <c r="H65" t="s">
        <v>32</v>
      </c>
      <c r="I65" t="s">
        <v>7</v>
      </c>
      <c r="J65" t="s">
        <v>48</v>
      </c>
      <c r="K65" t="s">
        <v>82</v>
      </c>
      <c r="L65" t="s">
        <v>51</v>
      </c>
      <c r="M65">
        <v>3</v>
      </c>
    </row>
    <row r="66" spans="1:13" x14ac:dyDescent="0.25">
      <c r="A66" s="2">
        <v>46157</v>
      </c>
      <c r="B66" s="1" t="str">
        <f ca="1">IF(Información1[[#This Row],[Fecha]]='Ajuste de fechas'!$A$2,"Día actual","Día anterior")</f>
        <v>Día anterior</v>
      </c>
      <c r="C66" t="s">
        <v>79</v>
      </c>
      <c r="D66" t="s">
        <v>80</v>
      </c>
      <c r="E66" t="s">
        <v>222</v>
      </c>
      <c r="F66" t="s">
        <v>19</v>
      </c>
      <c r="G66" t="s">
        <v>113</v>
      </c>
      <c r="H66" t="s">
        <v>32</v>
      </c>
      <c r="I66" t="s">
        <v>7</v>
      </c>
      <c r="J66" t="s">
        <v>52</v>
      </c>
      <c r="K66" t="s">
        <v>82</v>
      </c>
      <c r="L66" t="s">
        <v>49</v>
      </c>
      <c r="M66">
        <v>1</v>
      </c>
    </row>
    <row r="67" spans="1:13" x14ac:dyDescent="0.25">
      <c r="A67" s="2">
        <v>46157</v>
      </c>
      <c r="B67" s="1" t="str">
        <f ca="1">IF(Información1[[#This Row],[Fecha]]='Ajuste de fechas'!$A$2,"Día actual","Día anterior")</f>
        <v>Día anterior</v>
      </c>
      <c r="C67" t="s">
        <v>79</v>
      </c>
      <c r="D67" t="s">
        <v>80</v>
      </c>
      <c r="E67" t="s">
        <v>223</v>
      </c>
      <c r="F67" t="s">
        <v>163</v>
      </c>
      <c r="G67" t="s">
        <v>164</v>
      </c>
      <c r="H67" t="s">
        <v>32</v>
      </c>
      <c r="I67" t="s">
        <v>7</v>
      </c>
      <c r="J67" t="s">
        <v>48</v>
      </c>
      <c r="K67" t="s">
        <v>82</v>
      </c>
      <c r="L67" t="s">
        <v>51</v>
      </c>
      <c r="M67">
        <v>3</v>
      </c>
    </row>
    <row r="68" spans="1:13" x14ac:dyDescent="0.25">
      <c r="A68" s="2">
        <v>46157</v>
      </c>
      <c r="B68" s="1" t="str">
        <f ca="1">IF(Información1[[#This Row],[Fecha]]='Ajuste de fechas'!$A$2,"Día actual","Día anterior")</f>
        <v>Día anterior</v>
      </c>
      <c r="C68" t="s">
        <v>79</v>
      </c>
      <c r="D68" t="s">
        <v>80</v>
      </c>
      <c r="E68" t="s">
        <v>224</v>
      </c>
      <c r="F68" t="s">
        <v>21</v>
      </c>
      <c r="G68" t="s">
        <v>225</v>
      </c>
      <c r="H68" t="s">
        <v>32</v>
      </c>
      <c r="I68" t="s">
        <v>7</v>
      </c>
      <c r="J68" t="s">
        <v>48</v>
      </c>
      <c r="K68" t="s">
        <v>82</v>
      </c>
      <c r="L68" t="s">
        <v>51</v>
      </c>
      <c r="M68">
        <v>3</v>
      </c>
    </row>
    <row r="69" spans="1:13" x14ac:dyDescent="0.25">
      <c r="A69" s="2">
        <v>46157</v>
      </c>
      <c r="B69" s="1" t="str">
        <f ca="1">IF(Información1[[#This Row],[Fecha]]='Ajuste de fechas'!$A$2,"Día actual","Día anterior")</f>
        <v>Día anterior</v>
      </c>
      <c r="C69" t="s">
        <v>79</v>
      </c>
      <c r="D69" t="s">
        <v>80</v>
      </c>
      <c r="E69" t="s">
        <v>226</v>
      </c>
      <c r="F69" t="s">
        <v>24</v>
      </c>
      <c r="G69" t="s">
        <v>227</v>
      </c>
      <c r="H69" t="s">
        <v>32</v>
      </c>
      <c r="I69" t="s">
        <v>7</v>
      </c>
      <c r="J69" t="s">
        <v>24</v>
      </c>
      <c r="K69" t="s">
        <v>228</v>
      </c>
      <c r="L69" t="s">
        <v>49</v>
      </c>
      <c r="M69">
        <v>1</v>
      </c>
    </row>
    <row r="70" spans="1:13" x14ac:dyDescent="0.25">
      <c r="A70" s="2">
        <v>46157</v>
      </c>
      <c r="B70" s="1" t="str">
        <f ca="1">IF(Información1[[#This Row],[Fecha]]='Ajuste de fechas'!$A$2,"Día actual","Día anterior")</f>
        <v>Día anterior</v>
      </c>
      <c r="C70" t="s">
        <v>79</v>
      </c>
      <c r="D70" t="s">
        <v>80</v>
      </c>
      <c r="E70" t="s">
        <v>157</v>
      </c>
      <c r="F70" t="s">
        <v>81</v>
      </c>
      <c r="G70" t="s">
        <v>158</v>
      </c>
      <c r="H70" t="s">
        <v>32</v>
      </c>
      <c r="I70" t="s">
        <v>7</v>
      </c>
      <c r="J70" t="s">
        <v>48</v>
      </c>
      <c r="K70" t="s">
        <v>82</v>
      </c>
      <c r="L70" t="s">
        <v>51</v>
      </c>
      <c r="M70">
        <v>3</v>
      </c>
    </row>
    <row r="71" spans="1:13" x14ac:dyDescent="0.25">
      <c r="A71" s="2">
        <v>46157</v>
      </c>
      <c r="B71" s="1" t="str">
        <f ca="1">IF(Información1[[#This Row],[Fecha]]='Ajuste de fechas'!$A$2,"Día actual","Día anterior")</f>
        <v>Día anterior</v>
      </c>
      <c r="C71" t="s">
        <v>79</v>
      </c>
      <c r="D71" t="s">
        <v>80</v>
      </c>
      <c r="E71" t="s">
        <v>229</v>
      </c>
      <c r="F71" t="s">
        <v>230</v>
      </c>
      <c r="G71" t="s">
        <v>231</v>
      </c>
      <c r="H71" t="s">
        <v>32</v>
      </c>
      <c r="I71" t="s">
        <v>7</v>
      </c>
      <c r="J71" t="s">
        <v>24</v>
      </c>
      <c r="K71" t="s">
        <v>82</v>
      </c>
      <c r="L71" t="s">
        <v>49</v>
      </c>
      <c r="M71">
        <v>1</v>
      </c>
    </row>
    <row r="72" spans="1:13" x14ac:dyDescent="0.25">
      <c r="A72" s="2">
        <v>46157</v>
      </c>
      <c r="B72" s="1" t="str">
        <f ca="1">IF(Información1[[#This Row],[Fecha]]='Ajuste de fechas'!$A$2,"Día actual","Día anterior")</f>
        <v>Día anterior</v>
      </c>
      <c r="C72" t="s">
        <v>79</v>
      </c>
      <c r="D72" t="s">
        <v>80</v>
      </c>
      <c r="E72" t="s">
        <v>232</v>
      </c>
      <c r="F72" t="s">
        <v>15</v>
      </c>
      <c r="G72" t="s">
        <v>98</v>
      </c>
      <c r="H72" t="s">
        <v>32</v>
      </c>
      <c r="I72" t="s">
        <v>7</v>
      </c>
      <c r="J72" t="s">
        <v>48</v>
      </c>
      <c r="K72" t="s">
        <v>82</v>
      </c>
      <c r="L72" t="s">
        <v>51</v>
      </c>
      <c r="M72">
        <v>3</v>
      </c>
    </row>
    <row r="73" spans="1:13" x14ac:dyDescent="0.25">
      <c r="A73" s="2">
        <v>46157</v>
      </c>
      <c r="B73" s="1" t="str">
        <f ca="1">IF(Información1[[#This Row],[Fecha]]='Ajuste de fechas'!$A$2,"Día actual","Día anterior")</f>
        <v>Día anterior</v>
      </c>
      <c r="C73" t="s">
        <v>79</v>
      </c>
      <c r="D73" t="s">
        <v>80</v>
      </c>
      <c r="E73" t="s">
        <v>109</v>
      </c>
      <c r="F73" t="s">
        <v>81</v>
      </c>
      <c r="G73" t="s">
        <v>110</v>
      </c>
      <c r="H73" t="s">
        <v>32</v>
      </c>
      <c r="I73" t="s">
        <v>7</v>
      </c>
      <c r="J73" t="s">
        <v>48</v>
      </c>
      <c r="K73" t="s">
        <v>82</v>
      </c>
      <c r="L73" t="s">
        <v>51</v>
      </c>
      <c r="M73">
        <v>3</v>
      </c>
    </row>
    <row r="74" spans="1:13" x14ac:dyDescent="0.25">
      <c r="A74" s="2">
        <v>46157</v>
      </c>
      <c r="B74" s="1" t="str">
        <f ca="1">IF(Información1[[#This Row],[Fecha]]='Ajuste de fechas'!$A$2,"Día actual","Día anterior")</f>
        <v>Día anterior</v>
      </c>
      <c r="C74" t="s">
        <v>79</v>
      </c>
      <c r="D74" t="s">
        <v>80</v>
      </c>
      <c r="E74" t="s">
        <v>233</v>
      </c>
      <c r="F74" t="s">
        <v>81</v>
      </c>
      <c r="G74" t="s">
        <v>234</v>
      </c>
      <c r="H74" t="s">
        <v>32</v>
      </c>
      <c r="I74" t="s">
        <v>7</v>
      </c>
      <c r="J74" t="s">
        <v>48</v>
      </c>
      <c r="K74" t="s">
        <v>82</v>
      </c>
      <c r="L74" t="s">
        <v>49</v>
      </c>
      <c r="M74">
        <v>1</v>
      </c>
    </row>
    <row r="75" spans="1:13" x14ac:dyDescent="0.25">
      <c r="A75" s="2">
        <v>46157</v>
      </c>
      <c r="B75" s="1" t="str">
        <f ca="1">IF(Información1[[#This Row],[Fecha]]='Ajuste de fechas'!$A$2,"Día actual","Día anterior")</f>
        <v>Día anterior</v>
      </c>
      <c r="C75" t="s">
        <v>79</v>
      </c>
      <c r="D75" t="s">
        <v>80</v>
      </c>
      <c r="E75" t="s">
        <v>133</v>
      </c>
      <c r="F75" t="s">
        <v>26</v>
      </c>
      <c r="G75" t="s">
        <v>78</v>
      </c>
      <c r="H75" t="s">
        <v>32</v>
      </c>
      <c r="I75" t="s">
        <v>7</v>
      </c>
      <c r="J75" t="s">
        <v>48</v>
      </c>
      <c r="K75" t="s">
        <v>82</v>
      </c>
      <c r="L75" t="s">
        <v>51</v>
      </c>
      <c r="M75">
        <v>3</v>
      </c>
    </row>
    <row r="76" spans="1:13" x14ac:dyDescent="0.25">
      <c r="A76" s="2">
        <v>46157</v>
      </c>
      <c r="B76" s="1" t="str">
        <f ca="1">IF(Información1[[#This Row],[Fecha]]='Ajuste de fechas'!$A$2,"Día actual","Día anterior")</f>
        <v>Día anterior</v>
      </c>
      <c r="C76" t="s">
        <v>28</v>
      </c>
      <c r="D76" t="s">
        <v>31</v>
      </c>
      <c r="E76" t="s">
        <v>199</v>
      </c>
      <c r="F76" t="s">
        <v>188</v>
      </c>
      <c r="G76" t="s">
        <v>200</v>
      </c>
      <c r="H76" t="s">
        <v>11</v>
      </c>
      <c r="I76" t="s">
        <v>7</v>
      </c>
      <c r="J76" t="s">
        <v>48</v>
      </c>
      <c r="K76" t="s">
        <v>29</v>
      </c>
      <c r="L76" t="s">
        <v>49</v>
      </c>
      <c r="M76">
        <v>1</v>
      </c>
    </row>
    <row r="77" spans="1:13" x14ac:dyDescent="0.25">
      <c r="A77" s="2">
        <v>46157</v>
      </c>
      <c r="B77" s="1" t="str">
        <f ca="1">IF(Información1[[#This Row],[Fecha]]='Ajuste de fechas'!$A$2,"Día actual","Día anterior")</f>
        <v>Día anterior</v>
      </c>
      <c r="C77" t="s">
        <v>28</v>
      </c>
      <c r="D77" t="s">
        <v>31</v>
      </c>
      <c r="E77" t="s">
        <v>201</v>
      </c>
      <c r="F77" t="s">
        <v>188</v>
      </c>
      <c r="G77" t="s">
        <v>184</v>
      </c>
      <c r="H77" t="s">
        <v>11</v>
      </c>
      <c r="I77" t="s">
        <v>7</v>
      </c>
      <c r="J77" t="s">
        <v>48</v>
      </c>
      <c r="K77" t="s">
        <v>29</v>
      </c>
      <c r="L77" t="s">
        <v>49</v>
      </c>
      <c r="M77">
        <v>1</v>
      </c>
    </row>
    <row r="78" spans="1:13" x14ac:dyDescent="0.25">
      <c r="A78" s="2">
        <v>46157</v>
      </c>
      <c r="B78" s="1" t="str">
        <f ca="1">IF(Información1[[#This Row],[Fecha]]='Ajuste de fechas'!$A$2,"Día actual","Día anterior")</f>
        <v>Día anterior</v>
      </c>
      <c r="C78" t="s">
        <v>28</v>
      </c>
      <c r="D78" t="s">
        <v>31</v>
      </c>
      <c r="E78" t="s">
        <v>202</v>
      </c>
      <c r="F78" t="s">
        <v>203</v>
      </c>
      <c r="G78" t="s">
        <v>204</v>
      </c>
      <c r="H78" t="s">
        <v>11</v>
      </c>
      <c r="I78" t="s">
        <v>7</v>
      </c>
      <c r="J78" t="s">
        <v>48</v>
      </c>
      <c r="K78" t="s">
        <v>29</v>
      </c>
      <c r="L78" t="s">
        <v>49</v>
      </c>
      <c r="M78">
        <v>1</v>
      </c>
    </row>
    <row r="79" spans="1:13" x14ac:dyDescent="0.25">
      <c r="A79" s="2">
        <v>46157</v>
      </c>
      <c r="B79" s="1" t="str">
        <f ca="1">IF(Información1[[#This Row],[Fecha]]='Ajuste de fechas'!$A$2,"Día actual","Día anterior")</f>
        <v>Día anterior</v>
      </c>
      <c r="C79" t="s">
        <v>28</v>
      </c>
      <c r="D79" t="s">
        <v>31</v>
      </c>
      <c r="E79" t="s">
        <v>202</v>
      </c>
      <c r="F79" t="s">
        <v>67</v>
      </c>
      <c r="G79" t="s">
        <v>204</v>
      </c>
      <c r="H79" t="s">
        <v>11</v>
      </c>
      <c r="I79" t="s">
        <v>7</v>
      </c>
      <c r="J79" t="s">
        <v>48</v>
      </c>
      <c r="K79" t="s">
        <v>29</v>
      </c>
      <c r="L79" t="s">
        <v>49</v>
      </c>
      <c r="M79">
        <v>1</v>
      </c>
    </row>
    <row r="80" spans="1:13" x14ac:dyDescent="0.25">
      <c r="A80" s="2">
        <v>46157</v>
      </c>
      <c r="B80" s="1" t="str">
        <f ca="1">IF(Información1[[#This Row],[Fecha]]='Ajuste de fechas'!$A$2,"Día actual","Día anterior")</f>
        <v>Día anterior</v>
      </c>
      <c r="C80" t="s">
        <v>28</v>
      </c>
      <c r="D80" t="s">
        <v>31</v>
      </c>
      <c r="E80" t="s">
        <v>205</v>
      </c>
      <c r="F80" t="s">
        <v>26</v>
      </c>
      <c r="G80" t="s">
        <v>206</v>
      </c>
      <c r="H80" t="s">
        <v>11</v>
      </c>
      <c r="I80" t="s">
        <v>7</v>
      </c>
      <c r="J80" t="s">
        <v>48</v>
      </c>
      <c r="K80" t="s">
        <v>29</v>
      </c>
      <c r="L80" t="s">
        <v>49</v>
      </c>
      <c r="M80">
        <v>1</v>
      </c>
    </row>
    <row r="81" spans="1:13" x14ac:dyDescent="0.25">
      <c r="A81" s="2">
        <v>46157</v>
      </c>
      <c r="B81" s="1" t="str">
        <f ca="1">IF(Información1[[#This Row],[Fecha]]='Ajuste de fechas'!$A$2,"Día actual","Día anterior")</f>
        <v>Día anterior</v>
      </c>
      <c r="C81" t="s">
        <v>28</v>
      </c>
      <c r="D81" t="s">
        <v>31</v>
      </c>
      <c r="E81" t="s">
        <v>207</v>
      </c>
      <c r="F81" t="s">
        <v>22</v>
      </c>
      <c r="G81" t="s">
        <v>101</v>
      </c>
      <c r="H81" t="s">
        <v>11</v>
      </c>
      <c r="I81" t="s">
        <v>7</v>
      </c>
      <c r="J81" t="s">
        <v>53</v>
      </c>
      <c r="K81" t="s">
        <v>29</v>
      </c>
      <c r="L81" t="s">
        <v>49</v>
      </c>
      <c r="M81">
        <v>1</v>
      </c>
    </row>
    <row r="82" spans="1:13" x14ac:dyDescent="0.25">
      <c r="A82" s="2">
        <v>46157</v>
      </c>
      <c r="B82" s="1" t="str">
        <f ca="1">IF(Información1[[#This Row],[Fecha]]='Ajuste de fechas'!$A$2,"Día actual","Día anterior")</f>
        <v>Día anterior</v>
      </c>
      <c r="C82" t="s">
        <v>28</v>
      </c>
      <c r="D82" t="s">
        <v>31</v>
      </c>
      <c r="E82" t="s">
        <v>133</v>
      </c>
      <c r="F82" t="s">
        <v>26</v>
      </c>
      <c r="G82" t="s">
        <v>78</v>
      </c>
      <c r="H82" t="s">
        <v>11</v>
      </c>
      <c r="I82" t="s">
        <v>7</v>
      </c>
      <c r="J82" t="s">
        <v>48</v>
      </c>
      <c r="K82" t="s">
        <v>29</v>
      </c>
      <c r="L82" t="s">
        <v>51</v>
      </c>
      <c r="M82">
        <v>1</v>
      </c>
    </row>
    <row r="83" spans="1:13" x14ac:dyDescent="0.25">
      <c r="A83" s="2">
        <v>46157</v>
      </c>
      <c r="B83" s="1" t="str">
        <f ca="1">IF(Información1[[#This Row],[Fecha]]='Ajuste de fechas'!$A$2,"Día actual","Día anterior")</f>
        <v>Día anterior</v>
      </c>
      <c r="C83" t="s">
        <v>8</v>
      </c>
      <c r="D83" t="s">
        <v>10</v>
      </c>
      <c r="E83" t="s">
        <v>208</v>
      </c>
      <c r="F83" t="s">
        <v>19</v>
      </c>
      <c r="G83" t="s">
        <v>209</v>
      </c>
      <c r="H83" t="s">
        <v>11</v>
      </c>
      <c r="I83" t="s">
        <v>25</v>
      </c>
      <c r="J83" t="s">
        <v>52</v>
      </c>
      <c r="K83" t="s">
        <v>9</v>
      </c>
      <c r="L83" t="s">
        <v>50</v>
      </c>
      <c r="M83">
        <v>1</v>
      </c>
    </row>
    <row r="84" spans="1:13" x14ac:dyDescent="0.25">
      <c r="A84" s="2">
        <v>46157</v>
      </c>
      <c r="B84" s="1" t="str">
        <f ca="1">IF(Información1[[#This Row],[Fecha]]='Ajuste de fechas'!$A$2,"Día actual","Día anterior")</f>
        <v>Día anterior</v>
      </c>
      <c r="C84" t="s">
        <v>8</v>
      </c>
      <c r="D84" t="s">
        <v>10</v>
      </c>
      <c r="E84" t="s">
        <v>210</v>
      </c>
      <c r="F84" t="s">
        <v>6</v>
      </c>
      <c r="G84" t="s">
        <v>211</v>
      </c>
      <c r="H84" t="s">
        <v>11</v>
      </c>
      <c r="I84" t="s">
        <v>25</v>
      </c>
      <c r="J84" t="s">
        <v>48</v>
      </c>
      <c r="K84" t="s">
        <v>9</v>
      </c>
      <c r="L84" t="s">
        <v>50</v>
      </c>
      <c r="M84">
        <v>1</v>
      </c>
    </row>
    <row r="85" spans="1:13" x14ac:dyDescent="0.25">
      <c r="A85" s="2">
        <v>46157</v>
      </c>
      <c r="B85" s="1" t="str">
        <f ca="1">IF(Información1[[#This Row],[Fecha]]='Ajuste de fechas'!$A$2,"Día actual","Día anterior")</f>
        <v>Día anterior</v>
      </c>
      <c r="C85" t="s">
        <v>8</v>
      </c>
      <c r="D85" t="s">
        <v>10</v>
      </c>
      <c r="E85" t="s">
        <v>212</v>
      </c>
      <c r="F85" t="s">
        <v>6</v>
      </c>
      <c r="G85" t="s">
        <v>62</v>
      </c>
      <c r="H85" t="s">
        <v>11</v>
      </c>
      <c r="I85" t="s">
        <v>25</v>
      </c>
      <c r="J85" t="s">
        <v>48</v>
      </c>
      <c r="K85" t="s">
        <v>9</v>
      </c>
      <c r="L85" t="s">
        <v>50</v>
      </c>
      <c r="M85">
        <v>1</v>
      </c>
    </row>
    <row r="86" spans="1:13" x14ac:dyDescent="0.25">
      <c r="A86" s="2">
        <v>46157</v>
      </c>
      <c r="B86" s="1" t="str">
        <f ca="1">IF(Información1[[#This Row],[Fecha]]='Ajuste de fechas'!$A$2,"Día actual","Día anterior")</f>
        <v>Día anterior</v>
      </c>
      <c r="C86" t="s">
        <v>8</v>
      </c>
      <c r="D86" t="s">
        <v>10</v>
      </c>
      <c r="E86" t="s">
        <v>213</v>
      </c>
      <c r="F86" t="s">
        <v>6</v>
      </c>
      <c r="G86" t="s">
        <v>62</v>
      </c>
      <c r="H86" t="s">
        <v>11</v>
      </c>
      <c r="I86" t="s">
        <v>25</v>
      </c>
      <c r="J86" t="s">
        <v>48</v>
      </c>
      <c r="K86" t="s">
        <v>9</v>
      </c>
      <c r="L86" t="s">
        <v>50</v>
      </c>
      <c r="M86">
        <v>1</v>
      </c>
    </row>
    <row r="87" spans="1:13" x14ac:dyDescent="0.25">
      <c r="A87" s="2">
        <v>46157</v>
      </c>
      <c r="B87" s="1" t="str">
        <f ca="1">IF(Información1[[#This Row],[Fecha]]='Ajuste de fechas'!$A$2,"Día actual","Día anterior")</f>
        <v>Día anterior</v>
      </c>
      <c r="C87" t="s">
        <v>8</v>
      </c>
      <c r="D87" t="s">
        <v>10</v>
      </c>
      <c r="E87" t="s">
        <v>214</v>
      </c>
      <c r="F87" t="s">
        <v>65</v>
      </c>
      <c r="G87" t="s">
        <v>167</v>
      </c>
      <c r="H87" t="s">
        <v>11</v>
      </c>
      <c r="I87" t="s">
        <v>7</v>
      </c>
      <c r="J87" t="s">
        <v>24</v>
      </c>
      <c r="K87" t="s">
        <v>14</v>
      </c>
      <c r="L87" t="s">
        <v>49</v>
      </c>
      <c r="M87">
        <v>1</v>
      </c>
    </row>
    <row r="88" spans="1:13" x14ac:dyDescent="0.25">
      <c r="A88" s="2">
        <v>46157</v>
      </c>
      <c r="B88" s="1" t="str">
        <f ca="1">IF(Información1[[#This Row],[Fecha]]='Ajuste de fechas'!$A$2,"Día actual","Día anterior")</f>
        <v>Día anterior</v>
      </c>
      <c r="C88" t="s">
        <v>8</v>
      </c>
      <c r="D88" t="s">
        <v>10</v>
      </c>
      <c r="E88" t="s">
        <v>108</v>
      </c>
      <c r="F88" t="s">
        <v>99</v>
      </c>
      <c r="G88" t="s">
        <v>100</v>
      </c>
      <c r="H88" t="s">
        <v>11</v>
      </c>
      <c r="I88" t="s">
        <v>7</v>
      </c>
      <c r="J88" t="s">
        <v>48</v>
      </c>
      <c r="K88" t="s">
        <v>14</v>
      </c>
      <c r="L88" t="s">
        <v>51</v>
      </c>
      <c r="M88">
        <v>1</v>
      </c>
    </row>
    <row r="89" spans="1:13" x14ac:dyDescent="0.25">
      <c r="A89" s="2">
        <v>46157</v>
      </c>
      <c r="B89" s="1" t="str">
        <f ca="1">IF(Información1[[#This Row],[Fecha]]='Ajuste de fechas'!$A$2,"Día actual","Día anterior")</f>
        <v>Día anterior</v>
      </c>
      <c r="C89" t="s">
        <v>8</v>
      </c>
      <c r="D89" t="s">
        <v>10</v>
      </c>
      <c r="E89" t="s">
        <v>111</v>
      </c>
      <c r="F89" t="s">
        <v>81</v>
      </c>
      <c r="G89" t="s">
        <v>112</v>
      </c>
      <c r="H89" t="s">
        <v>11</v>
      </c>
      <c r="I89" t="s">
        <v>7</v>
      </c>
      <c r="J89" t="s">
        <v>48</v>
      </c>
      <c r="K89" t="s">
        <v>14</v>
      </c>
      <c r="L89" t="s">
        <v>51</v>
      </c>
      <c r="M89">
        <v>1</v>
      </c>
    </row>
    <row r="90" spans="1:13" x14ac:dyDescent="0.25">
      <c r="A90" s="2">
        <v>46157</v>
      </c>
      <c r="B90" s="1" t="str">
        <f ca="1">IF(Información1[[#This Row],[Fecha]]='Ajuste de fechas'!$A$2,"Día actual","Día anterior")</f>
        <v>Día anterior</v>
      </c>
      <c r="C90" t="s">
        <v>8</v>
      </c>
      <c r="D90" t="s">
        <v>10</v>
      </c>
      <c r="E90" t="s">
        <v>215</v>
      </c>
      <c r="F90" t="s">
        <v>22</v>
      </c>
      <c r="G90" t="s">
        <v>179</v>
      </c>
      <c r="H90" t="s">
        <v>11</v>
      </c>
      <c r="I90" t="s">
        <v>7</v>
      </c>
      <c r="J90" t="s">
        <v>53</v>
      </c>
      <c r="K90" t="s">
        <v>14</v>
      </c>
      <c r="L90" t="s">
        <v>49</v>
      </c>
      <c r="M90">
        <v>1</v>
      </c>
    </row>
    <row r="91" spans="1:13" x14ac:dyDescent="0.25">
      <c r="A91" s="2">
        <v>46157</v>
      </c>
      <c r="B91" s="1" t="str">
        <f ca="1">IF(Información1[[#This Row],[Fecha]]='Ajuste de fechas'!$A$2,"Día actual","Día anterior")</f>
        <v>Día anterior</v>
      </c>
      <c r="C91" t="s">
        <v>8</v>
      </c>
      <c r="D91" t="s">
        <v>10</v>
      </c>
      <c r="E91" t="s">
        <v>216</v>
      </c>
      <c r="F91" t="s">
        <v>22</v>
      </c>
      <c r="G91" t="s">
        <v>217</v>
      </c>
      <c r="H91" t="s">
        <v>11</v>
      </c>
      <c r="I91" t="s">
        <v>7</v>
      </c>
      <c r="J91" t="s">
        <v>53</v>
      </c>
      <c r="K91" t="s">
        <v>14</v>
      </c>
      <c r="L91" t="s">
        <v>49</v>
      </c>
      <c r="M91">
        <v>1</v>
      </c>
    </row>
    <row r="92" spans="1:13" x14ac:dyDescent="0.25">
      <c r="A92" s="2">
        <v>46157</v>
      </c>
      <c r="B92" s="1" t="str">
        <f ca="1">IF(Información1[[#This Row],[Fecha]]='Ajuste de fechas'!$A$2,"Día actual","Día anterior")</f>
        <v>Día anterior</v>
      </c>
      <c r="C92" t="s">
        <v>8</v>
      </c>
      <c r="D92" t="s">
        <v>10</v>
      </c>
      <c r="E92" t="s">
        <v>218</v>
      </c>
      <c r="F92" t="s">
        <v>6</v>
      </c>
      <c r="G92" t="s">
        <v>219</v>
      </c>
      <c r="H92" t="s">
        <v>11</v>
      </c>
      <c r="I92" t="s">
        <v>7</v>
      </c>
      <c r="J92" t="s">
        <v>48</v>
      </c>
      <c r="K92" t="s">
        <v>14</v>
      </c>
      <c r="L92" t="s">
        <v>49</v>
      </c>
      <c r="M92">
        <v>1</v>
      </c>
    </row>
    <row r="93" spans="1:13" x14ac:dyDescent="0.25">
      <c r="A93" s="2">
        <v>46157</v>
      </c>
      <c r="B93" s="1" t="str">
        <f ca="1">IF(Información1[[#This Row],[Fecha]]='Ajuste de fechas'!$A$2,"Día actual","Día anterior")</f>
        <v>Día anterior</v>
      </c>
      <c r="C93" t="s">
        <v>8</v>
      </c>
      <c r="D93" t="s">
        <v>10</v>
      </c>
      <c r="E93" t="s">
        <v>20</v>
      </c>
      <c r="F93" t="s">
        <v>19</v>
      </c>
      <c r="G93" t="s">
        <v>40</v>
      </c>
      <c r="H93" t="s">
        <v>11</v>
      </c>
      <c r="I93" t="s">
        <v>7</v>
      </c>
      <c r="J93" t="s">
        <v>52</v>
      </c>
      <c r="K93" t="s">
        <v>14</v>
      </c>
      <c r="L93" t="s">
        <v>50</v>
      </c>
      <c r="M93">
        <v>1</v>
      </c>
    </row>
    <row r="94" spans="1:13" x14ac:dyDescent="0.25">
      <c r="A94" s="2">
        <v>46157</v>
      </c>
      <c r="B94" s="1" t="str">
        <f ca="1">IF(Información1[[#This Row],[Fecha]]='Ajuste de fechas'!$A$2,"Día actual","Día anterior")</f>
        <v>Día anterior</v>
      </c>
      <c r="C94" t="s">
        <v>8</v>
      </c>
      <c r="D94" t="s">
        <v>10</v>
      </c>
      <c r="E94" t="s">
        <v>18</v>
      </c>
      <c r="F94" t="s">
        <v>19</v>
      </c>
      <c r="G94" t="s">
        <v>40</v>
      </c>
      <c r="H94" t="s">
        <v>11</v>
      </c>
      <c r="I94" t="s">
        <v>7</v>
      </c>
      <c r="J94" t="s">
        <v>52</v>
      </c>
      <c r="K94" t="s">
        <v>14</v>
      </c>
      <c r="L94" t="s">
        <v>50</v>
      </c>
      <c r="M94">
        <v>1</v>
      </c>
    </row>
    <row r="95" spans="1:13" x14ac:dyDescent="0.25">
      <c r="A95" s="2">
        <v>46157</v>
      </c>
      <c r="B95" s="1" t="str">
        <f ca="1">IF(Información1[[#This Row],[Fecha]]='Ajuste de fechas'!$A$2,"Día actual","Día anterior")</f>
        <v>Día anterior</v>
      </c>
      <c r="C95" t="s">
        <v>8</v>
      </c>
      <c r="D95" t="s">
        <v>10</v>
      </c>
      <c r="E95" t="s">
        <v>13</v>
      </c>
      <c r="F95" t="s">
        <v>15</v>
      </c>
      <c r="G95" t="s">
        <v>40</v>
      </c>
      <c r="H95" t="s">
        <v>11</v>
      </c>
      <c r="I95" t="s">
        <v>7</v>
      </c>
      <c r="J95" t="s">
        <v>48</v>
      </c>
      <c r="K95" t="s">
        <v>14</v>
      </c>
      <c r="L95" t="s">
        <v>50</v>
      </c>
      <c r="M95">
        <v>1</v>
      </c>
    </row>
    <row r="96" spans="1:13" x14ac:dyDescent="0.25">
      <c r="A96" s="2">
        <v>46157</v>
      </c>
      <c r="B96" s="1" t="str">
        <f ca="1">IF(Información1[[#This Row],[Fecha]]='Ajuste de fechas'!$A$2,"Día actual","Día anterior")</f>
        <v>Día anterior</v>
      </c>
      <c r="C96" t="s">
        <v>8</v>
      </c>
      <c r="D96" t="s">
        <v>10</v>
      </c>
      <c r="E96" t="s">
        <v>16</v>
      </c>
      <c r="F96" t="s">
        <v>17</v>
      </c>
      <c r="G96" t="s">
        <v>40</v>
      </c>
      <c r="H96" t="s">
        <v>11</v>
      </c>
      <c r="I96" t="s">
        <v>7</v>
      </c>
      <c r="J96" t="s">
        <v>48</v>
      </c>
      <c r="K96" t="s">
        <v>14</v>
      </c>
      <c r="L96" t="s">
        <v>50</v>
      </c>
      <c r="M96">
        <v>1</v>
      </c>
    </row>
    <row r="97" spans="1:13" x14ac:dyDescent="0.25">
      <c r="A97" s="2">
        <v>46157</v>
      </c>
      <c r="B97" s="1" t="str">
        <f ca="1">IF(Información1[[#This Row],[Fecha]]='Ajuste de fechas'!$A$2,"Día actual","Día anterior")</f>
        <v>Día anterior</v>
      </c>
      <c r="C97" t="s">
        <v>8</v>
      </c>
      <c r="D97" t="s">
        <v>10</v>
      </c>
      <c r="E97" t="s">
        <v>220</v>
      </c>
      <c r="F97" t="s">
        <v>6</v>
      </c>
      <c r="G97" t="s">
        <v>40</v>
      </c>
      <c r="H97" t="s">
        <v>11</v>
      </c>
      <c r="I97" t="s">
        <v>7</v>
      </c>
      <c r="J97" t="s">
        <v>48</v>
      </c>
      <c r="K97" t="s">
        <v>14</v>
      </c>
      <c r="L97" t="s">
        <v>50</v>
      </c>
      <c r="M97">
        <v>1</v>
      </c>
    </row>
    <row r="98" spans="1:13" x14ac:dyDescent="0.25">
      <c r="A98" s="2">
        <v>46157</v>
      </c>
      <c r="B98" s="1" t="str">
        <f ca="1">IF(Información1[[#This Row],[Fecha]]='Ajuste de fechas'!$A$2,"Día actual","Día anterior")</f>
        <v>Día anterior</v>
      </c>
      <c r="C98" t="s">
        <v>59</v>
      </c>
      <c r="D98" t="s">
        <v>60</v>
      </c>
      <c r="E98" t="s">
        <v>223</v>
      </c>
      <c r="F98" t="s">
        <v>163</v>
      </c>
      <c r="G98" t="s">
        <v>164</v>
      </c>
      <c r="H98" t="s">
        <v>11</v>
      </c>
      <c r="I98" t="s">
        <v>7</v>
      </c>
      <c r="J98" t="s">
        <v>48</v>
      </c>
      <c r="K98" t="s">
        <v>61</v>
      </c>
      <c r="L98" t="s">
        <v>51</v>
      </c>
      <c r="M98">
        <v>2</v>
      </c>
    </row>
    <row r="99" spans="1:13" x14ac:dyDescent="0.25">
      <c r="A99" s="2">
        <v>46160</v>
      </c>
      <c r="B99" s="1" t="str">
        <f ca="1">IF(Información1[[#This Row],[Fecha]]='Ajuste de fechas'!$A$2,"Día actual","Día anterior")</f>
        <v>Día actual</v>
      </c>
      <c r="C99" t="s">
        <v>37</v>
      </c>
      <c r="D99" t="s">
        <v>38</v>
      </c>
      <c r="E99" t="s">
        <v>235</v>
      </c>
      <c r="F99" t="s">
        <v>17</v>
      </c>
      <c r="G99" t="s">
        <v>236</v>
      </c>
      <c r="H99" t="s">
        <v>11</v>
      </c>
      <c r="I99" t="s">
        <v>25</v>
      </c>
      <c r="J99" t="s">
        <v>48</v>
      </c>
      <c r="K99" t="s">
        <v>9</v>
      </c>
      <c r="L99" t="s">
        <v>50</v>
      </c>
      <c r="M99">
        <v>1</v>
      </c>
    </row>
    <row r="100" spans="1:13" x14ac:dyDescent="0.25">
      <c r="A100" s="2">
        <v>46160</v>
      </c>
      <c r="B100" s="1" t="str">
        <f ca="1">IF(Información1[[#This Row],[Fecha]]='Ajuste de fechas'!$A$2,"Día actual","Día anterior")</f>
        <v>Día actual</v>
      </c>
      <c r="C100" t="s">
        <v>37</v>
      </c>
      <c r="D100" t="s">
        <v>38</v>
      </c>
      <c r="E100" t="s">
        <v>237</v>
      </c>
      <c r="F100" t="s">
        <v>36</v>
      </c>
      <c r="G100" t="s">
        <v>238</v>
      </c>
      <c r="H100" t="s">
        <v>11</v>
      </c>
      <c r="I100" t="s">
        <v>7</v>
      </c>
      <c r="J100" t="s">
        <v>48</v>
      </c>
      <c r="K100" t="s">
        <v>39</v>
      </c>
      <c r="L100" t="s">
        <v>51</v>
      </c>
      <c r="M100">
        <v>2</v>
      </c>
    </row>
    <row r="101" spans="1:13" x14ac:dyDescent="0.25">
      <c r="A101" s="2">
        <v>46160</v>
      </c>
      <c r="B101" s="1" t="str">
        <f ca="1">IF(Información1[[#This Row],[Fecha]]='Ajuste de fechas'!$A$2,"Día actual","Día anterior")</f>
        <v>Día actual</v>
      </c>
      <c r="C101" t="s">
        <v>37</v>
      </c>
      <c r="D101" t="s">
        <v>38</v>
      </c>
      <c r="E101" t="s">
        <v>239</v>
      </c>
      <c r="F101" t="s">
        <v>171</v>
      </c>
      <c r="G101" t="s">
        <v>240</v>
      </c>
      <c r="H101" t="s">
        <v>11</v>
      </c>
      <c r="I101" t="s">
        <v>7</v>
      </c>
      <c r="J101" t="s">
        <v>172</v>
      </c>
      <c r="K101" t="s">
        <v>39</v>
      </c>
      <c r="L101" t="s">
        <v>49</v>
      </c>
      <c r="M101">
        <v>1</v>
      </c>
    </row>
    <row r="102" spans="1:13" x14ac:dyDescent="0.25">
      <c r="A102" s="2">
        <v>46160</v>
      </c>
      <c r="B102" s="1" t="str">
        <f ca="1">IF(Información1[[#This Row],[Fecha]]='Ajuste de fechas'!$A$2,"Día actual","Día anterior")</f>
        <v>Día actual</v>
      </c>
      <c r="C102" t="s">
        <v>37</v>
      </c>
      <c r="D102" t="s">
        <v>38</v>
      </c>
      <c r="E102" t="s">
        <v>241</v>
      </c>
      <c r="F102" t="s">
        <v>19</v>
      </c>
      <c r="G102" t="s">
        <v>33</v>
      </c>
      <c r="H102" t="s">
        <v>11</v>
      </c>
      <c r="I102" t="s">
        <v>7</v>
      </c>
      <c r="J102" t="s">
        <v>52</v>
      </c>
      <c r="K102" t="s">
        <v>39</v>
      </c>
      <c r="L102" t="s">
        <v>49</v>
      </c>
      <c r="M102">
        <v>1</v>
      </c>
    </row>
    <row r="103" spans="1:13" x14ac:dyDescent="0.25">
      <c r="A103" s="2">
        <v>46160</v>
      </c>
      <c r="B103" s="1" t="str">
        <f ca="1">IF(Información1[[#This Row],[Fecha]]='Ajuste de fechas'!$A$2,"Día actual","Día anterior")</f>
        <v>Día actual</v>
      </c>
      <c r="C103" t="s">
        <v>37</v>
      </c>
      <c r="D103" t="s">
        <v>38</v>
      </c>
      <c r="E103" t="s">
        <v>242</v>
      </c>
      <c r="F103" t="s">
        <v>19</v>
      </c>
      <c r="G103" t="s">
        <v>33</v>
      </c>
      <c r="H103" t="s">
        <v>11</v>
      </c>
      <c r="I103" t="s">
        <v>7</v>
      </c>
      <c r="J103" t="s">
        <v>52</v>
      </c>
      <c r="K103" t="s">
        <v>39</v>
      </c>
      <c r="L103" t="s">
        <v>49</v>
      </c>
      <c r="M103">
        <v>1</v>
      </c>
    </row>
    <row r="104" spans="1:13" x14ac:dyDescent="0.25">
      <c r="A104" s="2">
        <v>46160</v>
      </c>
      <c r="B104" s="1" t="str">
        <f ca="1">IF(Información1[[#This Row],[Fecha]]='Ajuste de fechas'!$A$2,"Día actual","Día anterior")</f>
        <v>Día actual</v>
      </c>
      <c r="C104" t="s">
        <v>37</v>
      </c>
      <c r="D104" t="s">
        <v>38</v>
      </c>
      <c r="E104" t="s">
        <v>243</v>
      </c>
      <c r="F104" t="s">
        <v>19</v>
      </c>
      <c r="G104" t="s">
        <v>244</v>
      </c>
      <c r="H104" t="s">
        <v>11</v>
      </c>
      <c r="I104" t="s">
        <v>7</v>
      </c>
      <c r="J104" t="s">
        <v>52</v>
      </c>
      <c r="K104" t="s">
        <v>39</v>
      </c>
      <c r="L104" t="s">
        <v>49</v>
      </c>
      <c r="M104">
        <v>1</v>
      </c>
    </row>
    <row r="105" spans="1:13" x14ac:dyDescent="0.25">
      <c r="A105" s="2">
        <v>46160</v>
      </c>
      <c r="B105" s="1" t="str">
        <f ca="1">IF(Información1[[#This Row],[Fecha]]='Ajuste de fechas'!$A$2,"Día actual","Día anterior")</f>
        <v>Día actual</v>
      </c>
      <c r="C105" t="s">
        <v>37</v>
      </c>
      <c r="D105" t="s">
        <v>38</v>
      </c>
      <c r="E105" t="s">
        <v>245</v>
      </c>
      <c r="F105" t="s">
        <v>63</v>
      </c>
      <c r="G105" t="s">
        <v>246</v>
      </c>
      <c r="H105" t="s">
        <v>11</v>
      </c>
      <c r="I105" t="s">
        <v>7</v>
      </c>
      <c r="J105" t="s">
        <v>48</v>
      </c>
      <c r="K105" t="s">
        <v>39</v>
      </c>
      <c r="L105" t="s">
        <v>49</v>
      </c>
      <c r="M105">
        <v>1</v>
      </c>
    </row>
    <row r="106" spans="1:13" x14ac:dyDescent="0.25">
      <c r="A106" s="2">
        <v>46160</v>
      </c>
      <c r="B106" s="1" t="str">
        <f ca="1">IF(Información1[[#This Row],[Fecha]]='Ajuste de fechas'!$A$2,"Día actual","Día anterior")</f>
        <v>Día actual</v>
      </c>
      <c r="C106" t="s">
        <v>37</v>
      </c>
      <c r="D106" t="s">
        <v>38</v>
      </c>
      <c r="E106" t="s">
        <v>247</v>
      </c>
      <c r="F106" t="s">
        <v>63</v>
      </c>
      <c r="G106" t="s">
        <v>90</v>
      </c>
      <c r="H106" t="s">
        <v>11</v>
      </c>
      <c r="I106" t="s">
        <v>7</v>
      </c>
      <c r="J106" t="s">
        <v>48</v>
      </c>
      <c r="K106" t="s">
        <v>39</v>
      </c>
      <c r="L106" t="s">
        <v>49</v>
      </c>
      <c r="M106">
        <v>1</v>
      </c>
    </row>
    <row r="107" spans="1:13" x14ac:dyDescent="0.25">
      <c r="A107" s="2">
        <v>46160</v>
      </c>
      <c r="B107" s="1" t="str">
        <f ca="1">IF(Información1[[#This Row],[Fecha]]='Ajuste de fechas'!$A$2,"Día actual","Día anterior")</f>
        <v>Día actual</v>
      </c>
      <c r="C107" t="s">
        <v>37</v>
      </c>
      <c r="D107" t="s">
        <v>38</v>
      </c>
      <c r="E107" t="s">
        <v>248</v>
      </c>
      <c r="F107" t="s">
        <v>63</v>
      </c>
      <c r="G107" t="s">
        <v>90</v>
      </c>
      <c r="H107" t="s">
        <v>11</v>
      </c>
      <c r="I107" t="s">
        <v>7</v>
      </c>
      <c r="J107" t="s">
        <v>48</v>
      </c>
      <c r="K107" t="s">
        <v>39</v>
      </c>
      <c r="L107" t="s">
        <v>49</v>
      </c>
      <c r="M107">
        <v>1</v>
      </c>
    </row>
    <row r="108" spans="1:13" x14ac:dyDescent="0.25">
      <c r="A108" s="2">
        <v>46160</v>
      </c>
      <c r="B108" s="1" t="str">
        <f ca="1">IF(Información1[[#This Row],[Fecha]]='Ajuste de fechas'!$A$2,"Día actual","Día anterior")</f>
        <v>Día actual</v>
      </c>
      <c r="C108" t="s">
        <v>37</v>
      </c>
      <c r="D108" t="s">
        <v>38</v>
      </c>
      <c r="E108" t="s">
        <v>249</v>
      </c>
      <c r="F108" t="s">
        <v>63</v>
      </c>
      <c r="G108" t="s">
        <v>96</v>
      </c>
      <c r="H108" t="s">
        <v>11</v>
      </c>
      <c r="I108" t="s">
        <v>25</v>
      </c>
      <c r="J108" t="s">
        <v>48</v>
      </c>
      <c r="K108" t="s">
        <v>39</v>
      </c>
      <c r="L108" t="s">
        <v>49</v>
      </c>
      <c r="M108">
        <v>1</v>
      </c>
    </row>
    <row r="109" spans="1:13" x14ac:dyDescent="0.25">
      <c r="A109" s="2">
        <v>46160</v>
      </c>
      <c r="B109" s="1" t="str">
        <f ca="1">IF(Información1[[#This Row],[Fecha]]='Ajuste de fechas'!$A$2,"Día actual","Día anterior")</f>
        <v>Día actual</v>
      </c>
      <c r="C109" t="s">
        <v>37</v>
      </c>
      <c r="D109" t="s">
        <v>38</v>
      </c>
      <c r="E109" t="s">
        <v>250</v>
      </c>
      <c r="F109" t="s">
        <v>23</v>
      </c>
      <c r="G109" t="s">
        <v>66</v>
      </c>
      <c r="H109" t="s">
        <v>11</v>
      </c>
      <c r="I109" t="s">
        <v>7</v>
      </c>
      <c r="J109" t="s">
        <v>48</v>
      </c>
      <c r="K109" t="s">
        <v>39</v>
      </c>
      <c r="L109" t="s">
        <v>51</v>
      </c>
      <c r="M109">
        <v>2</v>
      </c>
    </row>
    <row r="110" spans="1:13" x14ac:dyDescent="0.25">
      <c r="A110" s="2">
        <v>46160</v>
      </c>
      <c r="B110" s="1" t="str">
        <f ca="1">IF(Información1[[#This Row],[Fecha]]='Ajuste de fechas'!$A$2,"Día actual","Día anterior")</f>
        <v>Día actual</v>
      </c>
      <c r="C110" t="s">
        <v>37</v>
      </c>
      <c r="D110" t="s">
        <v>38</v>
      </c>
      <c r="E110" t="s">
        <v>251</v>
      </c>
      <c r="F110" t="s">
        <v>19</v>
      </c>
      <c r="G110" t="s">
        <v>252</v>
      </c>
      <c r="H110" t="s">
        <v>11</v>
      </c>
      <c r="I110" t="s">
        <v>7</v>
      </c>
      <c r="J110" t="s">
        <v>52</v>
      </c>
      <c r="K110" t="s">
        <v>39</v>
      </c>
      <c r="L110" t="s">
        <v>49</v>
      </c>
      <c r="M110">
        <v>1</v>
      </c>
    </row>
    <row r="111" spans="1:13" x14ac:dyDescent="0.25">
      <c r="A111" s="2">
        <v>46160</v>
      </c>
      <c r="B111" s="1" t="str">
        <f ca="1">IF(Información1[[#This Row],[Fecha]]='Ajuste de fechas'!$A$2,"Día actual","Día anterior")</f>
        <v>Día actual</v>
      </c>
      <c r="C111" t="s">
        <v>37</v>
      </c>
      <c r="D111" t="s">
        <v>38</v>
      </c>
      <c r="E111" t="s">
        <v>253</v>
      </c>
      <c r="F111" t="s">
        <v>21</v>
      </c>
      <c r="G111" t="s">
        <v>254</v>
      </c>
      <c r="H111" t="s">
        <v>11</v>
      </c>
      <c r="I111" t="s">
        <v>25</v>
      </c>
      <c r="J111" t="s">
        <v>48</v>
      </c>
      <c r="K111" t="s">
        <v>39</v>
      </c>
      <c r="L111" t="s">
        <v>50</v>
      </c>
      <c r="M111">
        <v>2</v>
      </c>
    </row>
    <row r="112" spans="1:13" x14ac:dyDescent="0.25">
      <c r="A112" s="2">
        <v>46160</v>
      </c>
      <c r="B112" s="1" t="str">
        <f ca="1">IF(Información1[[#This Row],[Fecha]]='Ajuste de fechas'!$A$2,"Día actual","Día anterior")</f>
        <v>Día actual</v>
      </c>
      <c r="C112" t="s">
        <v>37</v>
      </c>
      <c r="D112" t="s">
        <v>38</v>
      </c>
      <c r="E112" t="s">
        <v>255</v>
      </c>
      <c r="F112" t="s">
        <v>67</v>
      </c>
      <c r="G112" t="s">
        <v>204</v>
      </c>
      <c r="H112" t="s">
        <v>11</v>
      </c>
      <c r="I112" t="s">
        <v>7</v>
      </c>
      <c r="J112" t="s">
        <v>48</v>
      </c>
      <c r="K112" t="s">
        <v>39</v>
      </c>
      <c r="L112" t="s">
        <v>49</v>
      </c>
      <c r="M112">
        <v>1</v>
      </c>
    </row>
    <row r="113" spans="1:13" x14ac:dyDescent="0.25">
      <c r="A113" s="2">
        <v>46160</v>
      </c>
      <c r="B113" s="1" t="str">
        <f ca="1">IF(Información1[[#This Row],[Fecha]]='Ajuste de fechas'!$A$2,"Día actual","Día anterior")</f>
        <v>Día actual</v>
      </c>
      <c r="C113" t="s">
        <v>37</v>
      </c>
      <c r="D113" t="s">
        <v>38</v>
      </c>
      <c r="E113" t="s">
        <v>256</v>
      </c>
      <c r="F113" t="s">
        <v>203</v>
      </c>
      <c r="G113" t="s">
        <v>204</v>
      </c>
      <c r="H113" t="s">
        <v>11</v>
      </c>
      <c r="I113" t="s">
        <v>7</v>
      </c>
      <c r="J113" t="s">
        <v>48</v>
      </c>
      <c r="K113" t="s">
        <v>39</v>
      </c>
      <c r="L113" t="s">
        <v>49</v>
      </c>
      <c r="M113">
        <v>1</v>
      </c>
    </row>
    <row r="114" spans="1:13" x14ac:dyDescent="0.25">
      <c r="A114" s="2">
        <v>46160</v>
      </c>
      <c r="B114" s="1" t="str">
        <f ca="1">IF(Información1[[#This Row],[Fecha]]='Ajuste de fechas'!$A$2,"Día actual","Día anterior")</f>
        <v>Día actual</v>
      </c>
      <c r="C114" t="s">
        <v>37</v>
      </c>
      <c r="D114" t="s">
        <v>38</v>
      </c>
      <c r="E114" t="s">
        <v>257</v>
      </c>
      <c r="F114" t="s">
        <v>19</v>
      </c>
      <c r="G114" t="s">
        <v>258</v>
      </c>
      <c r="H114" t="s">
        <v>11</v>
      </c>
      <c r="I114" t="s">
        <v>7</v>
      </c>
      <c r="J114" t="s">
        <v>52</v>
      </c>
      <c r="K114" t="s">
        <v>39</v>
      </c>
      <c r="L114" t="s">
        <v>49</v>
      </c>
      <c r="M114">
        <v>1</v>
      </c>
    </row>
    <row r="115" spans="1:13" x14ac:dyDescent="0.25">
      <c r="A115" s="2">
        <v>46160</v>
      </c>
      <c r="B115" s="1" t="str">
        <f ca="1">IF(Información1[[#This Row],[Fecha]]='Ajuste de fechas'!$A$2,"Día actual","Día anterior")</f>
        <v>Día actual</v>
      </c>
      <c r="C115" t="s">
        <v>37</v>
      </c>
      <c r="D115" t="s">
        <v>38</v>
      </c>
      <c r="E115" t="s">
        <v>259</v>
      </c>
      <c r="F115" t="s">
        <v>230</v>
      </c>
      <c r="G115" t="s">
        <v>97</v>
      </c>
      <c r="H115" t="s">
        <v>11</v>
      </c>
      <c r="I115" t="s">
        <v>7</v>
      </c>
      <c r="J115" t="s">
        <v>24</v>
      </c>
      <c r="K115" t="s">
        <v>39</v>
      </c>
      <c r="L115" t="s">
        <v>49</v>
      </c>
      <c r="M115">
        <v>1</v>
      </c>
    </row>
    <row r="116" spans="1:13" x14ac:dyDescent="0.25">
      <c r="A116" s="2">
        <v>46160</v>
      </c>
      <c r="B116" s="1" t="str">
        <f ca="1">IF(Información1[[#This Row],[Fecha]]='Ajuste de fechas'!$A$2,"Día actual","Día anterior")</f>
        <v>Día actual</v>
      </c>
      <c r="C116" t="s">
        <v>37</v>
      </c>
      <c r="D116" t="s">
        <v>38</v>
      </c>
      <c r="E116" t="s">
        <v>260</v>
      </c>
      <c r="F116" t="s">
        <v>24</v>
      </c>
      <c r="G116" t="s">
        <v>97</v>
      </c>
      <c r="H116" t="s">
        <v>11</v>
      </c>
      <c r="I116" t="s">
        <v>7</v>
      </c>
      <c r="J116" t="s">
        <v>24</v>
      </c>
      <c r="K116" t="s">
        <v>39</v>
      </c>
      <c r="L116" t="s">
        <v>49</v>
      </c>
      <c r="M116">
        <v>1</v>
      </c>
    </row>
    <row r="117" spans="1:13" x14ac:dyDescent="0.25">
      <c r="A117" s="2">
        <v>46160</v>
      </c>
      <c r="B117" s="1" t="str">
        <f ca="1">IF(Información1[[#This Row],[Fecha]]='Ajuste de fechas'!$A$2,"Día actual","Día anterior")</f>
        <v>Día actual</v>
      </c>
      <c r="C117" t="s">
        <v>37</v>
      </c>
      <c r="D117" t="s">
        <v>38</v>
      </c>
      <c r="E117" t="s">
        <v>261</v>
      </c>
      <c r="F117" t="s">
        <v>22</v>
      </c>
      <c r="G117" t="s">
        <v>73</v>
      </c>
      <c r="H117" t="s">
        <v>11</v>
      </c>
      <c r="I117" t="s">
        <v>7</v>
      </c>
      <c r="J117" t="s">
        <v>53</v>
      </c>
      <c r="K117" t="s">
        <v>39</v>
      </c>
      <c r="L117" t="s">
        <v>49</v>
      </c>
      <c r="M117">
        <v>1</v>
      </c>
    </row>
    <row r="118" spans="1:13" x14ac:dyDescent="0.25">
      <c r="A118" s="2">
        <v>46160</v>
      </c>
      <c r="B118" s="1" t="str">
        <f ca="1">IF(Información1[[#This Row],[Fecha]]='Ajuste de fechas'!$A$2,"Día actual","Día anterior")</f>
        <v>Día actual</v>
      </c>
      <c r="C118" t="s">
        <v>37</v>
      </c>
      <c r="D118" t="s">
        <v>38</v>
      </c>
      <c r="E118" t="s">
        <v>74</v>
      </c>
      <c r="F118" t="s">
        <v>19</v>
      </c>
      <c r="G118" t="s">
        <v>33</v>
      </c>
      <c r="H118" t="s">
        <v>11</v>
      </c>
      <c r="I118" t="s">
        <v>7</v>
      </c>
      <c r="J118" t="s">
        <v>52</v>
      </c>
      <c r="K118" t="s">
        <v>39</v>
      </c>
      <c r="L118" t="s">
        <v>49</v>
      </c>
      <c r="M118">
        <v>1</v>
      </c>
    </row>
    <row r="119" spans="1:13" x14ac:dyDescent="0.25">
      <c r="A119" s="2">
        <v>46160</v>
      </c>
      <c r="B119" s="1" t="str">
        <f ca="1">IF(Información1[[#This Row],[Fecha]]='Ajuste de fechas'!$A$2,"Día actual","Día anterior")</f>
        <v>Día actual</v>
      </c>
      <c r="C119" t="s">
        <v>37</v>
      </c>
      <c r="D119" t="s">
        <v>38</v>
      </c>
      <c r="E119" t="s">
        <v>262</v>
      </c>
      <c r="F119" t="s">
        <v>21</v>
      </c>
      <c r="G119" t="s">
        <v>77</v>
      </c>
      <c r="H119" t="s">
        <v>11</v>
      </c>
      <c r="I119" t="s">
        <v>7</v>
      </c>
      <c r="J119" t="s">
        <v>48</v>
      </c>
      <c r="K119" t="s">
        <v>39</v>
      </c>
      <c r="L119" t="s">
        <v>51</v>
      </c>
      <c r="M119">
        <v>2</v>
      </c>
    </row>
    <row r="120" spans="1:13" x14ac:dyDescent="0.25">
      <c r="A120" s="2">
        <v>46160</v>
      </c>
      <c r="B120" s="1" t="str">
        <f ca="1">IF(Información1[[#This Row],[Fecha]]='Ajuste de fechas'!$A$2,"Día actual","Día anterior")</f>
        <v>Día actual</v>
      </c>
      <c r="C120" t="s">
        <v>37</v>
      </c>
      <c r="D120" t="s">
        <v>38</v>
      </c>
      <c r="E120" t="s">
        <v>263</v>
      </c>
      <c r="F120" t="s">
        <v>22</v>
      </c>
      <c r="G120" t="s">
        <v>264</v>
      </c>
      <c r="H120" t="s">
        <v>11</v>
      </c>
      <c r="I120" t="s">
        <v>7</v>
      </c>
      <c r="J120" t="s">
        <v>53</v>
      </c>
      <c r="K120" t="s">
        <v>39</v>
      </c>
      <c r="L120" t="s">
        <v>49</v>
      </c>
      <c r="M120">
        <v>1</v>
      </c>
    </row>
    <row r="121" spans="1:13" x14ac:dyDescent="0.25">
      <c r="A121" s="2">
        <v>46160</v>
      </c>
      <c r="B121" s="1" t="str">
        <f ca="1">IF(Información1[[#This Row],[Fecha]]='Ajuste de fechas'!$A$2,"Día actual","Día anterior")</f>
        <v>Día actual</v>
      </c>
      <c r="C121" t="s">
        <v>37</v>
      </c>
      <c r="D121" t="s">
        <v>38</v>
      </c>
      <c r="E121" t="s">
        <v>265</v>
      </c>
      <c r="F121" t="s">
        <v>19</v>
      </c>
      <c r="G121" t="s">
        <v>266</v>
      </c>
      <c r="H121" t="s">
        <v>11</v>
      </c>
      <c r="I121" t="s">
        <v>7</v>
      </c>
      <c r="J121" t="s">
        <v>52</v>
      </c>
      <c r="K121" t="s">
        <v>39</v>
      </c>
      <c r="L121" t="s">
        <v>49</v>
      </c>
      <c r="M121">
        <v>1</v>
      </c>
    </row>
    <row r="122" spans="1:13" x14ac:dyDescent="0.25">
      <c r="A122" s="2">
        <v>46160</v>
      </c>
      <c r="B122" s="1" t="str">
        <f ca="1">IF(Información1[[#This Row],[Fecha]]='Ajuste de fechas'!$A$2,"Día actual","Día anterior")</f>
        <v>Día actual</v>
      </c>
      <c r="C122" t="s">
        <v>37</v>
      </c>
      <c r="D122" t="s">
        <v>38</v>
      </c>
      <c r="E122" t="s">
        <v>267</v>
      </c>
      <c r="F122" t="s">
        <v>19</v>
      </c>
      <c r="G122" t="s">
        <v>268</v>
      </c>
      <c r="H122" t="s">
        <v>11</v>
      </c>
      <c r="I122" t="s">
        <v>7</v>
      </c>
      <c r="J122" t="s">
        <v>52</v>
      </c>
      <c r="K122" t="s">
        <v>39</v>
      </c>
      <c r="L122" t="s">
        <v>49</v>
      </c>
      <c r="M122">
        <v>1</v>
      </c>
    </row>
    <row r="123" spans="1:13" x14ac:dyDescent="0.25">
      <c r="A123" s="2">
        <v>46160</v>
      </c>
      <c r="B123" s="1" t="str">
        <f ca="1">IF(Información1[[#This Row],[Fecha]]='Ajuste de fechas'!$A$2,"Día actual","Día anterior")</f>
        <v>Día actual</v>
      </c>
      <c r="C123" t="s">
        <v>34</v>
      </c>
      <c r="D123" t="s">
        <v>35</v>
      </c>
      <c r="E123" t="s">
        <v>269</v>
      </c>
      <c r="F123" t="s">
        <v>140</v>
      </c>
      <c r="G123" t="s">
        <v>270</v>
      </c>
      <c r="H123" t="s">
        <v>32</v>
      </c>
      <c r="I123" t="s">
        <v>7</v>
      </c>
      <c r="J123" t="s">
        <v>93</v>
      </c>
      <c r="K123" t="s">
        <v>271</v>
      </c>
      <c r="L123" t="s">
        <v>50</v>
      </c>
      <c r="M123">
        <v>1</v>
      </c>
    </row>
    <row r="124" spans="1:13" x14ac:dyDescent="0.25">
      <c r="A124" s="2">
        <v>46160</v>
      </c>
      <c r="B124" s="1" t="str">
        <f ca="1">IF(Información1[[#This Row],[Fecha]]='Ajuste de fechas'!$A$2,"Día actual","Día anterior")</f>
        <v>Día actual</v>
      </c>
      <c r="C124" t="s">
        <v>34</v>
      </c>
      <c r="D124" t="s">
        <v>35</v>
      </c>
      <c r="E124" t="s">
        <v>272</v>
      </c>
      <c r="F124" t="s">
        <v>17</v>
      </c>
      <c r="G124" t="s">
        <v>273</v>
      </c>
      <c r="H124" t="s">
        <v>32</v>
      </c>
      <c r="I124" t="s">
        <v>25</v>
      </c>
      <c r="J124" t="s">
        <v>48</v>
      </c>
      <c r="K124" t="s">
        <v>9</v>
      </c>
      <c r="L124" t="s">
        <v>50</v>
      </c>
      <c r="M124">
        <v>1</v>
      </c>
    </row>
    <row r="125" spans="1:13" x14ac:dyDescent="0.25">
      <c r="A125" s="2">
        <v>46160</v>
      </c>
      <c r="B125" s="1" t="str">
        <f ca="1">IF(Información1[[#This Row],[Fecha]]='Ajuste de fechas'!$A$2,"Día actual","Día anterior")</f>
        <v>Día actual</v>
      </c>
      <c r="C125" t="s">
        <v>34</v>
      </c>
      <c r="D125" t="s">
        <v>35</v>
      </c>
      <c r="E125" t="s">
        <v>274</v>
      </c>
      <c r="F125" t="s">
        <v>17</v>
      </c>
      <c r="G125" t="s">
        <v>273</v>
      </c>
      <c r="H125" t="s">
        <v>32</v>
      </c>
      <c r="I125" t="s">
        <v>25</v>
      </c>
      <c r="J125" t="s">
        <v>48</v>
      </c>
      <c r="K125" t="s">
        <v>9</v>
      </c>
      <c r="L125" t="s">
        <v>50</v>
      </c>
      <c r="M125">
        <v>1</v>
      </c>
    </row>
    <row r="126" spans="1:13" x14ac:dyDescent="0.25">
      <c r="A126" s="2">
        <v>46160</v>
      </c>
      <c r="B126" s="1" t="str">
        <f ca="1">IF(Información1[[#This Row],[Fecha]]='Ajuste de fechas'!$A$2,"Día actual","Día anterior")</f>
        <v>Día actual</v>
      </c>
      <c r="C126" t="s">
        <v>34</v>
      </c>
      <c r="D126" t="s">
        <v>35</v>
      </c>
      <c r="E126" t="s">
        <v>275</v>
      </c>
      <c r="F126" t="s">
        <v>19</v>
      </c>
      <c r="G126" t="s">
        <v>276</v>
      </c>
      <c r="H126" t="s">
        <v>32</v>
      </c>
      <c r="I126" t="s">
        <v>7</v>
      </c>
      <c r="J126" t="s">
        <v>52</v>
      </c>
      <c r="K126" t="s">
        <v>27</v>
      </c>
      <c r="L126" t="s">
        <v>49</v>
      </c>
      <c r="M126">
        <v>1</v>
      </c>
    </row>
    <row r="127" spans="1:13" x14ac:dyDescent="0.25">
      <c r="A127" s="2">
        <v>46160</v>
      </c>
      <c r="B127" s="1" t="str">
        <f ca="1">IF(Información1[[#This Row],[Fecha]]='Ajuste de fechas'!$A$2,"Día actual","Día anterior")</f>
        <v>Día actual</v>
      </c>
      <c r="C127" t="s">
        <v>34</v>
      </c>
      <c r="D127" t="s">
        <v>35</v>
      </c>
      <c r="E127" t="s">
        <v>277</v>
      </c>
      <c r="F127" t="s">
        <v>19</v>
      </c>
      <c r="G127" t="s">
        <v>278</v>
      </c>
      <c r="H127" t="s">
        <v>32</v>
      </c>
      <c r="I127" t="s">
        <v>7</v>
      </c>
      <c r="J127" t="s">
        <v>52</v>
      </c>
      <c r="K127" t="s">
        <v>27</v>
      </c>
      <c r="L127" t="s">
        <v>49</v>
      </c>
      <c r="M127">
        <v>1</v>
      </c>
    </row>
    <row r="128" spans="1:13" x14ac:dyDescent="0.25">
      <c r="A128" s="2">
        <v>46160</v>
      </c>
      <c r="B128" s="1" t="str">
        <f ca="1">IF(Información1[[#This Row],[Fecha]]='Ajuste de fechas'!$A$2,"Día actual","Día anterior")</f>
        <v>Día actual</v>
      </c>
      <c r="C128" t="s">
        <v>34</v>
      </c>
      <c r="D128" t="s">
        <v>35</v>
      </c>
      <c r="E128" t="s">
        <v>250</v>
      </c>
      <c r="F128" t="s">
        <v>23</v>
      </c>
      <c r="G128" t="s">
        <v>66</v>
      </c>
      <c r="H128" t="s">
        <v>32</v>
      </c>
      <c r="I128" t="s">
        <v>7</v>
      </c>
      <c r="J128" t="s">
        <v>48</v>
      </c>
      <c r="K128" t="s">
        <v>27</v>
      </c>
      <c r="L128" t="s">
        <v>51</v>
      </c>
      <c r="M128">
        <v>1</v>
      </c>
    </row>
    <row r="129" spans="1:13" x14ac:dyDescent="0.25">
      <c r="A129" s="2">
        <v>46160</v>
      </c>
      <c r="B129" s="1" t="str">
        <f ca="1">IF(Información1[[#This Row],[Fecha]]='Ajuste de fechas'!$A$2,"Día actual","Día anterior")</f>
        <v>Día actual</v>
      </c>
      <c r="C129" t="s">
        <v>34</v>
      </c>
      <c r="D129" t="s">
        <v>35</v>
      </c>
      <c r="E129" t="s">
        <v>279</v>
      </c>
      <c r="F129" t="s">
        <v>36</v>
      </c>
      <c r="G129" t="s">
        <v>280</v>
      </c>
      <c r="H129" t="s">
        <v>32</v>
      </c>
      <c r="I129" t="s">
        <v>7</v>
      </c>
      <c r="J129" t="s">
        <v>48</v>
      </c>
      <c r="K129" t="s">
        <v>27</v>
      </c>
      <c r="L129" t="s">
        <v>49</v>
      </c>
      <c r="M129">
        <v>1</v>
      </c>
    </row>
    <row r="130" spans="1:13" x14ac:dyDescent="0.25">
      <c r="A130" s="2">
        <v>46160</v>
      </c>
      <c r="B130" s="1" t="str">
        <f ca="1">IF(Información1[[#This Row],[Fecha]]='Ajuste de fechas'!$A$2,"Día actual","Día anterior")</f>
        <v>Día actual</v>
      </c>
      <c r="C130" t="s">
        <v>34</v>
      </c>
      <c r="D130" t="s">
        <v>35</v>
      </c>
      <c r="E130" t="s">
        <v>281</v>
      </c>
      <c r="F130" t="s">
        <v>21</v>
      </c>
      <c r="G130" t="s">
        <v>95</v>
      </c>
      <c r="H130" t="s">
        <v>32</v>
      </c>
      <c r="I130" t="s">
        <v>7</v>
      </c>
      <c r="J130" t="s">
        <v>48</v>
      </c>
      <c r="K130" t="s">
        <v>27</v>
      </c>
      <c r="L130" t="s">
        <v>51</v>
      </c>
      <c r="M130">
        <v>1</v>
      </c>
    </row>
    <row r="131" spans="1:13" x14ac:dyDescent="0.25">
      <c r="A131" s="2">
        <v>46160</v>
      </c>
      <c r="B131" s="1" t="str">
        <f ca="1">IF(Información1[[#This Row],[Fecha]]='Ajuste de fechas'!$A$2,"Día actual","Día anterior")</f>
        <v>Día actual</v>
      </c>
      <c r="C131" t="s">
        <v>34</v>
      </c>
      <c r="D131" t="s">
        <v>35</v>
      </c>
      <c r="E131" t="s">
        <v>282</v>
      </c>
      <c r="F131" t="s">
        <v>21</v>
      </c>
      <c r="G131" t="s">
        <v>77</v>
      </c>
      <c r="H131" t="s">
        <v>32</v>
      </c>
      <c r="I131" t="s">
        <v>7</v>
      </c>
      <c r="J131" t="s">
        <v>48</v>
      </c>
      <c r="K131" t="s">
        <v>27</v>
      </c>
      <c r="L131" t="s">
        <v>49</v>
      </c>
      <c r="M131">
        <v>1</v>
      </c>
    </row>
    <row r="132" spans="1:13" x14ac:dyDescent="0.25">
      <c r="A132" s="2">
        <v>46160</v>
      </c>
      <c r="B132" s="1" t="str">
        <f ca="1">IF(Información1[[#This Row],[Fecha]]='Ajuste de fechas'!$A$2,"Día actual","Día anterior")</f>
        <v>Día actual</v>
      </c>
      <c r="C132" t="s">
        <v>34</v>
      </c>
      <c r="D132" t="s">
        <v>35</v>
      </c>
      <c r="E132" t="s">
        <v>283</v>
      </c>
      <c r="F132" t="s">
        <v>230</v>
      </c>
      <c r="G132" t="s">
        <v>284</v>
      </c>
      <c r="H132" t="s">
        <v>32</v>
      </c>
      <c r="I132" t="s">
        <v>7</v>
      </c>
      <c r="J132" t="s">
        <v>24</v>
      </c>
      <c r="K132" t="s">
        <v>27</v>
      </c>
      <c r="L132" t="s">
        <v>49</v>
      </c>
      <c r="M132">
        <v>1</v>
      </c>
    </row>
    <row r="133" spans="1:13" x14ac:dyDescent="0.25">
      <c r="A133" s="2">
        <v>46160</v>
      </c>
      <c r="B133" s="1" t="str">
        <f ca="1">IF(Información1[[#This Row],[Fecha]]='Ajuste de fechas'!$A$2,"Día actual","Día anterior")</f>
        <v>Día actual</v>
      </c>
      <c r="C133" t="s">
        <v>34</v>
      </c>
      <c r="D133" t="s">
        <v>35</v>
      </c>
      <c r="E133" t="s">
        <v>285</v>
      </c>
      <c r="F133" t="s">
        <v>15</v>
      </c>
      <c r="G133" t="s">
        <v>58</v>
      </c>
      <c r="H133" t="s">
        <v>32</v>
      </c>
      <c r="I133" t="s">
        <v>25</v>
      </c>
      <c r="J133" t="s">
        <v>48</v>
      </c>
      <c r="K133" t="s">
        <v>27</v>
      </c>
      <c r="L133" t="s">
        <v>50</v>
      </c>
      <c r="M133">
        <v>1</v>
      </c>
    </row>
    <row r="134" spans="1:13" x14ac:dyDescent="0.25">
      <c r="A134" s="2">
        <v>46160</v>
      </c>
      <c r="B134" s="1" t="str">
        <f ca="1">IF(Información1[[#This Row],[Fecha]]='Ajuste de fechas'!$A$2,"Día actual","Día anterior")</f>
        <v>Día actual</v>
      </c>
      <c r="C134" t="s">
        <v>88</v>
      </c>
      <c r="D134" t="s">
        <v>89</v>
      </c>
      <c r="E134" t="s">
        <v>250</v>
      </c>
      <c r="F134" t="s">
        <v>23</v>
      </c>
      <c r="G134" t="s">
        <v>66</v>
      </c>
      <c r="H134" t="s">
        <v>11</v>
      </c>
      <c r="I134" t="s">
        <v>7</v>
      </c>
      <c r="J134" t="s">
        <v>48</v>
      </c>
      <c r="K134" t="s">
        <v>91</v>
      </c>
      <c r="L134" t="s">
        <v>51</v>
      </c>
      <c r="M134">
        <v>1</v>
      </c>
    </row>
    <row r="135" spans="1:13" x14ac:dyDescent="0.25">
      <c r="A135" s="2">
        <v>46160</v>
      </c>
      <c r="B135" s="1" t="str">
        <f ca="1">IF(Información1[[#This Row],[Fecha]]='Ajuste de fechas'!$A$2,"Día actual","Día anterior")</f>
        <v>Día actual</v>
      </c>
      <c r="C135" t="s">
        <v>88</v>
      </c>
      <c r="D135" t="s">
        <v>89</v>
      </c>
      <c r="E135" t="s">
        <v>286</v>
      </c>
      <c r="F135" t="s">
        <v>64</v>
      </c>
      <c r="G135" t="s">
        <v>287</v>
      </c>
      <c r="H135" t="s">
        <v>11</v>
      </c>
      <c r="I135" t="s">
        <v>7</v>
      </c>
      <c r="J135" t="s">
        <v>48</v>
      </c>
      <c r="K135" t="s">
        <v>91</v>
      </c>
      <c r="L135" t="s">
        <v>51</v>
      </c>
      <c r="M135">
        <v>1</v>
      </c>
    </row>
    <row r="136" spans="1:13" x14ac:dyDescent="0.25">
      <c r="A136" s="2">
        <v>46160</v>
      </c>
      <c r="B136" s="1" t="str">
        <f ca="1">IF(Información1[[#This Row],[Fecha]]='Ajuste de fechas'!$A$2,"Día actual","Día anterior")</f>
        <v>Día actual</v>
      </c>
      <c r="C136" t="s">
        <v>88</v>
      </c>
      <c r="D136" t="s">
        <v>89</v>
      </c>
      <c r="E136" t="s">
        <v>288</v>
      </c>
      <c r="F136" t="s">
        <v>163</v>
      </c>
      <c r="G136" t="s">
        <v>204</v>
      </c>
      <c r="H136" t="s">
        <v>11</v>
      </c>
      <c r="I136" t="s">
        <v>7</v>
      </c>
      <c r="J136" t="s">
        <v>48</v>
      </c>
      <c r="K136" t="s">
        <v>91</v>
      </c>
      <c r="L136" t="s">
        <v>51</v>
      </c>
      <c r="M136">
        <v>1</v>
      </c>
    </row>
    <row r="137" spans="1:13" x14ac:dyDescent="0.25">
      <c r="A137" s="2">
        <v>46160</v>
      </c>
      <c r="B137" s="1" t="str">
        <f ca="1">IF(Información1[[#This Row],[Fecha]]='Ajuste de fechas'!$A$2,"Día actual","Día anterior")</f>
        <v>Día actual</v>
      </c>
      <c r="C137" t="s">
        <v>88</v>
      </c>
      <c r="D137" t="s">
        <v>89</v>
      </c>
      <c r="E137" t="s">
        <v>289</v>
      </c>
      <c r="F137" t="s">
        <v>21</v>
      </c>
      <c r="G137" t="s">
        <v>290</v>
      </c>
      <c r="H137" t="s">
        <v>11</v>
      </c>
      <c r="I137" t="s">
        <v>7</v>
      </c>
      <c r="J137" t="s">
        <v>48</v>
      </c>
      <c r="K137" t="s">
        <v>91</v>
      </c>
      <c r="L137" t="s">
        <v>51</v>
      </c>
      <c r="M137">
        <v>1</v>
      </c>
    </row>
    <row r="138" spans="1:13" x14ac:dyDescent="0.25">
      <c r="A138" s="2">
        <v>46160</v>
      </c>
      <c r="B138" s="1" t="str">
        <f ca="1">IF(Información1[[#This Row],[Fecha]]='Ajuste de fechas'!$A$2,"Día actual","Día anterior")</f>
        <v>Día actual</v>
      </c>
      <c r="C138" t="s">
        <v>88</v>
      </c>
      <c r="D138" t="s">
        <v>89</v>
      </c>
      <c r="E138" t="s">
        <v>291</v>
      </c>
      <c r="F138" t="s">
        <v>203</v>
      </c>
      <c r="G138" t="s">
        <v>292</v>
      </c>
      <c r="H138" t="s">
        <v>11</v>
      </c>
      <c r="I138" t="s">
        <v>7</v>
      </c>
      <c r="J138" t="s">
        <v>48</v>
      </c>
      <c r="K138" t="s">
        <v>91</v>
      </c>
      <c r="L138" t="s">
        <v>51</v>
      </c>
      <c r="M138">
        <v>1</v>
      </c>
    </row>
    <row r="139" spans="1:13" x14ac:dyDescent="0.25">
      <c r="A139" s="2">
        <v>46160</v>
      </c>
      <c r="B139" s="1" t="str">
        <f ca="1">IF(Información1[[#This Row],[Fecha]]='Ajuste de fechas'!$A$2,"Día actual","Día anterior")</f>
        <v>Día actual</v>
      </c>
      <c r="C139" t="s">
        <v>28</v>
      </c>
      <c r="D139" t="s">
        <v>31</v>
      </c>
      <c r="E139" t="s">
        <v>293</v>
      </c>
      <c r="F139" t="s">
        <v>36</v>
      </c>
      <c r="G139" t="s">
        <v>238</v>
      </c>
      <c r="H139" t="s">
        <v>11</v>
      </c>
      <c r="I139" t="s">
        <v>7</v>
      </c>
      <c r="J139" t="s">
        <v>48</v>
      </c>
      <c r="K139" t="s">
        <v>29</v>
      </c>
      <c r="L139" t="s">
        <v>49</v>
      </c>
      <c r="M139">
        <v>2</v>
      </c>
    </row>
    <row r="140" spans="1:13" x14ac:dyDescent="0.25">
      <c r="A140" s="2">
        <v>46160</v>
      </c>
      <c r="B140" s="1" t="str">
        <f ca="1">IF(Información1[[#This Row],[Fecha]]='Ajuste de fechas'!$A$2,"Día actual","Día anterior")</f>
        <v>Día actual</v>
      </c>
      <c r="C140" t="s">
        <v>59</v>
      </c>
      <c r="D140" t="s">
        <v>60</v>
      </c>
      <c r="E140" t="s">
        <v>294</v>
      </c>
      <c r="F140" t="s">
        <v>150</v>
      </c>
      <c r="G140" t="s">
        <v>295</v>
      </c>
      <c r="H140" t="s">
        <v>11</v>
      </c>
      <c r="I140" t="s">
        <v>7</v>
      </c>
      <c r="J140" t="s">
        <v>48</v>
      </c>
      <c r="K140" t="s">
        <v>61</v>
      </c>
      <c r="L140" t="s">
        <v>51</v>
      </c>
      <c r="M140">
        <v>2</v>
      </c>
    </row>
    <row r="141" spans="1:13" x14ac:dyDescent="0.25">
      <c r="A141" s="2">
        <v>46160</v>
      </c>
      <c r="B141" s="1" t="str">
        <f ca="1">IF(Información1[[#This Row],[Fecha]]='Ajuste de fechas'!$A$2,"Día actual","Día anterior")</f>
        <v>Día actual</v>
      </c>
      <c r="C141" t="s">
        <v>28</v>
      </c>
      <c r="D141" t="s">
        <v>31</v>
      </c>
      <c r="E141" t="s">
        <v>296</v>
      </c>
      <c r="F141" t="s">
        <v>297</v>
      </c>
      <c r="G141" t="s">
        <v>298</v>
      </c>
      <c r="H141" t="s">
        <v>11</v>
      </c>
      <c r="I141" t="s">
        <v>7</v>
      </c>
      <c r="J141" t="s">
        <v>48</v>
      </c>
      <c r="K141" t="s">
        <v>29</v>
      </c>
      <c r="L141" t="s">
        <v>49</v>
      </c>
      <c r="M141">
        <v>2</v>
      </c>
    </row>
    <row r="142" spans="1:13" x14ac:dyDescent="0.25">
      <c r="A142" s="2">
        <v>46160</v>
      </c>
      <c r="B142" s="1" t="str">
        <f ca="1">IF(Información1[[#This Row],[Fecha]]='Ajuste de fechas'!$A$2,"Día actual","Día anterior")</f>
        <v>Día actual</v>
      </c>
      <c r="C142" t="s">
        <v>59</v>
      </c>
      <c r="D142" t="s">
        <v>60</v>
      </c>
      <c r="E142" t="s">
        <v>299</v>
      </c>
      <c r="F142" t="s">
        <v>163</v>
      </c>
      <c r="G142" t="s">
        <v>300</v>
      </c>
      <c r="H142" t="s">
        <v>11</v>
      </c>
      <c r="I142" t="s">
        <v>7</v>
      </c>
      <c r="J142" t="s">
        <v>48</v>
      </c>
      <c r="K142" t="s">
        <v>61</v>
      </c>
      <c r="L142" t="s">
        <v>51</v>
      </c>
      <c r="M142">
        <v>2</v>
      </c>
    </row>
    <row r="143" spans="1:13" x14ac:dyDescent="0.25">
      <c r="A143" s="2">
        <v>46160</v>
      </c>
      <c r="B143" s="1" t="str">
        <f ca="1">IF(Información1[[#This Row],[Fecha]]='Ajuste de fechas'!$A$2,"Día actual","Día anterior")</f>
        <v>Día actual</v>
      </c>
      <c r="C143" t="s">
        <v>28</v>
      </c>
      <c r="D143" t="s">
        <v>31</v>
      </c>
      <c r="E143" t="s">
        <v>301</v>
      </c>
      <c r="F143" t="s">
        <v>64</v>
      </c>
      <c r="G143" t="s">
        <v>302</v>
      </c>
      <c r="H143" t="s">
        <v>11</v>
      </c>
      <c r="I143" t="s">
        <v>7</v>
      </c>
      <c r="J143" t="s">
        <v>48</v>
      </c>
      <c r="K143" t="s">
        <v>29</v>
      </c>
      <c r="L143" t="s">
        <v>49</v>
      </c>
      <c r="M143">
        <v>2</v>
      </c>
    </row>
    <row r="144" spans="1:13" x14ac:dyDescent="0.25">
      <c r="A144" s="2">
        <v>46160</v>
      </c>
      <c r="B144" s="1" t="str">
        <f ca="1">IF(Información1[[#This Row],[Fecha]]='Ajuste de fechas'!$A$2,"Día actual","Día anterior")</f>
        <v>Día actual</v>
      </c>
      <c r="C144" t="s">
        <v>8</v>
      </c>
      <c r="D144" t="s">
        <v>10</v>
      </c>
      <c r="E144" t="s">
        <v>303</v>
      </c>
      <c r="F144" t="s">
        <v>64</v>
      </c>
      <c r="G144" t="s">
        <v>302</v>
      </c>
      <c r="H144" t="s">
        <v>11</v>
      </c>
      <c r="I144" t="s">
        <v>7</v>
      </c>
      <c r="J144" t="s">
        <v>48</v>
      </c>
      <c r="K144" t="s">
        <v>14</v>
      </c>
      <c r="L144" t="s">
        <v>49</v>
      </c>
      <c r="M144">
        <v>2</v>
      </c>
    </row>
    <row r="145" spans="1:13" x14ac:dyDescent="0.25">
      <c r="A145" s="2">
        <v>46160</v>
      </c>
      <c r="B145" s="1" t="str">
        <f ca="1">IF(Información1[[#This Row],[Fecha]]='Ajuste de fechas'!$A$2,"Día actual","Día anterior")</f>
        <v>Día actual</v>
      </c>
      <c r="C145" t="s">
        <v>28</v>
      </c>
      <c r="D145" t="s">
        <v>31</v>
      </c>
      <c r="E145" t="s">
        <v>304</v>
      </c>
      <c r="F145" t="s">
        <v>23</v>
      </c>
      <c r="G145" t="s">
        <v>66</v>
      </c>
      <c r="H145" t="s">
        <v>11</v>
      </c>
      <c r="I145" t="s">
        <v>7</v>
      </c>
      <c r="J145" t="s">
        <v>48</v>
      </c>
      <c r="K145" t="s">
        <v>29</v>
      </c>
      <c r="L145" t="s">
        <v>49</v>
      </c>
      <c r="M145">
        <v>2</v>
      </c>
    </row>
    <row r="146" spans="1:13" x14ac:dyDescent="0.25">
      <c r="A146" s="2">
        <v>46160</v>
      </c>
      <c r="B146" s="1" t="str">
        <f ca="1">IF(Información1[[#This Row],[Fecha]]='Ajuste de fechas'!$A$2,"Día actual","Día anterior")</f>
        <v>Día actual</v>
      </c>
      <c r="C146" t="s">
        <v>8</v>
      </c>
      <c r="D146" t="s">
        <v>10</v>
      </c>
      <c r="E146" t="s">
        <v>305</v>
      </c>
      <c r="F146" t="s">
        <v>23</v>
      </c>
      <c r="G146" t="s">
        <v>66</v>
      </c>
      <c r="H146" t="s">
        <v>11</v>
      </c>
      <c r="I146" t="s">
        <v>7</v>
      </c>
      <c r="J146" t="s">
        <v>48</v>
      </c>
      <c r="K146" t="s">
        <v>14</v>
      </c>
      <c r="L146" t="s">
        <v>49</v>
      </c>
      <c r="M146">
        <v>2</v>
      </c>
    </row>
    <row r="147" spans="1:13" x14ac:dyDescent="0.25">
      <c r="A147" s="2">
        <v>46160</v>
      </c>
      <c r="B147" s="1" t="str">
        <f ca="1">IF(Información1[[#This Row],[Fecha]]='Ajuste de fechas'!$A$2,"Día actual","Día anterior")</f>
        <v>Día actual</v>
      </c>
      <c r="C147" t="s">
        <v>28</v>
      </c>
      <c r="D147" t="s">
        <v>31</v>
      </c>
      <c r="E147" t="s">
        <v>306</v>
      </c>
      <c r="F147" t="s">
        <v>64</v>
      </c>
      <c r="G147" t="s">
        <v>287</v>
      </c>
      <c r="H147" t="s">
        <v>11</v>
      </c>
      <c r="I147" t="s">
        <v>7</v>
      </c>
      <c r="J147" t="s">
        <v>48</v>
      </c>
      <c r="K147" t="s">
        <v>29</v>
      </c>
      <c r="L147" t="s">
        <v>49</v>
      </c>
      <c r="M147">
        <v>2</v>
      </c>
    </row>
    <row r="148" spans="1:13" x14ac:dyDescent="0.25">
      <c r="A148" s="2">
        <v>46160</v>
      </c>
      <c r="B148" s="1" t="str">
        <f ca="1">IF(Información1[[#This Row],[Fecha]]='Ajuste de fechas'!$A$2,"Día actual","Día anterior")</f>
        <v>Día actual</v>
      </c>
      <c r="C148" t="s">
        <v>8</v>
      </c>
      <c r="D148" t="s">
        <v>10</v>
      </c>
      <c r="E148" t="s">
        <v>307</v>
      </c>
      <c r="F148" t="s">
        <v>64</v>
      </c>
      <c r="G148" t="s">
        <v>287</v>
      </c>
      <c r="H148" t="s">
        <v>11</v>
      </c>
      <c r="I148" t="s">
        <v>7</v>
      </c>
      <c r="J148" t="s">
        <v>48</v>
      </c>
      <c r="K148" t="s">
        <v>14</v>
      </c>
      <c r="L148" t="s">
        <v>49</v>
      </c>
      <c r="M148">
        <v>2</v>
      </c>
    </row>
    <row r="149" spans="1:13" x14ac:dyDescent="0.25">
      <c r="A149" s="2">
        <v>46160</v>
      </c>
      <c r="B149" s="1" t="str">
        <f ca="1">IF(Información1[[#This Row],[Fecha]]='Ajuste de fechas'!$A$2,"Día actual","Día anterior")</f>
        <v>Día actual</v>
      </c>
      <c r="C149" t="s">
        <v>59</v>
      </c>
      <c r="D149" t="s">
        <v>60</v>
      </c>
      <c r="E149" t="s">
        <v>308</v>
      </c>
      <c r="F149" t="s">
        <v>203</v>
      </c>
      <c r="G149" t="s">
        <v>292</v>
      </c>
      <c r="H149" t="s">
        <v>11</v>
      </c>
      <c r="I149" t="s">
        <v>7</v>
      </c>
      <c r="J149" t="s">
        <v>48</v>
      </c>
      <c r="K149" t="s">
        <v>61</v>
      </c>
      <c r="L149" t="s">
        <v>51</v>
      </c>
      <c r="M149">
        <v>2</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56</v>
      </c>
      <c r="B1" t="s">
        <v>57</v>
      </c>
    </row>
    <row r="2" spans="1:2" x14ac:dyDescent="0.25">
      <c r="A2" s="2">
        <f ca="1">TODAY()</f>
        <v>46160</v>
      </c>
      <c r="B2" s="2">
        <f ca="1">A2-1</f>
        <v>46159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2026-05-19T00:26:18Z</dcterms:modified>
</cp:coreProperties>
</file>