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1B03A29C-9417-42ED-BEB9-FAC1DD679032}"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59" i="2"/>
  <c r="B60" i="2"/>
  <c r="B62" i="2"/>
  <c r="B64" i="2"/>
  <c r="B66" i="2"/>
  <c r="B68" i="2"/>
  <c r="B70" i="2"/>
  <c r="B72" i="2"/>
  <c r="B74" i="2"/>
  <c r="B76" i="2"/>
  <c r="B78" i="2"/>
  <c r="B80" i="2"/>
  <c r="B82" i="2"/>
  <c r="B83" i="2"/>
  <c r="B85" i="2"/>
  <c r="B87" i="2"/>
  <c r="B89"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61" i="2"/>
  <c r="B63" i="2"/>
  <c r="B65" i="2"/>
  <c r="B67" i="2"/>
  <c r="B69" i="2"/>
  <c r="B71" i="2"/>
  <c r="B73" i="2"/>
  <c r="B75" i="2"/>
  <c r="B77" i="2"/>
  <c r="B79" i="2"/>
  <c r="B81" i="2"/>
  <c r="B84" i="2"/>
  <c r="B86" i="2"/>
  <c r="B88"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<sst xmlns="http://schemas.openxmlformats.org/spreadsheetml/2006/main" count="895" uniqueCount="201">
  <si>
    <t>Fecha</t>
  </si>
  <si>
    <t>Titular</t>
  </si>
  <si>
    <t>Dependencia</t>
  </si>
  <si>
    <t>Canal</t>
  </si>
  <si>
    <t>Tema</t>
  </si>
  <si>
    <t>Estatus</t>
  </si>
  <si>
    <t>Sipdus</t>
  </si>
  <si>
    <t>Informativa</t>
  </si>
  <si>
    <t>Acir 92.5 FM</t>
  </si>
  <si>
    <t>Panorama Informativo Pachuca</t>
  </si>
  <si>
    <t>Positiva</t>
  </si>
  <si>
    <t>Eulalio Larrieta</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</si>
  <si>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</si>
  <si>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</si>
  <si>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</si>
  <si>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</si>
  <si>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</si>
  <si>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</si>
  <si>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</si>
  <si>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</si>
  <si>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</si>
  <si>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</si>
  <si>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</si>
  <si>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</si>
  <si>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</si>
  <si>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</si>
  <si>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</si>
  <si>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</si>
  <si>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</si>
  <si>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</si>
  <si>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</si>
  <si>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</si>
  <si>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</si>
  <si>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</si>
  <si>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</si>
  <si>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</si>
  <si>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</si>
  <si>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</si>
  <si>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</si>
  <si>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Congreso</t>
  </si>
  <si>
    <t>Entrevista</t>
  </si>
  <si>
    <t>Eulalio Larrieta agradece a Carlos Gamiño por estar al pendiente de temas.</t>
  </si>
  <si>
    <t>Segobh</t>
  </si>
  <si>
    <t>Eulalio Larrieta agradece a Jair Martínez de la SEGOBH, porque esta al pendiente de lo que se necesite y los reportes.</t>
  </si>
  <si>
    <t>Abasto de agua</t>
  </si>
  <si>
    <t>SSH</t>
  </si>
  <si>
    <t>RADIO LOCAL</t>
  </si>
  <si>
    <t>NQ 90.1 FM</t>
  </si>
  <si>
    <t>Enlace Hidalgo1</t>
  </si>
  <si>
    <t>Jesús Riveros</t>
  </si>
  <si>
    <t>Juan Carlos Santamaría</t>
  </si>
  <si>
    <t>Súper Stéreo 100.5 FM</t>
  </si>
  <si>
    <t>Enfoque Regional Matutino</t>
  </si>
  <si>
    <t>Rodolfo López</t>
  </si>
  <si>
    <t>PGJEH</t>
  </si>
  <si>
    <t>Enlace Hidalgo2</t>
  </si>
  <si>
    <t>Turismo</t>
  </si>
  <si>
    <t>Fuga De Agua</t>
  </si>
  <si>
    <t>La Poderosa Tuxpan 93.1 FM</t>
  </si>
  <si>
    <t>Nn Nuestras Noticias Zona Norte</t>
  </si>
  <si>
    <t>Liz Argüelles</t>
  </si>
  <si>
    <t>Eulalio Larrieta agradece Paola García y Lic. Sarahi Pineda, por estar atentas a los mensajes de la ciudadanía y por atenderlos.</t>
  </si>
  <si>
    <t>Homicidio de sacerdote</t>
  </si>
  <si>
    <t>Radio Lobo 96.7 FM</t>
  </si>
  <si>
    <t>Enlace Noticias</t>
  </si>
  <si>
    <t>Gina Lorenzo</t>
  </si>
  <si>
    <t>Informe Alcalde</t>
  </si>
  <si>
    <t>Radioescucha</t>
  </si>
  <si>
    <t>Regulación de dispositivos digitales</t>
  </si>
  <si>
    <t>Exigen esclarecer homicidio</t>
  </si>
  <si>
    <t>Queja padres de familia</t>
  </si>
  <si>
    <t>Bienestar</t>
  </si>
  <si>
    <t>Ataque Armado</t>
  </si>
  <si>
    <t>Accidente Tuzobús</t>
  </si>
  <si>
    <t>Locutor Jesús Riveros da lectura a comentario de radioescucha que solicita la intervención de los tres órdenes de gobierno para la urgente reparación de la carretera Tenango-Huehuetla y la carretera Región Laguna. El denunciante advirtió que, de no atenderse las condiciones de las vías, las comunidades podrían quedar incomunicadas ante la llegada de la temporada de lluvias y huracanes.</t>
  </si>
  <si>
    <t>Carretera En Mal Estado</t>
  </si>
  <si>
    <t>Locutor Jesús Riveros da lectura a comentario de radioescucha que reporta, que en la secundaria, en la Escuela Secundaria Técnica número 28 en Cuautepec, les entregaron uniformes de tallas muy chiquitas que ellos no solicitaron y no se los van a cambiar, a nadie, a nadie les van a quedar, están muy chicos los uniformes, solo comentaron que los cambien entre ellos, o sea, entre los alumnos, supongo; Jesús Riveros responde; Bueno, eh, pues se supone que les toman, les preguntan las tallas, se supone que así fue para que precisamente tuvieran conocimiento.</t>
  </si>
  <si>
    <t>Con información de AM Hidalgo: El gobernador Julio Menchaca Salazar confirmó que las plataformas de transporte digital como Uber y Didi continúan operando sin autorización en el estado de Hidalgo, señalando que su posible legalización y entrada formal depende de una modificación a la legislación local por parte del Congreso. Ante cuestionamientos sobre tarifas de taxis y la competencia digital, el mandatario reiteró que existe un impedimento legal vigente y que actualmente se prohíbe este servicio mediante aplicaciones. Por su parte, la Secretaría de Movilidad y Transporte (Semot) detalló que entre mayo y septiembre se retiraron 35 unidades piratas de estas aplicaciones, imponiendo multas de entre 500 y 750 UMAs. Finalmente, el gobernador enfatizó que el debate sobre las aplicaciones debe vincularse con la modernización y mejora del transporte convencional.</t>
  </si>
  <si>
    <t>Apps de transporte</t>
  </si>
  <si>
    <t>Julio Menchaca respalda labor de universidades tecnológicas y politécnicas</t>
  </si>
  <si>
    <t>Conmemoración Aniversario</t>
  </si>
  <si>
    <t>El Festival Internacional del Paste 2026 en su décima octava edición se llevará a cabo del 9 al 11 de octubre en el Pueblo Mágico de Real del Monte, Hidalgo. Durante los tres días de celebración, el evento ofrecerá actividades culturales, música, danza, artesanías, concursos, recorridos mineros y degustaciones gastronómicas dirigidas a públicos de todas las edades. Este festival conmemora el origen del paste como resultado del intercambio cultural entre las costumbres mineras locales y la llegada de trabajadores de Cornwall, Inglaterra, fortaleciendo los lazos históricos entre México y el Reino Unido. La programación conjunta la participación de productores, cocineros, artistas y visitantes nacionales e internacionales para enaltecer este icono de la identidad regional.</t>
  </si>
  <si>
    <t>Festival Del Paste</t>
  </si>
  <si>
    <t>Entrevista vía telefónica licenciada Maricela Marín Jonguitud, titular de la Notaría Pública número 1 en Tulancingo - Habló sobre el "Mes del Testamento" (septiembre y octubre) se destacando que el objetivo principal de esta campaña es reducir el temor de la ciudadanía hacia este trámite y ofrecer orientación legal gratuita durante todo el año. Asimismo, detalló los costos preferenciales vigentes para este periodo: 250 pesos más IVA para adultos mayores de 60 años en casos de herederos universales; 2,500 pesos más IVA para personas menores de 60 años; y un costo especial de 500 pesos más IVA para elementos de seguridad pública, policía y bomberos. La notaria explicó conceptos clave como el de heredero universal —el cual abarca los bienes presentes y futuros sin necesidad de especificar propiedades individuales— y aclaró que es posible testar incluso si existen bienes hipotecados o menores de edad que proteger. Finalmente, recordó que la notaría se encuentra ubicada en el Pasaje Cuauhtémoc número 3, a espaldas de Banamex en el centro de Tulancingo, poniendo a disposición los teléfonos 775-775-314-22 y 775-775-303-91.</t>
  </si>
  <si>
    <t>Testamento</t>
  </si>
  <si>
    <t>Locutor Jesús Riveros da lectura a comentario de radioescucha que reportó un fuerte movimiento nocturno relacionado con un presunto caso de robo de hidrocarburo en las localidades de El Aserradero y Cuatlalcingo, en el municipio de Cuautepec. Ante esta situación, las autoridades correspondientes fueron alertadas y se recordó a la ciudadanía la importancia de utilizar la línea anónima 089 para realizar denuncias de este tipo.</t>
  </si>
  <si>
    <t>Huachicol</t>
  </si>
  <si>
    <t>Abordarán retos del lirio acuático y los humedales en congreso organizado por Citnova</t>
  </si>
  <si>
    <t>Planeación</t>
  </si>
  <si>
    <t>Control lirio acuático</t>
  </si>
  <si>
    <t>El gobernador del estado, Julio Menchaca Salazar, encabezará en el Auditorio Gota de Plata la ceremonia conmemorativa por el 35 aniversario de la creación de las Universidades Tecnológicas y Politécnicas a nivel nacional. Durante la transmisión se destacó que las primeras instituciones de este subsistema en el país fueron la Universidad Tecnológica en el Sabinalcoyotl y la Tecnológica de Tula-Tepeji, mientras que en Hidalgo la primera politécnica establecida hace 24 años fue la de Tulancingo.</t>
  </si>
  <si>
    <t>Agenda gobernador</t>
  </si>
  <si>
    <t>En el marco del 35 aniversario de las Universidades Tecnológicas y Politécnicas y del 24 aniversario de la Universidad Politécnica de Tulancingo (UPT), las profesoras e investigadoras Lucía Gutiérrez Lascano y Almadelia López Hernández anunciaron en entrevista en cabina, el segundo "Desafío Aéreo STEM". El evento está dirigido a niños de 5 a 12 años (categoría infantil) y jóvenes de 13 a 18 años (categoría juvenil), quienes podrán participar pilotando drones a través de un circuito con obstáculos. La institución facilitará el equipo y ofrecerá asesoría previa para los participantes. El concurso se llevará a cabo el 2 de octubre, con un costo de recuperación de 250 pesos, y los registros cierran esta semana a través de un formulario en línea disponible en las redes sociales de la universidad.</t>
  </si>
  <si>
    <t>La Procuraduría General de Justicia del Estado de Hidalgo (PGJEH) y la Diócesis de Huejutla sostuvieron una reunión para informar sobre los avances en las investigaciones del asesinato del padre Román de la Cruz Hernández, hallado sin vida en el municipio de Lolotla con impactos de bala y un mensaje escrito. En un mensaje conjunto, el encargado del despacho de la procuraduría, Francisco Fernández Hasbun, y el obispo José Iraís Acosta Beltrán destacaron que existen líneas de investigación concretas y que se mantiene una estrecha coordinación interinstitucional para esclarecer el caso a la brevedad.</t>
  </si>
  <si>
    <t>El próximo 24 de septiembre continuarán las audiencias en los juzgados de control de Tulancingo por un probable caso de triple feminicidio y aborto forzado ocurrido hace 26 meses en Santiago Tulantepec. Tras concluir el desahogo de pruebas el pasado 10 de septiembre —luego de que la defensa desistiera de presentar a sus últimos testigos—, el tribunal fijó la próxima sesión a las 8:15 horas, fecha en la que se prevé la declaración de al menos uno de los tres imputados y la presentación de alegatos de clausura. Aunque en dicha fecha no se emitirá un fallo definitivo, se espera que el tribunal determine una fecha posterior en el mismo mes para dictar sentencia, la cual podría alcanzar de 25 a 50 años de prisión según el Código Penal del Estado de Hidalgo.</t>
  </si>
  <si>
    <t>TSJEH</t>
  </si>
  <si>
    <t>Proceso Por Feminicidio</t>
  </si>
  <si>
    <t>Familiares de Carla, estudiante de la Universidad Tecnológica de la Sierra Hidalguense fallecida tras ser atropellada el 21 de mayo junto a su compañera Estrella N en el tramo carretero hacia Tianguistengo (municipio de Zacualtipán de Ángeles), ofrecieron una rueda de prensa en compañía de la organización ciudadana por Tianguistengo y su equipo jurídico. Informaron sobre los avances de la causa penal 19/2026, destacando que buscan la reclasificación del delito de homicidio culposo a homicidio cometido con eventual dolo, bajo el argumento de que el conductor manejaba bajo los efectos de una ingesta considerable de alcohol (aproximadamente 18 copas), además de exigir una reparación integral del daño que contemple el perjuicio moral.</t>
  </si>
  <si>
    <t>Juan Carlos Santamaría habló sobre los recientes acontecimientos de alto impacto en la Sierra Alta y la Huasteca hidalguense. Entre ellos, se presentó un fragmento sobre la reunión institucional entre el obispo de la Diócesis de Huejutla, José Iraís Acosta Beltrán, y el encargado del despacho de la Procuraduría General de Justicia del Estado de Hidalgo, Francisco Fernández Hasbun. En dicho encuentro, ambas autoridades destacaron la colaboración conjunta y los avances en las tres líneas de investigación sobre el lamentable fallecimiento del sacerdote Román de la Cruz Hernández en el municipio de Lolotla.</t>
  </si>
  <si>
    <t>Radioescucha pide topes vehiculares en Tuzos, frente al Colegio Adam Smith</t>
  </si>
  <si>
    <t>Topes vehiculares</t>
  </si>
  <si>
    <t>Hablemos del incremento a los taxis: si ya se aprobó con el propósito de brindar mayor certeza a las personas usuarias, ordenar la prestación del servicio y mejorar la calidad, el gobierno del estado de Hidalgo regularizará y actualizará las tarifas del transporte público individual mediante un esquema gradual que contempla los 84 municipios de Hidalgo. Para tratar de homologar y dar una solución a esta circunstancia, se expedirá un acuerdo con el objetivo de regularizar la tarifa del transporte público en su modalidad individual. En el caso concreto, lo haremos en los 84 municipios de manera paulatina, de manera escalonada.Así lo detalló durante la conferencia de prensa semanal la secretaria de Movilidad y Transporte, Lyzbeth Robles Gutiérrez</t>
  </si>
  <si>
    <t>Tarifario de taxis</t>
  </si>
  <si>
    <t>La Secretaría de Movilidad y Transporte (SEMOT) de Hidalgo anunció formalmente la actualización del esquema tarifario para el servicio de taxi en el estado.</t>
  </si>
  <si>
    <t>En operativo coordinado por el Gabinete de Seguridad, detienen a tres personas tras altercado en Pachuca</t>
  </si>
  <si>
    <t>OCSAD</t>
  </si>
  <si>
    <t>Reunión Gabinete De Seguridad</t>
  </si>
  <si>
    <t>El titular de la Secretaría de Educación Pública de Hidalgo, Natividad Castrejón Valdés, confirmó que se reforzará la restricción del uso de teléfonos celulares en escuelas de educación básica en el Estado.</t>
  </si>
  <si>
    <t>Hidalgo se suma a la restricción del uso de celulares en salones de clase de educación básica</t>
  </si>
  <si>
    <t>Radioescucha Pedro Nieto agradece el alumbrado publico ya esta arreglado en el Barrio La Malinche</t>
  </si>
  <si>
    <t>Luminarias</t>
  </si>
  <si>
    <t>Radioescucha Alejandro Ruiz, Dice: "Hola, muy buenos días. Para reportar la deficiencia de CAASIM, llevo varias visitas a sus instalaciones porque por llamadas no, nada más no. La petición es la solicitud de una pipa. Gracias. Al acudir a las instalaciones de CAASIM los ejecutivos solo escuchan, se escudan que ya está atendido".</t>
  </si>
  <si>
    <t>Inatención</t>
  </si>
  <si>
    <t>Sobre la muerte del padre Román de la Cruz, la diócesis de Huejutla y la Procuraduría de Hidalgo confirmaron que el caso continúa bajo investigación y que actualmente se trabajan tres líneas de investigación. El obispo José Iraís Acosta Beltrán y el encargado del despacho de la Procuraduría, Francisco Fernández Hasbun, señalaron que ya hubo intercambio de información.José Iraís Acosta Beltrán (Obispo de la Diócesis de Huejutla): Señor José Iraís Acosta Beltrán, obispo de la diócesis de Huejutla; a mi lado el procurador de justicia del estado de Hidalgo.</t>
  </si>
  <si>
    <t>SEPH fortalece la Educación Inicial con el encuentro "Cada Momento Cuenta"</t>
  </si>
  <si>
    <t>Fortalecimiento educativo</t>
  </si>
  <si>
    <t>Por otro lado, la riqueza artesanal y gastronómica de Hidalgo tendrá un escaparate privilegiado en la Feria de San Francisco 2026. Durante 24 días, por lo que 139 personas artesanas de distintas regiones del estado podrán exhibir y comercializar directamente sus productos ante miles de visitantes locales y provenientes de diferentes entidades del país.</t>
  </si>
  <si>
    <t>Feria Pachuca</t>
  </si>
  <si>
    <t>Fíjese que con actividades culturales, deportivas y de entretenimiento, el próximo 24 de septiembre arrancará la Feria San Francisco Pachuca, Hidalgo 2026. Escuchemos. Del 24 de septiembre al 18 de octubre, la Feria San Francisco Pachuca 2026 abrirá sus puertas para reunir a familias, visitantes y comunidades en una fiesta que conjuga tradición, cultura, deporte y entretenimiento.</t>
  </si>
  <si>
    <t>Justicia y reclasificación del caso de homicidio culposo a doloso es lo que exigen familiares de la estudiante luego de que un ebrio conductor la atropellara y matara y dejara a otra herida sobre la carretera federal México-Tampico en el municipio de Zacualtipán</t>
  </si>
  <si>
    <t>En otras noticias, con una visión centrada en el desarrollo integral de niñas, niños y adolescentes y jóvenes, el gobierno del estado fortalece su estrategia educativa mediante tres acciones: conocer qué y cómo están aprendiendo las y los estudiantes, además de atender su bienestar socioemocional y promover el uso responsable de los dispositivos digitales.”</t>
  </si>
  <si>
    <t>Educación integral</t>
  </si>
  <si>
    <t>En otra información, el secretario de Educación Pública de Hidalgo, Natividad Castrejón Valdés, destacó que Hidalgo amplió los ejercicios integradores del aprendizaje, que permiten conocer las fortalezas y áreas donde se requiere mayor acompañamiento.</t>
  </si>
  <si>
    <t>Radioescucha dice: "Buenos días, una pregunta, ¿sigue funcionando el chatbot de CAASIM?". ¡Ah, caray! Lo vamos a pasar. Está con nosotros en contacto la licenciada Paola García. Está con nosotros en esta mañana de Panorama recibiendo los los mensajes en CAASIM, los vamos pasando también a ella para que le puedan dar la atención, ¿no?, y ver qué es lo que pasa en un momento determinado y le y le puedan ayudar. No sé qué es lo que necesiten, pero con mucho gusto lo estamos compartiendo».</t>
  </si>
  <si>
    <t>Chatbot</t>
  </si>
  <si>
    <t>Conductor Eulalio Larrieta pidió apoyo por parte de la policía municipal de Pachuca por un accidente a un costado del panteón municipal del lado derecho, una persona atropellada, en calle Santa Catalina.</t>
  </si>
  <si>
    <t>Auxilio a la ciudadanía</t>
  </si>
  <si>
    <t>En otras noticias, allá en Hidalgo, con el objetivo de fortalecer las actividades agropecuarias y contribuir al bienestar de las familias rurales, el secretario de Agricultura y Desarrollo Rural, Napoleón González Pérez, encabezó la entrega de apoyos productivos en el municipio de Zacualtipán bajo la instrucción del gobernador Julio Menchaca Salazar. “</t>
  </si>
  <si>
    <t>Saderh</t>
  </si>
  <si>
    <t>Apoyo Al Agro</t>
  </si>
  <si>
    <t>El Sitmah informa que la unidad de número económico 31, del Servicio Parador T05, presentó un frenado de emergencia sobre Santa Julia, en sentido sur, derivado de un corte de circulación realizado por un vehículo particular, cuyo conductor se dio a la fuga.</t>
  </si>
  <si>
    <t>Radioescucha 4259 dice: "Muy buenos días, saludos. Gracias al Lic. por el apoyo. Ya por fin después de tanto tiempo de la falta de agua en La Alcantarilla ya nos cayó. Esperemos que sea sea constante".</t>
  </si>
  <si>
    <t>En el marco de la conmemoración del treinta y cinco aniversario de la creación de las universidades tecnológicas y veinticinco años de las universidades politécnicas. El gobernador Julio Menchaca Salazar destacó la contribución de estas 14 casas de estudio, establecidas en la entidad para la formación de talento y el desarrollo educativo, económico y social.</t>
  </si>
  <si>
    <t>En otro tema, el gobernador confirmó que Pachuca será sede de los Juegos de Boccia Centroamericanos y del Caribe Parapanamericanos. "Va a haber un evento muy importante... nos fue la primicia [risas]. Que se va a dar a conocer ya oficialmente la sede de Pachuca para los juegos de Boccia... los juegos paraolímpicos del Centro... del Caribe... Centroamericanos y del Caribe, ahí con el director... director del Instituto Nacional del Deporte, con Rommel Pacheco. Entonces ya va a ser oficial para noviembre, y es una proyección de nuestro estado, de la infraestructura y sobre todo de lo que significa la inclusión.”</t>
  </si>
  <si>
    <t>Campeonato Centroamericano</t>
  </si>
  <si>
    <t>“ Usted recordará y más la gente adulta mayor recordará que anteriormente el primero de diciembre era considerado el día del presidente, del presidente de la república, porque el presidente en turno iba a la Cámara de Diputados, presentaba su informe y emitía un mensaje.Creo que fue con Ernesto Zedillo, habrá que precisar si fue Ernesto Zedillo o ya en la época de Fox, que ya no iba al presidente porque le decían de cosas, la oposición le gritaba. Recuerdo incluso que la toma de protesta de Felipe Calderón fue una toma de protesta muy alebrestada. Dicen que a Felipe Calderón lo tuvieron que meter por la parte de atrás del Congreso porque la gente en aquel entonces del PRD, que estaba enojada porque decían que les habían robado la elección del 2006, no permitía que Felipe Calderón entrara por la parte de enfrente.¿Qué decidió el gobierno? Que el presidente ya no vaya al Congreso de la Unión, manda a la secretaria de gobierno o al secretario de gobernación y ellos emiten un mensaje ya sea en el Zócalo, ya sea en alguna plaza pública. Actualmente la presidenta de México recorre varias plazas públicas en todo el país y ya no van al Congreso para no exponer la figura del presidente de la república. Quiero pensar que para los próximos años esa propuesta la van a tomar en cuenta los presidentes municipales, porque de verdad que hubo encontronazos bastante bastante fuertes en este segundo informe de gobierno de algunos alcaldes del Estado de Hidalgo. “</t>
  </si>
  <si>
    <t>Informe Sheinbaum</t>
  </si>
  <si>
    <t>Esta un fenomeno político que ocurrió en los recientes informes de gobierno en los municipios de manera particular que tiene que ver con protestas por parte de regidores que están en contra del gobierno en turno. Pasó en varios municipios, pasó en Huichapan, pasó en la zona de Jacuba, pasó en Tulancingo, en varios municipios ocurrió la protesta de una o de otra forma, hubo en algunos que hasta se llegaron a jalonear, se llegaron a aventar porque el regidor que está en contra de la alcaldesa o del alcalde se levantaba, sacaba una manta, sacaba una lona y llegaban a hacer ahí una serie de intercambios de palabras. Sobre este tema, el gobernador de Hidalgo, Julio Menchaca Salazar, descartó que haya faltado trabajo político y de conciliación a los presidentes municipales de la entidad, luego de las manifestaciones que se registraron durante los informes de algunos alcaldes. El gobernador consideró que dichas expresiones forman parte de la libertad de expresión y pidió que este tipo de hechos se desarrollen en un ambiente de tranquilidad a fin de que la ciudadanía pueda conocer las acciones realizadas por los civiles durante su segundo año de gobierno.</t>
  </si>
  <si>
    <t>Vía telefónica a la doctora Concepción Carmona Ramos, jefa de Servicios de Atención a la Salud del IMSS-Bienestar aquí en Hidalgo con el tema : El sarampión y vacunación.</t>
  </si>
  <si>
    <t>Vacunación</t>
  </si>
  <si>
    <t>Entrevista pautada</t>
  </si>
  <si>
    <t>Ya el sistema DIF Hidalgo recibió tres camionetas adaptadas destinadas al transporte especializado de personas con discapacidad y movilidad reducida. La entrega fue recibida por Edda Vite Ramos, presidenta del Patronato del DIF Hidalgo, de manos del Sistema Nacional DIF como parte de una distribución nacional de 91 vehículos inclusivos.</t>
  </si>
  <si>
    <t>DIFH</t>
  </si>
  <si>
    <t>Movilidad incluyente</t>
  </si>
  <si>
    <t>Ya el sistema DIF Hidalgo entregó becas Pilares 2026 a 305 niñas, niños y adolescentes de 17 municipios de la región Pachuca. Durante el acto realizado en el Teatro San Francisco, la presidenta del patronato, Edda Vite Ramos, destacó que este proyecto busca aliviar la economía familiar y favorecer la igualdad de oportunidades.</t>
  </si>
  <si>
    <t>Pilares</t>
  </si>
  <si>
    <t>Y durante la tarde de este martes, se reportaron detonaciones de arma de fuego y una camioneta Jeep Compass volcada a un costado de la carretera Federal México-Tuxpan a la altura de la comunidad de Naupan. En las inmediaciones de la presa del Tejocotal, en el municipio de Acaxochitlán, los ocupantes de la unidad escaparon.</t>
  </si>
  <si>
    <t>En Mixquiahuala, un hombre de 65 años perdió la vida luego de caer de un segundo piso de un local que funciona como autolavado en el boulevard Octaviano Flores Mayorga.</t>
  </si>
  <si>
    <t>Localización de cuerpo</t>
  </si>
  <si>
    <t>Y con la llegada de la temporada de frío, la vacunación contra la influenza cobra importancia, sobre todo entre niñas y niños, adultos mayores, embarazadas, y personas con enfermedades crónicas. La Secretaría de Salud reportó más de 12,000 casos confirmados de influenza en la temporada invernal 2024-2025, por lo que la vacunación es una de las principales medidas de prevención.</t>
  </si>
  <si>
    <t>Influenza</t>
  </si>
  <si>
    <t>Cambiemos de tema, durante la mega jornada nacional de limpieza de ríos 2026 realizada este fin de semana en Tula de Allende, fueron recolectadas cerca de 4 toneladas de basura. La dirección local Hidalgo de la CONAGUA informó que participaron alrededor de 250 personas entre autoridades de los tres órdenes de gobierno, la iniciativa privada y sociedad civil. Las labores forman parte de un programa de saneamiento y restauración de cuerpos de agua en 27 entidades del país, incluidos los ríos Lerma, Santiago, Atoyac y Tula. La jornada fue encabezada por Jaime Vázquez Bracho, comisionado para la restauración del río Tula de la SEMARNAT.</t>
  </si>
  <si>
    <t>Semarnath</t>
  </si>
  <si>
    <t>Restauración Ecológica</t>
  </si>
  <si>
    <t>Ya entró el otoño a nuestro país, fue ayer martes a las 18 horas que entró el otoño y con esto también cambia el clima. Hidalgo tendrá chubascos y un clima frío y por las tardes será caluroso, así pinta el clima por influencia del huracán Polo. Se prevé que tengamos cielo despejado la mayor parte del día alcanzando una temperatura máxima de 22 grados centígrados. Algunos nublados por la tarde, muy muy escasa la probabilidad de que tengamos lluvia para el día de hoy, de hecho no se prevé caída de lluvia. Con una temperatura mínima de 11 grados centígrados.</t>
  </si>
  <si>
    <t>Alerta Meteorológica</t>
  </si>
  <si>
    <t>Hablemos de vivienda, Hidalgo será la segunda entidad donde el FOVISSSTE volverá a construir vivienda de tipo social. Sin informar la ubicación del lugar, se indicó que se cuenta con la reserva territorial y en breve se colocará la primera piedra, informó la vocal ejecutiva de FOVISSSTE, Jabnely Maldonado. Los derechohabientes son personas trabajadoras del gobierno estatal y federal, así como docentes.Como saben, gracias a la iniciativa que envía la presidenta de la ley de vivienda, el FOVISSSTE vuelve a construir después de 34 años. Estamos por aperturar nuestro registro nacional, ya estamos listos para poner la primera piedra también en Hidalgo y hasta la fecha contamos con reserva territorial para construir poco más de 6 mil viviendas.</t>
  </si>
  <si>
    <t>Plan nacional de vivienda</t>
  </si>
  <si>
    <t>Hablando de movilidad, también la titular de la Secretaría de Movilidad y Transporte, Lyzbeth Robles Gutiérrez, recordó que las personas usuarias del transporte público pueden denunciar cualquier maltrato por parte de los operadores.</t>
  </si>
  <si>
    <t>Y en el marco del Día Mundial sin Automóvil, autoridades de Hidalgo llamaron a la población a dejar el vehículo en casa y optar por alternativas de movilidad más sostenibles. La información con Claudia Alcántara.</t>
  </si>
  <si>
    <t>Día sin auto</t>
  </si>
  <si>
    <t>Continuemos con la información y es que con el objetivo de fortalecer la capacidad operativa de la Secretaría de Seguridad Pública Municipal, el Gobierno Municipal de Tula de Allende incorporó cuatro nuevas patrullas mediante una inversión superior a 6,300,000 pesos, recurso proveniente del Fondo de Aportaciones para el Fortalecimiento de los Municipios. El presidente municipal, Cristian Martínez, destacó que el fortalecimiento del equipamiento de seguridad forma parte de las acciones encaminadas a mejorar la capacidad de respuesta de los cuerpos policiales y brindar atención oportuna a las necesidades de las y los tulenses. Las nuevas unidades estarán a disposición de la Secretaría de Seguridad Pública de Tula de Allende para reforzar las labores de prevención, vigilancia y atención en las distintas zonas del municipio. Esta inversión representa un esfuerzo por fortalecer la infraestructura y el equipamiento destinado a la seguridad pública, así como por dotar al personal operativo de mejores herramientas para el desarrollo de sus funciones.</t>
  </si>
  <si>
    <t>Fortalecimiento Policiaco</t>
  </si>
  <si>
    <t>Y el gobierno municipal de Ixmiquilpan llamó a delegaciones y ciudadanía a proteger el patrimonio natural luego de detectar la extracción ilegal de biznagas de acitrón en la comunidad de Xaxni. Durante una inspección realizada por la PROFEPA el pasado 8 de septiembre, se confirmó la afectación de aproximadamente 150 ejemplares adultos cortados en una superficie cercana a cuatro hectáreas, distribuida en tres polígonos. Esto derivado de una denuncia ciudadana que circuló en redes sociales sobre la extracción ilegal de biznagas de acitrón, que es una especie en peligro de extinción y está protegida por la ley general.Representante de la Dirección de Medio Ambiente de Ixmiquilpan: Como Dirección de Medio Ambiente y Desarrollo Sostenible, atendimos directamente la inspección. Acompañamos a los inspectores en todo el recorrido de campo junto con los testigos para verificar los hechos. Lo que se confirmó en el sitio fue la afectación de aproximadamente 150 biznagas adultas que fueron cortadas. Esto en una superficie de casi cuatro hectáreas divididas en tres polígonos de la comunidad de Xaxni, quedando en la superficie de la planta en el mismo lugar. Pedirles que cualquier sospecha de alguna de estas situaciones se pueda acercar a nosotros para poder atender el tema de cuidado indirecto. No podemos permitir que estas especies se sigan devastando en municipios de este tipo. ¡Ayúdenos!Mensajes de voz a través de nuestro WhatsApp. Ya regresamos, siete de la mañana con veinte minutos. Recuerde usted que su opinión es importante. Los micrófonos de Enfoque Regional Primera Emisión están abiertos para usted. Es el 773-732-2119 y el 732-4255. Los números de cabina o también si lo prefiere a través del WhatsApp, el 773-731-8839.</t>
  </si>
  <si>
    <t>Conservación Biodiversidad</t>
  </si>
  <si>
    <t>Más de 6,000 escuelas de educación básica de Hidalgo participarán este 25 de septiembre en la primera sesión ordinaria del Consejo Técnico Escolar correspondiente al ciclo 2026-2027. Sí, este viernes se realiza el primer Consejo Técnico Escolar. L</t>
  </si>
  <si>
    <t>Consejo Técnico</t>
  </si>
  <si>
    <t>Y el gobierno de Hidalgo informó que ya están disponibles los resultados de la convocatoria Titúlate 2026, dirigida a jóvenes que se encuentran en proceso de titulación universitaria. El director del INJUVE, Ricardo Olvera Molina, indicó que las personas participantes pueden consultar su resultado con su CURP en el portal juventud.hidalgo.gob.mx-convocatorias. El programa contempla apoyos económicos para reducir los gastos relacionados con la titulación y contribuir a que las juventudes concluyan su formación profesional. El funcionario invitó a consultar directamente la página oficial para evitar desinformación.</t>
  </si>
  <si>
    <t>Apoyo para titulación</t>
  </si>
  <si>
    <t>Y el COBAEH de Tamoyón I en Huautla permanece cerrado por la falta de energía eléctrica. El problema afecta a 131 estudiantes de Huautla y de localidades vecinas, por lo que padres de familia exigen una solución inmediata. Padre de Familia del COBAEH Tamoyón I: Es exigir que se nos restablezca la energía eléctrica. Ese fue un acuerdo en una asamblea que se tomó. Necesitamos que nos den la solución inmediata a la voz de ya. Ya que anteriormente hemos acudido a las distintas dependencias, al cual hasta la fecha se han acercado, pero nosotros exigimos que se restablezca inmediatamente. Ya vamos para cuatro meses. El</t>
  </si>
  <si>
    <t>Suministro de energía</t>
  </si>
  <si>
    <t>Hablando de salud mental, de este programa nacional ABC de las emociones y de la prevención, también es importante señalar que la Línea de la Vida promovida por la Secretaría de Educación Pública de Hidalgo es un servicio de apoyo emocional, orientación en salud mental y prevención de adicciones. Su número de contacto gratuito y confidencial es el 800-911-2000. Está disponible las 24 horas del día, los 365 días del año, destacó Natividad Castrejón, titular de la SEP.Se pone a disposición una línea de la vida que opera las 24 horas, los 7 días de la semana en el teléfono 800-911-2000.</t>
  </si>
  <si>
    <t>Salud Mental</t>
  </si>
  <si>
    <t>En otra información, cambiar la narrativa es la estrategia de la Secretaría de Salud de Hidalgo para abordar la salud mental desde las aulas. En el CBTis 222, cerca de 300 estudiantes participaron en una jornada basada en el programa nacional ABC de las emociones, mediante la cual recibieron herramientas para identificar conductas de riesgo y brindar apoyo oportuno a sus compañeros. La titular de la Secretaría de Salud de Hidalgo, Vanesa Escalante Arroyo, llamó a fortalecer la prevención de las adicciones y el suicidio, así como crear espacios donde hablar y pedir ayuda sea posible. Los estudiantes fueron nombrados promotores de la salud emocional y recibieron materiales para replicar esta información entre la comunidad educativa y sus familias.Cada uno de nosotros tiene diferentes preocupaciones. ¿Qué le preocupaba a Vanesa cuando iba en la preparatoria como ustedes? Mi preocupación más grande era tener dinero para el pasaje para venir a la escuela. Esa era la más grande de mis preocupaciones. El suicidio nos preocupa porque está muy acentuado en los jóvenes y porque viene acompañado de otras cosas como el consumo de tabaco, el consumo de alcohol y el consumo de algún tipo de drogas. Lo último que les queremos decir es que hoy quienes recibieron este trofeo van a ser los encargados de podernos ayudar a replicar distintas actividades con sus compañeros. Y lo más importante que tienen que saber es que ante cualquier situación no están solos y nosotros podemos apoyar.</t>
  </si>
  <si>
    <t>Tres ejidos todavía negocian la liberación del derecho de vía para el tren México-Querétaro que pasará por Hidalgo. La información con Joselyn Sánchez.Personal de la Secretaría de Gobernación y diversas dependencias trabajan en las negociaciones para liberar el derecho de vía por donde pasará el tren México-Querétaro. Actualmente están en negociaciones con tres ejidos dentro del tramo cuatro y cinco que son los que faltan por tener libre todo el tramo. Así lo informó Gazury Mota Licona, directora general del gobierno de Hidalgo en la región de Tula quien explicó que el gobierno federal y las diversas dependencias implicadas han sostenido reuniones con los ejidos por donde pasará el trazo del tren México-Querétaro.Fue una en asamblea, obviamente vino el gobierno federal, ya saben SEDATU, la Secretaría de Infraestructura y nosotros como gobierno del estado pues estuvimos ahí presentes y le dimos el seguimiento a la liberación.Mota Licona contó que recientemente se logró la liberación del tramo que pasa por el ejido de Conejos en Atotonilco de Tula luego de que se alcanzaron acuerdos con los ejidatarios. Sin embargo, de Atotonilco de Tula todavía se tienen detalles con el ejido de Progreso el cual tiene un asunto con el Registro Agrario Nacional, el RAN porque se tienen algunas incertidumbres en cuanto a delimitaciones ejidales y eso ha retrasado los trabajos de negociación, así lo señaló la funcionaria estatal.Mientras que en Michimaloya ya se inició el diálogo con ejidatarios y se espera que dentro de poco se tengan acuerdos favorables en cuanto al pago de las tierras para que ese tramo también quede liberado a la brevedad. El tercer ejido con el que se tiene detalles es con San Ildefonso en Tepeji del Río toda vez que los comuneros han pedido que se haga una consulta indígena sobre el paso del tren México-Querétaro y todavía no han acordado una fecha para poder desahogar el trámite. De alguna manera nada más es la cuestión de la negociación en cuestión del nombre, es San Ildefonso, Progreso y Michimaloya.Gazury Mota Licona explicó que si bien todavía tienen detalles con la liberación de tres tramos en igual número de ejidos en la zona de Tula de Allende y alrededores las autoridades implicadas esperan que en breve se logren acuerdos. Mientras tanto, las compañías trabajan en otros puntos para no retrasar el avance de la obra. Para Enfoque Regional informó Joselyn Sánchez..</t>
  </si>
  <si>
    <t>Tren México Querétaro</t>
  </si>
  <si>
    <t>El gobernador habló sobre las manifestaciones en los informes de los alcaldes municipales. Dentro de la democracia hay algunas expresiones.</t>
  </si>
  <si>
    <t>El gobernador informó que hoy se dará a conocer que Hidalgo será sede de un encuentro deportivo nacional. Va a haber un evento muy importante, que se va a dar a conocer ya oficialmente la sede de Pachuca para los juegos para olímpicos del Caribe, centroamericanos y del Caribe. A</t>
  </si>
  <si>
    <t>Menchaca Salazar también señaló que la entrada de plataformas como Uber y Didi a la entidad depende de los legisladores. Que los legisladores cambien la ley, porque es una cuestión legal.</t>
  </si>
  <si>
    <t>El gobernador Julio Menchaca Salazar informó que solicitó a los integrantes de su gabinete estatal prepararse para las próximas comparecencias ante el Congreso del Estado de Hidalgo.</t>
  </si>
  <si>
    <t>Comparecencias</t>
  </si>
  <si>
    <t>En Hidalgo, las universidades tecnológicas y politécnicas han sido fundamentales para formar talento y atraer inversiones, destacó el gobernador Julio Menchaca durante la conmemoración por los 35 años de las universidades tecnológicas y 25 de las politécnicas. “ Nos sentimos muy orgullosos en Hidalgo de las universidades tecnológicas, de las universidades politécnicas, porque han sido un elemento fundamental para que se tome en cuenta nuestra entidad en las inversiones”.</t>
  </si>
  <si>
    <t>Radioescucha Sra. Virginia la calle tiene muchos baches</t>
  </si>
  <si>
    <t>Vialidad En Mal Estado</t>
  </si>
  <si>
    <t>Radioescucha Emilio Osorio reporta dos mega baches por la Joya y por Home Depot</t>
  </si>
  <si>
    <t>Radioescucha reporta que no funcionan las luminarias en la Plutarco en avenida 8</t>
  </si>
  <si>
    <t>Radioescucha reporta que no funcionan las lamparas que estas atrás del Club de Golf</t>
  </si>
  <si>
    <t>Radioescucha Dice: "Muy buenos días, licenciado Larrieta. Nuevamente solicitando su valioso apoyo para que mediante su medio, que la CAASIM dote de agua a la zona de Villa Aquiles Serdán. No es suficiente el apoyo de pipas que nos dan en muy pocas veces". Perfecto. Okey, José Meneses, con mucho gusto lo estamos pasando de una vez».</t>
  </si>
  <si>
    <t>Radioescucha dice: "Disculpe, licenciado Larrieta, en la colonia ISSSTE, Río Yaqui, abrieron la calle, está deshecha. Le pregunto si colocarán mejores y más coladeras y un tubo más grande para que no se encharquen las calles y lo mismo y en otras de las colonias de Pachuca, ¿o salen tan caras las coladeras para el gobierno?". Híjole, eso sí no lo sé. No sé si salgan tan caras ni nada, pero híjole, pues yo espero que estén haciendo bien el drenaje pluvial, porque eso nos ayudaría mucho en todas las colonias y fraccionamientos de la capital hidalguense y su zona metropolitana».</t>
  </si>
  <si>
    <t>Dren Pluvial</t>
  </si>
  <si>
    <t>Radioescucha 2820, muchas gracias, muchas gracias. Ya estamos este pasando el reporte nuevamente de estas fugas que nos dicen que tienen en la colonia Punta Azul, ya los tiene Pao García, ya los tiene y los está enviando directamente a las oficinas centrales para que lo chequen. Muchas pero muchas gracias».</t>
  </si>
  <si>
    <t>Radioescucha pide una pipa de agua</t>
  </si>
  <si>
    <t>La Comisión Nacional del Agua (Conagua), a través de su Dirección Local Hidalgo, mantiene un monitoreo permanente de las presas que administra en la entidad, con el objetivo de dar seguimiento a las condiciones de los embalses y contribuir a la seguridad de la población.La dependencia informó que las presas de la región del Valle de México registran un almacenamiento global de 94.1 por ciento de su capacidad.</t>
  </si>
  <si>
    <t>Monitoreo De Presas</t>
  </si>
  <si>
    <t>El Congreso del estado de Hidalgo rindió un homenaje póstumo a la diputada Juana Olivia Alarcón Rivera, quien falleció el pasado 16 de septiembre mientras se desempeñaba como integrante de la LXVI Legislatura.</t>
  </si>
  <si>
    <t>Homenaje póstumo</t>
  </si>
  <si>
    <t>En el Día Mundial sin Automóvil, invita Semot a fomentar el respeto a la Jerarquía de la Movilidad</t>
  </si>
  <si>
    <t>Más de 6,000 escuelas de Hidalgo participarán en la primera sesión ordinaria del Consejo Técnico Escolar de este periodo escolar,</t>
  </si>
  <si>
    <t>El DIF Hidalgo entregó becas a niñas, niños y adolescentes usuarios de los centros Pilares.</t>
  </si>
  <si>
    <t>SSPH detiene a pareja que trasladaba 72 kilos de marihuana</t>
  </si>
  <si>
    <t>Combate Al Narcomenudeo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</si>
</sst>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89" tableType="queryTable" totalsRowShown="0">
  <autoFilter ref="A1:M89"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89"/>
  <sheetViews>
    <sheetView tabSelected="1" topLeftCell="A54" workbookViewId="0">
      <selection activeCell="A89" sqref="A89"/>
    </sheetView>
  </sheetViews>
  <sheetFormatPr baseColWidth="10" defaultRowHeight="15" x14ac:dyDescent="0.25"/>
  <cols>
    <col min="1" max="1" width="8.5703125" bestFit="1" customWidth="1"/>
    <col min="2" max="2" width="11.42578125" bestFit="1" customWidth="1"/>
    <col min="3" max="3" width="26" bestFit="1" customWidth="1"/>
    <col min="4" max="4" width="30.42578125" bestFit="1" customWidth="1"/>
    <col min="5" max="5" width="81.140625" bestFit="1" customWidth="1"/>
    <col min="6" max="6" width="15.28515625" bestFit="1" customWidth="1"/>
    <col min="7" max="7" width="33.140625" bestFit="1" customWidth="1"/>
    <col min="8" max="8" width="12.42578125"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24</v>
      </c>
      <c r="C1" t="s">
        <v>25</v>
      </c>
      <c r="D1" t="s">
        <v>26</v>
      </c>
      <c r="E1" t="s">
        <v>1</v>
      </c>
      <c r="F1" t="s">
        <v>2</v>
      </c>
      <c r="G1" t="s">
        <v>4</v>
      </c>
      <c r="H1" t="s">
        <v>3</v>
      </c>
      <c r="I1" t="s">
        <v>5</v>
      </c>
      <c r="J1" t="s">
        <v>27</v>
      </c>
      <c r="K1" t="s">
        <v>28</v>
      </c>
      <c r="L1" t="s">
        <v>29</v>
      </c>
      <c r="M1" t="s">
        <v>36</v>
      </c>
    </row>
    <row r="2" spans="1:13" x14ac:dyDescent="0.25">
      <c r="A2" s="2">
        <v>46287</v>
      </c>
      <c r="B2" s="1" t="str">
        <f ca="1">IF(Información1[[#This Row],[Fecha]]='Ajuste de fechas'!$A$2,"Día actual","Día anterior")</f>
        <v>Día anterior</v>
      </c>
      <c r="C2" t="s">
        <v>47</v>
      </c>
      <c r="D2" t="s">
        <v>55</v>
      </c>
      <c r="E2" t="s">
        <v>74</v>
      </c>
      <c r="F2" t="s">
        <v>17</v>
      </c>
      <c r="G2" t="s">
        <v>75</v>
      </c>
      <c r="H2" t="s">
        <v>46</v>
      </c>
      <c r="I2" t="s">
        <v>21</v>
      </c>
      <c r="J2" t="s">
        <v>30</v>
      </c>
      <c r="K2" t="s">
        <v>67</v>
      </c>
      <c r="L2" t="s">
        <v>32</v>
      </c>
      <c r="M2">
        <v>1</v>
      </c>
    </row>
    <row r="3" spans="1:13" x14ac:dyDescent="0.25">
      <c r="A3" s="2">
        <v>46287</v>
      </c>
      <c r="B3" s="1" t="str">
        <f ca="1">IF(Información1[[#This Row],[Fecha]]='Ajuste de fechas'!$A$2,"Día actual","Día anterior")</f>
        <v>Día anterior</v>
      </c>
      <c r="C3" t="s">
        <v>47</v>
      </c>
      <c r="D3" t="s">
        <v>55</v>
      </c>
      <c r="E3" t="s">
        <v>76</v>
      </c>
      <c r="F3" t="s">
        <v>17</v>
      </c>
      <c r="G3" t="s">
        <v>70</v>
      </c>
      <c r="H3" t="s">
        <v>46</v>
      </c>
      <c r="I3" t="s">
        <v>21</v>
      </c>
      <c r="J3" t="s">
        <v>30</v>
      </c>
      <c r="K3" t="s">
        <v>67</v>
      </c>
      <c r="L3" t="s">
        <v>32</v>
      </c>
      <c r="M3">
        <v>1</v>
      </c>
    </row>
    <row r="4" spans="1:13" x14ac:dyDescent="0.25">
      <c r="A4" s="2">
        <v>46287</v>
      </c>
      <c r="B4" s="1" t="str">
        <f ca="1">IF(Información1[[#This Row],[Fecha]]='Ajuste de fechas'!$A$2,"Día actual","Día anterior")</f>
        <v>Día anterior</v>
      </c>
      <c r="C4" t="s">
        <v>47</v>
      </c>
      <c r="D4" t="s">
        <v>55</v>
      </c>
      <c r="E4" t="s">
        <v>77</v>
      </c>
      <c r="F4" t="s">
        <v>22</v>
      </c>
      <c r="G4" t="s">
        <v>78</v>
      </c>
      <c r="H4" t="s">
        <v>46</v>
      </c>
      <c r="I4" t="s">
        <v>7</v>
      </c>
      <c r="J4" t="s">
        <v>30</v>
      </c>
      <c r="K4" t="s">
        <v>49</v>
      </c>
      <c r="L4" t="s">
        <v>31</v>
      </c>
      <c r="M4">
        <v>1</v>
      </c>
    </row>
    <row r="5" spans="1:13" x14ac:dyDescent="0.25">
      <c r="A5" s="2">
        <v>46287</v>
      </c>
      <c r="B5" s="1" t="str">
        <f ca="1">IF(Información1[[#This Row],[Fecha]]='Ajuste de fechas'!$A$2,"Día actual","Día anterior")</f>
        <v>Día anterior</v>
      </c>
      <c r="C5" t="s">
        <v>47</v>
      </c>
      <c r="D5" t="s">
        <v>55</v>
      </c>
      <c r="E5" t="s">
        <v>79</v>
      </c>
      <c r="F5" t="s">
        <v>22</v>
      </c>
      <c r="G5" t="s">
        <v>80</v>
      </c>
      <c r="H5" t="s">
        <v>46</v>
      </c>
      <c r="I5" t="s">
        <v>10</v>
      </c>
      <c r="J5" t="s">
        <v>30</v>
      </c>
      <c r="K5" t="s">
        <v>49</v>
      </c>
      <c r="L5" t="s">
        <v>33</v>
      </c>
      <c r="M5">
        <v>1</v>
      </c>
    </row>
    <row r="6" spans="1:13" x14ac:dyDescent="0.25">
      <c r="A6" s="2">
        <v>46287</v>
      </c>
      <c r="B6" s="1" t="str">
        <f ca="1">IF(Información1[[#This Row],[Fecha]]='Ajuste de fechas'!$A$2,"Día actual","Día anterior")</f>
        <v>Día anterior</v>
      </c>
      <c r="C6" t="s">
        <v>47</v>
      </c>
      <c r="D6" t="s">
        <v>55</v>
      </c>
      <c r="E6" t="s">
        <v>81</v>
      </c>
      <c r="F6" t="s">
        <v>15</v>
      </c>
      <c r="G6" t="s">
        <v>82</v>
      </c>
      <c r="H6" t="s">
        <v>46</v>
      </c>
      <c r="I6" t="s">
        <v>7</v>
      </c>
      <c r="J6" t="s">
        <v>34</v>
      </c>
      <c r="K6" t="s">
        <v>49</v>
      </c>
      <c r="L6" t="s">
        <v>31</v>
      </c>
      <c r="M6">
        <v>1</v>
      </c>
    </row>
    <row r="7" spans="1:13" x14ac:dyDescent="0.25">
      <c r="A7" s="2">
        <v>46287</v>
      </c>
      <c r="B7" s="1" t="str">
        <f ca="1">IF(Información1[[#This Row],[Fecha]]='Ajuste de fechas'!$A$2,"Día actual","Día anterior")</f>
        <v>Día anterior</v>
      </c>
      <c r="C7" t="s">
        <v>47</v>
      </c>
      <c r="D7" t="s">
        <v>55</v>
      </c>
      <c r="E7" t="s">
        <v>83</v>
      </c>
      <c r="F7" t="s">
        <v>20</v>
      </c>
      <c r="G7" t="s">
        <v>84</v>
      </c>
      <c r="H7" t="s">
        <v>46</v>
      </c>
      <c r="I7" t="s">
        <v>7</v>
      </c>
      <c r="J7" t="s">
        <v>20</v>
      </c>
      <c r="K7" t="s">
        <v>49</v>
      </c>
      <c r="L7" t="s">
        <v>40</v>
      </c>
      <c r="M7">
        <v>1</v>
      </c>
    </row>
    <row r="8" spans="1:13" x14ac:dyDescent="0.25">
      <c r="A8" s="2">
        <v>46287</v>
      </c>
      <c r="B8" s="1" t="str">
        <f ca="1">IF(Información1[[#This Row],[Fecha]]='Ajuste de fechas'!$A$2,"Día actual","Día anterior")</f>
        <v>Día anterior</v>
      </c>
      <c r="C8" t="s">
        <v>47</v>
      </c>
      <c r="D8" t="s">
        <v>48</v>
      </c>
      <c r="E8" t="s">
        <v>85</v>
      </c>
      <c r="F8" t="s">
        <v>19</v>
      </c>
      <c r="G8" t="s">
        <v>86</v>
      </c>
      <c r="H8" t="s">
        <v>46</v>
      </c>
      <c r="I8" t="s">
        <v>7</v>
      </c>
      <c r="J8" t="s">
        <v>30</v>
      </c>
      <c r="K8" t="s">
        <v>67</v>
      </c>
      <c r="L8" t="s">
        <v>32</v>
      </c>
      <c r="M8">
        <v>1</v>
      </c>
    </row>
    <row r="9" spans="1:13" x14ac:dyDescent="0.25">
      <c r="A9" s="2">
        <v>46287</v>
      </c>
      <c r="B9" s="1" t="str">
        <f ca="1">IF(Información1[[#This Row],[Fecha]]='Ajuste de fechas'!$A$2,"Día actual","Día anterior")</f>
        <v>Día anterior</v>
      </c>
      <c r="C9" t="s">
        <v>47</v>
      </c>
      <c r="D9" t="s">
        <v>48</v>
      </c>
      <c r="E9" t="s">
        <v>87</v>
      </c>
      <c r="F9" t="s">
        <v>88</v>
      </c>
      <c r="G9" t="s">
        <v>89</v>
      </c>
      <c r="H9" t="s">
        <v>46</v>
      </c>
      <c r="I9" t="s">
        <v>7</v>
      </c>
      <c r="J9" t="s">
        <v>30</v>
      </c>
      <c r="K9" t="s">
        <v>50</v>
      </c>
      <c r="L9" t="s">
        <v>33</v>
      </c>
      <c r="M9">
        <v>1</v>
      </c>
    </row>
    <row r="10" spans="1:13" x14ac:dyDescent="0.25">
      <c r="A10" s="2">
        <v>46287</v>
      </c>
      <c r="B10" s="1" t="str">
        <f ca="1">IF(Información1[[#This Row],[Fecha]]='Ajuste de fechas'!$A$2,"Día actual","Día anterior")</f>
        <v>Día anterior</v>
      </c>
      <c r="C10" t="s">
        <v>47</v>
      </c>
      <c r="D10" t="s">
        <v>48</v>
      </c>
      <c r="E10" t="s">
        <v>90</v>
      </c>
      <c r="F10" t="s">
        <v>22</v>
      </c>
      <c r="G10" t="s">
        <v>91</v>
      </c>
      <c r="H10" t="s">
        <v>46</v>
      </c>
      <c r="I10" t="s">
        <v>7</v>
      </c>
      <c r="J10" t="s">
        <v>30</v>
      </c>
      <c r="K10" t="s">
        <v>50</v>
      </c>
      <c r="L10" t="s">
        <v>31</v>
      </c>
      <c r="M10">
        <v>1</v>
      </c>
    </row>
    <row r="11" spans="1:13" x14ac:dyDescent="0.25">
      <c r="A11" s="2">
        <v>46287</v>
      </c>
      <c r="B11" s="1" t="str">
        <f ca="1">IF(Información1[[#This Row],[Fecha]]='Ajuste de fechas'!$A$2,"Día actual","Día anterior")</f>
        <v>Día anterior</v>
      </c>
      <c r="C11" t="s">
        <v>47</v>
      </c>
      <c r="D11" t="s">
        <v>48</v>
      </c>
      <c r="E11" t="s">
        <v>92</v>
      </c>
      <c r="F11" t="s">
        <v>17</v>
      </c>
      <c r="G11" t="s">
        <v>80</v>
      </c>
      <c r="H11" t="s">
        <v>46</v>
      </c>
      <c r="I11" t="s">
        <v>7</v>
      </c>
      <c r="J11" t="s">
        <v>30</v>
      </c>
      <c r="K11" t="s">
        <v>50</v>
      </c>
      <c r="L11" t="s">
        <v>40</v>
      </c>
      <c r="M11">
        <v>1</v>
      </c>
    </row>
    <row r="12" spans="1:13" x14ac:dyDescent="0.25">
      <c r="A12" s="2">
        <v>46287</v>
      </c>
      <c r="B12" s="1" t="str">
        <f ca="1">IF(Información1[[#This Row],[Fecha]]='Ajuste de fechas'!$A$2,"Día actual","Día anterior")</f>
        <v>Día anterior</v>
      </c>
      <c r="C12" t="s">
        <v>47</v>
      </c>
      <c r="D12" t="s">
        <v>48</v>
      </c>
      <c r="E12" t="s">
        <v>93</v>
      </c>
      <c r="F12" t="s">
        <v>54</v>
      </c>
      <c r="G12" t="s">
        <v>62</v>
      </c>
      <c r="H12" t="s">
        <v>46</v>
      </c>
      <c r="I12" t="s">
        <v>7</v>
      </c>
      <c r="J12" t="s">
        <v>30</v>
      </c>
      <c r="K12" t="s">
        <v>49</v>
      </c>
      <c r="L12" t="s">
        <v>31</v>
      </c>
      <c r="M12">
        <v>1</v>
      </c>
    </row>
    <row r="13" spans="1:13" x14ac:dyDescent="0.25">
      <c r="A13" s="2">
        <v>46287</v>
      </c>
      <c r="B13" s="1" t="str">
        <f ca="1">IF(Información1[[#This Row],[Fecha]]='Ajuste de fechas'!$A$2,"Día actual","Día anterior")</f>
        <v>Día anterior</v>
      </c>
      <c r="C13" t="s">
        <v>47</v>
      </c>
      <c r="D13" t="s">
        <v>48</v>
      </c>
      <c r="E13" t="s">
        <v>94</v>
      </c>
      <c r="F13" t="s">
        <v>95</v>
      </c>
      <c r="G13" t="s">
        <v>96</v>
      </c>
      <c r="H13" t="s">
        <v>46</v>
      </c>
      <c r="I13" t="s">
        <v>7</v>
      </c>
      <c r="J13" t="s">
        <v>20</v>
      </c>
      <c r="K13" t="s">
        <v>49</v>
      </c>
      <c r="L13" t="s">
        <v>31</v>
      </c>
      <c r="M13">
        <v>1</v>
      </c>
    </row>
    <row r="14" spans="1:13" x14ac:dyDescent="0.25">
      <c r="A14" s="2">
        <v>46287</v>
      </c>
      <c r="B14" s="1" t="str">
        <f ca="1">IF(Información1[[#This Row],[Fecha]]='Ajuste de fechas'!$A$2,"Día actual","Día anterior")</f>
        <v>Día anterior</v>
      </c>
      <c r="C14" t="s">
        <v>47</v>
      </c>
      <c r="D14" t="s">
        <v>48</v>
      </c>
      <c r="E14" t="s">
        <v>97</v>
      </c>
      <c r="F14" t="s">
        <v>54</v>
      </c>
      <c r="G14" t="s">
        <v>69</v>
      </c>
      <c r="H14" t="s">
        <v>46</v>
      </c>
      <c r="I14" t="s">
        <v>7</v>
      </c>
      <c r="J14" t="s">
        <v>30</v>
      </c>
      <c r="K14" t="s">
        <v>50</v>
      </c>
      <c r="L14" t="s">
        <v>31</v>
      </c>
      <c r="M14">
        <v>1</v>
      </c>
    </row>
    <row r="15" spans="1:13" x14ac:dyDescent="0.25">
      <c r="A15" s="2">
        <v>46287</v>
      </c>
      <c r="B15" s="1" t="str">
        <f ca="1">IF(Información1[[#This Row],[Fecha]]='Ajuste de fechas'!$A$2,"Día actual","Día anterior")</f>
        <v>Día anterior</v>
      </c>
      <c r="C15" t="s">
        <v>47</v>
      </c>
      <c r="D15" t="s">
        <v>48</v>
      </c>
      <c r="E15" t="s">
        <v>98</v>
      </c>
      <c r="F15" t="s">
        <v>54</v>
      </c>
      <c r="G15" t="s">
        <v>62</v>
      </c>
      <c r="H15" t="s">
        <v>46</v>
      </c>
      <c r="I15" t="s">
        <v>7</v>
      </c>
      <c r="J15" t="s">
        <v>30</v>
      </c>
      <c r="K15" t="s">
        <v>50</v>
      </c>
      <c r="L15" t="s">
        <v>31</v>
      </c>
      <c r="M15">
        <v>1</v>
      </c>
    </row>
    <row r="16" spans="1:13" x14ac:dyDescent="0.25">
      <c r="A16" s="2">
        <v>46287</v>
      </c>
      <c r="B16" s="1" t="str">
        <f ca="1">IF(Información1[[#This Row],[Fecha]]='Ajuste de fechas'!$A$2,"Día actual","Día anterior")</f>
        <v>Día anterior</v>
      </c>
      <c r="C16" t="s">
        <v>8</v>
      </c>
      <c r="D16" t="s">
        <v>9</v>
      </c>
      <c r="E16" t="s">
        <v>99</v>
      </c>
      <c r="F16" t="s">
        <v>15</v>
      </c>
      <c r="G16" t="s">
        <v>100</v>
      </c>
      <c r="H16" t="s">
        <v>46</v>
      </c>
      <c r="I16" t="s">
        <v>7</v>
      </c>
      <c r="J16" t="s">
        <v>34</v>
      </c>
      <c r="K16" t="s">
        <v>67</v>
      </c>
      <c r="L16" t="s">
        <v>32</v>
      </c>
      <c r="M16">
        <v>1</v>
      </c>
    </row>
    <row r="17" spans="1:13" x14ac:dyDescent="0.25">
      <c r="A17" s="2">
        <v>46287</v>
      </c>
      <c r="B17" s="1" t="str">
        <f ca="1">IF(Información1[[#This Row],[Fecha]]='Ajuste de fechas'!$A$2,"Día actual","Día anterior")</f>
        <v>Día anterior</v>
      </c>
      <c r="C17" t="s">
        <v>51</v>
      </c>
      <c r="D17" t="s">
        <v>52</v>
      </c>
      <c r="E17" t="s">
        <v>101</v>
      </c>
      <c r="F17" t="s">
        <v>13</v>
      </c>
      <c r="G17" t="s">
        <v>102</v>
      </c>
      <c r="H17" t="s">
        <v>46</v>
      </c>
      <c r="I17" t="s">
        <v>7</v>
      </c>
      <c r="J17" t="s">
        <v>30</v>
      </c>
      <c r="K17" t="s">
        <v>53</v>
      </c>
      <c r="L17" t="s">
        <v>31</v>
      </c>
      <c r="M17">
        <v>1</v>
      </c>
    </row>
    <row r="18" spans="1:13" x14ac:dyDescent="0.25">
      <c r="A18" s="2">
        <v>46287</v>
      </c>
      <c r="B18" s="1" t="str">
        <f ca="1">IF(Información1[[#This Row],[Fecha]]='Ajuste de fechas'!$A$2,"Día actual","Día anterior")</f>
        <v>Día anterior</v>
      </c>
      <c r="C18" t="s">
        <v>8</v>
      </c>
      <c r="D18" t="s">
        <v>9</v>
      </c>
      <c r="E18" t="s">
        <v>103</v>
      </c>
      <c r="F18" t="s">
        <v>13</v>
      </c>
      <c r="G18" t="s">
        <v>102</v>
      </c>
      <c r="H18" t="s">
        <v>46</v>
      </c>
      <c r="I18" t="s">
        <v>7</v>
      </c>
      <c r="J18" t="s">
        <v>30</v>
      </c>
      <c r="K18" t="s">
        <v>11</v>
      </c>
      <c r="L18" t="s">
        <v>32</v>
      </c>
      <c r="M18">
        <v>1</v>
      </c>
    </row>
    <row r="19" spans="1:13" x14ac:dyDescent="0.25">
      <c r="A19" s="2">
        <v>46287</v>
      </c>
      <c r="B19" s="1" t="str">
        <f ca="1">IF(Información1[[#This Row],[Fecha]]='Ajuste de fechas'!$A$2,"Día actual","Día anterior")</f>
        <v>Día anterior</v>
      </c>
      <c r="C19" t="s">
        <v>8</v>
      </c>
      <c r="D19" t="s">
        <v>9</v>
      </c>
      <c r="E19" t="s">
        <v>104</v>
      </c>
      <c r="F19" t="s">
        <v>105</v>
      </c>
      <c r="G19" t="s">
        <v>106</v>
      </c>
      <c r="H19" t="s">
        <v>46</v>
      </c>
      <c r="I19" t="s">
        <v>7</v>
      </c>
      <c r="J19" t="s">
        <v>30</v>
      </c>
      <c r="K19" t="s">
        <v>11</v>
      </c>
      <c r="L19" t="s">
        <v>33</v>
      </c>
      <c r="M19">
        <v>1</v>
      </c>
    </row>
    <row r="20" spans="1:13" x14ac:dyDescent="0.25">
      <c r="A20" s="2">
        <v>46287</v>
      </c>
      <c r="B20" s="1" t="str">
        <f ca="1">IF(Información1[[#This Row],[Fecha]]='Ajuste de fechas'!$A$2,"Día actual","Día anterior")</f>
        <v>Día anterior</v>
      </c>
      <c r="C20" t="s">
        <v>51</v>
      </c>
      <c r="D20" t="s">
        <v>52</v>
      </c>
      <c r="E20" t="s">
        <v>107</v>
      </c>
      <c r="F20" t="s">
        <v>17</v>
      </c>
      <c r="G20" t="s">
        <v>68</v>
      </c>
      <c r="H20" t="s">
        <v>46</v>
      </c>
      <c r="I20" t="s">
        <v>7</v>
      </c>
      <c r="J20" t="s">
        <v>30</v>
      </c>
      <c r="K20" t="s">
        <v>53</v>
      </c>
      <c r="L20" t="s">
        <v>31</v>
      </c>
      <c r="M20">
        <v>1</v>
      </c>
    </row>
    <row r="21" spans="1:13" x14ac:dyDescent="0.25">
      <c r="A21" s="2">
        <v>46287</v>
      </c>
      <c r="B21" s="1" t="str">
        <f ca="1">IF(Información1[[#This Row],[Fecha]]='Ajuste de fechas'!$A$2,"Día actual","Día anterior")</f>
        <v>Día anterior</v>
      </c>
      <c r="C21" t="s">
        <v>8</v>
      </c>
      <c r="D21" t="s">
        <v>9</v>
      </c>
      <c r="E21" t="s">
        <v>108</v>
      </c>
      <c r="F21" t="s">
        <v>17</v>
      </c>
      <c r="G21" t="s">
        <v>68</v>
      </c>
      <c r="H21" t="s">
        <v>46</v>
      </c>
      <c r="I21" t="s">
        <v>7</v>
      </c>
      <c r="J21" t="s">
        <v>30</v>
      </c>
      <c r="K21" t="s">
        <v>11</v>
      </c>
      <c r="L21" t="s">
        <v>31</v>
      </c>
      <c r="M21">
        <v>1</v>
      </c>
    </row>
    <row r="22" spans="1:13" x14ac:dyDescent="0.25">
      <c r="A22" s="2">
        <v>46287</v>
      </c>
      <c r="B22" s="1" t="str">
        <f ca="1">IF(Información1[[#This Row],[Fecha]]='Ajuste de fechas'!$A$2,"Día actual","Día anterior")</f>
        <v>Día anterior</v>
      </c>
      <c r="C22" t="s">
        <v>8</v>
      </c>
      <c r="D22" t="s">
        <v>9</v>
      </c>
      <c r="E22" t="s">
        <v>109</v>
      </c>
      <c r="F22" t="s">
        <v>15</v>
      </c>
      <c r="G22" t="s">
        <v>110</v>
      </c>
      <c r="H22" t="s">
        <v>46</v>
      </c>
      <c r="I22" t="s">
        <v>7</v>
      </c>
      <c r="J22" t="s">
        <v>34</v>
      </c>
      <c r="K22" t="s">
        <v>67</v>
      </c>
      <c r="L22" t="s">
        <v>32</v>
      </c>
      <c r="M22">
        <v>1</v>
      </c>
    </row>
    <row r="23" spans="1:13" x14ac:dyDescent="0.25">
      <c r="A23" s="2">
        <v>46287</v>
      </c>
      <c r="B23" s="1" t="str">
        <f ca="1">IF(Información1[[#This Row],[Fecha]]='Ajuste de fechas'!$A$2,"Día actual","Día anterior")</f>
        <v>Día anterior</v>
      </c>
      <c r="C23" t="s">
        <v>8</v>
      </c>
      <c r="D23" t="s">
        <v>9</v>
      </c>
      <c r="E23" t="s">
        <v>111</v>
      </c>
      <c r="F23" t="s">
        <v>6</v>
      </c>
      <c r="G23" t="s">
        <v>112</v>
      </c>
      <c r="H23" t="s">
        <v>46</v>
      </c>
      <c r="I23" t="s">
        <v>21</v>
      </c>
      <c r="J23" t="s">
        <v>30</v>
      </c>
      <c r="K23" t="s">
        <v>67</v>
      </c>
      <c r="L23" t="s">
        <v>32</v>
      </c>
      <c r="M23">
        <v>1</v>
      </c>
    </row>
    <row r="24" spans="1:13" x14ac:dyDescent="0.25">
      <c r="A24" s="2">
        <v>46287</v>
      </c>
      <c r="B24" s="1" t="str">
        <f ca="1">IF(Información1[[#This Row],[Fecha]]='Ajuste de fechas'!$A$2,"Día actual","Día anterior")</f>
        <v>Día anterior</v>
      </c>
      <c r="C24" t="s">
        <v>51</v>
      </c>
      <c r="D24" t="s">
        <v>52</v>
      </c>
      <c r="E24" t="s">
        <v>113</v>
      </c>
      <c r="F24" t="s">
        <v>54</v>
      </c>
      <c r="G24" t="s">
        <v>62</v>
      </c>
      <c r="H24" t="s">
        <v>46</v>
      </c>
      <c r="I24" t="s">
        <v>7</v>
      </c>
      <c r="J24" t="s">
        <v>30</v>
      </c>
      <c r="K24" t="s">
        <v>53</v>
      </c>
      <c r="L24" t="s">
        <v>31</v>
      </c>
      <c r="M24">
        <v>1</v>
      </c>
    </row>
    <row r="25" spans="1:13" x14ac:dyDescent="0.25">
      <c r="A25" s="2">
        <v>46287</v>
      </c>
      <c r="B25" s="1" t="str">
        <f ca="1">IF(Información1[[#This Row],[Fecha]]='Ajuste de fechas'!$A$2,"Día actual","Día anterior")</f>
        <v>Día anterior</v>
      </c>
      <c r="C25" t="s">
        <v>63</v>
      </c>
      <c r="D25" t="s">
        <v>64</v>
      </c>
      <c r="E25" t="s">
        <v>114</v>
      </c>
      <c r="F25" t="s">
        <v>17</v>
      </c>
      <c r="G25" t="s">
        <v>115</v>
      </c>
      <c r="H25" t="s">
        <v>46</v>
      </c>
      <c r="I25" t="s">
        <v>7</v>
      </c>
      <c r="J25" t="s">
        <v>30</v>
      </c>
      <c r="K25" t="s">
        <v>65</v>
      </c>
      <c r="L25" t="s">
        <v>33</v>
      </c>
      <c r="M25">
        <v>1</v>
      </c>
    </row>
    <row r="26" spans="1:13" x14ac:dyDescent="0.25">
      <c r="A26" s="2">
        <v>46287</v>
      </c>
      <c r="B26" s="1" t="str">
        <f ca="1">IF(Información1[[#This Row],[Fecha]]='Ajuste de fechas'!$A$2,"Día actual","Día anterior")</f>
        <v>Día anterior</v>
      </c>
      <c r="C26" t="s">
        <v>58</v>
      </c>
      <c r="D26" t="s">
        <v>59</v>
      </c>
      <c r="E26" t="s">
        <v>116</v>
      </c>
      <c r="F26" t="s">
        <v>105</v>
      </c>
      <c r="G26" t="s">
        <v>117</v>
      </c>
      <c r="H26" t="s">
        <v>46</v>
      </c>
      <c r="I26" t="s">
        <v>7</v>
      </c>
      <c r="J26" t="s">
        <v>30</v>
      </c>
      <c r="K26" t="s">
        <v>60</v>
      </c>
      <c r="L26" t="s">
        <v>33</v>
      </c>
      <c r="M26">
        <v>1</v>
      </c>
    </row>
    <row r="27" spans="1:13" x14ac:dyDescent="0.25">
      <c r="A27" s="2">
        <v>46287</v>
      </c>
      <c r="B27" s="1" t="str">
        <f ca="1">IF(Información1[[#This Row],[Fecha]]='Ajuste de fechas'!$A$2,"Día actual","Día anterior")</f>
        <v>Día anterior</v>
      </c>
      <c r="C27" t="s">
        <v>8</v>
      </c>
      <c r="D27" t="s">
        <v>9</v>
      </c>
      <c r="E27" t="s">
        <v>118</v>
      </c>
      <c r="F27" t="s">
        <v>56</v>
      </c>
      <c r="G27" t="s">
        <v>117</v>
      </c>
      <c r="H27" t="s">
        <v>46</v>
      </c>
      <c r="I27" t="s">
        <v>7</v>
      </c>
      <c r="J27" t="s">
        <v>30</v>
      </c>
      <c r="K27" t="s">
        <v>11</v>
      </c>
      <c r="L27" t="s">
        <v>31</v>
      </c>
      <c r="M27">
        <v>1</v>
      </c>
    </row>
    <row r="28" spans="1:13" x14ac:dyDescent="0.25">
      <c r="A28" s="2">
        <v>46287</v>
      </c>
      <c r="B28" s="1" t="str">
        <f ca="1">IF(Información1[[#This Row],[Fecha]]='Ajuste de fechas'!$A$2,"Día actual","Día anterior")</f>
        <v>Día anterior</v>
      </c>
      <c r="C28" t="s">
        <v>51</v>
      </c>
      <c r="D28" t="s">
        <v>52</v>
      </c>
      <c r="E28" t="s">
        <v>119</v>
      </c>
      <c r="F28" t="s">
        <v>54</v>
      </c>
      <c r="G28" t="s">
        <v>69</v>
      </c>
      <c r="H28" t="s">
        <v>46</v>
      </c>
      <c r="I28" t="s">
        <v>7</v>
      </c>
      <c r="J28" t="s">
        <v>30</v>
      </c>
      <c r="K28" t="s">
        <v>53</v>
      </c>
      <c r="L28" t="s">
        <v>31</v>
      </c>
      <c r="M28">
        <v>1</v>
      </c>
    </row>
    <row r="29" spans="1:13" x14ac:dyDescent="0.25">
      <c r="A29" s="2">
        <v>46287</v>
      </c>
      <c r="B29" s="1" t="str">
        <f ca="1">IF(Información1[[#This Row],[Fecha]]='Ajuste de fechas'!$A$2,"Día actual","Día anterior")</f>
        <v>Día anterior</v>
      </c>
      <c r="C29" t="s">
        <v>58</v>
      </c>
      <c r="D29" t="s">
        <v>59</v>
      </c>
      <c r="E29" t="s">
        <v>120</v>
      </c>
      <c r="F29" t="s">
        <v>105</v>
      </c>
      <c r="G29" t="s">
        <v>121</v>
      </c>
      <c r="H29" t="s">
        <v>46</v>
      </c>
      <c r="I29" t="s">
        <v>7</v>
      </c>
      <c r="J29" t="s">
        <v>30</v>
      </c>
      <c r="K29" t="s">
        <v>60</v>
      </c>
      <c r="L29" t="s">
        <v>33</v>
      </c>
      <c r="M29">
        <v>1</v>
      </c>
    </row>
    <row r="30" spans="1:13" x14ac:dyDescent="0.25">
      <c r="A30" s="2">
        <v>46287</v>
      </c>
      <c r="B30" s="1" t="str">
        <f ca="1">IF(Información1[[#This Row],[Fecha]]='Ajuste de fechas'!$A$2,"Día actual","Día anterior")</f>
        <v>Día anterior</v>
      </c>
      <c r="C30" t="s">
        <v>51</v>
      </c>
      <c r="D30" t="s">
        <v>52</v>
      </c>
      <c r="E30" t="s">
        <v>122</v>
      </c>
      <c r="F30" t="s">
        <v>17</v>
      </c>
      <c r="G30" t="s">
        <v>121</v>
      </c>
      <c r="H30" t="s">
        <v>46</v>
      </c>
      <c r="I30" t="s">
        <v>7</v>
      </c>
      <c r="J30" t="s">
        <v>30</v>
      </c>
      <c r="K30" t="s">
        <v>53</v>
      </c>
      <c r="L30" t="s">
        <v>31</v>
      </c>
      <c r="M30">
        <v>1</v>
      </c>
    </row>
    <row r="31" spans="1:13" x14ac:dyDescent="0.25">
      <c r="A31" s="2">
        <v>46287</v>
      </c>
      <c r="B31" s="1" t="str">
        <f ca="1">IF(Información1[[#This Row],[Fecha]]='Ajuste de fechas'!$A$2,"Día actual","Día anterior")</f>
        <v>Día anterior</v>
      </c>
      <c r="C31" t="s">
        <v>8</v>
      </c>
      <c r="D31" t="s">
        <v>9</v>
      </c>
      <c r="E31" t="s">
        <v>123</v>
      </c>
      <c r="F31" t="s">
        <v>6</v>
      </c>
      <c r="G31" t="s">
        <v>124</v>
      </c>
      <c r="H31" t="s">
        <v>46</v>
      </c>
      <c r="I31" t="s">
        <v>7</v>
      </c>
      <c r="J31" t="s">
        <v>30</v>
      </c>
      <c r="K31" t="s">
        <v>67</v>
      </c>
      <c r="L31" t="s">
        <v>32</v>
      </c>
      <c r="M31">
        <v>1</v>
      </c>
    </row>
    <row r="32" spans="1:13" x14ac:dyDescent="0.25">
      <c r="A32" s="2">
        <v>46287</v>
      </c>
      <c r="B32" s="1" t="str">
        <f ca="1">IF(Información1[[#This Row],[Fecha]]='Ajuste de fechas'!$A$2,"Día actual","Día anterior")</f>
        <v>Día anterior</v>
      </c>
      <c r="C32" t="s">
        <v>8</v>
      </c>
      <c r="D32" t="s">
        <v>9</v>
      </c>
      <c r="E32" t="s">
        <v>125</v>
      </c>
      <c r="F32" t="s">
        <v>15</v>
      </c>
      <c r="G32" t="s">
        <v>126</v>
      </c>
      <c r="H32" t="s">
        <v>46</v>
      </c>
      <c r="I32" t="s">
        <v>7</v>
      </c>
      <c r="J32" t="s">
        <v>34</v>
      </c>
      <c r="K32" t="s">
        <v>11</v>
      </c>
      <c r="L32" t="s">
        <v>32</v>
      </c>
      <c r="M32">
        <v>1</v>
      </c>
    </row>
    <row r="33" spans="1:13" x14ac:dyDescent="0.25">
      <c r="A33" s="2">
        <v>46287</v>
      </c>
      <c r="B33" s="1" t="str">
        <f ca="1">IF(Información1[[#This Row],[Fecha]]='Ajuste de fechas'!$A$2,"Día actual","Día anterior")</f>
        <v>Día anterior</v>
      </c>
      <c r="C33" t="s">
        <v>8</v>
      </c>
      <c r="D33" t="s">
        <v>9</v>
      </c>
      <c r="E33" t="s">
        <v>16</v>
      </c>
      <c r="F33" t="s">
        <v>15</v>
      </c>
      <c r="G33" t="s">
        <v>23</v>
      </c>
      <c r="H33" t="s">
        <v>46</v>
      </c>
      <c r="I33" t="s">
        <v>10</v>
      </c>
      <c r="J33" t="s">
        <v>34</v>
      </c>
      <c r="K33" t="s">
        <v>11</v>
      </c>
      <c r="L33" t="s">
        <v>32</v>
      </c>
      <c r="M33">
        <v>1</v>
      </c>
    </row>
    <row r="34" spans="1:13" x14ac:dyDescent="0.25">
      <c r="A34" s="2">
        <v>46287</v>
      </c>
      <c r="B34" s="1" t="str">
        <f ca="1">IF(Información1[[#This Row],[Fecha]]='Ajuste de fechas'!$A$2,"Día actual","Día anterior")</f>
        <v>Día anterior</v>
      </c>
      <c r="C34" t="s">
        <v>8</v>
      </c>
      <c r="D34" t="s">
        <v>9</v>
      </c>
      <c r="E34" t="s">
        <v>14</v>
      </c>
      <c r="F34" t="s">
        <v>15</v>
      </c>
      <c r="G34" t="s">
        <v>23</v>
      </c>
      <c r="H34" t="s">
        <v>46</v>
      </c>
      <c r="I34" t="s">
        <v>10</v>
      </c>
      <c r="J34" t="s">
        <v>34</v>
      </c>
      <c r="K34" t="s">
        <v>11</v>
      </c>
      <c r="L34" t="s">
        <v>32</v>
      </c>
      <c r="M34">
        <v>1</v>
      </c>
    </row>
    <row r="35" spans="1:13" x14ac:dyDescent="0.25">
      <c r="A35" s="2">
        <v>46287</v>
      </c>
      <c r="B35" s="1" t="str">
        <f ca="1">IF(Información1[[#This Row],[Fecha]]='Ajuste de fechas'!$A$2,"Día actual","Día anterior")</f>
        <v>Día anterior</v>
      </c>
      <c r="C35" t="s">
        <v>8</v>
      </c>
      <c r="D35" t="s">
        <v>9</v>
      </c>
      <c r="E35" t="s">
        <v>41</v>
      </c>
      <c r="F35" t="s">
        <v>39</v>
      </c>
      <c r="G35" t="s">
        <v>23</v>
      </c>
      <c r="H35" t="s">
        <v>46</v>
      </c>
      <c r="I35" t="s">
        <v>10</v>
      </c>
      <c r="J35" t="s">
        <v>20</v>
      </c>
      <c r="K35" t="s">
        <v>11</v>
      </c>
      <c r="L35" t="s">
        <v>32</v>
      </c>
      <c r="M35">
        <v>1</v>
      </c>
    </row>
    <row r="36" spans="1:13" x14ac:dyDescent="0.25">
      <c r="A36" s="2">
        <v>46287</v>
      </c>
      <c r="B36" s="1" t="str">
        <f ca="1">IF(Información1[[#This Row],[Fecha]]='Ajuste de fechas'!$A$2,"Día actual","Día anterior")</f>
        <v>Día anterior</v>
      </c>
      <c r="C36" t="s">
        <v>8</v>
      </c>
      <c r="D36" t="s">
        <v>9</v>
      </c>
      <c r="E36" t="s">
        <v>43</v>
      </c>
      <c r="F36" t="s">
        <v>42</v>
      </c>
      <c r="G36" t="s">
        <v>23</v>
      </c>
      <c r="H36" t="s">
        <v>46</v>
      </c>
      <c r="I36" t="s">
        <v>10</v>
      </c>
      <c r="J36" t="s">
        <v>30</v>
      </c>
      <c r="K36" t="s">
        <v>11</v>
      </c>
      <c r="L36" t="s">
        <v>32</v>
      </c>
      <c r="M36">
        <v>1</v>
      </c>
    </row>
    <row r="37" spans="1:13" x14ac:dyDescent="0.25">
      <c r="A37" s="2">
        <v>46287</v>
      </c>
      <c r="B37" s="1" t="str">
        <f ca="1">IF(Información1[[#This Row],[Fecha]]='Ajuste de fechas'!$A$2,"Día actual","Día anterior")</f>
        <v>Día anterior</v>
      </c>
      <c r="C37" t="s">
        <v>8</v>
      </c>
      <c r="D37" t="s">
        <v>9</v>
      </c>
      <c r="E37" t="s">
        <v>12</v>
      </c>
      <c r="F37" t="s">
        <v>13</v>
      </c>
      <c r="G37" t="s">
        <v>23</v>
      </c>
      <c r="H37" t="s">
        <v>46</v>
      </c>
      <c r="I37" t="s">
        <v>10</v>
      </c>
      <c r="J37" t="s">
        <v>30</v>
      </c>
      <c r="K37" t="s">
        <v>11</v>
      </c>
      <c r="L37" t="s">
        <v>32</v>
      </c>
      <c r="M37">
        <v>1</v>
      </c>
    </row>
    <row r="38" spans="1:13" x14ac:dyDescent="0.25">
      <c r="A38" s="2">
        <v>46287</v>
      </c>
      <c r="B38" s="1" t="str">
        <f ca="1">IF(Información1[[#This Row],[Fecha]]='Ajuste de fechas'!$A$2,"Día actual","Día anterior")</f>
        <v>Día anterior</v>
      </c>
      <c r="C38" t="s">
        <v>8</v>
      </c>
      <c r="D38" t="s">
        <v>9</v>
      </c>
      <c r="E38" t="s">
        <v>61</v>
      </c>
      <c r="F38" t="s">
        <v>6</v>
      </c>
      <c r="G38" t="s">
        <v>23</v>
      </c>
      <c r="H38" t="s">
        <v>46</v>
      </c>
      <c r="I38" t="s">
        <v>10</v>
      </c>
      <c r="J38" t="s">
        <v>30</v>
      </c>
      <c r="K38" t="s">
        <v>11</v>
      </c>
      <c r="L38" t="s">
        <v>32</v>
      </c>
      <c r="M38">
        <v>1</v>
      </c>
    </row>
    <row r="39" spans="1:13" x14ac:dyDescent="0.25">
      <c r="A39" s="2">
        <v>46287</v>
      </c>
      <c r="B39" s="1" t="str">
        <f ca="1">IF(Información1[[#This Row],[Fecha]]='Ajuste de fechas'!$A$2,"Día actual","Día anterior")</f>
        <v>Día anterior</v>
      </c>
      <c r="C39" t="s">
        <v>58</v>
      </c>
      <c r="D39" t="s">
        <v>59</v>
      </c>
      <c r="E39" t="s">
        <v>127</v>
      </c>
      <c r="F39" t="s">
        <v>128</v>
      </c>
      <c r="G39" t="s">
        <v>129</v>
      </c>
      <c r="H39" t="s">
        <v>46</v>
      </c>
      <c r="I39" t="s">
        <v>7</v>
      </c>
      <c r="J39" t="s">
        <v>30</v>
      </c>
      <c r="K39" t="s">
        <v>60</v>
      </c>
      <c r="L39" t="s">
        <v>31</v>
      </c>
      <c r="M39">
        <v>1</v>
      </c>
    </row>
    <row r="40" spans="1:13" x14ac:dyDescent="0.25">
      <c r="A40" s="2">
        <v>46287</v>
      </c>
      <c r="B40" s="1" t="str">
        <f ca="1">IF(Información1[[#This Row],[Fecha]]='Ajuste de fechas'!$A$2,"Día actual","Día anterior")</f>
        <v>Día anterior</v>
      </c>
      <c r="C40" t="s">
        <v>8</v>
      </c>
      <c r="D40" t="s">
        <v>9</v>
      </c>
      <c r="E40" t="s">
        <v>130</v>
      </c>
      <c r="F40" t="s">
        <v>13</v>
      </c>
      <c r="G40" t="s">
        <v>73</v>
      </c>
      <c r="H40" t="s">
        <v>46</v>
      </c>
      <c r="I40" t="s">
        <v>7</v>
      </c>
      <c r="J40" t="s">
        <v>30</v>
      </c>
      <c r="K40" t="s">
        <v>11</v>
      </c>
      <c r="L40" t="s">
        <v>33</v>
      </c>
      <c r="M40">
        <v>1</v>
      </c>
    </row>
    <row r="41" spans="1:13" x14ac:dyDescent="0.25">
      <c r="A41" s="2">
        <v>46287</v>
      </c>
      <c r="B41" s="1" t="str">
        <f ca="1">IF(Información1[[#This Row],[Fecha]]='Ajuste de fechas'!$A$2,"Día actual","Día anterior")</f>
        <v>Día anterior</v>
      </c>
      <c r="C41" t="s">
        <v>8</v>
      </c>
      <c r="D41" t="s">
        <v>9</v>
      </c>
      <c r="E41" t="s">
        <v>131</v>
      </c>
      <c r="F41" t="s">
        <v>6</v>
      </c>
      <c r="G41" t="s">
        <v>44</v>
      </c>
      <c r="H41" t="s">
        <v>46</v>
      </c>
      <c r="I41" t="s">
        <v>10</v>
      </c>
      <c r="J41" t="s">
        <v>30</v>
      </c>
      <c r="K41" t="s">
        <v>67</v>
      </c>
      <c r="L41" t="s">
        <v>32</v>
      </c>
      <c r="M41">
        <v>1</v>
      </c>
    </row>
    <row r="42" spans="1:13" x14ac:dyDescent="0.25">
      <c r="A42" s="2">
        <v>46288</v>
      </c>
      <c r="B42" s="1" t="str">
        <f ca="1">IF(Información1[[#This Row],[Fecha]]='Ajuste de fechas'!$A$2,"Día actual","Día anterior")</f>
        <v>Día actual</v>
      </c>
      <c r="C42" t="s">
        <v>51</v>
      </c>
      <c r="D42" t="s">
        <v>52</v>
      </c>
      <c r="E42" t="s">
        <v>132</v>
      </c>
      <c r="F42" t="s">
        <v>22</v>
      </c>
      <c r="G42" t="s">
        <v>80</v>
      </c>
      <c r="H42" t="s">
        <v>46</v>
      </c>
      <c r="I42" t="s">
        <v>7</v>
      </c>
      <c r="J42" t="s">
        <v>30</v>
      </c>
      <c r="K42" t="s">
        <v>53</v>
      </c>
      <c r="L42" t="s">
        <v>31</v>
      </c>
      <c r="M42">
        <v>1</v>
      </c>
    </row>
    <row r="43" spans="1:13" x14ac:dyDescent="0.25">
      <c r="A43" s="2">
        <v>46288</v>
      </c>
      <c r="B43" s="1" t="str">
        <f ca="1">IF(Información1[[#This Row],[Fecha]]='Ajuste de fechas'!$A$2,"Día actual","Día anterior")</f>
        <v>Día actual</v>
      </c>
      <c r="C43" t="s">
        <v>51</v>
      </c>
      <c r="D43" t="s">
        <v>52</v>
      </c>
      <c r="E43" t="s">
        <v>133</v>
      </c>
      <c r="F43" t="s">
        <v>22</v>
      </c>
      <c r="G43" t="s">
        <v>134</v>
      </c>
      <c r="H43" t="s">
        <v>46</v>
      </c>
      <c r="I43" t="s">
        <v>7</v>
      </c>
      <c r="J43" t="s">
        <v>30</v>
      </c>
      <c r="K43" t="s">
        <v>53</v>
      </c>
      <c r="L43" t="s">
        <v>31</v>
      </c>
      <c r="M43">
        <v>1</v>
      </c>
    </row>
    <row r="44" spans="1:13" x14ac:dyDescent="0.25">
      <c r="A44" s="2">
        <v>46288</v>
      </c>
      <c r="B44" s="1" t="str">
        <f ca="1">IF(Información1[[#This Row],[Fecha]]='Ajuste de fechas'!$A$2,"Día actual","Día anterior")</f>
        <v>Día actual</v>
      </c>
      <c r="C44" t="s">
        <v>51</v>
      </c>
      <c r="D44" t="s">
        <v>52</v>
      </c>
      <c r="E44" t="s">
        <v>135</v>
      </c>
      <c r="F44" t="s">
        <v>18</v>
      </c>
      <c r="G44" t="s">
        <v>136</v>
      </c>
      <c r="H44" t="s">
        <v>46</v>
      </c>
      <c r="I44" t="s">
        <v>7</v>
      </c>
      <c r="J44" t="s">
        <v>35</v>
      </c>
      <c r="K44" t="s">
        <v>53</v>
      </c>
      <c r="L44" t="s">
        <v>32</v>
      </c>
      <c r="M44">
        <v>1</v>
      </c>
    </row>
    <row r="45" spans="1:13" x14ac:dyDescent="0.25">
      <c r="A45" s="2">
        <v>46288</v>
      </c>
      <c r="B45" s="1" t="str">
        <f ca="1">IF(Información1[[#This Row],[Fecha]]='Ajuste de fechas'!$A$2,"Día actual","Día anterior")</f>
        <v>Día actual</v>
      </c>
      <c r="C45" t="s">
        <v>51</v>
      </c>
      <c r="D45" t="s">
        <v>52</v>
      </c>
      <c r="E45" t="s">
        <v>137</v>
      </c>
      <c r="F45" t="s">
        <v>22</v>
      </c>
      <c r="G45" t="s">
        <v>66</v>
      </c>
      <c r="H45" t="s">
        <v>46</v>
      </c>
      <c r="I45" t="s">
        <v>7</v>
      </c>
      <c r="J45" t="s">
        <v>30</v>
      </c>
      <c r="K45" t="s">
        <v>53</v>
      </c>
      <c r="L45" t="s">
        <v>31</v>
      </c>
      <c r="M45">
        <v>1</v>
      </c>
    </row>
    <row r="46" spans="1:13" x14ac:dyDescent="0.25">
      <c r="A46" s="2">
        <v>46288</v>
      </c>
      <c r="B46" s="1" t="str">
        <f ca="1">IF(Información1[[#This Row],[Fecha]]='Ajuste de fechas'!$A$2,"Día actual","Día anterior")</f>
        <v>Día actual</v>
      </c>
      <c r="C46" t="s">
        <v>51</v>
      </c>
      <c r="D46" t="s">
        <v>52</v>
      </c>
      <c r="E46" t="s">
        <v>138</v>
      </c>
      <c r="F46" t="s">
        <v>18</v>
      </c>
      <c r="G46" t="s">
        <v>139</v>
      </c>
      <c r="H46" t="s">
        <v>46</v>
      </c>
      <c r="I46" t="s">
        <v>10</v>
      </c>
      <c r="J46" t="s">
        <v>35</v>
      </c>
      <c r="K46" t="s">
        <v>53</v>
      </c>
      <c r="L46" t="s">
        <v>140</v>
      </c>
      <c r="M46">
        <v>1</v>
      </c>
    </row>
    <row r="47" spans="1:13" x14ac:dyDescent="0.25">
      <c r="A47" s="2">
        <v>46288</v>
      </c>
      <c r="B47" s="1" t="str">
        <f ca="1">IF(Información1[[#This Row],[Fecha]]='Ajuste de fechas'!$A$2,"Día actual","Día anterior")</f>
        <v>Día actual</v>
      </c>
      <c r="C47" t="s">
        <v>51</v>
      </c>
      <c r="D47" t="s">
        <v>52</v>
      </c>
      <c r="E47" t="s">
        <v>141</v>
      </c>
      <c r="F47" t="s">
        <v>142</v>
      </c>
      <c r="G47" t="s">
        <v>143</v>
      </c>
      <c r="H47" t="s">
        <v>46</v>
      </c>
      <c r="I47" t="s">
        <v>7</v>
      </c>
      <c r="J47" t="s">
        <v>30</v>
      </c>
      <c r="K47" t="s">
        <v>53</v>
      </c>
      <c r="L47" t="s">
        <v>31</v>
      </c>
      <c r="M47">
        <v>1</v>
      </c>
    </row>
    <row r="48" spans="1:13" x14ac:dyDescent="0.25">
      <c r="A48" s="2">
        <v>46288</v>
      </c>
      <c r="B48" s="1" t="str">
        <f ca="1">IF(Información1[[#This Row],[Fecha]]='Ajuste de fechas'!$A$2,"Día actual","Día anterior")</f>
        <v>Día actual</v>
      </c>
      <c r="C48" t="s">
        <v>51</v>
      </c>
      <c r="D48" t="s">
        <v>52</v>
      </c>
      <c r="E48" t="s">
        <v>144</v>
      </c>
      <c r="F48" t="s">
        <v>142</v>
      </c>
      <c r="G48" t="s">
        <v>145</v>
      </c>
      <c r="H48" t="s">
        <v>46</v>
      </c>
      <c r="I48" t="s">
        <v>7</v>
      </c>
      <c r="J48" t="s">
        <v>30</v>
      </c>
      <c r="K48" t="s">
        <v>53</v>
      </c>
      <c r="L48" t="s">
        <v>31</v>
      </c>
      <c r="M48">
        <v>1</v>
      </c>
    </row>
    <row r="49" spans="1:13" x14ac:dyDescent="0.25">
      <c r="A49" s="2">
        <v>46288</v>
      </c>
      <c r="B49" s="1" t="str">
        <f ca="1">IF(Información1[[#This Row],[Fecha]]='Ajuste de fechas'!$A$2,"Día actual","Día anterior")</f>
        <v>Día actual</v>
      </c>
      <c r="C49" t="s">
        <v>51</v>
      </c>
      <c r="D49" t="s">
        <v>52</v>
      </c>
      <c r="E49" t="s">
        <v>146</v>
      </c>
      <c r="F49" t="s">
        <v>15</v>
      </c>
      <c r="G49" t="s">
        <v>72</v>
      </c>
      <c r="H49" t="s">
        <v>46</v>
      </c>
      <c r="I49" t="s">
        <v>21</v>
      </c>
      <c r="J49" t="s">
        <v>34</v>
      </c>
      <c r="K49" t="s">
        <v>53</v>
      </c>
      <c r="L49" t="s">
        <v>31</v>
      </c>
      <c r="M49">
        <v>1</v>
      </c>
    </row>
    <row r="50" spans="1:13" x14ac:dyDescent="0.25">
      <c r="A50" s="2">
        <v>46288</v>
      </c>
      <c r="B50" s="1" t="str">
        <f ca="1">IF(Información1[[#This Row],[Fecha]]='Ajuste de fechas'!$A$2,"Día actual","Día anterior")</f>
        <v>Día actual</v>
      </c>
      <c r="C50" t="s">
        <v>51</v>
      </c>
      <c r="D50" t="s">
        <v>52</v>
      </c>
      <c r="E50" t="s">
        <v>147</v>
      </c>
      <c r="F50" t="s">
        <v>15</v>
      </c>
      <c r="G50" t="s">
        <v>148</v>
      </c>
      <c r="H50" t="s">
        <v>46</v>
      </c>
      <c r="I50" t="s">
        <v>7</v>
      </c>
      <c r="J50" t="s">
        <v>34</v>
      </c>
      <c r="K50" t="s">
        <v>53</v>
      </c>
      <c r="L50" t="s">
        <v>31</v>
      </c>
      <c r="M50">
        <v>1</v>
      </c>
    </row>
    <row r="51" spans="1:13" x14ac:dyDescent="0.25">
      <c r="A51" s="2">
        <v>46288</v>
      </c>
      <c r="B51" s="1" t="str">
        <f ca="1">IF(Información1[[#This Row],[Fecha]]='Ajuste de fechas'!$A$2,"Día actual","Día anterior")</f>
        <v>Día actual</v>
      </c>
      <c r="C51" t="s">
        <v>51</v>
      </c>
      <c r="D51" t="s">
        <v>52</v>
      </c>
      <c r="E51" t="s">
        <v>149</v>
      </c>
      <c r="F51" t="s">
        <v>45</v>
      </c>
      <c r="G51" t="s">
        <v>150</v>
      </c>
      <c r="H51" t="s">
        <v>46</v>
      </c>
      <c r="I51" t="s">
        <v>7</v>
      </c>
      <c r="J51" t="s">
        <v>30</v>
      </c>
      <c r="K51" t="s">
        <v>53</v>
      </c>
      <c r="L51" t="s">
        <v>31</v>
      </c>
      <c r="M51">
        <v>1</v>
      </c>
    </row>
    <row r="52" spans="1:13" x14ac:dyDescent="0.25">
      <c r="A52" s="2">
        <v>46288</v>
      </c>
      <c r="B52" s="1" t="str">
        <f ca="1">IF(Información1[[#This Row],[Fecha]]='Ajuste de fechas'!$A$2,"Día actual","Día anterior")</f>
        <v>Día actual</v>
      </c>
      <c r="C52" t="s">
        <v>51</v>
      </c>
      <c r="D52" t="s">
        <v>52</v>
      </c>
      <c r="E52" t="s">
        <v>151</v>
      </c>
      <c r="F52" t="s">
        <v>152</v>
      </c>
      <c r="G52" t="s">
        <v>153</v>
      </c>
      <c r="H52" t="s">
        <v>46</v>
      </c>
      <c r="I52" t="s">
        <v>7</v>
      </c>
      <c r="J52" t="s">
        <v>30</v>
      </c>
      <c r="K52" t="s">
        <v>53</v>
      </c>
      <c r="L52" t="s">
        <v>31</v>
      </c>
      <c r="M52">
        <v>1</v>
      </c>
    </row>
    <row r="53" spans="1:13" x14ac:dyDescent="0.25">
      <c r="A53" s="2">
        <v>46288</v>
      </c>
      <c r="B53" s="1" t="str">
        <f ca="1">IF(Información1[[#This Row],[Fecha]]='Ajuste de fechas'!$A$2,"Día actual","Día anterior")</f>
        <v>Día actual</v>
      </c>
      <c r="C53" t="s">
        <v>51</v>
      </c>
      <c r="D53" t="s">
        <v>52</v>
      </c>
      <c r="E53" t="s">
        <v>154</v>
      </c>
      <c r="F53" t="s">
        <v>20</v>
      </c>
      <c r="G53" t="s">
        <v>155</v>
      </c>
      <c r="H53" t="s">
        <v>46</v>
      </c>
      <c r="I53" t="s">
        <v>7</v>
      </c>
      <c r="J53" t="s">
        <v>20</v>
      </c>
      <c r="K53" t="s">
        <v>53</v>
      </c>
      <c r="L53" t="s">
        <v>31</v>
      </c>
      <c r="M53">
        <v>1</v>
      </c>
    </row>
    <row r="54" spans="1:13" x14ac:dyDescent="0.25">
      <c r="A54" s="2">
        <v>46288</v>
      </c>
      <c r="B54" s="1" t="str">
        <f ca="1">IF(Información1[[#This Row],[Fecha]]='Ajuste de fechas'!$A$2,"Día actual","Día anterior")</f>
        <v>Día actual</v>
      </c>
      <c r="C54" t="s">
        <v>51</v>
      </c>
      <c r="D54" t="s">
        <v>52</v>
      </c>
      <c r="E54" t="s">
        <v>156</v>
      </c>
      <c r="F54" t="s">
        <v>18</v>
      </c>
      <c r="G54" t="s">
        <v>157</v>
      </c>
      <c r="H54" t="s">
        <v>46</v>
      </c>
      <c r="I54" t="s">
        <v>7</v>
      </c>
      <c r="J54" t="s">
        <v>35</v>
      </c>
      <c r="K54" t="s">
        <v>53</v>
      </c>
      <c r="L54" t="s">
        <v>31</v>
      </c>
      <c r="M54">
        <v>1</v>
      </c>
    </row>
    <row r="55" spans="1:13" x14ac:dyDescent="0.25">
      <c r="A55" s="2">
        <v>46288</v>
      </c>
      <c r="B55" s="1" t="str">
        <f ca="1">IF(Información1[[#This Row],[Fecha]]='Ajuste de fechas'!$A$2,"Día actual","Día anterior")</f>
        <v>Día actual</v>
      </c>
      <c r="C55" t="s">
        <v>51</v>
      </c>
      <c r="D55" t="s">
        <v>52</v>
      </c>
      <c r="E55" t="s">
        <v>158</v>
      </c>
      <c r="F55" t="s">
        <v>13</v>
      </c>
      <c r="G55" t="s">
        <v>102</v>
      </c>
      <c r="H55" t="s">
        <v>46</v>
      </c>
      <c r="I55" t="s">
        <v>7</v>
      </c>
      <c r="J55" t="s">
        <v>30</v>
      </c>
      <c r="K55" t="s">
        <v>53</v>
      </c>
      <c r="L55" t="s">
        <v>31</v>
      </c>
      <c r="M55">
        <v>1</v>
      </c>
    </row>
    <row r="56" spans="1:13" x14ac:dyDescent="0.25">
      <c r="A56" s="2">
        <v>46288</v>
      </c>
      <c r="B56" s="1" t="str">
        <f ca="1">IF(Información1[[#This Row],[Fecha]]='Ajuste de fechas'!$A$2,"Día actual","Día anterior")</f>
        <v>Día actual</v>
      </c>
      <c r="C56" t="s">
        <v>51</v>
      </c>
      <c r="D56" t="s">
        <v>52</v>
      </c>
      <c r="E56" t="s">
        <v>159</v>
      </c>
      <c r="F56" t="s">
        <v>13</v>
      </c>
      <c r="G56" t="s">
        <v>160</v>
      </c>
      <c r="H56" t="s">
        <v>46</v>
      </c>
      <c r="I56" t="s">
        <v>7</v>
      </c>
      <c r="J56" t="s">
        <v>30</v>
      </c>
      <c r="K56" t="s">
        <v>53</v>
      </c>
      <c r="L56" t="s">
        <v>31</v>
      </c>
      <c r="M56">
        <v>1</v>
      </c>
    </row>
    <row r="57" spans="1:13" x14ac:dyDescent="0.25">
      <c r="A57" s="2">
        <v>46288</v>
      </c>
      <c r="B57" s="1" t="str">
        <f ca="1">IF(Información1[[#This Row],[Fecha]]='Ajuste de fechas'!$A$2,"Día actual","Día anterior")</f>
        <v>Día actual</v>
      </c>
      <c r="C57" t="s">
        <v>51</v>
      </c>
      <c r="D57" t="s">
        <v>52</v>
      </c>
      <c r="E57" t="s">
        <v>161</v>
      </c>
      <c r="F57" t="s">
        <v>15</v>
      </c>
      <c r="G57" t="s">
        <v>162</v>
      </c>
      <c r="H57" t="s">
        <v>46</v>
      </c>
      <c r="I57" t="s">
        <v>7</v>
      </c>
      <c r="J57" t="s">
        <v>34</v>
      </c>
      <c r="K57" t="s">
        <v>53</v>
      </c>
      <c r="L57" t="s">
        <v>31</v>
      </c>
      <c r="M57">
        <v>1</v>
      </c>
    </row>
    <row r="58" spans="1:13" x14ac:dyDescent="0.25">
      <c r="A58" s="2">
        <v>46288</v>
      </c>
      <c r="B58" s="1" t="str">
        <f ca="1">IF(Información1[[#This Row],[Fecha]]='Ajuste de fechas'!$A$2,"Día actual","Día anterior")</f>
        <v>Día actual</v>
      </c>
      <c r="C58" t="s">
        <v>51</v>
      </c>
      <c r="D58" t="s">
        <v>52</v>
      </c>
      <c r="E58" t="s">
        <v>163</v>
      </c>
      <c r="F58" t="s">
        <v>15</v>
      </c>
      <c r="G58" t="s">
        <v>164</v>
      </c>
      <c r="H58" t="s">
        <v>46</v>
      </c>
      <c r="I58" t="s">
        <v>7</v>
      </c>
      <c r="J58" t="s">
        <v>34</v>
      </c>
      <c r="K58" t="s">
        <v>53</v>
      </c>
      <c r="L58" t="s">
        <v>31</v>
      </c>
      <c r="M58">
        <v>1</v>
      </c>
    </row>
    <row r="59" spans="1:13" x14ac:dyDescent="0.25">
      <c r="A59" s="2">
        <v>46288</v>
      </c>
      <c r="B59" s="1" t="str">
        <f ca="1">IF(Información1[[#This Row],[Fecha]]='Ajuste de fechas'!$A$2,"Día actual","Día anterior")</f>
        <v>Día actual</v>
      </c>
      <c r="C59" t="s">
        <v>51</v>
      </c>
      <c r="D59" t="s">
        <v>52</v>
      </c>
      <c r="E59" t="s">
        <v>165</v>
      </c>
      <c r="F59" t="s">
        <v>17</v>
      </c>
      <c r="G59" t="s">
        <v>166</v>
      </c>
      <c r="H59" t="s">
        <v>46</v>
      </c>
      <c r="I59" t="s">
        <v>7</v>
      </c>
      <c r="J59" t="s">
        <v>30</v>
      </c>
      <c r="K59" t="s">
        <v>53</v>
      </c>
      <c r="L59" t="s">
        <v>31</v>
      </c>
      <c r="M59">
        <v>1</v>
      </c>
    </row>
    <row r="60" spans="1:13" x14ac:dyDescent="0.25">
      <c r="A60" s="2">
        <v>46288</v>
      </c>
      <c r="B60" s="1" t="str">
        <f ca="1">IF(Información1[[#This Row],[Fecha]]='Ajuste de fechas'!$A$2,"Día actual","Día anterior")</f>
        <v>Día actual</v>
      </c>
      <c r="C60" t="s">
        <v>51</v>
      </c>
      <c r="D60" t="s">
        <v>52</v>
      </c>
      <c r="E60" t="s">
        <v>167</v>
      </c>
      <c r="F60" t="s">
        <v>71</v>
      </c>
      <c r="G60" t="s">
        <v>168</v>
      </c>
      <c r="H60" t="s">
        <v>46</v>
      </c>
      <c r="I60" t="s">
        <v>21</v>
      </c>
      <c r="J60" t="s">
        <v>30</v>
      </c>
      <c r="K60" t="s">
        <v>53</v>
      </c>
      <c r="L60" t="s">
        <v>31</v>
      </c>
      <c r="M60">
        <v>1</v>
      </c>
    </row>
    <row r="61" spans="1:13" x14ac:dyDescent="0.25">
      <c r="A61" s="2">
        <v>46288</v>
      </c>
      <c r="B61" s="1" t="str">
        <f ca="1">IF(Información1[[#This Row],[Fecha]]='Ajuste de fechas'!$A$2,"Día actual","Día anterior")</f>
        <v>Día actual</v>
      </c>
      <c r="C61" t="s">
        <v>51</v>
      </c>
      <c r="D61" t="s">
        <v>52</v>
      </c>
      <c r="E61" t="s">
        <v>169</v>
      </c>
      <c r="F61" t="s">
        <v>17</v>
      </c>
      <c r="G61" t="s">
        <v>170</v>
      </c>
      <c r="H61" t="s">
        <v>46</v>
      </c>
      <c r="I61" t="s">
        <v>7</v>
      </c>
      <c r="J61" t="s">
        <v>30</v>
      </c>
      <c r="K61" t="s">
        <v>53</v>
      </c>
      <c r="L61" t="s">
        <v>31</v>
      </c>
      <c r="M61">
        <v>1</v>
      </c>
    </row>
    <row r="62" spans="1:13" x14ac:dyDescent="0.25">
      <c r="A62" s="2">
        <v>46288</v>
      </c>
      <c r="B62" s="1" t="str">
        <f ca="1">IF(Información1[[#This Row],[Fecha]]='Ajuste de fechas'!$A$2,"Día actual","Día anterior")</f>
        <v>Día actual</v>
      </c>
      <c r="C62" t="s">
        <v>51</v>
      </c>
      <c r="D62" t="s">
        <v>52</v>
      </c>
      <c r="E62" t="s">
        <v>171</v>
      </c>
      <c r="F62" t="s">
        <v>17</v>
      </c>
      <c r="G62" t="s">
        <v>172</v>
      </c>
      <c r="H62" t="s">
        <v>46</v>
      </c>
      <c r="I62" t="s">
        <v>7</v>
      </c>
      <c r="J62" t="s">
        <v>30</v>
      </c>
      <c r="K62" t="s">
        <v>53</v>
      </c>
      <c r="L62" t="s">
        <v>31</v>
      </c>
      <c r="M62">
        <v>1</v>
      </c>
    </row>
    <row r="63" spans="1:13" x14ac:dyDescent="0.25">
      <c r="A63" s="2">
        <v>46288</v>
      </c>
      <c r="B63" s="1" t="str">
        <f ca="1">IF(Información1[[#This Row],[Fecha]]='Ajuste de fechas'!$A$2,"Día actual","Día anterior")</f>
        <v>Día actual</v>
      </c>
      <c r="C63" t="s">
        <v>51</v>
      </c>
      <c r="D63" t="s">
        <v>52</v>
      </c>
      <c r="E63" t="s">
        <v>173</v>
      </c>
      <c r="F63" t="s">
        <v>45</v>
      </c>
      <c r="G63" t="s">
        <v>172</v>
      </c>
      <c r="H63" t="s">
        <v>46</v>
      </c>
      <c r="I63" t="s">
        <v>7</v>
      </c>
      <c r="J63" t="s">
        <v>30</v>
      </c>
      <c r="K63" t="s">
        <v>53</v>
      </c>
      <c r="L63" t="s">
        <v>31</v>
      </c>
      <c r="M63">
        <v>1</v>
      </c>
    </row>
    <row r="64" spans="1:13" x14ac:dyDescent="0.25">
      <c r="A64" s="2">
        <v>46288</v>
      </c>
      <c r="B64" s="1" t="str">
        <f ca="1">IF(Información1[[#This Row],[Fecha]]='Ajuste de fechas'!$A$2,"Día actual","Día anterior")</f>
        <v>Día actual</v>
      </c>
      <c r="C64" t="s">
        <v>51</v>
      </c>
      <c r="D64" t="s">
        <v>52</v>
      </c>
      <c r="E64" t="s">
        <v>174</v>
      </c>
      <c r="F64" t="s">
        <v>18</v>
      </c>
      <c r="G64" t="s">
        <v>175</v>
      </c>
      <c r="H64" t="s">
        <v>46</v>
      </c>
      <c r="I64" t="s">
        <v>7</v>
      </c>
      <c r="J64" t="s">
        <v>35</v>
      </c>
      <c r="K64" t="s">
        <v>53</v>
      </c>
      <c r="L64" t="s">
        <v>31</v>
      </c>
      <c r="M64">
        <v>1</v>
      </c>
    </row>
    <row r="65" spans="1:13" x14ac:dyDescent="0.25">
      <c r="A65" s="2">
        <v>46288</v>
      </c>
      <c r="B65" s="1" t="str">
        <f ca="1">IF(Información1[[#This Row],[Fecha]]='Ajuste de fechas'!$A$2,"Día actual","Día anterior")</f>
        <v>Día actual</v>
      </c>
      <c r="C65" t="s">
        <v>51</v>
      </c>
      <c r="D65" t="s">
        <v>52</v>
      </c>
      <c r="E65" t="s">
        <v>176</v>
      </c>
      <c r="F65" t="s">
        <v>22</v>
      </c>
      <c r="G65" t="s">
        <v>66</v>
      </c>
      <c r="H65" t="s">
        <v>46</v>
      </c>
      <c r="I65" t="s">
        <v>7</v>
      </c>
      <c r="J65" t="s">
        <v>30</v>
      </c>
      <c r="K65" t="s">
        <v>53</v>
      </c>
      <c r="L65" t="s">
        <v>31</v>
      </c>
      <c r="M65">
        <v>1</v>
      </c>
    </row>
    <row r="66" spans="1:13" x14ac:dyDescent="0.25">
      <c r="A66" s="2">
        <v>46288</v>
      </c>
      <c r="B66" s="1" t="str">
        <f ca="1">IF(Información1[[#This Row],[Fecha]]='Ajuste de fechas'!$A$2,"Día actual","Día anterior")</f>
        <v>Día actual</v>
      </c>
      <c r="C66" t="s">
        <v>51</v>
      </c>
      <c r="D66" t="s">
        <v>52</v>
      </c>
      <c r="E66" t="s">
        <v>177</v>
      </c>
      <c r="F66" t="s">
        <v>22</v>
      </c>
      <c r="G66" t="s">
        <v>134</v>
      </c>
      <c r="H66" t="s">
        <v>46</v>
      </c>
      <c r="I66" t="s">
        <v>7</v>
      </c>
      <c r="J66" t="s">
        <v>30</v>
      </c>
      <c r="K66" t="s">
        <v>53</v>
      </c>
      <c r="L66" t="s">
        <v>31</v>
      </c>
      <c r="M66">
        <v>1</v>
      </c>
    </row>
    <row r="67" spans="1:13" x14ac:dyDescent="0.25">
      <c r="A67" s="2">
        <v>46288</v>
      </c>
      <c r="B67" s="1" t="str">
        <f ca="1">IF(Información1[[#This Row],[Fecha]]='Ajuste de fechas'!$A$2,"Día actual","Día anterior")</f>
        <v>Día actual</v>
      </c>
      <c r="C67" t="s">
        <v>51</v>
      </c>
      <c r="D67" t="s">
        <v>52</v>
      </c>
      <c r="E67" t="s">
        <v>178</v>
      </c>
      <c r="F67" t="s">
        <v>22</v>
      </c>
      <c r="G67" t="s">
        <v>78</v>
      </c>
      <c r="H67" t="s">
        <v>46</v>
      </c>
      <c r="I67" t="s">
        <v>7</v>
      </c>
      <c r="J67" t="s">
        <v>30</v>
      </c>
      <c r="K67" t="s">
        <v>53</v>
      </c>
      <c r="L67" t="s">
        <v>31</v>
      </c>
      <c r="M67">
        <v>1</v>
      </c>
    </row>
    <row r="68" spans="1:13" x14ac:dyDescent="0.25">
      <c r="A68" s="2">
        <v>46288</v>
      </c>
      <c r="B68" s="1" t="str">
        <f ca="1">IF(Información1[[#This Row],[Fecha]]='Ajuste de fechas'!$A$2,"Día actual","Día anterior")</f>
        <v>Día actual</v>
      </c>
      <c r="C68" t="s">
        <v>51</v>
      </c>
      <c r="D68" t="s">
        <v>52</v>
      </c>
      <c r="E68" t="s">
        <v>179</v>
      </c>
      <c r="F68" t="s">
        <v>22</v>
      </c>
      <c r="G68" t="s">
        <v>180</v>
      </c>
      <c r="H68" t="s">
        <v>46</v>
      </c>
      <c r="I68" t="s">
        <v>7</v>
      </c>
      <c r="J68" t="s">
        <v>30</v>
      </c>
      <c r="K68" t="s">
        <v>53</v>
      </c>
      <c r="L68" t="s">
        <v>31</v>
      </c>
      <c r="M68">
        <v>1</v>
      </c>
    </row>
    <row r="69" spans="1:13" x14ac:dyDescent="0.25">
      <c r="A69" s="2">
        <v>46288</v>
      </c>
      <c r="B69" s="1" t="str">
        <f ca="1">IF(Información1[[#This Row],[Fecha]]='Ajuste de fechas'!$A$2,"Día actual","Día anterior")</f>
        <v>Día actual</v>
      </c>
      <c r="C69" t="s">
        <v>51</v>
      </c>
      <c r="D69" t="s">
        <v>52</v>
      </c>
      <c r="E69" t="s">
        <v>181</v>
      </c>
      <c r="F69" t="s">
        <v>22</v>
      </c>
      <c r="G69" t="s">
        <v>80</v>
      </c>
      <c r="H69" t="s">
        <v>46</v>
      </c>
      <c r="I69" t="s">
        <v>7</v>
      </c>
      <c r="J69" t="s">
        <v>30</v>
      </c>
      <c r="K69" t="s">
        <v>53</v>
      </c>
      <c r="L69" t="s">
        <v>31</v>
      </c>
      <c r="M69">
        <v>1</v>
      </c>
    </row>
    <row r="70" spans="1:13" x14ac:dyDescent="0.25">
      <c r="A70" s="2">
        <v>46288</v>
      </c>
      <c r="B70" s="1" t="str">
        <f ca="1">IF(Información1[[#This Row],[Fecha]]='Ajuste de fechas'!$A$2,"Día actual","Día anterior")</f>
        <v>Día actual</v>
      </c>
      <c r="C70" t="s">
        <v>8</v>
      </c>
      <c r="D70" t="s">
        <v>9</v>
      </c>
      <c r="E70" t="s">
        <v>182</v>
      </c>
      <c r="F70" t="s">
        <v>15</v>
      </c>
      <c r="G70" t="s">
        <v>183</v>
      </c>
      <c r="H70" t="s">
        <v>46</v>
      </c>
      <c r="I70" t="s">
        <v>21</v>
      </c>
      <c r="J70" t="s">
        <v>34</v>
      </c>
      <c r="K70" t="s">
        <v>67</v>
      </c>
      <c r="L70" t="s">
        <v>31</v>
      </c>
      <c r="M70">
        <v>1</v>
      </c>
    </row>
    <row r="71" spans="1:13" x14ac:dyDescent="0.25">
      <c r="A71" s="2">
        <v>46288</v>
      </c>
      <c r="B71" s="1" t="str">
        <f ca="1">IF(Información1[[#This Row],[Fecha]]='Ajuste de fechas'!$A$2,"Día actual","Día anterior")</f>
        <v>Día actual</v>
      </c>
      <c r="C71" t="s">
        <v>8</v>
      </c>
      <c r="D71" t="s">
        <v>9</v>
      </c>
      <c r="E71" t="s">
        <v>184</v>
      </c>
      <c r="F71" t="s">
        <v>15</v>
      </c>
      <c r="G71" t="s">
        <v>183</v>
      </c>
      <c r="H71" t="s">
        <v>46</v>
      </c>
      <c r="I71" t="s">
        <v>21</v>
      </c>
      <c r="J71" t="s">
        <v>34</v>
      </c>
      <c r="K71" t="s">
        <v>67</v>
      </c>
      <c r="L71" t="s">
        <v>31</v>
      </c>
      <c r="M71">
        <v>1</v>
      </c>
    </row>
    <row r="72" spans="1:13" x14ac:dyDescent="0.25">
      <c r="A72" s="2">
        <v>46288</v>
      </c>
      <c r="B72" s="1" t="str">
        <f ca="1">IF(Información1[[#This Row],[Fecha]]='Ajuste de fechas'!$A$2,"Día actual","Día anterior")</f>
        <v>Día actual</v>
      </c>
      <c r="C72" t="s">
        <v>8</v>
      </c>
      <c r="D72" t="s">
        <v>9</v>
      </c>
      <c r="E72" t="s">
        <v>185</v>
      </c>
      <c r="F72" t="s">
        <v>15</v>
      </c>
      <c r="G72" t="s">
        <v>110</v>
      </c>
      <c r="H72" t="s">
        <v>46</v>
      </c>
      <c r="I72" t="s">
        <v>21</v>
      </c>
      <c r="J72" t="s">
        <v>34</v>
      </c>
      <c r="K72" t="s">
        <v>67</v>
      </c>
      <c r="L72" t="s">
        <v>31</v>
      </c>
      <c r="M72">
        <v>1</v>
      </c>
    </row>
    <row r="73" spans="1:13" x14ac:dyDescent="0.25">
      <c r="A73" s="2">
        <v>46288</v>
      </c>
      <c r="B73" s="1" t="str">
        <f ca="1">IF(Información1[[#This Row],[Fecha]]='Ajuste de fechas'!$A$2,"Día actual","Día anterior")</f>
        <v>Día actual</v>
      </c>
      <c r="C73" t="s">
        <v>8</v>
      </c>
      <c r="D73" t="s">
        <v>9</v>
      </c>
      <c r="E73" t="s">
        <v>186</v>
      </c>
      <c r="F73" t="s">
        <v>15</v>
      </c>
      <c r="G73" t="s">
        <v>110</v>
      </c>
      <c r="H73" t="s">
        <v>46</v>
      </c>
      <c r="I73" t="s">
        <v>21</v>
      </c>
      <c r="J73" t="s">
        <v>34</v>
      </c>
      <c r="K73" t="s">
        <v>67</v>
      </c>
      <c r="L73" t="s">
        <v>31</v>
      </c>
      <c r="M73">
        <v>1</v>
      </c>
    </row>
    <row r="74" spans="1:13" x14ac:dyDescent="0.25">
      <c r="A74" s="2">
        <v>46288</v>
      </c>
      <c r="B74" s="1" t="str">
        <f ca="1">IF(Información1[[#This Row],[Fecha]]='Ajuste de fechas'!$A$2,"Día actual","Día anterior")</f>
        <v>Día actual</v>
      </c>
      <c r="C74" t="s">
        <v>8</v>
      </c>
      <c r="D74" t="s">
        <v>9</v>
      </c>
      <c r="E74" t="s">
        <v>187</v>
      </c>
      <c r="F74" t="s">
        <v>6</v>
      </c>
      <c r="G74" t="s">
        <v>44</v>
      </c>
      <c r="H74" t="s">
        <v>46</v>
      </c>
      <c r="I74" t="s">
        <v>21</v>
      </c>
      <c r="J74" t="s">
        <v>30</v>
      </c>
      <c r="K74" t="s">
        <v>67</v>
      </c>
      <c r="L74" t="s">
        <v>31</v>
      </c>
      <c r="M74">
        <v>1</v>
      </c>
    </row>
    <row r="75" spans="1:13" x14ac:dyDescent="0.25">
      <c r="A75" s="2">
        <v>46288</v>
      </c>
      <c r="B75" s="1" t="str">
        <f ca="1">IF(Información1[[#This Row],[Fecha]]='Ajuste de fechas'!$A$2,"Día actual","Día anterior")</f>
        <v>Día actual</v>
      </c>
      <c r="C75" t="s">
        <v>8</v>
      </c>
      <c r="D75" t="s">
        <v>9</v>
      </c>
      <c r="E75" t="s">
        <v>188</v>
      </c>
      <c r="F75" t="s">
        <v>6</v>
      </c>
      <c r="G75" t="s">
        <v>189</v>
      </c>
      <c r="H75" t="s">
        <v>46</v>
      </c>
      <c r="I75" t="s">
        <v>21</v>
      </c>
      <c r="J75" t="s">
        <v>30</v>
      </c>
      <c r="K75" t="s">
        <v>67</v>
      </c>
      <c r="L75" t="s">
        <v>31</v>
      </c>
      <c r="M75">
        <v>1</v>
      </c>
    </row>
    <row r="76" spans="1:13" x14ac:dyDescent="0.25">
      <c r="A76" s="2">
        <v>46288</v>
      </c>
      <c r="B76" s="1" t="str">
        <f ca="1">IF(Información1[[#This Row],[Fecha]]='Ajuste de fechas'!$A$2,"Día actual","Día anterior")</f>
        <v>Día actual</v>
      </c>
      <c r="C76" t="s">
        <v>8</v>
      </c>
      <c r="D76" t="s">
        <v>9</v>
      </c>
      <c r="E76" t="s">
        <v>190</v>
      </c>
      <c r="F76" t="s">
        <v>6</v>
      </c>
      <c r="G76" t="s">
        <v>57</v>
      </c>
      <c r="H76" t="s">
        <v>46</v>
      </c>
      <c r="I76" t="s">
        <v>21</v>
      </c>
      <c r="J76" t="s">
        <v>30</v>
      </c>
      <c r="K76" t="s">
        <v>67</v>
      </c>
      <c r="L76" t="s">
        <v>31</v>
      </c>
      <c r="M76">
        <v>1</v>
      </c>
    </row>
    <row r="77" spans="1:13" x14ac:dyDescent="0.25">
      <c r="A77" s="2">
        <v>46288</v>
      </c>
      <c r="B77" s="1" t="str">
        <f ca="1">IF(Información1[[#This Row],[Fecha]]='Ajuste de fechas'!$A$2,"Día actual","Día anterior")</f>
        <v>Día actual</v>
      </c>
      <c r="C77" t="s">
        <v>8</v>
      </c>
      <c r="D77" t="s">
        <v>9</v>
      </c>
      <c r="E77" t="s">
        <v>191</v>
      </c>
      <c r="F77" t="s">
        <v>6</v>
      </c>
      <c r="G77" t="s">
        <v>44</v>
      </c>
      <c r="H77" t="s">
        <v>46</v>
      </c>
      <c r="I77" t="s">
        <v>7</v>
      </c>
      <c r="J77" t="s">
        <v>30</v>
      </c>
      <c r="K77" t="s">
        <v>67</v>
      </c>
      <c r="L77" t="s">
        <v>31</v>
      </c>
      <c r="M77">
        <v>1</v>
      </c>
    </row>
    <row r="78" spans="1:13" x14ac:dyDescent="0.25">
      <c r="A78" s="2">
        <v>46288</v>
      </c>
      <c r="B78" s="1" t="str">
        <f ca="1">IF(Información1[[#This Row],[Fecha]]='Ajuste de fechas'!$A$2,"Día actual","Día anterior")</f>
        <v>Día actual</v>
      </c>
      <c r="C78" t="s">
        <v>8</v>
      </c>
      <c r="D78" t="s">
        <v>9</v>
      </c>
      <c r="E78" t="s">
        <v>192</v>
      </c>
      <c r="F78" t="s">
        <v>18</v>
      </c>
      <c r="G78" t="s">
        <v>193</v>
      </c>
      <c r="H78" t="s">
        <v>46</v>
      </c>
      <c r="I78" t="s">
        <v>7</v>
      </c>
      <c r="J78" t="s">
        <v>35</v>
      </c>
      <c r="K78" t="s">
        <v>11</v>
      </c>
      <c r="L78" t="s">
        <v>31</v>
      </c>
      <c r="M78">
        <v>1</v>
      </c>
    </row>
    <row r="79" spans="1:13" x14ac:dyDescent="0.25">
      <c r="A79" s="2">
        <v>46288</v>
      </c>
      <c r="B79" s="1" t="str">
        <f ca="1">IF(Información1[[#This Row],[Fecha]]='Ajuste de fechas'!$A$2,"Día actual","Día anterior")</f>
        <v>Día actual</v>
      </c>
      <c r="C79" t="s">
        <v>8</v>
      </c>
      <c r="D79" t="s">
        <v>9</v>
      </c>
      <c r="E79" t="s">
        <v>194</v>
      </c>
      <c r="F79" t="s">
        <v>39</v>
      </c>
      <c r="G79" t="s">
        <v>195</v>
      </c>
      <c r="H79" t="s">
        <v>46</v>
      </c>
      <c r="I79" t="s">
        <v>7</v>
      </c>
      <c r="J79" t="s">
        <v>20</v>
      </c>
      <c r="K79" t="s">
        <v>11</v>
      </c>
      <c r="L79" t="s">
        <v>31</v>
      </c>
      <c r="M79">
        <v>1</v>
      </c>
    </row>
    <row r="80" spans="1:13" x14ac:dyDescent="0.25">
      <c r="A80" s="2">
        <v>46288</v>
      </c>
      <c r="B80" s="1" t="str">
        <f ca="1">IF(Información1[[#This Row],[Fecha]]='Ajuste de fechas'!$A$2,"Día actual","Día anterior")</f>
        <v>Día actual</v>
      </c>
      <c r="C80" t="s">
        <v>8</v>
      </c>
      <c r="D80" t="s">
        <v>9</v>
      </c>
      <c r="E80" t="s">
        <v>196</v>
      </c>
      <c r="F80" t="s">
        <v>13</v>
      </c>
      <c r="G80" t="s">
        <v>160</v>
      </c>
      <c r="H80" t="s">
        <v>46</v>
      </c>
      <c r="I80" t="s">
        <v>7</v>
      </c>
      <c r="J80" t="s">
        <v>30</v>
      </c>
      <c r="K80" t="s">
        <v>11</v>
      </c>
      <c r="L80" t="s">
        <v>31</v>
      </c>
      <c r="M80">
        <v>1</v>
      </c>
    </row>
    <row r="81" spans="1:13" x14ac:dyDescent="0.25">
      <c r="A81" s="2">
        <v>46288</v>
      </c>
      <c r="B81" s="1" t="str">
        <f ca="1">IF(Información1[[#This Row],[Fecha]]='Ajuste de fechas'!$A$2,"Día actual","Día anterior")</f>
        <v>Día actual</v>
      </c>
      <c r="C81" t="s">
        <v>8</v>
      </c>
      <c r="D81" t="s">
        <v>9</v>
      </c>
      <c r="E81" t="s">
        <v>197</v>
      </c>
      <c r="F81" t="s">
        <v>17</v>
      </c>
      <c r="G81" t="s">
        <v>166</v>
      </c>
      <c r="H81" t="s">
        <v>46</v>
      </c>
      <c r="I81" t="s">
        <v>7</v>
      </c>
      <c r="J81" t="s">
        <v>30</v>
      </c>
      <c r="K81" t="s">
        <v>11</v>
      </c>
      <c r="L81" t="s">
        <v>31</v>
      </c>
      <c r="M81">
        <v>1</v>
      </c>
    </row>
    <row r="82" spans="1:13" x14ac:dyDescent="0.25">
      <c r="A82" s="2">
        <v>46288</v>
      </c>
      <c r="B82" s="1" t="str">
        <f ca="1">IF(Información1[[#This Row],[Fecha]]='Ajuste de fechas'!$A$2,"Día actual","Día anterior")</f>
        <v>Día actual</v>
      </c>
      <c r="C82" t="s">
        <v>8</v>
      </c>
      <c r="D82" t="s">
        <v>9</v>
      </c>
      <c r="E82" t="s">
        <v>198</v>
      </c>
      <c r="F82" t="s">
        <v>142</v>
      </c>
      <c r="G82" t="s">
        <v>145</v>
      </c>
      <c r="H82" t="s">
        <v>46</v>
      </c>
      <c r="I82" t="s">
        <v>7</v>
      </c>
      <c r="J82" t="s">
        <v>30</v>
      </c>
      <c r="K82" t="s">
        <v>11</v>
      </c>
      <c r="L82" t="s">
        <v>31</v>
      </c>
      <c r="M82">
        <v>1</v>
      </c>
    </row>
    <row r="83" spans="1:13" x14ac:dyDescent="0.25">
      <c r="A83" s="2">
        <v>46288</v>
      </c>
      <c r="B83" s="1" t="str">
        <f ca="1">IF(Información1[[#This Row],[Fecha]]='Ajuste de fechas'!$A$2,"Día actual","Día anterior")</f>
        <v>Día actual</v>
      </c>
      <c r="C83" t="s">
        <v>8</v>
      </c>
      <c r="D83" t="s">
        <v>9</v>
      </c>
      <c r="E83" t="s">
        <v>199</v>
      </c>
      <c r="F83" t="s">
        <v>19</v>
      </c>
      <c r="G83" t="s">
        <v>200</v>
      </c>
      <c r="H83" t="s">
        <v>46</v>
      </c>
      <c r="I83" t="s">
        <v>7</v>
      </c>
      <c r="J83" t="s">
        <v>30</v>
      </c>
      <c r="K83" t="s">
        <v>11</v>
      </c>
      <c r="L83" t="s">
        <v>33</v>
      </c>
      <c r="M83">
        <v>1</v>
      </c>
    </row>
    <row r="84" spans="1:13" x14ac:dyDescent="0.25">
      <c r="A84" s="2">
        <v>46288</v>
      </c>
      <c r="B84" s="1" t="str">
        <f ca="1">IF(Información1[[#This Row],[Fecha]]='Ajuste de fechas'!$A$2,"Día actual","Día anterior")</f>
        <v>Día actual</v>
      </c>
      <c r="C84" t="s">
        <v>8</v>
      </c>
      <c r="D84" t="s">
        <v>9</v>
      </c>
      <c r="E84" t="s">
        <v>16</v>
      </c>
      <c r="F84" t="s">
        <v>15</v>
      </c>
      <c r="G84" t="s">
        <v>23</v>
      </c>
      <c r="H84" t="s">
        <v>46</v>
      </c>
      <c r="I84" t="s">
        <v>10</v>
      </c>
      <c r="J84" t="s">
        <v>34</v>
      </c>
      <c r="K84" t="s">
        <v>11</v>
      </c>
      <c r="L84" t="s">
        <v>32</v>
      </c>
      <c r="M84">
        <v>1</v>
      </c>
    </row>
    <row r="85" spans="1:13" x14ac:dyDescent="0.25">
      <c r="A85" s="2">
        <v>46288</v>
      </c>
      <c r="B85" s="1" t="str">
        <f ca="1">IF(Información1[[#This Row],[Fecha]]='Ajuste de fechas'!$A$2,"Día actual","Día anterior")</f>
        <v>Día actual</v>
      </c>
      <c r="C85" t="s">
        <v>8</v>
      </c>
      <c r="D85" t="s">
        <v>9</v>
      </c>
      <c r="E85" t="s">
        <v>14</v>
      </c>
      <c r="F85" t="s">
        <v>15</v>
      </c>
      <c r="G85" t="s">
        <v>23</v>
      </c>
      <c r="H85" t="s">
        <v>46</v>
      </c>
      <c r="I85" t="s">
        <v>10</v>
      </c>
      <c r="J85" t="s">
        <v>34</v>
      </c>
      <c r="K85" t="s">
        <v>11</v>
      </c>
      <c r="L85" t="s">
        <v>32</v>
      </c>
      <c r="M85">
        <v>1</v>
      </c>
    </row>
    <row r="86" spans="1:13" x14ac:dyDescent="0.25">
      <c r="A86" s="2">
        <v>46288</v>
      </c>
      <c r="B86" s="1" t="str">
        <f ca="1">IF(Información1[[#This Row],[Fecha]]='Ajuste de fechas'!$A$2,"Día actual","Día anterior")</f>
        <v>Día actual</v>
      </c>
      <c r="C86" t="s">
        <v>8</v>
      </c>
      <c r="D86" t="s">
        <v>9</v>
      </c>
      <c r="E86" t="s">
        <v>41</v>
      </c>
      <c r="F86" t="s">
        <v>39</v>
      </c>
      <c r="G86" t="s">
        <v>23</v>
      </c>
      <c r="H86" t="s">
        <v>46</v>
      </c>
      <c r="I86" t="s">
        <v>10</v>
      </c>
      <c r="J86" t="s">
        <v>20</v>
      </c>
      <c r="K86" t="s">
        <v>11</v>
      </c>
      <c r="L86" t="s">
        <v>32</v>
      </c>
      <c r="M86">
        <v>1</v>
      </c>
    </row>
    <row r="87" spans="1:13" x14ac:dyDescent="0.25">
      <c r="A87" s="2">
        <v>46288</v>
      </c>
      <c r="B87" s="1" t="str">
        <f ca="1">IF(Información1[[#This Row],[Fecha]]='Ajuste de fechas'!$A$2,"Día actual","Día anterior")</f>
        <v>Día actual</v>
      </c>
      <c r="C87" t="s">
        <v>8</v>
      </c>
      <c r="D87" t="s">
        <v>9</v>
      </c>
      <c r="E87" t="s">
        <v>43</v>
      </c>
      <c r="F87" t="s">
        <v>42</v>
      </c>
      <c r="G87" t="s">
        <v>23</v>
      </c>
      <c r="H87" t="s">
        <v>46</v>
      </c>
      <c r="I87" t="s">
        <v>10</v>
      </c>
      <c r="J87" t="s">
        <v>30</v>
      </c>
      <c r="K87" t="s">
        <v>11</v>
      </c>
      <c r="L87" t="s">
        <v>32</v>
      </c>
      <c r="M87">
        <v>1</v>
      </c>
    </row>
    <row r="88" spans="1:13" x14ac:dyDescent="0.25">
      <c r="A88" s="2">
        <v>46288</v>
      </c>
      <c r="B88" s="1" t="str">
        <f ca="1">IF(Información1[[#This Row],[Fecha]]='Ajuste de fechas'!$A$2,"Día actual","Día anterior")</f>
        <v>Día actual</v>
      </c>
      <c r="C88" t="s">
        <v>8</v>
      </c>
      <c r="D88" t="s">
        <v>9</v>
      </c>
      <c r="E88" t="s">
        <v>12</v>
      </c>
      <c r="F88" t="s">
        <v>13</v>
      </c>
      <c r="G88" t="s">
        <v>23</v>
      </c>
      <c r="H88" t="s">
        <v>46</v>
      </c>
      <c r="I88" t="s">
        <v>10</v>
      </c>
      <c r="J88" t="s">
        <v>30</v>
      </c>
      <c r="K88" t="s">
        <v>11</v>
      </c>
      <c r="L88" t="s">
        <v>32</v>
      </c>
      <c r="M88">
        <v>1</v>
      </c>
    </row>
    <row r="89" spans="1:13" x14ac:dyDescent="0.25">
      <c r="A89" s="2">
        <v>46288</v>
      </c>
      <c r="B89" s="1" t="str">
        <f ca="1">IF(Información1[[#This Row],[Fecha]]='Ajuste de fechas'!$A$2,"Día actual","Día anterior")</f>
        <v>Día actual</v>
      </c>
      <c r="C89" t="s">
        <v>8</v>
      </c>
      <c r="D89" t="s">
        <v>9</v>
      </c>
      <c r="E89" t="s">
        <v>61</v>
      </c>
      <c r="F89" t="s">
        <v>6</v>
      </c>
      <c r="G89" t="s">
        <v>23</v>
      </c>
      <c r="H89" t="s">
        <v>46</v>
      </c>
      <c r="I89" t="s">
        <v>10</v>
      </c>
      <c r="J89" t="s">
        <v>30</v>
      </c>
      <c r="K89" t="s">
        <v>11</v>
      </c>
      <c r="L89" t="s">
        <v>32</v>
      </c>
      <c r="M89">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37</v>
      </c>
      <c r="B1" t="s">
        <v>38</v>
      </c>
    </row>
    <row r="2" spans="1:2" x14ac:dyDescent="0.25">
      <c r="A2" s="2">
        <f ca="1">TODAY()</f>
        <v>46288</v>
      </c>
      <c r="B2" s="2">
        <f ca="1">A2-1</f>
        <v>46287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2026-09-23T23:32:47Z</dcterms:modified>
</cp:coreProperties>
</file>