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6251938F-16F7-47ED-A55D-F22EB523BC4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58" i="2" l="1"/>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7" i="2"/>
  <c r="B118" i="2"/>
  <c r="B119" i="2"/>
  <c r="B120" i="2"/>
  <c r="B121" i="2"/>
  <c r="B122" i="2"/>
  <c r="B123" i="2"/>
  <c r="B124" i="2"/>
  <c r="B125" i="2"/>
  <c r="B126" i="2"/>
  <c r="B127" i="2"/>
  <c r="B128" i="2"/>
  <c r="B129" i="2"/>
  <c r="B130" i="2"/>
  <c r="B131" i="2"/>
  <c r="B132" i="2"/>
  <c r="B133" i="2"/>
  <c r="B134" i="2"/>
  <c r="B135" i="2"/>
  <c r="B116"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<sst xmlns="http://schemas.openxmlformats.org/spreadsheetml/2006/main" count="2279" uniqueCount="355">
  <si>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</si>
  <si>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</si>
  <si>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</si>
  <si>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</si>
  <si>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</si>
  <si>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</si>
  <si>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</si>
  <si>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</si>
  <si>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</si>
  <si>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</si>
  <si>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</si>
  <si>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</si>
  <si>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</si>
  <si>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</si>
  <si>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</si>
  <si>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</si>
  <si>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</si>
  <si>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</si>
  <si>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</si>
  <si>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</si>
  <si>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</si>
  <si>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</si>
  <si>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</si>
  <si>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</si>
  <si>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</si>
  <si>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</si>
  <si>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</si>
  <si>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</si>
  <si>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</si>
  <si>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</si>
  <si>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</si>
  <si>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</si>
  <si>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Canal del Pueblo</t>
  </si>
  <si>
    <t>Vocales Radio</t>
  </si>
  <si>
    <t>Planeación</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</si>
  <si>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</si>
  <si>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</si>
  <si>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</si>
  <si>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</si>
  <si>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</si>
  <si>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</si>
  <si>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</si>
  <si>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</si>
  <si>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</si>
  <si>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</si>
  <si>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</si>
  <si>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</si>
  <si>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</si>
  <si>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</si>
  <si>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</si>
  <si>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</si>
  <si>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</si>
  <si>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</si>
  <si>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</si>
  <si>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</si>
  <si>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</si>
  <si>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</si>
  <si>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Ke Buena 106.7 FM</t>
  </si>
  <si>
    <t>Noticias 106.7</t>
  </si>
  <si>
    <t>David Cárdenas</t>
  </si>
  <si>
    <t>Enlace Hidalgo1</t>
  </si>
  <si>
    <t>Mundial De Futbol</t>
  </si>
  <si>
    <t>Ruta de la Transformación</t>
  </si>
  <si>
    <t>Queja transporte público</t>
  </si>
  <si>
    <t>Eulalio Larrieta agradece a Edith Balderas de la Secretaria de Educación Pública.</t>
  </si>
  <si>
    <t>Eulalio Larrieta agradece Paola García y Lic. Sarahi Pineda, por estar atentas a los mensajes de la ciudadanía y por atenderlos.</t>
  </si>
  <si>
    <t>Turismo</t>
  </si>
  <si>
    <t>Congreso</t>
  </si>
  <si>
    <t>Tauromaquia</t>
  </si>
  <si>
    <t>Luminarias</t>
  </si>
  <si>
    <t>Relleno Sanitario</t>
  </si>
  <si>
    <t>Accidente transporte público</t>
  </si>
  <si>
    <t>Cultura</t>
  </si>
  <si>
    <t>Contraloría</t>
  </si>
  <si>
    <t>Semarnath</t>
  </si>
  <si>
    <t>Combate Al Narcomenudeo</t>
  </si>
  <si>
    <t>SSH</t>
  </si>
  <si>
    <t>Control lirio acuático</t>
  </si>
  <si>
    <t>Radio Lobo 96.7 FM</t>
  </si>
  <si>
    <t>Enlace Noticias</t>
  </si>
  <si>
    <t>Gina Lorenzo</t>
  </si>
  <si>
    <t>Fuga De Agua</t>
  </si>
  <si>
    <t>Prevención De Riesgos</t>
  </si>
  <si>
    <t>Sentencia</t>
  </si>
  <si>
    <t>Vigilancia Epidemiológica</t>
  </si>
  <si>
    <t>Hacienda</t>
  </si>
  <si>
    <t>Calificación crediticia</t>
  </si>
  <si>
    <t>Vialidad En Mal Estado</t>
  </si>
  <si>
    <t>Firma De Convenio</t>
  </si>
  <si>
    <t>Entrevista</t>
  </si>
  <si>
    <t>Ataque Armado</t>
  </si>
  <si>
    <t>Recolección De Basura</t>
  </si>
  <si>
    <t>Suministro eléctrico</t>
  </si>
  <si>
    <t>Enlace Hidalgo2</t>
  </si>
  <si>
    <t>Saderh</t>
  </si>
  <si>
    <t>Combate Al Huachicol</t>
  </si>
  <si>
    <t>Día del maestro</t>
  </si>
  <si>
    <t>Afectaciones Por Lluvias</t>
  </si>
  <si>
    <t>STPSH</t>
  </si>
  <si>
    <t>Eulalio Larrieta agradece a Carlos Gamiño por estar al pendiente de temas</t>
  </si>
  <si>
    <t>Vamos a otros datos: crece el emprendimiento ante la falta de un empleo formal, la información con Claudia Alcántara.La falta de oportunidades laborales y la necesidad de generar ingresos hace que cada vez más personas opten por iniciar pequeños negocios y emprender por cuenta propia en distintas regiones de Hidalgo. De acuerdo con comerciantes y emprendedores locales, actividades como la venta de alimentos, ropa, productos por catálogo y servicios digitales han registrado un incremento en los últimos meses, principalmente entre jóvenes y jefas de familia. "Es muy buena, a veces nos va bien, es como todo: a veces ganamos bien, a veces sacamos lo de una semana y tardamos para volver, ganamos una semana así". Especialistas señalan que la informalidad y el autoempleo se han convertido en una alternativa para enfrentar la situación económica, aunque también advierten sobre los retos que implican en la capacitación. "Y vamos poco a poco, no estamos al 100 pero íbamos poquito a poquito, todos tenemos necesidades y de uno o de otro tenemos que ganarnos un peso para llevar a la casa. Algunos lo ven mal, algunos no lo ven de buena manera, pero si no hay trabajo entonces la gente tiene que buscar el pan de cada día, a como dé lugar, mientras tanto hay que trabajar para fortalecer los proyectos productivos y fomentar la formalización de negocios en la entidad". Para Enfoque Regional, informó Claudia Alcántara. AUDIOS DE APOYO</t>
  </si>
  <si>
    <t>Empleo informal</t>
  </si>
  <si>
    <t>Radioescucha reportó por vía WhatsApp haber sido víctima de un presunto intento de extorsión, por la modalidad de “montachoques” sobre la carretera Tula – Jorobas. La familia relató que solicitó apoyo al número de emergencia 911 y nunca llegó el apoyo. Ante la situación, lograron alejarse de los vehículos involucrados y comentaron que los autos portaban rotulación de taxi de Atotonilco de Tula. Hacen invitación a las autoridades para que tomen cartas en el asunto y frenen esta modalidad de extorsión.</t>
  </si>
  <si>
    <t>Inatención</t>
  </si>
  <si>
    <t>adioescucha falta de agua en Zona Plateada</t>
  </si>
  <si>
    <t>Radioescucha reporta que bombean poca presión de agua en Valle del Palmar; ojalá que nos hagan descuento en el recibo.</t>
  </si>
  <si>
    <t>Radioescucha reporta falta de agua en San Pedro Nopancalco y solo cae un chorrito</t>
  </si>
  <si>
    <t>Radioescucha reporta falta de agua en la calle de Arizpe</t>
  </si>
  <si>
    <t>Radioescucha reporta fuga de agua en Haciendas de Loreto en Pitayas</t>
  </si>
  <si>
    <t>dioescucha reporta fuga de agua en calle Manuel Tolsá en barrio de San Clemente,ya tenemos reporte. , pero no vienen arreglar</t>
  </si>
  <si>
    <t>Radioescucha reporta que los de Caasim se ponen a abrir calles para reparar y colocar tomas de agua y no tapan.</t>
  </si>
  <si>
    <t>Zanjas Caasim</t>
  </si>
  <si>
    <t>Eulalio Larrieta agradece a Edith Balderas de la Secretaria de Educación Pública</t>
  </si>
  <si>
    <t>La Poderosa Tuxpan 93.1 FM</t>
  </si>
  <si>
    <t>NN Nuestras Noticias Zona Norte</t>
  </si>
  <si>
    <t>Gobierno de Hidalgo invierte más de 25 mdp en la Universidad Tecnológica de Tula-Tepeji (AUDIO APOYO)</t>
  </si>
  <si>
    <t>Entrega De Equipo Escolar</t>
  </si>
  <si>
    <t>Liz Argüelles</t>
  </si>
  <si>
    <t>Con una inversión superior a los 25 millones de pesos, el gobierno de Hidalgo fortaleció la infraestructura, el equipamiento tecnológico, la movilidad estudiantil de la Universidad Tecnológica Tula-Tepeji. Esto como parte de las acciones orientadas al desarrollo académico de estudiantes y docentes. Durante una gira de trabajo en la institución, el secretario de Educación Pública de Hidalgo, Natividad Castrejón Valdez, realizó la entrega de obra, equipamiento especializado y nuevas unidades vehiculares destinadas al traslado estudiantil y actividades institucionales, AUDIO APOYO.</t>
  </si>
  <si>
    <t>Radioescucha reporta que la aplicación del Tuzobús no funciona y no hubo alimentadora de la ruta 17 por la mañana, “Qué mal servicio , van de mal en peor”.</t>
  </si>
  <si>
    <t>App Tuzobús</t>
  </si>
  <si>
    <t>Radioescucha reporta que conductor de la colectiva con matrícula A571174K no da su recorrido completo en Barrios Altos. Se llama el conductor Raimundo, es moreno de bigote.</t>
  </si>
  <si>
    <t>La SEMOT informó que inició un procedimiento administrativo contra la unidad de transporte público involucrada en el accidente registrado el pasado 20 de mayo sobre el Boulevard Minero en Pachuca. El acciddente dejó personas lesionadas y en el que posteriormente falleció una estudiante de la UAEH, de acuerdo con el reporte oficial el conductor contaba con tarjetón vigente al momento del accidente, sin embargo, durante la revisión detectaron que la unidad no presentó una póliza de seguro vigente, situación por la que se abrió un procedimiento jurídico administrativo correspondiente. La dependencia señaló que las sanciones podrían incluir incluso la revocación de la concesión. El caso reactivó el debate sobre las condiciones de operación del transporte colectivo y la supervisión de medidas obligatorias como seguros, documentación y zonas autorizadas para ascenso y descenso de pasajeros,</t>
  </si>
  <si>
    <t>En menos de una semana, en Hidalgo, durante tormentas eléctricas, dos rayos cayeron en una vivienda en Acaxochitlán y uno en una iglesia en Mineral del Monte. La Subsecretaría de Protección Civil de Hidalgo destacó que ya están realizando investigaciones para determinar las condiciones de riesgo. En relación a los dos casos, se está estableciendo, en el caso de Acaxochitlán, con el personal de protección civil y la regiduría de obras para ir a hacer un dictamen de la construcción para ver cuáles son las condiciones de riesgo que representa, o que presenta, mejor dicho; y en la iglesia en Mineral se va a hacer en coordinación con el INAH una inspección para evaluar alguna afectación que haya, AUDIO APOYO</t>
  </si>
  <si>
    <t>Refuerza Hidalgo autosuficiencia alimentaria en 24 municipios de diferentes regiones (AUDIO APOYO)</t>
  </si>
  <si>
    <t>Apoyo Al Agro</t>
  </si>
  <si>
    <t>Radioescucha reporta que va uno a recoger medicamentos al Hospital General y resulta que no tienen, y según dice la presidenta, ya no existe falta de medicamentos. “Todo eso es una mentira”</t>
  </si>
  <si>
    <t>Abasto De Medicamentos</t>
  </si>
  <si>
    <t>La Fiscalía General de la República realizó un cateo en un inmueble ubicado en la colonia Olímpica, en el municipio de Tenango de Doria, donde fueron asegurados aproximadamente mil litros de hidrocarburo presuntamente relacionado con venta ilícita.</t>
  </si>
  <si>
    <t>Los pobladores ya le hicieron llegar de hecho un documento a Semarnat federal para que atienda esta problemática. Aquí están los documentos. ¿Quiere que se los lea? Le doy lectura a su documento: POBLADORA DA LECTURA CARTA"Alicia Bárcena Ibarra, secretaria del Medio Ambiente y Recursos Naturales, presente. Las ciudadanas Felisa Camacho Ramírez y Erika Aguilar Ángeles, en representación de las 26 comunidades ribereñas afectadas por la presa Endhó, nos dirigimos a usted con el debido respeto para manifestarle que nos oponemos rotundamente al proyecto que traen las dependencias asignadas de la adquisición de máquinas que no son trituradoras de lirio acuático. No estamos dispuestos a aceptar caprichos de experimentos. ¿Qué es lo que estamos pidiendo? La presa Endhó ya se encuentra invadida de lirio en un 80% hasta el momento. Exigimos la contratación de 10 máquinas trituradoras, con ello en 3 meses nos quitan ese problema. Así también le solicitamos con carácter de urgencia nos pueda recibir para dialogar sobre este asunto y nos asigne una fecha en la cual se nos pueda atender. Sin más por el momento, esperamos una respuesta favorable, quedamos de usted". Félix Brambila ya dijo que las máquinas llegarían hasta septiembre para atender el problema del lirio acuático. Ya se fumigó, ya escuchó usted las cifras, lo que hizo Conagua, lo que se estaba trabajando en cuanto a fumigación y extracción, que se redujo de 900 hectáreas a 443 aproximadamente desde el retiro del lirio acuático y la fumigación para combatir el mosquito Culex.</t>
  </si>
  <si>
    <t>La Comisión Nacional del Agua presentó los resultados oficiales de los operativos de fumigación y extracción intensiva del lirio acuático en la presa Endhó como parte de la estrategia impulsada por el gobierno de México para proteger la salud de las familias y avanzar en la recuperación ambiental de la región, señaló Mayela Godínez Alarcón, gerente de planificación hídrica.Conagua destacó que en los últimos siete meses se han retirado 93,000 metros cúbicos del lirio acuático, reduciendo a la mitad la superficie afectada en la presa al pasar de cerca de 900 a 443 hectáreas. Autoridades federales aseguraron que las acciones continuarán de manera permanente y que el plan contempla también el aprovechamiento sustentable de la biomasa y la recuperación de espacios comunitarios. Estas son las cifras que presenta Conagua, pero el enojo social por la falta de soluciones a esta emergencia sanitaria y ambiental de la presa Endhó continúa. AUDIO DE APOYO</t>
  </si>
  <si>
    <t>AUDIO DE APOYO El 70%... después de siete meses ya de que se presentaron las lluvias en octubre pasado en la zona Sierra Alta, la Otomí-Tepehua y la Huasteca de nuestro estado, pues ya el 70% de las reubicaciones de viviendas afectadas por la vaguada monzónica en Hidalgo se concentra ya en seis municipios, informó la Sedatu. AUDIO DE APOYO</t>
  </si>
  <si>
    <t>Huracán Priscilla</t>
  </si>
  <si>
    <t>Elementos de la Agencia de Investigación Criminal detuvieron en Tlaxcoapan a un hombre en posesión de estupefacientes y cartuchos de arma de fuego</t>
  </si>
  <si>
    <t>Combate a la delincuencia</t>
  </si>
  <si>
    <t>Continúa la violencia contra las mujeres en nuestro estado: el hostigamiento sexual en Hidalgo mantiene cifras que generan preocupación. De acuerdo con datos del Secretariado Ejecutivo del Sistema Nacional de Seguridad Pública, la entidad ocupó el segundo lugar a nivel nacional en casos registrados de enero a abril de este año, con Pachuca y Tizayuca entre los municipios con más incidencia.</t>
  </si>
  <si>
    <t>Violencia De Género</t>
  </si>
  <si>
    <t>Participación semanal vía telefónica Lamán Carranza :”La ciencia del futbol". Comentó que estamos a pocos días de que se lleve a cabo uno de los eventos más importantes del mundo del futbol, y también a días de que llegue el equipo de Sudáfrica al estado de Hidalgo para su entrenamiento; será un evento muy tecnológico de la historia, será muy especialy de estadios capaces de monitorear en tiempo real.</t>
  </si>
  <si>
    <t>Es un tema que hay que analizar, bien lo dice el gobernador, ver cómo están los acuerdos y negociaciones con la FIFA, porque hay que mencionarlo que la FIFA tiene un estricto control del mundial. Si vende las transmisiones a las televisoras, en este caso Televisa adquirió el 100% de los partidos que se van a transmitir por ViX, TV Azteca también compró una parte, la mitad, un 50% aproximadamente de los partidos. Entonces estas dos televisoras tienen los derechos de transmisión del mundial, pero la FIFA es muy enfática y de hecho se ha hecho un llamado a las autoridades del gobierno federal para revisar mucho lo que es la piratería y las transmisiones piratas.Hay algunos canales, sobre todo de YouTube, que pretenden transmitir los partidos y que ahí se estaría cayendo en una situación de ilegalidad. Por eso, bien dice el gobernador, se tiene que analizar más allá del presupuesto, como ya lo escuchábamos en el segundo audio con la secretaria de Turismo, Elizabeth Quintanar. Más allá de lo costoso que esto podría ocasionarse por los derechos de transmisión de un millón doscientos mil aproximadamente, ya daba estas cifras al aire para poder transmitir un partido, pues también que la FIFA pudiera conceder estos derechos.</t>
  </si>
  <si>
    <t>Hidalgo alcanza su mejor calificación crediticia en veintiséis años y S&amp;P eleva la nota a MXAA, la información con Joselyn Sánchez.La agencia calificadora S&amp;P elevó la calificación crediticia del estado de Hidalgo a MXAA con perspectiva estable, la más alta otorgada a nuestra entidad en los últimos veintiséis años, así lo informó el gobierno estatal. De acuerdo con la publicación realizada este veinticinco de mayo en la Bolsa Mexicana de Valores, la mejora responde al fortalecimiento fiscal de Hidalgo, impulsado por una mayor eficiencia recaudatoria, control de gastos operativos y un incremento sostenido en la inversión en infraestructura. La calificadora destacó el crecimiento de los ingresos propios, especialmente en la recaudación del impuesto sobre nómina, que aumentó treinta y dos por ciento en los últimos tres años.Además, reconoció el desarrollo industrial y logístico de la entidad, derivado de inversiones en el corredor AIFA-Pachuca y el Parque Industrial Plata, factores que permitieron que Hidalgo creciera dos punto cuarenta y cinco por ciento por encima del promedio nacional de uno punto seis por ciento. La secretaria de Hacienda estatal, Esther Ramírez Vargas, señaló que durante la administración de Julio Menchaca Salazar se han conseguido dos incrementos en la calificación crediticia, posicionando a Hidalgo entre las entidades mejor evaluadas del país en materia financiera. AUDIOS DE APOYO</t>
  </si>
  <si>
    <t>Julio Menchaca encabeza la edición número 100 de las Ferias de Servicios para el Pueblo. (AUDIO JMS)</t>
  </si>
  <si>
    <t>Julio Menchaca encabeza la edición número 100 de las Ferias de Servicios para el Pueblo, AUDIO JMS y AUDIO SIPDUS</t>
  </si>
  <si>
    <t>El gobernador Julio Menchaca Salazar dijo que rumbo al Mundial de Fútbol dos mil veintiséis se analiza con proveedores la posibilidad de instalar pantallas gigantes en distintas plazas públicas, no solamente en la ciudad de Pachuca., AUDIO APOYO JMS Y EQ</t>
  </si>
  <si>
    <t>En otros temas, la edición número 100 de las Ferias de Servicios para el Pueblo fue encabezada por el gobernador Julio Menchaca Salazar durante las Rutas de la Transformación en Chilcuautla y Progreso de Obregón, donde destacó que esta estrategia ha brindado más de 190 mil atenciones ciudadanas desde 2023, mediante la participación de 31 dependencias estatales.El mandatario señaló que las ferias han recorrido los 84 municipios de Hidalgo para acercar trámites, asesorías y servicios directamente a la población. Además, informó que en Chilcuautla se han destinado más de 105 millones de pesos para 31 obras prioritarias de agua potable, drenaje, pavimentación y mejoramiento urbano. Más tarde, en Progreso de Obregón, el gobernador supervisó la pavimentación del acceso a la colonia La Peña, obra superior a los 9 millones de pesos. Ahí también se anunciaron proyectos de rehabilitación carretera, espacios culturales y mejoramiento urbano</t>
  </si>
  <si>
    <t>En sesión ordinaria, las y los legisladores Arturo Gómez Canales, Lizbeth lraís Ordaz Islas, Hilda Miranda Miranda, Paloma Barragán Santos, Alma Rosa Elías Paso, Diana Rangel Zúñiga, Andrés Velázquez Vázquez, Juan Pablo Escalante Urbán, Miguel Ángel Moreno Zamora (Morena), Jorge Argüelles Salazar y José María Alejandro Pérez Ramírez (Nueva Alianza) propusieron la iniciativa que reforma la Ley de Protección Civil para el Estado de Hidalgo, con el objetivo de fortalecer el marco jurídico e institucional mediante la adición de una atribución específica al Comité Estatal de Emergencias para coordinar la elaboración, implementación y actualización de protocolos, mecanismos y acciones orientados a la atención y traslado oportuno de personas afectadas en situaciones de emergencia.</t>
  </si>
  <si>
    <t>Iniciativa</t>
  </si>
  <si>
    <t>Los diputados José María Alejandro Pérez Ramírez y Jorge Argüelles Salazar (Nueva Alianza) detallaron la iniciativa que reforma la Ley de Educación del Estado de Hidalgo, con el propósito de considerar a la violencia cibernética como un tipo de violencia dirigida hacia el personal docente, que se presenta dentro o fuera de los planteles escolares en el contexto del ejercicio profesional, al igual que establecer el concepto de violencia cibernética y ampliar el espectro para la aplicación de las normas, incluyendo al personal de supervisión, dirección, apoyo y asistencia.</t>
  </si>
  <si>
    <t>La diputada local Johana Montcerrat Hernández Pérez expresó su pesar por la muerte de 3 jóvenes universitarias en distintos hechos registrados recientemente en Hidalgo, situaciones que calificó como acontecimientos que indignan y duelen profundamente. Manifestó su solidaridad con los familiares, amistades y comunidades estudiantiles de las jóvenes y llamó a no permanecer indiferentes a los hechos de violencia y situaciones que afectan a las mujeres en Hidalgo, AUDIO APOYO</t>
  </si>
  <si>
    <t>Abraham Mendoza Zenteno, delegado de programas para el desarrollo en el estado de Hidalgo, criticó la decisión legislativa de someter a una consulta ciudadana la continuación de las corridas de toros en Hidalgo; también comentó que se tienen temas más relevantes que se podrían considerar en una consulta ciudadana, tienen pendientes más relevantes que tratar. AUDIO APOYO</t>
  </si>
  <si>
    <t>El diputado local del PRI Marco Antonio Mendoza Bustamante criticó el pronunciamiento de la actriz Kate del Castillo, quien pidió al gobernador Julio Menchaca Salazar apoyar la abolición de la tauromaquia en Hidalgo, comento que la atriz no tiene la “solvencia moral” y no es hidalguense , AUDIO APOYO</t>
  </si>
  <si>
    <t>Elementos de la Secretaría de Seguridad Pública, Tránsito y Vialidad de Pachuca realizaron la detención de un masculino señalado presuntamente por el robo de una batería de vehículo en el fraccionamiento Renacimiento, como resultado de una oportuna intervención policial derivada de un reporte ciudadano.De acuerdo con el informe oficial, los hechos ocurrieron cuando un ciudadano solicitó apoyo a oficiales municipales, señalando directamente a un individuo como el probable responsable de haber sustraído la batería de su camioneta.</t>
  </si>
  <si>
    <t>Detención</t>
  </si>
  <si>
    <t>Como parte de los trabajos permanentes para mejorar la imagen urbana y recuperar el orden en el espacio público de la capital hidalguense, la Secretaría de Obras Públicas de Pachuca está retirando anuncios tipo banderín y autosoportados, instalados de forma irregular en la vía pública.Las acciones se llevan a cabo en los bulevares Luis Donaldo Colosio, Felipe Ángeles y El Minero, donde personal municipal interviene camellones, banquetas y áreas verdes, para retirar estructuras colocadas sin autorización, mismas que generan contaminación visual y afecta la funcionalidad de los espacios comunes.</t>
  </si>
  <si>
    <t>Imagen Urbana</t>
  </si>
  <si>
    <t>Radioescucha Carlos de Montesillos de Tula comenta que sería bueno que ayudemos al gobierno para invitar a la gente a separar la basura y que la gente que recolecta la basura tenga menos volumen.</t>
  </si>
  <si>
    <t>Durante el festejo por el Día del Maestro y la Maestra, el presidente municipal Cristian Martínez dirigió unas palabras de agradecimiento y reconocimiento a las y los docentes, destacando la importante labor que realizan en la educación y formación de las nuevas generaciones.El evento reunió a maestras y maestros del municipio en un ambiente de celebración, convivencia y reconocimiento, resaltando su compromiso, vocación y entrega dentro de las aulas , AUDIO APOYO</t>
  </si>
  <si>
    <t>Como parte de las acciones de promoción turística y gastronómica, autoridades de Tula entregaron un reconocimiento a Tacos Doña Chona.Esto por su participación y apoyo en el proceso mediante el cual Tula obtuvo el distintivo Pueblos con Sabor, AUDIO APOYO</t>
  </si>
  <si>
    <t>Pueblos con sabor</t>
  </si>
  <si>
    <t>La comunidad de San Salvador se prepara para celebrar una nueva edición de la fiesta patronal de Caxuxi, una festividad que mantiene viva una tradición taurina con más de nueve décadas de historia y que este año contará con la participación de figuras del toreo nacional e internacional.Ricardo Lozano Cortés, presidente del Comité Taurino, informó que dentro de las actividades programadas se contemplan dos corridas de toros, además de espectáculos ecuestres y la participación de destacadas ganaderías</t>
  </si>
  <si>
    <t>Y después de la intensa tromba que azotó el municipio de Francisco I. Madero la semana pasada, ahora comienza la evaluación de daños en cultivos. Productores agropecuarios mostraron su preocupación por perder toda su cosecha. AUDIO DE APOYO.</t>
  </si>
  <si>
    <t>Atitalaquia se colocó en el segundo lugar nacional entre 183 municipios del Grupo B, de acuerdo con el diagnóstico sobre presupuesto basado en resultados y sistema de evaluación del desempeño realizado por la Secretaría de Hacienda y Crédito Público. El gobierno municipal, encabezado por Claudia Sandoval, destacó que este reconocimiento evalúa la capacidad de los ayuntamientos para planear, ejercer y transparentar el gasto público, así como dar seguimiento a los resultados de los programas y acciones gubernamentales. Autoridades municipales señalaron que este resultado refleja una administración basada en la austeridad, la transparencia y el manejo responsable de los recursos públicos, con el objetivo de fortalecer el bienestar de la población. Con este posicionamiento, Atitalaquia se consolida como uno de los municipios mejor evaluados del país en materia de gestión pública y rendición de cuentas. AUDIO DE APOYO</t>
  </si>
  <si>
    <t>Índice de desempeño municipal</t>
  </si>
  <si>
    <t>Ayer en entrevista con el presidente municipal, Cristian Martínez señaló que en 15 días ya se tendría una solución para este problema de la basura, el relleno sanitario, y que ya en unos días se podrían restablecer las rutas habituales de la recolección de basura. Vamos con más información. AUDIO DE APOYO</t>
  </si>
  <si>
    <t>Radioescucha señora Alma Leticia Cervantes también nos pregunta cuándo pasa el camión de la basura en Santa María Asunción; no está contemplada, al menos hasta el próximo sábado, la ruta de Santa María Asunción en la recolección de basura.</t>
  </si>
  <si>
    <t>Radioescucha señor Juan Manuel TÉLLEZ. pregunta cuándo toca en la colonia Jalpa la recolección de basura: el sábado pasado fue que se incluyó en la ruta la recolección aquí en la colonia Jalpa, pero para los próximos días no se tiene contemplada en la ruta.</t>
  </si>
  <si>
    <t>La Ciudad de México registró el primer caso humano de gusano barrenador, una infección parasitaria que ya suma cinco contagios detectados en las alcaldías Tlalpan y Xochimilco, según reportes oficiales del Servicio Nacional de Sanidad, Inocuidad y Calidad Agroalimentaria (Senasica). El caso humano corresponde a una miasis causada por el Gusano Barrenador del Ganado (Cochliomyia hominivorax), una plaga que afecta animales y también puede invadir tejido humano a través de heridas abiertas. La detección ocurre mientras México mantiene vigilancia epidemiológica por el aumento de casos en distintas entidades del país. Datos actualizados de Senasica indican que existen más de dos mil casos activos en 26 estados. Autoridades sanitarias confirmaron que uno de los casos activos en la capital corresponde a una persona infectada por larvas del gusano barrenador. Hasta antes de este reporte, los únicos contagios detectados en la CDMX involucraban animales domésticos: un perro dóberman en Tlalpan y un pastor australiano en Xochimilco. Actualmente, los registros oficiales contabilizan cinco casos activos relacionados con esta plaga en la capital del país.</t>
  </si>
  <si>
    <t>Gusano barrenador</t>
  </si>
  <si>
    <t>Irving Sánchez</t>
  </si>
  <si>
    <t>El registro para obtener la credencial del Servicio Universal de Salud ya está disponible para adultos mayores y personas con discapacidad que reciben sus respectivas pensiones del Bienestar. Abraham Mendoza Zenteno, delegado de Programas Sociales del Bienestar en Hidalgo, señaló que el registro es presencial en los módulos designados que estarán habilitados hasta el 14 de noviembre de 2026. El servicio ya está disponible en este momento y debido a que transcurre la cuarta semana del mes de mayo, entonces podrán acudir los correspondientes a la calendarización mencionada. El funcionario federal Abraham Mendoza detalló que los módulos de cada municipio estarán instalados en clínicas médicas, centros de salud o en oficinas del Bienestar. Personas con discapacidad que sean menores de edad deberán ir acompañados de la madre, padre o tutor, también serán credencializados. Esta credencial es de alta importancia debido a que posterior al 2027 será un documento de identificación oficial, además, contará con un QR que mostrará el expediente clínico de las personas y recibirán atención sin importar la afiliación al IMSS o al ISSSTE.</t>
  </si>
  <si>
    <t>Delegación</t>
  </si>
  <si>
    <t>Salud universal</t>
  </si>
  <si>
    <t>Como parte de la dinámica de contacto ciudadano permanente que impulsa el gobierno municipal, la presidenta de Tulancingo, Lorena García Cázares, realizó una nueva visita de obra en la localidad de La Lagunilla, donde sostuvo un diálogo abierto con vecinos y beneficiarios de la construcción de guarniciones y banquetas en la calle Los Pinos. Las y los habitantes expresaron de manera directa sus inquietudes, necesidades y planteamientos relacionados con el desarrollo de la comunidad, mismos que fueron escuchados y atendidos por la alcaldesa y funcionarios municipales presentes. La presidenta municipal destacó que, cuando sociedad y gobierno trabajan de manera coordinada, los resultados se traducen en mejoras tangibles para la población y en una transformación construida con responsabilidad, visión social y cercanía ciudadana. Asimismo, señaló que esta obra representa un paso importante para continuar llevando bienestar y mejores condiciones de vida a las familias de La Lagunilla, particularmente en temas relacionados con seguridad peatonal, movilidad y orden urbano. Informó que se realizaron trabajos de construcción de guarniciones y banquetas, con una inversión total de 297 mil 529 pesos con 59 centavos. Además, como obra complementaria, anunció una inversión cercana a 1.4 millones de pesos para la construcción de pavimento hidráulico en la calle Los Pinos. Durante esta visita también se reconoció el compromiso de la Secretaría de Desarrollo Urbano, Obras Públicas y Medio Ambiente, así como la participación activa de las y los vecinos para consolidar este nuevo logro comunitario. En representación de los beneficiarios, Rubén Gayosso, enlace vecinal, y Diana Barrera Canseco, presidenta del comité de obra, agradecieron al gobierno municipal por impulsar obras que responden verdaderamente a las necesidades de la población y que generan un impacto positivo en la vida diaria de las familias.</t>
  </si>
  <si>
    <t>Supervía Colosio</t>
  </si>
  <si>
    <t>UECS obtiene sentencia de 78 años de prisión para responsable de secuestro y robo de vehículo</t>
  </si>
  <si>
    <t>El gobierno de Alfajayucan determinó cerrar de manera indefinida la carretera Alfajayucan–Chilcuautla, luego de que continuara la presencia de espuma derivada de aguas negras, fenómeno que desde el lunes ha generado riesgos para automovilistas, peatones y habitantes cercanos. La vialidad ya había sido cerrada desde la madrugada del pasado lunes 25 de mayo, cuando una gran cantidad de espuma cubrió por completo no solo la carretera, sino también terrenos aledaños, dificultando totalmente la visibilidad y el tránsito en la zona. Personal de Protección Civil municipal trabajó durante varias horas para retirar el material y reabrir el paso durante la tarde de ese mismo día. Sin embargo, el problema no desapareció y la espuma continuó presentándose diariamente, por lo que las autoridades decidieron volver a bloquear la circulación hasta que logren controlar la situación y garantizar condiciones seguras para la población. Además del peligro vial por la nula visibilidad en algunos tramos, existe preocupación por posibles riesgos de contaminación o intoxicación derivados del contacto con esta espuma, la cual proviene de aguas residuales que circulan por la región. La problemática es persistente en la zona, pues apenas en marzo de este año ocurrió una situación similar, mientras que durante 2025 también se reportaron episodios en los meses de junio y octubre.</t>
  </si>
  <si>
    <t>Con el objetivo de fomentar los hábitos de la escritura y la lectura entre la comunidad estudiantil adscrita a este subsistema, el Colegio de Bachilleres del Estado de Hidalgo realizó la presentación de la publicación de su segunda antología compilatoria denominada “Prisma”, en donde alumnos, personal docente y administrativo, contribuyeron en dicho proyecto al aportar sus ideas y vivencias mediante el lenguaje escrito. Dicho evento se llevó a cabo en las instalaciones de la Biblioteca Central del Estado de Hidalgo “Ricardo Garibay” ubicada en la capital hidalguense, en donde el Colegio de Bachilleres en conjunto con la Editorial Vórtice Creativo, coordinaron dicho evento que fue encabezado por el titular de Cobaeh, Rubén López Valdez, la Directora General de Diversidad Cultural y Fomento a la Lectura, Escritura y Oralidad, Patricia Rivera Erguía Lis, y Tania Martínez Suárez, dirigente de Vórtice Creativo y coordinadora de la publicación. Esta publicación es una compilación de 42 narraciones cortas que aluden las ideologías e inquietudes de los participantes, quienes abordaron temas que van desde la política, ficción, terror, educación y experiencias personales. Cabe mencionar que se llevó a cabo un riguroso proceso de selección habiendo recibido más de 300 solicitudes de participación, las cuales fueron sometidas a un proceso de asesoramiento y corrección de estilo que les permitió a los autores plasmar sus ideas en papel, esto mediante el Taller de Literatura y Escritura Creativa “Las Partes del Todo”, el cual fue impartido de forma virtual y coordinado por personal de la editorial.</t>
  </si>
  <si>
    <t>Presentación Editorial</t>
  </si>
  <si>
    <t>Con el objetivo de salvaguardar la integridad emocional y profesional del magisterio, diputados de Nueva Alianza Hidalgo presentaron ante el Congreso local una iniciativa de reforma educativa para tipificar y combatir la violencia cibernética dirigida hacia el personal docente. De ser aprobada, Hidalgo se convertirá en la primera entidad del país en contar con un andamiaje legal diseñado para proteger a los trabajadores de la educación frente al acoso digital.</t>
  </si>
  <si>
    <t>Gobierno de Hidalgo invierte más de 25 mdp en la Universidad Tecnológica de Tula-Tepeji.</t>
  </si>
  <si>
    <t>Refuerza Hidalgo autosuficiencia alimentaria en 24 municipios de diferentes regiones.</t>
  </si>
  <si>
    <t>Entrega Secturh certificaciones turísticas y constancias de RNT</t>
  </si>
  <si>
    <t>Certificación turística</t>
  </si>
  <si>
    <t>Julio Menchaca encabeza la edición número 100 de las Ferias de Servicios para el Pueblo. (AUDIO JMS).</t>
  </si>
  <si>
    <t>Vecinos de la zona metropolitana de Pachuca, piden a las autoridades atención ante la deficiente operación de lo servicios de drenaje.</t>
  </si>
  <si>
    <t>Drenaje</t>
  </si>
  <si>
    <t>Transformar Hidalgo implica construir entornos más ordenados y dignos para las familias: Miguel Tello</t>
  </si>
  <si>
    <t>Refuerza Hidalgo autosuficiencia alimentaria en 24 municipios de diferentes regiones</t>
  </si>
  <si>
    <t>Gobierno de Hidalgo invierte más de 25 mdp en la Universidad Tecnológica de Tula-Tepeji</t>
  </si>
  <si>
    <t>La agencia calificadora S&amp;P National Ratings subió calificación del Estado de Hidalgo a ‘mxAA-‘</t>
  </si>
  <si>
    <t>Julio Menchaca encabeza la edición número 100 de las Ferias de Servicios para el Pueblo</t>
  </si>
  <si>
    <t>Entrevista vía telefónica Julián Domínguez López Portillo, director general de la Financiera Nacional de Desarrollo Agropecuario Rural y Forestal y Pesquero en Liquidación - Habló sobre el anuncio que realizó la presidenta Claudia Sheinbaum respecto al programa “Volver a crecer” destinado a productoras y productores del campo que tengan adeudo con la extinta Financiera Nacional para el Desarrollo. El objetivo, es beneficiar a pequeños productores del campo, es este caso, hidalguenses, con deudas acumuladas con intereses excesivos.</t>
  </si>
  <si>
    <t>a fiscalía general de la República realizó un cateo en un inmueble ubicado en la colonia Olímpica, en el municipio de Tenango de Doria, donde fueron asegurados aproximadamente mil litros de hidrocarburo presuntamente relacionado con venta ilícita. De acuerdo con la información oficial, la intervención fue encabezada por la FGR, a través de la Fiscalía Especializada de Control Regional en Hidalgo, luego de que un juez de Control especializado en el Sistema Penal Acusatorio autorizara la técnica de cateo por el delito de posesión ilícita de hidrocarburo. El caso se originó a partir de un reporte del C5i, en el que se alertó sobre la posible operación de un taller donde presuntamente se comercializaba combustible de manera irregular. Con esta información, el Ministerio Público de la Federación inició la carpeta de investigación y solicitó la orden judicial para ingresar al inmueble señalado. Durante la diligencia, personal ministerial, policial y pericial de la Agencia de Investigación Criminal localizó y aseguró alrededor de mil litros de hidrocarburo, además de 28 contenedores de distintas capacidades, entre ellos garrafones y tambos. El inmueble también quedó asegurado y fue puesto a disposición del agente del Ministerio Público de la Federación, quien continuará con la integración de la carpeta de investigación para determinar responsabilidades y establecer el origen del combustible localizado. El cateo en Tenango de Doria se llevó a cabo con apoyo del Gabinete de Seguridad del Gobierno de México, por conducto de la Secretaría de la Defensa Nacional y la Guardia Nacional. También participaron elementos de la Policía Estatal, quienes colaboraron en el resguardo del área durante la intervención. La presencia de distintas corporaciones permitió realizar la diligencia de manera coordinada y asegurar tanto el hidrocarburo como los objetos localizados dentro del inmueble. Hasta el momento, no se informó sobre personas detenidas durante este cateo. Las investigaciones deberán precisar si el combustible era almacenado para venta directa, distribución o alguna otra actividad ilícita. También se revisará si el inmueble funcionaba como taller de manera regular o si era utilizado como punto de resguardo del hidrocarburo.</t>
  </si>
  <si>
    <t>Vecinos de la colonia Álvaro Obregón, Santiago Tulantepec, denunciaron cortes de luz por parte de la CFE pese a pagos al corriente. Habitantes de la colonia Álvaro Obregón, en el municipio de Santiago Tulantepec, denunciaron presuntas irregularidades por parte de personal de la Comisión Federal de Electricidad (CFE), luego de que varias viviendas fueran desconectadas del servicio eléctrico pese a encontrarse, aseguran, al corriente en sus pagos. De acuerdo con el testimonio de los vecinos afectados, el pasado 7 de mayo unidades de la CFE acudieron a la zona para realizar cortes de energía argumentando que el cableado cruzaba líneas de alta tensión, situación que representaba un riesgo. Los afectados sostienen que inicialmente en las oficinas de CFE Cuautepec les indicaron que podían reconectarse de manera inmediata, asegurando incluso que no volverían a cortar el servicio. No obstante, días después recibieron una versión distinta, donde se les informó que cualquier reconexión sería considerada ilegal y que debían esperar una nueva inspección. Según relataron, tras varias visitas y más de diez días de espera, personal de la paraestatal les notificó que la reconexión dependería de un análisis técnico por parte del área de planeación de Tulancingo, la cual determinaría si el servicio tendría que instalarse de forma aérea o subterránea. Los vecinos denunciaron además que el costo de los trabajos tendría que ser absorbido por las familias afectadas, quienes estiman gastos cercanos a los 15 mil pesos por vivienda para poder recuperar el suministro eléctrico. La situación, aseguran, afecta directamente a seis viviendas y cuatro nuevas bases de servicio, entre ellas hogares donde habitan niños pequeños, adultos mayores y una persona que requiere el uso constante de equipo médico y oxígeno para atender problemas de salud. Ante la falta de respuestas, los habitantes enviaron un oficio dirigido al ingeniero Gilberto León, superintendente de CFE Tulancingo, solicitando la reinstalación inmediata del servicio en la calle Avenida de las Torres, entre Paso de Agua y Mirasoles. En el documento, los vecinos argumentan que los cortes se realizaron sin notificación formal y rechazan que existieran conexiones ilegales, además de señalar que cuentan con comprobantes de pago correspondientes al bimestre febrero-abril. Los vecinos incluyeron los números de servicio afectados: 266230900884, 266210601104, 266260401149, 266210601112, 266210601121 y 266200200071. También acusaron presuntas inconsistencias en la atención brindada en oficinas de CFE, donde —afirman— las versiones sobre el procedimiento cambiaron constantemente y no recibieron una solución concreta a la problemática. Los afectados indicaron que continuarán buscando apoyo y difusión pública para visibilizar el caso y exigir una respuesta sobre la restitución del servicio eléctrico.</t>
  </si>
  <si>
    <t>La Secretaría de Seguridad Pública, Tránsito y Vialidad de Pachuca detuvo a un hombre y recuperó una motocicleta con reporte de robo vigente durante recorridos de vigilancia realizados en la colonia Piracantos.</t>
  </si>
  <si>
    <t>Recuperación De Vehículos Robados</t>
  </si>
  <si>
    <t>Locutor Jesús Riveros da lectura a comentario de radioescucha que reporta a un chofer de la ruta Habitacional en Tulancingo señala que habla por teléfono mientras conduce, hace un llamado a las autoridades correspondientes.</t>
  </si>
  <si>
    <t>Locutor Jesús Riveros da lectura a comentario de radioescucha que reporta a la directora de la escuela Pantaleón ubicada en Jaltepec, por acoso escolar a su hijo.</t>
  </si>
  <si>
    <t>Queja padres de familia</t>
  </si>
  <si>
    <t>En vivo desde el notimóvil, Rene Aguilar realiza un enlace telefónico con integrantes del comité de padres de familia en la escuela primaria Gregorio Torres Quintero ubicada en La Lagunilla, quienes expresan inconformidad con el trabajo del intendente de la escuela, debido a que no realiza su trabajo con la limpieza adecuada, lo cual, puede ser factor de infecciones. Señalan que, el intendente cuenta con los insumos necesarios para poder realizar su trabajo, pues padres de familia contribuyeron con una cooperación para surtir de insumos necesarios, asimismo, señalan, dicha situación ya fue planteada con el supervisor y director de la escuela, por lo que, esperan puedan tener una respuesta satisfactoria.</t>
  </si>
  <si>
    <t>En seguimiento al incidente ocurrido el pasado miércoles 20 de mayo de 2026, en el bulevar Minero de esta ciudad capital en el que se vio involucrada una unidad de transporte público colectivo, la Semot a través de su organismo sectorizado, el STCH, informa lo siguiente.</t>
  </si>
  <si>
    <t>Avanzan obras estratégicas para modernizar la infraestructura hidráulica.</t>
  </si>
  <si>
    <t>Infraestructura Hidráulica</t>
  </si>
  <si>
    <t>Radioescucha reporta falta de agua en Zona Plateada en Privada Vizcaina, que nos manden unas 5 pipas</t>
  </si>
  <si>
    <t>En Querétaro la PGJEH aprehendió a un hombre investigado por homicidio doloso calificado</t>
  </si>
  <si>
    <t>Aprehensión</t>
  </si>
  <si>
    <t>El IMSS Bienestar en Hidalgo reactivó la Clínica de Manejo Avanzado de Heridas y Estomas del Hospital General de Alta Especialidad de Pachuca, servicio especializado que permaneció inactivo durante más de cinco años y que ahora brinda atención integral y gratuita a personas con heridas complejas y padecimientos de difícil cicatrización.La clínica ofrece atención especializada a pacientes con pie diabético, lesiones por presión, heridas traumáticas, quemaduras, heridas quirúrgicas complejas y otros padecimientos que requieren vigilancia médica y manejo multidisciplinario.El médico responsable de la clínica, Víctor Ismael Medécigo Escudero, señaló que las heridas crónicas representan un reto importante para la salud pública debido al impacto que generan en la vida cotidiana de las personas.</t>
  </si>
  <si>
    <t>Atención médica</t>
  </si>
  <si>
    <t>Debido a la caída de cajas con vegetales, el paso a desnivel en el cruce del bulevar Río de las Avenidas con Everardo Márquez, en Pachuca, fue cerrado temporalmente para garantizar la seguridad de los conductores. Personal de Protección Civil municipal informó que una camioneta cargada con vegetales ingresó al paso a desnivel cuando algunas de sus cajas cayeron sobre la vialidad. Para prevenir accidentes y facilitar la limpieza de la zona, las autoridades decidieron bloquear temporalmente el tránsito con dirección al centro de la ciudad.La limpieza y el retiro de las cajas se realizaron de manera rápida para reabrir la circulación, mientras se recomienda a los conductores extremar precauciones y seguir las indicaciones del personal de vialidad y seguridad en Pachuca.</t>
  </si>
  <si>
    <t>Auxilio a la ciudadanía</t>
  </si>
  <si>
    <t>Vía telefónica, Josúe Herrera, VICKE CONCEPT HOUSE de Actopan, con el tema certificación punto limpio. Comentó que la Secretaría de Turismo del Estado de Hidalgo entregó certificaciones, reconocimientos y constancias a personas prestadoras de servicios turísticos, agradeciendo que pudieron obtener este tipo de curso, solo pagando una cuota mínima, y que esto ayuda para poder ofrecer al turismo garantía y que sepan que somos empresas limpias</t>
  </si>
  <si>
    <t>La Fiscalía General de la República, a través de la Fiscalía Especializada de Control Regional (FECOR) en Hidalgo, llevó a cabo un operativo de incineración de narcóticos y destrucción de objetos relacionados con delitos del orden federal.Las acciones se realizaron en instalaciones militares y espacios de resguardo ubicados en los municipios de Pachuca y Tula de Allende.De acuerdo con información oficial, en las instalaciones de la 18ª Zona Militar fueron incinerados nueve kilos 677 gramos y 50 miligramos de narcóticos.Además, autoridades federales destruyeron tres plantas de marihuana y 19 unidades adicionales de sustancias ilícitas relacionadas con diversas carpetas de investigación.En un segundo punto, ubicado en un corralón de encierro en Tula de Allende, autoridades federales realizaron la destrucción de 94 objetos asegurados durante investigaciones relacionadas con delitos federales.Entre los artículos destruidos se encontraban bidones, tambos, contenedores, mangueras y un inhibidor de señal, objetos comúnmente vinculados con actividades ilícitas.</t>
  </si>
  <si>
    <t>Destrucción de narcóticos</t>
  </si>
  <si>
    <t>Legisladores hidalguenses promueven una iniciativa que modifica el código penal del Estado de Hidalgo, con el propósito de fortalecer la regulación del delito de despojo a fin de prevenir y sancionar de manera eficaz la ocupación ilegal de inmuebles o el ejercicio indebido de derechos reales, ya sea mediante actos de violencia, engaño o abuso de confianza, conductas que vulneran gravemente el patrimonio y la seguridad jurídica de las personas, informó el diputado Miguel Moreno, AUDIO APOYO</t>
  </si>
  <si>
    <t>Radioescucha reporta que tiene más de 15 días sin alumbrado público en Avenida 16 de Septiembre en Santa Julia.</t>
  </si>
  <si>
    <t>Radioescucha pregunta: ¿Saben algo de la secundaria general #1, que anunció que se unirá al paro del SNTE? Eso afecta a los alumnos, ya que deja un rezago académico, rezago en entrega de documentos y calificaciones.</t>
  </si>
  <si>
    <t>Abraham Mendoza Centeno, delegado para Programas de Bienestar en Hidalgo, informó que continúa avanzando el proceso de credencialización al Servicio Universal de Salud, una nueva identificación oficial que sustituirá gradualmente los carnets del IMSS e ISSSTE, permitiendo a las y los beneficiarios acceder de forma más ágil y ordenada a servicios médicos, programas sociales y atención en salud. Detalló que actualmente este proceso ya se lleva a cabo en los ochenta y cuatro municipios de Hidalgo, priorizando a personas beneficiarias de la pensión para adultos mayores y personas con discapacidad, con el objetivo de garantizar una atención más eficiente e incluyente. El registro se lleva a cabo de acuerdo con un calendario y de acuerdo también a la primera letra del apellido.</t>
  </si>
  <si>
    <t>Radioescucha reporta y pide al presidente municipal Eduardo Medécigo que, por favor, chequee las calles de Chavarría y a la entrada de la universidad, ya que tienen muchos baches y están en mal estado.</t>
  </si>
  <si>
    <t>Radioescucha reporta nuevamente, que Caasim fue a arreglar la fuga de agua, pero dejó la zanja y la otra fuga no la dejaron.</t>
  </si>
  <si>
    <t>Radioescucha reporta que en Campestre Villas del Álamo desde hace 5 meses abrieron para arreglar tuberías y sigue la obra parada.</t>
  </si>
  <si>
    <t>Se reporta cierre del paso a desnivel a la altura de Everardo Márquez en el Río de las Avenidas, debido a que una camioneta que transportaba verduras, tiró su mercancía. ya hay personal de Protección Civil en el lugar.</t>
  </si>
  <si>
    <t>TV local</t>
  </si>
  <si>
    <t>Mara Olvera y su columna Ajedrez Político habla de que el gobernador Julio Menchaca se encuentra en el quinto lugar a nivel naconal de los mandatarios estatales con mayor aprobación social en el país, esto gracias al reflejo del trabajo proximidad que se tiene con la ciudadanía a través de la Ruta de la Transformación. Asimismo, destaca que la semana pasada el índice de paz 2026 ha situado a Hidalgo como una de las entidades con mayor seguridad pública. Destaca el combate a la corrupción y a la inversión en infraestructura en todo el estado y el combate a la pobreza.</t>
  </si>
  <si>
    <t>Aprobación Gobernador</t>
  </si>
  <si>
    <t>Se registra un accidente automovilístico a la altura de El Fitzhi, en Ixmiquilpan, frente a la tienda Soriana, un automóvil impactó a una motoneta, donde el conductor resultó gravemente lesionado.</t>
  </si>
  <si>
    <t>Accidente Vial</t>
  </si>
  <si>
    <t>Un automóvil compacto salió de la cinta asfáltica y terminó volcado la tarde de este miércoles sobre la carretera Pachuca–Tulancingo, a la altura de la comunidad de El Sabino, en el municipio de Singuilucan.</t>
  </si>
  <si>
    <t>Tres personas lesionadas, entre ellas dos menores de edad, fue el saldo que dejó un accidente vehicular registrado en la colonia San José en el municipio de Huejutla de Reyes, Hidalgo. Una camioneta particular terminó impactándose contra la fachada de un inmueble, lo que generó movilización de cuerpos de emergencia y autoridades de vialidad.</t>
  </si>
  <si>
    <t>Andrés torres en respuesta a un radioescucha comenta que ya en unos días las nuevas unidades del Tuzobús entrarán en operación y que lo que se ha hecho en torno a este transporte, incluyendo el carril confinado que a muchos no les gusta, es en beneficio de los usuarios.</t>
  </si>
  <si>
    <t>Modernización Tuzobús</t>
  </si>
  <si>
    <t>Andrés fuera del aire, en comerciales de televisión comenta que se hizo una junta en Radio y Televisión, en la que reconocieron que no hicieron nada el año pasado durante la vaguada monzónica y que a ver si en este año , si llegaba, por lo menos avisaran a la gente. Asimismo señala que es de dar risa que no sepan que se necesita diesel para las plantas de luz. asegura que se debe hacer una limpia y no venir y contarse como siempre sobre lo que hay, pues el tema administrativo es una cloaca un fosa séptica y se nota cuando el administrativo ya otra vez el señor rey. Dice que ahí se hizo una estafa maestra y que quien la realizó sigue trabajando en el mismo lugar y no permite que nadie más meta mano.</t>
  </si>
  <si>
    <t>El Instituto Hidalguense de Educación (IHE) participó en la Reunión Nacional con Responsables de los Consejos Técnicos Escolares (CTE) “La Transformación del CTE en la Nueva Escuela Mexicana: Retos y Compromisos Compartidos”, realizada en la Benemérita Escuela Nacional de Maestros, en la Ciudad de México. En representación del secretario de Educación Pública de Hidalgo, Natividad Castrejón Valdez, asistió la subsecretaria de Educación Básica, Nancy Adriana León Vite, acompañada por Claudia Huerta Ruiz, titular de la Unidad de Gestión Técnica, y Grissel Martínez Aguilar, responsable estatal de Consejos Técnicos Escolares. La reunión fue encabezada por la subsecretaria de Educación Básica de la SEP federal, Noemí Juárez Pérez, y reunió a autoridades educativas, especialistas y responsables estatales de todo el país para dialogar y construir estrategias orientadas al fortalecimiento de los Consejos Técnicos Escolares como parte de la Nueva Escuela Mexicana.</t>
  </si>
  <si>
    <t>Consejo Técnico</t>
  </si>
  <si>
    <t>Hoy hay Rutas de la Transformación en Ajacuba a ls 10: 45 en la cancha de futbol con la presencia del gobernador Julio Menchaca</t>
  </si>
  <si>
    <t>en sus redes sociales el gobernador Julio Menchaca comparte: Desde la Séptima Sesión de las CEPES, planeamos una educación superior que responda a lo que las empresas y el desarrollo de Hidalgo demanda. Queremos que el talento de nuestras juventudes tenga las mejores herramientas para destacar. La tecnología debe fungir como una herramienta que acerque más oportunidades a los estudiantes.</t>
  </si>
  <si>
    <t>Fortalecimiento educativo</t>
  </si>
  <si>
    <t>Andrés Torres reitera que la estación del 1010 AM de la huasteca El Vocero Huasteco sigue fuera del aire ya casi con mes y medio y se están resolviendo asuntos técnicos para poderla poner en marcha pronto. Por los cortes constante de energía eléctrica que se dan en esta zona están obligados a usar plantas de energía de emergencia, pero no hay diesel, no hay presupuesto, no hay talento para le gestión y entonces, salimos constantemente del aire. no podemos hacer nada, mas que pedir una disculpa y a las autoridades que nos ayuden, cobre todo en estos momentos que tenemos alerta por lluvia en una zona muy proclive a derrumbes y crecidas por ríos, lo que impide tener medios de comunicación para avisar a la población de esto, pues ahí mucha gente no tiene acceso a redes sociales por las condiciones climaticas.</t>
  </si>
  <si>
    <t>Radiodifusoras</t>
  </si>
  <si>
    <t>La Secretaría de Seguridad Pública, Tránsito y Vialidad de Pachuca recuperó un taxi metropolitano localizado en calles de la colonia Campo de Tiro como resultado de los recorridos permanentes de seguridad y vigilancia que realiza la corporación en distintos puntos de la capital. La unidad, un vehículo marca Nissan Tsuru, color blanco con amarillo, fue ubicada sobre la calle Verdín durante labores de patrullaje preventivo. Tras la verificación correspondiente, elementos municipales confirmaron que contaba con reporte de robo vigente, por lo que fue asegurada y puesta a disposición ante la autoridad competente.</t>
  </si>
  <si>
    <t>SSPH frena a presunto narcomenudista de la Otomí-Tepehua</t>
  </si>
  <si>
    <t>CBPEH desmiente rumores de presunta desaparición de una joven en el municipio de San Salvador</t>
  </si>
  <si>
    <t>Como parte de los trabajos permanentes para mejorar la imagen urbana y recuperar el orden en el espacio público, la Secretaría de Obras Públicas de Pachuca realiza el retiro de anuncios tipo banderín y autosoportados instalados de forma irregular en la vía pública. Las acciones se llevan a cabo en los bulevares Colosio, Felipe Ángeles y El Minero, donde personal municipal interviene camellones, banquetas y áreas verdes para retirar estructuras colocadas sin autorización, mismas que generan contaminación visual y afecta la funcionalidad de los espacios comunes. En lo que va de la semana, el municipio ha retirado 50 estructuras publicitarias como parte de esta estrategia de reordenamiento urbano.</t>
  </si>
  <si>
    <t>Laboratorio Estatal de Políticas Públicas supervisa programas sociales y acciones en beneficio de la población</t>
  </si>
  <si>
    <t>Laboratorio de Políticas Públicas</t>
  </si>
  <si>
    <t>Julio Menchaca respalda el fortalecimiento de la educación superior</t>
  </si>
  <si>
    <t>Hidalgo participa en reunión nacional sobre fortalecimiento de Consejos Técnicos Escolares</t>
  </si>
  <si>
    <t>La Comisión de Búsqueda de Personas del Estado de Hidalgo (CBPEH) informa que, derivado de un video en redes sociales, relacionado con posible privación de libertad y desaparición de una joven en el municipio de San Salvador, se activaron de manera inmediata las acciones y protocolos de atención correspondientes.</t>
  </si>
  <si>
    <t>Búsqueda de personas</t>
  </si>
  <si>
    <t>La presidenta Claudia Sheinbaum dio a conocer su Declaración Patrimonial y de Intereses correspondiente a 2026, documento en el que reveló cuánto ganó durante el último año, así como las propiedades, cuentas bancarias y bienes que mantiene actualmente. De acuerdo con la información presentada por la mandataria federal, sus ingresos netos durante 2025 ascendieron a un millón 791 mil pesos, cifra derivada principalmente de su salario como titular del Poder Ejecutivo Federal. En la declaración se detalla que Sheinbaum obtuvo un ingreso neto anual de un millón 790 mil pesos por el desempeño de su cargo como presidenta de México, además de mil 441 pesos adicionales provenientes de rendimientos financieros ligados a un fondo de inversión. La publicación de este documento forma parte de las obligaciones de transparencia y rendición de cuentas que deben cumplir los funcionarios públicos en México.</t>
  </si>
  <si>
    <t>Declaración patrimonial</t>
  </si>
  <si>
    <t>El alcalde de Pacula, José Christian Buendía Andrade, firmó un convenio de colaboración con la Subsecretaría de Educación Superior y Media Superior del estado de Hidalgo a cargo de Daniel Fragoso Torres, con quien hubo pláticas previas para la instalación de una universidad digital. Este acuerdo estratégico tiene como objetivo formalizar la apertura de una universidad digital, la cual, se menciona, se ubicará físicamente en la comunidad de Jiliapan una de las más importantes y pobladas de esta demarcación. De acuerdo con el mandatario municipal, esta nueva infraestructura tecnológica permitirá que los estudiantes egresados del nivel medio superior continúen su preparación profesional sin salir de la región, pero, sobre todo, se cuente con nuevos profesionistas en el municipio. La oferta inicial de la institución virtual constará de cuatro licenciaturas, dos maestrías y un doctorado de alta demanda; sin embargo, hasta el momento no se ha informado qué carreras o especialidades serían las que se estarían impartiendo a través de este nuevo método. Con este proyecto de conectividad académica, el gobierno local busca abatir el rezago y consolidar una verdadera inclusión educativa para los jóvenes de las zonas vulnerables.</t>
  </si>
  <si>
    <t>En medio de cuestionamientos por presuntas inconsistencias, falta de transparencia y carencias básicas dentro de distintas áreas municipales, el ayuntamiento de Actopan aprobó la primera modificación al presupuesto de egresos 2026, la cual contempla un incremento superior a los 15 millones de pesos respecto a la propuesta inicial. La modificación fue avalada por mayoría durante la trigésima tercera sesión extraordinaria de cabildo de Actopan con 15 votos a favor y tres en contra por parte de regidores de oposición. Durante la discusión, la regidora Patricia Alamilla Chavarría cuestionó el incremento presupuestal al señalar que la propuesta original contemplaba 223 millones 950 mil 790 pesos, mientras que el nuevo monto aprobado ascendió a 239 millones 753 mil 136 pesos, lo que representa un aumento considerable respecto al primer presupuesto presentado. La edil sostuvo que durante el análisis en comisión fueron detectadas inconsistencias que no quedaron plenamente aclaradas; además, exhibió las condiciones en las que operan algunas áreas del gobierno municipal al asegurar que existen oficinas que ni siquiera cuentan con materiales básicos como hojas blancas para trabajar. Ante ello, insistió en la necesidad de que los directores de cada dependencia comparezcan para informar públicamente cuáles son sus necesidades reales y cómo se están ejerciendo los recursos. Por su parte, el regidor Víctor Manuel Núñez cuestionó que, pese al incremento, continúan las deficiencias en diversas áreas del ayuntamiento, especialmente para con el personal que requiere de uniformes para sus actividades diarias. Del mismo modo, algunos de los asambleístas que respaldaron la modificación presupuestal reconocieron también la necesidad de vigilar de cerca el ejercicio del recurso y exigieron que exista un seguimiento puntual para garantizar que el dinero realmente llegue a las áreas con mayores carencias.</t>
  </si>
  <si>
    <t>Presupuesto De Egresos</t>
  </si>
  <si>
    <t>Tulancingo recibió una entrega regional de apoyos agropecuarios dirigida a más de 430 productoras y productores provenientes de 17 municipios hidalguenses. Durante la jornada, la Secretaría de Agricultura y Desarrollo Rural de Hidalgo distribuyó vientres ovinos, semillas de maíz, avena y cebada, además de fumigadoras, desbrozadoras y distintas herramientas para fortalecer actividades del campo. El titular de la dependencia, Napoleón González Pérez, señaló que los apoyos llegaron de manera directa a las y los beneficiarios, sin intermediarios y sin costo, con el propósito de garantizar transparencia en la entrega. El funcionario también destacó la relevancia del sector primario dentro de las políticas estatales y reconoció la participación del municipio de Tulancingo como sede del encuentro regional. A la entrega acudieron alcaldes de Metepec, Acatlán, Acaxochitlán, Cuautepec y Santiago Tulantepec, quienes coincidieron en la importancia de mantener coordinación entre municipios y estado para fortalecer actividades agrícolas y ganaderas en la región.</t>
  </si>
  <si>
    <t>Aprehenden en Querétaro a un hombre investigado por homicidio doloso calificado</t>
  </si>
  <si>
    <t>Inicia curso “Presupuestos Públicos para la Igualdad Sustantiva” en modalidad virtual</t>
  </si>
  <si>
    <t>Equidad de género</t>
  </si>
  <si>
    <t>Laboratorio Estatal de Políticas Públicas supervisa programas sociales y acciones en beneficio de la población. (AUDIO MATV).</t>
  </si>
  <si>
    <t>Julio Menchaca respalda el fortalecimiento de la educación superior. (AUDIO JMS).</t>
  </si>
  <si>
    <t>"NN Nuestras Noticias ""El Resumen"""</t>
  </si>
  <si>
    <t>Tomás Sosa</t>
  </si>
  <si>
    <t>La transformación también se vigila desde la ciudadanía</t>
  </si>
  <si>
    <t>Contraloría social</t>
  </si>
  <si>
    <t>Julio Menchaca respalda el fortalecimiento de la educación superior. (AUDIO JMS)</t>
  </si>
  <si>
    <t>Entrevista en cabina Pedro Canales, coordinador de la Secretaría de Economía en Hidalgo - Habló sobre las recientes negociaciones que se han realizado en los trabajos del T-MEC, en ese sentido, informó que, el día de ayer el secretario de Economía, Marcelo Ebrard recibió a una comisión proveniente de Estados Unidos para entablar dichas negociaciones, que se irán realizando por sectores, es decir, se inician con el sector automotriz, posteriormente, se seguirá con la industria de aluminio y acero, derivado de que, son fundamentales por el tema de los aranceles, que al momento se encuentran al 50 por ciento. El cierre definitivo de estas negociaciones será el próximo 20 de junio, “Se tiene confianza de que todo va estar bien, vale la pena que la gente este tranquila porque esperamos que no vaya bien en este trabajo de comercio”, señaló.</t>
  </si>
  <si>
    <t>El Ayuntamiento de Singuilucan invita a formar parte de la Feria Integral de Prevención y Seguridad, un espacio donde podrán conocer servicios, programas y acciones enfocadas en el cuidado, orientación y protección de la ciudadanía. La cita es el próximo viernes 29 de mayo a partir de las 10:00 horas en la Explanada Municipal.</t>
  </si>
  <si>
    <t>Prevención del delito</t>
  </si>
  <si>
    <t>Locutor Irving Sánchez da lectura a comentario de radioescucha que reporta, que en un Kínder de Tulancingo las autoridades educativas están cobrando inscripción a los alumnos de tercero de preescolar, situación con la están en desacuerdo, ya que, son alumnos que ya van de salida, dicen, no se vale esta situación. Locutor responde que pasará su reporte a las autoridades de la SEPH.</t>
  </si>
  <si>
    <t>Detienen en Tizayuca a un hombre que era buscado por autoridades de Oaxaca</t>
  </si>
  <si>
    <t>Un operativo coordinado entre policías municipales y estatales permitió recuperar un tractocamión que transportaba maquinaria pesada y que, de acuerdo con el reporte oficial, había sido robado momentos antes sobre la carretera Tula–Tlahuelilpan. La unidad fue localizada después de que se alertara a las corporaciones de seguridad sobre el despojo de un vehículo de carga a la altura de la azulejera Gersa, uno de los puntos con tránsito constante de unidades pesadas debido a la actividad industrial y comercial de la zona.</t>
  </si>
  <si>
    <t>Como parte de las actividades del “Mundial Social”, el Sistema DIF Hidalgo y el DIF Municipal organizaron el panel “Más allá de un gol”. El evento tuvo lugar el 27 de mayo en el Auditorio Gota de Plata, con el propósito de reflexionar sobre el impacto del deporte en la transformación de vidas y el fortalecimiento del tejido social. Se contó con la participación de grandes leyendas del Club Pachuca y el fútbol mexicano: Mónica Ocampo, Andrés Chitiva y Óscar "El Conejo" Pérez. Los deportistas compartieron sus historias de vida, experiencias, sacrificios y los valores necesarios para trascender dentro y fuera de la cancha.</t>
  </si>
  <si>
    <t>Este miércoles se llevó a cabo la quinta sesión del Comité Jurisdiccional de Vigilancia Epidemiológica (COJUVE), en la que se abordaron temas prioritarios en materia de salud pública y prevención de riesgos. Durante la sesión se actualizaron los panoramas epidemiológicos del sarampión y la miasis, así como el comportamiento de las enfermedades diarreicas agudas y aquellas asociadas a vectores. Asimismo, se presentó el pronóstico de la Temporada de Ciclones Tropicales 2026 y las acciones previstas, entre ellas la revisión de refugios temporales. Al respecto, el titular de Bomberos y Protección Civil en Tulancingo, Jesús García Ávila, informó que la temporada inició el pasado 15 de mayo en el Pacífico, con una proyección de entre 18 y 21 ciclones tropicales, mientras que en el Atlántico comenzará el 1 de junio, con un pronóstico de entre 11 y 15 fenómenos. En materia de sarampión, se indicó que, aunque los casos han disminuido, sigue siendo crucial que las personas que no se han inmunizado acudan a su unidad de salud o al puesto de vacunación más cercano. Sobre el gusano barrenador en humanos, se enfatizó evitar alarmarse, recordando que esta enfermedad tiene cura mediante el tratamiento adecuado de las lesiones. En vísperas de la Copa Mundial de la FIFA, se reconoció que, si bien este evento representa un momento histórico y favorable para la derrama económica, la movilidad que genera requiere mantener alerta al sector salud, garantizando atención oportuna ante cualquier eventualidad. El secretario municipal, Edmundo Aguilar Aranda, y la jefa jurisdiccional, Isabel Guzmán Tavera, clausuraron la sesión destacando la participación de los asistentes y la atención cercana de la Dirección de Sanidad Municipal.</t>
  </si>
  <si>
    <t>Las malas condiciones de las calles y avenidas del territorio estatal es una problemática heredada e imposible de atender en un plazo sólo de seis años, reconoció el gobernador de Hidalgo, Julio Menchaca Salazar. Pese a la inversión superior a los 25 mil millones de pesos en obra pública y la intervención de diversas vialidades en los 84 municipios de la entidad, refirió el mandatario estatal, se mantiene pendiente gran parte de esta infraestructura; sin embargo, no pretenden frenar las acciones puntuales en los últimos años de su gestión, sino que darán mayor impulso a esta ejecución de obra pública. En respuesta a la publicación de resultados por parte del Instituto Nacional de Geografía y Estadística (Inegi), que coloca a Hidalgo en el último lugar a nivel nacional en la evaluación del estado de sus calles y avenidas, con una calificación de 3.8 de 10, por debajo de la media nacional que fue de 5.1 en este rubro; Menchaca Salazar señaló la dificultad de la población en percibir las mejoras en elementos cotidianos. "Es un rezago histórico, pero estamos trabajando en ese tema. Lo que es cotidiano pasa desapercibido, por ejemplo, en esa evaluación del Inegi no vi nada en materia de recolección de basura, donde ya mejoramos; no nos queda más que trabajar más intensamente", manifestó. El gobernador del estado adelantó el apoyo y respaldo de la paraestatal Petróleos Mexicanos (Pemex) para entregar material que permita no sólo acciones de rebacheo en las calles y avenidas de toda la entidad, sino también la continuidad de suficiencia presupuestal para mantener la rehabilitación y reconstrucción de caminos, pues, aunque no concluyan esta tarea pretenden abarcar lo más posible durante su administración. "Con el apoyo de Pemex vamos a tener más intervención, nos van a proporcionar más material; y no sólo vamos por trabajo de rebacheo sino rehabilitación de avenidas enteras, tan sólo ya destinamos más de 500 millones de pesos en el boulevard Las Torres y en otras avenidas principales en la ciudad (Pachuca), en caminoa que dan acceso a otros municipios", apuntó. Julio Menchaca reiteró el trabajo continuo en todas las demarcaciones para atender esta problemática; sin embargo, aceptó, a la par existen afectaciones derivadas de fenómenos naturales, así como de las lluvias que cada año dañan las calles y avenidas de todo el territorio hidalguense, lo cual dificulta el avance y resultados, pues al momento destinaron más de 25 mil millones de pesos en el rubro de obra pública, superando el monto histórico de las dos pasadas gestiones del Ejecutivo local. "En menos de cuatro años en obra pública destinamos más de 25 mil millones de pwsos, en las dos anteriores gestiones sumaron 24 mil millones de pesos y nos faltan dos años más, cuando llegamos teníamos más de siete mil kilómetros de terracerías y caminos devastados y deteriorados, hemos avanzado y atendido dos mil kilómetros, dependiendo del alcance del presupuesto vamos a seguir avanzando; no nos alcanza para terminar, no da tiempo, pero sí para esforzarnos lo más posible con lo que nos permita el presupuesto, porque no sólo hacemos pavimentación, sino otras intervenciones en materia de servicios básicos", sentenció.</t>
  </si>
  <si>
    <t>DIFH</t>
  </si>
  <si>
    <t>Con información que publica Enrique Gutiérrez sobre, lo que ha revelado las audiencias públicas respecto al presunto triple feminicidio ocurrido el 30 de julio de 2024; algunas de las cuestiones que se ha revelado en estas últimas audiencias es el monto que presuntamente se pagó por cobrar la vida de una de estas mujeres, 30 mil pesos y que, abre las interrogantes de esta decadente sociedad. De acuerdo con revelaciones de uno de los peritos en Telecomunicaciones de la PGJEH que fungió como testigo en esta fase le juicio, en la revisión de comunicación de los dispositivos de uno de las acusados, encontraron evidencia que demuestra que, supuestamente, uno de ellos habría pagado 30 mil pesos a otro de los acusados, lo anterior, con la intención de terminar con la vida de una de las jóvenes víctimas, quien, además, presentaba un embrazo y por este motivo, además del delito por feminicidio también se le acusa por aborto forzado. La comunicación revela que el supuesto contratante solicitó a otra persona (también hoy acusada) que ejecutara el crimen. Este último sujeto se acompañó de otra persona más y se dirigieron al domicilio ubicado en la colonia San Isidro, en los límites de Santiago Tulantepec y Tulancingo. Es decir, por ese supuesto “trato” de 30 mil pesos para quitar del camino a una mujer que afectaba a los intereses de su pareja, los hoy acusados terminaron con la vida no solo de ella, también de sus dos roomies, quienes, al atestiguar el hecho, se volvían un cabo suelto para los perpetradores. Aún no se revela cómo fue que los presuntos feminicidas lograron entrar al domicilio, o si alguien más les ayudó. Sin embargo, esta reciente evidencia muestra que en este triple femenicidio hubo al menos un autor intelectual y dos quienes ejecutaron la solicitud. Se informó, además, que el artífice intelectual se encontraba cerca del domicilio cuando ocurrieron los hechos. Al respecto, Morrigan Flores, titular de la Colectiva Feminista Mujeres del Tule, calificó tal acto como “totalmente inhumano” y de cosificación hacia las mujeres: “Es un acto totalmente inhumano, obviamente, pero sobre todo de cosificación hacia las mujeres; se habla de una transacción y del despojo de la humanidad y de la dignidad humana y que desgraciadamente, en este caso, pues hubo otras mujeres, que fueron las personas que estaban ahí, pero que al final de cuentas también es un despojo de la vida de manera totalmente intencionada y que obviamente tiene que ser castigado. Que también quede claro cuánto vale para los hombres el cuerpo de las mujeres ya sin vida, y por eso se habla de una cosificación”, aseguró. “Pena máxima” para presuntos feminicidas, pidieron familiares de víctimas Cabe recordar que, al cierre de la marcha de este año por el 8M en Tulancingo, familiares de las víctimas por el triple feminicidio ocurrido en Santiago Tulantepec hicieron la exigencia a las autoridades para que sentencien con “pena máxima” a los presuntos responsables de tal crimen, hecho ocurrido hace casi 22 meses, el 30 de julio de 2024. Con apertura en el foro de testimoniales en la explanada del Jardín La Floresta, condenaron el crimen y emitieron su primer posicionamiento público desde que ocurrieron los citados acontecimientos. “Alzamos la voz por mis hijas y por el bebé que no le permitieron nacer. Ellas son mis hijas, fueron asesinadas. Mi petición es pena máxima, aún no se hace justicia y pido de su ayuda y de su apoyo para que todas gritemos justicia y exigimos la pena máxima para estos feminicidas”, expresó la madre de dos de las víctimas. Luego de su postura, las manifestantes replicaron con “¡No estás sola! ¡No estás sola!” Cabe mencionar que a casi 22 meses de que ocurrió el supuesto triple feminicidio en Santiago Tulantepec, sigue sin dictarse sentencia para tres personas presuntamente culpables, quienes permanecen recluidos en el Centro de Reinserción Social (Cereso) de Tulancingo desde agosto de 2024. Actualmente, el proceso judicial se mantiene en la fase de debate, donde los 31 testigos que ofreció la defensa de las víctimas comparecen ante la autoridad. De acuerdo con el procedimiento, el tribunal deberá dictar una sentencia a más tardar en agosto de 2026.</t>
  </si>
  <si>
    <t>Proceso Por Feminicidio</t>
  </si>
  <si>
    <t>En su participación semanal, Gustavo Rosales, destacó la participación de Héctor Hernández conocido como “Hectorín” en el campeonato mundial de Tenis de Mesa en Bulgaria, señalando que, además, es tricampeón nacional dentro de la disciplina.</t>
  </si>
  <si>
    <t>Justa Deportiva</t>
  </si>
  <si>
    <t>En su participación semanal, Gustavo Rosales habló sobre destacada participación de atletas hidalguenses en la Olimpiada Nacional Conade 2026, específicamente dentro de la lucha grecorromana, disciplina de bastante técnica, de entender los movimientos del rival, en ese sentido, Sebastián Gonzalo Cabrales Baltazar ha subido al pódium y se ha colgado la medalla de bronce en la categoría de los 63 kilogramos; por su parte, su hermano Ángel Alberto Cabrales Estrada también logró colgarse la medalla de bronce en la modalidad sub 20, aportando dos preses en su primera participación estos atletas hidalguenses, con lo que continúa sumando preseas la delegación hidalguense dentro de la Olimpiada Nacional Conade 2026.</t>
  </si>
  <si>
    <t>Nacionales Conade</t>
  </si>
  <si>
    <t>Huejutla -SSH y la UTHH refuerzan medidas preventivas para proteger a la población en la Huasteca</t>
  </si>
  <si>
    <t>Protección sanitaria</t>
  </si>
  <si>
    <t>Normal Superior mantiene abierta convocatoria de nuevo ingreso</t>
  </si>
  <si>
    <t>Convocatoria de ingreso</t>
  </si>
  <si>
    <t>Tulancingo fue sede de la entrega regional de apoyos realizada por la Secretaría de Agricultura y Desarrollo Rural del Estado de Hidalgo, en beneficio de más de 430 productoras y productores de 17 municipios de la región. Durante el evento se otorgaron vientres ovinos, semillas de maíz, avena y cebada, así como fumigadoras, desbrozadoras y diversas herramientas destinadas a fortalecer las actividades del sector agropecuario. El titular de la dependencia estatal, Napoleón González Pérez, destacó que estos apoyos se entregan de manera directa y sin costo para las y los productores, con el objetivo de evitar intermediarios y garantizar que los beneficios lleguen de forma transparente a quienes trabajan el campo. Asimismo, señaló que el sector primario representa una prioridad para el Gobierno del Estado y agradeció a la presidenta municipal de Tulancingo, Lorena García Cázares, por la anfitrionía y por mantener una visión de respaldo permanente hacia las actividades agrícolas y ganaderas del municipio. En esta entrega regional también estuvieron presentes los alcaldes de Metepec, Acatlán, Acaxochitlán, Cuautepec y Santiago Tulantepec, quienes reconocieron la importancia de continuar impulsando acciones coordinadas en favor del campo hidalguense.</t>
  </si>
  <si>
    <t>Caravana Cultural llegará a Francisco I. Madero con musica, danza y talento regional</t>
  </si>
  <si>
    <t>Caravanas Culturales</t>
  </si>
  <si>
    <t>Entrevista en cabina Pedro Canales, coordinador de la Secretaría de Economía en Hidalgo - Habló sobre las recientes negociaciones que se han realizado en los trabajos del T-MEC, en ese sentido, informó que, el día de ayer el secretario de Economía, Marcelo Ebrard recibió a una comisión proveniente de Estados Unidos para entablar dichas negociaciones, que se irán realizando por sectores, es decir, se inician con el sector automotriz, posteriormente, se seguirá con la industria de aluminio y acero, derivado de que, son fundamentales por el tema de los aranceles, que al momento se encuentran al 50 por ciento. El cierre definitivo de estas negociaciones será el próximo 20 de junio, “Se tiene confianza de que todo va estar bien, vale la pena que la gente este tranquila porque esperamos que no vaya bien en este trabajo de comercio”, señaló. En lo que refiere al caso específico de Hidalgo, comentó que ha estado trabajando en lo que se refiere al Parque Industrial de Tulancingo, mismo que ha estado detenido por cuestiones de energía, motivo por el cual, dijo, han iniciado negociaciones con el presidente del Consejo de Administración de la CFE, Ing. Héctor Sánchez para solicitar una nueva subestación que se estaría instalando en Tulancingo para potenciar este Parque Industrial.</t>
  </si>
  <si>
    <t>Parque Industrial Tulancingo</t>
  </si>
  <si>
    <t>La mañana de este jueves se registró una movilización de cuerpos de emergencia en Atotonilco de Tula, luego de que se reportara una explosión seguida de un incendio al interior de la empresa Hidrocarburos, ubicada en la comunidad de Progreso.De acuerdo con los primeros reportes, el incidente ocurrió tras el estallido de un tanque utilizado para el almacenamiento de asfalto, aunque hasta el momento las causas del siniestro no han sido determinadas por las autoridades correspondientes.</t>
  </si>
  <si>
    <t>En otra información, tras el incidente registrado la semana pasada en el Boulevard Minero en Pachuca, el sistema de transporte convencional de Hidalgo informó que la unidad del transporte público involucrada no contaba con póliza de seguro vigente, aunque el conductor de 39 años tenía tarjetón vigente ya se inició un procedimiento administrativo que podría derivar en la revocación de la concesión. AUDIO DE APOYO</t>
  </si>
  <si>
    <t>Con apoyo de autoridades del estado de Querétaro, fue detenido un hombre identificado con las iniciales HMH, señalado como probable responsable del delito de homicidio doloso calificado ocurrido en Tlahuelilpan. De acuerdo con las investigaciones, el imputado presuntamente agredió con un arma blanca a una persona identificada con las iniciales JJH en hechos registrados en la colonia Centro. La víctima fue trasladada a un hospital, sin embargo, días más tardes, perdió la vida a consecuencia de las lesiones. Tras integrar la carpeta de investigación, el Ministerio Público obtuvo una orden de aprehensión contra el probable responsable, quien fue localizado en Querétaro mediante acciones coordinadas entre autoridades de ambas entidades,</t>
  </si>
  <si>
    <t>Una mujer identificada como María Magdalena de 51 años de edad fue detenida en Hidalgo tras ser señalada como probable responsable del homicidio de su expareja sentimental en el estado de Aguascalientes.Según las indagatorias, el ataque ocurrió durante la noche del 12 de abril en una vivienda ubicada en el fraccionamiento Paseos de San Antonio. Presuntamente, la ahora detenida habría utilizado combustible para incendiar a Rogelio, de 51 años de edad.</t>
  </si>
  <si>
    <t>La Procuraduría General de Justicia de Hidalgo informó sobre la detención de un hombre investigado por homicidio doloso calificado, tras permanecer prófugo de la justicia, de acuerdo con la Procuraduría, el imputado identificado con las iniciales HMH, es señalado por atacar con arma blanca a una persona, cuando se encontraba sobre la avenida del Ejido, en la colonia centro de Tlahuelilpan, a un costado del auditorio ejidal, la víctima sufrió múltiples lesiones y fue trasladada a un hospital, donde días después perdió la vida a consecuencia de las heridas, tras las investigaciones el Ministerio Público obtuvo una orden de aprehensión y mediante labores de coordinación interestatal, agentes de la Agencia de Investigación Criminal, lograron detener al probable responsable en Querétaro, con apoyo de la Fiscalía de esa entidad, y el detenido fue trasladado al Cereso de Mixquiahuala, donde quedó a disposición de la Autoridad Judicial, para continuar con el proceso legal,</t>
  </si>
  <si>
    <t>Un hombre resultó lesionado tras un ataque con arma blanca registrado en la comunidad de Cañada de Madero, en el municipio de Tepeji del Río de Ocampo, de acuerdo con el reporte oficial se alertó sobre una agresión, por lo que elementos de la Secretaría de Seguridad Pública se movilizaron de manera inmediata al lugar, al arribar los uniformados confirmaron el ataque y solicitaron el apoyo de protección civil, quienes brindaron atención y trasladaron al lesionado a un hospital, durante el operativo y con apoyo de la policía industrial bancaria del estado de Hidalgo, fue detenido en el sitio un hombre de 29 años de edad, quien presuntamente portaba un arma blanca entre sus pertenencias.</t>
  </si>
  <si>
    <t>El presidente municipal de El Arenal, Jensen Benony Oropeza Pérez, luego de que presuntamente en grabación solicitara apoyo en redes sociales para impulsar la imagen del diputado local.</t>
  </si>
  <si>
    <t>Audioescándalo</t>
  </si>
  <si>
    <t>Hubo muchas opiniones encontradas en este tema, sobre todo en redes sociales, sobre este tipo de situaciones, lo importante siempre es priorizar la vida de las y los jóvenes, las mujeres, y pues sin duda fue escandaloso, por los videos que se publicaron en redes sociales, de cómo, pues esta mujer, al parecer personal de un anexo, fue por ella a su casa, y pues hay un video de esto, lamentablemente, pues este tipo de situaciones también merma muchas veces, las búsquedas reales de personas no localizadas, es la situación que se vive aquí en nuestro estado, así que, pues hay que tener mucho cuidado, comunicación sobre todo, y pues tener siempre contacto con las autoridades, ante cualquier situación que se llegue a presentar</t>
  </si>
  <si>
    <t>Elementos de la dirección de seguridad pública y tránsito municipal de Mixquiahuala, aseguraron una camioneta en la colonia Morelos, cerca del canal Requena, que transportaba un contenedor con presuntas características de hidrocarburo, el vehículo y el material fueron puestos a disposición de las autoridades para las investigaciones correspondientes.</t>
  </si>
  <si>
    <t>Como resultado de operativo coordinado de la Secretaría de Seguridad Pública de Hidalgo (SSPH), en coordinación con la Procuraduría General de Justicia del Estado de Hidalgo (PGJEH) y la Secretaría de la Defensa Nacional (Sedena), fueron aseguradas más de 1182 dosis de presunta droga, dinero en efectivo, entre moneda nacional y extranjera, así como un vehículo presuntamente relacionado con actividades ilícitas, fueron asegurados durante un cateo en el municipio de Tenango de Doria, las autoridades intervinieron un inmueble identificado como punto de venta y distribución de narcóticos en la región, donde fue detenido un hombre presuntamente relacionado con estas actividades, en el sitio fueron decomisadas más de 1067 dosis de hierba seca, con características de la marihuana, 117 dosis de sustancia granulada, similar al cristal, una báscula gramera, dos equipos de telefonía celular, dinero en efectivo entre pesos y dólares, en diferentes denominaciones, además de un vehículo presuntamente asociado a estas conductas delictivas,</t>
  </si>
  <si>
    <t>Más de 1182 dosis de presunta droga, dinero en efectivo, entre moneda nacional y extranjera, así como un vehículo presuntamente relacionado con actividades ilícitas, fueron asegurados durante un cateo en el municipio de Tenango de Doria, las autoridades intervinieron un inmueble identificado como punto de venta y distribución de narcóticos en la región, donde fue detenido un hombre presuntamente relacionado con estas actividades, en el sitio fueron decomisadas más de 1067 dosis de hierba seca, con características de la marihuana, 117 dosis de sustancia granulada, similar al cristal, una báscula gramera, dos equipos de telefonía celular, dinero en efectivo entre pesos y dólares, en diferentes denominaciones, además de un vehículo presuntamente asociado a estas conductas delictivas,</t>
  </si>
  <si>
    <t>El encargado del despacho de la Procuraduría General de Justicia del Estado de Hidalgo (PGJEH), Francisco Fernández Hasbun, señaló que hay una persona prófuga en el caso de los nueve policías de Progreso de Obregón detenidos por los delitos de homicidio doloso calificado y lesiones, se trata del director de Seguridad Pública municipal</t>
  </si>
  <si>
    <t>Detención de policía</t>
  </si>
  <si>
    <t>Julio Menchaca Salazar, encabezó la séptima sesión ordinaria del espacio de liberación de las comisiones estatales para la planeación de la educación superior, encuentro que reunió autoridades educativas de distintas entidades del país para abordar los desafíos y perspectivas del sistema universitario nacional. Durante la sesión del mandatario estatal destacó la relevancia de fortalecer la vinculación entre las instituciones académicas y el sector productivo, al señalar que uno de cada tres hidalguenses forma parte actualmente del sistema educativo estatal ,AUDIO APOYO JMS y NC</t>
  </si>
  <si>
    <t>En otra información, el gobernador Julio Menchaca Salazar encabezó la séptima sesión ordinaria del espacio de deliberación de las comisiones estatales para la planeación de la educación superior, donde reafirmó el compromiso de Hidalgo con una educación superior más incluyente, innovadora y vinculada al desarrollo económico. Durante el encuentro con autoridades educativas de todo el país, el mandatario destacó la fortaleza del sistema educativo hidalguense, conformado por universidades tecnológicas, politécnicas y la Universidad Autónoma del Estado de Hidalgo, además de señalar que más del 45% del presupuesto estatal se destina al sector educativo.Menchaca Salazar subrayó que uno de cada tres hidalguenses forma parte del sistema educativo, por lo que insistió en la necesidad de fortalecer la relación entre la academia y el sector productivo para generar mayores oportunidades para las y los jóvenes. Por su parte, Ricardo Villanueva Lomelí, subsecretario de Educación Superior del Gobierno de México, señaló que este espacio permite analizar los retos actuales de la educación superior, como la inteligencia artificial y las nuevas tecnologías. AUDIO DE APOYO JMS</t>
  </si>
  <si>
    <t>La Dirección de Desarrollo Agropecuario de Tetepango, encendió las alertas sanitarias y reforzó los recorridos de inspección en el municipio, tras confirmarse dos casos positivos de miasis por gusano barrenador, uno en un ejemplar ovino de la Colonia Morelos, y otro más en un perro de raza Bulldog, en el barrio de Nicolás Bravo.</t>
  </si>
  <si>
    <t>Radioescucha reportó por vía WhatsApp haber sido víctima de un presunto intento de extorsión, por la modalidad de “montachoques” sobre la carretera Tula – Jorobas. La familia relató que solicitó apoyo al número de emergencia 911 y nunca llegó el apoyo. Ante la situación, lograron alejarse de los vehículos involucrados y comentaron que los autos portaban rotulación de taxi de Atotonilco de Tula. Hacen invitación a las autoridades para que tomen cartas en el asunto y frenen esta modalidad de extorsión..</t>
  </si>
  <si>
    <t>Las nuevas unidades del transporte público en Pachuca entrarán en operación el próximo 1 de junio. El gobernador Julio Menchaca Salazar detalló que actualmente 80 autobuses son rehabilitados y los operadores reciben capacitación para mejorar el servicio en la zona metropolitana. AUDIO DE APOYO JMS</t>
  </si>
  <si>
    <t>En entrevista para Enfoque Regional, el presidente municipal de Tula, Cristhian Martínez Reséndiz, detalló los recorridos que realiza en distintas comunidades del municipio para supervisar y entregar obras de infraestructura y mejoramiento urbano; de igual forma, el alcalde habló del nuevo relleno sanitario de Tula. Comentó que se esta supervisando el recurso que se ortorgo a las colonias. Y tambien informó que en 15 dias esta listo el nuevo relleno sanitario, ya el día lunes se estara restableciendo la operatividad de la recoleción de basura, AUDIO APOYO</t>
  </si>
  <si>
    <t>Obras De Infraestructura</t>
  </si>
  <si>
    <t>En este momento, vecinas y vecinos de la comunidad de la Cañada en el municipio de Atotonilco de Tula se manifiestan de manera pacífica por un terreno que era destinado para que fuera panteón y ahora lo pretenden destinar para 200 viviendas del programa de Viviendas para el Bienestar.</t>
  </si>
  <si>
    <t>Plan Nacional De Vivienda</t>
  </si>
  <si>
    <t>Como protesta para que le cambien de intendente, piden una respuesta por parte de las autoridades educativas. Pues la verdad el problema del cual tratamos con el supervisor y la directora es de que el señor que está encargado de la limpieza, pues no lo hace de la manera correcta. Ya lleva 5 años aquí en la escuela y es el mismo problema de siempre. O sea, le pedimos que haga la limpieza, no lo hace de la manera correcta y la escuela siempre está en pésimas condiciones. Entonces queremos que nos den una solución y ya no queremos seguir aguantando al señor porque no le interesa su trabajo.</t>
  </si>
  <si>
    <t>Un operativo coordinado entre la Policía Municipal y la Policía Estatal permitió recuperar un tractocamión con maquinaria pesada que había sido robado sobre la carretera Tula–Tlahuelilpan, a la altura de la azulejera Gersa.De acuerdo con el reporte oficial, el conductor de la unidad fue interceptado por dos sujetos mientras circulaba por la zona y posteriormente despojado del vehículo.</t>
  </si>
  <si>
    <t>Radioescucha José Arturo Villamil de Tula nos pregunta qué piden para registrar el número, será que nos quieren tener controlados, es el sentir del señor José Arturo Villamil, mire el objetivo de acuerdo a lo que expuso el gobierno federal cuando presentó este proyecto, es que se registren las líneas telefónicas y eliminar el anonimato de los números móviles, busca el gobierno federal vincular cada línea a un titular para combatir delitos como la extorsión, el fraude y el secuestro, es lo que expuso el gobierno federal en su momento, pero hay algunas preguntas recurrentes que se tienen en esta incertidumbre de la ciudadanía, que pues se han realizado en las últimas semanas, ¿es obligatorio registrarse?, sí, es obligatorio para todas las compañías, estamos hablando de Telcel, Movistar, AT&amp;T, CFE Internet, entre otras, ¿cuál es la fecha límite?, ya la escuchábamos hasta el 30 de junio de este año, ¿qué datos se requieren?, se necesita INE y CURP, el titular de la línea, el trámite lleva no más de cinco minutos, ¿dónde se hace el registro?, en el enlace oficial de la compañía telefónica que usted tenga o en el centro de atención a clientes, es inmediato o puede registrarse en cualquier momento antes de la fecha límite del 30 de junio</t>
  </si>
  <si>
    <t>Registro de celulares</t>
  </si>
  <si>
    <t>Se tiene hasta el 30 de junio como plazo vigente y es que, recuerde usted, no sé si lo tenga en cuenta, pero tiene que registrar su línea telefónica, le van a pedir su CURP y su INE, pero lamentablemente ni siquiera el 20% de los usuarios ha hecho este registro. La información la presenta Claudia Alcántara. La fecha límite para registrar las líneas telefónicas celulares en México es el 30 de junio del 2026. Después de esa fecha, las líneas que no estén vinculadas a CURP o RFC podrían ser suspendidas por las compañías telefónicas. Hasta el momento no hay cifra oficial específica para Hidalgo sobre cuántas personas han registrado su línea telefónica. Los datos difundidos por la Comisión Reguladora de Telecomunicaciones son nacionales. Los círculos son que apenas llevamos el 15% de las líneas totales en México y que a mayo estábamos cerca de los 28 o 30 millones de líneas registradas. Y hay que entender que el 80% de las líneas son de prepago, es decir, que son las que se tienen que registrar. Y yo veo muy difícil que se pueda hacer un registro diario de casi 2.2 millones de líneas diarias para alcanzar la meta del 30 de junio.</t>
  </si>
  <si>
    <t>En México, 150 municipios aún no cuentan con servicio de recolección de basura, lo que representa más de 528 toneladas de desechos sin recoger cada día. Hablando de este problema de la basura, que no es exclusivo de Tula, del estado de Hidalgo, sino a nivel nacional, hay un problema grave. Aquí en Hidalgo la entidad genera más de 3,237 toneladas diarias de residuos, pero solo se recolectan en promedio 1,815, es decir apenas el 56%. De acuerdo con el diagnóstico básico para la gestión integral de los residuos, en la entidad hay dos municipios que no cuentan con servicio de recolección de basura y otros más que tienen problemas con su recolección de basura por falta de relleno sanitario.El manejo integral de residuos, desde su separación, reutilización y reciclaje, hasta su disposición final, es una práctica que hace falta entre la sociedad. La verdad es que somos muy inconscientes y tiramos la basura así en su lugar, pero no nos damos cuenta cuál es orgánica y no orgánica. Sí, claro, el PET, las latas de atún, de sardina, de leche, todo eso lo reciclamos, porque es fomentar la educación para tener un país más limpio, porque realmente ahorita con todo esto de las inundaciones es precisamente por eso, porque toda la gente tira todo a la calle.</t>
  </si>
  <si>
    <t>En este encuentro con medios de comunicación también se le preguntó al gobernador sobre el problema de la basura en la región de Tula. Esto fue lo que dijo. Gobernador, para la basura en Tula, ¿sí dice que la mesa del de diálogo se dice que ya le pertenece el terreno a Pemex? Afortunadamente hay una deuda con el gobierno del estado, hemos disminuido la deuda pública desde que entramos, 37%. Pero ya Pemex está junto con el gobierno federal publicando alternativas que además sean aprobadas por la sociedad. En un ejercicio que se dio en meses anteriores, pues hubo un rechazo. Y más falta de información, pero que nos hubieron resuelto el tema de 400 tiraderos en los municipios aledaños. AUDIO DE APOYO DE JMS</t>
  </si>
  <si>
    <t>La Procuraduría General de Justicia de Hidalgo informó que un hombre identificado con iniciales JLSP fue sentenciado a 78 años de prisión por los delitos de secuestro agravado y robo de vehículo tras las investigaciones realizadas por la unidad especializada en el combate al secuestro. Los hechos ocurrieron el 10 de febrero de 2025 en Tula de Allende, cuando la víctima fue privada de su libertad mientras viajaba en su automóvil. Posteriormente, familiares recibieron llamadas en las que se exigían 150 mil pesos para su liberación. Derivado de la denuncia, los agentes implementaron un operativo que permitió la detención del imputado cuando circulaba en el vehículo de la víctima, quien ya se encontraba a salvo. Tras el desahogo del proceso penal, un tribunal de enjuiciamiento dictó sentencia condenatoria de 70 años de prisión por secuestro agravado y 8 más por robo de vehículo. Tras el desahogo del proceso penal, un tribunal de enjuiciamiento dictó sentencia condenatoria de 70 años de prisión por secuestro agravado y 8 más por robo de vehículo</t>
  </si>
  <si>
    <t>La diputada Tania Meza Escorza reiteró su postura respecto a la inconstitucionalidad de la consulta ciudadana planteada para definir la continuidad de las corridas de toros aquí en Hidalgo. AUDIO APOYO</t>
  </si>
  <si>
    <t>La presidenta de la Comisión de Legislación y Puntos Constitucionales del Congreso de Hidalgo Lizbeth Iraís Ordaz, informó que los plazos para el análisis de la iniciativa que busca erradicar la tauromaquia en la entidad quedaron suspendidos luego de la aprobación de la consulta relacionada con la continuidad o abolición de esta actividad, AUDIO APOYO</t>
  </si>
  <si>
    <t>El gobernador Julio Menchaca habló sobre el video difundido por la actriz y activista Kate del Castillo, en donde solicitó al mandatario su colaboración en la prohibición de la corrida de toros en el estado de Hidalgo. AUDIO APOYO JMS</t>
  </si>
  <si>
    <t>TV Cable hidalguense Canal 6</t>
  </si>
  <si>
    <t>Contigo Noticias</t>
  </si>
  <si>
    <t>La delegación hidalguense inició con éxito su participación en la disciplina de luchas asociadas dentro de la Olimpiada Nacional CONADE 2026 al conquistar sus primeras medallas en la modalidad grecorromana. El atleta hidalguense Sebastián Gonzalo Cabrales Baltazar, abrió la actividad para Hidalgo al subir al podio por la medalla de bronce en la categoría de los 63 kilogramos, demostrando entrega, técnica y gran nivel competitivo en cada uno de sus combates, así mismo, su hermano Ángel Alberto Cabrales Estrada, también logró colgarse la medalla de bronce en la categoría de los 60 kilogramos Greco U-20, aportando una presea más al medallero estatal y consolidando una destacada participación para la entidad en esta disciplina.</t>
  </si>
  <si>
    <t>Avanzan obras estratégicas para modernizar la infraestructura hidráulica</t>
  </si>
  <si>
    <t>El presidente municipal de Mineral de la Reforma, Eduardo Medécigo Rubio, encabezó la entrega de semillas certificadas de maíz y cebada para garantizar, en un futuro, mejores cosechas. Eduardo Medécigo agregó que se buscaron variedades que sean de mayor utilidad para las y los agricultores, con ello, mejorar las condiciones de vida de las familias y continuar impulsando uno de los sectores más importantes en el municipio y el país.</t>
  </si>
  <si>
    <t>Mineral de la Reforma vivió una jornada deportiva y familiar con la realización de la segunda carrera con causa organizada por el sistema municipal DIF. donde participaron alrededor de 600 corredoras y corredores en las ramas femenil y varonil. El evento reunió a familias, atletas amateurs y corredores profesionales en una actividad enfocada en promover el deporte, la convivencia y la solidaridad dentro del municipio. El presidente municipal, Eduardo Medécigo Rubio, destacó la gran participación de la ciudadanía y señaló que este tipo de iniciativas contribuyen a fortalecer el tejido social y consolidar una comunidad más unida.</t>
  </si>
  <si>
    <t>Evento Con Causa</t>
  </si>
  <si>
    <t>Contraloría Social</t>
  </si>
  <si>
    <t>Dan continuidad a Convenio firmado entre Hidalgo y Chiapas</t>
  </si>
  <si>
    <t>Inspección laboral</t>
  </si>
  <si>
    <t>Por su parte, el Subsecretario de Educación Superior de la Secretaría de Educación Pública Federal, Ricardo Villanueva Lomelí, se refirió a los objetivos de este encuentro educativo y dijo que aunque le toca a la Subsecretaría de Educación Media Superior y de Básica, en el caso de Educación Superior lo que vamos a hacer el día de hoy aquí es planear la educación superior de todo el país.</t>
  </si>
  <si>
    <t>El gobernador de Hidalgo, Julio Menchaca Salazar, reconoció que el estado arrastra un "rezago histórico" en infraestructura vial y baches, señalando que es imposible atender el 100 por ciento del mal estado de las calles en una sola administración, aunque destacó la intervención de miles de kilómetros de vialidades. El gobernador destacó que, ante problemáticas estructurales, la ciudadanía a menudo pasa por alto los servicios que sí funcionan. Resaltó específicamente el tema de la recolección de basura, asegurando que actualmente no es un tema de queja recurrente como ocurría en el pasado</t>
  </si>
  <si>
    <t>Exigen rehabilitación vial</t>
  </si>
  <si>
    <t>Este miércoles 27 de mayo se llevó a cabo la Séptima Sesión Ordinaria del Espacio de Deliberación de las Comisiones Estatales para la Planeación de la Educación Superior o Instancias Equivalentes, en la Sala del Pueblo del edificio de gobierno del estado de Hidalgo. La ceremonia fue encabezada por el gobernador del estado, Julio Menchaca; Ricardo Villanueva Lomelí, subsecretario de Educación Superior del Gobierno de México; así como Natividad Castrejón Valdez, secretario de Educación Pública de Hidalgo.</t>
  </si>
  <si>
    <t>Ultra 102.9 FM</t>
  </si>
  <si>
    <t>Ultra Noticias1</t>
  </si>
  <si>
    <t>Daniel Martínez</t>
  </si>
  <si>
    <t>Autoridades detuvieron en Hidalgo a una mujer de 51 años identificada como María Magdalena, quien era buscada por su presunta participación en un ataque ocurrido en Aguascalientes, donde un hombre perdió la vida tras sufrir severas quemaduras. La mujer permanecía fuera del alcance de las autoridades desde abril pasado y recientemente fue localizada para posteriormente ser entregada a las autoridades de Aguascalientes, entidad donde enfrentará cargos por homicidio doloso. Según las indagatorias, el ataque ocurrió durante la noche del 12 de abril en una vivienda ubicada en el fraccionamiento Paseos de San Antonio. Presuntamente, la ahora detenida habría utilizado combustible para incendiar a Rogelio, de 51 años de edad.</t>
  </si>
  <si>
    <t>En cabina Dania Arlet Méndez Jiménez es la titular de la Instancia Municipal de la Juventud (IMJ) en Tulancingo informó que el 2 de junio se realizará un Foro Juvenil por la Paz, el Diálogo, la Cultura y la Juventud, por lo que invita a los jóvenes de 16 a 29 años de edad a inscribirse y participar. El objetivo es dar apertura y voz a las juventudes para crear políticas publicas en favor de este sector.</t>
  </si>
  <si>
    <t>Atención a jóvenes</t>
  </si>
  <si>
    <t>La titular de la Secretaría de Turismo de Hidalgo, Elizabeth Quintanar Gómez, señaló que la decisión dependerá de los recursos que autoricen tanto la Oficialía Mayor como los ayuntamientos interesados en organizar este tipo de eventos. La funcionaria explicó que la presidenta de México, Claudia Sheinbaum Pardo, planteó la posibilidad de que gobiernos estatales y pueblos mágicos buscaran mecanismos para que la población pudiera ver gratuitamente los encuentros deportivos; sin embargo, reconoció que los costos son demasiado elevados. Quintanar Gómez aclaró que no existe una instrucción oficial para realizar las transmisiones y mostró una tabla con los gastos estimados relacionados con señal, pantallas, audio, iluminación, publicidad y operación técnica. De acuerdo con los cálculos presentados, transmitir cinco partidos de la selección mexicana durante ocho días para un aforo de 250 personas con carpa tendría un costo superior a los 10 millones de pesos. En un escenario para 10 mil asistentes, la cifra podría alcanzar hasta 50 millones de pesos.</t>
  </si>
  <si>
    <t>A partir del 1 de junio próximo, el Gobierno del Estado de Hidalgo retomará la administración y operación del sistema de transporte público masivo de pasajeros, conocido como Tuzobús, en la ciudad de Pachuca. El gobernador de Hidalgo, Julio Menchaca Salazar, confirmó a su vez que desde el próximo lunes comenzarán a circular las nuevas unidades del Tuzobús, cuya renta de 80 autobuses costó más de 662 millones de pesos. La actual concesionaria del sistema de transporte, Lusa S.A. de C.V., concluye el servicio el 31 de mayo, por lo que será el Sistema Integrado de Transporte Masivo de Hidalgo (Sitmah) el organismo encargado de la operación del Tuzobús. Menchaca Salazar señaló que la decisión busca garantizar un servicio “eficiente, menos oneroso para los hidalguenses y con responsabilidad ambiental”, además de evitar que el sistema quede nuevamente en manos de particulares. Señaló que aunque futuras administraciones podrían modificar el modelo, la intención de su gobierno es consolidar la operación pública del sistema de transporte masivo. El Tuzobús también fue operado por el Corredor Felipe Ángeles S.A.P.I. de C.V. y posteriormente por Vanguardia y Cambio S.A. de C.V., tras diversos litigios y revocaciones de concesión ocurridos desde 2019. Menchaca explicó que el gobierno estatal ya realizó la inversión para renovar la flotilla y adelantó que el nuevo esquema contempla 80 autobuses y 60 rutas alimentadoras, cuyos operadores serán contratados bajo supervisión estatal. Cabe recordar que recientemente se adquirieron unidades mediante un esquema de arrendamiento por más de 662 millones de pesos con la empresa Rommify Capital S.A. de C.V., contrato que incluye mantenimiento, seguros y cobertura operativa.</t>
  </si>
  <si>
    <t>Bajo la premisa de fortalecer la protección de los derechos humanos de personas internadas en centros de rehabilitación, mejor conocidos como anexos, el diputado Avelino Tovar Iglesias propuso reformar la Ley de Salud estatal y establecer nuevas obligaciones para los establecimientos especializados en adicciones. La propuesta plantea adicionar el artículo 141 Bis a la Ley de Salud para el Estado de Hidalgo, a fin de obligar a los llamados anexos y centros de rehabilitación a garantizar en todo momento el respeto a la dignidad, integridad física y mental y derechos humanos de las personas usuarias. Entre las medidas planteadas destaca la prohibición expresa de actos de maltrato, castigos corporales, aislamiento arbitrario, violencia física, psicológica o emocional, así como cualquier práctica que atente contra la dignidad de las personas en tratamiento. La iniciativa forma parte de una propuesta orientada a fortalecer la supervisión sanitaria y la profesionalización de los establecimientos dedicados a la atención de personas con consumo problemático o dependencia a sustancias psicoactivas.</t>
  </si>
  <si>
    <t>Con el propósito de establecer sanciones más severas para deudores alimentarios reincidentes con penas de seis y hasta 10 años de prisión, legisladores locales presentaron una iniciativa que reforma el Código Penal para el Estado de Hidalgo. En reciente sesión ordinaria, integrantes de la 66 Legislatura presentaron la propuesta para sancionar con mayor rigor a deudores alimentarios que de manera reiterada y sistemática, incumplen con sus obligaciones pese a la existencia de resoluciones judiciales o antecedentes previos de incumplimiento. Durante la exposición de motivos se mencionó que la reincidencia en ese tipo de conductas evidencia no solamente un desacato persistente frente a la autoridad. También una actitud dolosa y de abandono hacia las personas acreedoras alimentarias, quienes continúan siendo afectadas por la falta de recursos indispensables para su desarrollo y bienestar. Diputados locales precisaron que desde 2019 y hasta 2025, alrededor de 500 personas han sido registradas como deudores alimentarios en Hidalgo. Mientras que según cifras oficiales del primer trimestre de 2026 revelan que el incumplimiento de pensión alimenticia aumentó 92 por ciento. Por lo que con la propuesta se busca que las personas se hagan responsables de las obligaciones económicas que tienen para con sus hijos.</t>
  </si>
  <si>
    <t>Como parte de la dinámica de contacto ciudadano permanente que impulsa el gobierno municipal, la presidenta de Tulancingo, Lorena García Cázares, realizó una nueva visita de obra en la localidad de La Lagunilla, donde sostuvo un diálogo abierto con vecinos y beneficiarios de la construcción de guarniciones y banquetas en la calle Los Pinos. Las y los habitantes expresaron de manera directa sus inquietudes, necesidades y planteamientos relacionados con el desarrollo de la comunidad, mismos que fueron escuchados y atendidos por la alcaldesa y funcionarios municipales presentes. La presidenta municipal destacó que, cuando sociedad y gobierno trabajan de manera coordinada, los resultados se traducen en mejoras tangibles para la población y en una transformación construida con responsabilidad, visión social y cercanía ciudadana. Asimismo, señaló que esta obra representa un paso importante para continuar llevando bienestar y mejores condiciones de vida a las familias de La Lagunilla, particularmente en temas relacionados con seguridad peatonal, movilidad y orden urbano. Informó que se realizaron trabajos de construcción de guarniciones y banquetas, con una inversión total de 297 mil 529 pesos con 59 centavos. Además, como obra complementaria, anunció una inversión cercana a 1.4 millones de pesos para la construcción de pavimento hidráulico en la calle Los Pinos.</t>
  </si>
  <si>
    <t>Supervisión de obra</t>
  </si>
  <si>
    <t>Vía telefónica el reporte de Bombero y Protección Civil con Abner Yáñez informa de las diversas emergencias reportadas por la ciudadanía y que fueron atendidas.</t>
  </si>
  <si>
    <t>Habitantes de la zona habitacional La Minera, desde hace tiempo se quejan de la falta de señal telefónica móvil tras presunta instalación de antena inhibidora en el Cereso de Tulancingo, para evitar que las personas privadas de su libertad puedan hacer uso de algún celular. Se ha solicitado a las autoridades para que ofrezcan una solución definitiva para garantizar la comunicación móvil, aunque reconocen que sí han sido atendidos, pero no hay solución. En caso de emergencia están incomunicados. Hacen un nuevo llamado a las autoridades para llegar a una solución concreta, ante esta situación que se ha vuelto una problemática.</t>
  </si>
  <si>
    <t>Inhibidor de señal</t>
  </si>
  <si>
    <t>Con la intención de fortalecer el sector apícola y promover el cuidado de las abejas, la Secretaría del Campo de Tulancingo trabaja en la creación de una Escuela del Campo especializada en apicultura, proyecto que se desarrolla en conjunto con la Secretaría de Agricultura federal. El secretario del Campo, Hugo Flores Jiménez, informó que esta iniciativa busca preparar a nuevos productores mediante capacitaciones relacionadas con el manejo de colmenas, producción de miel y preservación de polinizadores, además de incentivar que más personas se interesen en esta actividad. Explicó que uno de los retos principales es evitar que la apicultura desaparezca con el paso de los años, debido a la falta de relevo generacional entre quienes actualmente se dedican a esta labor. Como parte de la estrategia, se contempla la instalación de jardines polinizadores dentro de la Escuela del Campo, espacios que permitirán mejorar las condiciones para las abejas y al mismo tiempo favorecer la polinización de cultivos agrícolas. El funcionario señaló que actualmente buscan apoyo de dependencias gubernamentales para acondicionar áreas adecuadas que faciliten tanto el cuidado de las abejas como la producción de miel.</t>
  </si>
  <si>
    <t>Apicultura</t>
  </si>
  <si>
    <t>Hasta el momento no se ha registrado ninguna muerte de ganado a causa de gusano barrenador, aseguró Napoleón González Pérez, titular de la Secretaría de Agricultura y Desarrollo Rural del Estado de Hidalgo (Sedagroh). Puntualizó que a causa del parásito, sólo hay registro de fallecimiento de un animal en situación de calle en semanas recientes, recordando que también se han conocido y atendido casos en otras especies, sobre todo perros. Tras finalizar entrega de apoyos para productores agrícolas en el municipio de Tulancingo, el funcionario informó en entrevista que de los 545 casos de gusano barrenador registrados en 58 municipios de la entidad, en el 70 por ciento de los casos ya se han recuperado. Señaló que el resto de los casos tienen buen desarrollo en su estado de salud, por lo que se espera que en breve sea completa su recuperación.Reconoció que en los hatos donde se ha registrado presencia de gusano barrenador se ha detenido momentáneamente la comercialización del ganado hasta garantizar la recuperación de los ejemplares afectados.</t>
  </si>
  <si>
    <t>La Fiscalía General de la República (FGR) obtuvo una sentencia condenatoria de más de 5 años de prisión contra Jorge "N" y dos cómplices, tras ser detenidos por la portación de arma de fuego sin licencia y portación de arma de uso exclusivo del Ejército.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</si>
</sst>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8" tableType="queryTable" totalsRowShown="0">
  <autoFilter ref="A1:M22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8"/>
  <sheetViews>
    <sheetView tabSelected="1" topLeftCell="A193" workbookViewId="0">
      <selection activeCell="B228" sqref="B228"/>
    </sheetView>
  </sheetViews>
  <sheetFormatPr baseColWidth="10" defaultRowHeight="15" x14ac:dyDescent="0.25"/>
  <cols>
    <col min="1" max="1" width="8.5703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37</v>
      </c>
      <c r="C1" t="s">
        <v>38</v>
      </c>
      <c r="D1" t="s">
        <v>39</v>
      </c>
      <c r="E1" t="s">
        <v>1</v>
      </c>
      <c r="F1" t="s">
        <v>2</v>
      </c>
      <c r="G1" t="s">
        <v>4</v>
      </c>
      <c r="H1" t="s">
        <v>3</v>
      </c>
      <c r="I1" t="s">
        <v>5</v>
      </c>
      <c r="J1" t="s">
        <v>40</v>
      </c>
      <c r="K1" t="s">
        <v>41</v>
      </c>
      <c r="L1" t="s">
        <v>42</v>
      </c>
      <c r="M1" t="s">
        <v>49</v>
      </c>
    </row>
    <row r="2" spans="1:13" x14ac:dyDescent="0.25">
      <c r="A2" s="2">
        <v>46170</v>
      </c>
      <c r="B2" s="1" t="str">
        <f ca="1">IF(Información1[[#This Row],[Fecha]]='Ajuste de fechas'!$A$2,"Día actual","Día anterior")</f>
        <v>Día actual</v>
      </c>
      <c r="C2" s="3" t="s">
        <v>8</v>
      </c>
      <c r="D2" t="s">
        <v>10</v>
      </c>
      <c r="E2" s="3" t="s">
        <v>202</v>
      </c>
      <c r="F2" s="3" t="s">
        <v>6</v>
      </c>
      <c r="G2" s="3" t="s">
        <v>52</v>
      </c>
      <c r="H2" s="3" t="s">
        <v>11</v>
      </c>
      <c r="I2" s="3" t="s">
        <v>25</v>
      </c>
      <c r="J2" s="3" t="s">
        <v>43</v>
      </c>
      <c r="K2" s="3" t="s">
        <v>14</v>
      </c>
      <c r="L2" s="3" t="s">
        <v>45</v>
      </c>
      <c r="M2">
        <v>1</v>
      </c>
    </row>
    <row r="3" spans="1:13" x14ac:dyDescent="0.25">
      <c r="A3" s="2">
        <v>46170</v>
      </c>
      <c r="B3" s="1" t="str">
        <f ca="1">IF(Información1[[#This Row],[Fecha]]='Ajuste de fechas'!$A$2,"Día actual","Día anterior")</f>
        <v>Día actual</v>
      </c>
      <c r="C3" s="3" t="s">
        <v>8</v>
      </c>
      <c r="D3" t="s">
        <v>10</v>
      </c>
      <c r="E3" s="3" t="s">
        <v>203</v>
      </c>
      <c r="F3" s="3" t="s">
        <v>53</v>
      </c>
      <c r="G3" s="3" t="s">
        <v>204</v>
      </c>
      <c r="H3" s="3" t="s">
        <v>11</v>
      </c>
      <c r="I3" s="3" t="s">
        <v>7</v>
      </c>
      <c r="J3" s="3" t="s">
        <v>43</v>
      </c>
      <c r="K3" s="3" t="s">
        <v>14</v>
      </c>
      <c r="L3" s="3" t="s">
        <v>46</v>
      </c>
      <c r="M3">
        <v>1</v>
      </c>
    </row>
    <row r="4" spans="1:13" x14ac:dyDescent="0.25">
      <c r="A4" s="2">
        <v>46170</v>
      </c>
      <c r="B4" s="1" t="str">
        <f ca="1">IF(Información1[[#This Row],[Fecha]]='Ajuste de fechas'!$A$2,"Día actual","Día anterior")</f>
        <v>Día actual</v>
      </c>
      <c r="C4" s="3" t="s">
        <v>8</v>
      </c>
      <c r="D4" t="s">
        <v>10</v>
      </c>
      <c r="E4" s="3" t="s">
        <v>20</v>
      </c>
      <c r="F4" s="3" t="s">
        <v>19</v>
      </c>
      <c r="G4" s="3" t="s">
        <v>35</v>
      </c>
      <c r="H4" s="3" t="s">
        <v>11</v>
      </c>
      <c r="I4" s="3" t="s">
        <v>12</v>
      </c>
      <c r="J4" s="3" t="s">
        <v>47</v>
      </c>
      <c r="K4" s="3" t="s">
        <v>14</v>
      </c>
      <c r="L4" s="3" t="s">
        <v>45</v>
      </c>
      <c r="M4">
        <v>1</v>
      </c>
    </row>
    <row r="5" spans="1:13" x14ac:dyDescent="0.25">
      <c r="A5" s="2">
        <v>46170</v>
      </c>
      <c r="B5" s="1" t="str">
        <f ca="1">IF(Información1[[#This Row],[Fecha]]='Ajuste de fechas'!$A$2,"Día actual","Día anterior")</f>
        <v>Día actual</v>
      </c>
      <c r="C5" s="3" t="s">
        <v>8</v>
      </c>
      <c r="D5" t="s">
        <v>10</v>
      </c>
      <c r="E5" s="3" t="s">
        <v>18</v>
      </c>
      <c r="F5" s="3" t="s">
        <v>19</v>
      </c>
      <c r="G5" s="3" t="s">
        <v>35</v>
      </c>
      <c r="H5" s="3" t="s">
        <v>11</v>
      </c>
      <c r="I5" s="3" t="s">
        <v>12</v>
      </c>
      <c r="J5" s="3" t="s">
        <v>47</v>
      </c>
      <c r="K5" s="3" t="s">
        <v>14</v>
      </c>
      <c r="L5" s="3" t="s">
        <v>45</v>
      </c>
      <c r="M5">
        <v>1</v>
      </c>
    </row>
    <row r="6" spans="1:13" x14ac:dyDescent="0.25">
      <c r="A6" s="2">
        <v>46170</v>
      </c>
      <c r="B6" s="1" t="str">
        <f ca="1">IF(Información1[[#This Row],[Fecha]]='Ajuste de fechas'!$A$2,"Día actual","Día anterior")</f>
        <v>Día actual</v>
      </c>
      <c r="C6" s="3" t="s">
        <v>8</v>
      </c>
      <c r="D6" t="s">
        <v>10</v>
      </c>
      <c r="E6" s="3" t="s">
        <v>64</v>
      </c>
      <c r="F6" s="3" t="s">
        <v>21</v>
      </c>
      <c r="G6" s="3" t="s">
        <v>35</v>
      </c>
      <c r="H6" s="3" t="s">
        <v>11</v>
      </c>
      <c r="I6" s="3" t="s">
        <v>12</v>
      </c>
      <c r="J6" s="3" t="s">
        <v>43</v>
      </c>
      <c r="K6" s="3" t="s">
        <v>14</v>
      </c>
      <c r="L6" s="3" t="s">
        <v>45</v>
      </c>
      <c r="M6">
        <v>1</v>
      </c>
    </row>
    <row r="7" spans="1:13" x14ac:dyDescent="0.25">
      <c r="A7" s="2">
        <v>46170</v>
      </c>
      <c r="B7" s="1" t="str">
        <f ca="1">IF(Información1[[#This Row],[Fecha]]='Ajuste de fechas'!$A$2,"Día actual","Día anterior")</f>
        <v>Día actual</v>
      </c>
      <c r="C7" s="3" t="s">
        <v>8</v>
      </c>
      <c r="D7" t="s">
        <v>10</v>
      </c>
      <c r="E7" s="3" t="s">
        <v>13</v>
      </c>
      <c r="F7" s="3" t="s">
        <v>15</v>
      </c>
      <c r="G7" s="3" t="s">
        <v>35</v>
      </c>
      <c r="H7" s="3" t="s">
        <v>11</v>
      </c>
      <c r="I7" s="3" t="s">
        <v>12</v>
      </c>
      <c r="J7" s="3" t="s">
        <v>43</v>
      </c>
      <c r="K7" s="3" t="s">
        <v>14</v>
      </c>
      <c r="L7" s="3" t="s">
        <v>45</v>
      </c>
      <c r="M7">
        <v>1</v>
      </c>
    </row>
    <row r="8" spans="1:13" x14ac:dyDescent="0.25">
      <c r="A8" s="2">
        <v>46170</v>
      </c>
      <c r="B8" s="1" t="str">
        <f ca="1">IF(Información1[[#This Row],[Fecha]]='Ajuste de fechas'!$A$2,"Día actual","Día anterior")</f>
        <v>Día actual</v>
      </c>
      <c r="C8" s="3" t="s">
        <v>8</v>
      </c>
      <c r="D8" t="s">
        <v>10</v>
      </c>
      <c r="E8" s="3" t="s">
        <v>16</v>
      </c>
      <c r="F8" s="3" t="s">
        <v>17</v>
      </c>
      <c r="G8" s="3" t="s">
        <v>35</v>
      </c>
      <c r="H8" s="3" t="s">
        <v>11</v>
      </c>
      <c r="I8" s="3" t="s">
        <v>12</v>
      </c>
      <c r="J8" s="3" t="s">
        <v>43</v>
      </c>
      <c r="K8" s="3" t="s">
        <v>14</v>
      </c>
      <c r="L8" s="3" t="s">
        <v>45</v>
      </c>
      <c r="M8">
        <v>1</v>
      </c>
    </row>
    <row r="9" spans="1:13" x14ac:dyDescent="0.25">
      <c r="A9" s="2">
        <v>46170</v>
      </c>
      <c r="B9" s="1" t="str">
        <f ca="1">IF(Información1[[#This Row],[Fecha]]='Ajuste de fechas'!$A$2,"Día actual","Día anterior")</f>
        <v>Día actual</v>
      </c>
      <c r="C9" s="3" t="s">
        <v>8</v>
      </c>
      <c r="D9" t="s">
        <v>10</v>
      </c>
      <c r="E9" s="3" t="s">
        <v>65</v>
      </c>
      <c r="F9" s="3" t="s">
        <v>6</v>
      </c>
      <c r="G9" s="3" t="s">
        <v>35</v>
      </c>
      <c r="H9" s="3" t="s">
        <v>11</v>
      </c>
      <c r="I9" s="3" t="s">
        <v>12</v>
      </c>
      <c r="J9" s="3" t="s">
        <v>43</v>
      </c>
      <c r="K9" s="3" t="s">
        <v>14</v>
      </c>
      <c r="L9" s="3" t="s">
        <v>45</v>
      </c>
      <c r="M9">
        <v>1</v>
      </c>
    </row>
    <row r="10" spans="1:13" x14ac:dyDescent="0.25">
      <c r="A10" s="2">
        <v>46170</v>
      </c>
      <c r="B10" s="1" t="str">
        <f ca="1">IF(Información1[[#This Row],[Fecha]]='Ajuste de fechas'!$A$2,"Día actual","Día anterior")</f>
        <v>Día actual</v>
      </c>
      <c r="C10" s="3" t="s">
        <v>8</v>
      </c>
      <c r="D10" t="s">
        <v>10</v>
      </c>
      <c r="E10" s="3" t="s">
        <v>205</v>
      </c>
      <c r="F10" s="3" t="s">
        <v>22</v>
      </c>
      <c r="G10" s="3" t="s">
        <v>206</v>
      </c>
      <c r="H10" s="3" t="s">
        <v>11</v>
      </c>
      <c r="I10" s="3" t="s">
        <v>7</v>
      </c>
      <c r="J10" s="3" t="s">
        <v>48</v>
      </c>
      <c r="K10" s="3" t="s">
        <v>14</v>
      </c>
      <c r="L10" s="3" t="s">
        <v>44</v>
      </c>
      <c r="M10">
        <v>1</v>
      </c>
    </row>
    <row r="11" spans="1:13" x14ac:dyDescent="0.25">
      <c r="A11" s="2">
        <v>46170</v>
      </c>
      <c r="B11" s="1" t="str">
        <f ca="1">IF(Información1[[#This Row],[Fecha]]='Ajuste de fechas'!$A$2,"Día actual","Día anterior")</f>
        <v>Día actual</v>
      </c>
      <c r="C11" s="3" t="s">
        <v>8</v>
      </c>
      <c r="D11" t="s">
        <v>10</v>
      </c>
      <c r="E11" s="3" t="s">
        <v>207</v>
      </c>
      <c r="F11" s="3" t="s">
        <v>19</v>
      </c>
      <c r="G11" s="3" t="s">
        <v>208</v>
      </c>
      <c r="H11" s="3" t="s">
        <v>11</v>
      </c>
      <c r="I11" s="3" t="s">
        <v>7</v>
      </c>
      <c r="J11" s="3" t="s">
        <v>47</v>
      </c>
      <c r="K11" s="3" t="s">
        <v>14</v>
      </c>
      <c r="L11" s="3" t="s">
        <v>44</v>
      </c>
      <c r="M11">
        <v>1</v>
      </c>
    </row>
    <row r="12" spans="1:13" x14ac:dyDescent="0.25">
      <c r="A12" s="2">
        <v>46170</v>
      </c>
      <c r="B12" s="1" t="str">
        <f ca="1">IF(Información1[[#This Row],[Fecha]]='Ajuste de fechas'!$A$2,"Día actual","Día anterior")</f>
        <v>Día actual</v>
      </c>
      <c r="C12" s="3" t="s">
        <v>8</v>
      </c>
      <c r="D12" t="s">
        <v>10</v>
      </c>
      <c r="E12" s="3" t="s">
        <v>209</v>
      </c>
      <c r="F12" s="3" t="s">
        <v>66</v>
      </c>
      <c r="G12" s="3" t="s">
        <v>181</v>
      </c>
      <c r="H12" s="3" t="s">
        <v>11</v>
      </c>
      <c r="I12" s="3" t="s">
        <v>7</v>
      </c>
      <c r="J12" s="3" t="s">
        <v>43</v>
      </c>
      <c r="K12" s="3" t="s">
        <v>14</v>
      </c>
      <c r="L12" s="3" t="s">
        <v>89</v>
      </c>
      <c r="M12">
        <v>1</v>
      </c>
    </row>
    <row r="13" spans="1:13" x14ac:dyDescent="0.25">
      <c r="A13" s="2">
        <v>46170</v>
      </c>
      <c r="B13" s="1" t="str">
        <f ca="1">IF(Información1[[#This Row],[Fecha]]='Ajuste de fechas'!$A$2,"Día actual","Día anterior")</f>
        <v>Día actual</v>
      </c>
      <c r="C13" s="3" t="s">
        <v>8</v>
      </c>
      <c r="D13" t="s">
        <v>10</v>
      </c>
      <c r="E13" s="3" t="s">
        <v>210</v>
      </c>
      <c r="F13" s="3" t="s">
        <v>22</v>
      </c>
      <c r="G13" s="3" t="s">
        <v>211</v>
      </c>
      <c r="H13" s="3" t="s">
        <v>11</v>
      </c>
      <c r="I13" s="3" t="s">
        <v>7</v>
      </c>
      <c r="J13" s="3" t="s">
        <v>48</v>
      </c>
      <c r="K13" s="3" t="s">
        <v>14</v>
      </c>
      <c r="L13" s="3" t="s">
        <v>44</v>
      </c>
      <c r="M13">
        <v>1</v>
      </c>
    </row>
    <row r="14" spans="1:13" x14ac:dyDescent="0.25">
      <c r="A14" s="2">
        <v>46170</v>
      </c>
      <c r="B14" s="1" t="str">
        <f ca="1">IF(Información1[[#This Row],[Fecha]]='Ajuste de fechas'!$A$2,"Día actual","Día anterior")</f>
        <v>Día actual</v>
      </c>
      <c r="C14" s="3" t="s">
        <v>8</v>
      </c>
      <c r="D14" t="s">
        <v>10</v>
      </c>
      <c r="E14" s="3" t="s">
        <v>212</v>
      </c>
      <c r="F14" s="3" t="s">
        <v>67</v>
      </c>
      <c r="G14" s="3" t="s">
        <v>145</v>
      </c>
      <c r="H14" s="3" t="s">
        <v>11</v>
      </c>
      <c r="I14" s="3" t="s">
        <v>7</v>
      </c>
      <c r="J14" s="3" t="s">
        <v>24</v>
      </c>
      <c r="K14" s="3" t="s">
        <v>14</v>
      </c>
      <c r="L14" s="3" t="s">
        <v>44</v>
      </c>
      <c r="M14">
        <v>1</v>
      </c>
    </row>
    <row r="15" spans="1:13" x14ac:dyDescent="0.25">
      <c r="A15" s="2">
        <v>46170</v>
      </c>
      <c r="B15" s="1" t="str">
        <f ca="1">IF(Información1[[#This Row],[Fecha]]='Ajuste de fechas'!$A$2,"Día actual","Día anterior")</f>
        <v>Día actual</v>
      </c>
      <c r="C15" s="3" t="s">
        <v>8</v>
      </c>
      <c r="D15" t="s">
        <v>10</v>
      </c>
      <c r="E15" s="3" t="s">
        <v>213</v>
      </c>
      <c r="F15" s="3" t="s">
        <v>19</v>
      </c>
      <c r="G15" s="3" t="s">
        <v>69</v>
      </c>
      <c r="H15" s="3" t="s">
        <v>11</v>
      </c>
      <c r="I15" s="3" t="s">
        <v>25</v>
      </c>
      <c r="J15" s="3" t="s">
        <v>47</v>
      </c>
      <c r="K15" s="3" t="s">
        <v>14</v>
      </c>
      <c r="L15" s="3" t="s">
        <v>45</v>
      </c>
      <c r="M15">
        <v>1</v>
      </c>
    </row>
    <row r="16" spans="1:13" x14ac:dyDescent="0.25">
      <c r="A16" s="2">
        <v>46170</v>
      </c>
      <c r="B16" s="1" t="str">
        <f ca="1">IF(Información1[[#This Row],[Fecha]]='Ajuste de fechas'!$A$2,"Día actual","Día anterior")</f>
        <v>Día actual</v>
      </c>
      <c r="C16" s="3" t="s">
        <v>8</v>
      </c>
      <c r="D16" t="s">
        <v>10</v>
      </c>
      <c r="E16" s="3" t="s">
        <v>214</v>
      </c>
      <c r="F16" s="3" t="s">
        <v>21</v>
      </c>
      <c r="G16" s="3" t="s">
        <v>197</v>
      </c>
      <c r="H16" s="3" t="s">
        <v>11</v>
      </c>
      <c r="I16" s="3" t="s">
        <v>25</v>
      </c>
      <c r="J16" s="3" t="s">
        <v>43</v>
      </c>
      <c r="K16" s="3" t="s">
        <v>14</v>
      </c>
      <c r="L16" s="3" t="s">
        <v>45</v>
      </c>
      <c r="M16">
        <v>1</v>
      </c>
    </row>
    <row r="17" spans="1:13" x14ac:dyDescent="0.25">
      <c r="A17" s="2">
        <v>46170</v>
      </c>
      <c r="B17" s="1" t="str">
        <f ca="1">IF(Información1[[#This Row],[Fecha]]='Ajuste de fechas'!$A$2,"Día actual","Día anterior")</f>
        <v>Día actual</v>
      </c>
      <c r="C17" s="3" t="s">
        <v>8</v>
      </c>
      <c r="D17" t="s">
        <v>10</v>
      </c>
      <c r="E17" s="3" t="s">
        <v>215</v>
      </c>
      <c r="F17" s="3" t="s">
        <v>169</v>
      </c>
      <c r="G17" s="3" t="s">
        <v>170</v>
      </c>
      <c r="H17" s="3" t="s">
        <v>11</v>
      </c>
      <c r="I17" s="3" t="s">
        <v>7</v>
      </c>
      <c r="J17" s="3" t="s">
        <v>24</v>
      </c>
      <c r="K17" s="3" t="s">
        <v>14</v>
      </c>
      <c r="L17" s="3" t="s">
        <v>44</v>
      </c>
      <c r="M17">
        <v>1</v>
      </c>
    </row>
    <row r="18" spans="1:13" x14ac:dyDescent="0.25">
      <c r="A18" s="2">
        <v>46170</v>
      </c>
      <c r="B18" s="1" t="str">
        <f ca="1">IF(Información1[[#This Row],[Fecha]]='Ajuste de fechas'!$A$2,"Día actual","Día anterior")</f>
        <v>Día actual</v>
      </c>
      <c r="C18" s="3" t="s">
        <v>8</v>
      </c>
      <c r="D18" t="s">
        <v>10</v>
      </c>
      <c r="E18" s="3" t="s">
        <v>173</v>
      </c>
      <c r="F18" s="3" t="s">
        <v>53</v>
      </c>
      <c r="G18" s="3" t="s">
        <v>83</v>
      </c>
      <c r="H18" s="3" t="s">
        <v>11</v>
      </c>
      <c r="I18" s="3" t="s">
        <v>7</v>
      </c>
      <c r="J18" s="3" t="s">
        <v>43</v>
      </c>
      <c r="K18" s="3" t="s">
        <v>14</v>
      </c>
      <c r="L18" s="3" t="s">
        <v>46</v>
      </c>
      <c r="M18">
        <v>1</v>
      </c>
    </row>
    <row r="19" spans="1:13" x14ac:dyDescent="0.25">
      <c r="A19" s="2">
        <v>46170</v>
      </c>
      <c r="B19" s="1" t="str">
        <f ca="1">IF(Información1[[#This Row],[Fecha]]='Ajuste de fechas'!$A$2,"Día actual","Día anterior")</f>
        <v>Día actual</v>
      </c>
      <c r="C19" s="3" t="s">
        <v>8</v>
      </c>
      <c r="D19" t="s">
        <v>10</v>
      </c>
      <c r="E19" s="3" t="s">
        <v>216</v>
      </c>
      <c r="F19" s="3" t="s">
        <v>19</v>
      </c>
      <c r="G19" s="3" t="s">
        <v>87</v>
      </c>
      <c r="H19" s="3" t="s">
        <v>11</v>
      </c>
      <c r="I19" s="3" t="s">
        <v>25</v>
      </c>
      <c r="J19" s="3" t="s">
        <v>47</v>
      </c>
      <c r="K19" s="3" t="s">
        <v>14</v>
      </c>
      <c r="L19" s="3" t="s">
        <v>45</v>
      </c>
      <c r="M19">
        <v>1</v>
      </c>
    </row>
    <row r="20" spans="1:13" x14ac:dyDescent="0.25">
      <c r="A20" s="2">
        <v>46170</v>
      </c>
      <c r="B20" s="1" t="str">
        <f ca="1">IF(Información1[[#This Row],[Fecha]]='Ajuste de fechas'!$A$2,"Día actual","Día anterior")</f>
        <v>Día actual</v>
      </c>
      <c r="C20" s="3" t="s">
        <v>8</v>
      </c>
      <c r="D20" t="s">
        <v>10</v>
      </c>
      <c r="E20" s="3" t="s">
        <v>217</v>
      </c>
      <c r="F20" s="3" t="s">
        <v>6</v>
      </c>
      <c r="G20" s="3" t="s">
        <v>111</v>
      </c>
      <c r="H20" s="3" t="s">
        <v>11</v>
      </c>
      <c r="I20" s="3" t="s">
        <v>25</v>
      </c>
      <c r="J20" s="3" t="s">
        <v>43</v>
      </c>
      <c r="K20" s="3" t="s">
        <v>14</v>
      </c>
      <c r="L20" s="3" t="s">
        <v>45</v>
      </c>
      <c r="M20">
        <v>1</v>
      </c>
    </row>
    <row r="21" spans="1:13" x14ac:dyDescent="0.25">
      <c r="A21" s="2">
        <v>46170</v>
      </c>
      <c r="B21" s="1" t="str">
        <f ca="1">IF(Información1[[#This Row],[Fecha]]='Ajuste de fechas'!$A$2,"Día actual","Día anterior")</f>
        <v>Día actual</v>
      </c>
      <c r="C21" s="3" t="s">
        <v>8</v>
      </c>
      <c r="D21" t="s">
        <v>10</v>
      </c>
      <c r="E21" s="3" t="s">
        <v>218</v>
      </c>
      <c r="F21" s="3" t="s">
        <v>6</v>
      </c>
      <c r="G21" s="3" t="s">
        <v>111</v>
      </c>
      <c r="H21" s="3" t="s">
        <v>11</v>
      </c>
      <c r="I21" s="3" t="s">
        <v>25</v>
      </c>
      <c r="J21" s="3" t="s">
        <v>43</v>
      </c>
      <c r="K21" s="3" t="s">
        <v>14</v>
      </c>
      <c r="L21" s="3" t="s">
        <v>45</v>
      </c>
      <c r="M21">
        <v>1</v>
      </c>
    </row>
    <row r="22" spans="1:13" x14ac:dyDescent="0.25">
      <c r="A22" s="2">
        <v>46170</v>
      </c>
      <c r="B22" s="1" t="str">
        <f ca="1">IF(Información1[[#This Row],[Fecha]]='Ajuste de fechas'!$A$2,"Día actual","Día anterior")</f>
        <v>Día actual</v>
      </c>
      <c r="C22" s="3" t="s">
        <v>32</v>
      </c>
      <c r="D22" t="s">
        <v>33</v>
      </c>
      <c r="E22" s="3" t="s">
        <v>219</v>
      </c>
      <c r="F22" s="3" t="s">
        <v>19</v>
      </c>
      <c r="G22" s="3" t="s">
        <v>208</v>
      </c>
      <c r="H22" s="3" t="s">
        <v>220</v>
      </c>
      <c r="I22" s="3" t="s">
        <v>12</v>
      </c>
      <c r="J22" s="3" t="s">
        <v>47</v>
      </c>
      <c r="K22" s="3" t="s">
        <v>27</v>
      </c>
      <c r="L22" s="3" t="s">
        <v>44</v>
      </c>
      <c r="M22">
        <v>1</v>
      </c>
    </row>
    <row r="23" spans="1:13" x14ac:dyDescent="0.25">
      <c r="A23" s="2">
        <v>46170</v>
      </c>
      <c r="B23" s="1" t="str">
        <f ca="1">IF(Información1[[#This Row],[Fecha]]='Ajuste de fechas'!$A$2,"Día actual","Día anterior")</f>
        <v>Día actual</v>
      </c>
      <c r="C23" s="3" t="s">
        <v>32</v>
      </c>
      <c r="D23" t="s">
        <v>33</v>
      </c>
      <c r="E23" s="3" t="s">
        <v>221</v>
      </c>
      <c r="F23" s="3" t="s">
        <v>26</v>
      </c>
      <c r="G23" s="3" t="s">
        <v>222</v>
      </c>
      <c r="H23" s="3" t="s">
        <v>220</v>
      </c>
      <c r="I23" s="3" t="s">
        <v>12</v>
      </c>
      <c r="J23" s="3" t="s">
        <v>43</v>
      </c>
      <c r="K23" s="3" t="s">
        <v>27</v>
      </c>
      <c r="L23" s="3" t="s">
        <v>45</v>
      </c>
      <c r="M23">
        <v>1</v>
      </c>
    </row>
    <row r="24" spans="1:13" x14ac:dyDescent="0.25">
      <c r="A24" s="2">
        <v>46170</v>
      </c>
      <c r="B24" s="1" t="str">
        <f ca="1">IF(Información1[[#This Row],[Fecha]]='Ajuste de fechas'!$A$2,"Día actual","Día anterior")</f>
        <v>Día actual</v>
      </c>
      <c r="C24" s="3" t="s">
        <v>32</v>
      </c>
      <c r="D24" t="s">
        <v>33</v>
      </c>
      <c r="E24" s="3" t="s">
        <v>223</v>
      </c>
      <c r="F24" s="3" t="s">
        <v>19</v>
      </c>
      <c r="G24" s="3" t="s">
        <v>224</v>
      </c>
      <c r="H24" s="3" t="s">
        <v>220</v>
      </c>
      <c r="I24" s="3" t="s">
        <v>7</v>
      </c>
      <c r="J24" s="3" t="s">
        <v>47</v>
      </c>
      <c r="K24" s="3" t="s">
        <v>27</v>
      </c>
      <c r="L24" s="3" t="s">
        <v>44</v>
      </c>
      <c r="M24">
        <v>1</v>
      </c>
    </row>
    <row r="25" spans="1:13" x14ac:dyDescent="0.25">
      <c r="A25" s="2">
        <v>46170</v>
      </c>
      <c r="B25" s="1" t="str">
        <f ca="1">IF(Información1[[#This Row],[Fecha]]='Ajuste de fechas'!$A$2,"Día actual","Día anterior")</f>
        <v>Día actual</v>
      </c>
      <c r="C25" s="3" t="s">
        <v>32</v>
      </c>
      <c r="D25" t="s">
        <v>33</v>
      </c>
      <c r="E25" s="3" t="s">
        <v>225</v>
      </c>
      <c r="F25" s="3" t="s">
        <v>19</v>
      </c>
      <c r="G25" s="3" t="s">
        <v>208</v>
      </c>
      <c r="H25" s="3" t="s">
        <v>220</v>
      </c>
      <c r="I25" s="3" t="s">
        <v>7</v>
      </c>
      <c r="J25" s="3" t="s">
        <v>47</v>
      </c>
      <c r="K25" s="3" t="s">
        <v>27</v>
      </c>
      <c r="L25" s="3" t="s">
        <v>44</v>
      </c>
      <c r="M25">
        <v>1</v>
      </c>
    </row>
    <row r="26" spans="1:13" x14ac:dyDescent="0.25">
      <c r="A26" s="2">
        <v>46170</v>
      </c>
      <c r="B26" s="1" t="str">
        <f ca="1">IF(Información1[[#This Row],[Fecha]]='Ajuste de fechas'!$A$2,"Día actual","Día anterior")</f>
        <v>Día actual</v>
      </c>
      <c r="C26" s="3" t="s">
        <v>32</v>
      </c>
      <c r="D26" t="s">
        <v>33</v>
      </c>
      <c r="E26" s="3" t="s">
        <v>226</v>
      </c>
      <c r="F26" s="3" t="s">
        <v>19</v>
      </c>
      <c r="G26" s="3" t="s">
        <v>224</v>
      </c>
      <c r="H26" s="3" t="s">
        <v>220</v>
      </c>
      <c r="I26" s="3" t="s">
        <v>7</v>
      </c>
      <c r="J26" s="3" t="s">
        <v>47</v>
      </c>
      <c r="K26" s="3" t="s">
        <v>27</v>
      </c>
      <c r="L26" s="3" t="s">
        <v>44</v>
      </c>
      <c r="M26">
        <v>1</v>
      </c>
    </row>
    <row r="27" spans="1:13" x14ac:dyDescent="0.25">
      <c r="A27" s="2">
        <v>46170</v>
      </c>
      <c r="B27" s="1" t="str">
        <f ca="1">IF(Información1[[#This Row],[Fecha]]='Ajuste de fechas'!$A$2,"Día actual","Día anterior")</f>
        <v>Día actual</v>
      </c>
      <c r="C27" s="3" t="s">
        <v>32</v>
      </c>
      <c r="D27" t="s">
        <v>33</v>
      </c>
      <c r="E27" s="3" t="s">
        <v>227</v>
      </c>
      <c r="F27" s="3" t="s">
        <v>17</v>
      </c>
      <c r="G27" s="3" t="s">
        <v>228</v>
      </c>
      <c r="H27" s="3" t="s">
        <v>220</v>
      </c>
      <c r="I27" s="3" t="s">
        <v>7</v>
      </c>
      <c r="J27" s="3" t="s">
        <v>43</v>
      </c>
      <c r="K27" s="3" t="s">
        <v>27</v>
      </c>
      <c r="L27" s="3" t="s">
        <v>45</v>
      </c>
      <c r="M27">
        <v>1</v>
      </c>
    </row>
    <row r="28" spans="1:13" x14ac:dyDescent="0.25">
      <c r="A28" s="2">
        <v>46170</v>
      </c>
      <c r="B28" s="1" t="str">
        <f ca="1">IF(Información1[[#This Row],[Fecha]]='Ajuste de fechas'!$A$2,"Día actual","Día anterior")</f>
        <v>Día actual</v>
      </c>
      <c r="C28" s="3" t="s">
        <v>32</v>
      </c>
      <c r="D28" t="s">
        <v>33</v>
      </c>
      <c r="E28" s="3" t="s">
        <v>229</v>
      </c>
      <c r="F28" s="3" t="s">
        <v>15</v>
      </c>
      <c r="G28" s="3"/>
      <c r="H28" s="3" t="s">
        <v>220</v>
      </c>
      <c r="I28" s="3" t="s">
        <v>7</v>
      </c>
      <c r="J28" s="3" t="s">
        <v>43</v>
      </c>
      <c r="K28" s="3" t="s">
        <v>27</v>
      </c>
      <c r="L28" s="3" t="s">
        <v>45</v>
      </c>
      <c r="M28">
        <v>1</v>
      </c>
    </row>
    <row r="29" spans="1:13" x14ac:dyDescent="0.25">
      <c r="A29" s="2">
        <v>46170</v>
      </c>
      <c r="B29" s="1" t="str">
        <f ca="1">IF(Información1[[#This Row],[Fecha]]='Ajuste de fechas'!$A$2,"Día actual","Día anterior")</f>
        <v>Día actual</v>
      </c>
      <c r="C29" s="3" t="s">
        <v>32</v>
      </c>
      <c r="D29" t="s">
        <v>33</v>
      </c>
      <c r="E29" s="3" t="s">
        <v>230</v>
      </c>
      <c r="F29" s="3" t="s">
        <v>21</v>
      </c>
      <c r="G29" s="3" t="s">
        <v>231</v>
      </c>
      <c r="H29" s="3" t="s">
        <v>220</v>
      </c>
      <c r="I29" s="3" t="s">
        <v>7</v>
      </c>
      <c r="J29" s="3" t="s">
        <v>43</v>
      </c>
      <c r="K29" s="3" t="s">
        <v>27</v>
      </c>
      <c r="L29" s="3" t="s">
        <v>44</v>
      </c>
      <c r="M29">
        <v>1</v>
      </c>
    </row>
    <row r="30" spans="1:13" x14ac:dyDescent="0.25">
      <c r="A30" s="2">
        <v>46170</v>
      </c>
      <c r="B30" s="1" t="str">
        <f ca="1">IF(Información1[[#This Row],[Fecha]]='Ajuste de fechas'!$A$2,"Día actual","Día anterior")</f>
        <v>Día actual</v>
      </c>
      <c r="C30" s="3" t="s">
        <v>32</v>
      </c>
      <c r="D30" t="s">
        <v>33</v>
      </c>
      <c r="E30" s="3" t="s">
        <v>232</v>
      </c>
      <c r="F30" s="3" t="s">
        <v>26</v>
      </c>
      <c r="G30" s="3" t="s">
        <v>62</v>
      </c>
      <c r="H30" s="3" t="s">
        <v>220</v>
      </c>
      <c r="I30" s="3" t="s">
        <v>7</v>
      </c>
      <c r="J30" s="3" t="s">
        <v>43</v>
      </c>
      <c r="K30" s="3" t="s">
        <v>27</v>
      </c>
      <c r="L30" s="3" t="s">
        <v>44</v>
      </c>
      <c r="M30">
        <v>1</v>
      </c>
    </row>
    <row r="31" spans="1:13" x14ac:dyDescent="0.25">
      <c r="A31" s="2">
        <v>46170</v>
      </c>
      <c r="B31" s="1" t="str">
        <f ca="1">IF(Información1[[#This Row],[Fecha]]='Ajuste de fechas'!$A$2,"Día actual","Día anterior")</f>
        <v>Día actual</v>
      </c>
      <c r="C31" s="3" t="s">
        <v>32</v>
      </c>
      <c r="D31" t="s">
        <v>33</v>
      </c>
      <c r="E31" s="3" t="s">
        <v>233</v>
      </c>
      <c r="F31" s="3" t="s">
        <v>26</v>
      </c>
      <c r="G31" s="3" t="s">
        <v>234</v>
      </c>
      <c r="H31" s="3" t="s">
        <v>220</v>
      </c>
      <c r="I31" s="3" t="s">
        <v>7</v>
      </c>
      <c r="J31" s="3" t="s">
        <v>43</v>
      </c>
      <c r="K31" s="3" t="s">
        <v>27</v>
      </c>
      <c r="L31" s="3" t="s">
        <v>44</v>
      </c>
      <c r="M31">
        <v>1</v>
      </c>
    </row>
    <row r="32" spans="1:13" x14ac:dyDescent="0.25">
      <c r="A32" s="2">
        <v>46170</v>
      </c>
      <c r="B32" s="1" t="str">
        <f ca="1">IF(Información1[[#This Row],[Fecha]]='Ajuste de fechas'!$A$2,"Día actual","Día anterior")</f>
        <v>Día actual</v>
      </c>
      <c r="C32" s="3" t="s">
        <v>32</v>
      </c>
      <c r="D32" t="s">
        <v>33</v>
      </c>
      <c r="E32" s="3" t="s">
        <v>235</v>
      </c>
      <c r="F32" s="3" t="s">
        <v>15</v>
      </c>
      <c r="G32" s="3" t="s">
        <v>236</v>
      </c>
      <c r="H32" s="3" t="s">
        <v>220</v>
      </c>
      <c r="I32" s="3" t="s">
        <v>25</v>
      </c>
      <c r="J32" s="3" t="s">
        <v>43</v>
      </c>
      <c r="K32" s="3" t="s">
        <v>27</v>
      </c>
      <c r="L32" s="3" t="s">
        <v>45</v>
      </c>
      <c r="M32">
        <v>1</v>
      </c>
    </row>
    <row r="33" spans="1:13" x14ac:dyDescent="0.25">
      <c r="A33" s="2">
        <v>46170</v>
      </c>
      <c r="B33" s="1" t="str">
        <f ca="1">IF(Información1[[#This Row],[Fecha]]='Ajuste de fechas'!$A$2,"Día actual","Día anterior")</f>
        <v>Día actual</v>
      </c>
      <c r="C33" s="3" t="s">
        <v>32</v>
      </c>
      <c r="D33" t="s">
        <v>33</v>
      </c>
      <c r="E33" s="3" t="s">
        <v>237</v>
      </c>
      <c r="F33" s="3" t="s">
        <v>19</v>
      </c>
      <c r="G33" s="3" t="s">
        <v>194</v>
      </c>
      <c r="H33" s="3" t="s">
        <v>220</v>
      </c>
      <c r="I33" s="3" t="s">
        <v>7</v>
      </c>
      <c r="J33" s="3" t="s">
        <v>47</v>
      </c>
      <c r="K33" s="3" t="s">
        <v>27</v>
      </c>
      <c r="L33" s="3" t="s">
        <v>44</v>
      </c>
      <c r="M33">
        <v>1</v>
      </c>
    </row>
    <row r="34" spans="1:13" x14ac:dyDescent="0.25">
      <c r="A34" s="2">
        <v>46170</v>
      </c>
      <c r="B34" s="1" t="str">
        <f ca="1">IF(Información1[[#This Row],[Fecha]]='Ajuste de fechas'!$A$2,"Día actual","Día anterior")</f>
        <v>Día actual</v>
      </c>
      <c r="C34" s="3" t="s">
        <v>32</v>
      </c>
      <c r="D34" t="s">
        <v>33</v>
      </c>
      <c r="E34" s="3" t="s">
        <v>238</v>
      </c>
      <c r="F34" s="3" t="s">
        <v>23</v>
      </c>
      <c r="G34" s="3" t="s">
        <v>75</v>
      </c>
      <c r="H34" s="3" t="s">
        <v>220</v>
      </c>
      <c r="I34" s="3" t="s">
        <v>7</v>
      </c>
      <c r="J34" s="3" t="s">
        <v>43</v>
      </c>
      <c r="K34" s="3" t="s">
        <v>27</v>
      </c>
      <c r="L34" s="3" t="s">
        <v>46</v>
      </c>
      <c r="M34">
        <v>2</v>
      </c>
    </row>
    <row r="35" spans="1:13" x14ac:dyDescent="0.25">
      <c r="A35" s="2">
        <v>46170</v>
      </c>
      <c r="B35" s="1" t="str">
        <f ca="1">IF(Información1[[#This Row],[Fecha]]='Ajuste de fechas'!$A$2,"Día actual","Día anterior")</f>
        <v>Día actual</v>
      </c>
      <c r="C35" s="3" t="s">
        <v>32</v>
      </c>
      <c r="D35" t="s">
        <v>33</v>
      </c>
      <c r="E35" s="3" t="s">
        <v>239</v>
      </c>
      <c r="F35" s="3" t="s">
        <v>15</v>
      </c>
      <c r="G35" s="3"/>
      <c r="H35" s="3" t="s">
        <v>220</v>
      </c>
      <c r="I35" s="3" t="s">
        <v>7</v>
      </c>
      <c r="J35" s="3" t="s">
        <v>43</v>
      </c>
      <c r="K35" s="3" t="s">
        <v>27</v>
      </c>
      <c r="L35" s="3" t="s">
        <v>46</v>
      </c>
      <c r="M35">
        <v>1</v>
      </c>
    </row>
    <row r="36" spans="1:13" x14ac:dyDescent="0.25">
      <c r="A36" s="2">
        <v>46170</v>
      </c>
      <c r="B36" s="1" t="str">
        <f ca="1">IF(Información1[[#This Row],[Fecha]]='Ajuste de fechas'!$A$2,"Día actual","Día anterior")</f>
        <v>Día actual</v>
      </c>
      <c r="C36" s="3" t="s">
        <v>32</v>
      </c>
      <c r="D36" t="s">
        <v>33</v>
      </c>
      <c r="E36" s="3" t="s">
        <v>240</v>
      </c>
      <c r="F36" s="3" t="s">
        <v>19</v>
      </c>
      <c r="G36" s="3" t="s">
        <v>153</v>
      </c>
      <c r="H36" s="3" t="s">
        <v>220</v>
      </c>
      <c r="I36" s="3" t="s">
        <v>7</v>
      </c>
      <c r="J36" s="3" t="s">
        <v>47</v>
      </c>
      <c r="K36" s="3" t="s">
        <v>27</v>
      </c>
      <c r="L36" s="3" t="s">
        <v>44</v>
      </c>
      <c r="M36">
        <v>1</v>
      </c>
    </row>
    <row r="37" spans="1:13" x14ac:dyDescent="0.25">
      <c r="A37" s="2">
        <v>46170</v>
      </c>
      <c r="B37" s="1" t="str">
        <f ca="1">IF(Información1[[#This Row],[Fecha]]='Ajuste de fechas'!$A$2,"Día actual","Día anterior")</f>
        <v>Día actual</v>
      </c>
      <c r="C37" s="3" t="s">
        <v>32</v>
      </c>
      <c r="D37" t="s">
        <v>33</v>
      </c>
      <c r="E37" s="3" t="s">
        <v>241</v>
      </c>
      <c r="F37" s="3" t="s">
        <v>34</v>
      </c>
      <c r="G37" s="3" t="s">
        <v>242</v>
      </c>
      <c r="H37" s="3" t="s">
        <v>220</v>
      </c>
      <c r="I37" s="3" t="s">
        <v>7</v>
      </c>
      <c r="J37" s="3" t="s">
        <v>43</v>
      </c>
      <c r="K37" s="3" t="s">
        <v>27</v>
      </c>
      <c r="L37" s="3" t="s">
        <v>46</v>
      </c>
      <c r="M37">
        <v>1</v>
      </c>
    </row>
    <row r="38" spans="1:13" x14ac:dyDescent="0.25">
      <c r="A38" s="2">
        <v>46170</v>
      </c>
      <c r="B38" s="1" t="str">
        <f ca="1">IF(Información1[[#This Row],[Fecha]]='Ajuste de fechas'!$A$2,"Día actual","Día anterior")</f>
        <v>Día actual</v>
      </c>
      <c r="C38" s="3" t="s">
        <v>32</v>
      </c>
      <c r="D38" t="s">
        <v>33</v>
      </c>
      <c r="E38" s="3" t="s">
        <v>243</v>
      </c>
      <c r="F38" s="3" t="s">
        <v>26</v>
      </c>
      <c r="G38" s="3" t="s">
        <v>234</v>
      </c>
      <c r="H38" s="3" t="s">
        <v>220</v>
      </c>
      <c r="I38" s="3" t="s">
        <v>7</v>
      </c>
      <c r="J38" s="3" t="s">
        <v>43</v>
      </c>
      <c r="K38" s="3" t="s">
        <v>27</v>
      </c>
      <c r="L38" s="3" t="s">
        <v>46</v>
      </c>
      <c r="M38">
        <v>1</v>
      </c>
    </row>
    <row r="39" spans="1:13" x14ac:dyDescent="0.25">
      <c r="A39" s="2">
        <v>46170</v>
      </c>
      <c r="B39" s="1" t="str">
        <f ca="1">IF(Información1[[#This Row],[Fecha]]='Ajuste de fechas'!$A$2,"Día actual","Día anterior")</f>
        <v>Día actual</v>
      </c>
      <c r="C39" s="3" t="s">
        <v>32</v>
      </c>
      <c r="D39" t="s">
        <v>33</v>
      </c>
      <c r="E39" s="3" t="s">
        <v>244</v>
      </c>
      <c r="F39" s="3" t="s">
        <v>21</v>
      </c>
      <c r="G39" s="3" t="s">
        <v>231</v>
      </c>
      <c r="H39" s="3" t="s">
        <v>220</v>
      </c>
      <c r="I39" s="3" t="s">
        <v>7</v>
      </c>
      <c r="J39" s="3" t="s">
        <v>43</v>
      </c>
      <c r="K39" s="3" t="s">
        <v>27</v>
      </c>
      <c r="L39" s="3" t="s">
        <v>46</v>
      </c>
      <c r="M39">
        <v>1</v>
      </c>
    </row>
    <row r="40" spans="1:13" x14ac:dyDescent="0.25">
      <c r="A40" s="2">
        <v>46170</v>
      </c>
      <c r="B40" s="1" t="str">
        <f ca="1">IF(Información1[[#This Row],[Fecha]]='Ajuste de fechas'!$A$2,"Día actual","Día anterior")</f>
        <v>Día actual</v>
      </c>
      <c r="C40" s="3" t="s">
        <v>32</v>
      </c>
      <c r="D40" t="s">
        <v>33</v>
      </c>
      <c r="E40" s="3" t="s">
        <v>245</v>
      </c>
      <c r="F40" s="3" t="s">
        <v>15</v>
      </c>
      <c r="G40" s="3" t="s">
        <v>246</v>
      </c>
      <c r="H40" s="3" t="s">
        <v>220</v>
      </c>
      <c r="I40" s="3" t="s">
        <v>7</v>
      </c>
      <c r="J40" s="3" t="s">
        <v>43</v>
      </c>
      <c r="K40" s="3" t="s">
        <v>27</v>
      </c>
      <c r="L40" s="3" t="s">
        <v>46</v>
      </c>
      <c r="M40">
        <v>1</v>
      </c>
    </row>
    <row r="41" spans="1:13" x14ac:dyDescent="0.25">
      <c r="A41" s="2">
        <v>46170</v>
      </c>
      <c r="B41" s="1" t="str">
        <f ca="1">IF(Información1[[#This Row],[Fecha]]='Ajuste de fechas'!$A$2,"Día actual","Día anterior")</f>
        <v>Día actual</v>
      </c>
      <c r="C41" s="3" t="s">
        <v>32</v>
      </c>
      <c r="D41" t="s">
        <v>33</v>
      </c>
      <c r="E41" s="3" t="s">
        <v>229</v>
      </c>
      <c r="F41" s="3" t="s">
        <v>15</v>
      </c>
      <c r="G41" s="3"/>
      <c r="H41" s="3" t="s">
        <v>220</v>
      </c>
      <c r="I41" s="3" t="s">
        <v>25</v>
      </c>
      <c r="J41" s="3" t="s">
        <v>43</v>
      </c>
      <c r="K41" s="3" t="s">
        <v>27</v>
      </c>
      <c r="L41" s="3" t="s">
        <v>45</v>
      </c>
      <c r="M41">
        <v>1</v>
      </c>
    </row>
    <row r="42" spans="1:13" x14ac:dyDescent="0.25">
      <c r="A42" s="2">
        <v>46170</v>
      </c>
      <c r="B42" s="1" t="str">
        <f ca="1">IF(Información1[[#This Row],[Fecha]]='Ajuste de fechas'!$A$2,"Día actual","Día anterior")</f>
        <v>Día actual</v>
      </c>
      <c r="C42" s="3" t="s">
        <v>57</v>
      </c>
      <c r="D42" t="s">
        <v>58</v>
      </c>
      <c r="E42" s="3" t="s">
        <v>247</v>
      </c>
      <c r="F42" s="3" t="s">
        <v>22</v>
      </c>
      <c r="G42" s="3" t="s">
        <v>248</v>
      </c>
      <c r="H42" s="3" t="s">
        <v>11</v>
      </c>
      <c r="I42" s="3" t="s">
        <v>7</v>
      </c>
      <c r="J42" s="3" t="s">
        <v>48</v>
      </c>
      <c r="K42" s="3" t="s">
        <v>59</v>
      </c>
      <c r="L42" s="3" t="s">
        <v>44</v>
      </c>
      <c r="M42">
        <v>1</v>
      </c>
    </row>
    <row r="43" spans="1:13" x14ac:dyDescent="0.25">
      <c r="A43" s="2">
        <v>46170</v>
      </c>
      <c r="B43" s="1" t="str">
        <f ca="1">IF(Información1[[#This Row],[Fecha]]='Ajuste de fechas'!$A$2,"Día actual","Día anterior")</f>
        <v>Día actual</v>
      </c>
      <c r="C43" s="3" t="s">
        <v>57</v>
      </c>
      <c r="D43" t="s">
        <v>58</v>
      </c>
      <c r="E43" s="3" t="s">
        <v>249</v>
      </c>
      <c r="F43" s="3" t="s">
        <v>19</v>
      </c>
      <c r="G43" s="3" t="s">
        <v>88</v>
      </c>
      <c r="H43" s="3" t="s">
        <v>11</v>
      </c>
      <c r="I43" s="3" t="s">
        <v>7</v>
      </c>
      <c r="J43" s="3" t="s">
        <v>47</v>
      </c>
      <c r="K43" s="3" t="s">
        <v>59</v>
      </c>
      <c r="L43" s="3" t="s">
        <v>44</v>
      </c>
      <c r="M43">
        <v>1</v>
      </c>
    </row>
    <row r="44" spans="1:13" x14ac:dyDescent="0.25">
      <c r="A44" s="2">
        <v>46170</v>
      </c>
      <c r="B44" s="1" t="str">
        <f ca="1">IF(Información1[[#This Row],[Fecha]]='Ajuste de fechas'!$A$2,"Día actual","Día anterior")</f>
        <v>Día actual</v>
      </c>
      <c r="C44" s="3" t="s">
        <v>57</v>
      </c>
      <c r="D44" t="s">
        <v>58</v>
      </c>
      <c r="E44" s="3" t="s">
        <v>250</v>
      </c>
      <c r="F44" s="3" t="s">
        <v>19</v>
      </c>
      <c r="G44" s="3" t="s">
        <v>251</v>
      </c>
      <c r="H44" s="3" t="s">
        <v>11</v>
      </c>
      <c r="I44" s="3" t="s">
        <v>7</v>
      </c>
      <c r="J44" s="3" t="s">
        <v>47</v>
      </c>
      <c r="K44" s="3" t="s">
        <v>59</v>
      </c>
      <c r="L44" s="3" t="s">
        <v>44</v>
      </c>
      <c r="M44">
        <v>1</v>
      </c>
    </row>
    <row r="45" spans="1:13" x14ac:dyDescent="0.25">
      <c r="A45" s="2">
        <v>46170</v>
      </c>
      <c r="B45" s="1" t="str">
        <f ca="1">IF(Información1[[#This Row],[Fecha]]='Ajuste de fechas'!$A$2,"Día actual","Día anterior")</f>
        <v>Día actual</v>
      </c>
      <c r="C45" s="3" t="s">
        <v>57</v>
      </c>
      <c r="D45" t="s">
        <v>58</v>
      </c>
      <c r="E45" s="3" t="s">
        <v>252</v>
      </c>
      <c r="F45" s="3" t="s">
        <v>94</v>
      </c>
      <c r="G45" s="3" t="s">
        <v>125</v>
      </c>
      <c r="H45" s="3" t="s">
        <v>11</v>
      </c>
      <c r="I45" s="3" t="s">
        <v>7</v>
      </c>
      <c r="J45" s="3" t="s">
        <v>43</v>
      </c>
      <c r="K45" s="3" t="s">
        <v>59</v>
      </c>
      <c r="L45" s="3" t="s">
        <v>44</v>
      </c>
      <c r="M45">
        <v>1</v>
      </c>
    </row>
    <row r="46" spans="1:13" x14ac:dyDescent="0.25">
      <c r="A46" s="2">
        <v>46170</v>
      </c>
      <c r="B46" s="1" t="str">
        <f ca="1">IF(Información1[[#This Row],[Fecha]]='Ajuste de fechas'!$A$2,"Día actual","Día anterior")</f>
        <v>Día actual</v>
      </c>
      <c r="C46" s="3" t="s">
        <v>57</v>
      </c>
      <c r="D46" t="s">
        <v>58</v>
      </c>
      <c r="E46" s="3" t="s">
        <v>173</v>
      </c>
      <c r="F46" s="3" t="s">
        <v>53</v>
      </c>
      <c r="G46" s="3" t="s">
        <v>83</v>
      </c>
      <c r="H46" s="3" t="s">
        <v>11</v>
      </c>
      <c r="I46" s="3" t="s">
        <v>7</v>
      </c>
      <c r="J46" s="3" t="s">
        <v>43</v>
      </c>
      <c r="K46" s="3" t="s">
        <v>59</v>
      </c>
      <c r="L46" s="3" t="s">
        <v>46</v>
      </c>
      <c r="M46">
        <v>1</v>
      </c>
    </row>
    <row r="47" spans="1:13" x14ac:dyDescent="0.25">
      <c r="A47" s="2">
        <v>46170</v>
      </c>
      <c r="B47" s="1" t="str">
        <f ca="1">IF(Información1[[#This Row],[Fecha]]='Ajuste de fechas'!$A$2,"Día actual","Día anterior")</f>
        <v>Día actual</v>
      </c>
      <c r="C47" s="3" t="s">
        <v>57</v>
      </c>
      <c r="D47" t="s">
        <v>58</v>
      </c>
      <c r="E47" s="3" t="s">
        <v>253</v>
      </c>
      <c r="F47" s="3" t="s">
        <v>53</v>
      </c>
      <c r="G47" s="3" t="s">
        <v>204</v>
      </c>
      <c r="H47" s="3" t="s">
        <v>11</v>
      </c>
      <c r="I47" s="3" t="s">
        <v>7</v>
      </c>
      <c r="J47" s="3" t="s">
        <v>43</v>
      </c>
      <c r="K47" s="3" t="s">
        <v>59</v>
      </c>
      <c r="L47" s="3" t="s">
        <v>46</v>
      </c>
      <c r="M47">
        <v>1</v>
      </c>
    </row>
    <row r="48" spans="1:13" x14ac:dyDescent="0.25">
      <c r="A48" s="2">
        <v>46170</v>
      </c>
      <c r="B48" s="1" t="str">
        <f ca="1">IF(Información1[[#This Row],[Fecha]]='Ajuste de fechas'!$A$2,"Día actual","Día anterior")</f>
        <v>Día actual</v>
      </c>
      <c r="C48" s="3" t="s">
        <v>57</v>
      </c>
      <c r="D48" t="s">
        <v>58</v>
      </c>
      <c r="E48" s="3" t="s">
        <v>245</v>
      </c>
      <c r="F48" s="3" t="s">
        <v>15</v>
      </c>
      <c r="G48" s="3" t="s">
        <v>246</v>
      </c>
      <c r="H48" s="3" t="s">
        <v>11</v>
      </c>
      <c r="I48" s="3" t="s">
        <v>7</v>
      </c>
      <c r="J48" s="3" t="s">
        <v>43</v>
      </c>
      <c r="K48" s="3" t="s">
        <v>59</v>
      </c>
      <c r="L48" s="3" t="s">
        <v>46</v>
      </c>
      <c r="M48">
        <v>1</v>
      </c>
    </row>
    <row r="49" spans="1:13" x14ac:dyDescent="0.25">
      <c r="A49" s="2">
        <v>46170</v>
      </c>
      <c r="B49" s="1" t="str">
        <f ca="1">IF(Información1[[#This Row],[Fecha]]='Ajuste de fechas'!$A$2,"Día actual","Día anterior")</f>
        <v>Día actual</v>
      </c>
      <c r="C49" s="3" t="s">
        <v>57</v>
      </c>
      <c r="D49" t="s">
        <v>58</v>
      </c>
      <c r="E49" s="3" t="s">
        <v>254</v>
      </c>
      <c r="F49" s="3" t="s">
        <v>15</v>
      </c>
      <c r="G49" s="3" t="s">
        <v>255</v>
      </c>
      <c r="H49" s="3" t="s">
        <v>11</v>
      </c>
      <c r="I49" s="3" t="s">
        <v>7</v>
      </c>
      <c r="J49" s="3" t="s">
        <v>43</v>
      </c>
      <c r="K49" s="3" t="s">
        <v>59</v>
      </c>
      <c r="L49" s="3" t="s">
        <v>46</v>
      </c>
      <c r="M49">
        <v>1</v>
      </c>
    </row>
    <row r="50" spans="1:13" x14ac:dyDescent="0.25">
      <c r="A50" s="2">
        <v>46170</v>
      </c>
      <c r="B50" s="1" t="str">
        <f ca="1">IF(Información1[[#This Row],[Fecha]]='Ajuste de fechas'!$A$2,"Día actual","Día anterior")</f>
        <v>Día actual</v>
      </c>
      <c r="C50" s="3" t="s">
        <v>57</v>
      </c>
      <c r="D50" t="s">
        <v>58</v>
      </c>
      <c r="E50" s="3" t="s">
        <v>244</v>
      </c>
      <c r="F50" s="3" t="s">
        <v>21</v>
      </c>
      <c r="G50" s="3" t="s">
        <v>231</v>
      </c>
      <c r="H50" s="3" t="s">
        <v>11</v>
      </c>
      <c r="I50" s="3" t="s">
        <v>7</v>
      </c>
      <c r="J50" s="3" t="s">
        <v>43</v>
      </c>
      <c r="K50" s="3" t="s">
        <v>59</v>
      </c>
      <c r="L50" s="3" t="s">
        <v>46</v>
      </c>
      <c r="M50">
        <v>1</v>
      </c>
    </row>
    <row r="51" spans="1:13" x14ac:dyDescent="0.25">
      <c r="A51" s="2">
        <v>46170</v>
      </c>
      <c r="B51" s="1" t="str">
        <f ca="1">IF(Información1[[#This Row],[Fecha]]='Ajuste de fechas'!$A$2,"Día actual","Día anterior")</f>
        <v>Día actual</v>
      </c>
      <c r="C51" s="3" t="s">
        <v>57</v>
      </c>
      <c r="D51" t="s">
        <v>58</v>
      </c>
      <c r="E51" s="3" t="s">
        <v>256</v>
      </c>
      <c r="F51" s="3" t="s">
        <v>34</v>
      </c>
      <c r="G51" s="3" t="s">
        <v>242</v>
      </c>
      <c r="H51" s="3" t="s">
        <v>11</v>
      </c>
      <c r="I51" s="3" t="s">
        <v>7</v>
      </c>
      <c r="J51" s="3" t="s">
        <v>43</v>
      </c>
      <c r="K51" s="3" t="s">
        <v>59</v>
      </c>
      <c r="L51" s="3" t="s">
        <v>46</v>
      </c>
      <c r="M51">
        <v>1</v>
      </c>
    </row>
    <row r="52" spans="1:13" x14ac:dyDescent="0.25">
      <c r="A52" s="2">
        <v>46170</v>
      </c>
      <c r="B52" s="1" t="str">
        <f ca="1">IF(Información1[[#This Row],[Fecha]]='Ajuste de fechas'!$A$2,"Día actual","Día anterior")</f>
        <v>Día actual</v>
      </c>
      <c r="C52" s="3" t="s">
        <v>57</v>
      </c>
      <c r="D52" t="s">
        <v>58</v>
      </c>
      <c r="E52" s="3" t="s">
        <v>257</v>
      </c>
      <c r="F52" s="3" t="s">
        <v>26</v>
      </c>
      <c r="G52" s="3" t="s">
        <v>234</v>
      </c>
      <c r="H52" s="3" t="s">
        <v>11</v>
      </c>
      <c r="I52" s="3" t="s">
        <v>7</v>
      </c>
      <c r="J52" s="3" t="s">
        <v>43</v>
      </c>
      <c r="K52" s="3" t="s">
        <v>59</v>
      </c>
      <c r="L52" s="3" t="s">
        <v>46</v>
      </c>
      <c r="M52">
        <v>1</v>
      </c>
    </row>
    <row r="53" spans="1:13" x14ac:dyDescent="0.25">
      <c r="A53" s="2">
        <v>46169</v>
      </c>
      <c r="B53" s="1" t="str">
        <f ca="1">IF(Información1[[#This Row],[Fecha]]='Ajuste de fechas'!$A$2,"Día actual","Día anterior")</f>
        <v>Día anterior</v>
      </c>
      <c r="C53" s="3" t="s">
        <v>113</v>
      </c>
      <c r="D53" t="s">
        <v>258</v>
      </c>
      <c r="E53" s="3" t="s">
        <v>180</v>
      </c>
      <c r="F53" s="3" t="s">
        <v>66</v>
      </c>
      <c r="G53" s="3" t="s">
        <v>181</v>
      </c>
      <c r="H53" s="3" t="s">
        <v>11</v>
      </c>
      <c r="I53" s="3" t="s">
        <v>7</v>
      </c>
      <c r="J53" s="3" t="s">
        <v>43</v>
      </c>
      <c r="K53" s="3" t="s">
        <v>259</v>
      </c>
      <c r="L53" s="3" t="s">
        <v>46</v>
      </c>
      <c r="M53">
        <v>1</v>
      </c>
    </row>
    <row r="54" spans="1:13" x14ac:dyDescent="0.25">
      <c r="A54" s="2">
        <v>46169</v>
      </c>
      <c r="B54" s="1" t="str">
        <f ca="1">IF(Información1[[#This Row],[Fecha]]='Ajuste de fechas'!$A$2,"Día actual","Día anterior")</f>
        <v>Día anterior</v>
      </c>
      <c r="C54" s="3" t="s">
        <v>113</v>
      </c>
      <c r="D54" t="s">
        <v>258</v>
      </c>
      <c r="E54" s="3" t="s">
        <v>260</v>
      </c>
      <c r="F54" s="3" t="s">
        <v>73</v>
      </c>
      <c r="G54" s="3" t="s">
        <v>261</v>
      </c>
      <c r="H54" s="3" t="s">
        <v>11</v>
      </c>
      <c r="I54" s="3" t="s">
        <v>7</v>
      </c>
      <c r="J54" s="3" t="s">
        <v>43</v>
      </c>
      <c r="K54" s="3" t="s">
        <v>259</v>
      </c>
      <c r="L54" s="3" t="s">
        <v>46</v>
      </c>
      <c r="M54">
        <v>1</v>
      </c>
    </row>
    <row r="55" spans="1:13" x14ac:dyDescent="0.25">
      <c r="A55" s="2">
        <v>46170</v>
      </c>
      <c r="B55" s="1" t="str">
        <f ca="1">IF(Información1[[#This Row],[Fecha]]='Ajuste de fechas'!$A$2,"Día actual","Día anterior")</f>
        <v>Día actual</v>
      </c>
      <c r="C55" s="3" t="s">
        <v>113</v>
      </c>
      <c r="D55" t="s">
        <v>114</v>
      </c>
      <c r="E55" s="3" t="s">
        <v>254</v>
      </c>
      <c r="F55" s="3" t="s">
        <v>15</v>
      </c>
      <c r="G55" s="3" t="s">
        <v>255</v>
      </c>
      <c r="H55" s="3" t="s">
        <v>11</v>
      </c>
      <c r="I55" s="3" t="s">
        <v>7</v>
      </c>
      <c r="J55" s="3" t="s">
        <v>43</v>
      </c>
      <c r="K55" s="3" t="s">
        <v>117</v>
      </c>
      <c r="L55" s="3" t="s">
        <v>46</v>
      </c>
      <c r="M55">
        <v>1</v>
      </c>
    </row>
    <row r="56" spans="1:13" x14ac:dyDescent="0.25">
      <c r="A56" s="2">
        <v>46170</v>
      </c>
      <c r="B56" s="1" t="str">
        <f ca="1">IF(Información1[[#This Row],[Fecha]]='Ajuste de fechas'!$A$2,"Día actual","Día anterior")</f>
        <v>Día actual</v>
      </c>
      <c r="C56" s="3" t="s">
        <v>113</v>
      </c>
      <c r="D56" t="s">
        <v>114</v>
      </c>
      <c r="E56" s="3" t="s">
        <v>262</v>
      </c>
      <c r="F56" s="3" t="s">
        <v>26</v>
      </c>
      <c r="G56" s="3" t="s">
        <v>234</v>
      </c>
      <c r="H56" s="3" t="s">
        <v>11</v>
      </c>
      <c r="I56" s="3" t="s">
        <v>7</v>
      </c>
      <c r="J56" s="3" t="s">
        <v>43</v>
      </c>
      <c r="K56" s="3" t="s">
        <v>117</v>
      </c>
      <c r="L56" s="3" t="s">
        <v>46</v>
      </c>
      <c r="M56">
        <v>1</v>
      </c>
    </row>
    <row r="57" spans="1:13" x14ac:dyDescent="0.25">
      <c r="A57" s="2">
        <v>46169</v>
      </c>
      <c r="B57" s="1" t="str">
        <f ca="1">IF(Información1[[#This Row],[Fecha]]='Ajuste de fechas'!$A$2,"Día actual","Día anterior")</f>
        <v>Día anterior</v>
      </c>
      <c r="C57" s="3" t="s">
        <v>113</v>
      </c>
      <c r="D57" t="s">
        <v>258</v>
      </c>
      <c r="E57" s="3" t="s">
        <v>185</v>
      </c>
      <c r="F57" s="3" t="s">
        <v>34</v>
      </c>
      <c r="G57" s="3" t="s">
        <v>153</v>
      </c>
      <c r="H57" s="3" t="s">
        <v>11</v>
      </c>
      <c r="I57" s="3" t="s">
        <v>7</v>
      </c>
      <c r="J57" s="3" t="s">
        <v>43</v>
      </c>
      <c r="K57" s="3" t="s">
        <v>259</v>
      </c>
      <c r="L57" s="3" t="s">
        <v>46</v>
      </c>
      <c r="M57">
        <v>1</v>
      </c>
    </row>
    <row r="58" spans="1:13" x14ac:dyDescent="0.25">
      <c r="A58" s="2">
        <v>46170</v>
      </c>
      <c r="B58" s="1" t="str">
        <f ca="1">IF(Información1[[#This Row],[Fecha]]='Ajuste de fechas'!$A$2,"Día actual","Día anterior")</f>
        <v>Día actual</v>
      </c>
      <c r="C58" s="3" t="s">
        <v>113</v>
      </c>
      <c r="D58" t="s">
        <v>114</v>
      </c>
      <c r="E58" s="3" t="s">
        <v>241</v>
      </c>
      <c r="F58" s="3" t="s">
        <v>34</v>
      </c>
      <c r="G58" s="3" t="s">
        <v>242</v>
      </c>
      <c r="H58" s="3" t="s">
        <v>11</v>
      </c>
      <c r="I58" s="3" t="s">
        <v>7</v>
      </c>
      <c r="J58" s="3" t="s">
        <v>43</v>
      </c>
      <c r="K58" s="3" t="s">
        <v>117</v>
      </c>
      <c r="L58" s="3" t="s">
        <v>46</v>
      </c>
      <c r="M58">
        <v>1</v>
      </c>
    </row>
    <row r="59" spans="1:13" x14ac:dyDescent="0.25">
      <c r="A59" s="2">
        <v>46170</v>
      </c>
      <c r="B59" s="1" t="str">
        <f ca="1">IF(Información1[[#This Row],[Fecha]]='Ajuste de fechas'!$A$2,"Día actual","Día anterior")</f>
        <v>Día actual</v>
      </c>
      <c r="C59" s="3" t="s">
        <v>55</v>
      </c>
      <c r="D59" t="s">
        <v>93</v>
      </c>
      <c r="E59" s="3" t="s">
        <v>263</v>
      </c>
      <c r="F59" s="3" t="s">
        <v>22</v>
      </c>
      <c r="G59" s="3"/>
      <c r="H59" s="3" t="s">
        <v>11</v>
      </c>
      <c r="I59" s="3" t="s">
        <v>7</v>
      </c>
      <c r="J59" s="3" t="s">
        <v>48</v>
      </c>
      <c r="K59" s="3" t="s">
        <v>167</v>
      </c>
      <c r="L59" s="3" t="s">
        <v>89</v>
      </c>
      <c r="M59">
        <v>1</v>
      </c>
    </row>
    <row r="60" spans="1:13" x14ac:dyDescent="0.25">
      <c r="A60" s="2">
        <v>46170</v>
      </c>
      <c r="B60" s="1" t="str">
        <f ca="1">IF(Información1[[#This Row],[Fecha]]='Ajuste de fechas'!$A$2,"Día actual","Día anterior")</f>
        <v>Día actual</v>
      </c>
      <c r="C60" s="3" t="s">
        <v>55</v>
      </c>
      <c r="D60" t="s">
        <v>93</v>
      </c>
      <c r="E60" s="3" t="s">
        <v>264</v>
      </c>
      <c r="F60" s="3" t="s">
        <v>19</v>
      </c>
      <c r="G60" s="3" t="s">
        <v>265</v>
      </c>
      <c r="H60" s="3" t="s">
        <v>11</v>
      </c>
      <c r="I60" s="3" t="s">
        <v>7</v>
      </c>
      <c r="J60" s="3" t="s">
        <v>47</v>
      </c>
      <c r="K60" s="3" t="s">
        <v>56</v>
      </c>
      <c r="L60" s="3" t="s">
        <v>44</v>
      </c>
      <c r="M60">
        <v>1</v>
      </c>
    </row>
    <row r="61" spans="1:13" x14ac:dyDescent="0.25">
      <c r="A61" s="2">
        <v>46170</v>
      </c>
      <c r="B61" s="1" t="str">
        <f ca="1">IF(Información1[[#This Row],[Fecha]]='Ajuste de fechas'!$A$2,"Día actual","Día anterior")</f>
        <v>Día actual</v>
      </c>
      <c r="C61" s="3" t="s">
        <v>55</v>
      </c>
      <c r="D61" t="s">
        <v>93</v>
      </c>
      <c r="E61" s="3" t="s">
        <v>266</v>
      </c>
      <c r="F61" s="3" t="s">
        <v>21</v>
      </c>
      <c r="G61" s="3" t="s">
        <v>197</v>
      </c>
      <c r="H61" s="3" t="s">
        <v>11</v>
      </c>
      <c r="I61" s="3" t="s">
        <v>25</v>
      </c>
      <c r="J61" s="3" t="s">
        <v>43</v>
      </c>
      <c r="K61" s="3" t="s">
        <v>9</v>
      </c>
      <c r="L61" s="3" t="s">
        <v>45</v>
      </c>
      <c r="M61">
        <v>1</v>
      </c>
    </row>
    <row r="62" spans="1:13" x14ac:dyDescent="0.25">
      <c r="A62" s="2">
        <v>46170</v>
      </c>
      <c r="B62" s="1" t="str">
        <f ca="1">IF(Información1[[#This Row],[Fecha]]='Ajuste de fechas'!$A$2,"Día actual","Día anterior")</f>
        <v>Día actual</v>
      </c>
      <c r="C62" s="3" t="s">
        <v>55</v>
      </c>
      <c r="D62" t="s">
        <v>93</v>
      </c>
      <c r="E62" s="3" t="s">
        <v>267</v>
      </c>
      <c r="F62" s="3" t="s">
        <v>53</v>
      </c>
      <c r="G62" s="3" t="s">
        <v>204</v>
      </c>
      <c r="H62" s="3" t="s">
        <v>11</v>
      </c>
      <c r="I62" s="3" t="s">
        <v>7</v>
      </c>
      <c r="J62" s="3" t="s">
        <v>43</v>
      </c>
      <c r="K62" s="3" t="s">
        <v>56</v>
      </c>
      <c r="L62" s="3" t="s">
        <v>44</v>
      </c>
      <c r="M62">
        <v>1</v>
      </c>
    </row>
    <row r="63" spans="1:13" x14ac:dyDescent="0.25">
      <c r="A63" s="2">
        <v>46170</v>
      </c>
      <c r="B63" s="1" t="str">
        <f ca="1">IF(Información1[[#This Row],[Fecha]]='Ajuste de fechas'!$A$2,"Día actual","Día anterior")</f>
        <v>Día actual</v>
      </c>
      <c r="C63" s="3" t="s">
        <v>55</v>
      </c>
      <c r="D63" t="s">
        <v>93</v>
      </c>
      <c r="E63" s="3" t="s">
        <v>268</v>
      </c>
      <c r="F63" s="3" t="s">
        <v>23</v>
      </c>
      <c r="G63" s="3" t="s">
        <v>194</v>
      </c>
      <c r="H63" s="3" t="s">
        <v>11</v>
      </c>
      <c r="I63" s="3" t="s">
        <v>7</v>
      </c>
      <c r="J63" s="3" t="s">
        <v>43</v>
      </c>
      <c r="K63" s="3" t="s">
        <v>56</v>
      </c>
      <c r="L63" s="3" t="s">
        <v>44</v>
      </c>
      <c r="M63">
        <v>1</v>
      </c>
    </row>
    <row r="64" spans="1:13" x14ac:dyDescent="0.25">
      <c r="A64" s="2">
        <v>46170</v>
      </c>
      <c r="B64" s="1" t="str">
        <f ca="1">IF(Información1[[#This Row],[Fecha]]='Ajuste de fechas'!$A$2,"Día actual","Día anterior")</f>
        <v>Día actual</v>
      </c>
      <c r="C64" s="3" t="s">
        <v>55</v>
      </c>
      <c r="D64" t="s">
        <v>60</v>
      </c>
      <c r="E64" s="3" t="s">
        <v>269</v>
      </c>
      <c r="F64" s="3" t="s">
        <v>19</v>
      </c>
      <c r="G64" s="3" t="s">
        <v>61</v>
      </c>
      <c r="H64" s="3" t="s">
        <v>11</v>
      </c>
      <c r="I64" s="3" t="s">
        <v>7</v>
      </c>
      <c r="J64" s="3" t="s">
        <v>47</v>
      </c>
      <c r="K64" s="3" t="s">
        <v>54</v>
      </c>
      <c r="L64" s="3" t="s">
        <v>44</v>
      </c>
      <c r="M64">
        <v>1</v>
      </c>
    </row>
    <row r="65" spans="1:13" x14ac:dyDescent="0.25">
      <c r="A65" s="2">
        <v>46170</v>
      </c>
      <c r="B65" s="1" t="str">
        <f ca="1">IF(Información1[[#This Row],[Fecha]]='Ajuste de fechas'!$A$2,"Día actual","Día anterior")</f>
        <v>Día actual</v>
      </c>
      <c r="C65" s="3" t="s">
        <v>55</v>
      </c>
      <c r="D65" t="s">
        <v>60</v>
      </c>
      <c r="E65" s="3" t="s">
        <v>270</v>
      </c>
      <c r="F65" s="3" t="s">
        <v>19</v>
      </c>
      <c r="G65" s="3" t="s">
        <v>84</v>
      </c>
      <c r="H65" s="3" t="s">
        <v>11</v>
      </c>
      <c r="I65" s="3" t="s">
        <v>7</v>
      </c>
      <c r="J65" s="3" t="s">
        <v>47</v>
      </c>
      <c r="K65" s="3" t="s">
        <v>56</v>
      </c>
      <c r="L65" s="3" t="s">
        <v>44</v>
      </c>
      <c r="M65">
        <v>1</v>
      </c>
    </row>
    <row r="66" spans="1:13" x14ac:dyDescent="0.25">
      <c r="A66" s="2">
        <v>46170</v>
      </c>
      <c r="B66" s="1" t="str">
        <f ca="1">IF(Información1[[#This Row],[Fecha]]='Ajuste de fechas'!$A$2,"Día actual","Día anterior")</f>
        <v>Día actual</v>
      </c>
      <c r="C66" s="3" t="s">
        <v>55</v>
      </c>
      <c r="D66" t="s">
        <v>60</v>
      </c>
      <c r="E66" s="3" t="s">
        <v>271</v>
      </c>
      <c r="F66" s="3" t="s">
        <v>26</v>
      </c>
      <c r="G66" s="3" t="s">
        <v>87</v>
      </c>
      <c r="H66" s="3" t="s">
        <v>11</v>
      </c>
      <c r="I66" s="3" t="s">
        <v>7</v>
      </c>
      <c r="J66" s="3" t="s">
        <v>43</v>
      </c>
      <c r="K66" s="3" t="s">
        <v>56</v>
      </c>
      <c r="L66" s="3" t="s">
        <v>44</v>
      </c>
      <c r="M66">
        <v>1</v>
      </c>
    </row>
    <row r="67" spans="1:13" x14ac:dyDescent="0.25">
      <c r="A67" s="2">
        <v>46170</v>
      </c>
      <c r="B67" s="1" t="str">
        <f ca="1">IF(Información1[[#This Row],[Fecha]]='Ajuste de fechas'!$A$2,"Día actual","Día anterior")</f>
        <v>Día actual</v>
      </c>
      <c r="C67" s="3" t="s">
        <v>55</v>
      </c>
      <c r="D67" t="s">
        <v>60</v>
      </c>
      <c r="E67" s="3" t="s">
        <v>269</v>
      </c>
      <c r="F67" s="3" t="s">
        <v>272</v>
      </c>
      <c r="G67" s="3" t="s">
        <v>61</v>
      </c>
      <c r="H67" s="3" t="s">
        <v>11</v>
      </c>
      <c r="I67" s="3" t="s">
        <v>7</v>
      </c>
      <c r="J67" s="3" t="s">
        <v>43</v>
      </c>
      <c r="K67" s="3" t="s">
        <v>54</v>
      </c>
      <c r="L67" s="3" t="s">
        <v>44</v>
      </c>
      <c r="M67">
        <v>1</v>
      </c>
    </row>
    <row r="68" spans="1:13" x14ac:dyDescent="0.25">
      <c r="A68" s="2">
        <v>46170</v>
      </c>
      <c r="B68" s="1" t="str">
        <f ca="1">IF(Información1[[#This Row],[Fecha]]='Ajuste de fechas'!$A$2,"Día actual","Día anterior")</f>
        <v>Día actual</v>
      </c>
      <c r="C68" s="3" t="s">
        <v>55</v>
      </c>
      <c r="D68" t="s">
        <v>60</v>
      </c>
      <c r="E68" s="3" t="s">
        <v>273</v>
      </c>
      <c r="F68" s="3" t="s">
        <v>53</v>
      </c>
      <c r="G68" s="3" t="s">
        <v>274</v>
      </c>
      <c r="H68" s="3" t="s">
        <v>11</v>
      </c>
      <c r="I68" s="3" t="s">
        <v>7</v>
      </c>
      <c r="J68" s="3" t="s">
        <v>43</v>
      </c>
      <c r="K68" s="3" t="s">
        <v>56</v>
      </c>
      <c r="L68" s="3" t="s">
        <v>44</v>
      </c>
      <c r="M68">
        <v>1</v>
      </c>
    </row>
    <row r="69" spans="1:13" x14ac:dyDescent="0.25">
      <c r="A69" s="2">
        <v>46170</v>
      </c>
      <c r="B69" s="1" t="str">
        <f ca="1">IF(Información1[[#This Row],[Fecha]]='Ajuste de fechas'!$A$2,"Día actual","Día anterior")</f>
        <v>Día actual</v>
      </c>
      <c r="C69" s="3" t="s">
        <v>55</v>
      </c>
      <c r="D69" t="s">
        <v>60</v>
      </c>
      <c r="E69" s="3" t="s">
        <v>275</v>
      </c>
      <c r="F69" s="3" t="s">
        <v>21</v>
      </c>
      <c r="G69" s="3" t="s">
        <v>276</v>
      </c>
      <c r="H69" s="3" t="s">
        <v>11</v>
      </c>
      <c r="I69" s="3" t="s">
        <v>12</v>
      </c>
      <c r="J69" s="3" t="s">
        <v>43</v>
      </c>
      <c r="K69" s="3" t="s">
        <v>54</v>
      </c>
      <c r="L69" s="3" t="s">
        <v>44</v>
      </c>
      <c r="M69">
        <v>1</v>
      </c>
    </row>
    <row r="70" spans="1:13" x14ac:dyDescent="0.25">
      <c r="A70" s="2">
        <v>46170</v>
      </c>
      <c r="B70" s="1" t="str">
        <f ca="1">IF(Información1[[#This Row],[Fecha]]='Ajuste de fechas'!$A$2,"Día actual","Día anterior")</f>
        <v>Día actual</v>
      </c>
      <c r="C70" s="3" t="s">
        <v>55</v>
      </c>
      <c r="D70" t="s">
        <v>60</v>
      </c>
      <c r="E70" s="3" t="s">
        <v>277</v>
      </c>
      <c r="F70" s="3" t="s">
        <v>21</v>
      </c>
      <c r="G70" s="3" t="s">
        <v>278</v>
      </c>
      <c r="H70" s="3" t="s">
        <v>11</v>
      </c>
      <c r="I70" s="3" t="s">
        <v>12</v>
      </c>
      <c r="J70" s="3" t="s">
        <v>43</v>
      </c>
      <c r="K70" s="3" t="s">
        <v>54</v>
      </c>
      <c r="L70" s="3" t="s">
        <v>44</v>
      </c>
      <c r="M70">
        <v>1</v>
      </c>
    </row>
    <row r="71" spans="1:13" x14ac:dyDescent="0.25">
      <c r="A71" s="2">
        <v>46170</v>
      </c>
      <c r="B71" s="1" t="str">
        <f ca="1">IF(Información1[[#This Row],[Fecha]]='Ajuste de fechas'!$A$2,"Día actual","Día anterior")</f>
        <v>Día actual</v>
      </c>
      <c r="C71" s="3" t="s">
        <v>55</v>
      </c>
      <c r="D71" t="s">
        <v>60</v>
      </c>
      <c r="E71" s="3" t="s">
        <v>279</v>
      </c>
      <c r="F71" s="3" t="s">
        <v>76</v>
      </c>
      <c r="G71" s="3" t="s">
        <v>280</v>
      </c>
      <c r="H71" s="3" t="s">
        <v>11</v>
      </c>
      <c r="I71" s="3" t="s">
        <v>7</v>
      </c>
      <c r="J71" s="3" t="s">
        <v>43</v>
      </c>
      <c r="K71" s="3" t="s">
        <v>54</v>
      </c>
      <c r="L71" s="3" t="s">
        <v>46</v>
      </c>
      <c r="M71">
        <v>1</v>
      </c>
    </row>
    <row r="72" spans="1:13" x14ac:dyDescent="0.25">
      <c r="A72" s="2">
        <v>46170</v>
      </c>
      <c r="B72" s="1" t="str">
        <f ca="1">IF(Información1[[#This Row],[Fecha]]='Ajuste de fechas'!$A$2,"Día actual","Día anterior")</f>
        <v>Día actual</v>
      </c>
      <c r="C72" s="3" t="s">
        <v>55</v>
      </c>
      <c r="D72" t="s">
        <v>60</v>
      </c>
      <c r="E72" s="3" t="s">
        <v>281</v>
      </c>
      <c r="F72" s="3" t="s">
        <v>21</v>
      </c>
      <c r="G72" s="3" t="s">
        <v>282</v>
      </c>
      <c r="H72" s="3" t="s">
        <v>11</v>
      </c>
      <c r="I72" s="3" t="s">
        <v>7</v>
      </c>
      <c r="J72" s="3" t="s">
        <v>43</v>
      </c>
      <c r="K72" s="3" t="s">
        <v>54</v>
      </c>
      <c r="L72" s="3" t="s">
        <v>46</v>
      </c>
      <c r="M72">
        <v>1</v>
      </c>
    </row>
    <row r="73" spans="1:13" x14ac:dyDescent="0.25">
      <c r="A73" s="2">
        <v>46170</v>
      </c>
      <c r="B73" s="1" t="str">
        <f ca="1">IF(Información1[[#This Row],[Fecha]]='Ajuste de fechas'!$A$2,"Día actual","Día anterior")</f>
        <v>Día actual</v>
      </c>
      <c r="C73" s="3" t="s">
        <v>55</v>
      </c>
      <c r="D73" t="s">
        <v>60</v>
      </c>
      <c r="E73" s="3" t="s">
        <v>244</v>
      </c>
      <c r="F73" s="3" t="s">
        <v>21</v>
      </c>
      <c r="G73" s="3" t="s">
        <v>231</v>
      </c>
      <c r="H73" s="3" t="s">
        <v>11</v>
      </c>
      <c r="I73" s="3" t="s">
        <v>7</v>
      </c>
      <c r="J73" s="3" t="s">
        <v>43</v>
      </c>
      <c r="K73" s="3" t="s">
        <v>54</v>
      </c>
      <c r="L73" s="3" t="s">
        <v>46</v>
      </c>
      <c r="M73">
        <v>1</v>
      </c>
    </row>
    <row r="74" spans="1:13" x14ac:dyDescent="0.25">
      <c r="A74" s="2">
        <v>46170</v>
      </c>
      <c r="B74" s="1" t="str">
        <f ca="1">IF(Información1[[#This Row],[Fecha]]='Ajuste de fechas'!$A$2,"Día actual","Día anterior")</f>
        <v>Día actual</v>
      </c>
      <c r="C74" s="3" t="s">
        <v>55</v>
      </c>
      <c r="D74" t="s">
        <v>60</v>
      </c>
      <c r="E74" s="3" t="s">
        <v>257</v>
      </c>
      <c r="F74" s="3" t="s">
        <v>26</v>
      </c>
      <c r="G74" s="3" t="s">
        <v>234</v>
      </c>
      <c r="H74" s="3" t="s">
        <v>11</v>
      </c>
      <c r="I74" s="3" t="s">
        <v>7</v>
      </c>
      <c r="J74" s="3" t="s">
        <v>43</v>
      </c>
      <c r="K74" s="3" t="s">
        <v>54</v>
      </c>
      <c r="L74" s="3" t="s">
        <v>46</v>
      </c>
      <c r="M74">
        <v>1</v>
      </c>
    </row>
    <row r="75" spans="1:13" x14ac:dyDescent="0.25">
      <c r="A75" s="2">
        <v>46170</v>
      </c>
      <c r="B75" s="1" t="str">
        <f ca="1">IF(Información1[[#This Row],[Fecha]]='Ajuste de fechas'!$A$2,"Día actual","Día anterior")</f>
        <v>Día actual</v>
      </c>
      <c r="C75" s="3" t="s">
        <v>55</v>
      </c>
      <c r="D75" t="s">
        <v>60</v>
      </c>
      <c r="E75" s="3" t="s">
        <v>283</v>
      </c>
      <c r="F75" s="3" t="s">
        <v>94</v>
      </c>
      <c r="G75" s="3" t="s">
        <v>125</v>
      </c>
      <c r="H75" s="3" t="s">
        <v>11</v>
      </c>
      <c r="I75" s="3" t="s">
        <v>7</v>
      </c>
      <c r="J75" s="3" t="s">
        <v>43</v>
      </c>
      <c r="K75" s="3" t="s">
        <v>56</v>
      </c>
      <c r="L75" s="3" t="s">
        <v>44</v>
      </c>
      <c r="M75">
        <v>1</v>
      </c>
    </row>
    <row r="76" spans="1:13" x14ac:dyDescent="0.25">
      <c r="A76" s="2">
        <v>46170</v>
      </c>
      <c r="B76" s="1" t="str">
        <f ca="1">IF(Información1[[#This Row],[Fecha]]='Ajuste de fechas'!$A$2,"Día actual","Día anterior")</f>
        <v>Día actual</v>
      </c>
      <c r="C76" s="3" t="s">
        <v>55</v>
      </c>
      <c r="D76" t="s">
        <v>60</v>
      </c>
      <c r="E76" s="3" t="s">
        <v>284</v>
      </c>
      <c r="F76" s="3" t="s">
        <v>72</v>
      </c>
      <c r="G76" s="3" t="s">
        <v>285</v>
      </c>
      <c r="H76" s="3" t="s">
        <v>11</v>
      </c>
      <c r="I76" s="3" t="s">
        <v>7</v>
      </c>
      <c r="J76" s="3" t="s">
        <v>43</v>
      </c>
      <c r="K76" s="3" t="s">
        <v>54</v>
      </c>
      <c r="L76" s="3" t="s">
        <v>46</v>
      </c>
      <c r="M76">
        <v>1</v>
      </c>
    </row>
    <row r="77" spans="1:13" x14ac:dyDescent="0.25">
      <c r="A77" s="2">
        <v>46170</v>
      </c>
      <c r="B77" s="1" t="str">
        <f ca="1">IF(Información1[[#This Row],[Fecha]]='Ajuste de fechas'!$A$2,"Día actual","Día anterior")</f>
        <v>Día actual</v>
      </c>
      <c r="C77" s="3" t="s">
        <v>55</v>
      </c>
      <c r="D77" t="s">
        <v>60</v>
      </c>
      <c r="E77" s="3" t="s">
        <v>173</v>
      </c>
      <c r="F77" s="3" t="s">
        <v>53</v>
      </c>
      <c r="G77" s="3" t="s">
        <v>83</v>
      </c>
      <c r="H77" s="3" t="s">
        <v>11</v>
      </c>
      <c r="I77" s="3" t="s">
        <v>7</v>
      </c>
      <c r="J77" s="3" t="s">
        <v>43</v>
      </c>
      <c r="K77" s="3" t="s">
        <v>54</v>
      </c>
      <c r="L77" s="3" t="s">
        <v>46</v>
      </c>
      <c r="M77">
        <v>1</v>
      </c>
    </row>
    <row r="78" spans="1:13" x14ac:dyDescent="0.25">
      <c r="A78" s="2">
        <v>46170</v>
      </c>
      <c r="B78" s="1" t="str">
        <f ca="1">IF(Información1[[#This Row],[Fecha]]='Ajuste de fechas'!$A$2,"Día actual","Día anterior")</f>
        <v>Día actual</v>
      </c>
      <c r="C78" s="3" t="s">
        <v>55</v>
      </c>
      <c r="D78" t="s">
        <v>60</v>
      </c>
      <c r="E78" s="3" t="s">
        <v>253</v>
      </c>
      <c r="F78" s="3" t="s">
        <v>53</v>
      </c>
      <c r="G78" s="3" t="s">
        <v>204</v>
      </c>
      <c r="H78" s="3" t="s">
        <v>11</v>
      </c>
      <c r="I78" s="3" t="s">
        <v>7</v>
      </c>
      <c r="J78" s="3" t="s">
        <v>43</v>
      </c>
      <c r="K78" s="3" t="s">
        <v>54</v>
      </c>
      <c r="L78" s="3" t="s">
        <v>46</v>
      </c>
      <c r="M78">
        <v>1</v>
      </c>
    </row>
    <row r="79" spans="1:13" x14ac:dyDescent="0.25">
      <c r="A79" s="2">
        <v>46170</v>
      </c>
      <c r="B79" s="1" t="str">
        <f ca="1">IF(Información1[[#This Row],[Fecha]]='Ajuste de fechas'!$A$2,"Día actual","Día anterior")</f>
        <v>Día actual</v>
      </c>
      <c r="C79" s="3" t="s">
        <v>55</v>
      </c>
      <c r="D79" t="s">
        <v>93</v>
      </c>
      <c r="E79" s="3" t="s">
        <v>286</v>
      </c>
      <c r="F79" s="3" t="s">
        <v>22</v>
      </c>
      <c r="G79" s="3" t="s">
        <v>287</v>
      </c>
      <c r="H79" s="3" t="s">
        <v>11</v>
      </c>
      <c r="I79" s="3" t="s">
        <v>7</v>
      </c>
      <c r="J79" s="3" t="s">
        <v>48</v>
      </c>
      <c r="K79" s="3" t="s">
        <v>167</v>
      </c>
      <c r="L79" s="3" t="s">
        <v>89</v>
      </c>
      <c r="M79">
        <v>1</v>
      </c>
    </row>
    <row r="80" spans="1:13" x14ac:dyDescent="0.25">
      <c r="A80" s="2">
        <v>46170</v>
      </c>
      <c r="B80" s="1" t="str">
        <f ca="1">IF(Información1[[#This Row],[Fecha]]='Ajuste de fechas'!$A$2,"Día actual","Día anterior")</f>
        <v>Día actual</v>
      </c>
      <c r="C80" s="3" t="s">
        <v>78</v>
      </c>
      <c r="D80" t="s">
        <v>79</v>
      </c>
      <c r="E80" s="3" t="s">
        <v>254</v>
      </c>
      <c r="F80" s="3" t="s">
        <v>15</v>
      </c>
      <c r="G80" s="3" t="s">
        <v>255</v>
      </c>
      <c r="H80" s="3" t="s">
        <v>11</v>
      </c>
      <c r="I80" s="3" t="s">
        <v>7</v>
      </c>
      <c r="J80" s="3" t="s">
        <v>43</v>
      </c>
      <c r="K80" s="3" t="s">
        <v>80</v>
      </c>
      <c r="L80" s="3" t="s">
        <v>46</v>
      </c>
      <c r="M80">
        <v>1</v>
      </c>
    </row>
    <row r="81" spans="1:13" x14ac:dyDescent="0.25">
      <c r="A81" s="2">
        <v>46170</v>
      </c>
      <c r="B81" s="1" t="str">
        <f ca="1">IF(Información1[[#This Row],[Fecha]]='Ajuste de fechas'!$A$2,"Día actual","Día anterior")</f>
        <v>Día actual</v>
      </c>
      <c r="C81" s="3" t="s">
        <v>28</v>
      </c>
      <c r="D81" t="s">
        <v>30</v>
      </c>
      <c r="E81" s="3" t="s">
        <v>288</v>
      </c>
      <c r="F81" s="3" t="s">
        <v>19</v>
      </c>
      <c r="G81" s="3"/>
      <c r="H81" s="3" t="s">
        <v>11</v>
      </c>
      <c r="I81" s="3" t="s">
        <v>7</v>
      </c>
      <c r="J81" s="3" t="s">
        <v>47</v>
      </c>
      <c r="K81" s="3" t="s">
        <v>36</v>
      </c>
      <c r="L81" s="3" t="s">
        <v>44</v>
      </c>
      <c r="M81">
        <v>1</v>
      </c>
    </row>
    <row r="82" spans="1:13" x14ac:dyDescent="0.25">
      <c r="A82" s="2">
        <v>46170</v>
      </c>
      <c r="B82" s="1" t="str">
        <f ca="1">IF(Información1[[#This Row],[Fecha]]='Ajuste de fechas'!$A$2,"Día actual","Día anterior")</f>
        <v>Día actual</v>
      </c>
      <c r="C82" s="3" t="s">
        <v>28</v>
      </c>
      <c r="D82" t="s">
        <v>31</v>
      </c>
      <c r="E82" s="3" t="s">
        <v>289</v>
      </c>
      <c r="F82" s="3" t="s">
        <v>17</v>
      </c>
      <c r="G82" s="3" t="s">
        <v>71</v>
      </c>
      <c r="H82" s="3" t="s">
        <v>11</v>
      </c>
      <c r="I82" s="3" t="s">
        <v>7</v>
      </c>
      <c r="J82" s="3" t="s">
        <v>43</v>
      </c>
      <c r="K82" s="3" t="s">
        <v>29</v>
      </c>
      <c r="L82" s="3" t="s">
        <v>44</v>
      </c>
      <c r="M82">
        <v>1</v>
      </c>
    </row>
    <row r="83" spans="1:13" x14ac:dyDescent="0.25">
      <c r="A83" s="2">
        <v>46170</v>
      </c>
      <c r="B83" s="1" t="str">
        <f ca="1">IF(Información1[[#This Row],[Fecha]]='Ajuste de fechas'!$A$2,"Día actual","Día anterior")</f>
        <v>Día actual</v>
      </c>
      <c r="C83" s="3" t="s">
        <v>28</v>
      </c>
      <c r="D83" t="s">
        <v>30</v>
      </c>
      <c r="E83" s="3" t="s">
        <v>290</v>
      </c>
      <c r="F83" s="3" t="s">
        <v>53</v>
      </c>
      <c r="G83" s="3" t="s">
        <v>204</v>
      </c>
      <c r="H83" s="3" t="s">
        <v>11</v>
      </c>
      <c r="I83" s="3" t="s">
        <v>7</v>
      </c>
      <c r="J83" s="3" t="s">
        <v>43</v>
      </c>
      <c r="K83" s="3" t="s">
        <v>36</v>
      </c>
      <c r="L83" s="3" t="s">
        <v>44</v>
      </c>
      <c r="M83">
        <v>1</v>
      </c>
    </row>
    <row r="84" spans="1:13" x14ac:dyDescent="0.25">
      <c r="A84" s="2">
        <v>46170</v>
      </c>
      <c r="B84" s="1" t="str">
        <f ca="1">IF(Información1[[#This Row],[Fecha]]='Ajuste de fechas'!$A$2,"Día actual","Día anterior")</f>
        <v>Día actual</v>
      </c>
      <c r="C84" s="3" t="s">
        <v>28</v>
      </c>
      <c r="D84" t="s">
        <v>30</v>
      </c>
      <c r="E84" s="3" t="s">
        <v>291</v>
      </c>
      <c r="F84" s="3" t="s">
        <v>53</v>
      </c>
      <c r="G84" s="3" t="s">
        <v>204</v>
      </c>
      <c r="H84" s="3" t="s">
        <v>11</v>
      </c>
      <c r="I84" s="3" t="s">
        <v>7</v>
      </c>
      <c r="J84" s="3" t="s">
        <v>43</v>
      </c>
      <c r="K84" s="3" t="s">
        <v>36</v>
      </c>
      <c r="L84" s="3" t="s">
        <v>44</v>
      </c>
      <c r="M84">
        <v>1</v>
      </c>
    </row>
    <row r="85" spans="1:13" x14ac:dyDescent="0.25">
      <c r="A85" s="2">
        <v>46170</v>
      </c>
      <c r="B85" s="1" t="str">
        <f ca="1">IF(Información1[[#This Row],[Fecha]]='Ajuste de fechas'!$A$2,"Día actual","Día anterior")</f>
        <v>Día actual</v>
      </c>
      <c r="C85" s="3" t="s">
        <v>28</v>
      </c>
      <c r="D85" t="s">
        <v>31</v>
      </c>
      <c r="E85" s="3" t="s">
        <v>292</v>
      </c>
      <c r="F85" s="3" t="s">
        <v>53</v>
      </c>
      <c r="G85" s="3" t="s">
        <v>204</v>
      </c>
      <c r="H85" s="3" t="s">
        <v>11</v>
      </c>
      <c r="I85" s="3" t="s">
        <v>7</v>
      </c>
      <c r="J85" s="3" t="s">
        <v>43</v>
      </c>
      <c r="K85" s="3" t="s">
        <v>29</v>
      </c>
      <c r="L85" s="3" t="s">
        <v>44</v>
      </c>
      <c r="M85">
        <v>1</v>
      </c>
    </row>
    <row r="86" spans="1:13" x14ac:dyDescent="0.25">
      <c r="A86" s="2">
        <v>46170</v>
      </c>
      <c r="B86" s="1" t="str">
        <f ca="1">IF(Información1[[#This Row],[Fecha]]='Ajuste de fechas'!$A$2,"Día actual","Día anterior")</f>
        <v>Día actual</v>
      </c>
      <c r="C86" s="3" t="s">
        <v>28</v>
      </c>
      <c r="D86" t="s">
        <v>31</v>
      </c>
      <c r="E86" s="3" t="s">
        <v>293</v>
      </c>
      <c r="F86" s="3" t="s">
        <v>23</v>
      </c>
      <c r="G86" s="3" t="s">
        <v>90</v>
      </c>
      <c r="H86" s="3" t="s">
        <v>11</v>
      </c>
      <c r="I86" s="3" t="s">
        <v>7</v>
      </c>
      <c r="J86" s="3" t="s">
        <v>43</v>
      </c>
      <c r="K86" s="3" t="s">
        <v>29</v>
      </c>
      <c r="L86" s="3" t="s">
        <v>44</v>
      </c>
      <c r="M86">
        <v>1</v>
      </c>
    </row>
    <row r="87" spans="1:13" x14ac:dyDescent="0.25">
      <c r="A87" s="2">
        <v>46170</v>
      </c>
      <c r="B87" s="1" t="str">
        <f ca="1">IF(Información1[[#This Row],[Fecha]]='Ajuste de fechas'!$A$2,"Día actual","Día anterior")</f>
        <v>Día actual</v>
      </c>
      <c r="C87" s="3" t="s">
        <v>28</v>
      </c>
      <c r="D87" t="s">
        <v>30</v>
      </c>
      <c r="E87" s="3" t="s">
        <v>294</v>
      </c>
      <c r="F87" s="3" t="s">
        <v>19</v>
      </c>
      <c r="G87" s="3" t="s">
        <v>295</v>
      </c>
      <c r="H87" s="3" t="s">
        <v>11</v>
      </c>
      <c r="I87" s="3" t="s">
        <v>25</v>
      </c>
      <c r="J87" s="3" t="s">
        <v>47</v>
      </c>
      <c r="K87" s="3" t="s">
        <v>36</v>
      </c>
      <c r="L87" s="3" t="s">
        <v>44</v>
      </c>
      <c r="M87">
        <v>1</v>
      </c>
    </row>
    <row r="88" spans="1:13" x14ac:dyDescent="0.25">
      <c r="A88" s="2">
        <v>46170</v>
      </c>
      <c r="B88" s="1" t="str">
        <f ca="1">IF(Información1[[#This Row],[Fecha]]='Ajuste de fechas'!$A$2,"Día actual","Día anterior")</f>
        <v>Día actual</v>
      </c>
      <c r="C88" s="3" t="s">
        <v>28</v>
      </c>
      <c r="D88" t="s">
        <v>30</v>
      </c>
      <c r="E88" s="3" t="s">
        <v>245</v>
      </c>
      <c r="F88" s="3" t="s">
        <v>15</v>
      </c>
      <c r="G88" s="3" t="s">
        <v>246</v>
      </c>
      <c r="H88" s="3" t="s">
        <v>11</v>
      </c>
      <c r="I88" s="3" t="s">
        <v>7</v>
      </c>
      <c r="J88" s="3" t="s">
        <v>43</v>
      </c>
      <c r="K88" s="3" t="s">
        <v>36</v>
      </c>
      <c r="L88" s="3" t="s">
        <v>46</v>
      </c>
      <c r="M88">
        <v>1</v>
      </c>
    </row>
    <row r="89" spans="1:13" x14ac:dyDescent="0.25">
      <c r="A89" s="2">
        <v>46170</v>
      </c>
      <c r="B89" s="1" t="str">
        <f ca="1">IF(Información1[[#This Row],[Fecha]]='Ajuste de fechas'!$A$2,"Día actual","Día anterior")</f>
        <v>Día actual</v>
      </c>
      <c r="C89" s="3" t="s">
        <v>28</v>
      </c>
      <c r="D89" t="s">
        <v>31</v>
      </c>
      <c r="E89" s="3" t="s">
        <v>296</v>
      </c>
      <c r="F89" s="3" t="s">
        <v>24</v>
      </c>
      <c r="G89" s="3" t="s">
        <v>246</v>
      </c>
      <c r="H89" s="3" t="s">
        <v>11</v>
      </c>
      <c r="I89" s="3" t="s">
        <v>7</v>
      </c>
      <c r="J89" s="3" t="s">
        <v>24</v>
      </c>
      <c r="K89" s="3" t="s">
        <v>29</v>
      </c>
      <c r="L89" s="3" t="s">
        <v>45</v>
      </c>
      <c r="M89">
        <v>1</v>
      </c>
    </row>
    <row r="90" spans="1:13" x14ac:dyDescent="0.25">
      <c r="A90" s="2">
        <v>46170</v>
      </c>
      <c r="B90" s="1" t="str">
        <f ca="1">IF(Información1[[#This Row],[Fecha]]='Ajuste de fechas'!$A$2,"Día actual","Día anterior")</f>
        <v>Día actual</v>
      </c>
      <c r="C90" s="3" t="s">
        <v>28</v>
      </c>
      <c r="D90" t="s">
        <v>31</v>
      </c>
      <c r="E90" s="3" t="s">
        <v>245</v>
      </c>
      <c r="F90" s="3" t="s">
        <v>15</v>
      </c>
      <c r="G90" s="3" t="s">
        <v>246</v>
      </c>
      <c r="H90" s="3" t="s">
        <v>11</v>
      </c>
      <c r="I90" s="3" t="s">
        <v>7</v>
      </c>
      <c r="J90" s="3" t="s">
        <v>43</v>
      </c>
      <c r="K90" s="3" t="s">
        <v>29</v>
      </c>
      <c r="L90" s="3" t="s">
        <v>46</v>
      </c>
      <c r="M90">
        <v>1</v>
      </c>
    </row>
    <row r="91" spans="1:13" x14ac:dyDescent="0.25">
      <c r="A91" s="2">
        <v>46170</v>
      </c>
      <c r="B91" s="1" t="str">
        <f ca="1">IF(Información1[[#This Row],[Fecha]]='Ajuste de fechas'!$A$2,"Día actual","Día anterior")</f>
        <v>Día actual</v>
      </c>
      <c r="C91" s="3" t="s">
        <v>28</v>
      </c>
      <c r="D91" t="s">
        <v>31</v>
      </c>
      <c r="E91" s="3" t="s">
        <v>297</v>
      </c>
      <c r="F91" s="3" t="s">
        <v>19</v>
      </c>
      <c r="G91" s="3" t="s">
        <v>95</v>
      </c>
      <c r="H91" s="3" t="s">
        <v>11</v>
      </c>
      <c r="I91" s="3" t="s">
        <v>7</v>
      </c>
      <c r="J91" s="3" t="s">
        <v>47</v>
      </c>
      <c r="K91" s="3" t="s">
        <v>29</v>
      </c>
      <c r="L91" s="3" t="s">
        <v>44</v>
      </c>
      <c r="M91">
        <v>1</v>
      </c>
    </row>
    <row r="92" spans="1:13" x14ac:dyDescent="0.25">
      <c r="A92" s="2">
        <v>46170</v>
      </c>
      <c r="B92" s="1" t="str">
        <f ca="1">IF(Información1[[#This Row],[Fecha]]='Ajuste de fechas'!$A$2,"Día actual","Día anterior")</f>
        <v>Día actual</v>
      </c>
      <c r="C92" s="3" t="s">
        <v>28</v>
      </c>
      <c r="D92" t="s">
        <v>30</v>
      </c>
      <c r="E92" s="3" t="s">
        <v>298</v>
      </c>
      <c r="F92" s="3" t="s">
        <v>23</v>
      </c>
      <c r="G92" s="3" t="s">
        <v>75</v>
      </c>
      <c r="H92" s="3" t="s">
        <v>11</v>
      </c>
      <c r="I92" s="3" t="s">
        <v>7</v>
      </c>
      <c r="J92" s="3" t="s">
        <v>43</v>
      </c>
      <c r="K92" s="3" t="s">
        <v>36</v>
      </c>
      <c r="L92" s="3" t="s">
        <v>44</v>
      </c>
      <c r="M92">
        <v>1</v>
      </c>
    </row>
    <row r="93" spans="1:13" x14ac:dyDescent="0.25">
      <c r="A93" s="2">
        <v>46170</v>
      </c>
      <c r="B93" s="1" t="str">
        <f ca="1">IF(Información1[[#This Row],[Fecha]]='Ajuste de fechas'!$A$2,"Día actual","Día anterior")</f>
        <v>Día actual</v>
      </c>
      <c r="C93" s="3" t="s">
        <v>28</v>
      </c>
      <c r="D93" t="s">
        <v>31</v>
      </c>
      <c r="E93" s="3" t="s">
        <v>299</v>
      </c>
      <c r="F93" s="3" t="s">
        <v>23</v>
      </c>
      <c r="G93" s="3" t="s">
        <v>75</v>
      </c>
      <c r="H93" s="3" t="s">
        <v>11</v>
      </c>
      <c r="I93" s="3" t="s">
        <v>7</v>
      </c>
      <c r="J93" s="3" t="s">
        <v>43</v>
      </c>
      <c r="K93" s="3" t="s">
        <v>29</v>
      </c>
      <c r="L93" s="3" t="s">
        <v>44</v>
      </c>
      <c r="M93">
        <v>1</v>
      </c>
    </row>
    <row r="94" spans="1:13" x14ac:dyDescent="0.25">
      <c r="A94" s="2">
        <v>46170</v>
      </c>
      <c r="B94" s="1" t="str">
        <f ca="1">IF(Información1[[#This Row],[Fecha]]='Ajuste de fechas'!$A$2,"Día actual","Día anterior")</f>
        <v>Día actual</v>
      </c>
      <c r="C94" s="3" t="s">
        <v>28</v>
      </c>
      <c r="D94" t="s">
        <v>30</v>
      </c>
      <c r="E94" s="3" t="s">
        <v>300</v>
      </c>
      <c r="F94" s="3" t="s">
        <v>53</v>
      </c>
      <c r="G94" s="3" t="s">
        <v>301</v>
      </c>
      <c r="H94" s="3" t="s">
        <v>11</v>
      </c>
      <c r="I94" s="3" t="s">
        <v>7</v>
      </c>
      <c r="J94" s="3" t="s">
        <v>43</v>
      </c>
      <c r="K94" s="3" t="s">
        <v>36</v>
      </c>
      <c r="L94" s="3" t="s">
        <v>44</v>
      </c>
      <c r="M94">
        <v>1</v>
      </c>
    </row>
    <row r="95" spans="1:13" x14ac:dyDescent="0.25">
      <c r="A95" s="2">
        <v>46170</v>
      </c>
      <c r="B95" s="1" t="str">
        <f ca="1">IF(Información1[[#This Row],[Fecha]]='Ajuste de fechas'!$A$2,"Día actual","Día anterior")</f>
        <v>Día actual</v>
      </c>
      <c r="C95" s="3" t="s">
        <v>28</v>
      </c>
      <c r="D95" t="s">
        <v>30</v>
      </c>
      <c r="E95" s="3" t="s">
        <v>302</v>
      </c>
      <c r="F95" s="3" t="s">
        <v>26</v>
      </c>
      <c r="G95" s="3" t="s">
        <v>234</v>
      </c>
      <c r="H95" s="3" t="s">
        <v>11</v>
      </c>
      <c r="I95" s="3" t="s">
        <v>7</v>
      </c>
      <c r="J95" s="3" t="s">
        <v>43</v>
      </c>
      <c r="K95" s="3" t="s">
        <v>36</v>
      </c>
      <c r="L95" s="3" t="s">
        <v>44</v>
      </c>
      <c r="M95">
        <v>1</v>
      </c>
    </row>
    <row r="96" spans="1:13" x14ac:dyDescent="0.25">
      <c r="A96" s="2">
        <v>46170</v>
      </c>
      <c r="B96" s="1" t="str">
        <f ca="1">IF(Información1[[#This Row],[Fecha]]='Ajuste de fechas'!$A$2,"Día actual","Día anterior")</f>
        <v>Día actual</v>
      </c>
      <c r="C96" s="3" t="s">
        <v>28</v>
      </c>
      <c r="D96" t="s">
        <v>31</v>
      </c>
      <c r="E96" s="3" t="s">
        <v>303</v>
      </c>
      <c r="F96" s="3" t="s">
        <v>26</v>
      </c>
      <c r="G96" s="3" t="s">
        <v>234</v>
      </c>
      <c r="H96" s="3" t="s">
        <v>11</v>
      </c>
      <c r="I96" s="3" t="s">
        <v>7</v>
      </c>
      <c r="J96" s="3" t="s">
        <v>43</v>
      </c>
      <c r="K96" s="3" t="s">
        <v>29</v>
      </c>
      <c r="L96" s="3" t="s">
        <v>44</v>
      </c>
      <c r="M96">
        <v>1</v>
      </c>
    </row>
    <row r="97" spans="1:13" x14ac:dyDescent="0.25">
      <c r="A97" s="2">
        <v>46170</v>
      </c>
      <c r="B97" s="1" t="str">
        <f ca="1">IF(Información1[[#This Row],[Fecha]]='Ajuste de fechas'!$A$2,"Día actual","Día anterior")</f>
        <v>Día actual</v>
      </c>
      <c r="C97" s="3" t="s">
        <v>28</v>
      </c>
      <c r="D97" t="s">
        <v>31</v>
      </c>
      <c r="E97" s="3" t="s">
        <v>304</v>
      </c>
      <c r="F97" s="3" t="s">
        <v>19</v>
      </c>
      <c r="G97" s="3" t="s">
        <v>166</v>
      </c>
      <c r="H97" s="3" t="s">
        <v>11</v>
      </c>
      <c r="I97" s="3" t="s">
        <v>7</v>
      </c>
      <c r="J97" s="3" t="s">
        <v>47</v>
      </c>
      <c r="K97" s="3" t="s">
        <v>29</v>
      </c>
      <c r="L97" s="3" t="s">
        <v>44</v>
      </c>
      <c r="M97">
        <v>1</v>
      </c>
    </row>
    <row r="98" spans="1:13" x14ac:dyDescent="0.25">
      <c r="A98" s="2">
        <v>46170</v>
      </c>
      <c r="B98" s="1" t="str">
        <f ca="1">IF(Información1[[#This Row],[Fecha]]='Ajuste de fechas'!$A$2,"Día actual","Día anterior")</f>
        <v>Día actual</v>
      </c>
      <c r="C98" s="3" t="s">
        <v>28</v>
      </c>
      <c r="D98" t="s">
        <v>31</v>
      </c>
      <c r="E98" s="3" t="s">
        <v>305</v>
      </c>
      <c r="F98" s="3" t="s">
        <v>23</v>
      </c>
      <c r="G98" s="3" t="s">
        <v>103</v>
      </c>
      <c r="H98" s="3" t="s">
        <v>11</v>
      </c>
      <c r="I98" s="3" t="s">
        <v>25</v>
      </c>
      <c r="J98" s="3" t="s">
        <v>43</v>
      </c>
      <c r="K98" s="3" t="s">
        <v>9</v>
      </c>
      <c r="L98" s="3" t="s">
        <v>45</v>
      </c>
      <c r="M98">
        <v>1</v>
      </c>
    </row>
    <row r="99" spans="1:13" x14ac:dyDescent="0.25">
      <c r="A99" s="2">
        <v>46170</v>
      </c>
      <c r="B99" s="1" t="str">
        <f ca="1">IF(Información1[[#This Row],[Fecha]]='Ajuste de fechas'!$A$2,"Día actual","Día anterior")</f>
        <v>Día actual</v>
      </c>
      <c r="C99" s="3" t="s">
        <v>28</v>
      </c>
      <c r="D99" t="s">
        <v>31</v>
      </c>
      <c r="E99" s="3" t="s">
        <v>306</v>
      </c>
      <c r="F99" s="3" t="s">
        <v>26</v>
      </c>
      <c r="G99" s="3" t="s">
        <v>228</v>
      </c>
      <c r="H99" s="3" t="s">
        <v>11</v>
      </c>
      <c r="I99" s="3" t="s">
        <v>7</v>
      </c>
      <c r="J99" s="3" t="s">
        <v>43</v>
      </c>
      <c r="K99" s="3" t="s">
        <v>29</v>
      </c>
      <c r="L99" s="3" t="s">
        <v>44</v>
      </c>
      <c r="M99">
        <v>1</v>
      </c>
    </row>
    <row r="100" spans="1:13" x14ac:dyDescent="0.25">
      <c r="A100" s="2">
        <v>46170</v>
      </c>
      <c r="B100" s="1" t="str">
        <f ca="1">IF(Información1[[#This Row],[Fecha]]='Ajuste de fechas'!$A$2,"Día actual","Día anterior")</f>
        <v>Día actual</v>
      </c>
      <c r="C100" s="3" t="s">
        <v>28</v>
      </c>
      <c r="D100" t="s">
        <v>30</v>
      </c>
      <c r="E100" s="3" t="s">
        <v>307</v>
      </c>
      <c r="F100" s="3" t="s">
        <v>19</v>
      </c>
      <c r="G100" s="3" t="s">
        <v>308</v>
      </c>
      <c r="H100" s="3" t="s">
        <v>11</v>
      </c>
      <c r="I100" s="3" t="s">
        <v>7</v>
      </c>
      <c r="J100" s="3" t="s">
        <v>47</v>
      </c>
      <c r="K100" s="3" t="s">
        <v>36</v>
      </c>
      <c r="L100" s="3" t="s">
        <v>89</v>
      </c>
      <c r="M100">
        <v>1</v>
      </c>
    </row>
    <row r="101" spans="1:13" x14ac:dyDescent="0.25">
      <c r="A101" s="2">
        <v>46170</v>
      </c>
      <c r="B101" s="1" t="str">
        <f ca="1">IF(Información1[[#This Row],[Fecha]]='Ajuste de fechas'!$A$2,"Día actual","Día anterior")</f>
        <v>Día actual</v>
      </c>
      <c r="C101" s="3" t="s">
        <v>28</v>
      </c>
      <c r="D101" t="s">
        <v>30</v>
      </c>
      <c r="E101" s="3" t="s">
        <v>309</v>
      </c>
      <c r="F101" s="3" t="s">
        <v>19</v>
      </c>
      <c r="G101" s="3" t="s">
        <v>310</v>
      </c>
      <c r="H101" s="3" t="s">
        <v>11</v>
      </c>
      <c r="I101" s="3" t="s">
        <v>7</v>
      </c>
      <c r="J101" s="3" t="s">
        <v>47</v>
      </c>
      <c r="K101" s="3" t="s">
        <v>36</v>
      </c>
      <c r="L101" s="3" t="s">
        <v>44</v>
      </c>
      <c r="M101">
        <v>1</v>
      </c>
    </row>
    <row r="102" spans="1:13" x14ac:dyDescent="0.25">
      <c r="A102" s="2">
        <v>46170</v>
      </c>
      <c r="B102" s="1" t="str">
        <f ca="1">IF(Información1[[#This Row],[Fecha]]='Ajuste de fechas'!$A$2,"Día actual","Día anterior")</f>
        <v>Día actual</v>
      </c>
      <c r="C102" s="3" t="s">
        <v>28</v>
      </c>
      <c r="D102" t="s">
        <v>31</v>
      </c>
      <c r="E102" s="3" t="s">
        <v>311</v>
      </c>
      <c r="F102" s="3" t="s">
        <v>21</v>
      </c>
      <c r="G102" s="3" t="s">
        <v>197</v>
      </c>
      <c r="H102" s="3" t="s">
        <v>11</v>
      </c>
      <c r="I102" s="3" t="s">
        <v>25</v>
      </c>
      <c r="J102" s="3" t="s">
        <v>43</v>
      </c>
      <c r="K102" s="3" t="s">
        <v>9</v>
      </c>
      <c r="L102" s="3" t="s">
        <v>45</v>
      </c>
      <c r="M102">
        <v>1</v>
      </c>
    </row>
    <row r="103" spans="1:13" x14ac:dyDescent="0.25">
      <c r="A103" s="2">
        <v>46170</v>
      </c>
      <c r="B103" s="1" t="str">
        <f ca="1">IF(Información1[[#This Row],[Fecha]]='Ajuste de fechas'!$A$2,"Día actual","Día anterior")</f>
        <v>Día actual</v>
      </c>
      <c r="C103" s="3" t="s">
        <v>28</v>
      </c>
      <c r="D103" t="s">
        <v>30</v>
      </c>
      <c r="E103" s="3" t="s">
        <v>312</v>
      </c>
      <c r="F103" s="3" t="s">
        <v>19</v>
      </c>
      <c r="G103" s="3" t="s">
        <v>194</v>
      </c>
      <c r="H103" s="3" t="s">
        <v>11</v>
      </c>
      <c r="I103" s="3" t="s">
        <v>7</v>
      </c>
      <c r="J103" s="3" t="s">
        <v>47</v>
      </c>
      <c r="K103" s="3" t="s">
        <v>36</v>
      </c>
      <c r="L103" s="3" t="s">
        <v>44</v>
      </c>
      <c r="M103">
        <v>1</v>
      </c>
    </row>
    <row r="104" spans="1:13" x14ac:dyDescent="0.25">
      <c r="A104" s="2">
        <v>46170</v>
      </c>
      <c r="B104" s="1" t="str">
        <f ca="1">IF(Información1[[#This Row],[Fecha]]='Ajuste de fechas'!$A$2,"Día actual","Día anterior")</f>
        <v>Día actual</v>
      </c>
      <c r="C104" s="3" t="s">
        <v>28</v>
      </c>
      <c r="D104" t="s">
        <v>31</v>
      </c>
      <c r="E104" s="3" t="s">
        <v>313</v>
      </c>
      <c r="F104" s="3" t="s">
        <v>22</v>
      </c>
      <c r="G104" s="3" t="s">
        <v>314</v>
      </c>
      <c r="H104" s="3" t="s">
        <v>11</v>
      </c>
      <c r="I104" s="3" t="s">
        <v>7</v>
      </c>
      <c r="J104" s="3" t="s">
        <v>48</v>
      </c>
      <c r="K104" s="3" t="s">
        <v>9</v>
      </c>
      <c r="L104" s="3" t="s">
        <v>45</v>
      </c>
      <c r="M104">
        <v>1</v>
      </c>
    </row>
    <row r="105" spans="1:13" x14ac:dyDescent="0.25">
      <c r="A105" s="2">
        <v>46170</v>
      </c>
      <c r="B105" s="1" t="str">
        <f ca="1">IF(Información1[[#This Row],[Fecha]]='Ajuste de fechas'!$A$2,"Día actual","Día anterior")</f>
        <v>Día actual</v>
      </c>
      <c r="C105" s="3" t="s">
        <v>28</v>
      </c>
      <c r="D105" t="s">
        <v>31</v>
      </c>
      <c r="E105" s="3" t="s">
        <v>315</v>
      </c>
      <c r="F105" s="3" t="s">
        <v>22</v>
      </c>
      <c r="G105" s="3" t="s">
        <v>314</v>
      </c>
      <c r="H105" s="3" t="s">
        <v>11</v>
      </c>
      <c r="I105" s="3" t="s">
        <v>7</v>
      </c>
      <c r="J105" s="3" t="s">
        <v>48</v>
      </c>
      <c r="K105" s="3" t="s">
        <v>29</v>
      </c>
      <c r="L105" s="3" t="s">
        <v>44</v>
      </c>
      <c r="M105">
        <v>1</v>
      </c>
    </row>
    <row r="106" spans="1:13" x14ac:dyDescent="0.25">
      <c r="A106" s="2">
        <v>46170</v>
      </c>
      <c r="B106" s="1" t="str">
        <f ca="1">IF(Información1[[#This Row],[Fecha]]='Ajuste de fechas'!$A$2,"Día actual","Día anterior")</f>
        <v>Día actual</v>
      </c>
      <c r="C106" s="3" t="s">
        <v>28</v>
      </c>
      <c r="D106" t="s">
        <v>30</v>
      </c>
      <c r="E106" s="3" t="s">
        <v>307</v>
      </c>
      <c r="F106" s="3" t="s">
        <v>19</v>
      </c>
      <c r="G106" s="3" t="s">
        <v>70</v>
      </c>
      <c r="H106" s="3" t="s">
        <v>11</v>
      </c>
      <c r="I106" s="3" t="s">
        <v>7</v>
      </c>
      <c r="J106" s="3" t="s">
        <v>47</v>
      </c>
      <c r="K106" s="3" t="s">
        <v>36</v>
      </c>
      <c r="L106" s="3" t="s">
        <v>89</v>
      </c>
      <c r="M106">
        <v>1</v>
      </c>
    </row>
    <row r="107" spans="1:13" x14ac:dyDescent="0.25">
      <c r="A107" s="2">
        <v>46170</v>
      </c>
      <c r="B107" s="1" t="str">
        <f ca="1">IF(Información1[[#This Row],[Fecha]]='Ajuste de fechas'!$A$2,"Día actual","Día anterior")</f>
        <v>Día actual</v>
      </c>
      <c r="C107" s="3" t="s">
        <v>28</v>
      </c>
      <c r="D107" t="s">
        <v>31</v>
      </c>
      <c r="E107" s="3" t="s">
        <v>316</v>
      </c>
      <c r="F107" s="3" t="s">
        <v>74</v>
      </c>
      <c r="G107" s="3" t="s">
        <v>70</v>
      </c>
      <c r="H107" s="3" t="s">
        <v>11</v>
      </c>
      <c r="I107" s="3" t="s">
        <v>7</v>
      </c>
      <c r="J107" s="3" t="s">
        <v>43</v>
      </c>
      <c r="K107" s="3" t="s">
        <v>29</v>
      </c>
      <c r="L107" s="3" t="s">
        <v>44</v>
      </c>
      <c r="M107">
        <v>1</v>
      </c>
    </row>
    <row r="108" spans="1:13" x14ac:dyDescent="0.25">
      <c r="A108" s="2">
        <v>46170</v>
      </c>
      <c r="B108" s="1" t="str">
        <f ca="1">IF(Información1[[#This Row],[Fecha]]='Ajuste de fechas'!$A$2,"Día actual","Día anterior")</f>
        <v>Día actual</v>
      </c>
      <c r="C108" s="3" t="s">
        <v>28</v>
      </c>
      <c r="D108" t="s">
        <v>31</v>
      </c>
      <c r="E108" s="3" t="s">
        <v>317</v>
      </c>
      <c r="F108" s="3" t="s">
        <v>26</v>
      </c>
      <c r="G108" s="3" t="s">
        <v>70</v>
      </c>
      <c r="H108" s="3" t="s">
        <v>11</v>
      </c>
      <c r="I108" s="3" t="s">
        <v>7</v>
      </c>
      <c r="J108" s="3" t="s">
        <v>43</v>
      </c>
      <c r="K108" s="3" t="s">
        <v>29</v>
      </c>
      <c r="L108" s="3" t="s">
        <v>44</v>
      </c>
      <c r="M108">
        <v>1</v>
      </c>
    </row>
    <row r="109" spans="1:13" x14ac:dyDescent="0.25">
      <c r="A109" s="2">
        <v>46170</v>
      </c>
      <c r="B109" s="1" t="str">
        <f ca="1">IF(Información1[[#This Row],[Fecha]]='Ajuste de fechas'!$A$2,"Día actual","Día anterior")</f>
        <v>Día actual</v>
      </c>
      <c r="C109" s="3" t="s">
        <v>28</v>
      </c>
      <c r="D109" t="s">
        <v>31</v>
      </c>
      <c r="E109" s="3" t="s">
        <v>318</v>
      </c>
      <c r="F109" s="3" t="s">
        <v>53</v>
      </c>
      <c r="G109" s="3" t="s">
        <v>83</v>
      </c>
      <c r="H109" s="3" t="s">
        <v>11</v>
      </c>
      <c r="I109" s="3" t="s">
        <v>7</v>
      </c>
      <c r="J109" s="3" t="s">
        <v>43</v>
      </c>
      <c r="K109" s="3" t="s">
        <v>29</v>
      </c>
      <c r="L109" s="3" t="s">
        <v>44</v>
      </c>
      <c r="M109">
        <v>1</v>
      </c>
    </row>
    <row r="110" spans="1:13" x14ac:dyDescent="0.25">
      <c r="A110" s="2">
        <v>46170</v>
      </c>
      <c r="B110" s="1" t="str">
        <f ca="1">IF(Información1[[#This Row],[Fecha]]='Ajuste de fechas'!$A$2,"Día actual","Día anterior")</f>
        <v>Día actual</v>
      </c>
      <c r="C110" s="3" t="s">
        <v>28</v>
      </c>
      <c r="D110" t="s">
        <v>30</v>
      </c>
      <c r="E110" s="3" t="s">
        <v>319</v>
      </c>
      <c r="F110" s="3" t="s">
        <v>67</v>
      </c>
      <c r="G110" s="3" t="s">
        <v>68</v>
      </c>
      <c r="H110" s="3" t="s">
        <v>11</v>
      </c>
      <c r="I110" s="3" t="s">
        <v>7</v>
      </c>
      <c r="J110" s="3" t="s">
        <v>24</v>
      </c>
      <c r="K110" s="3" t="s">
        <v>36</v>
      </c>
      <c r="L110" s="3" t="s">
        <v>44</v>
      </c>
      <c r="M110">
        <v>1</v>
      </c>
    </row>
    <row r="111" spans="1:13" x14ac:dyDescent="0.25">
      <c r="A111" s="2">
        <v>46170</v>
      </c>
      <c r="B111" s="1" t="str">
        <f ca="1">IF(Información1[[#This Row],[Fecha]]='Ajuste de fechas'!$A$2,"Día actual","Día anterior")</f>
        <v>Día actual</v>
      </c>
      <c r="C111" s="3" t="s">
        <v>28</v>
      </c>
      <c r="D111" t="s">
        <v>30</v>
      </c>
      <c r="E111" s="3" t="s">
        <v>320</v>
      </c>
      <c r="F111" s="3" t="s">
        <v>67</v>
      </c>
      <c r="G111" s="3" t="s">
        <v>68</v>
      </c>
      <c r="H111" s="3" t="s">
        <v>11</v>
      </c>
      <c r="I111" s="3" t="s">
        <v>7</v>
      </c>
      <c r="J111" s="3" t="s">
        <v>24</v>
      </c>
      <c r="K111" s="3" t="s">
        <v>36</v>
      </c>
      <c r="L111" s="3" t="s">
        <v>44</v>
      </c>
      <c r="M111">
        <v>1</v>
      </c>
    </row>
    <row r="112" spans="1:13" x14ac:dyDescent="0.25">
      <c r="A112" s="2">
        <v>46170</v>
      </c>
      <c r="B112" s="1" t="str">
        <f ca="1">IF(Información1[[#This Row],[Fecha]]='Ajuste de fechas'!$A$2,"Día actual","Día anterior")</f>
        <v>Día actual</v>
      </c>
      <c r="C112" s="3" t="s">
        <v>28</v>
      </c>
      <c r="D112" t="s">
        <v>30</v>
      </c>
      <c r="E112" s="3" t="s">
        <v>321</v>
      </c>
      <c r="F112" s="3" t="s">
        <v>26</v>
      </c>
      <c r="G112" s="3" t="s">
        <v>68</v>
      </c>
      <c r="H112" s="3" t="s">
        <v>11</v>
      </c>
      <c r="I112" s="3" t="s">
        <v>7</v>
      </c>
      <c r="J112" s="3" t="s">
        <v>43</v>
      </c>
      <c r="K112" s="3" t="s">
        <v>36</v>
      </c>
      <c r="L112" s="3" t="s">
        <v>44</v>
      </c>
      <c r="M112">
        <v>1</v>
      </c>
    </row>
    <row r="113" spans="1:13" x14ac:dyDescent="0.25">
      <c r="A113" s="2">
        <v>46169</v>
      </c>
      <c r="B113" s="1" t="str">
        <f ca="1">IF(Información1[[#This Row],[Fecha]]='Ajuste de fechas'!$A$2,"Día actual","Día anterior")</f>
        <v>Día anterior</v>
      </c>
      <c r="C113" s="3" t="s">
        <v>28</v>
      </c>
      <c r="D113" t="s">
        <v>31</v>
      </c>
      <c r="E113" s="3" t="s">
        <v>100</v>
      </c>
      <c r="F113" s="3" t="s">
        <v>98</v>
      </c>
      <c r="G113" s="3" t="s">
        <v>101</v>
      </c>
      <c r="H113" s="3" t="s">
        <v>11</v>
      </c>
      <c r="I113" s="3" t="s">
        <v>25</v>
      </c>
      <c r="J113" s="3" t="s">
        <v>43</v>
      </c>
      <c r="K113" s="3" t="s">
        <v>29</v>
      </c>
      <c r="L113" s="3" t="s">
        <v>44</v>
      </c>
      <c r="M113">
        <v>1</v>
      </c>
    </row>
    <row r="114" spans="1:13" x14ac:dyDescent="0.25">
      <c r="A114" s="2">
        <v>46169</v>
      </c>
      <c r="B114" s="1" t="str">
        <f ca="1">IF(Información1[[#This Row],[Fecha]]='Ajuste de fechas'!$A$2,"Día actual","Día anterior")</f>
        <v>Día anterior</v>
      </c>
      <c r="C114" s="3" t="s">
        <v>28</v>
      </c>
      <c r="D114" t="s">
        <v>30</v>
      </c>
      <c r="E114" s="3" t="s">
        <v>102</v>
      </c>
      <c r="F114" s="3" t="s">
        <v>23</v>
      </c>
      <c r="G114" s="3" t="s">
        <v>103</v>
      </c>
      <c r="H114" s="3" t="s">
        <v>11</v>
      </c>
      <c r="I114" s="3" t="s">
        <v>25</v>
      </c>
      <c r="J114" s="3" t="s">
        <v>43</v>
      </c>
      <c r="K114" s="3" t="s">
        <v>36</v>
      </c>
      <c r="L114" s="3" t="s">
        <v>44</v>
      </c>
      <c r="M114">
        <v>1</v>
      </c>
    </row>
    <row r="115" spans="1:13" x14ac:dyDescent="0.25">
      <c r="A115" s="2">
        <v>46169</v>
      </c>
      <c r="B115" s="1" t="str">
        <f ca="1">IF(Información1[[#This Row],[Fecha]]='Ajuste de fechas'!$A$2,"Día actual","Día anterior")</f>
        <v>Día anterior</v>
      </c>
      <c r="C115" s="3" t="s">
        <v>8</v>
      </c>
      <c r="D115" t="s">
        <v>10</v>
      </c>
      <c r="E115" s="3" t="s">
        <v>104</v>
      </c>
      <c r="F115" s="3" t="s">
        <v>6</v>
      </c>
      <c r="G115" s="3" t="s">
        <v>52</v>
      </c>
      <c r="H115" s="3" t="s">
        <v>11</v>
      </c>
      <c r="I115" s="3" t="s">
        <v>25</v>
      </c>
      <c r="J115" s="3" t="s">
        <v>43</v>
      </c>
      <c r="K115" s="3" t="s">
        <v>9</v>
      </c>
      <c r="L115" s="3" t="s">
        <v>45</v>
      </c>
      <c r="M115">
        <v>1</v>
      </c>
    </row>
    <row r="116" spans="1:13" x14ac:dyDescent="0.25">
      <c r="A116" s="2">
        <v>46169</v>
      </c>
      <c r="B116" s="1" t="str">
        <f ca="1">IF(Información1[[#This Row],[Fecha]]='Ajuste de fechas'!$A$2,"Día actual","Día anterior")</f>
        <v>Día anterior</v>
      </c>
      <c r="C116" s="3" t="s">
        <v>8</v>
      </c>
      <c r="D116" t="s">
        <v>10</v>
      </c>
      <c r="E116" s="3" t="s">
        <v>105</v>
      </c>
      <c r="F116" s="3" t="s">
        <v>6</v>
      </c>
      <c r="G116" s="3" t="s">
        <v>52</v>
      </c>
      <c r="H116" s="3" t="s">
        <v>11</v>
      </c>
      <c r="I116" s="3" t="s">
        <v>25</v>
      </c>
      <c r="J116" s="3" t="s">
        <v>43</v>
      </c>
      <c r="K116" s="3" t="s">
        <v>9</v>
      </c>
      <c r="L116" s="3" t="s">
        <v>45</v>
      </c>
      <c r="M116">
        <v>1</v>
      </c>
    </row>
    <row r="117" spans="1:13" x14ac:dyDescent="0.25">
      <c r="A117" s="2">
        <v>46169</v>
      </c>
      <c r="B117" s="1" t="str">
        <f ca="1">IF(Información1[[#This Row],[Fecha]]='Ajuste de fechas'!$A$2,"Día actual","Día anterior")</f>
        <v>Día anterior</v>
      </c>
      <c r="C117" s="3" t="s">
        <v>8</v>
      </c>
      <c r="D117" t="s">
        <v>10</v>
      </c>
      <c r="E117" s="3" t="s">
        <v>106</v>
      </c>
      <c r="F117" s="3" t="s">
        <v>6</v>
      </c>
      <c r="G117" s="3" t="s">
        <v>52</v>
      </c>
      <c r="H117" s="3" t="s">
        <v>11</v>
      </c>
      <c r="I117" s="3" t="s">
        <v>25</v>
      </c>
      <c r="J117" s="3" t="s">
        <v>43</v>
      </c>
      <c r="K117" s="3" t="s">
        <v>9</v>
      </c>
      <c r="L117" s="3" t="s">
        <v>45</v>
      </c>
      <c r="M117">
        <v>1</v>
      </c>
    </row>
    <row r="118" spans="1:13" x14ac:dyDescent="0.25">
      <c r="A118" s="2">
        <v>46169</v>
      </c>
      <c r="B118" s="1" t="str">
        <f ca="1">IF(Información1[[#This Row],[Fecha]]='Ajuste de fechas'!$A$2,"Día actual","Día anterior")</f>
        <v>Día anterior</v>
      </c>
      <c r="C118" s="3" t="s">
        <v>8</v>
      </c>
      <c r="D118" t="s">
        <v>10</v>
      </c>
      <c r="E118" s="3" t="s">
        <v>107</v>
      </c>
      <c r="F118" s="3" t="s">
        <v>6</v>
      </c>
      <c r="G118" s="3" t="s">
        <v>52</v>
      </c>
      <c r="H118" s="3" t="s">
        <v>11</v>
      </c>
      <c r="I118" s="3" t="s">
        <v>25</v>
      </c>
      <c r="J118" s="3" t="s">
        <v>43</v>
      </c>
      <c r="K118" s="3" t="s">
        <v>9</v>
      </c>
      <c r="L118" s="3" t="s">
        <v>45</v>
      </c>
      <c r="M118">
        <v>1</v>
      </c>
    </row>
    <row r="119" spans="1:13" x14ac:dyDescent="0.25">
      <c r="A119" s="2">
        <v>46169</v>
      </c>
      <c r="B119" s="1" t="str">
        <f ca="1">IF(Información1[[#This Row],[Fecha]]='Ajuste de fechas'!$A$2,"Día actual","Día anterior")</f>
        <v>Día anterior</v>
      </c>
      <c r="C119" s="3" t="s">
        <v>8</v>
      </c>
      <c r="D119" t="s">
        <v>10</v>
      </c>
      <c r="E119" s="3" t="s">
        <v>108</v>
      </c>
      <c r="F119" s="3" t="s">
        <v>6</v>
      </c>
      <c r="G119" s="3" t="s">
        <v>81</v>
      </c>
      <c r="H119" s="3" t="s">
        <v>11</v>
      </c>
      <c r="I119" s="3" t="s">
        <v>25</v>
      </c>
      <c r="J119" s="3" t="s">
        <v>43</v>
      </c>
      <c r="K119" s="3" t="s">
        <v>9</v>
      </c>
      <c r="L119" s="3" t="s">
        <v>45</v>
      </c>
      <c r="M119">
        <v>1</v>
      </c>
    </row>
    <row r="120" spans="1:13" x14ac:dyDescent="0.25">
      <c r="A120" s="2">
        <v>46169</v>
      </c>
      <c r="B120" s="1" t="str">
        <f ca="1">IF(Información1[[#This Row],[Fecha]]='Ajuste de fechas'!$A$2,"Día actual","Día anterior")</f>
        <v>Día anterior</v>
      </c>
      <c r="C120" s="3" t="s">
        <v>8</v>
      </c>
      <c r="D120" t="s">
        <v>10</v>
      </c>
      <c r="E120" s="3" t="s">
        <v>109</v>
      </c>
      <c r="F120" s="3" t="s">
        <v>6</v>
      </c>
      <c r="G120" s="3" t="s">
        <v>81</v>
      </c>
      <c r="H120" s="3" t="s">
        <v>11</v>
      </c>
      <c r="I120" s="3" t="s">
        <v>25</v>
      </c>
      <c r="J120" s="3" t="s">
        <v>43</v>
      </c>
      <c r="K120" s="3" t="s">
        <v>9</v>
      </c>
      <c r="L120" s="3" t="s">
        <v>45</v>
      </c>
      <c r="M120">
        <v>1</v>
      </c>
    </row>
    <row r="121" spans="1:13" x14ac:dyDescent="0.25">
      <c r="A121" s="2">
        <v>46169</v>
      </c>
      <c r="B121" s="1" t="str">
        <f ca="1">IF(Información1[[#This Row],[Fecha]]='Ajuste de fechas'!$A$2,"Día actual","Día anterior")</f>
        <v>Día anterior</v>
      </c>
      <c r="C121" s="3" t="s">
        <v>8</v>
      </c>
      <c r="D121" t="s">
        <v>10</v>
      </c>
      <c r="E121" s="3" t="s">
        <v>110</v>
      </c>
      <c r="F121" s="3" t="s">
        <v>6</v>
      </c>
      <c r="G121" s="3" t="s">
        <v>111</v>
      </c>
      <c r="H121" s="3" t="s">
        <v>11</v>
      </c>
      <c r="I121" s="3" t="s">
        <v>25</v>
      </c>
      <c r="J121" s="3" t="s">
        <v>43</v>
      </c>
      <c r="K121" s="3" t="s">
        <v>9</v>
      </c>
      <c r="L121" s="3" t="s">
        <v>45</v>
      </c>
      <c r="M121">
        <v>1</v>
      </c>
    </row>
    <row r="122" spans="1:13" x14ac:dyDescent="0.25">
      <c r="A122" s="2">
        <v>46169</v>
      </c>
      <c r="B122" s="1" t="str">
        <f ca="1">IF(Información1[[#This Row],[Fecha]]='Ajuste de fechas'!$A$2,"Día actual","Día anterior")</f>
        <v>Día anterior</v>
      </c>
      <c r="C122" s="3" t="s">
        <v>8</v>
      </c>
      <c r="D122" t="s">
        <v>10</v>
      </c>
      <c r="E122" s="3" t="s">
        <v>65</v>
      </c>
      <c r="F122" s="3" t="s">
        <v>6</v>
      </c>
      <c r="G122" s="3" t="s">
        <v>35</v>
      </c>
      <c r="H122" s="3" t="s">
        <v>11</v>
      </c>
      <c r="I122" s="3" t="s">
        <v>12</v>
      </c>
      <c r="J122" s="3" t="s">
        <v>43</v>
      </c>
      <c r="K122" s="3" t="s">
        <v>14</v>
      </c>
      <c r="L122" s="3" t="s">
        <v>45</v>
      </c>
      <c r="M122">
        <v>1</v>
      </c>
    </row>
    <row r="123" spans="1:13" x14ac:dyDescent="0.25">
      <c r="A123" s="2">
        <v>46169</v>
      </c>
      <c r="B123" s="1" t="str">
        <f ca="1">IF(Información1[[#This Row],[Fecha]]='Ajuste de fechas'!$A$2,"Día actual","Día anterior")</f>
        <v>Día anterior</v>
      </c>
      <c r="C123" s="3" t="s">
        <v>8</v>
      </c>
      <c r="D123" t="s">
        <v>10</v>
      </c>
      <c r="E123" s="3" t="s">
        <v>112</v>
      </c>
      <c r="F123" s="3" t="s">
        <v>21</v>
      </c>
      <c r="G123" s="3" t="s">
        <v>35</v>
      </c>
      <c r="H123" s="3" t="s">
        <v>11</v>
      </c>
      <c r="I123" s="3" t="s">
        <v>12</v>
      </c>
      <c r="J123" s="3" t="s">
        <v>43</v>
      </c>
      <c r="K123" s="3" t="s">
        <v>14</v>
      </c>
      <c r="L123" s="3" t="s">
        <v>45</v>
      </c>
      <c r="M123">
        <v>1</v>
      </c>
    </row>
    <row r="124" spans="1:13" x14ac:dyDescent="0.25">
      <c r="A124" s="2">
        <v>46169</v>
      </c>
      <c r="B124" s="1" t="str">
        <f ca="1">IF(Información1[[#This Row],[Fecha]]='Ajuste de fechas'!$A$2,"Día actual","Día anterior")</f>
        <v>Día anterior</v>
      </c>
      <c r="C124" s="3" t="s">
        <v>113</v>
      </c>
      <c r="D124" t="s">
        <v>114</v>
      </c>
      <c r="E124" s="3" t="s">
        <v>115</v>
      </c>
      <c r="F124" s="3" t="s">
        <v>21</v>
      </c>
      <c r="G124" s="3" t="s">
        <v>116</v>
      </c>
      <c r="H124" s="3" t="s">
        <v>11</v>
      </c>
      <c r="I124" s="3" t="s">
        <v>7</v>
      </c>
      <c r="J124" s="3" t="s">
        <v>43</v>
      </c>
      <c r="K124" s="3" t="s">
        <v>117</v>
      </c>
      <c r="L124" s="3" t="s">
        <v>46</v>
      </c>
      <c r="M124">
        <v>1</v>
      </c>
    </row>
    <row r="125" spans="1:13" x14ac:dyDescent="0.25">
      <c r="A125" s="2">
        <v>46169</v>
      </c>
      <c r="B125" s="1" t="str">
        <f ca="1">IF(Información1[[#This Row],[Fecha]]='Ajuste de fechas'!$A$2,"Día actual","Día anterior")</f>
        <v>Día anterior</v>
      </c>
      <c r="C125" s="3" t="s">
        <v>28</v>
      </c>
      <c r="D125" t="s">
        <v>30</v>
      </c>
      <c r="E125" s="3" t="s">
        <v>118</v>
      </c>
      <c r="F125" s="3" t="s">
        <v>21</v>
      </c>
      <c r="G125" s="3" t="s">
        <v>116</v>
      </c>
      <c r="H125" s="3" t="s">
        <v>11</v>
      </c>
      <c r="I125" s="3" t="s">
        <v>7</v>
      </c>
      <c r="J125" s="3" t="s">
        <v>43</v>
      </c>
      <c r="K125" s="3" t="s">
        <v>36</v>
      </c>
      <c r="L125" s="3" t="s">
        <v>44</v>
      </c>
      <c r="M125">
        <v>1</v>
      </c>
    </row>
    <row r="126" spans="1:13" x14ac:dyDescent="0.25">
      <c r="A126" s="2">
        <v>46169</v>
      </c>
      <c r="B126" s="1" t="str">
        <f ca="1">IF(Información1[[#This Row],[Fecha]]='Ajuste de fechas'!$A$2,"Día actual","Día anterior")</f>
        <v>Día anterior</v>
      </c>
      <c r="C126" s="3" t="s">
        <v>8</v>
      </c>
      <c r="D126" t="s">
        <v>10</v>
      </c>
      <c r="E126" s="3" t="s">
        <v>119</v>
      </c>
      <c r="F126" s="3" t="s">
        <v>17</v>
      </c>
      <c r="G126" s="3" t="s">
        <v>120</v>
      </c>
      <c r="H126" s="3" t="s">
        <v>11</v>
      </c>
      <c r="I126" s="3" t="s">
        <v>25</v>
      </c>
      <c r="J126" s="3" t="s">
        <v>43</v>
      </c>
      <c r="K126" s="3" t="s">
        <v>9</v>
      </c>
      <c r="L126" s="3" t="s">
        <v>45</v>
      </c>
      <c r="M126">
        <v>1</v>
      </c>
    </row>
    <row r="127" spans="1:13" x14ac:dyDescent="0.25">
      <c r="A127" s="2">
        <v>46169</v>
      </c>
      <c r="B127" s="1" t="str">
        <f ca="1">IF(Información1[[#This Row],[Fecha]]='Ajuste de fechas'!$A$2,"Día actual","Día anterior")</f>
        <v>Día anterior</v>
      </c>
      <c r="C127" s="3" t="s">
        <v>8</v>
      </c>
      <c r="D127" t="s">
        <v>10</v>
      </c>
      <c r="E127" s="3" t="s">
        <v>121</v>
      </c>
      <c r="F127" s="3" t="s">
        <v>17</v>
      </c>
      <c r="G127" s="3" t="s">
        <v>63</v>
      </c>
      <c r="H127" s="3" t="s">
        <v>11</v>
      </c>
      <c r="I127" s="3" t="s">
        <v>25</v>
      </c>
      <c r="J127" s="3" t="s">
        <v>43</v>
      </c>
      <c r="K127" s="3" t="s">
        <v>9</v>
      </c>
      <c r="L127" s="3" t="s">
        <v>45</v>
      </c>
      <c r="M127">
        <v>1</v>
      </c>
    </row>
    <row r="128" spans="1:13" x14ac:dyDescent="0.25">
      <c r="A128" s="2">
        <v>46169</v>
      </c>
      <c r="B128" s="1" t="str">
        <f ca="1">IF(Información1[[#This Row],[Fecha]]='Ajuste de fechas'!$A$2,"Día actual","Día anterior")</f>
        <v>Día anterior</v>
      </c>
      <c r="C128" s="3" t="s">
        <v>8</v>
      </c>
      <c r="D128" t="s">
        <v>10</v>
      </c>
      <c r="E128" s="3" t="s">
        <v>16</v>
      </c>
      <c r="F128" s="3" t="s">
        <v>17</v>
      </c>
      <c r="G128" s="3" t="s">
        <v>35</v>
      </c>
      <c r="H128" s="3" t="s">
        <v>11</v>
      </c>
      <c r="I128" s="3" t="s">
        <v>12</v>
      </c>
      <c r="J128" s="3" t="s">
        <v>43</v>
      </c>
      <c r="K128" s="3" t="s">
        <v>14</v>
      </c>
      <c r="L128" s="3" t="s">
        <v>45</v>
      </c>
      <c r="M128">
        <v>1</v>
      </c>
    </row>
    <row r="129" spans="1:13" x14ac:dyDescent="0.25">
      <c r="A129" s="2">
        <v>46169</v>
      </c>
      <c r="B129" s="1" t="str">
        <f ca="1">IF(Información1[[#This Row],[Fecha]]='Ajuste de fechas'!$A$2,"Día actual","Día anterior")</f>
        <v>Día anterior</v>
      </c>
      <c r="C129" s="3" t="s">
        <v>28</v>
      </c>
      <c r="D129" t="s">
        <v>30</v>
      </c>
      <c r="E129" s="3" t="s">
        <v>122</v>
      </c>
      <c r="F129" s="3" t="s">
        <v>17</v>
      </c>
      <c r="G129" s="3" t="s">
        <v>71</v>
      </c>
      <c r="H129" s="3" t="s">
        <v>11</v>
      </c>
      <c r="I129" s="3" t="s">
        <v>7</v>
      </c>
      <c r="J129" s="3" t="s">
        <v>43</v>
      </c>
      <c r="K129" s="3" t="s">
        <v>36</v>
      </c>
      <c r="L129" s="3" t="s">
        <v>44</v>
      </c>
      <c r="M129">
        <v>1</v>
      </c>
    </row>
    <row r="130" spans="1:13" x14ac:dyDescent="0.25">
      <c r="A130" s="2">
        <v>46169</v>
      </c>
      <c r="B130" s="1" t="str">
        <f ca="1">IF(Información1[[#This Row],[Fecha]]='Ajuste de fechas'!$A$2,"Día actual","Día anterior")</f>
        <v>Día anterior</v>
      </c>
      <c r="C130" s="3" t="s">
        <v>8</v>
      </c>
      <c r="D130" t="s">
        <v>10</v>
      </c>
      <c r="E130" s="3" t="s">
        <v>13</v>
      </c>
      <c r="F130" s="3" t="s">
        <v>15</v>
      </c>
      <c r="G130" s="3" t="s">
        <v>35</v>
      </c>
      <c r="H130" s="3" t="s">
        <v>11</v>
      </c>
      <c r="I130" s="3" t="s">
        <v>12</v>
      </c>
      <c r="J130" s="3" t="s">
        <v>43</v>
      </c>
      <c r="K130" s="3" t="s">
        <v>14</v>
      </c>
      <c r="L130" s="3" t="s">
        <v>45</v>
      </c>
      <c r="M130">
        <v>1</v>
      </c>
    </row>
    <row r="131" spans="1:13" x14ac:dyDescent="0.25">
      <c r="A131" s="2">
        <v>46169</v>
      </c>
      <c r="B131" s="1" t="str">
        <f ca="1">IF(Información1[[#This Row],[Fecha]]='Ajuste de fechas'!$A$2,"Día actual","Día anterior")</f>
        <v>Día anterior</v>
      </c>
      <c r="C131" s="3" t="s">
        <v>28</v>
      </c>
      <c r="D131" t="s">
        <v>31</v>
      </c>
      <c r="E131" s="3" t="s">
        <v>123</v>
      </c>
      <c r="F131" s="3" t="s">
        <v>15</v>
      </c>
      <c r="G131" s="3" t="s">
        <v>97</v>
      </c>
      <c r="H131" s="3" t="s">
        <v>11</v>
      </c>
      <c r="I131" s="3" t="s">
        <v>7</v>
      </c>
      <c r="J131" s="3" t="s">
        <v>43</v>
      </c>
      <c r="K131" s="3" t="s">
        <v>29</v>
      </c>
      <c r="L131" s="3" t="s">
        <v>44</v>
      </c>
      <c r="M131">
        <v>2</v>
      </c>
    </row>
    <row r="132" spans="1:13" x14ac:dyDescent="0.25">
      <c r="A132" s="2">
        <v>46169</v>
      </c>
      <c r="B132" s="1" t="str">
        <f ca="1">IF(Información1[[#This Row],[Fecha]]='Ajuste de fechas'!$A$2,"Día actual","Día anterior")</f>
        <v>Día anterior</v>
      </c>
      <c r="C132" s="3" t="s">
        <v>113</v>
      </c>
      <c r="D132" t="s">
        <v>114</v>
      </c>
      <c r="E132" s="3" t="s">
        <v>124</v>
      </c>
      <c r="F132" s="3" t="s">
        <v>94</v>
      </c>
      <c r="G132" s="3" t="s">
        <v>125</v>
      </c>
      <c r="H132" s="3" t="s">
        <v>11</v>
      </c>
      <c r="I132" s="3" t="s">
        <v>7</v>
      </c>
      <c r="J132" s="3" t="s">
        <v>43</v>
      </c>
      <c r="K132" s="3" t="s">
        <v>117</v>
      </c>
      <c r="L132" s="3" t="s">
        <v>46</v>
      </c>
      <c r="M132">
        <v>1</v>
      </c>
    </row>
    <row r="133" spans="1:13" x14ac:dyDescent="0.25">
      <c r="A133" s="2">
        <v>46169</v>
      </c>
      <c r="B133" s="1" t="str">
        <f ca="1">IF(Información1[[#This Row],[Fecha]]='Ajuste de fechas'!$A$2,"Día actual","Día anterior")</f>
        <v>Día anterior</v>
      </c>
      <c r="C133" s="3" t="s">
        <v>78</v>
      </c>
      <c r="D133" t="s">
        <v>79</v>
      </c>
      <c r="E133" s="3" t="s">
        <v>124</v>
      </c>
      <c r="F133" s="3" t="s">
        <v>94</v>
      </c>
      <c r="G133" s="3" t="s">
        <v>125</v>
      </c>
      <c r="H133" s="3" t="s">
        <v>11</v>
      </c>
      <c r="I133" s="3" t="s">
        <v>7</v>
      </c>
      <c r="J133" s="3" t="s">
        <v>43</v>
      </c>
      <c r="K133" s="3" t="s">
        <v>80</v>
      </c>
      <c r="L133" s="3" t="s">
        <v>46</v>
      </c>
      <c r="M133">
        <v>1</v>
      </c>
    </row>
    <row r="134" spans="1:13" x14ac:dyDescent="0.25">
      <c r="A134" s="2">
        <v>46169</v>
      </c>
      <c r="B134" s="1" t="str">
        <f ca="1">IF(Información1[[#This Row],[Fecha]]='Ajuste de fechas'!$A$2,"Día actual","Día anterior")</f>
        <v>Día anterior</v>
      </c>
      <c r="C134" s="3" t="s">
        <v>8</v>
      </c>
      <c r="D134" t="s">
        <v>10</v>
      </c>
      <c r="E134" s="3" t="s">
        <v>126</v>
      </c>
      <c r="F134" s="3" t="s">
        <v>22</v>
      </c>
      <c r="G134" s="3" t="s">
        <v>127</v>
      </c>
      <c r="H134" s="3" t="s">
        <v>11</v>
      </c>
      <c r="I134" s="3" t="s">
        <v>25</v>
      </c>
      <c r="J134" s="3" t="s">
        <v>48</v>
      </c>
      <c r="K134" s="3" t="s">
        <v>9</v>
      </c>
      <c r="L134" s="3" t="s">
        <v>45</v>
      </c>
      <c r="M134">
        <v>1</v>
      </c>
    </row>
    <row r="135" spans="1:13" x14ac:dyDescent="0.25">
      <c r="A135" s="2">
        <v>46169</v>
      </c>
      <c r="B135" s="1" t="str">
        <f ca="1">IF(Información1[[#This Row],[Fecha]]='Ajuste de fechas'!$A$2,"Día actual","Día anterior")</f>
        <v>Día anterior</v>
      </c>
      <c r="C135" s="3" t="s">
        <v>8</v>
      </c>
      <c r="D135" t="s">
        <v>10</v>
      </c>
      <c r="E135" s="3" t="s">
        <v>128</v>
      </c>
      <c r="F135" s="3" t="s">
        <v>22</v>
      </c>
      <c r="G135" s="3" t="s">
        <v>95</v>
      </c>
      <c r="H135" s="3" t="s">
        <v>11</v>
      </c>
      <c r="I135" s="3" t="s">
        <v>7</v>
      </c>
      <c r="J135" s="3" t="s">
        <v>48</v>
      </c>
      <c r="K135" s="3" t="s">
        <v>14</v>
      </c>
      <c r="L135" s="3" t="s">
        <v>44</v>
      </c>
      <c r="M135">
        <v>1</v>
      </c>
    </row>
    <row r="136" spans="1:13" x14ac:dyDescent="0.25">
      <c r="A136" s="2">
        <v>46169</v>
      </c>
      <c r="B136" s="1" t="str">
        <f ca="1">IF(Información1[[#This Row],[Fecha]]='Ajuste de fechas'!$A$2,"Día actual","Día anterior")</f>
        <v>Día anterior</v>
      </c>
      <c r="C136" s="3" t="s">
        <v>28</v>
      </c>
      <c r="D136" t="s">
        <v>31</v>
      </c>
      <c r="E136" s="3" t="s">
        <v>129</v>
      </c>
      <c r="F136" s="3" t="s">
        <v>22</v>
      </c>
      <c r="G136" s="3" t="s">
        <v>77</v>
      </c>
      <c r="H136" s="3" t="s">
        <v>11</v>
      </c>
      <c r="I136" s="3" t="s">
        <v>25</v>
      </c>
      <c r="J136" s="3" t="s">
        <v>48</v>
      </c>
      <c r="K136" s="3" t="s">
        <v>29</v>
      </c>
      <c r="L136" s="3" t="s">
        <v>44</v>
      </c>
      <c r="M136">
        <v>1</v>
      </c>
    </row>
    <row r="137" spans="1:13" x14ac:dyDescent="0.25">
      <c r="A137" s="2">
        <v>46169</v>
      </c>
      <c r="B137" s="1" t="str">
        <f ca="1">IF(Información1[[#This Row],[Fecha]]='Ajuste de fechas'!$A$2,"Día actual","Día anterior")</f>
        <v>Día anterior</v>
      </c>
      <c r="C137" s="3" t="s">
        <v>28</v>
      </c>
      <c r="D137" t="s">
        <v>31</v>
      </c>
      <c r="E137" s="3" t="s">
        <v>130</v>
      </c>
      <c r="F137" s="3" t="s">
        <v>22</v>
      </c>
      <c r="G137" s="3" t="s">
        <v>77</v>
      </c>
      <c r="H137" s="3" t="s">
        <v>11</v>
      </c>
      <c r="I137" s="3" t="s">
        <v>7</v>
      </c>
      <c r="J137" s="3" t="s">
        <v>48</v>
      </c>
      <c r="K137" s="3" t="s">
        <v>29</v>
      </c>
      <c r="L137" s="3" t="s">
        <v>44</v>
      </c>
      <c r="M137">
        <v>1</v>
      </c>
    </row>
    <row r="138" spans="1:13" x14ac:dyDescent="0.25">
      <c r="A138" s="2">
        <v>46169</v>
      </c>
      <c r="B138" s="1" t="str">
        <f ca="1">IF(Información1[[#This Row],[Fecha]]='Ajuste de fechas'!$A$2,"Día actual","Día anterior")</f>
        <v>Día anterior</v>
      </c>
      <c r="C138" s="3" t="s">
        <v>28</v>
      </c>
      <c r="D138" t="s">
        <v>31</v>
      </c>
      <c r="E138" s="3" t="s">
        <v>131</v>
      </c>
      <c r="F138" s="3" t="s">
        <v>22</v>
      </c>
      <c r="G138" s="3" t="s">
        <v>132</v>
      </c>
      <c r="H138" s="3" t="s">
        <v>11</v>
      </c>
      <c r="I138" s="3" t="s">
        <v>7</v>
      </c>
      <c r="J138" s="3" t="s">
        <v>48</v>
      </c>
      <c r="K138" s="3" t="s">
        <v>29</v>
      </c>
      <c r="L138" s="3" t="s">
        <v>44</v>
      </c>
      <c r="M138">
        <v>1</v>
      </c>
    </row>
    <row r="139" spans="1:13" x14ac:dyDescent="0.25">
      <c r="A139" s="2">
        <v>46169</v>
      </c>
      <c r="B139" s="1" t="str">
        <f ca="1">IF(Información1[[#This Row],[Fecha]]='Ajuste de fechas'!$A$2,"Día actual","Día anterior")</f>
        <v>Día anterior</v>
      </c>
      <c r="C139" s="3" t="s">
        <v>8</v>
      </c>
      <c r="D139" t="s">
        <v>10</v>
      </c>
      <c r="E139" s="3" t="s">
        <v>133</v>
      </c>
      <c r="F139" s="3" t="s">
        <v>53</v>
      </c>
      <c r="G139" s="3" t="s">
        <v>134</v>
      </c>
      <c r="H139" s="3" t="s">
        <v>11</v>
      </c>
      <c r="I139" s="3" t="s">
        <v>7</v>
      </c>
      <c r="J139" s="3" t="s">
        <v>43</v>
      </c>
      <c r="K139" s="3" t="s">
        <v>14</v>
      </c>
      <c r="L139" s="3" t="s">
        <v>46</v>
      </c>
      <c r="M139">
        <v>1</v>
      </c>
    </row>
    <row r="140" spans="1:13" x14ac:dyDescent="0.25">
      <c r="A140" s="2">
        <v>46169</v>
      </c>
      <c r="B140" s="1" t="str">
        <f ca="1">IF(Información1[[#This Row],[Fecha]]='Ajuste de fechas'!$A$2,"Día actual","Día anterior")</f>
        <v>Día anterior</v>
      </c>
      <c r="C140" s="3" t="s">
        <v>28</v>
      </c>
      <c r="D140" t="s">
        <v>31</v>
      </c>
      <c r="E140" s="3" t="s">
        <v>135</v>
      </c>
      <c r="F140" s="3" t="s">
        <v>53</v>
      </c>
      <c r="G140" s="3" t="s">
        <v>136</v>
      </c>
      <c r="H140" s="3" t="s">
        <v>11</v>
      </c>
      <c r="I140" s="3" t="s">
        <v>25</v>
      </c>
      <c r="J140" s="3" t="s">
        <v>43</v>
      </c>
      <c r="K140" s="3" t="s">
        <v>29</v>
      </c>
      <c r="L140" s="3" t="s">
        <v>44</v>
      </c>
      <c r="M140">
        <v>1</v>
      </c>
    </row>
    <row r="141" spans="1:13" x14ac:dyDescent="0.25">
      <c r="A141" s="2">
        <v>46169</v>
      </c>
      <c r="B141" s="1" t="str">
        <f ca="1">IF(Información1[[#This Row],[Fecha]]='Ajuste de fechas'!$A$2,"Día actual","Día anterior")</f>
        <v>Día anterior</v>
      </c>
      <c r="C141" s="3" t="s">
        <v>8</v>
      </c>
      <c r="D141" t="s">
        <v>10</v>
      </c>
      <c r="E141" s="3" t="s">
        <v>137</v>
      </c>
      <c r="F141" s="3" t="s">
        <v>24</v>
      </c>
      <c r="G141" s="3" t="s">
        <v>61</v>
      </c>
      <c r="H141" s="3" t="s">
        <v>11</v>
      </c>
      <c r="I141" s="3" t="s">
        <v>7</v>
      </c>
      <c r="J141" s="3" t="s">
        <v>24</v>
      </c>
      <c r="K141" s="3" t="s">
        <v>14</v>
      </c>
      <c r="L141" s="3" t="s">
        <v>45</v>
      </c>
      <c r="M141">
        <v>1</v>
      </c>
    </row>
    <row r="142" spans="1:13" x14ac:dyDescent="0.25">
      <c r="A142" s="2">
        <v>46169</v>
      </c>
      <c r="B142" s="1" t="str">
        <f ca="1">IF(Información1[[#This Row],[Fecha]]='Ajuste de fechas'!$A$2,"Día actual","Día anterior")</f>
        <v>Día anterior</v>
      </c>
      <c r="C142" s="3" t="s">
        <v>28</v>
      </c>
      <c r="D142" t="s">
        <v>31</v>
      </c>
      <c r="E142" s="3" t="s">
        <v>138</v>
      </c>
      <c r="F142" s="3" t="s">
        <v>24</v>
      </c>
      <c r="G142" s="3" t="s">
        <v>61</v>
      </c>
      <c r="H142" s="3" t="s">
        <v>11</v>
      </c>
      <c r="I142" s="3" t="s">
        <v>7</v>
      </c>
      <c r="J142" s="3" t="s">
        <v>24</v>
      </c>
      <c r="K142" s="3" t="s">
        <v>29</v>
      </c>
      <c r="L142" s="3" t="s">
        <v>44</v>
      </c>
      <c r="M142">
        <v>1</v>
      </c>
    </row>
    <row r="143" spans="1:13" x14ac:dyDescent="0.25">
      <c r="A143" s="2">
        <v>46169</v>
      </c>
      <c r="B143" s="1" t="str">
        <f ca="1">IF(Información1[[#This Row],[Fecha]]='Ajuste de fechas'!$A$2,"Día actual","Día anterior")</f>
        <v>Día anterior</v>
      </c>
      <c r="C143" s="3" t="s">
        <v>28</v>
      </c>
      <c r="D143" t="s">
        <v>31</v>
      </c>
      <c r="E143" s="3" t="s">
        <v>139</v>
      </c>
      <c r="F143" s="3" t="s">
        <v>85</v>
      </c>
      <c r="G143" s="3" t="s">
        <v>86</v>
      </c>
      <c r="H143" s="3" t="s">
        <v>11</v>
      </c>
      <c r="I143" s="3" t="s">
        <v>7</v>
      </c>
      <c r="J143" s="3" t="s">
        <v>43</v>
      </c>
      <c r="K143" s="3" t="s">
        <v>29</v>
      </c>
      <c r="L143" s="3" t="s">
        <v>44</v>
      </c>
      <c r="M143">
        <v>1</v>
      </c>
    </row>
    <row r="144" spans="1:13" x14ac:dyDescent="0.25">
      <c r="A144" s="2">
        <v>46169</v>
      </c>
      <c r="B144" s="1" t="str">
        <f ca="1">IF(Información1[[#This Row],[Fecha]]='Ajuste de fechas'!$A$2,"Día actual","Día anterior")</f>
        <v>Día anterior</v>
      </c>
      <c r="C144" s="3" t="s">
        <v>113</v>
      </c>
      <c r="D144" t="s">
        <v>114</v>
      </c>
      <c r="E144" s="3" t="s">
        <v>140</v>
      </c>
      <c r="F144" s="3" t="s">
        <v>26</v>
      </c>
      <c r="G144" s="3" t="s">
        <v>62</v>
      </c>
      <c r="H144" s="3" t="s">
        <v>11</v>
      </c>
      <c r="I144" s="3" t="s">
        <v>7</v>
      </c>
      <c r="J144" s="3" t="s">
        <v>43</v>
      </c>
      <c r="K144" s="3" t="s">
        <v>117</v>
      </c>
      <c r="L144" s="3" t="s">
        <v>46</v>
      </c>
      <c r="M144">
        <v>1</v>
      </c>
    </row>
    <row r="145" spans="1:13" x14ac:dyDescent="0.25">
      <c r="A145" s="2">
        <v>46169</v>
      </c>
      <c r="B145" s="1" t="str">
        <f ca="1">IF(Información1[[#This Row],[Fecha]]='Ajuste de fechas'!$A$2,"Día actual","Día anterior")</f>
        <v>Día anterior</v>
      </c>
      <c r="C145" s="3" t="s">
        <v>28</v>
      </c>
      <c r="D145" t="s">
        <v>30</v>
      </c>
      <c r="E145" s="3" t="s">
        <v>141</v>
      </c>
      <c r="F145" s="3" t="s">
        <v>26</v>
      </c>
      <c r="G145" s="3" t="s">
        <v>62</v>
      </c>
      <c r="H145" s="3" t="s">
        <v>11</v>
      </c>
      <c r="I145" s="3" t="s">
        <v>7</v>
      </c>
      <c r="J145" s="3" t="s">
        <v>43</v>
      </c>
      <c r="K145" s="3" t="s">
        <v>36</v>
      </c>
      <c r="L145" s="3" t="s">
        <v>46</v>
      </c>
      <c r="M145">
        <v>1</v>
      </c>
    </row>
    <row r="146" spans="1:13" x14ac:dyDescent="0.25">
      <c r="A146" s="2">
        <v>46169</v>
      </c>
      <c r="B146" s="1" t="str">
        <f ca="1">IF(Información1[[#This Row],[Fecha]]='Ajuste de fechas'!$A$2,"Día actual","Día anterior")</f>
        <v>Día anterior</v>
      </c>
      <c r="C146" s="3" t="s">
        <v>28</v>
      </c>
      <c r="D146" t="s">
        <v>31</v>
      </c>
      <c r="E146" s="3" t="s">
        <v>142</v>
      </c>
      <c r="F146" s="3" t="s">
        <v>26</v>
      </c>
      <c r="G146" s="3" t="s">
        <v>61</v>
      </c>
      <c r="H146" s="3" t="s">
        <v>11</v>
      </c>
      <c r="I146" s="3" t="s">
        <v>7</v>
      </c>
      <c r="J146" s="3" t="s">
        <v>43</v>
      </c>
      <c r="K146" s="3" t="s">
        <v>29</v>
      </c>
      <c r="L146" s="3" t="s">
        <v>44</v>
      </c>
      <c r="M146">
        <v>1</v>
      </c>
    </row>
    <row r="147" spans="1:13" x14ac:dyDescent="0.25">
      <c r="A147" s="2">
        <v>46169</v>
      </c>
      <c r="B147" s="1" t="str">
        <f ca="1">IF(Información1[[#This Row],[Fecha]]='Ajuste de fechas'!$A$2,"Día actual","Día anterior")</f>
        <v>Día anterior</v>
      </c>
      <c r="C147" s="3" t="s">
        <v>28</v>
      </c>
      <c r="D147" t="s">
        <v>31</v>
      </c>
      <c r="E147" s="3" t="s">
        <v>143</v>
      </c>
      <c r="F147" s="3" t="s">
        <v>26</v>
      </c>
      <c r="G147" s="3" t="s">
        <v>62</v>
      </c>
      <c r="H147" s="3" t="s">
        <v>11</v>
      </c>
      <c r="I147" s="3" t="s">
        <v>7</v>
      </c>
      <c r="J147" s="3" t="s">
        <v>43</v>
      </c>
      <c r="K147" s="3" t="s">
        <v>29</v>
      </c>
      <c r="L147" s="3" t="s">
        <v>44</v>
      </c>
      <c r="M147">
        <v>1</v>
      </c>
    </row>
    <row r="148" spans="1:13" x14ac:dyDescent="0.25">
      <c r="A148" s="2">
        <v>46169</v>
      </c>
      <c r="B148" s="1" t="str">
        <f ca="1">IF(Información1[[#This Row],[Fecha]]='Ajuste de fechas'!$A$2,"Día actual","Día anterior")</f>
        <v>Día anterior</v>
      </c>
      <c r="C148" s="3" t="s">
        <v>8</v>
      </c>
      <c r="D148" t="s">
        <v>10</v>
      </c>
      <c r="E148" s="3" t="s">
        <v>99</v>
      </c>
      <c r="F148" s="3" t="s">
        <v>67</v>
      </c>
      <c r="G148" s="3" t="s">
        <v>35</v>
      </c>
      <c r="H148" s="3" t="s">
        <v>11</v>
      </c>
      <c r="I148" s="3" t="s">
        <v>12</v>
      </c>
      <c r="J148" s="3" t="s">
        <v>24</v>
      </c>
      <c r="K148" s="3" t="s">
        <v>14</v>
      </c>
      <c r="L148" s="3" t="s">
        <v>45</v>
      </c>
      <c r="M148">
        <v>1</v>
      </c>
    </row>
    <row r="149" spans="1:13" x14ac:dyDescent="0.25">
      <c r="A149" s="2">
        <v>46169</v>
      </c>
      <c r="B149" s="1" t="str">
        <f ca="1">IF(Información1[[#This Row],[Fecha]]='Ajuste de fechas'!$A$2,"Día actual","Día anterior")</f>
        <v>Día anterior</v>
      </c>
      <c r="C149" s="3" t="s">
        <v>8</v>
      </c>
      <c r="D149" t="s">
        <v>10</v>
      </c>
      <c r="E149" s="3" t="s">
        <v>144</v>
      </c>
      <c r="F149" s="3" t="s">
        <v>67</v>
      </c>
      <c r="G149" s="3" t="s">
        <v>145</v>
      </c>
      <c r="H149" s="3" t="s">
        <v>11</v>
      </c>
      <c r="I149" s="3" t="s">
        <v>7</v>
      </c>
      <c r="J149" s="3" t="s">
        <v>24</v>
      </c>
      <c r="K149" s="3" t="s">
        <v>14</v>
      </c>
      <c r="L149" s="3" t="s">
        <v>44</v>
      </c>
      <c r="M149">
        <v>1</v>
      </c>
    </row>
    <row r="150" spans="1:13" x14ac:dyDescent="0.25">
      <c r="A150" s="2">
        <v>46169</v>
      </c>
      <c r="B150" s="1" t="str">
        <f ca="1">IF(Información1[[#This Row],[Fecha]]='Ajuste de fechas'!$A$2,"Día actual","Día anterior")</f>
        <v>Día anterior</v>
      </c>
      <c r="C150" s="3" t="s">
        <v>8</v>
      </c>
      <c r="D150" t="s">
        <v>10</v>
      </c>
      <c r="E150" s="3" t="s">
        <v>146</v>
      </c>
      <c r="F150" s="3" t="s">
        <v>67</v>
      </c>
      <c r="G150" s="3" t="s">
        <v>145</v>
      </c>
      <c r="H150" s="3" t="s">
        <v>11</v>
      </c>
      <c r="I150" s="3" t="s">
        <v>7</v>
      </c>
      <c r="J150" s="3" t="s">
        <v>24</v>
      </c>
      <c r="K150" s="3" t="s">
        <v>14</v>
      </c>
      <c r="L150" s="3" t="s">
        <v>44</v>
      </c>
      <c r="M150">
        <v>1</v>
      </c>
    </row>
    <row r="151" spans="1:13" x14ac:dyDescent="0.25">
      <c r="A151" s="2">
        <v>46169</v>
      </c>
      <c r="B151" s="1" t="str">
        <f ca="1">IF(Información1[[#This Row],[Fecha]]='Ajuste de fechas'!$A$2,"Día actual","Día anterior")</f>
        <v>Día anterior</v>
      </c>
      <c r="C151" s="3" t="s">
        <v>28</v>
      </c>
      <c r="D151" t="s">
        <v>30</v>
      </c>
      <c r="E151" s="3" t="s">
        <v>147</v>
      </c>
      <c r="F151" s="3" t="s">
        <v>67</v>
      </c>
      <c r="G151" s="3"/>
      <c r="H151" s="3" t="s">
        <v>11</v>
      </c>
      <c r="I151" s="3" t="s">
        <v>7</v>
      </c>
      <c r="J151" s="3" t="s">
        <v>24</v>
      </c>
      <c r="K151" s="3" t="s">
        <v>36</v>
      </c>
      <c r="L151" s="3" t="s">
        <v>44</v>
      </c>
      <c r="M151">
        <v>1</v>
      </c>
    </row>
    <row r="152" spans="1:13" x14ac:dyDescent="0.25">
      <c r="A152" s="2">
        <v>46169</v>
      </c>
      <c r="B152" s="1" t="str">
        <f ca="1">IF(Información1[[#This Row],[Fecha]]='Ajuste de fechas'!$A$2,"Día actual","Día anterior")</f>
        <v>Día anterior</v>
      </c>
      <c r="C152" s="3" t="s">
        <v>28</v>
      </c>
      <c r="D152" t="s">
        <v>30</v>
      </c>
      <c r="E152" s="3" t="s">
        <v>148</v>
      </c>
      <c r="F152" s="3" t="s">
        <v>67</v>
      </c>
      <c r="G152" s="3" t="s">
        <v>68</v>
      </c>
      <c r="H152" s="3" t="s">
        <v>11</v>
      </c>
      <c r="I152" s="3" t="s">
        <v>25</v>
      </c>
      <c r="J152" s="3" t="s">
        <v>24</v>
      </c>
      <c r="K152" s="3" t="s">
        <v>36</v>
      </c>
      <c r="L152" s="3" t="s">
        <v>44</v>
      </c>
      <c r="M152">
        <v>1</v>
      </c>
    </row>
    <row r="153" spans="1:13" x14ac:dyDescent="0.25">
      <c r="A153" s="2">
        <v>46169</v>
      </c>
      <c r="B153" s="1" t="str">
        <f ca="1">IF(Información1[[#This Row],[Fecha]]='Ajuste de fechas'!$A$2,"Día actual","Día anterior")</f>
        <v>Día anterior</v>
      </c>
      <c r="C153" s="3" t="s">
        <v>28</v>
      </c>
      <c r="D153" t="s">
        <v>30</v>
      </c>
      <c r="E153" s="3" t="s">
        <v>149</v>
      </c>
      <c r="F153" s="3" t="s">
        <v>67</v>
      </c>
      <c r="G153" s="3" t="s">
        <v>68</v>
      </c>
      <c r="H153" s="3" t="s">
        <v>11</v>
      </c>
      <c r="I153" s="3" t="s">
        <v>7</v>
      </c>
      <c r="J153" s="3" t="s">
        <v>24</v>
      </c>
      <c r="K153" s="3" t="s">
        <v>36</v>
      </c>
      <c r="L153" s="3" t="s">
        <v>44</v>
      </c>
      <c r="M153">
        <v>1</v>
      </c>
    </row>
    <row r="154" spans="1:13" x14ac:dyDescent="0.25">
      <c r="A154" s="2">
        <v>46169</v>
      </c>
      <c r="B154" s="1" t="str">
        <f ca="1">IF(Información1[[#This Row],[Fecha]]='Ajuste de fechas'!$A$2,"Día actual","Día anterior")</f>
        <v>Día anterior</v>
      </c>
      <c r="C154" s="3" t="s">
        <v>8</v>
      </c>
      <c r="D154" t="s">
        <v>10</v>
      </c>
      <c r="E154" s="3" t="s">
        <v>20</v>
      </c>
      <c r="F154" s="3" t="s">
        <v>19</v>
      </c>
      <c r="G154" s="3" t="s">
        <v>35</v>
      </c>
      <c r="H154" s="3" t="s">
        <v>11</v>
      </c>
      <c r="I154" s="3" t="s">
        <v>12</v>
      </c>
      <c r="J154" s="3" t="s">
        <v>47</v>
      </c>
      <c r="K154" s="3" t="s">
        <v>14</v>
      </c>
      <c r="L154" s="3" t="s">
        <v>45</v>
      </c>
      <c r="M154">
        <v>1</v>
      </c>
    </row>
    <row r="155" spans="1:13" x14ac:dyDescent="0.25">
      <c r="A155" s="2">
        <v>46169</v>
      </c>
      <c r="B155" s="1" t="str">
        <f ca="1">IF(Información1[[#This Row],[Fecha]]='Ajuste de fechas'!$A$2,"Día actual","Día anterior")</f>
        <v>Día anterior</v>
      </c>
      <c r="C155" s="3" t="s">
        <v>8</v>
      </c>
      <c r="D155" t="s">
        <v>10</v>
      </c>
      <c r="E155" s="3" t="s">
        <v>18</v>
      </c>
      <c r="F155" s="3" t="s">
        <v>19</v>
      </c>
      <c r="G155" s="3" t="s">
        <v>35</v>
      </c>
      <c r="H155" s="3" t="s">
        <v>11</v>
      </c>
      <c r="I155" s="3" t="s">
        <v>12</v>
      </c>
      <c r="J155" s="3" t="s">
        <v>47</v>
      </c>
      <c r="K155" s="3" t="s">
        <v>14</v>
      </c>
      <c r="L155" s="3" t="s">
        <v>45</v>
      </c>
      <c r="M155">
        <v>1</v>
      </c>
    </row>
    <row r="156" spans="1:13" x14ac:dyDescent="0.25">
      <c r="A156" s="2">
        <v>46169</v>
      </c>
      <c r="B156" s="1" t="str">
        <f ca="1">IF(Información1[[#This Row],[Fecha]]='Ajuste de fechas'!$A$2,"Día actual","Día anterior")</f>
        <v>Día anterior</v>
      </c>
      <c r="C156" s="3" t="s">
        <v>8</v>
      </c>
      <c r="D156" t="s">
        <v>10</v>
      </c>
      <c r="E156" s="3" t="s">
        <v>150</v>
      </c>
      <c r="F156" s="3" t="s">
        <v>19</v>
      </c>
      <c r="G156" s="3" t="s">
        <v>151</v>
      </c>
      <c r="H156" s="3" t="s">
        <v>11</v>
      </c>
      <c r="I156" s="3" t="s">
        <v>7</v>
      </c>
      <c r="J156" s="3" t="s">
        <v>47</v>
      </c>
      <c r="K156" s="3" t="s">
        <v>14</v>
      </c>
      <c r="L156" s="3" t="s">
        <v>44</v>
      </c>
      <c r="M156">
        <v>1</v>
      </c>
    </row>
    <row r="157" spans="1:13" x14ac:dyDescent="0.25">
      <c r="A157" s="2">
        <v>46169</v>
      </c>
      <c r="B157" s="1" t="str">
        <f ca="1">IF(Información1[[#This Row],[Fecha]]='Ajuste de fechas'!$A$2,"Día actual","Día anterior")</f>
        <v>Día anterior</v>
      </c>
      <c r="C157" s="3" t="s">
        <v>8</v>
      </c>
      <c r="D157" t="s">
        <v>10</v>
      </c>
      <c r="E157" s="3" t="s">
        <v>152</v>
      </c>
      <c r="F157" s="3" t="s">
        <v>19</v>
      </c>
      <c r="G157" s="3" t="s">
        <v>153</v>
      </c>
      <c r="H157" s="3" t="s">
        <v>11</v>
      </c>
      <c r="I157" s="3" t="s">
        <v>7</v>
      </c>
      <c r="J157" s="3" t="s">
        <v>47</v>
      </c>
      <c r="K157" s="3" t="s">
        <v>14</v>
      </c>
      <c r="L157" s="3" t="s">
        <v>44</v>
      </c>
      <c r="M157">
        <v>1</v>
      </c>
    </row>
    <row r="158" spans="1:13" x14ac:dyDescent="0.25">
      <c r="A158" s="2">
        <v>46169</v>
      </c>
      <c r="B158" s="1" t="str">
        <f ca="1">IF(Información1[[#This Row],[Fecha]]='Ajuste de fechas'!$A$2,"Día actual","Día anterior")</f>
        <v>Día anterior</v>
      </c>
      <c r="C158" s="3" t="s">
        <v>28</v>
      </c>
      <c r="D158" t="s">
        <v>30</v>
      </c>
      <c r="E158" s="3" t="s">
        <v>154</v>
      </c>
      <c r="F158" s="3" t="s">
        <v>19</v>
      </c>
      <c r="G158" s="3" t="s">
        <v>91</v>
      </c>
      <c r="H158" s="3" t="s">
        <v>11</v>
      </c>
      <c r="I158" s="3" t="s">
        <v>7</v>
      </c>
      <c r="J158" s="3" t="s">
        <v>47</v>
      </c>
      <c r="K158" s="3" t="s">
        <v>9</v>
      </c>
      <c r="L158" s="3" t="s">
        <v>45</v>
      </c>
      <c r="M158">
        <v>1</v>
      </c>
    </row>
    <row r="159" spans="1:13" x14ac:dyDescent="0.25">
      <c r="A159" s="2">
        <v>46169</v>
      </c>
      <c r="B159" s="1" t="str">
        <f ca="1">IF(Información1[[#This Row],[Fecha]]='Ajuste de fechas'!$A$2,"Día actual","Día anterior")</f>
        <v>Día anterior</v>
      </c>
      <c r="C159" s="3" t="s">
        <v>28</v>
      </c>
      <c r="D159" t="s">
        <v>30</v>
      </c>
      <c r="E159" s="3" t="s">
        <v>155</v>
      </c>
      <c r="F159" s="3" t="s">
        <v>19</v>
      </c>
      <c r="G159" s="3" t="s">
        <v>96</v>
      </c>
      <c r="H159" s="3" t="s">
        <v>11</v>
      </c>
      <c r="I159" s="3" t="s">
        <v>7</v>
      </c>
      <c r="J159" s="3" t="s">
        <v>47</v>
      </c>
      <c r="K159" s="3" t="s">
        <v>36</v>
      </c>
      <c r="L159" s="3" t="s">
        <v>44</v>
      </c>
      <c r="M159">
        <v>1</v>
      </c>
    </row>
    <row r="160" spans="1:13" x14ac:dyDescent="0.25">
      <c r="A160" s="2">
        <v>46169</v>
      </c>
      <c r="B160" s="1" t="str">
        <f ca="1">IF(Información1[[#This Row],[Fecha]]='Ajuste de fechas'!$A$2,"Día actual","Día anterior")</f>
        <v>Día anterior</v>
      </c>
      <c r="C160" s="3" t="s">
        <v>28</v>
      </c>
      <c r="D160" t="s">
        <v>30</v>
      </c>
      <c r="E160" s="3" t="s">
        <v>156</v>
      </c>
      <c r="F160" s="3" t="s">
        <v>19</v>
      </c>
      <c r="G160" s="3" t="s">
        <v>157</v>
      </c>
      <c r="H160" s="3" t="s">
        <v>11</v>
      </c>
      <c r="I160" s="3" t="s">
        <v>7</v>
      </c>
      <c r="J160" s="3" t="s">
        <v>47</v>
      </c>
      <c r="K160" s="3" t="s">
        <v>36</v>
      </c>
      <c r="L160" s="3" t="s">
        <v>44</v>
      </c>
      <c r="M160">
        <v>1</v>
      </c>
    </row>
    <row r="161" spans="1:13" x14ac:dyDescent="0.25">
      <c r="A161" s="2">
        <v>46169</v>
      </c>
      <c r="B161" s="1" t="str">
        <f ca="1">IF(Información1[[#This Row],[Fecha]]='Ajuste de fechas'!$A$2,"Día actual","Día anterior")</f>
        <v>Día anterior</v>
      </c>
      <c r="C161" s="3" t="s">
        <v>28</v>
      </c>
      <c r="D161" t="s">
        <v>30</v>
      </c>
      <c r="E161" s="3" t="s">
        <v>158</v>
      </c>
      <c r="F161" s="3" t="s">
        <v>19</v>
      </c>
      <c r="G161" s="3" t="s">
        <v>68</v>
      </c>
      <c r="H161" s="3" t="s">
        <v>11</v>
      </c>
      <c r="I161" s="3" t="s">
        <v>7</v>
      </c>
      <c r="J161" s="3" t="s">
        <v>47</v>
      </c>
      <c r="K161" s="3" t="s">
        <v>36</v>
      </c>
      <c r="L161" s="3" t="s">
        <v>44</v>
      </c>
      <c r="M161">
        <v>1</v>
      </c>
    </row>
    <row r="162" spans="1:13" x14ac:dyDescent="0.25">
      <c r="A162" s="2">
        <v>46169</v>
      </c>
      <c r="B162" s="1" t="str">
        <f ca="1">IF(Información1[[#This Row],[Fecha]]='Ajuste de fechas'!$A$2,"Día actual","Día anterior")</f>
        <v>Día anterior</v>
      </c>
      <c r="C162" s="3" t="s">
        <v>28</v>
      </c>
      <c r="D162" t="s">
        <v>31</v>
      </c>
      <c r="E162" s="3" t="s">
        <v>159</v>
      </c>
      <c r="F162" s="3" t="s">
        <v>19</v>
      </c>
      <c r="G162" s="3" t="s">
        <v>97</v>
      </c>
      <c r="H162" s="3" t="s">
        <v>11</v>
      </c>
      <c r="I162" s="3" t="s">
        <v>7</v>
      </c>
      <c r="J162" s="3" t="s">
        <v>47</v>
      </c>
      <c r="K162" s="3" t="s">
        <v>29</v>
      </c>
      <c r="L162" s="3" t="s">
        <v>44</v>
      </c>
      <c r="M162">
        <v>1</v>
      </c>
    </row>
    <row r="163" spans="1:13" x14ac:dyDescent="0.25">
      <c r="A163" s="2">
        <v>46169</v>
      </c>
      <c r="B163" s="1" t="str">
        <f ca="1">IF(Información1[[#This Row],[Fecha]]='Ajuste de fechas'!$A$2,"Día actual","Día anterior")</f>
        <v>Día anterior</v>
      </c>
      <c r="C163" s="3" t="s">
        <v>28</v>
      </c>
      <c r="D163" t="s">
        <v>31</v>
      </c>
      <c r="E163" s="3" t="s">
        <v>160</v>
      </c>
      <c r="F163" s="3" t="s">
        <v>19</v>
      </c>
      <c r="G163" s="3" t="s">
        <v>161</v>
      </c>
      <c r="H163" s="3" t="s">
        <v>11</v>
      </c>
      <c r="I163" s="3" t="s">
        <v>7</v>
      </c>
      <c r="J163" s="3" t="s">
        <v>47</v>
      </c>
      <c r="K163" s="3" t="s">
        <v>29</v>
      </c>
      <c r="L163" s="3" t="s">
        <v>44</v>
      </c>
      <c r="M163">
        <v>1</v>
      </c>
    </row>
    <row r="164" spans="1:13" x14ac:dyDescent="0.25">
      <c r="A164" s="2">
        <v>46169</v>
      </c>
      <c r="B164" s="1" t="str">
        <f ca="1">IF(Información1[[#This Row],[Fecha]]='Ajuste de fechas'!$A$2,"Día actual","Día anterior")</f>
        <v>Día anterior</v>
      </c>
      <c r="C164" s="3" t="s">
        <v>28</v>
      </c>
      <c r="D164" t="s">
        <v>31</v>
      </c>
      <c r="E164" s="3" t="s">
        <v>162</v>
      </c>
      <c r="F164" s="3" t="s">
        <v>19</v>
      </c>
      <c r="G164" s="3" t="s">
        <v>70</v>
      </c>
      <c r="H164" s="3" t="s">
        <v>11</v>
      </c>
      <c r="I164" s="3" t="s">
        <v>7</v>
      </c>
      <c r="J164" s="3" t="s">
        <v>47</v>
      </c>
      <c r="K164" s="3" t="s">
        <v>29</v>
      </c>
      <c r="L164" s="3" t="s">
        <v>44</v>
      </c>
      <c r="M164">
        <v>1</v>
      </c>
    </row>
    <row r="165" spans="1:13" x14ac:dyDescent="0.25">
      <c r="A165" s="2">
        <v>46169</v>
      </c>
      <c r="B165" s="1" t="str">
        <f ca="1">IF(Información1[[#This Row],[Fecha]]='Ajuste de fechas'!$A$2,"Día actual","Día anterior")</f>
        <v>Día anterior</v>
      </c>
      <c r="C165" s="3" t="s">
        <v>28</v>
      </c>
      <c r="D165" t="s">
        <v>31</v>
      </c>
      <c r="E165" s="3" t="s">
        <v>163</v>
      </c>
      <c r="F165" s="3" t="s">
        <v>19</v>
      </c>
      <c r="G165" s="3" t="s">
        <v>91</v>
      </c>
      <c r="H165" s="3" t="s">
        <v>11</v>
      </c>
      <c r="I165" s="3" t="s">
        <v>7</v>
      </c>
      <c r="J165" s="3" t="s">
        <v>47</v>
      </c>
      <c r="K165" s="3" t="s">
        <v>9</v>
      </c>
      <c r="L165" s="3" t="s">
        <v>45</v>
      </c>
      <c r="M165">
        <v>1</v>
      </c>
    </row>
    <row r="166" spans="1:13" x14ac:dyDescent="0.25">
      <c r="A166" s="2">
        <v>46169</v>
      </c>
      <c r="B166" s="1" t="str">
        <f ca="1">IF(Información1[[#This Row],[Fecha]]='Ajuste de fechas'!$A$2,"Día actual","Día anterior")</f>
        <v>Día anterior</v>
      </c>
      <c r="C166" s="3" t="s">
        <v>28</v>
      </c>
      <c r="D166" t="s">
        <v>31</v>
      </c>
      <c r="E166" s="3" t="s">
        <v>164</v>
      </c>
      <c r="F166" s="3" t="s">
        <v>19</v>
      </c>
      <c r="G166" s="3" t="s">
        <v>91</v>
      </c>
      <c r="H166" s="3" t="s">
        <v>11</v>
      </c>
      <c r="I166" s="3" t="s">
        <v>7</v>
      </c>
      <c r="J166" s="3" t="s">
        <v>47</v>
      </c>
      <c r="K166" s="3" t="s">
        <v>9</v>
      </c>
      <c r="L166" s="3" t="s">
        <v>45</v>
      </c>
      <c r="M166">
        <v>1</v>
      </c>
    </row>
    <row r="167" spans="1:13" x14ac:dyDescent="0.25">
      <c r="A167" s="2">
        <v>46169</v>
      </c>
      <c r="B167" s="1" t="str">
        <f ca="1">IF(Información1[[#This Row],[Fecha]]='Ajuste de fechas'!$A$2,"Día actual","Día anterior")</f>
        <v>Día anterior</v>
      </c>
      <c r="C167" s="3" t="s">
        <v>55</v>
      </c>
      <c r="D167" t="s">
        <v>93</v>
      </c>
      <c r="E167" s="3" t="s">
        <v>165</v>
      </c>
      <c r="F167" s="3" t="s">
        <v>22</v>
      </c>
      <c r="G167" s="3" t="s">
        <v>166</v>
      </c>
      <c r="H167" s="3" t="s">
        <v>11</v>
      </c>
      <c r="I167" s="3" t="s">
        <v>7</v>
      </c>
      <c r="J167" s="3" t="s">
        <v>48</v>
      </c>
      <c r="K167" s="3" t="s">
        <v>167</v>
      </c>
      <c r="L167" s="3" t="s">
        <v>44</v>
      </c>
      <c r="M167">
        <v>1</v>
      </c>
    </row>
    <row r="168" spans="1:13" x14ac:dyDescent="0.25">
      <c r="A168" s="2">
        <v>46169</v>
      </c>
      <c r="B168" s="1" t="str">
        <f ca="1">IF(Información1[[#This Row],[Fecha]]='Ajuste de fechas'!$A$2,"Día actual","Día anterior")</f>
        <v>Día anterior</v>
      </c>
      <c r="C168" s="3" t="s">
        <v>55</v>
      </c>
      <c r="D168" t="s">
        <v>93</v>
      </c>
      <c r="E168" s="3" t="s">
        <v>168</v>
      </c>
      <c r="F168" s="3" t="s">
        <v>169</v>
      </c>
      <c r="G168" s="3" t="s">
        <v>170</v>
      </c>
      <c r="H168" s="3" t="s">
        <v>11</v>
      </c>
      <c r="I168" s="3" t="s">
        <v>7</v>
      </c>
      <c r="J168" s="3" t="s">
        <v>24</v>
      </c>
      <c r="K168" s="3" t="s">
        <v>56</v>
      </c>
      <c r="L168" s="3" t="s">
        <v>44</v>
      </c>
      <c r="M168">
        <v>1</v>
      </c>
    </row>
    <row r="169" spans="1:13" x14ac:dyDescent="0.25">
      <c r="A169" s="2">
        <v>46169</v>
      </c>
      <c r="B169" s="1" t="str">
        <f ca="1">IF(Información1[[#This Row],[Fecha]]='Ajuste de fechas'!$A$2,"Día actual","Día anterior")</f>
        <v>Día anterior</v>
      </c>
      <c r="C169" s="3" t="s">
        <v>55</v>
      </c>
      <c r="D169" t="s">
        <v>93</v>
      </c>
      <c r="E169" s="3" t="s">
        <v>171</v>
      </c>
      <c r="F169" s="3" t="s">
        <v>19</v>
      </c>
      <c r="G169" s="3" t="s">
        <v>172</v>
      </c>
      <c r="H169" s="3" t="s">
        <v>11</v>
      </c>
      <c r="I169" s="3" t="s">
        <v>7</v>
      </c>
      <c r="J169" s="3" t="s">
        <v>47</v>
      </c>
      <c r="K169" s="3" t="s">
        <v>167</v>
      </c>
      <c r="L169" s="3" t="s">
        <v>44</v>
      </c>
      <c r="M169">
        <v>1</v>
      </c>
    </row>
    <row r="170" spans="1:13" x14ac:dyDescent="0.25">
      <c r="A170" s="2">
        <v>46169</v>
      </c>
      <c r="B170" s="1" t="str">
        <f ca="1">IF(Información1[[#This Row],[Fecha]]='Ajuste de fechas'!$A$2,"Día actual","Día anterior")</f>
        <v>Día anterior</v>
      </c>
      <c r="C170" s="3" t="s">
        <v>55</v>
      </c>
      <c r="D170" t="s">
        <v>93</v>
      </c>
      <c r="E170" s="3" t="s">
        <v>173</v>
      </c>
      <c r="F170" s="3" t="s">
        <v>53</v>
      </c>
      <c r="G170" s="3" t="s">
        <v>83</v>
      </c>
      <c r="H170" s="3" t="s">
        <v>11</v>
      </c>
      <c r="I170" s="3" t="s">
        <v>7</v>
      </c>
      <c r="J170" s="3" t="s">
        <v>43</v>
      </c>
      <c r="K170" s="3" t="s">
        <v>56</v>
      </c>
      <c r="L170" s="3" t="s">
        <v>46</v>
      </c>
      <c r="M170">
        <v>1</v>
      </c>
    </row>
    <row r="171" spans="1:13" x14ac:dyDescent="0.25">
      <c r="A171" s="2">
        <v>46169</v>
      </c>
      <c r="B171" s="1" t="str">
        <f ca="1">IF(Información1[[#This Row],[Fecha]]='Ajuste de fechas'!$A$2,"Día actual","Día anterior")</f>
        <v>Día anterior</v>
      </c>
      <c r="C171" s="3" t="s">
        <v>57</v>
      </c>
      <c r="D171" t="s">
        <v>58</v>
      </c>
      <c r="E171" s="3" t="s">
        <v>174</v>
      </c>
      <c r="F171" s="3" t="s">
        <v>19</v>
      </c>
      <c r="G171" s="3" t="s">
        <v>82</v>
      </c>
      <c r="H171" s="3" t="s">
        <v>11</v>
      </c>
      <c r="I171" s="3" t="s">
        <v>7</v>
      </c>
      <c r="J171" s="3" t="s">
        <v>47</v>
      </c>
      <c r="K171" s="3" t="s">
        <v>59</v>
      </c>
      <c r="L171" s="3" t="s">
        <v>44</v>
      </c>
      <c r="M171">
        <v>1</v>
      </c>
    </row>
    <row r="172" spans="1:13" x14ac:dyDescent="0.25">
      <c r="A172" s="2">
        <v>46169</v>
      </c>
      <c r="B172" s="1" t="str">
        <f ca="1">IF(Información1[[#This Row],[Fecha]]='Ajuste de fechas'!$A$2,"Día actual","Día anterior")</f>
        <v>Día anterior</v>
      </c>
      <c r="C172" s="3" t="s">
        <v>57</v>
      </c>
      <c r="D172" t="s">
        <v>58</v>
      </c>
      <c r="E172" s="3" t="s">
        <v>175</v>
      </c>
      <c r="F172" s="3" t="s">
        <v>21</v>
      </c>
      <c r="G172" s="3" t="s">
        <v>176</v>
      </c>
      <c r="H172" s="3" t="s">
        <v>11</v>
      </c>
      <c r="I172" s="3" t="s">
        <v>7</v>
      </c>
      <c r="J172" s="3" t="s">
        <v>43</v>
      </c>
      <c r="K172" s="3" t="s">
        <v>59</v>
      </c>
      <c r="L172" s="3" t="s">
        <v>44</v>
      </c>
      <c r="M172">
        <v>1</v>
      </c>
    </row>
    <row r="173" spans="1:13" x14ac:dyDescent="0.25">
      <c r="A173" s="2">
        <v>46169</v>
      </c>
      <c r="B173" s="1" t="str">
        <f ca="1">IF(Información1[[#This Row],[Fecha]]='Ajuste de fechas'!$A$2,"Día actual","Día anterior")</f>
        <v>Día anterior</v>
      </c>
      <c r="C173" s="3" t="s">
        <v>57</v>
      </c>
      <c r="D173" t="s">
        <v>58</v>
      </c>
      <c r="E173" s="3" t="s">
        <v>177</v>
      </c>
      <c r="F173" s="3" t="s">
        <v>67</v>
      </c>
      <c r="G173" s="3" t="s">
        <v>145</v>
      </c>
      <c r="H173" s="3" t="s">
        <v>11</v>
      </c>
      <c r="I173" s="3" t="s">
        <v>7</v>
      </c>
      <c r="J173" s="3" t="s">
        <v>24</v>
      </c>
      <c r="K173" s="3" t="s">
        <v>59</v>
      </c>
      <c r="L173" s="3" t="s">
        <v>44</v>
      </c>
      <c r="M173">
        <v>1</v>
      </c>
    </row>
    <row r="174" spans="1:13" x14ac:dyDescent="0.25">
      <c r="A174" s="2">
        <v>46169</v>
      </c>
      <c r="B174" s="1" t="str">
        <f ca="1">IF(Información1[[#This Row],[Fecha]]='Ajuste de fechas'!$A$2,"Día actual","Día anterior")</f>
        <v>Día anterior</v>
      </c>
      <c r="C174" s="3" t="s">
        <v>57</v>
      </c>
      <c r="D174" t="s">
        <v>58</v>
      </c>
      <c r="E174" s="3" t="s">
        <v>178</v>
      </c>
      <c r="F174" s="3" t="s">
        <v>21</v>
      </c>
      <c r="G174" s="3" t="s">
        <v>116</v>
      </c>
      <c r="H174" s="3" t="s">
        <v>11</v>
      </c>
      <c r="I174" s="3" t="s">
        <v>7</v>
      </c>
      <c r="J174" s="3" t="s">
        <v>43</v>
      </c>
      <c r="K174" s="3" t="s">
        <v>59</v>
      </c>
      <c r="L174" s="3" t="s">
        <v>46</v>
      </c>
      <c r="M174">
        <v>1</v>
      </c>
    </row>
    <row r="175" spans="1:13" x14ac:dyDescent="0.25">
      <c r="A175" s="2">
        <v>46169</v>
      </c>
      <c r="B175" s="1" t="str">
        <f ca="1">IF(Información1[[#This Row],[Fecha]]='Ajuste de fechas'!$A$2,"Día actual","Día anterior")</f>
        <v>Día anterior</v>
      </c>
      <c r="C175" s="3" t="s">
        <v>57</v>
      </c>
      <c r="D175" t="s">
        <v>58</v>
      </c>
      <c r="E175" s="3" t="s">
        <v>179</v>
      </c>
      <c r="F175" s="3" t="s">
        <v>94</v>
      </c>
      <c r="G175" s="3" t="s">
        <v>125</v>
      </c>
      <c r="H175" s="3" t="s">
        <v>11</v>
      </c>
      <c r="I175" s="3" t="s">
        <v>7</v>
      </c>
      <c r="J175" s="3" t="s">
        <v>43</v>
      </c>
      <c r="K175" s="3" t="s">
        <v>59</v>
      </c>
      <c r="L175" s="3" t="s">
        <v>46</v>
      </c>
      <c r="M175">
        <v>1</v>
      </c>
    </row>
    <row r="176" spans="1:13" x14ac:dyDescent="0.25">
      <c r="A176" s="2">
        <v>46169</v>
      </c>
      <c r="B176" s="1" t="str">
        <f ca="1">IF(Información1[[#This Row],[Fecha]]='Ajuste de fechas'!$A$2,"Día actual","Día anterior")</f>
        <v>Día anterior</v>
      </c>
      <c r="C176" s="3" t="s">
        <v>57</v>
      </c>
      <c r="D176" t="s">
        <v>58</v>
      </c>
      <c r="E176" s="3" t="s">
        <v>180</v>
      </c>
      <c r="F176" s="3" t="s">
        <v>66</v>
      </c>
      <c r="G176" s="3" t="s">
        <v>181</v>
      </c>
      <c r="H176" s="3" t="s">
        <v>11</v>
      </c>
      <c r="I176" s="3" t="s">
        <v>7</v>
      </c>
      <c r="J176" s="3" t="s">
        <v>43</v>
      </c>
      <c r="K176" s="3" t="s">
        <v>59</v>
      </c>
      <c r="L176" s="3" t="s">
        <v>46</v>
      </c>
      <c r="M176">
        <v>1</v>
      </c>
    </row>
    <row r="177" spans="1:13" x14ac:dyDescent="0.25">
      <c r="A177" s="2">
        <v>46169</v>
      </c>
      <c r="B177" s="1" t="str">
        <f ca="1">IF(Información1[[#This Row],[Fecha]]='Ajuste de fechas'!$A$2,"Día actual","Día anterior")</f>
        <v>Día anterior</v>
      </c>
      <c r="C177" s="3" t="s">
        <v>57</v>
      </c>
      <c r="D177" t="s">
        <v>58</v>
      </c>
      <c r="E177" s="3" t="s">
        <v>182</v>
      </c>
      <c r="F177" s="3" t="s">
        <v>26</v>
      </c>
      <c r="G177" s="3" t="s">
        <v>62</v>
      </c>
      <c r="H177" s="3" t="s">
        <v>11</v>
      </c>
      <c r="I177" s="3" t="s">
        <v>7</v>
      </c>
      <c r="J177" s="3" t="s">
        <v>43</v>
      </c>
      <c r="K177" s="3" t="s">
        <v>59</v>
      </c>
      <c r="L177" s="3" t="s">
        <v>46</v>
      </c>
      <c r="M177">
        <v>1</v>
      </c>
    </row>
    <row r="178" spans="1:13" x14ac:dyDescent="0.25">
      <c r="A178" s="2">
        <v>46169</v>
      </c>
      <c r="B178" s="1" t="str">
        <f ca="1">IF(Información1[[#This Row],[Fecha]]='Ajuste de fechas'!$A$2,"Día actual","Día anterior")</f>
        <v>Día anterior</v>
      </c>
      <c r="C178" s="3" t="s">
        <v>32</v>
      </c>
      <c r="D178" t="s">
        <v>33</v>
      </c>
      <c r="E178" s="3" t="s">
        <v>183</v>
      </c>
      <c r="F178" s="3" t="s">
        <v>6</v>
      </c>
      <c r="G178" s="3" t="s">
        <v>184</v>
      </c>
      <c r="H178" s="3" t="s">
        <v>11</v>
      </c>
      <c r="I178" s="3" t="s">
        <v>25</v>
      </c>
      <c r="J178" s="3" t="s">
        <v>43</v>
      </c>
      <c r="K178" s="3" t="s">
        <v>27</v>
      </c>
      <c r="L178" s="3" t="s">
        <v>44</v>
      </c>
      <c r="M178">
        <v>1</v>
      </c>
    </row>
    <row r="179" spans="1:13" x14ac:dyDescent="0.25">
      <c r="A179" s="2">
        <v>46169</v>
      </c>
      <c r="B179" s="1" t="str">
        <f ca="1">IF(Información1[[#This Row],[Fecha]]='Ajuste de fechas'!$A$2,"Día actual","Día anterior")</f>
        <v>Día anterior</v>
      </c>
      <c r="C179" s="3" t="s">
        <v>32</v>
      </c>
      <c r="D179" t="s">
        <v>33</v>
      </c>
      <c r="E179" s="3" t="s">
        <v>185</v>
      </c>
      <c r="F179" s="3" t="s">
        <v>34</v>
      </c>
      <c r="G179" s="3" t="s">
        <v>153</v>
      </c>
      <c r="H179" s="3" t="s">
        <v>11</v>
      </c>
      <c r="I179" s="3" t="s">
        <v>7</v>
      </c>
      <c r="J179" s="3" t="s">
        <v>43</v>
      </c>
      <c r="K179" s="3" t="s">
        <v>27</v>
      </c>
      <c r="L179" s="3" t="s">
        <v>46</v>
      </c>
      <c r="M179">
        <v>1</v>
      </c>
    </row>
    <row r="180" spans="1:13" x14ac:dyDescent="0.25">
      <c r="A180" s="2">
        <v>46169</v>
      </c>
      <c r="B180" s="1" t="str">
        <f ca="1">IF(Información1[[#This Row],[Fecha]]='Ajuste de fechas'!$A$2,"Día actual","Día anterior")</f>
        <v>Día anterior</v>
      </c>
      <c r="C180" s="3" t="s">
        <v>32</v>
      </c>
      <c r="D180" t="s">
        <v>33</v>
      </c>
      <c r="E180" s="3" t="s">
        <v>186</v>
      </c>
      <c r="F180" s="3" t="s">
        <v>94</v>
      </c>
      <c r="G180" s="3" t="s">
        <v>125</v>
      </c>
      <c r="H180" s="3" t="s">
        <v>11</v>
      </c>
      <c r="I180" s="3" t="s">
        <v>7</v>
      </c>
      <c r="J180" s="3" t="s">
        <v>43</v>
      </c>
      <c r="K180" s="3" t="s">
        <v>27</v>
      </c>
      <c r="L180" s="3" t="s">
        <v>46</v>
      </c>
      <c r="M180">
        <v>1</v>
      </c>
    </row>
    <row r="181" spans="1:13" x14ac:dyDescent="0.25">
      <c r="A181" s="2">
        <v>46169</v>
      </c>
      <c r="B181" s="1" t="str">
        <f ca="1">IF(Información1[[#This Row],[Fecha]]='Ajuste de fechas'!$A$2,"Día actual","Día anterior")</f>
        <v>Día anterior</v>
      </c>
      <c r="C181" s="3" t="s">
        <v>32</v>
      </c>
      <c r="D181" t="s">
        <v>33</v>
      </c>
      <c r="E181" s="3" t="s">
        <v>187</v>
      </c>
      <c r="F181" s="3" t="s">
        <v>21</v>
      </c>
      <c r="G181" s="3" t="s">
        <v>116</v>
      </c>
      <c r="H181" s="3" t="s">
        <v>11</v>
      </c>
      <c r="I181" s="3" t="s">
        <v>7</v>
      </c>
      <c r="J181" s="3" t="s">
        <v>43</v>
      </c>
      <c r="K181" s="3" t="s">
        <v>27</v>
      </c>
      <c r="L181" s="3" t="s">
        <v>46</v>
      </c>
      <c r="M181">
        <v>1</v>
      </c>
    </row>
    <row r="182" spans="1:13" x14ac:dyDescent="0.25">
      <c r="A182" s="2">
        <v>46169</v>
      </c>
      <c r="B182" s="1" t="str">
        <f ca="1">IF(Información1[[#This Row],[Fecha]]='Ajuste de fechas'!$A$2,"Día actual","Día anterior")</f>
        <v>Día anterior</v>
      </c>
      <c r="C182" s="3" t="s">
        <v>32</v>
      </c>
      <c r="D182" t="s">
        <v>33</v>
      </c>
      <c r="E182" s="3" t="s">
        <v>188</v>
      </c>
      <c r="F182" s="3" t="s">
        <v>85</v>
      </c>
      <c r="G182" s="3" t="s">
        <v>86</v>
      </c>
      <c r="H182" s="3" t="s">
        <v>11</v>
      </c>
      <c r="I182" s="3" t="s">
        <v>7</v>
      </c>
      <c r="J182" s="3" t="s">
        <v>43</v>
      </c>
      <c r="K182" s="3" t="s">
        <v>27</v>
      </c>
      <c r="L182" s="3" t="s">
        <v>46</v>
      </c>
      <c r="M182">
        <v>1</v>
      </c>
    </row>
    <row r="183" spans="1:13" x14ac:dyDescent="0.25">
      <c r="A183" s="2">
        <v>46169</v>
      </c>
      <c r="B183" s="1" t="str">
        <f ca="1">IF(Información1[[#This Row],[Fecha]]='Ajuste de fechas'!$A$2,"Día actual","Día anterior")</f>
        <v>Día anterior</v>
      </c>
      <c r="C183" s="3" t="s">
        <v>32</v>
      </c>
      <c r="D183" t="s">
        <v>33</v>
      </c>
      <c r="E183" s="3" t="s">
        <v>189</v>
      </c>
      <c r="F183" s="3" t="s">
        <v>26</v>
      </c>
      <c r="G183" s="3" t="s">
        <v>62</v>
      </c>
      <c r="H183" s="3" t="s">
        <v>11</v>
      </c>
      <c r="I183" s="3" t="s">
        <v>7</v>
      </c>
      <c r="J183" s="3" t="s">
        <v>43</v>
      </c>
      <c r="K183" s="3" t="s">
        <v>27</v>
      </c>
      <c r="L183" s="3" t="s">
        <v>46</v>
      </c>
      <c r="M183">
        <v>1</v>
      </c>
    </row>
    <row r="184" spans="1:13" x14ac:dyDescent="0.25">
      <c r="A184" s="2">
        <v>46169</v>
      </c>
      <c r="B184" s="1" t="str">
        <f ca="1">IF(Información1[[#This Row],[Fecha]]='Ajuste de fechas'!$A$2,"Día actual","Día anterior")</f>
        <v>Día anterior</v>
      </c>
      <c r="C184" s="3" t="s">
        <v>55</v>
      </c>
      <c r="D184" t="s">
        <v>60</v>
      </c>
      <c r="E184" s="3" t="s">
        <v>190</v>
      </c>
      <c r="F184" s="3" t="s">
        <v>22</v>
      </c>
      <c r="G184" s="3" t="s">
        <v>125</v>
      </c>
      <c r="H184" s="3" t="s">
        <v>11</v>
      </c>
      <c r="I184" s="3" t="s">
        <v>7</v>
      </c>
      <c r="J184" s="3" t="s">
        <v>48</v>
      </c>
      <c r="K184" s="3" t="s">
        <v>54</v>
      </c>
      <c r="L184" s="3" t="s">
        <v>89</v>
      </c>
      <c r="M184">
        <v>1</v>
      </c>
    </row>
    <row r="185" spans="1:13" x14ac:dyDescent="0.25">
      <c r="A185" s="2">
        <v>46169</v>
      </c>
      <c r="B185" s="1" t="str">
        <f ca="1">IF(Información1[[#This Row],[Fecha]]='Ajuste de fechas'!$A$2,"Día actual","Día anterior")</f>
        <v>Día anterior</v>
      </c>
      <c r="C185" s="3" t="s">
        <v>55</v>
      </c>
      <c r="D185" t="s">
        <v>60</v>
      </c>
      <c r="E185" s="3" t="s">
        <v>191</v>
      </c>
      <c r="F185" s="3" t="s">
        <v>22</v>
      </c>
      <c r="G185" s="3" t="s">
        <v>95</v>
      </c>
      <c r="H185" s="3" t="s">
        <v>11</v>
      </c>
      <c r="I185" s="3" t="s">
        <v>7</v>
      </c>
      <c r="J185" s="3" t="s">
        <v>48</v>
      </c>
      <c r="K185" s="3" t="s">
        <v>56</v>
      </c>
      <c r="L185" s="3" t="s">
        <v>44</v>
      </c>
      <c r="M185">
        <v>1</v>
      </c>
    </row>
    <row r="186" spans="1:13" x14ac:dyDescent="0.25">
      <c r="A186" s="2">
        <v>46169</v>
      </c>
      <c r="B186" s="1" t="str">
        <f ca="1">IF(Información1[[#This Row],[Fecha]]='Ajuste de fechas'!$A$2,"Día actual","Día anterior")</f>
        <v>Día anterior</v>
      </c>
      <c r="C186" s="3" t="s">
        <v>55</v>
      </c>
      <c r="D186" t="s">
        <v>60</v>
      </c>
      <c r="E186" s="3" t="s">
        <v>192</v>
      </c>
      <c r="F186" s="3" t="s">
        <v>22</v>
      </c>
      <c r="G186" s="3" t="s">
        <v>92</v>
      </c>
      <c r="H186" s="3" t="s">
        <v>11</v>
      </c>
      <c r="I186" s="3" t="s">
        <v>25</v>
      </c>
      <c r="J186" s="3" t="s">
        <v>48</v>
      </c>
      <c r="K186" s="3" t="s">
        <v>56</v>
      </c>
      <c r="L186" s="3" t="s">
        <v>44</v>
      </c>
      <c r="M186">
        <v>1</v>
      </c>
    </row>
    <row r="187" spans="1:13" x14ac:dyDescent="0.25">
      <c r="A187" s="2">
        <v>46169</v>
      </c>
      <c r="B187" s="1" t="str">
        <f ca="1">IF(Información1[[#This Row],[Fecha]]='Ajuste de fechas'!$A$2,"Día actual","Día anterior")</f>
        <v>Día anterior</v>
      </c>
      <c r="C187" s="3" t="s">
        <v>55</v>
      </c>
      <c r="D187" t="s">
        <v>60</v>
      </c>
      <c r="E187" s="3" t="s">
        <v>193</v>
      </c>
      <c r="F187" s="3" t="s">
        <v>19</v>
      </c>
      <c r="G187" s="3" t="s">
        <v>194</v>
      </c>
      <c r="H187" s="3" t="s">
        <v>11</v>
      </c>
      <c r="I187" s="3" t="s">
        <v>7</v>
      </c>
      <c r="J187" s="3" t="s">
        <v>47</v>
      </c>
      <c r="K187" s="3" t="s">
        <v>54</v>
      </c>
      <c r="L187" s="3" t="s">
        <v>44</v>
      </c>
      <c r="M187">
        <v>1</v>
      </c>
    </row>
    <row r="188" spans="1:13" x14ac:dyDescent="0.25">
      <c r="A188" s="2">
        <v>46169</v>
      </c>
      <c r="B188" s="1" t="str">
        <f ca="1">IF(Información1[[#This Row],[Fecha]]='Ajuste de fechas'!$A$2,"Día actual","Día anterior")</f>
        <v>Día anterior</v>
      </c>
      <c r="C188" s="3" t="s">
        <v>55</v>
      </c>
      <c r="D188" t="s">
        <v>60</v>
      </c>
      <c r="E188" s="3" t="s">
        <v>195</v>
      </c>
      <c r="F188" s="3" t="s">
        <v>17</v>
      </c>
      <c r="G188" s="3" t="s">
        <v>63</v>
      </c>
      <c r="H188" s="3" t="s">
        <v>11</v>
      </c>
      <c r="I188" s="3" t="s">
        <v>25</v>
      </c>
      <c r="J188" s="3" t="s">
        <v>43</v>
      </c>
      <c r="K188" s="3" t="s">
        <v>9</v>
      </c>
      <c r="L188" s="3" t="s">
        <v>45</v>
      </c>
      <c r="M188">
        <v>1</v>
      </c>
    </row>
    <row r="189" spans="1:13" x14ac:dyDescent="0.25">
      <c r="A189" s="2">
        <v>46169</v>
      </c>
      <c r="B189" s="1" t="str">
        <f ca="1">IF(Información1[[#This Row],[Fecha]]='Ajuste de fechas'!$A$2,"Día actual","Día anterior")</f>
        <v>Día anterior</v>
      </c>
      <c r="C189" s="3" t="s">
        <v>55</v>
      </c>
      <c r="D189" t="s">
        <v>60</v>
      </c>
      <c r="E189" s="3" t="s">
        <v>196</v>
      </c>
      <c r="F189" s="3" t="s">
        <v>21</v>
      </c>
      <c r="G189" s="3" t="s">
        <v>197</v>
      </c>
      <c r="H189" s="3" t="s">
        <v>11</v>
      </c>
      <c r="I189" s="3" t="s">
        <v>25</v>
      </c>
      <c r="J189" s="3" t="s">
        <v>43</v>
      </c>
      <c r="K189" s="3" t="s">
        <v>9</v>
      </c>
      <c r="L189" s="3" t="s">
        <v>45</v>
      </c>
      <c r="M189">
        <v>1</v>
      </c>
    </row>
    <row r="190" spans="1:13" x14ac:dyDescent="0.25">
      <c r="A190" s="2">
        <v>46169</v>
      </c>
      <c r="B190" s="1" t="str">
        <f ca="1">IF(Información1[[#This Row],[Fecha]]='Ajuste de fechas'!$A$2,"Día actual","Día anterior")</f>
        <v>Día anterior</v>
      </c>
      <c r="C190" s="3" t="s">
        <v>55</v>
      </c>
      <c r="D190" t="s">
        <v>60</v>
      </c>
      <c r="E190" s="3" t="s">
        <v>198</v>
      </c>
      <c r="F190" s="3" t="s">
        <v>21</v>
      </c>
      <c r="G190" s="3" t="s">
        <v>197</v>
      </c>
      <c r="H190" s="3" t="s">
        <v>11</v>
      </c>
      <c r="I190" s="3" t="s">
        <v>7</v>
      </c>
      <c r="J190" s="3" t="s">
        <v>43</v>
      </c>
      <c r="K190" s="3" t="s">
        <v>56</v>
      </c>
      <c r="L190" s="3" t="s">
        <v>44</v>
      </c>
      <c r="M190">
        <v>1</v>
      </c>
    </row>
    <row r="191" spans="1:13" x14ac:dyDescent="0.25">
      <c r="A191" s="2">
        <v>46169</v>
      </c>
      <c r="B191" s="1" t="str">
        <f ca="1">IF(Información1[[#This Row],[Fecha]]='Ajuste de fechas'!$A$2,"Día actual","Día anterior")</f>
        <v>Día anterior</v>
      </c>
      <c r="C191" s="3" t="s">
        <v>55</v>
      </c>
      <c r="D191" t="s">
        <v>60</v>
      </c>
      <c r="E191" s="3" t="s">
        <v>180</v>
      </c>
      <c r="F191" s="3" t="s">
        <v>66</v>
      </c>
      <c r="G191" s="3" t="s">
        <v>181</v>
      </c>
      <c r="H191" s="3" t="s">
        <v>11</v>
      </c>
      <c r="I191" s="3" t="s">
        <v>7</v>
      </c>
      <c r="J191" s="3" t="s">
        <v>43</v>
      </c>
      <c r="K191" s="3" t="s">
        <v>54</v>
      </c>
      <c r="L191" s="3" t="s">
        <v>46</v>
      </c>
      <c r="M191">
        <v>1</v>
      </c>
    </row>
    <row r="192" spans="1:13" x14ac:dyDescent="0.25">
      <c r="A192" s="2">
        <v>46169</v>
      </c>
      <c r="B192" s="1" t="str">
        <f ca="1">IF(Información1[[#This Row],[Fecha]]='Ajuste de fechas'!$A$2,"Día actual","Día anterior")</f>
        <v>Día anterior</v>
      </c>
      <c r="C192" s="3" t="s">
        <v>55</v>
      </c>
      <c r="D192" t="s">
        <v>60</v>
      </c>
      <c r="E192" s="3" t="s">
        <v>199</v>
      </c>
      <c r="F192" s="3" t="s">
        <v>17</v>
      </c>
      <c r="G192" s="3" t="s">
        <v>71</v>
      </c>
      <c r="H192" s="3" t="s">
        <v>11</v>
      </c>
      <c r="I192" s="3" t="s">
        <v>7</v>
      </c>
      <c r="J192" s="3" t="s">
        <v>43</v>
      </c>
      <c r="K192" s="3" t="s">
        <v>54</v>
      </c>
      <c r="L192" s="3" t="s">
        <v>46</v>
      </c>
      <c r="M192">
        <v>1</v>
      </c>
    </row>
    <row r="193" spans="1:13" x14ac:dyDescent="0.25">
      <c r="A193" s="2">
        <v>46169</v>
      </c>
      <c r="B193" s="1" t="str">
        <f ca="1">IF(Información1[[#This Row],[Fecha]]='Ajuste de fechas'!$A$2,"Día actual","Día anterior")</f>
        <v>Día anterior</v>
      </c>
      <c r="C193" s="3" t="s">
        <v>55</v>
      </c>
      <c r="D193" t="s">
        <v>60</v>
      </c>
      <c r="E193" s="3" t="s">
        <v>200</v>
      </c>
      <c r="F193" s="3" t="s">
        <v>6</v>
      </c>
      <c r="G193" s="3" t="s">
        <v>201</v>
      </c>
      <c r="H193" s="3" t="s">
        <v>11</v>
      </c>
      <c r="I193" s="3" t="s">
        <v>7</v>
      </c>
      <c r="J193" s="3" t="s">
        <v>43</v>
      </c>
      <c r="K193" s="3" t="s">
        <v>54</v>
      </c>
      <c r="L193" s="3" t="s">
        <v>46</v>
      </c>
      <c r="M193">
        <v>1</v>
      </c>
    </row>
    <row r="194" spans="1:13" x14ac:dyDescent="0.25">
      <c r="A194" s="2">
        <v>46169</v>
      </c>
      <c r="B194" s="1" t="str">
        <f ca="1">IF(Información1[[#This Row],[Fecha]]='Ajuste de fechas'!$A$2,"Día actual","Día anterior")</f>
        <v>Día anterior</v>
      </c>
      <c r="C194" s="3" t="s">
        <v>55</v>
      </c>
      <c r="D194" t="s">
        <v>60</v>
      </c>
      <c r="E194" s="3" t="s">
        <v>179</v>
      </c>
      <c r="F194" s="3" t="s">
        <v>94</v>
      </c>
      <c r="G194" s="3" t="s">
        <v>125</v>
      </c>
      <c r="H194" s="3" t="s">
        <v>11</v>
      </c>
      <c r="I194" s="3" t="s">
        <v>7</v>
      </c>
      <c r="J194" s="3" t="s">
        <v>43</v>
      </c>
      <c r="K194" s="3" t="s">
        <v>54</v>
      </c>
      <c r="L194" s="3" t="s">
        <v>46</v>
      </c>
      <c r="M194">
        <v>1</v>
      </c>
    </row>
    <row r="195" spans="1:13" x14ac:dyDescent="0.25">
      <c r="A195" s="2">
        <v>46169</v>
      </c>
      <c r="B195" s="1" t="str">
        <f ca="1">IF(Información1[[#This Row],[Fecha]]='Ajuste de fechas'!$A$2,"Día actual","Día anterior")</f>
        <v>Día anterior</v>
      </c>
      <c r="C195" s="3" t="s">
        <v>55</v>
      </c>
      <c r="D195" t="s">
        <v>60</v>
      </c>
      <c r="E195" s="3" t="s">
        <v>188</v>
      </c>
      <c r="F195" s="3" t="s">
        <v>85</v>
      </c>
      <c r="G195" s="3" t="s">
        <v>86</v>
      </c>
      <c r="H195" s="3" t="s">
        <v>11</v>
      </c>
      <c r="I195" s="3" t="s">
        <v>7</v>
      </c>
      <c r="J195" s="3" t="s">
        <v>43</v>
      </c>
      <c r="K195" s="3" t="s">
        <v>54</v>
      </c>
      <c r="L195" s="3" t="s">
        <v>46</v>
      </c>
      <c r="M195">
        <v>1</v>
      </c>
    </row>
    <row r="196" spans="1:13" x14ac:dyDescent="0.25">
      <c r="A196" s="2">
        <v>46169</v>
      </c>
      <c r="B196" s="1" t="str">
        <f ca="1">IF(Información1[[#This Row],[Fecha]]='Ajuste de fechas'!$A$2,"Día actual","Día anterior")</f>
        <v>Día anterior</v>
      </c>
      <c r="C196" s="3" t="s">
        <v>55</v>
      </c>
      <c r="D196" t="s">
        <v>60</v>
      </c>
      <c r="E196" s="3" t="s">
        <v>140</v>
      </c>
      <c r="F196" s="3" t="s">
        <v>26</v>
      </c>
      <c r="G196" s="3" t="s">
        <v>62</v>
      </c>
      <c r="H196" s="3" t="s">
        <v>11</v>
      </c>
      <c r="I196" s="3" t="s">
        <v>7</v>
      </c>
      <c r="J196" s="3" t="s">
        <v>43</v>
      </c>
      <c r="K196" s="3" t="s">
        <v>54</v>
      </c>
      <c r="L196" s="3" t="s">
        <v>46</v>
      </c>
      <c r="M196">
        <v>1</v>
      </c>
    </row>
    <row r="197" spans="1:13" x14ac:dyDescent="0.25">
      <c r="A197" s="2">
        <v>46169</v>
      </c>
      <c r="B197" s="1" t="str">
        <f ca="1">IF(Información1[[#This Row],[Fecha]]='Ajuste de fechas'!$A$2,"Día actual","Día anterior")</f>
        <v>Día anterior</v>
      </c>
      <c r="C197" s="3" t="s">
        <v>322</v>
      </c>
      <c r="D197" t="s">
        <v>323</v>
      </c>
      <c r="E197" s="3" t="s">
        <v>324</v>
      </c>
      <c r="F197" s="3" t="s">
        <v>21</v>
      </c>
      <c r="G197" s="3" t="s">
        <v>278</v>
      </c>
      <c r="H197" s="3" t="s">
        <v>220</v>
      </c>
      <c r="I197" s="3" t="s">
        <v>7</v>
      </c>
      <c r="J197" s="3" t="s">
        <v>43</v>
      </c>
      <c r="K197" s="3" t="s">
        <v>54</v>
      </c>
      <c r="L197" s="3" t="s">
        <v>44</v>
      </c>
      <c r="M197">
        <v>1</v>
      </c>
    </row>
    <row r="198" spans="1:13" x14ac:dyDescent="0.25">
      <c r="A198" s="2">
        <v>46169</v>
      </c>
      <c r="B198" s="1" t="str">
        <f ca="1">IF(Información1[[#This Row],[Fecha]]='Ajuste de fechas'!$A$2,"Día actual","Día anterior")</f>
        <v>Día anterior</v>
      </c>
      <c r="C198" s="3" t="s">
        <v>322</v>
      </c>
      <c r="D198" t="s">
        <v>323</v>
      </c>
      <c r="E198" s="3" t="s">
        <v>133</v>
      </c>
      <c r="F198" s="3" t="s">
        <v>53</v>
      </c>
      <c r="G198" s="3" t="s">
        <v>134</v>
      </c>
      <c r="H198" s="3" t="s">
        <v>220</v>
      </c>
      <c r="I198" s="3" t="s">
        <v>7</v>
      </c>
      <c r="J198" s="3" t="s">
        <v>43</v>
      </c>
      <c r="K198" s="3" t="s">
        <v>54</v>
      </c>
      <c r="L198" s="3" t="s">
        <v>46</v>
      </c>
      <c r="M198">
        <v>1</v>
      </c>
    </row>
    <row r="199" spans="1:13" x14ac:dyDescent="0.25">
      <c r="A199" s="2">
        <v>46169</v>
      </c>
      <c r="B199" s="1" t="str">
        <f ca="1">IF(Información1[[#This Row],[Fecha]]='Ajuste de fechas'!$A$2,"Día actual","Día anterior")</f>
        <v>Día anterior</v>
      </c>
      <c r="C199" s="3" t="s">
        <v>322</v>
      </c>
      <c r="D199" t="s">
        <v>323</v>
      </c>
      <c r="E199" s="3" t="s">
        <v>187</v>
      </c>
      <c r="F199" s="3" t="s">
        <v>21</v>
      </c>
      <c r="G199" s="3" t="s">
        <v>116</v>
      </c>
      <c r="H199" s="3" t="s">
        <v>220</v>
      </c>
      <c r="I199" s="3" t="s">
        <v>7</v>
      </c>
      <c r="J199" s="3" t="s">
        <v>43</v>
      </c>
      <c r="K199" s="3" t="s">
        <v>54</v>
      </c>
      <c r="L199" s="3" t="s">
        <v>46</v>
      </c>
      <c r="M199">
        <v>1</v>
      </c>
    </row>
    <row r="200" spans="1:13" x14ac:dyDescent="0.25">
      <c r="A200" s="2">
        <v>46169</v>
      </c>
      <c r="B200" s="1" t="str">
        <f ca="1">IF(Información1[[#This Row],[Fecha]]='Ajuste de fechas'!$A$2,"Día actual","Día anterior")</f>
        <v>Día anterior</v>
      </c>
      <c r="C200" s="3" t="s">
        <v>322</v>
      </c>
      <c r="D200" t="s">
        <v>323</v>
      </c>
      <c r="E200" s="3" t="s">
        <v>325</v>
      </c>
      <c r="F200" s="3" t="s">
        <v>6</v>
      </c>
      <c r="G200" s="3" t="s">
        <v>201</v>
      </c>
      <c r="H200" s="3" t="s">
        <v>220</v>
      </c>
      <c r="I200" s="3" t="s">
        <v>7</v>
      </c>
      <c r="J200" s="3" t="s">
        <v>43</v>
      </c>
      <c r="K200" s="3" t="s">
        <v>54</v>
      </c>
      <c r="L200" s="3" t="s">
        <v>46</v>
      </c>
      <c r="M200">
        <v>1</v>
      </c>
    </row>
    <row r="201" spans="1:13" x14ac:dyDescent="0.25">
      <c r="A201" s="2">
        <v>46169</v>
      </c>
      <c r="B201" s="1" t="str">
        <f ca="1">IF(Información1[[#This Row],[Fecha]]='Ajuste de fechas'!$A$2,"Día actual","Día anterior")</f>
        <v>Día anterior</v>
      </c>
      <c r="C201" s="3" t="s">
        <v>322</v>
      </c>
      <c r="D201" t="s">
        <v>323</v>
      </c>
      <c r="E201" s="3" t="s">
        <v>240</v>
      </c>
      <c r="F201" s="3" t="s">
        <v>19</v>
      </c>
      <c r="G201" s="3" t="s">
        <v>153</v>
      </c>
      <c r="H201" s="3" t="s">
        <v>220</v>
      </c>
      <c r="I201" s="3" t="s">
        <v>7</v>
      </c>
      <c r="J201" s="3" t="s">
        <v>47</v>
      </c>
      <c r="K201" s="3" t="s">
        <v>54</v>
      </c>
      <c r="L201" s="3" t="s">
        <v>44</v>
      </c>
      <c r="M201">
        <v>1</v>
      </c>
    </row>
    <row r="202" spans="1:13" x14ac:dyDescent="0.25">
      <c r="A202" s="2">
        <v>46169</v>
      </c>
      <c r="B202" s="1" t="str">
        <f ca="1">IF(Información1[[#This Row],[Fecha]]='Ajuste de fechas'!$A$2,"Día actual","Día anterior")</f>
        <v>Día anterior</v>
      </c>
      <c r="C202" s="3" t="s">
        <v>322</v>
      </c>
      <c r="D202" t="s">
        <v>323</v>
      </c>
      <c r="E202" s="3" t="s">
        <v>185</v>
      </c>
      <c r="F202" s="3" t="s">
        <v>34</v>
      </c>
      <c r="G202" s="3" t="s">
        <v>153</v>
      </c>
      <c r="H202" s="3" t="s">
        <v>220</v>
      </c>
      <c r="I202" s="3" t="s">
        <v>7</v>
      </c>
      <c r="J202" s="3" t="s">
        <v>43</v>
      </c>
      <c r="K202" s="3" t="s">
        <v>54</v>
      </c>
      <c r="L202" s="3" t="s">
        <v>46</v>
      </c>
      <c r="M202">
        <v>1</v>
      </c>
    </row>
    <row r="203" spans="1:13" x14ac:dyDescent="0.25">
      <c r="A203" s="2">
        <v>46169</v>
      </c>
      <c r="B203" s="1" t="str">
        <f ca="1">IF(Información1[[#This Row],[Fecha]]='Ajuste de fechas'!$A$2,"Día actual","Día anterior")</f>
        <v>Día anterior</v>
      </c>
      <c r="C203" s="3" t="s">
        <v>322</v>
      </c>
      <c r="D203" t="s">
        <v>323</v>
      </c>
      <c r="E203" s="3" t="s">
        <v>326</v>
      </c>
      <c r="F203" s="3" t="s">
        <v>19</v>
      </c>
      <c r="G203" s="3" t="s">
        <v>125</v>
      </c>
      <c r="H203" s="3" t="s">
        <v>220</v>
      </c>
      <c r="I203" s="3" t="s">
        <v>7</v>
      </c>
      <c r="J203" s="3" t="s">
        <v>47</v>
      </c>
      <c r="K203" s="3" t="s">
        <v>54</v>
      </c>
      <c r="L203" s="3" t="s">
        <v>44</v>
      </c>
      <c r="M203">
        <v>1</v>
      </c>
    </row>
    <row r="204" spans="1:13" x14ac:dyDescent="0.25">
      <c r="A204" s="2">
        <v>46169</v>
      </c>
      <c r="B204" s="1" t="str">
        <f ca="1">IF(Información1[[#This Row],[Fecha]]='Ajuste de fechas'!$A$2,"Día actual","Día anterior")</f>
        <v>Día anterior</v>
      </c>
      <c r="C204" s="3" t="s">
        <v>322</v>
      </c>
      <c r="D204" t="s">
        <v>323</v>
      </c>
      <c r="E204" s="3" t="s">
        <v>327</v>
      </c>
      <c r="F204" s="3" t="s">
        <v>19</v>
      </c>
      <c r="G204" s="3" t="s">
        <v>328</v>
      </c>
      <c r="H204" s="3" t="s">
        <v>220</v>
      </c>
      <c r="I204" s="3" t="s">
        <v>7</v>
      </c>
      <c r="J204" s="3" t="s">
        <v>47</v>
      </c>
      <c r="K204" s="3" t="s">
        <v>54</v>
      </c>
      <c r="L204" s="3" t="s">
        <v>44</v>
      </c>
      <c r="M204">
        <v>1</v>
      </c>
    </row>
    <row r="205" spans="1:13" x14ac:dyDescent="0.25">
      <c r="A205" s="2">
        <v>46169</v>
      </c>
      <c r="B205" s="1" t="str">
        <f ca="1">IF(Información1[[#This Row],[Fecha]]='Ajuste de fechas'!$A$2,"Día actual","Día anterior")</f>
        <v>Día anterior</v>
      </c>
      <c r="C205" s="3" t="s">
        <v>322</v>
      </c>
      <c r="D205" t="s">
        <v>323</v>
      </c>
      <c r="E205" s="3" t="s">
        <v>188</v>
      </c>
      <c r="F205" s="3" t="s">
        <v>85</v>
      </c>
      <c r="G205" s="3" t="s">
        <v>86</v>
      </c>
      <c r="H205" s="3" t="s">
        <v>220</v>
      </c>
      <c r="I205" s="3" t="s">
        <v>7</v>
      </c>
      <c r="J205" s="3" t="s">
        <v>43</v>
      </c>
      <c r="K205" s="3" t="s">
        <v>54</v>
      </c>
      <c r="L205" s="3" t="s">
        <v>46</v>
      </c>
      <c r="M205">
        <v>1</v>
      </c>
    </row>
    <row r="206" spans="1:13" x14ac:dyDescent="0.25">
      <c r="A206" s="2">
        <v>46169</v>
      </c>
      <c r="B206" s="1" t="str">
        <f ca="1">IF(Información1[[#This Row],[Fecha]]='Ajuste de fechas'!$A$2,"Día actual","Día anterior")</f>
        <v>Día anterior</v>
      </c>
      <c r="C206" s="3" t="s">
        <v>322</v>
      </c>
      <c r="D206" t="s">
        <v>323</v>
      </c>
      <c r="E206" s="3" t="s">
        <v>260</v>
      </c>
      <c r="F206" s="3" t="s">
        <v>73</v>
      </c>
      <c r="G206" s="3" t="s">
        <v>329</v>
      </c>
      <c r="H206" s="3" t="s">
        <v>220</v>
      </c>
      <c r="I206" s="3" t="s">
        <v>7</v>
      </c>
      <c r="J206" s="3" t="s">
        <v>43</v>
      </c>
      <c r="K206" s="3" t="s">
        <v>54</v>
      </c>
      <c r="L206" s="3" t="s">
        <v>46</v>
      </c>
      <c r="M206">
        <v>1</v>
      </c>
    </row>
    <row r="207" spans="1:13" x14ac:dyDescent="0.25">
      <c r="A207" s="2">
        <v>46169</v>
      </c>
      <c r="B207" s="1" t="str">
        <f ca="1">IF(Información1[[#This Row],[Fecha]]='Ajuste de fechas'!$A$2,"Día actual","Día anterior")</f>
        <v>Día anterior</v>
      </c>
      <c r="C207" s="3" t="s">
        <v>322</v>
      </c>
      <c r="D207" t="s">
        <v>323</v>
      </c>
      <c r="E207" s="3" t="s">
        <v>330</v>
      </c>
      <c r="F207" s="3" t="s">
        <v>98</v>
      </c>
      <c r="G207" s="3" t="s">
        <v>331</v>
      </c>
      <c r="H207" s="3" t="s">
        <v>220</v>
      </c>
      <c r="I207" s="3" t="s">
        <v>7</v>
      </c>
      <c r="J207" s="3" t="s">
        <v>43</v>
      </c>
      <c r="K207" s="3" t="s">
        <v>54</v>
      </c>
      <c r="L207" s="3" t="s">
        <v>46</v>
      </c>
      <c r="M207">
        <v>1</v>
      </c>
    </row>
    <row r="208" spans="1:13" x14ac:dyDescent="0.25">
      <c r="A208" s="2">
        <v>46169</v>
      </c>
      <c r="B208" s="1" t="str">
        <f ca="1">IF(Información1[[#This Row],[Fecha]]='Ajuste de fechas'!$A$2,"Día actual","Día anterior")</f>
        <v>Día anterior</v>
      </c>
      <c r="C208" s="3" t="s">
        <v>322</v>
      </c>
      <c r="D208" t="s">
        <v>323</v>
      </c>
      <c r="E208" s="3" t="s">
        <v>332</v>
      </c>
      <c r="F208" s="3" t="s">
        <v>21</v>
      </c>
      <c r="G208" s="3" t="s">
        <v>234</v>
      </c>
      <c r="H208" s="3" t="s">
        <v>220</v>
      </c>
      <c r="I208" s="3" t="s">
        <v>7</v>
      </c>
      <c r="J208" s="3" t="s">
        <v>43</v>
      </c>
      <c r="K208" s="3" t="s">
        <v>54</v>
      </c>
      <c r="L208" s="3" t="s">
        <v>44</v>
      </c>
      <c r="M208">
        <v>1</v>
      </c>
    </row>
    <row r="209" spans="1:13" x14ac:dyDescent="0.25">
      <c r="A209" s="2">
        <v>46169</v>
      </c>
      <c r="B209" s="1" t="str">
        <f ca="1">IF(Información1[[#This Row],[Fecha]]='Ajuste de fechas'!$A$2,"Día actual","Día anterior")</f>
        <v>Día anterior</v>
      </c>
      <c r="C209" s="3" t="s">
        <v>322</v>
      </c>
      <c r="D209" t="s">
        <v>323</v>
      </c>
      <c r="E209" s="3" t="s">
        <v>333</v>
      </c>
      <c r="F209" s="3" t="s">
        <v>26</v>
      </c>
      <c r="G209" s="3" t="s">
        <v>334</v>
      </c>
      <c r="H209" s="3" t="s">
        <v>220</v>
      </c>
      <c r="I209" s="3" t="s">
        <v>7</v>
      </c>
      <c r="J209" s="3" t="s">
        <v>43</v>
      </c>
      <c r="K209" s="3" t="s">
        <v>54</v>
      </c>
      <c r="L209" s="3" t="s">
        <v>44</v>
      </c>
      <c r="M209">
        <v>1</v>
      </c>
    </row>
    <row r="210" spans="1:13" x14ac:dyDescent="0.25">
      <c r="A210" s="2">
        <v>46169</v>
      </c>
      <c r="B210" s="1" t="str">
        <f ca="1">IF(Información1[[#This Row],[Fecha]]='Ajuste de fechas'!$A$2,"Día actual","Día anterior")</f>
        <v>Día anterior</v>
      </c>
      <c r="C210" s="3" t="s">
        <v>322</v>
      </c>
      <c r="D210" t="s">
        <v>323</v>
      </c>
      <c r="E210" s="3" t="s">
        <v>335</v>
      </c>
      <c r="F210" s="3" t="s">
        <v>26</v>
      </c>
      <c r="G210" s="3" t="s">
        <v>234</v>
      </c>
      <c r="H210" s="3" t="s">
        <v>220</v>
      </c>
      <c r="I210" s="3" t="s">
        <v>7</v>
      </c>
      <c r="J210" s="3" t="s">
        <v>43</v>
      </c>
      <c r="K210" s="3" t="s">
        <v>54</v>
      </c>
      <c r="L210" s="3" t="s">
        <v>44</v>
      </c>
      <c r="M210">
        <v>1</v>
      </c>
    </row>
    <row r="211" spans="1:13" x14ac:dyDescent="0.25">
      <c r="A211" s="2">
        <v>46170</v>
      </c>
      <c r="B211" s="1" t="str">
        <f ca="1">IF(Información1[[#This Row],[Fecha]]='Ajuste de fechas'!$A$2,"Día actual","Día anterior")</f>
        <v>Día actual</v>
      </c>
      <c r="C211" s="3" t="s">
        <v>336</v>
      </c>
      <c r="D211" t="s">
        <v>337</v>
      </c>
      <c r="E211" s="3" t="s">
        <v>173</v>
      </c>
      <c r="F211" s="3" t="s">
        <v>53</v>
      </c>
      <c r="G211" s="3" t="s">
        <v>83</v>
      </c>
      <c r="H211" s="3" t="s">
        <v>11</v>
      </c>
      <c r="I211" s="3" t="s">
        <v>7</v>
      </c>
      <c r="J211" s="3" t="s">
        <v>43</v>
      </c>
      <c r="K211" s="3" t="s">
        <v>338</v>
      </c>
      <c r="L211" s="3" t="s">
        <v>46</v>
      </c>
      <c r="M211">
        <v>1</v>
      </c>
    </row>
    <row r="212" spans="1:13" x14ac:dyDescent="0.25">
      <c r="A212" s="2">
        <v>46170</v>
      </c>
      <c r="B212" s="1" t="str">
        <f ca="1">IF(Información1[[#This Row],[Fecha]]='Ajuste de fechas'!$A$2,"Día actual","Día anterior")</f>
        <v>Día actual</v>
      </c>
      <c r="C212" s="3" t="s">
        <v>336</v>
      </c>
      <c r="D212" t="s">
        <v>337</v>
      </c>
      <c r="E212" s="3" t="s">
        <v>238</v>
      </c>
      <c r="F212" s="3" t="s">
        <v>23</v>
      </c>
      <c r="G212" s="3" t="s">
        <v>75</v>
      </c>
      <c r="H212" s="3" t="s">
        <v>11</v>
      </c>
      <c r="I212" s="3" t="s">
        <v>7</v>
      </c>
      <c r="J212" s="3" t="s">
        <v>43</v>
      </c>
      <c r="K212" s="3" t="s">
        <v>338</v>
      </c>
      <c r="L212" s="3" t="s">
        <v>46</v>
      </c>
      <c r="M212">
        <v>1</v>
      </c>
    </row>
    <row r="213" spans="1:13" x14ac:dyDescent="0.25">
      <c r="A213" s="2">
        <v>46170</v>
      </c>
      <c r="B213" s="1" t="str">
        <f ca="1">IF(Información1[[#This Row],[Fecha]]='Ajuste de fechas'!$A$2,"Día actual","Día anterior")</f>
        <v>Día actual</v>
      </c>
      <c r="C213" s="3" t="s">
        <v>336</v>
      </c>
      <c r="D213" t="s">
        <v>337</v>
      </c>
      <c r="E213" s="3" t="s">
        <v>203</v>
      </c>
      <c r="F213" s="3" t="s">
        <v>53</v>
      </c>
      <c r="G213" s="3" t="s">
        <v>204</v>
      </c>
      <c r="H213" s="3" t="s">
        <v>11</v>
      </c>
      <c r="I213" s="3" t="s">
        <v>7</v>
      </c>
      <c r="J213" s="3" t="s">
        <v>43</v>
      </c>
      <c r="K213" s="3" t="s">
        <v>338</v>
      </c>
      <c r="L213" s="3" t="s">
        <v>46</v>
      </c>
      <c r="M213">
        <v>1</v>
      </c>
    </row>
    <row r="214" spans="1:13" x14ac:dyDescent="0.25">
      <c r="A214" s="2">
        <v>46170</v>
      </c>
      <c r="B214" s="1" t="str">
        <f ca="1">IF(Información1[[#This Row],[Fecha]]='Ajuste de fechas'!$A$2,"Día actual","Día anterior")</f>
        <v>Día actual</v>
      </c>
      <c r="C214" s="3" t="s">
        <v>336</v>
      </c>
      <c r="D214" t="s">
        <v>337</v>
      </c>
      <c r="E214" s="3" t="s">
        <v>339</v>
      </c>
      <c r="F214" s="3" t="s">
        <v>53</v>
      </c>
      <c r="G214" s="3" t="s">
        <v>204</v>
      </c>
      <c r="H214" s="3" t="s">
        <v>11</v>
      </c>
      <c r="I214" s="3" t="s">
        <v>7</v>
      </c>
      <c r="J214" s="3" t="s">
        <v>43</v>
      </c>
      <c r="K214" s="3" t="s">
        <v>338</v>
      </c>
      <c r="L214" s="3" t="s">
        <v>44</v>
      </c>
      <c r="M214">
        <v>1</v>
      </c>
    </row>
    <row r="215" spans="1:13" x14ac:dyDescent="0.25">
      <c r="A215" s="2">
        <v>46170</v>
      </c>
      <c r="B215" s="1" t="str">
        <f ca="1">IF(Información1[[#This Row],[Fecha]]='Ajuste de fechas'!$A$2,"Día actual","Día anterior")</f>
        <v>Día actual</v>
      </c>
      <c r="C215" s="3" t="s">
        <v>336</v>
      </c>
      <c r="D215" t="s">
        <v>337</v>
      </c>
      <c r="E215" s="3" t="s">
        <v>244</v>
      </c>
      <c r="F215" s="3" t="s">
        <v>21</v>
      </c>
      <c r="G215" s="3" t="s">
        <v>231</v>
      </c>
      <c r="H215" s="3" t="s">
        <v>11</v>
      </c>
      <c r="I215" s="3" t="s">
        <v>7</v>
      </c>
      <c r="J215" s="3" t="s">
        <v>43</v>
      </c>
      <c r="K215" s="3" t="s">
        <v>338</v>
      </c>
      <c r="L215" s="3" t="s">
        <v>46</v>
      </c>
      <c r="M215">
        <v>1</v>
      </c>
    </row>
    <row r="216" spans="1:13" x14ac:dyDescent="0.25">
      <c r="A216" s="2">
        <v>46170</v>
      </c>
      <c r="B216" s="1" t="str">
        <f ca="1">IF(Información1[[#This Row],[Fecha]]='Ajuste de fechas'!$A$2,"Día actual","Día anterior")</f>
        <v>Día actual</v>
      </c>
      <c r="C216" s="3" t="s">
        <v>336</v>
      </c>
      <c r="D216" t="s">
        <v>337</v>
      </c>
      <c r="E216" s="3" t="s">
        <v>188</v>
      </c>
      <c r="F216" s="3" t="s">
        <v>85</v>
      </c>
      <c r="G216" s="3" t="s">
        <v>86</v>
      </c>
      <c r="H216" s="3" t="s">
        <v>11</v>
      </c>
      <c r="I216" s="3" t="s">
        <v>7</v>
      </c>
      <c r="J216" s="3" t="s">
        <v>43</v>
      </c>
      <c r="K216" s="3" t="s">
        <v>338</v>
      </c>
      <c r="L216" s="3" t="s">
        <v>46</v>
      </c>
      <c r="M216">
        <v>1</v>
      </c>
    </row>
    <row r="217" spans="1:13" x14ac:dyDescent="0.25">
      <c r="A217" s="2">
        <v>46170</v>
      </c>
      <c r="B217" s="1" t="str">
        <f ca="1">IF(Información1[[#This Row],[Fecha]]='Ajuste de fechas'!$A$2,"Día actual","Día anterior")</f>
        <v>Día actual</v>
      </c>
      <c r="C217" s="3" t="s">
        <v>336</v>
      </c>
      <c r="D217" t="s">
        <v>337</v>
      </c>
      <c r="E217" s="3" t="s">
        <v>340</v>
      </c>
      <c r="F217" s="3" t="s">
        <v>19</v>
      </c>
      <c r="G217" s="3" t="s">
        <v>341</v>
      </c>
      <c r="H217" s="3" t="s">
        <v>11</v>
      </c>
      <c r="I217" s="3" t="s">
        <v>7</v>
      </c>
      <c r="J217" s="3" t="s">
        <v>47</v>
      </c>
      <c r="K217" s="3" t="s">
        <v>338</v>
      </c>
      <c r="L217" s="3" t="s">
        <v>89</v>
      </c>
      <c r="M217">
        <v>1</v>
      </c>
    </row>
    <row r="218" spans="1:13" x14ac:dyDescent="0.25">
      <c r="A218" s="2">
        <v>46170</v>
      </c>
      <c r="B218" s="1" t="str">
        <f ca="1">IF(Información1[[#This Row],[Fecha]]='Ajuste de fechas'!$A$2,"Día actual","Día anterior")</f>
        <v>Día actual</v>
      </c>
      <c r="C218" s="3" t="s">
        <v>336</v>
      </c>
      <c r="D218" t="s">
        <v>337</v>
      </c>
      <c r="E218" s="3" t="s">
        <v>240</v>
      </c>
      <c r="F218" s="3" t="s">
        <v>19</v>
      </c>
      <c r="G218" s="3" t="s">
        <v>153</v>
      </c>
      <c r="H218" s="3" t="s">
        <v>11</v>
      </c>
      <c r="I218" s="3" t="s">
        <v>7</v>
      </c>
      <c r="J218" s="3" t="s">
        <v>47</v>
      </c>
      <c r="K218" s="3" t="s">
        <v>338</v>
      </c>
      <c r="L218" s="3" t="s">
        <v>44</v>
      </c>
      <c r="M218">
        <v>1</v>
      </c>
    </row>
    <row r="219" spans="1:13" x14ac:dyDescent="0.25">
      <c r="A219" s="2">
        <v>46170</v>
      </c>
      <c r="B219" s="1" t="str">
        <f ca="1">IF(Información1[[#This Row],[Fecha]]='Ajuste de fechas'!$A$2,"Día actual","Día anterior")</f>
        <v>Día actual</v>
      </c>
      <c r="C219" s="3" t="s">
        <v>336</v>
      </c>
      <c r="D219" t="s">
        <v>337</v>
      </c>
      <c r="E219" s="3" t="s">
        <v>342</v>
      </c>
      <c r="F219" s="3" t="s">
        <v>66</v>
      </c>
      <c r="G219" s="3" t="s">
        <v>61</v>
      </c>
      <c r="H219" s="3" t="s">
        <v>11</v>
      </c>
      <c r="I219" s="3" t="s">
        <v>7</v>
      </c>
      <c r="J219" s="3" t="s">
        <v>43</v>
      </c>
      <c r="K219" s="3" t="s">
        <v>338</v>
      </c>
      <c r="L219" s="3" t="s">
        <v>44</v>
      </c>
      <c r="M219">
        <v>1</v>
      </c>
    </row>
    <row r="220" spans="1:13" x14ac:dyDescent="0.25">
      <c r="A220" s="2">
        <v>46170</v>
      </c>
      <c r="B220" s="1" t="str">
        <f ca="1">IF(Información1[[#This Row],[Fecha]]='Ajuste de fechas'!$A$2,"Día actual","Día anterior")</f>
        <v>Día actual</v>
      </c>
      <c r="C220" s="3" t="s">
        <v>336</v>
      </c>
      <c r="D220" t="s">
        <v>337</v>
      </c>
      <c r="E220" s="3" t="s">
        <v>343</v>
      </c>
      <c r="F220" s="3" t="s">
        <v>26</v>
      </c>
      <c r="G220" s="3" t="s">
        <v>228</v>
      </c>
      <c r="H220" s="3" t="s">
        <v>11</v>
      </c>
      <c r="I220" s="3" t="s">
        <v>7</v>
      </c>
      <c r="J220" s="3" t="s">
        <v>43</v>
      </c>
      <c r="K220" s="3" t="s">
        <v>338</v>
      </c>
      <c r="L220" s="3" t="s">
        <v>44</v>
      </c>
      <c r="M220">
        <v>1</v>
      </c>
    </row>
    <row r="221" spans="1:13" x14ac:dyDescent="0.25">
      <c r="A221" s="2">
        <v>46170</v>
      </c>
      <c r="B221" s="1" t="str">
        <f ca="1">IF(Información1[[#This Row],[Fecha]]='Ajuste de fechas'!$A$2,"Día actual","Día anterior")</f>
        <v>Día actual</v>
      </c>
      <c r="C221" s="3" t="s">
        <v>336</v>
      </c>
      <c r="D221" t="s">
        <v>337</v>
      </c>
      <c r="E221" s="3" t="s">
        <v>344</v>
      </c>
      <c r="F221" s="3" t="s">
        <v>67</v>
      </c>
      <c r="G221" s="3" t="s">
        <v>145</v>
      </c>
      <c r="H221" s="3" t="s">
        <v>11</v>
      </c>
      <c r="I221" s="3" t="s">
        <v>7</v>
      </c>
      <c r="J221" s="3" t="s">
        <v>24</v>
      </c>
      <c r="K221" s="3" t="s">
        <v>338</v>
      </c>
      <c r="L221" s="3" t="s">
        <v>44</v>
      </c>
      <c r="M221">
        <v>1</v>
      </c>
    </row>
    <row r="222" spans="1:13" x14ac:dyDescent="0.25">
      <c r="A222" s="2">
        <v>46170</v>
      </c>
      <c r="B222" s="1" t="str">
        <f ca="1">IF(Información1[[#This Row],[Fecha]]='Ajuste de fechas'!$A$2,"Día actual","Día anterior")</f>
        <v>Día actual</v>
      </c>
      <c r="C222" s="3" t="s">
        <v>336</v>
      </c>
      <c r="D222" t="s">
        <v>337</v>
      </c>
      <c r="E222" s="3" t="s">
        <v>345</v>
      </c>
      <c r="F222" s="3" t="s">
        <v>67</v>
      </c>
      <c r="G222" s="3" t="s">
        <v>145</v>
      </c>
      <c r="H222" s="3" t="s">
        <v>11</v>
      </c>
      <c r="I222" s="3" t="s">
        <v>7</v>
      </c>
      <c r="J222" s="3" t="s">
        <v>24</v>
      </c>
      <c r="K222" s="3" t="s">
        <v>338</v>
      </c>
      <c r="L222" s="3" t="s">
        <v>44</v>
      </c>
      <c r="M222">
        <v>1</v>
      </c>
    </row>
    <row r="223" spans="1:13" x14ac:dyDescent="0.25">
      <c r="A223" s="2">
        <v>46170</v>
      </c>
      <c r="B223" s="1" t="str">
        <f ca="1">IF(Información1[[#This Row],[Fecha]]='Ajuste de fechas'!$A$2,"Día actual","Día anterior")</f>
        <v>Día actual</v>
      </c>
      <c r="C223" s="3" t="s">
        <v>336</v>
      </c>
      <c r="D223" t="s">
        <v>337</v>
      </c>
      <c r="E223" s="3" t="s">
        <v>346</v>
      </c>
      <c r="F223" s="3" t="s">
        <v>19</v>
      </c>
      <c r="G223" s="3" t="s">
        <v>347</v>
      </c>
      <c r="H223" s="3" t="s">
        <v>11</v>
      </c>
      <c r="I223" s="3" t="s">
        <v>7</v>
      </c>
      <c r="J223" s="3" t="s">
        <v>47</v>
      </c>
      <c r="K223" s="3" t="s">
        <v>338</v>
      </c>
      <c r="L223" s="3" t="s">
        <v>44</v>
      </c>
      <c r="M223">
        <v>1</v>
      </c>
    </row>
    <row r="224" spans="1:13" x14ac:dyDescent="0.25">
      <c r="A224" s="2">
        <v>46170</v>
      </c>
      <c r="B224" s="1" t="str">
        <f ca="1">IF(Información1[[#This Row],[Fecha]]='Ajuste de fechas'!$A$2,"Día actual","Día anterior")</f>
        <v>Día actual</v>
      </c>
      <c r="C224" s="3" t="s">
        <v>336</v>
      </c>
      <c r="D224" t="s">
        <v>337</v>
      </c>
      <c r="E224" s="3" t="s">
        <v>348</v>
      </c>
      <c r="F224" s="3" t="s">
        <v>19</v>
      </c>
      <c r="G224" s="3" t="s">
        <v>208</v>
      </c>
      <c r="H224" s="3" t="s">
        <v>11</v>
      </c>
      <c r="I224" s="3" t="s">
        <v>7</v>
      </c>
      <c r="J224" s="3" t="s">
        <v>47</v>
      </c>
      <c r="K224" s="3" t="s">
        <v>338</v>
      </c>
      <c r="L224" s="3" t="s">
        <v>44</v>
      </c>
      <c r="M224">
        <v>1</v>
      </c>
    </row>
    <row r="225" spans="1:13" x14ac:dyDescent="0.25">
      <c r="A225" s="2">
        <v>46170</v>
      </c>
      <c r="B225" s="1" t="str">
        <f ca="1">IF(Información1[[#This Row],[Fecha]]='Ajuste de fechas'!$A$2,"Día actual","Día anterior")</f>
        <v>Día actual</v>
      </c>
      <c r="C225" s="3" t="s">
        <v>336</v>
      </c>
      <c r="D225" t="s">
        <v>337</v>
      </c>
      <c r="E225" s="3" t="s">
        <v>349</v>
      </c>
      <c r="F225" s="3" t="s">
        <v>23</v>
      </c>
      <c r="G225" s="3" t="s">
        <v>350</v>
      </c>
      <c r="H225" s="3" t="s">
        <v>11</v>
      </c>
      <c r="I225" s="3" t="s">
        <v>25</v>
      </c>
      <c r="J225" s="3" t="s">
        <v>43</v>
      </c>
      <c r="K225" s="3" t="s">
        <v>338</v>
      </c>
      <c r="L225" s="3" t="s">
        <v>44</v>
      </c>
      <c r="M225">
        <v>1</v>
      </c>
    </row>
    <row r="226" spans="1:13" x14ac:dyDescent="0.25">
      <c r="A226" s="2">
        <v>46170</v>
      </c>
      <c r="B226" s="1" t="str">
        <f ca="1">IF(Información1[[#This Row],[Fecha]]='Ajuste de fechas'!$A$2,"Día actual","Día anterior")</f>
        <v>Día actual</v>
      </c>
      <c r="C226" s="3" t="s">
        <v>336</v>
      </c>
      <c r="D226" t="s">
        <v>337</v>
      </c>
      <c r="E226" s="3" t="s">
        <v>351</v>
      </c>
      <c r="F226" s="3" t="s">
        <v>19</v>
      </c>
      <c r="G226" s="3" t="s">
        <v>352</v>
      </c>
      <c r="H226" s="3" t="s">
        <v>11</v>
      </c>
      <c r="I226" s="3" t="s">
        <v>7</v>
      </c>
      <c r="J226" s="3" t="s">
        <v>47</v>
      </c>
      <c r="K226" s="3" t="s">
        <v>338</v>
      </c>
      <c r="L226" s="3" t="s">
        <v>44</v>
      </c>
      <c r="M226">
        <v>1</v>
      </c>
    </row>
    <row r="227" spans="1:13" x14ac:dyDescent="0.25">
      <c r="A227" s="2">
        <v>46170</v>
      </c>
      <c r="B227" s="1" t="str">
        <f ca="1">IF(Información1[[#This Row],[Fecha]]='Ajuste de fechas'!$A$2,"Día actual","Día anterior")</f>
        <v>Día actual</v>
      </c>
      <c r="C227" s="3" t="s">
        <v>336</v>
      </c>
      <c r="D227" t="s">
        <v>337</v>
      </c>
      <c r="E227" s="3" t="s">
        <v>353</v>
      </c>
      <c r="F227" s="3" t="s">
        <v>94</v>
      </c>
      <c r="G227" s="3" t="s">
        <v>166</v>
      </c>
      <c r="H227" s="3" t="s">
        <v>11</v>
      </c>
      <c r="I227" s="3" t="s">
        <v>7</v>
      </c>
      <c r="J227" s="3" t="s">
        <v>43</v>
      </c>
      <c r="K227" s="3" t="s">
        <v>338</v>
      </c>
      <c r="L227" s="3" t="s">
        <v>44</v>
      </c>
      <c r="M227">
        <v>1</v>
      </c>
    </row>
    <row r="228" spans="1:13" x14ac:dyDescent="0.25">
      <c r="A228" s="2">
        <v>46170</v>
      </c>
      <c r="B228" s="1" t="str">
        <f ca="1">IF(Información1[[#This Row],[Fecha]]='Ajuste de fechas'!$A$2,"Día actual","Día anterior")</f>
        <v>Día actual</v>
      </c>
      <c r="C228" s="3" t="s">
        <v>336</v>
      </c>
      <c r="D228" t="s">
        <v>337</v>
      </c>
      <c r="E228" s="3" t="s">
        <v>354</v>
      </c>
      <c r="F228" s="3" t="s">
        <v>22</v>
      </c>
      <c r="G228" s="3" t="s">
        <v>83</v>
      </c>
      <c r="H228" s="3" t="s">
        <v>11</v>
      </c>
      <c r="I228" s="3" t="s">
        <v>7</v>
      </c>
      <c r="J228" s="3" t="s">
        <v>48</v>
      </c>
      <c r="K228" s="3" t="s">
        <v>338</v>
      </c>
      <c r="L228" s="3" t="s">
        <v>44</v>
      </c>
      <c r="M22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50</v>
      </c>
      <c r="B1" t="s">
        <v>51</v>
      </c>
    </row>
    <row r="2" spans="1:2" x14ac:dyDescent="0.25">
      <c r="A2" s="2">
        <f ca="1">TODAY()</f>
        <v>46170</v>
      </c>
      <c r="B2" s="2">
        <f ca="1">A2-1</f>
        <v>46169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2026-05-29T00:40:52Z</dcterms:modified>
</cp:coreProperties>
</file>