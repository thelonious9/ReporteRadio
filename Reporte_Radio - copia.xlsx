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9A2925A3-7E90-40D1-B2DA-8AD62B4CF94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102" i="2"/>
  <c r="B107" i="2"/>
  <c r="B110" i="2"/>
  <c r="B113" i="2"/>
  <c r="B117" i="2"/>
  <c r="B118" i="2"/>
  <c r="B124" i="2"/>
  <c r="B127" i="2"/>
  <c r="B130"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99" i="2"/>
  <c r="B100" i="2"/>
  <c r="B103" i="2"/>
  <c r="B105" i="2"/>
  <c r="B108" i="2"/>
  <c r="B111" i="2"/>
  <c r="B114" i="2"/>
  <c r="B116" i="2"/>
  <c r="B119" i="2"/>
  <c r="B120" i="2"/>
  <c r="B122" i="2"/>
  <c r="B125" i="2"/>
  <c r="B128" i="2"/>
  <c r="B131"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101" i="2"/>
  <c r="B104" i="2"/>
  <c r="B106" i="2"/>
  <c r="B109" i="2"/>
  <c r="B112" i="2"/>
  <c r="B115" i="2"/>
  <c r="B121" i="2"/>
  <c r="B123" i="2"/>
  <c r="B126" i="2"/>
  <c r="B12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<sst xmlns="http://schemas.openxmlformats.org/spreadsheetml/2006/main" count="1315" uniqueCount="241">
  <si>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</si>
  <si>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</si>
  <si>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</si>
  <si>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</si>
  <si>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</si>
  <si>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</si>
  <si>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</si>
  <si>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</si>
  <si>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</si>
  <si>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</si>
  <si>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</si>
  <si>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</si>
  <si>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</si>
  <si>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</si>
  <si>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</si>
  <si>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</si>
  <si>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</si>
  <si>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</si>
  <si>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</si>
  <si>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</si>
  <si>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</si>
  <si>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</si>
  <si>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</si>
  <si>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</si>
  <si>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</si>
  <si>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</si>
  <si>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</si>
  <si>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</si>
  <si>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</si>
  <si>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</si>
  <si>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</si>
  <si>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</si>
  <si>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</si>
  <si>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</si>
  <si>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</si>
  <si>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</si>
  <si>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</si>
  <si>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</si>
  <si>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</si>
  <si>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</si>
  <si>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</si>
  <si>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</si>
  <si>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</si>
  <si>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</si>
  <si>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</si>
  <si>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</si>
  <si>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</si>
  <si>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</si>
  <si>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</si>
  <si>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</si>
  <si>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</si>
  <si>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</si>
  <si>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</si>
  <si>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</si>
  <si>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</si>
  <si>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</si>
  <si>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</si>
  <si>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</si>
  <si>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</si>
  <si>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Eulalio Larrieta agradece a Edith Balderas de la Secretaria de Educación Pública.</t>
  </si>
  <si>
    <t>Radiodifusoras</t>
  </si>
  <si>
    <t>La Poderosa Tuxpan 93.1 FM</t>
  </si>
  <si>
    <t>Combate a la delincuencia</t>
  </si>
  <si>
    <t>Hidalgo en Los Pinos</t>
  </si>
  <si>
    <t>Cultura</t>
  </si>
  <si>
    <t>NN Nuestras Noticias Zona Norte</t>
  </si>
  <si>
    <t>Liz Argüelles</t>
  </si>
  <si>
    <t>Aumento Tarifa De Transporte</t>
  </si>
  <si>
    <t>Control lirio acuático</t>
  </si>
  <si>
    <t>Abasto De Agua</t>
  </si>
  <si>
    <t>OCSAD</t>
  </si>
  <si>
    <t>PGJEH</t>
  </si>
  <si>
    <t>Semarnath</t>
  </si>
  <si>
    <t>Queja transporte público</t>
  </si>
  <si>
    <t>Congreso</t>
  </si>
  <si>
    <t>Combate Al Narcomenudeo</t>
  </si>
  <si>
    <t>Eulalio Larrieta agradece a Carlos Gamiño por estar al pendiente de temas</t>
  </si>
  <si>
    <t>Localización de persona</t>
  </si>
  <si>
    <t>Cebaderos</t>
  </si>
  <si>
    <t>Día de la madre</t>
  </si>
  <si>
    <t>Incendios forestales</t>
  </si>
  <si>
    <t>Modificación ciclo escolar</t>
  </si>
  <si>
    <t>Centros LIBRE</t>
  </si>
  <si>
    <t>Sedeco</t>
  </si>
  <si>
    <t>Durante conferencia semanal del gobierno estatal de este lunes 11 de mayo, el titular de la SEDECO, Carlos Henkel Escorza , informó que se trata de la empresa Solar International Core Canada, Ltd (SICC) , luego de haber realizado una gira de trabajo por Canadá, informó que esta inversión histórica por parte de la farmacéutica Solar International Corp Canadá brindará 1.700 empleos directos. AUDIO APOYO</t>
  </si>
  <si>
    <t>Radioescucha reporta falta de agua en Valle del Palmar</t>
  </si>
  <si>
    <t>Radioescucha reporta falta de agua en Mineral del Monte</t>
  </si>
  <si>
    <t>Radioescucha reporta que lleva ya dias sin agua en la colonia Periodistas, vas a poner tu queja y no hacen caso, les viene valiendo MmM…</t>
  </si>
  <si>
    <t>Fuerte accidente sobre la autopista México una persona sin vida y dos más lesionadas este fin de semana a la altura del libramiento Pitula-San Alejo en el municipio de Tulancingo de acuerdo con los primeros reportes el percance involucró a dos vehículos particulares que colisionaron de manera latera.Mientras circulaban sobre este tramo carretero tras el impacto de las puertas presuntamente se abrió provocando que uno de los ocupantes saliera proyectado varios metros fuera de la carpeta asfáltica debido a la gravedad de sus lesiones la víctima perdió la vida en el lugar.</t>
  </si>
  <si>
    <t>Accidente Carretero</t>
  </si>
  <si>
    <t>Una volcadura de una pipa que transportaba turbosina movilizó personal de Protección Civil y Seguridad ante emergencia en la comunidad del Llano Primera Sección en el municipio de Tula de Allende.El accidente se registró ayer y generó la intervención inmediata de elementos de Protección Civil y Bomberos de Tula quienes realizaron labores de seguridad y control para evitar riesgos a la población debido al material inflamado que transportaba la unidad.</t>
  </si>
  <si>
    <t>Accidente De Pipa</t>
  </si>
  <si>
    <t>Pronostica el Servicio Meteorológico Nacional la presencia de intensas lluvias</t>
  </si>
  <si>
    <t>Alerta Meteorológica</t>
  </si>
  <si>
    <t>La Subsecretaría de Protección Civil y Gestión de Riesgos de Hidalgo, emitió un comunicado ayer sobre las lluvias que se presentarían el pasado domingo y hoy lunes, así es que hay que tener mucho cuidado con los informes que emita Protección Civil a nivel estatal y también de manera local en sus municipios.</t>
  </si>
  <si>
    <t>Amenaza alcalde de Pachuca a sus funcionarios, Difunden audio de Jorge Reyes donde chantajea y amenaza con despedir a sus funcionarios si no comparten sus publicaciones en Facebook, y hasta cuota les puso: "Al menos 500 compartidas por publicación o les van a dar las gracias", APOYO AUDIO</t>
  </si>
  <si>
    <t>Amenazas</t>
  </si>
  <si>
    <t>El fin de semana, el gobernador de Hidalgo, Julio Menchaca Salazar, anunció un importante proyecto de inversión por parte de una empresa canadiense. “ Buena noticia para Hidalgo, se acaba de firmar una carta de intención para invertir en Hidalgo por una empresa canadiense, más de dos mil millones de dólares “ AUDIO JMS</t>
  </si>
  <si>
    <t>Atracción De Inversiones</t>
  </si>
  <si>
    <t>El secretario de Economía de México, Marcelo Ebrard, anunció este viernes que una empresa canadiense invertirá mil 460 millones de dólares estadounidenses o mil 240 millones de euros en el estado de Hidalgo para construir una planta de ingredientes farmacéuticos.</t>
  </si>
  <si>
    <t>La Secretaría de Movilidad y Transporte de Hidalgo, Lizbeth Robles Gutiérrez , adelantó que próximamente se llevará a cabo la regularización formal de las tarifas del servicio de taxi aquí en el estado de Hidalgo, aunque precisó que esta medida no necesariamente representará un incremento en el costo para los usuarios, la funcionaria estatal evitó establecer una fecha específica para la publicación de este nuevo esquema tarifario correspondiente al servicio de taxi, AUDIO APOYO</t>
  </si>
  <si>
    <t>Radioescucha que no existe ninguna cabio con el aumento de tarifa, ya que siguen pasando muy llenas</t>
  </si>
  <si>
    <t>Radioescucha pregunta ¿ Si ya esta el aumento del pasaje en las colectivas? Comenta conductor que si, que ya esta publicado en el eriódico Oficial del Estado de Hidalgo</t>
  </si>
  <si>
    <t>Ante la modificación al calendario escolar por parte de la Secretaría de Educación Pública (SEP), asociaciones civiles expresaron su inconformidad y anunciaron que emitirán un posicionamiento de manera pública este lunes, a las 12:00 pm, en la explanada de plaza Juárez de Pachuca.</t>
  </si>
  <si>
    <t>Los productores de cebada en Hidalgo lograron acuerdos con Grupo Modelo que permitirán dar mayor certeza al sector agrícola rumbo al ciclo 2010. Durante los últimos meses se realizaron reuniones y mesas de diálogo con productores, autoridades y representantes de la industria cervecera para alcanzar consensos que van a beneficiar a los cebaderos hidalguenses. Los cebaderos reconocieron la disposición de Grupo Modelo, así como la intervención de la Secretaría de Gobierno y la participación de las y los productores en las negociaciones para concretar un acuerdo que calificaron como importante para Hidalguense. Modelo, quiero sí agradecer la apertura. AUDIO DE APOYO</t>
  </si>
  <si>
    <t>Aspirantes</t>
  </si>
  <si>
    <t>Sucesión gubernamental</t>
  </si>
  <si>
    <t>El Instituto de Investigación de las Mujeres puso en marcha 41 centros libres en distintos municipios de la entidad como parte del Programa de Atención Integral para el Bienestar de las Mujeres (PAIBIM); un esfuerzo coordinado entre los tres niveles de gobierno. Esta estrategia, impulsada por la presidenta Claudia Sheinbaum. busca prevenir y atender la violencia contra las mujeres, además de fortalecer su autonomía económica, informó la directora del Instituto, Oralia Arista Castelazo, directora general del organismo, en representación de la titular, Katya Gabriela Hernández Pérez. En reunión por grupos, con las 205 asesoras que operarán los centros, enfatizó su papel fundamental para poner en práctica la política pública en materia de igualdad sustantiva implementada por el gobernador Julio Menchaca, que tiene como fin último transformar las condiciones de vida de las mujeres. AUDIO DE APOYO</t>
  </si>
  <si>
    <t>La Fiscalía General de la República obtuvo vinculación a proceso en contra de cuatro personas por su probable participación en el delito de delincuencia organizada con la finalidad de cometer tráfico de personas.</t>
  </si>
  <si>
    <t>Lamentos de la Secretaría de Seguridad Pública de Hidalgo (SSPH) en coordinación con la Procuraduría General de Justicia de la entidad (PGJEH), ejecutaron una técnica de cateo en la colonia Nicolás Flores, municipio de Mixquiahuala de Juárez, donde fue desarticulado un presunto punto de distribución de narcóticos, asegurando además a dos personas relacionadas con estas actividades ilícitas.Durante la intervención, las autoridades aseguraron a un hombre y una mujer, además de localizar 467 dosis de presunta droga, de las cuales 350 corresponden a hierba seca con características de marihuana y 117 a una sustancia granulada similar al cristal, mismas que fueron puestas a disposición de las autoridades competentes como parte de las investigaciones en curso.</t>
  </si>
  <si>
    <t>Se ejecutó una orden de cateo para esclarecer el delito de posesión ilícita de hidrocarburo en un domicilio ubicado en el municipio de Santiago de Anaya. De acuerdo con la carpeta de investigación la Policía Federal Ministerial recibió una denuncia anónima en la que ciudadanos informaron sobre dos personas que se dedicaban a la venta y almacenamiento ilícito de hidrocarburos.</t>
  </si>
  <si>
    <t>Combate Al Huachicol</t>
  </si>
  <si>
    <t>Continuando con temas de seguridad derivado del orden recibida por elementos de la Policía Federal Ministerial en la que ciudadanos informaron sobre la venta ilegal de gasolina en un inmueble ubicado en el centro del poblado Acayuca en el municipio de Zapotlán de Juárez se ejecutó una orden de cateo en un domicilio donde se aseguró hidrocarburos contenedores de diferentes capacidades una manguera, cuatro embudos y libretas con anotaciones. El agente del Ministerio Público de la Federación continuó con la integración de los elementos de prueba contundentes para deslindar responsabilidades conforme a derecho corresponda.</t>
  </si>
  <si>
    <t>La Fiscalía General de la República (FGR) informó sobre el aseguramiento de más de 421 litros de diésel, 162 bidones, medicamentos psicotrópicos y dinero en efectivo durante un cateo realizado en la localidad de El Daxtha, municipio de Actopan.De acuerdo con la autoridad federal, el operativo se llevó a cabo tras una denuncia anónima recibida a través del C5i, donde se reportaba la presunta venta ilegal de drogas e hidrocarburo en un establecimiento comercial.Durante la intervención, elementos de la Agencia de Investigación Criminal (AIC), en coordinación con Guardia Nacional, Sedena y Policía Estatal, aseguraron cápsulas y tabletas de clobenzorex, metilfenidato, fentermina y anfepramona, además de un vehículo tipo sedán y más de 19 mil pesos en efectivo.Asimismo, dos personas fueron detenidas y puestas a disposición del Ministerio Público Federal, quien determinará su situación jurídica en las próximas horas.</t>
  </si>
  <si>
    <t>En lo que va desde 2026 en Hidalgo se han registrado un caso de dengue no grave y tres con signos de alarma. Esto, representa una disminución respecto al mismo periodo de 2025, esto de acuerdo con la Dirección General de Epidemiología. El reporte de la Secretaría de Salud Federal detalló que sólo se han confirmado un caso de dengue no grave. Esta cifra inferior a los 12 casos contabilizados en el mismo periodo del año anterior.</t>
  </si>
  <si>
    <t>SSH</t>
  </si>
  <si>
    <t>Dengue</t>
  </si>
  <si>
    <t>Más de 1,500 mamás disfrutaron de una noche llena de alegría, música, regalos y muchas sorpresas en el gran festejo organizado por el Gobierno Municipal de Tula de Allende encabezado por el presidente Cristhian Martínez. La presentación estelar de Gilberto Gless hizo vibrar el corazón de todas las asistentes con un espectáculo inolvidable lleno de talento, diversión y emoción. Además, se realizaron dinámicas y rifas con increíbles premios para reconocer el amor, esfuerzo y dedicación de las madres que son el pilar de nuestras familias.Tula sigue trabajando para fortalecer la unión familiar y reconocer a quienes todos los días entregan lo mejor de sí: nuestras mamás tulenses.</t>
  </si>
  <si>
    <t>Con una gran fiesta llena de alegría, música y sorpresas, más de 5 mil mamás de Atitalaquia celebraron el Día de las Madres en un emotivo evento encabezado por la presidenta municipal Claudia Sandoval.La Unidad Deportiva de Atitalaquia fue el escenario de esta gran convivencia familiar, donde las asistentes disfrutaron de regalos, rifas, dinámicas, espectáculos culturales y la presentación estelar de Los Askis, quienes pusieron a bailar a miles de personas durante una noche inolvidable.Uno de los momentos más emocionantes fue la entrega de cuatro viajes todo pagado para dos personas a destinos de playa como Los Cabos, Ixtapa y Puerto Vallarta.Durante su mensaje, Claudia Sandoval reiteró su compromiso de seguir trabajando con cercanía, sensibilidad y compromiso social para construir un municipio más humano y unido.</t>
  </si>
  <si>
    <t>Durante una procesión religiosa ocurrió una situación complicada, una explosión de pirotecnia que dejó a una persona sin vida y otras cinco lesionadas. Los hechos se registraron en la localidad de Jalapilla en el municipio de Epazoyucan, Hidalgo y es que continúan sin medidas no tienen medidas cuando se quema esta pirotecnia en este tipo de expresiones religiosas.</t>
  </si>
  <si>
    <t>Explosión Pirotecnia</t>
  </si>
  <si>
    <t>“Hecho en Pueblos Indígenas”, estrategia de Hidalgo para defender la cultura y fortalecer ventas directas</t>
  </si>
  <si>
    <t>Hecho en Pueblos Indígenas</t>
  </si>
  <si>
    <t>Radio Lobo 96.7 FM</t>
  </si>
  <si>
    <t>Enlace Noticias</t>
  </si>
  <si>
    <t>Hidalgo toma Los Pinos: Menchaca Salazar y el Gobierno de México impulsan la cultura hidalguense, AUDIO APOYO</t>
  </si>
  <si>
    <t>Gina Lorenzo</t>
  </si>
  <si>
    <t>Por tercer año consecutivo, Hidalgo llevó su cultura, gastronomía y tradiciones al cultural Los Pinos, donde el gobernador Julio Menchaca Salazar inauguró la muestra Hidalgo en Los Pinos, que durante este fin de semana reunió música, artesanías y cocina tradicional de distintas regiones del estado.Desde el arranque del evento, el mandatario destacó que este espacio representa la transformación de recintos que antes eran exclusivos y que hoy están abiertos al pueblo para fortalecer la identidad y el orgullo cultural de las comunidades hidalguenses. Esta oportunidad, la Secretaría de Cultura del Gobierno de México, que con el trabajo muy intenso de la Secretaría de Cultura, pero con la participación de hidalguenses, mujeres y hombres, que sienten el cariño y el amor por su comunidad, por su municipio, eso nos une, es algo de cultura, de historia, de tradición y de profundo amor por nuestra tierra.En representación de la Secretaría de Cultura Federal, Diego Prieto Hernández, resaltó que la riqueza cultural de Hidalgo permanece en sus pueblos originarios y comunidades. Se abrió la Casa de los Pinos, la casa de un poder encerrado y lejano al pueblo cuando se pone al servicio del pueblo. Gracias a la hospitalidad del Centro Cultural, los estados se hacen presentes semana con semana en esta residencia oficial de México y hoy le toca el estado de Hidalgo. AUDIOS DE APOYO</t>
  </si>
  <si>
    <t>El Subsecretario de Protección Civil y Gestión de Riesgos de Hidalgo, Román Bernal Díaz, informó que en lo que va del año se han registrado alrededor de 320 incendios forestales y de pastizal, cifra que ya supera la del año anterior y los cuales, pues el 96%, han sido atacados por la mano del hombre. AUDIOS DE APOYO</t>
  </si>
  <si>
    <t>Derivado de la coordinación interinstitucional y la respuesta inmediata de la Secretaría de Seguridad Pública, Tránsito y Vialidad Pachuca a través de la Dirección de Prevención del Delito, fueron localizados y resguardados dos adolescentes que contaban con ficha de búsqueda vigente en la Ciudad de México.Los hechos se registraron en un inmueble ubicado sobre la calle Pasadizo, en la colonia Santa Julia, donde elementos municipales desplegaron un operativo tras una solicitud de colaboración emitida por la Cédula de Búsqueda de Personas de la Policía de la Ciudad de México.</t>
  </si>
  <si>
    <t>Gabriel Paredes Dueñas, presidente de la Federación de Escuelas Particulares en Hidalgo, hizo un llamado a la Secretaría de Educación Pública para construir acuerdos que permitan dar continuidad al calendario escolar original y evitar afectaciones en el desarrollo educativo de las y los estudiantes, AUDIO APOYO</t>
  </si>
  <si>
    <t>En conferencia de prensa de la presidenta de México, Claudia Sheinbaum, abordó el tema relacionado con la propuesta de reajuste al calendario escolar, aclaró que dicho planteamiento fue respaldado y aprobado en conjunto por las autoridades educativas de las entidades federativas y no únicamente por el secretario de Educación Pública, Mario Delgado, AUDIO APOYO</t>
  </si>
  <si>
    <t>El secretario de Educación Pública, Natividad Castejón, pues ha anunciado que va rumbo a la Ciudad de México para reunirse con el secretario de Educación Pública del Gobierno Federal para, pues, definir las adecuaciones que pudiera tener el calendario escolar. No lo den por hecho, habrá que esperar que definen en la reunión.</t>
  </si>
  <si>
    <t>Se informa que se suspende hasta nuevo aviso la manifestación programada para este lunes a las 12 en la explanada de Plaza Juárez, con motivo de la modificación del calendario escolar, debido a que el día de hoy se tendrá una reunión en la CDMX con los secretarios de educación de todos los estados para tomar una decisión sobre el tema.</t>
  </si>
  <si>
    <t>Con 40 equipos integrados, por mujeres de 33 municipios de Hidalgo, contando a Ajacuba, Tlaxcoapan, Tlahuelilpan, entre otros, se puso en marcha el Torneo Mujeres Libres como parte de la Estrategia Mundial Social 2026 impulsada por la presidenta Claudia Sheinbaum.La competencia reúne a más de 520 participantes y busca que el equipo ganador represente a Hidalgo en el Torneo Nacional. La convocatoria fue organizada por la Secretaría de Gobierno a través del Instituto Hidalguense de las Mujeres y los Centros Libres. AUDIO APOYO</t>
  </si>
  <si>
    <t>Mundial De Futbol</t>
  </si>
  <si>
    <t>La Secretaría de Educación Pública de Hidalgo anunció la realización de la Olimpiada del Conocimiento Infantil 2026, en la que participarán más de 53 mil estudiantes de sexto grado de primaria en todo el estado.Las informó que este certamen busca reconocer el desempeño académico de niñas y niños bajo el modelo de la nueva escuela mexicana, priorizando el entrenamiento crítico y el aprendizaje integral. El secretario de Educación Pública de Hidalgo, Natividad Castejón Valdés, destacó que la Olimpiada representa la colaboración de aprendizaje y el compromiso de las y los alumnos con sus comunidades escolares. De los más de 53 mil participantes, solo 100 estudiantes avanzarán a la siguiente etapa, tomando en cuenta su trayectoria escolar, desempeño académico y promedio del trimestre. Los resultados se van a conocer el próximo 18 de mayo.</t>
  </si>
  <si>
    <t>Olimpiada del Conocimiento</t>
  </si>
  <si>
    <t>La Conagua realizó recorridos de supervisión en diversos cuerpos de agua y cauces del municipio de Tulancingo, Hidalgo, con el objetivo de contribuir a mitigar riesgos de inundación ante la ocurrencia de posibles fenómenos hidrometeorológico.La actividad se llevó a cabo a fin de identificar, evaluar y atender de manera preventiva sitios con potencial de riesgo, así como y así fortalecer las acciones de protección a la población y a la infraestructura hidráulica municipal.Los recorridos se realizaron en coordinación con personal de Protección Civil del municipio, así como de la Comisión de Agua y Alcantarillado de Tulancingo (CAAMT).De esta manera, Conagua refrenda su compromiso de actuar de manera preventiva ante la temporada de lluvias.</t>
  </si>
  <si>
    <t>Prevención De Riesgos</t>
  </si>
  <si>
    <t>¿Cómo pasó usted? Seguramente tuvo la posibilidad, visitó a su mamá, estuvo con ella algunos minutos, arreglo de flores, algunas salieron a comer a algún restaurante. Hay historias que también duelen. ¿Por qué se lo menciono? La violencia contra las mujeres, especialmente madres de familia, mantiene cifras preocupantes, Hidalgo, ante este 2026. Vamos cinco meses de lo que va de este año y las cifras han aumentado considerablemente.Déjeme darles algunas. Escuche usted. De acuerdo con reportes del Secretario Ejecutivo del Sistema Nacional de Seguridad Pública, en el primer trimestre de este año se registraron 1,896 denuncias por violencia familiar en la entidad, lo que representa un incremento superior al 32% en comparación con el mismo periodo de 2025.En México cada día más mujeres son asesinadas o sufren violencia física. De acuerdo con especialistas, actualmente la violencia más común hacia las mujeres es la psicológica y proviene en su mayoría de sus parejas y muchas veces no se dan cuenta de la psicológica.</t>
  </si>
  <si>
    <t>Violencia De Género</t>
  </si>
  <si>
    <t>Atracción de inversiones</t>
  </si>
  <si>
    <t>Despacho del Gobernador integra trámites del SAT a los Servicios para el Pueblo</t>
  </si>
  <si>
    <t>Despacho</t>
  </si>
  <si>
    <t>Servicios para el Pueblo</t>
  </si>
  <si>
    <t>Gabinete de Seguridad de Hidalgo sigue firme contra robo de combustible</t>
  </si>
  <si>
    <t>Reunión Gabinete De Seguridad</t>
  </si>
  <si>
    <t>Andrés Torres en respuesta a un radioescucha que se queja de que con las nuevas unidades y al sacar de circulación las viejas no resuelven el problema de los tiempos de espera, dice que él entiende que se retirarán solo las unidades más deterioradas y que muchas veces el retraso es por la invasión del carril de circulación del Tuzobús, por lo que nuevamente está prohibido el uso por otros vehículos.</t>
  </si>
  <si>
    <t>Modernización Tuzobús</t>
  </si>
  <si>
    <t>Radioescucha: con la llegada de las nuevas unidades para el Tuzobús las anteriores dejarán de funcionar, porque si es así no solucionarán el problema de los tiempos de espera, sino que solo renovarán el parque vehicular. ¿Saben algo de esto?</t>
  </si>
  <si>
    <t>Con el firme compromiso de continuar fortaleciendo los derechos laborales de las y los trabajadores de la educación, la Sección 15 del SNTE en Hidalgo llevó a cabo el evento de Regularización de Docentes, directores y Supervisores de Educación Básica, una acción que representa certeza laboral, reconocimiento profesional y justicia para quienes diariamente sostienen la educación pública en nuestro estado. Encabezando este importante acto, el Mtro. Said Vargas Sáenz, secretario general de la Sección 15 del SNTE, reiteró que la organización sindical continuará defendiendo con determinación cada conquista laboral de las maestras, maestros y Personal de Apoyo y Asistencia a la Educación, privilegiando siempre el diálogo, la gestión y la unidad del magisterio hidalguense. Asimismo, se contó con la distinguida presencia de la Lic. Maricarmen Mandujano Cerrilla, Subsecretaria de Administración y Finanzas de la Secretaría de Educación Pública de Hidalgo (SEPH), quien acudió en representación del Dr. Natividad Castrejón Valdez, titular del Instituto Hidalguense de Educación, refrendando la coordinación institucional entre autoridades educativas y la representación sindical para seguir construyendo mejores condiciones para el sector educativo.</t>
  </si>
  <si>
    <t>Asignación de plazas</t>
  </si>
  <si>
    <t>Ayer la circulación quedó cerrada sobre la carretera Zimapán–Tasquillo, a la altura de Xhitá, llegando a El Rodeo, tras la volcadura de una pipa que transporta combustible. La situación generó afectaciones para quienes transitan por este tramo y tardó en ser liberado.</t>
  </si>
  <si>
    <t>Andrés Torres informa que se quemó el transformador y no tienen electricidad, por lo que la señal del 1010 AM de El Vocero Huasteco está fuera del aire. Explica que e una cuestión administrativa, de recursos que él no puede solucionar y siguen fuera del aire de manera indefinida, pero sí se escuchan en 92.7 FM. Son temas técnicos y administrativos que no tienen nada que ver con el personal.</t>
  </si>
  <si>
    <t>Vía telefónica el secretario de la SEPH, Natividad Castrejón informó que luego de que se anunciara por parte de Mario Delgado, Secretario de la SEP que el calendario escolar se modificaría , terminando el 5 de junio y reiniciando a finales de agosto; señaló que luego de un análisis a nivel nacional, se llegó al acuerdo de no modificarlo en Hidalgo y dejarlo tal como está planeado. Recordó que para muchos menores de edad la escuela es el lugar más seguro, pues durante la pandemia y en lo periodos vacaciones largas aumentan los casos de violencia física y hasta sexual. Reafirmó el compromiso con l educación y que el curso de verano también se llevará en tiempo y forma.</t>
  </si>
  <si>
    <t>Confirman, ciclo escolar terminará el 15 de julio</t>
  </si>
  <si>
    <t>El presidente municipal de Pachuca, Jorge Alberto Reyes Hernández, informó que los daños ocasionados al cercado de malla ciclónica del nuevo mercado municipal serán reparados por la empresa encargada de la obra, mientras que el costo será cubierto por los comerciantes involucrados. En entrevista con medios de comunicación, el alcalde pachuqueño recordó que la Secretaría de Obras Públicas municipal presentó una denuncia debido a que se trata de una obra realizada con recursos municipales y que aún no ha sido entregada formalmente al ayuntamiento, por lo que debe mantenerse en óptimas condiciones al ser susceptible de auditorías. Reyes explicó que, tras dialogar con los comerciantes, se alcanzó un acuerdo para realizar las reparaciones sin contratiempos. Indicó que los trabajos comenzaron este jueves.</t>
  </si>
  <si>
    <t>Ambulantaje</t>
  </si>
  <si>
    <t>UICEH y Universidad Anáhuac México concretan alianza estratégica</t>
  </si>
  <si>
    <t>Firma De Convenio</t>
  </si>
  <si>
    <t>Este miércoles 20 de mayo, el Centro Cultural Ricardo Garibay se convertirá en un espacio de oportunidades para quienes buscan empleo, a través de Emplea Tulancingo 2026, donde decenas de empresas de la región ofrecerán vacantes en los ramos operativo, técnico y administrativo. Gracias a la colaboración entre la Secretaría de Trabajo y Previsión Social de Hidalgo, a través del Servicio Nacional del Empleo Hidalgo, y la administración municipal, encabezada por la presidenta Lorena García Cázares, los asistentes podrán acceder a entrevistas laborales y postularse directamente a los puestos que más se ajusten a su perfil, de 10:00 a 15:00 horas. Desde el inicio de su gestión, la presidenta Lorena García Cázares ha fomentado la vinculación directa entre buscadores de empleo y empresas locales. En la edición 2025 de Emplearte, realizada en presidencia municipal, se ofertaron más de 250 vacantes y participaron una veintena de empresas, beneficiando a hombres y mujeres de ocho municipios de la región. Para esta nueva edición, además de la vinculación laboral, se integrarán programas de capacitación técnica y certificación laboral, impulsando aún más el autoempleo y las oportunidades para la población económicamente activa.</t>
  </si>
  <si>
    <t>Feria De Empleo</t>
  </si>
  <si>
    <t>SSPH frena a dos presuntos distribuidores de sustancias ilícitas en Mixquiahuala</t>
  </si>
  <si>
    <t>Una movilización de cuerpos de emergencia y policías se registró hoy por la salida de camino y volcadura de un tracto camión habilitado cono pipa para el transporte de combustible. El hecho de tránsito ocurrió en la carretera federal México – Laredo, a la altura de las curvas de Texquedo, en el municipio de Zimapán, la unidad quedo volcada. Elementos de Protección Civil municipal acudieron al sitio del accidente para evitar riesgo de fuga o explosión del material inflamable. La circulación fue cerrada parcialmente por las maniobras correspondientes para recuperar la pipa y el material que transportaba.</t>
  </si>
  <si>
    <t>El cuerpo sin vida de un hombre, fue localizado al interior de un taller de hojalatería ubicado en la colonia Presas, del municipio de Tezontepec de Aldama, la tarde del domingo 10 de mayo. Fue una persona quien solicitó el auxilio de elementos policiacos para que se trasladaran al taller, ubicado en Avenida Juárez, en la demarcación citada, debido a que había encontrado aparentemente lesionado al hombre. De acuerdo con la información oficial, la persona que realizó el reporte señaló que previamente había convivido con el ahora fallecido en el lugar; al regresar al interior del taller lo encontró herido, por lo que decidió pedir ayuda de inmediato. Una vez que elementos de Seguridad Pública llegaron al sitio, localizaron a un hombre recostado sobre una cama dentro del taller. En el sitio fue localizada un arma de fabricación artesanal y varios cartuchos calibre .22, los cuales quedaron asegurados como parte de las investigaciones. Personal de la Procuraduría General de Justicia del Estado de Hidalgo inició en el sitio las primeras investigaciones sobre el caso.</t>
  </si>
  <si>
    <t>Homicidios</t>
  </si>
  <si>
    <t>Por motivos que hasta el momento se desconocen, un hombre presuntamente decidió quitarse la vida en la localidad de Santa Cruz, Huejutla. De acuerdo con la información recabada, el hoy occiso fue localizado sin vida la tarde-noche del domingo 10 de mayo, en un domicilio ubicado en el barrio La Florida. Presuntamente, el hombre se encontraba pendiendo de una cuerda atada al cuello. Trascendió que el masculino apenas hace unos días había salido en libertad del Centro de Reinserción Social (Cereso); sin embargo, hasta el momento se desconocen las causas que lo habrían orillado a terminar con su existencia. Al sitio acudieron elementos de Seguridad Pública municipal, así como personal de Servicios Periciales de la Procuraduría General de Justicia del Estado de Hidalgo (PGJEH), quienes realizaron las diligencias correspondientes y ordenaron el levantamiento del cadáver.</t>
  </si>
  <si>
    <t>Suicidio</t>
  </si>
  <si>
    <t>Un motociclista fue atacado a balazos mientras circulaba por calles del municipio de Tizayuca, durante la noche del domingo 10 de mayo. Los hechos ocurrieron sobre la calle Adolfo López Mateos, afuera del Centro de Atención Psicológica Municipal, ubicado en la colonia Nacozari. Se conoció que el motociclista fue lesionado por hombres que viajaban a bordo de un vehículo Jetta blanco, quienes huyeron del sitio tras concretar el ataque. Al sitio acudieron elementos policiacos así como de Protección Civil; estos últimos, tras valorar a la víctima, decidieron trasladarlo para recibir atención especializada a sus lesiones. Aunque se desplegó un operativo para la localización de los responsables quienes huyeron en dirección a la autopista México-Pachuca, no se reportan detenidos por estos hechos. Personal de la Procuraduría General de Justicia del Estado de Hidalgo realizaron el levantamiento de pruebas y testimoniales para iniciar las primeras investigaciones respectivas al caso.</t>
  </si>
  <si>
    <t>Ataque Armado</t>
  </si>
  <si>
    <t>Un hombre falleció, luego de ser atacado a balazos en los momentos que circulaba en su motocicleta, sobre la carretera intermunicipal Villa de Tezontepec-Cantera. Vecinos del lugar reportaron el ataque; sin embargo cuando elementos de la policía municipal llegaron al lugar, se percataron que la víctima de 22 años, presentaba impactos de arma de fuego y en el perímetro había por lo menos cinco casquillos percutidos calibre .45 en varios puntos de la zona de ataque. Se implementó un operativo para la búsqueda y eventual detención del atacante o atacantes; hasta el momento no existe registro al respecto. Personal de la Procuraduría General de Justicia del Estado de Hidalgo acudió al sitio donde ocurrió el ataque para iniciar las primeras investigaciones respecto al caso.</t>
  </si>
  <si>
    <t>La tarde de este lunes 11 de mayo fue localizado el cuerpo sin vida de un hombre en un camino de terracería de la colonia Veracruz, en el municipio de Mixquiahuala de Juárez. De acuerdo con los primeros reportes, la víctima permanece en calidad de desconocida y presentaba múltiples huellas de violencia, por lo que autoridades ya investigan las circunstancias del hecho. Tras el reporte, al lugar acudieron elementos de Seguridad Pública estatal y municipal, así como personal de la Procuraduría General de Justicia del Estado de Hidalgo, quienes realizaron el acordonamiento de la zona e iniciaron las diligencias correspondientes para el levantamiento del cuerpo. Hasta el momento no se ha informado sobre personas detenidas relacionadas con la situación ocurrida.</t>
  </si>
  <si>
    <t>La Secretaría de Contraloría de Hidalgo detectó que, de los 700 casos de duplicidad de plazas, al menos 12 tenían ingresos mayores al salario del gobernador de Hidalgo, Julio Menchaca Salazar, esto por el sueldo de los dos espacios, así lo dio a conocer el titular de dicha dependencia estatal, Álvaro Bardales Ramírez. Durante la conferencia mañanera estatal de este 11 de mayo, el contralor hidalguense fue cuestionado sobre los más de 700 casos de trabajadores e integrantes de ayuntamientos que también tenían plazas en la Secretaría de Educación Pública estatal (SEPH). Bardales Ramírez explicó que la mayoría de los trabajadores detectados regularizaron su situación en los primeros meses después de que se hizo el llamado a renunciar a uno de sus espacios de trabajo o a solicitar el dictamen de compatibilidad de empleo. Además, expresó que los casos fueron detectados en la declaración patrimonial del año pasado. "Se había hecho costumbre de que nadie solicitaba el dictamen de compatibilidad laboral", externó y dio a conocer que la contraloría solamente ha otorgado solamente 12 dictámenes positivos de compatibilidad. Como ejemplo, el contralor mencionó que los casos que sí tenían compatibilidad eran profesores de educación física y que dan clases deportivas dos o tres horas por la tarde en el ayuntamiento. Asimismo, se dio a conocer que se negaron los documentos a 110 regidores y siete síndicos municipales, debido a que sus horarios estaban sobrepuestos. También, varias personas acudieron a la Contraloría a mostrar su licencia sin goce de sueldo.</t>
  </si>
  <si>
    <t>Contraloría</t>
  </si>
  <si>
    <t>Doble Plaza</t>
  </si>
  <si>
    <t>El presidente municipal de Pachuca, Jorge Reyes Hernández, nuevamente se encuentra en medio de la polémica, luego de que se difundiera un audio en el que presuntamente amenaza a funcionarios municipales con despedirlos si no comparten sus publicaciones en redes sociales. La información fue dada a conocer a través de un audio difundido por Quadratín Hidalgo, en el que se escucha al edil reclamar a colaboradores y funcionarios por la poca interacción y difusión de sus contenidos en Facebook. En la grabación, de aproximadamente 2 minutos con 19 segundos, Reyes Hernández señala que más de la mitad de los trabajadores municipales no estaban compartiendo sus publicaciones y advirtió que tomaría medidas contra quienes no cumplieran con las indicaciones. “Esta semana es la última oportunidad que les doy, y si no, como les dije, se les va a dar las gracias, porque así no podemos estar trabajando”, se escucha en el mensaje presuntamente enviado por WhatsApp meses atrás. Además, el alcalde solicita a cada secretario entregar reportes semanales para verificar la actividad de los trabajadores en redes sociales y plantea una meta mínima de publicaciones compartidas.</t>
  </si>
  <si>
    <t>La mañana de este martes, la presidenta Claudia Sheinbaum informó que el Consejo Educativo dio marcha atrás al ajuste del calendario escolar tras las quejas de madres, padres de familia y docentes. Aunque inicialmente se había pactado por unanimidad adelantar el fin de clases al 5 de junio, la inconformidad social obligó a las autoridades a mantener el calendario original.</t>
  </si>
  <si>
    <t>La compra de 80 autobuses para el Tuzobús representaría un gasto de 130 millones 559 mil 968 pesos por encima del costo de arrendamiento que realizó el gobierno de Hidalgo durante los siguientes dos años, estimó Edgar Orlando Ángeles Pérez, titular de la Oficialía Mayor. En diciembre de 2025, la administración estatal licitó la renta de 42 autobuses con capacidad para 80 pasajeros y 38 autobuses más para 50 personas. En total son 80 unidades vehiculares que llegarán en el transcurso de marzo. La contratación de los vehículos por un plazo de 26 meses implicó una inversión de 662 millones 421 mil 775.26 pesos, lo que significa que el gobierno de Hidalgo asumirá la operación del Tuzobús y cancelará la concesión con la empresa Lusa S.A. de C.V., actual encargada de este sistema de transporte. El Sistema de Transporte Tuzobús operará con 140 nuevas unidades, ya que actualmente opera sólo con 82, informó el titular de la Oficialía Mayor del Gobierno del Estado de Hidalgo.</t>
  </si>
  <si>
    <t>Oficialía Mayor</t>
  </si>
  <si>
    <t>La Secretaría de Movilidad y Transporte de Hidalgo anunció que trabaja en un nuevo esquema para regular las tarifas del servicio de taxi en la zona metropolitana de Pachuca, ante las constantes quejas por cobros excesivos y sin control entre concesionarios y operadores. La titular de la dependencia, Lyzbeth Robles Gutiérrez, reconoció que actualmente existe un desorden en los precios que cobran las unidades, situación que, afirmó, se ha vuelto común principalmente en la capital hidalguense. La funcionaria aclaró que las medidas que analiza la dependencia no significan un aumento en las tarifas, sino la actualización y establecimiento de montos oficiales que permitan regular el costo del servicio de acuerdo con la distancia recorrida. Explicó que parte del problema surgió tras la implementación de la plataforma Taxi Contigo durante la administración estatal anterior, aplicación que buscaba operar bajo un modelo similar al de servicios privados de transporte, pero que finalmente no logró consolidarse entre usuarios ni operadores.</t>
  </si>
  <si>
    <t>Tarifario de taxis</t>
  </si>
  <si>
    <t>La Presidencia Municipal de Tulancingo anunció la realización de una jornada especial de registro para el programa Vivienda para el Bienestar impulsado por el Gobierno de México, dirigida a derechohabientes del Instituto del Fondo Nacional de la Vivienda para los Trabajadores (Infonavit), de la región del Valle de Tulancingo. El registro se llevará a cabo el próximo domingo 17 de mayo, en un horario de 09:00 a 14:00 horas, en un espacio habilitado a un costado de Banamex, sobre la calle Cuauhtémoc, en la zona de La Floresta, en el centro de Tulancingo. Las autoridades informaron que el programa está dirigido a personas con relación laboral vigente, que perciban entre uno y dos salarios mínimos y que no cuenten actualmente con un crédito activo del Infonavit.</t>
  </si>
  <si>
    <t>Plan Nacional De Vivienda</t>
  </si>
  <si>
    <t>Vía telefónica el reporte de Bombero y Protección Civil con Abner Yáñez informa de las diversas emergencias reportadas por la ciudadanía y que fueron atendidas.</t>
  </si>
  <si>
    <t>De 7 mil 400 lotes que existen al interior del panteón central municipal “San Miguel”, en Tulancingo, aproximadamente cuatro mil se encuentra en abandono total, con tumbas incluso destrozadas en su totalidad. El dato fue ofrecido por Juan Carlos Zambrano López, director de panteones en el municipio, señalando que en el caso de tumbas muy viejas y con marcado deterioro derivado del abandono, la administración local puede recuperar esos espacios. Sin embargo, por el momento no se tiene consideradas dichas recuperaciones, ni llevar a cabo exhumaciones, en tanto se revisa la situación legal y de posesión de cada predio, permitiendo a los familiares que los regularicen. El abandono de tumbas genera en principio mal aspecto para el panteón, así como afectaciones para poder circular dentro de este espacio y dispersión del material que tenía originalmente, sobre todo cemento y partes de ornato.</t>
  </si>
  <si>
    <t>Panteón Municipal</t>
  </si>
  <si>
    <t>El secretario de Educación Pública, Mario Delgado, defendió este lunes la propuesta para adelantar el cierre del ciclo escolar 2025-2026 y aseguró que el actual modelo educativo mantiene “residuos tecnocráticos” que deben revisarse. Durante la Primera Reunión Nacional Plenaria Extraordinaria de la SEP, el funcionario sostuvo que el ajuste responde a “realidades innegables” como las altas temperaturas en distintas regiones del país y los problemas de movilidad que generará el Mundial de Futbol 2026. “México no cabe en un solo calendario”, afirmó el titular de la SEP ante autoridades educativas de las 32 entidades federativas. El funcionario criticó el esquema actual contemplado en el artículo 87 de la Ley General de Educación, que establece entre 185 y 200 días efectivos de clases por ciclo escolar. Según Delgado, este modelo responde a una visión enfocada en indicadores de permanencia y no necesariamente en el aprendizaje real de los estudiantes.</t>
  </si>
  <si>
    <t>La Secretaría de Educación Pública de Hidalgo (SEPH) confirmó este lunes que el ciclo escolar 2025-2026 concluirá oficialmente el próximo 15 de julio, manteniendo el calendario de 185 días establecido para educación básica y media superior en todo el país. La decisión se tomó durante la sesión del Consejo Nacional de Autoridades Educativas (Conaedu), donde las autoridades educativas estatales acordaron por unanimidad conservar el calendario original, luego de la polémica generada la semana pasada por la propuesta de adelantar el fin de clases al 5 de junio. Durante los últimos días, en distintos medios nacionales circuló información sobre un posible recorte de más de un mes al ciclo escolar debido a factores como las altas temperaturas y ajustes relacionados con la organización del Mundial de Futbol 2026. Sin embargo, la propuesta generó incertidumbre entre docentes, madres y padres de familia, así como entre estudiantes, debido a la falta de claridad sobre la aplicación de estos cambios. Tras la revisión del tema, las autoridades educativas determinaron mantener el calendario oficial publicado previamente, el cual contempla 185 días efectivos de clases y establece como fecha oficial de conclusión del ciclo escolar el 15 de julio de 2026.</t>
  </si>
  <si>
    <t>Radioescucha, Daniela Gómez: las rutas de las combis de Belisario Domínguez a Amaque manejan como si trajeran animales. Llenan demasiado las combis y los choferes no abren las pertas de adelante argumentado que hasta que se llene abren la puerta de atrás y han provocado muchos accidentes</t>
  </si>
  <si>
    <t>Radiescucha reporta que Cassim reparó una fuga y llevamos más de un año y siguen sin recubrir el asfalto de la reparación en calle Trío, fraccionamiento Saucillo.</t>
  </si>
  <si>
    <t>Radioescucha reporta falta de agua en Leona Vicario 300 en la colonia Santa Julia.</t>
  </si>
  <si>
    <t>Radioescucha reporta que le mandaron agua los días pasados en Santa Gertrudis, pero venía muy sucia</t>
  </si>
  <si>
    <t>Radioescucha reporta falta de agua en Campestre Villas del Álamo, cae muy poquita agua y pedimos mejor tandeo</t>
  </si>
  <si>
    <t>Radioescucha Sra. Elena Vázquez reporta falta de agua en Campestre Villas del Álamo: “Es un derecho tener agua, porque aparte yo la pago”</t>
  </si>
  <si>
    <t>Radioescucha Sra. Guadalupe Gómez reporta falta de agua en Campestre Villas del Álamo</t>
  </si>
  <si>
    <t>Radioescucha reporta falta de agua en Campestre Villas del Álamo</t>
  </si>
  <si>
    <t>Radioescucha reporta falta de agua en Villas del Álamo, y acusa a Caasim de no apoyar con pipas</t>
  </si>
  <si>
    <t>Radioescucha reporta falta de agua en San Bartólo; ya se tiene número de reporte y ni nos mandan pipas.</t>
  </si>
  <si>
    <t>Comenta conductor Eulalio Larrieta, que tampoco tiene agua en la Aquiles Serdán, que solo le pusieron poca agua un día.</t>
  </si>
  <si>
    <t>Radioescucha reporta falta de agua en Parque de Poblamiento, 20 de Noviembre, Antorchistas y más</t>
  </si>
  <si>
    <t>Atención porque ante el inicio de las tormentas de la temporada de ciclones y huracanes, Hidalgo mantiene activos los protocolos de prevención y atención para reducir riesgos. El subsecretario de Protección Civil y Gestión de Riesgos, Román Bernal Díaz, advirtió que este año podrían presentarse lluvias intensas en períodos muy cortos alternados con prolongadas sequías derivadas del fenómeno del niño. Si se está instalado en sesión permanente, a partir de que inició la vaguada monzónica del 2025, se activó el Comité de Emergencias. De acuerdo con estimaciones del Servicio Meteorológico Nacional y Conagua, entre mayo y julio aumentará la temperatura en el Pacífico Ecuatorial, lo que modificaría los patrones de lluvia y generaría mayor humedad, aunque también persistirán condiciones de estiaje en gran parte del país. Autoridades estatales mantienen vigilancia permanente, especialmente porque más del 80% del territorio hidalguense presenta algún grado de vulnerabilidad ante lluvias intensas.</t>
  </si>
  <si>
    <t>Con el propósito de impulsar el empoderamiento económico de las mujeres, el alcalde de Mineral de la Reforma, Eduardo Medécigo Rubio, y la presidenta del Patronato del Sistema Municipal DIF, Samantha Esparza Hernández, entregaron los cheques correspondientes a 300 personas beneficiadas con el programa “Jefas Transformadoras”.Durante la entrega de este apoyo, el presidente municipal agradeció la participación de las mujeres, ya que se superó el número proyectado de participantes en la convocatoria. Ante esta situación, las autoridades anunciaron una nueva apertura para beneficiar a más emprendedoras.</t>
  </si>
  <si>
    <t>Apoyo A La Mujer</t>
  </si>
  <si>
    <t>Abre Inhjuve convocatoria “Titúlate”</t>
  </si>
  <si>
    <t>Bienestar</t>
  </si>
  <si>
    <t>Apoyo para titulación</t>
  </si>
  <si>
    <t>Jesús González realizó una entrevista a Miguel Tello, titular de la Unidad de Planeación y Prospectiva del Estado de Hidalgo, quien informó que existe una estrategia impulsada por la Semarnath para la creación de un área natural protegida, le llaman la zona de la Tres Culturas , AUDIO APOYO.</t>
  </si>
  <si>
    <t>Área Natural Protegida</t>
  </si>
  <si>
    <t>Sobre los reportes de falta de agua en Campestre Villas del Alamo, informa la Lic. Sarahi Pineda, que ya se agendó una visita de supervisión para esa zona y también se llevará una pipa cisterna para abastecer de agua.</t>
  </si>
  <si>
    <t>Ayer hubo conferencia de prensa en la sala del pueblo, aquí en la capital hidalguense, el titular de la Secretaría de Desarrollo Económico Carlos Henkel Escorza, confirmó una inversión histórica que reafirma la confianza internacional en tierras hidalguenses, se trata de la empresa Solar International Core Canada, que se instalará en Hidalgo con una inversión de 200 millones de dólares y la creación de 1.700 nuevos empleos directos e indirectos. AUDIO DE APOYO, Atracción de inversiones</t>
  </si>
  <si>
    <t>En otra información la Secretaría de Seguridad Pública de Hidalgo aseguró cerca de 27 kilos de presunto cristal equivalentes a unas 90 mil dosis durante un operativo sobre la carretera Michimaloya. La acción se derivó de una denuncia anónima recibida a través del C5I donde se alertó sobre presuntas actividades de distribución de droga a bordo de una camioneta. Tras desplegar un operativo de búsqueda, elementos estatales ubicaron la unidad y uno de los tripulantes intentó escapar, lo que desató una persecución a pie a tierra hasta lograr la detención de dos hombres</t>
  </si>
  <si>
    <t>Fuerte golpe al narcomenudeo en Tula: 27 kilos de presunto cristal asegurados por la SSPH</t>
  </si>
  <si>
    <t>En un operativo originado por una denuncia anónima, fueron asegurados 27 kilogramos de presunta droga conocida como cristal, los cuales eran transportados por dos sujetos que se desplazaban a bordo de una camioneta y que llevaban la droga empaquetada en 90 mil dosis. De acuerdo con la Secretaría de Seguridad Pública de Hidalgo, una llamada anónima alertó sobre personas presuntamente relacionadas con actividades ilícitas que se desplazaban a bordo de una camioneta sobre la carretera Michimaloya, en el municipio de Tula, Hidalgo.</t>
  </si>
  <si>
    <t>Jesús González realizó una entrevista a Miguel Tello, titular de la Unidad de Planeación y Prospectiva del Estado de Hidalgo, informó de las acciones y estrategias que se impulsan sobre la problemática de la Presa Endhó. Comento que se presentó un proyecto donde se buscaba que se tuvieran trituradoras y otro tipo de maquinaria, para quitar la contaminación de la presa, también dijo que el año pasado a través del Fondo Hidalgo, se financiaron, tres proyectos de investigación para encontrar un uso que se le pudiera dar al lirio, AUDIO APOYO.</t>
  </si>
  <si>
    <t>El gobierno de Hidalgo mantiene de forma permanente las labores para combatir el lirio acuático en la presa Endhó, donde actualmente operan tres máquinas trituradoras y una brigada de 12 trabajadores, así lo detalló la secretaria de Medio Ambiente Estatal Mónica Mixtega Trejo. La funcionaria detalló que desde octubre de 2024, cuando se autorizó el ingreso de la maquinaria, el embalse registraba cerca de 980 hectáreas infestadas.Hasta el momento, se han intervenido más de 650 hectáreas, principalmente en el vaso de la presa y en la zona sur a la altura de Santa Ana, Ahuehuepan. Estas acciones se realizan de lunes a viernes en jornadas de 6.30 de la mañana a 6.30 de la tarde, con apoyo de Pemex en el suministro de combustible para la operación de los equipos. Sin embargo, autoridades ambientales advirtieron que aún quedan más de 500 hectáreas pendientes de atención debido a que el lirio acuático duplica su crecimiento cada 16 días</t>
  </si>
  <si>
    <t>Deben cumplir cerca de 120 mil personas servidoras públicas con declaración patrimonial, AUDIO APOYO</t>
  </si>
  <si>
    <t>Declaración patrimonial</t>
  </si>
  <si>
    <t>El alcalde de Alfajayucan Julio Agustín Cruz Tovarse, se volvió tendencia tras cantarles una cumbia a las mamás en su día, la participación del alcalde generó opiniones encontradas entre usuarios de las redes porque mientras algunos defendieron el gesto al considerarlo cercano y espontáneo, otros cuestionaron que un servidor público protagonice este tipo de escena, señalando que la prioridad debe centrarse en las labores de gobierno y atención ciudadana, AUDIO APOYO</t>
  </si>
  <si>
    <t>El Gobierno Municipal Tepetitlán celebró a más de 2 mil mamás del municipio con una gran tarde llena de música, alegría, regalos y muchas sorpresas en la plaza principal de la cabecera municipal.La presidenta municipal, Lic. Ana Elsa Castillo Cea, reconoció el amor, la fortaleza y la dedicación de las madres tepetitlenses, destacando que este evento fue preparado con mucho cariño para consentirlas y agradecerles todo lo que hacen por sus familias.Las asistentes disfrutaron de un gran ambiente con las presentaciones de Roberto Dalessio, Banda Efectiva La de Chapa y el grupo “Espectacular Carro Show”, además de rifas, obsequios y momentos inolvidables.</t>
  </si>
  <si>
    <t>En otros temas Álvaro Martín Bardales Ramírez, titular de la Secretaría de Contraloría informó que el tema de la duplicidad de plazas, pues ya se llevó a cabo una revisión de 700 casos en las declaraciones patrimoniales del 2025, en tanto que sólo en 12 ocasiones se emitió un dictamen de compatibilidad.En esta revisión que hace la Contraloría se detectaron 12 casos de servidores públicos que ganaban más que el propio gobernador de Hidalgo en varios municipios de la entidad. En el caso específico de los asambleístas municipales que al ser de regidores o síndicos, o otros funcionarios de elección, que también estaban y tenían una remuneración en el Poder Ejecutivo, ya sea en educación, en salud o en algunos otros lados. presentado porque dicen que nosotros, pues lo mismo, estamos violentando sus derechos. Esos tres juicios de nulidad, pues están vigentes, siguen teniendo la doble remuneración.La única situación que te voy a decir, si ellos pierden el juicio, pues tendrán que devolver el monto de lo que hayan percibido por todo el tiempo que estuvieran, además de las penas económicas que conlleva ejercer una función sin tener derecho. Y dos regidoras tienen amparos ante un juzgado federal. Se les ha negado la suspensión provisional. AUDIOS DE APOYO.</t>
  </si>
  <si>
    <t>Tuzobús operará con 140 nuevas unidades, AUDIO APOYO</t>
  </si>
  <si>
    <t>En la mañanera Claudia Sheinbaum afirmó que la propuesta de ajuste al calendario escolar fue respaldada por las y los secretarios de Educación estatales y no se trató de una decisión individual del titular de la SEP, Mario Delgado. AUDIO APOYO</t>
  </si>
  <si>
    <t>La información que dio Mario Delgado titular de la SEP a nivel federal, abre un debate no solo por modificar el calendario escolar, sino que exhiben las debilidades estructurales que desde hace años arrastra el sistema educativo mexicano, y es que los datos reflejan una realidad preocupante: según cifras de Inegi y la Sep millones de estudiantes abandonaron e interrumpieron sus estudios en la pandemia, dejando secuelas académicas y emocionales graves. Lo que se debe analizar es qué tan efectivo es el tiempo en aula y qué tanto se preocupa el gobierno para invertirle en el sistema educativo.</t>
  </si>
  <si>
    <t>El secretario de Educación Pública, Mario Delgado, defendió este lunes la propuesta para adelantar el cierre del ciclo escolar al 5 de junio, 40 días antes de lo marcado en el calendario, al asegurar que después del 15 de junio las escuelas prácticamente dejan de impartir clases y operan únicamente para cumplir con el calendario administrativo, AUDIO APOYO</t>
  </si>
  <si>
    <t>Ya hay resolución de las clases, primero se dijo que pues desde el 5 de junio se iban a suspender, algunos dijeron cómo es posible, dicen en mi pueblo, pues se inconformaron y dijeron vamos a manifestar nuestra inconformidad, pero ya es un hecho el calendario escolar, la SEP mantendrá el calendario oficial de 185 días. El ciclo escolar concluirá el 15 de julio como estaba programado, no va a haber suspensión, no se va a adelantar el cierre del ciclo, no va a haber tres meses de vacaciones, la Secretaría de Educación Pública de Hidalgo informa a la comunidad educativa del estado que en sesión del Consejo Nacional de Autoridades Educativas el día de ayer se acordó por unanimidad mantener el calendario escolar oficial de 185 días para el ciclo 2025-2026. De acuerdo con lo establecido el ciclo escolar concluirá el 15 de julio de este año en instituciones públicas y particulares incorporadas al sistema educativo nacional en los niveles de educación básica y media superior, la decisión pues se tomó tras un análisis exhaustivo de los argumentos presentados por las y los secretarios de educación de todo el país privilegiando el interés superior de las niñas y el cumplimiento de la ley general de educación, este acuerdo brinda certeza a estudiantes, familias y personal docente asegurando la continuidad de los trayectos educativos acorde con lo proyectado, hay dos realidades en esta en esta situación.</t>
  </si>
  <si>
    <t>Radioescucha pregunta ¿ Es verdad el comunicado de Natividad Castrejón, sobre no modificación del calendario escolar?</t>
  </si>
  <si>
    <t>Estudiantes harán prácticas profesionales en República Dominicana</t>
  </si>
  <si>
    <t>Movilidad académica</t>
  </si>
  <si>
    <t>Con la pavimentación de la carretera Acopinalco–Apan los traslados se reducen a la mitad del tiempo</t>
  </si>
  <si>
    <t>Pavimentación</t>
  </si>
  <si>
    <t>Hidalgo activa protocolos por ciclones, AUDIO APOYO</t>
  </si>
  <si>
    <t>Radioescucha pregunta ¿ Es normal que el Tuzobús saque humo negro y circulando sin placa?. Comenta conductor: “No creo que sea algo normal”.</t>
  </si>
  <si>
    <t>Quejas Tuzobús</t>
  </si>
  <si>
    <t>La Secretaría de Seguridad Pública, Tránsito y Vialidad de Pachuca continúa reforzando la vigilancia nocturna en distintos puntos de la capital hidalguense, mediante recorridos preventivos en zonas comerciales, parques y colonias, con el objetivo de inhibir conductas delictivas y fortalecer la presencia policial.Como parte de estas acciones, elementos de la Dirección General de Tránsito y Vialidad realizaron recorridos de seguridad y supervisión en Plaza Constitución, Plaza Independencia, Vicente Guerrero, Guzmán Mayer, Vicente Salazar, avenida Revolución, Morelos, Zaragoza, Hidalgo, Matamoros y Allende, verificando además que establecimientos permanecieran debidamente cerrados y asegurados, así como el cuidado y preservación de espacios públicos.</t>
  </si>
  <si>
    <t>Refuerzo De Seguridad</t>
  </si>
  <si>
    <t>Hidalgo fortalece atención materna con enfoque humano e intercultural</t>
  </si>
  <si>
    <t>Salud materna</t>
  </si>
  <si>
    <t>La secretaria de movilidad Lyzbeth Robles Gutiérrezhabló sobre el tema de los taxis, aseguró que pronto se realizará la regularización formal de la tarifa del servicio de taxis, ojo esto no significa que vaya a haber un aumento, sino que todo se va a regularizar, sin embargo no señaló una fecha para que se establezca el tarifario en el servicio individual. Bien lo dice la secretaria Lyzbeth Robles Gutiérrez, no necesitas o no es una lucha, una persecución contra los choferes, usted lo sabe, todo aquel que tenga un vehículo, que maneje un vehículo debe tener su licencia vigente, no es opción y más, los choferes deben tener sus papeles en regla, porque llevan vidas con ellos, son responsables de la seguridad e integridad de los usuarios, así que no es cosa de persecución, sino de que se cumplan las normas, de que se cumplan las leyes. AUDIO DE APOYO</t>
  </si>
  <si>
    <t>Jesús González realizó una entrevista a Miguel Tello, titular de la Unidad de Planeación y Prospectiva del Estado de Hidalgo, quien detalló los avances del Proyecto Ferroviario México-Querétaro, una de las obras de infraestructura más importante del país y que contempla su paso estratégico por el Estado de Hidalgo. Explicó cómo operará la zona confinada del Tren México-Querétaro, contemplando los mecanismos de conectividad y movilidad para evitar afectaciones en la comunicación y delimitación de las comunidades por donde atravesara la vía férrea. AUDIO APOYO</t>
  </si>
  <si>
    <t>Tren México Querétaro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</si>
</sst>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1" tableType="queryTable" totalsRowShown="0">
  <autoFilter ref="A1:M131"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1"/>
  <sheetViews>
    <sheetView tabSelected="1" workbookViewId="0">
      <selection activeCell="C2" sqref="C2"/>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29" bestFit="1" customWidth="1"/>
    <col min="8" max="8" width="11" bestFit="1" customWidth="1"/>
    <col min="9" max="9" width="11.140625" bestFit="1" customWidth="1"/>
    <col min="10" max="10" width="25.7109375" bestFit="1" customWidth="1"/>
    <col min="11" max="11" width="14.710937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43</v>
      </c>
      <c r="C1" t="s">
        <v>44</v>
      </c>
      <c r="D1" t="s">
        <v>45</v>
      </c>
      <c r="E1" t="s">
        <v>1</v>
      </c>
      <c r="F1" t="s">
        <v>2</v>
      </c>
      <c r="G1" t="s">
        <v>4</v>
      </c>
      <c r="H1" t="s">
        <v>3</v>
      </c>
      <c r="I1" t="s">
        <v>5</v>
      </c>
      <c r="J1" t="s">
        <v>46</v>
      </c>
      <c r="K1" t="s">
        <v>47</v>
      </c>
      <c r="L1" t="s">
        <v>48</v>
      </c>
      <c r="M1" t="s">
        <v>56</v>
      </c>
    </row>
    <row r="2" spans="1:13" x14ac:dyDescent="0.25">
      <c r="A2" s="2">
        <v>46153</v>
      </c>
      <c r="B2" s="1" t="str">
        <f ca="1">IF(Información1[[#This Row],[Fecha]]='Ajuste de fechas'!$A$2,"Día actual","Día anterior")</f>
        <v>Día anterior</v>
      </c>
      <c r="C2" t="s">
        <v>28</v>
      </c>
      <c r="D2" t="s">
        <v>30</v>
      </c>
      <c r="E2" t="s">
        <v>84</v>
      </c>
      <c r="F2" t="s">
        <v>83</v>
      </c>
      <c r="G2" t="s">
        <v>142</v>
      </c>
      <c r="H2" t="s">
        <v>11</v>
      </c>
      <c r="I2" t="s">
        <v>7</v>
      </c>
      <c r="J2" t="s">
        <v>49</v>
      </c>
      <c r="K2" t="s">
        <v>41</v>
      </c>
      <c r="L2" t="s">
        <v>50</v>
      </c>
      <c r="M2">
        <v>1</v>
      </c>
    </row>
    <row r="3" spans="1:13" x14ac:dyDescent="0.25">
      <c r="A3" s="2">
        <v>46153</v>
      </c>
      <c r="B3" s="1" t="str">
        <f ca="1">IF(Información1[[#This Row],[Fecha]]='Ajuste de fechas'!$A$2,"Día actual","Día anterior")</f>
        <v>Día anterior</v>
      </c>
      <c r="C3" t="s">
        <v>8</v>
      </c>
      <c r="D3" t="s">
        <v>10</v>
      </c>
      <c r="E3" t="s">
        <v>85</v>
      </c>
      <c r="F3" t="s">
        <v>6</v>
      </c>
      <c r="G3" t="s">
        <v>69</v>
      </c>
      <c r="H3" t="s">
        <v>11</v>
      </c>
      <c r="I3" t="s">
        <v>25</v>
      </c>
      <c r="J3" t="s">
        <v>49</v>
      </c>
      <c r="K3" t="s">
        <v>9</v>
      </c>
      <c r="L3" t="s">
        <v>51</v>
      </c>
      <c r="M3">
        <v>1</v>
      </c>
    </row>
    <row r="4" spans="1:13" x14ac:dyDescent="0.25">
      <c r="A4" s="2">
        <v>46153</v>
      </c>
      <c r="B4" s="1" t="str">
        <f ca="1">IF(Información1[[#This Row],[Fecha]]='Ajuste de fechas'!$A$2,"Día actual","Día anterior")</f>
        <v>Día anterior</v>
      </c>
      <c r="C4" t="s">
        <v>8</v>
      </c>
      <c r="D4" t="s">
        <v>10</v>
      </c>
      <c r="E4" t="s">
        <v>86</v>
      </c>
      <c r="F4" t="s">
        <v>6</v>
      </c>
      <c r="G4" t="s">
        <v>69</v>
      </c>
      <c r="H4" t="s">
        <v>11</v>
      </c>
      <c r="I4" t="s">
        <v>25</v>
      </c>
      <c r="J4" t="s">
        <v>49</v>
      </c>
      <c r="K4" t="s">
        <v>9</v>
      </c>
      <c r="L4" t="s">
        <v>51</v>
      </c>
      <c r="M4">
        <v>1</v>
      </c>
    </row>
    <row r="5" spans="1:13" x14ac:dyDescent="0.25">
      <c r="A5" s="2">
        <v>46153</v>
      </c>
      <c r="B5" s="1" t="str">
        <f ca="1">IF(Información1[[#This Row],[Fecha]]='Ajuste de fechas'!$A$2,"Día actual","Día anterior")</f>
        <v>Día anterior</v>
      </c>
      <c r="C5" t="s">
        <v>8</v>
      </c>
      <c r="D5" t="s">
        <v>10</v>
      </c>
      <c r="E5" t="s">
        <v>87</v>
      </c>
      <c r="F5" t="s">
        <v>6</v>
      </c>
      <c r="G5" t="s">
        <v>69</v>
      </c>
      <c r="H5" t="s">
        <v>11</v>
      </c>
      <c r="I5" t="s">
        <v>25</v>
      </c>
      <c r="J5" t="s">
        <v>49</v>
      </c>
      <c r="K5" t="s">
        <v>9</v>
      </c>
      <c r="L5" t="s">
        <v>51</v>
      </c>
      <c r="M5">
        <v>1</v>
      </c>
    </row>
    <row r="6" spans="1:13" x14ac:dyDescent="0.25">
      <c r="A6" s="2">
        <v>46153</v>
      </c>
      <c r="B6" s="1" t="str">
        <f ca="1">IF(Información1[[#This Row],[Fecha]]='Ajuste de fechas'!$A$2,"Día actual","Día anterior")</f>
        <v>Día anterior</v>
      </c>
      <c r="C6" t="s">
        <v>28</v>
      </c>
      <c r="D6" t="s">
        <v>10</v>
      </c>
      <c r="E6" t="s">
        <v>88</v>
      </c>
      <c r="F6" t="s">
        <v>24</v>
      </c>
      <c r="G6" t="s">
        <v>89</v>
      </c>
      <c r="H6" t="s">
        <v>11</v>
      </c>
      <c r="I6" t="s">
        <v>7</v>
      </c>
      <c r="J6" t="s">
        <v>24</v>
      </c>
      <c r="K6" t="s">
        <v>29</v>
      </c>
      <c r="L6" t="s">
        <v>50</v>
      </c>
      <c r="M6">
        <v>1</v>
      </c>
    </row>
    <row r="7" spans="1:13" x14ac:dyDescent="0.25">
      <c r="A7" s="2">
        <v>46153</v>
      </c>
      <c r="B7" s="1" t="str">
        <f ca="1">IF(Información1[[#This Row],[Fecha]]='Ajuste de fechas'!$A$2,"Día actual","Día anterior")</f>
        <v>Día anterior</v>
      </c>
      <c r="C7" t="s">
        <v>28</v>
      </c>
      <c r="D7" t="s">
        <v>10</v>
      </c>
      <c r="E7" t="s">
        <v>90</v>
      </c>
      <c r="F7" t="s">
        <v>19</v>
      </c>
      <c r="G7" t="s">
        <v>91</v>
      </c>
      <c r="H7" t="s">
        <v>11</v>
      </c>
      <c r="I7" t="s">
        <v>7</v>
      </c>
      <c r="J7" t="s">
        <v>53</v>
      </c>
      <c r="K7" t="s">
        <v>29</v>
      </c>
      <c r="L7" t="s">
        <v>50</v>
      </c>
      <c r="M7">
        <v>1</v>
      </c>
    </row>
    <row r="8" spans="1:13" x14ac:dyDescent="0.25">
      <c r="A8" s="2">
        <v>46153</v>
      </c>
      <c r="B8" s="1" t="str">
        <f ca="1">IF(Información1[[#This Row],[Fecha]]='Ajuste de fechas'!$A$2,"Día actual","Día anterior")</f>
        <v>Día anterior</v>
      </c>
      <c r="C8" t="s">
        <v>28</v>
      </c>
      <c r="D8" t="s">
        <v>30</v>
      </c>
      <c r="E8" t="s">
        <v>92</v>
      </c>
      <c r="F8" t="s">
        <v>15</v>
      </c>
      <c r="G8" t="s">
        <v>93</v>
      </c>
      <c r="H8" t="s">
        <v>11</v>
      </c>
      <c r="I8" t="s">
        <v>7</v>
      </c>
      <c r="J8" t="s">
        <v>49</v>
      </c>
      <c r="K8" t="s">
        <v>41</v>
      </c>
      <c r="L8" t="s">
        <v>52</v>
      </c>
      <c r="M8">
        <v>1</v>
      </c>
    </row>
    <row r="9" spans="1:13" x14ac:dyDescent="0.25">
      <c r="A9" s="2">
        <v>46153</v>
      </c>
      <c r="B9" s="1" t="str">
        <f ca="1">IF(Información1[[#This Row],[Fecha]]='Ajuste de fechas'!$A$2,"Día actual","Día anterior")</f>
        <v>Día anterior</v>
      </c>
      <c r="C9" t="s">
        <v>28</v>
      </c>
      <c r="D9" t="s">
        <v>10</v>
      </c>
      <c r="E9" t="s">
        <v>94</v>
      </c>
      <c r="F9" t="s">
        <v>15</v>
      </c>
      <c r="G9" t="s">
        <v>93</v>
      </c>
      <c r="H9" t="s">
        <v>11</v>
      </c>
      <c r="I9" t="s">
        <v>7</v>
      </c>
      <c r="J9" t="s">
        <v>49</v>
      </c>
      <c r="K9" t="s">
        <v>29</v>
      </c>
      <c r="L9" t="s">
        <v>50</v>
      </c>
      <c r="M9">
        <v>1</v>
      </c>
    </row>
    <row r="10" spans="1:13" x14ac:dyDescent="0.25">
      <c r="A10" s="2">
        <v>46153</v>
      </c>
      <c r="B10" s="1" t="str">
        <f ca="1">IF(Información1[[#This Row],[Fecha]]='Ajuste de fechas'!$A$2,"Día actual","Día anterior")</f>
        <v>Día anterior</v>
      </c>
      <c r="C10" t="s">
        <v>28</v>
      </c>
      <c r="D10" t="s">
        <v>30</v>
      </c>
      <c r="E10" t="s">
        <v>95</v>
      </c>
      <c r="F10" t="s">
        <v>19</v>
      </c>
      <c r="G10" t="s">
        <v>96</v>
      </c>
      <c r="H10" t="s">
        <v>11</v>
      </c>
      <c r="I10" t="s">
        <v>7</v>
      </c>
      <c r="J10" t="s">
        <v>53</v>
      </c>
      <c r="K10" t="s">
        <v>41</v>
      </c>
      <c r="L10" t="s">
        <v>50</v>
      </c>
      <c r="M10">
        <v>1</v>
      </c>
    </row>
    <row r="11" spans="1:13" x14ac:dyDescent="0.25">
      <c r="A11" s="2">
        <v>46153</v>
      </c>
      <c r="B11" s="1" t="str">
        <f ca="1">IF(Información1[[#This Row],[Fecha]]='Ajuste de fechas'!$A$2,"Día actual","Día anterior")</f>
        <v>Día anterior</v>
      </c>
      <c r="C11" t="s">
        <v>8</v>
      </c>
      <c r="D11" t="s">
        <v>10</v>
      </c>
      <c r="E11" t="s">
        <v>20</v>
      </c>
      <c r="F11" t="s">
        <v>19</v>
      </c>
      <c r="G11" t="s">
        <v>40</v>
      </c>
      <c r="H11" t="s">
        <v>11</v>
      </c>
      <c r="I11" t="s">
        <v>12</v>
      </c>
      <c r="J11" t="s">
        <v>53</v>
      </c>
      <c r="K11" t="s">
        <v>14</v>
      </c>
      <c r="L11" t="s">
        <v>51</v>
      </c>
      <c r="M11">
        <v>1</v>
      </c>
    </row>
    <row r="12" spans="1:13" x14ac:dyDescent="0.25">
      <c r="A12" s="2">
        <v>46153</v>
      </c>
      <c r="B12" s="1" t="str">
        <f ca="1">IF(Información1[[#This Row],[Fecha]]='Ajuste de fechas'!$A$2,"Día actual","Día anterior")</f>
        <v>Día anterior</v>
      </c>
      <c r="C12" t="s">
        <v>8</v>
      </c>
      <c r="D12" t="s">
        <v>10</v>
      </c>
      <c r="E12" t="s">
        <v>18</v>
      </c>
      <c r="F12" t="s">
        <v>19</v>
      </c>
      <c r="G12" t="s">
        <v>40</v>
      </c>
      <c r="H12" t="s">
        <v>11</v>
      </c>
      <c r="I12" t="s">
        <v>12</v>
      </c>
      <c r="J12" t="s">
        <v>53</v>
      </c>
      <c r="K12" t="s">
        <v>14</v>
      </c>
      <c r="L12" t="s">
        <v>51</v>
      </c>
      <c r="M12">
        <v>1</v>
      </c>
    </row>
    <row r="13" spans="1:13" x14ac:dyDescent="0.25">
      <c r="A13" s="2">
        <v>46153</v>
      </c>
      <c r="B13" s="1" t="str">
        <f ca="1">IF(Información1[[#This Row],[Fecha]]='Ajuste de fechas'!$A$2,"Día actual","Día anterior")</f>
        <v>Día anterior</v>
      </c>
      <c r="C13" t="s">
        <v>8</v>
      </c>
      <c r="D13" t="s">
        <v>10</v>
      </c>
      <c r="E13" t="s">
        <v>76</v>
      </c>
      <c r="F13" t="s">
        <v>74</v>
      </c>
      <c r="G13" t="s">
        <v>40</v>
      </c>
      <c r="H13" t="s">
        <v>11</v>
      </c>
      <c r="I13" t="s">
        <v>12</v>
      </c>
      <c r="J13" t="s">
        <v>24</v>
      </c>
      <c r="K13" t="s">
        <v>14</v>
      </c>
      <c r="L13" t="s">
        <v>51</v>
      </c>
      <c r="M13">
        <v>1</v>
      </c>
    </row>
    <row r="14" spans="1:13" x14ac:dyDescent="0.25">
      <c r="A14" s="2">
        <v>46153</v>
      </c>
      <c r="B14" s="1" t="str">
        <f ca="1">IF(Información1[[#This Row],[Fecha]]='Ajuste de fechas'!$A$2,"Día actual","Día anterior")</f>
        <v>Día anterior</v>
      </c>
      <c r="C14" t="s">
        <v>8</v>
      </c>
      <c r="D14" t="s">
        <v>10</v>
      </c>
      <c r="E14" t="s">
        <v>59</v>
      </c>
      <c r="F14" t="s">
        <v>21</v>
      </c>
      <c r="G14" t="s">
        <v>40</v>
      </c>
      <c r="H14" t="s">
        <v>11</v>
      </c>
      <c r="I14" t="s">
        <v>12</v>
      </c>
      <c r="J14" t="s">
        <v>49</v>
      </c>
      <c r="K14" t="s">
        <v>14</v>
      </c>
      <c r="L14" t="s">
        <v>51</v>
      </c>
      <c r="M14">
        <v>1</v>
      </c>
    </row>
    <row r="15" spans="1:13" x14ac:dyDescent="0.25">
      <c r="A15" s="2">
        <v>46153</v>
      </c>
      <c r="B15" s="1" t="str">
        <f ca="1">IF(Información1[[#This Row],[Fecha]]='Ajuste de fechas'!$A$2,"Día actual","Día anterior")</f>
        <v>Día anterior</v>
      </c>
      <c r="C15" t="s">
        <v>8</v>
      </c>
      <c r="D15" t="s">
        <v>10</v>
      </c>
      <c r="E15" t="s">
        <v>13</v>
      </c>
      <c r="F15" t="s">
        <v>15</v>
      </c>
      <c r="G15" t="s">
        <v>40</v>
      </c>
      <c r="H15" t="s">
        <v>11</v>
      </c>
      <c r="I15" t="s">
        <v>12</v>
      </c>
      <c r="J15" t="s">
        <v>49</v>
      </c>
      <c r="K15" t="s">
        <v>14</v>
      </c>
      <c r="L15" t="s">
        <v>51</v>
      </c>
      <c r="M15">
        <v>1</v>
      </c>
    </row>
    <row r="16" spans="1:13" x14ac:dyDescent="0.25">
      <c r="A16" s="2">
        <v>46153</v>
      </c>
      <c r="B16" s="1" t="str">
        <f ca="1">IF(Información1[[#This Row],[Fecha]]='Ajuste de fechas'!$A$2,"Día actual","Día anterior")</f>
        <v>Día anterior</v>
      </c>
      <c r="C16" t="s">
        <v>8</v>
      </c>
      <c r="D16" t="s">
        <v>10</v>
      </c>
      <c r="E16" t="s">
        <v>16</v>
      </c>
      <c r="F16" t="s">
        <v>17</v>
      </c>
      <c r="G16" t="s">
        <v>40</v>
      </c>
      <c r="H16" t="s">
        <v>11</v>
      </c>
      <c r="I16" t="s">
        <v>12</v>
      </c>
      <c r="J16" t="s">
        <v>49</v>
      </c>
      <c r="K16" t="s">
        <v>14</v>
      </c>
      <c r="L16" t="s">
        <v>51</v>
      </c>
      <c r="M16">
        <v>1</v>
      </c>
    </row>
    <row r="17" spans="1:13" x14ac:dyDescent="0.25">
      <c r="A17" s="2">
        <v>46153</v>
      </c>
      <c r="B17" s="1" t="str">
        <f ca="1">IF(Información1[[#This Row],[Fecha]]='Ajuste de fechas'!$A$2,"Día actual","Día anterior")</f>
        <v>Día anterior</v>
      </c>
      <c r="C17" t="s">
        <v>8</v>
      </c>
      <c r="D17" t="s">
        <v>10</v>
      </c>
      <c r="E17" t="s">
        <v>42</v>
      </c>
      <c r="F17" t="s">
        <v>6</v>
      </c>
      <c r="G17" t="s">
        <v>40</v>
      </c>
      <c r="H17" t="s">
        <v>11</v>
      </c>
      <c r="I17" t="s">
        <v>12</v>
      </c>
      <c r="J17" t="s">
        <v>49</v>
      </c>
      <c r="K17" t="s">
        <v>14</v>
      </c>
      <c r="L17" t="s">
        <v>51</v>
      </c>
      <c r="M17">
        <v>1</v>
      </c>
    </row>
    <row r="18" spans="1:13" x14ac:dyDescent="0.25">
      <c r="A18" s="2">
        <v>46153</v>
      </c>
      <c r="B18" s="1" t="str">
        <f ca="1">IF(Información1[[#This Row],[Fecha]]='Ajuste de fechas'!$A$2,"Día actual","Día anterior")</f>
        <v>Día anterior</v>
      </c>
      <c r="C18" t="s">
        <v>28</v>
      </c>
      <c r="D18" t="s">
        <v>30</v>
      </c>
      <c r="E18" t="s">
        <v>97</v>
      </c>
      <c r="F18" t="s">
        <v>26</v>
      </c>
      <c r="G18" t="s">
        <v>98</v>
      </c>
      <c r="H18" t="s">
        <v>11</v>
      </c>
      <c r="I18" t="s">
        <v>7</v>
      </c>
      <c r="J18" t="s">
        <v>49</v>
      </c>
      <c r="K18" t="s">
        <v>41</v>
      </c>
      <c r="L18" t="s">
        <v>50</v>
      </c>
      <c r="M18">
        <v>1</v>
      </c>
    </row>
    <row r="19" spans="1:13" x14ac:dyDescent="0.25">
      <c r="A19" s="2">
        <v>46153</v>
      </c>
      <c r="B19" s="1" t="str">
        <f ca="1">IF(Información1[[#This Row],[Fecha]]='Ajuste de fechas'!$A$2,"Día actual","Día anterior")</f>
        <v>Día anterior</v>
      </c>
      <c r="C19" t="s">
        <v>8</v>
      </c>
      <c r="D19" t="s">
        <v>10</v>
      </c>
      <c r="E19" t="s">
        <v>99</v>
      </c>
      <c r="F19" t="s">
        <v>22</v>
      </c>
      <c r="G19" t="s">
        <v>98</v>
      </c>
      <c r="H19" t="s">
        <v>11</v>
      </c>
      <c r="I19" t="s">
        <v>7</v>
      </c>
      <c r="J19" t="s">
        <v>54</v>
      </c>
      <c r="K19" t="s">
        <v>14</v>
      </c>
      <c r="L19" t="s">
        <v>50</v>
      </c>
      <c r="M19">
        <v>1</v>
      </c>
    </row>
    <row r="20" spans="1:13" x14ac:dyDescent="0.25">
      <c r="A20" s="2">
        <v>46153</v>
      </c>
      <c r="B20" s="1" t="str">
        <f ca="1">IF(Información1[[#This Row],[Fecha]]='Ajuste de fechas'!$A$2,"Día actual","Día anterior")</f>
        <v>Día anterior</v>
      </c>
      <c r="C20" t="s">
        <v>28</v>
      </c>
      <c r="D20" t="s">
        <v>30</v>
      </c>
      <c r="E20" t="s">
        <v>100</v>
      </c>
      <c r="F20" t="s">
        <v>17</v>
      </c>
      <c r="G20" t="s">
        <v>67</v>
      </c>
      <c r="H20" t="s">
        <v>11</v>
      </c>
      <c r="I20" t="s">
        <v>7</v>
      </c>
      <c r="J20" t="s">
        <v>49</v>
      </c>
      <c r="K20" t="s">
        <v>41</v>
      </c>
      <c r="L20" t="s">
        <v>50</v>
      </c>
      <c r="M20">
        <v>1</v>
      </c>
    </row>
    <row r="21" spans="1:13" x14ac:dyDescent="0.25">
      <c r="A21" s="2">
        <v>46153</v>
      </c>
      <c r="B21" s="1" t="str">
        <f ca="1">IF(Información1[[#This Row],[Fecha]]='Ajuste de fechas'!$A$2,"Día actual","Día anterior")</f>
        <v>Día anterior</v>
      </c>
      <c r="C21" t="s">
        <v>8</v>
      </c>
      <c r="D21" t="s">
        <v>10</v>
      </c>
      <c r="E21" t="s">
        <v>101</v>
      </c>
      <c r="F21" t="s">
        <v>17</v>
      </c>
      <c r="G21" t="s">
        <v>67</v>
      </c>
      <c r="H21" t="s">
        <v>11</v>
      </c>
      <c r="I21" t="s">
        <v>25</v>
      </c>
      <c r="J21" t="s">
        <v>49</v>
      </c>
      <c r="K21" t="s">
        <v>9</v>
      </c>
      <c r="L21" t="s">
        <v>51</v>
      </c>
      <c r="M21">
        <v>1</v>
      </c>
    </row>
    <row r="22" spans="1:13" x14ac:dyDescent="0.25">
      <c r="A22" s="2">
        <v>46153</v>
      </c>
      <c r="B22" s="1" t="str">
        <f ca="1">IF(Información1[[#This Row],[Fecha]]='Ajuste de fechas'!$A$2,"Día actual","Día anterior")</f>
        <v>Día anterior</v>
      </c>
      <c r="C22" t="s">
        <v>8</v>
      </c>
      <c r="D22" t="s">
        <v>10</v>
      </c>
      <c r="E22" t="s">
        <v>102</v>
      </c>
      <c r="F22" t="s">
        <v>17</v>
      </c>
      <c r="G22" t="s">
        <v>67</v>
      </c>
      <c r="H22" t="s">
        <v>11</v>
      </c>
      <c r="I22" t="s">
        <v>7</v>
      </c>
      <c r="J22" t="s">
        <v>49</v>
      </c>
      <c r="K22" t="s">
        <v>9</v>
      </c>
      <c r="L22" t="s">
        <v>51</v>
      </c>
      <c r="M22">
        <v>1</v>
      </c>
    </row>
    <row r="23" spans="1:13" x14ac:dyDescent="0.25">
      <c r="A23" s="2">
        <v>46153</v>
      </c>
      <c r="B23" s="1" t="str">
        <f ca="1">IF(Información1[[#This Row],[Fecha]]='Ajuste de fechas'!$A$2,"Día actual","Día anterior")</f>
        <v>Día anterior</v>
      </c>
      <c r="C23" t="s">
        <v>8</v>
      </c>
      <c r="D23" t="s">
        <v>10</v>
      </c>
      <c r="E23" t="s">
        <v>103</v>
      </c>
      <c r="F23" t="s">
        <v>24</v>
      </c>
      <c r="G23" t="s">
        <v>67</v>
      </c>
      <c r="H23" t="s">
        <v>11</v>
      </c>
      <c r="I23" t="s">
        <v>7</v>
      </c>
      <c r="J23" t="s">
        <v>24</v>
      </c>
      <c r="K23" t="s">
        <v>14</v>
      </c>
      <c r="L23" t="s">
        <v>50</v>
      </c>
      <c r="M23">
        <v>1</v>
      </c>
    </row>
    <row r="24" spans="1:13" x14ac:dyDescent="0.25">
      <c r="A24" s="2">
        <v>46153</v>
      </c>
      <c r="B24" s="1" t="str">
        <f ca="1">IF(Información1[[#This Row],[Fecha]]='Ajuste de fechas'!$A$2,"Día actual","Día anterior")</f>
        <v>Día anterior</v>
      </c>
      <c r="C24" t="s">
        <v>28</v>
      </c>
      <c r="D24" t="s">
        <v>10</v>
      </c>
      <c r="E24" t="s">
        <v>104</v>
      </c>
      <c r="F24" t="s">
        <v>105</v>
      </c>
      <c r="G24" t="s">
        <v>78</v>
      </c>
      <c r="H24" t="s">
        <v>11</v>
      </c>
      <c r="I24" t="s">
        <v>7</v>
      </c>
      <c r="J24" t="s">
        <v>106</v>
      </c>
      <c r="K24" t="s">
        <v>29</v>
      </c>
      <c r="L24" t="s">
        <v>50</v>
      </c>
      <c r="M24">
        <v>1</v>
      </c>
    </row>
    <row r="25" spans="1:13" x14ac:dyDescent="0.25">
      <c r="A25" s="2">
        <v>46153</v>
      </c>
      <c r="B25" s="1" t="str">
        <f ca="1">IF(Información1[[#This Row],[Fecha]]='Ajuste de fechas'!$A$2,"Día actual","Día anterior")</f>
        <v>Día anterior</v>
      </c>
      <c r="C25" t="s">
        <v>28</v>
      </c>
      <c r="D25" t="s">
        <v>10</v>
      </c>
      <c r="E25" t="s">
        <v>107</v>
      </c>
      <c r="F25" t="s">
        <v>15</v>
      </c>
      <c r="G25" t="s">
        <v>82</v>
      </c>
      <c r="H25" t="s">
        <v>11</v>
      </c>
      <c r="I25" t="s">
        <v>7</v>
      </c>
      <c r="J25" t="s">
        <v>49</v>
      </c>
      <c r="K25" t="s">
        <v>29</v>
      </c>
      <c r="L25" t="s">
        <v>50</v>
      </c>
      <c r="M25">
        <v>1</v>
      </c>
    </row>
    <row r="26" spans="1:13" x14ac:dyDescent="0.25">
      <c r="A26" s="2">
        <v>46153</v>
      </c>
      <c r="B26" s="1" t="str">
        <f ca="1">IF(Información1[[#This Row],[Fecha]]='Ajuste de fechas'!$A$2,"Día actual","Día anterior")</f>
        <v>Día anterior</v>
      </c>
      <c r="C26" t="s">
        <v>28</v>
      </c>
      <c r="D26" t="s">
        <v>10</v>
      </c>
      <c r="E26" t="s">
        <v>108</v>
      </c>
      <c r="F26" t="s">
        <v>22</v>
      </c>
      <c r="G26" t="s">
        <v>62</v>
      </c>
      <c r="H26" t="s">
        <v>11</v>
      </c>
      <c r="I26" t="s">
        <v>7</v>
      </c>
      <c r="J26" t="s">
        <v>54</v>
      </c>
      <c r="K26" t="s">
        <v>29</v>
      </c>
      <c r="L26" t="s">
        <v>50</v>
      </c>
      <c r="M26">
        <v>1</v>
      </c>
    </row>
    <row r="27" spans="1:13" x14ac:dyDescent="0.25">
      <c r="A27" s="2">
        <v>46153</v>
      </c>
      <c r="B27" s="1" t="str">
        <f ca="1">IF(Información1[[#This Row],[Fecha]]='Ajuste de fechas'!$A$2,"Día actual","Día anterior")</f>
        <v>Día anterior</v>
      </c>
      <c r="C27" t="s">
        <v>8</v>
      </c>
      <c r="D27" t="s">
        <v>10</v>
      </c>
      <c r="E27" t="s">
        <v>109</v>
      </c>
      <c r="F27" t="s">
        <v>23</v>
      </c>
      <c r="G27" t="s">
        <v>62</v>
      </c>
      <c r="H27" t="s">
        <v>11</v>
      </c>
      <c r="I27" t="s">
        <v>7</v>
      </c>
      <c r="J27" t="s">
        <v>49</v>
      </c>
      <c r="K27" t="s">
        <v>14</v>
      </c>
      <c r="L27" t="s">
        <v>50</v>
      </c>
      <c r="M27">
        <v>1</v>
      </c>
    </row>
    <row r="28" spans="1:13" x14ac:dyDescent="0.25">
      <c r="A28" s="2">
        <v>46153</v>
      </c>
      <c r="B28" s="1" t="str">
        <f ca="1">IF(Información1[[#This Row],[Fecha]]='Ajuste de fechas'!$A$2,"Día actual","Día anterior")</f>
        <v>Día anterior</v>
      </c>
      <c r="C28" t="s">
        <v>28</v>
      </c>
      <c r="D28" t="s">
        <v>10</v>
      </c>
      <c r="E28" t="s">
        <v>110</v>
      </c>
      <c r="F28" t="s">
        <v>22</v>
      </c>
      <c r="G28" t="s">
        <v>111</v>
      </c>
      <c r="H28" t="s">
        <v>11</v>
      </c>
      <c r="I28" t="s">
        <v>7</v>
      </c>
      <c r="J28" t="s">
        <v>54</v>
      </c>
      <c r="K28" t="s">
        <v>29</v>
      </c>
      <c r="L28" t="s">
        <v>50</v>
      </c>
      <c r="M28">
        <v>1</v>
      </c>
    </row>
    <row r="29" spans="1:13" x14ac:dyDescent="0.25">
      <c r="A29" s="2">
        <v>46153</v>
      </c>
      <c r="B29" s="1" t="str">
        <f ca="1">IF(Información1[[#This Row],[Fecha]]='Ajuste de fechas'!$A$2,"Día actual","Día anterior")</f>
        <v>Día anterior</v>
      </c>
      <c r="C29" t="s">
        <v>28</v>
      </c>
      <c r="D29" t="s">
        <v>10</v>
      </c>
      <c r="E29" t="s">
        <v>112</v>
      </c>
      <c r="F29" t="s">
        <v>22</v>
      </c>
      <c r="G29" t="s">
        <v>111</v>
      </c>
      <c r="H29" t="s">
        <v>11</v>
      </c>
      <c r="I29" t="s">
        <v>7</v>
      </c>
      <c r="J29" t="s">
        <v>54</v>
      </c>
      <c r="K29" t="s">
        <v>29</v>
      </c>
      <c r="L29" t="s">
        <v>50</v>
      </c>
      <c r="M29">
        <v>1</v>
      </c>
    </row>
    <row r="30" spans="1:13" x14ac:dyDescent="0.25">
      <c r="A30" s="2">
        <v>46153</v>
      </c>
      <c r="B30" s="1" t="str">
        <f ca="1">IF(Información1[[#This Row],[Fecha]]='Ajuste de fechas'!$A$2,"Día actual","Día anterior")</f>
        <v>Día anterior</v>
      </c>
      <c r="C30" t="s">
        <v>8</v>
      </c>
      <c r="D30" t="s">
        <v>10</v>
      </c>
      <c r="E30" t="s">
        <v>113</v>
      </c>
      <c r="F30" t="s">
        <v>22</v>
      </c>
      <c r="G30" t="s">
        <v>75</v>
      </c>
      <c r="H30" t="s">
        <v>11</v>
      </c>
      <c r="I30" t="s">
        <v>7</v>
      </c>
      <c r="J30" t="s">
        <v>54</v>
      </c>
      <c r="K30" t="s">
        <v>14</v>
      </c>
      <c r="L30" t="s">
        <v>50</v>
      </c>
      <c r="M30">
        <v>1</v>
      </c>
    </row>
    <row r="31" spans="1:13" x14ac:dyDescent="0.25">
      <c r="A31" s="2">
        <v>46153</v>
      </c>
      <c r="B31" s="1" t="str">
        <f ca="1">IF(Información1[[#This Row],[Fecha]]='Ajuste de fechas'!$A$2,"Día actual","Día anterior")</f>
        <v>Día anterior</v>
      </c>
      <c r="C31" t="s">
        <v>28</v>
      </c>
      <c r="D31" t="s">
        <v>10</v>
      </c>
      <c r="E31" t="s">
        <v>114</v>
      </c>
      <c r="F31" t="s">
        <v>115</v>
      </c>
      <c r="G31" t="s">
        <v>116</v>
      </c>
      <c r="H31" t="s">
        <v>11</v>
      </c>
      <c r="I31" t="s">
        <v>7</v>
      </c>
      <c r="J31" t="s">
        <v>49</v>
      </c>
      <c r="K31" t="s">
        <v>29</v>
      </c>
      <c r="L31" t="s">
        <v>50</v>
      </c>
      <c r="M31">
        <v>1</v>
      </c>
    </row>
    <row r="32" spans="1:13" x14ac:dyDescent="0.25">
      <c r="A32" s="2">
        <v>46153</v>
      </c>
      <c r="B32" s="1" t="str">
        <f ca="1">IF(Información1[[#This Row],[Fecha]]='Ajuste de fechas'!$A$2,"Día actual","Día anterior")</f>
        <v>Día anterior</v>
      </c>
      <c r="C32" t="s">
        <v>28</v>
      </c>
      <c r="D32" t="s">
        <v>30</v>
      </c>
      <c r="E32" t="s">
        <v>117</v>
      </c>
      <c r="F32" t="s">
        <v>19</v>
      </c>
      <c r="G32" t="s">
        <v>79</v>
      </c>
      <c r="H32" t="s">
        <v>11</v>
      </c>
      <c r="I32" t="s">
        <v>7</v>
      </c>
      <c r="J32" t="s">
        <v>53</v>
      </c>
      <c r="K32" t="s">
        <v>41</v>
      </c>
      <c r="L32" t="s">
        <v>50</v>
      </c>
      <c r="M32">
        <v>1</v>
      </c>
    </row>
    <row r="33" spans="1:13" x14ac:dyDescent="0.25">
      <c r="A33" s="2">
        <v>46153</v>
      </c>
      <c r="B33" s="1" t="str">
        <f ca="1">IF(Información1[[#This Row],[Fecha]]='Ajuste de fechas'!$A$2,"Día actual","Día anterior")</f>
        <v>Día anterior</v>
      </c>
      <c r="C33" t="s">
        <v>28</v>
      </c>
      <c r="D33" t="s">
        <v>30</v>
      </c>
      <c r="E33" t="s">
        <v>118</v>
      </c>
      <c r="F33" t="s">
        <v>19</v>
      </c>
      <c r="G33" t="s">
        <v>79</v>
      </c>
      <c r="H33" t="s">
        <v>11</v>
      </c>
      <c r="I33" t="s">
        <v>7</v>
      </c>
      <c r="J33" t="s">
        <v>53</v>
      </c>
      <c r="K33" t="s">
        <v>41</v>
      </c>
      <c r="L33" t="s">
        <v>50</v>
      </c>
      <c r="M33">
        <v>1</v>
      </c>
    </row>
    <row r="34" spans="1:13" x14ac:dyDescent="0.25">
      <c r="A34" s="2">
        <v>46153</v>
      </c>
      <c r="B34" s="1" t="str">
        <f ca="1">IF(Información1[[#This Row],[Fecha]]='Ajuste de fechas'!$A$2,"Día actual","Día anterior")</f>
        <v>Día anterior</v>
      </c>
      <c r="C34" t="s">
        <v>28</v>
      </c>
      <c r="D34" t="s">
        <v>10</v>
      </c>
      <c r="E34" t="s">
        <v>119</v>
      </c>
      <c r="F34" t="s">
        <v>19</v>
      </c>
      <c r="G34" t="s">
        <v>120</v>
      </c>
      <c r="H34" t="s">
        <v>11</v>
      </c>
      <c r="I34" t="s">
        <v>7</v>
      </c>
      <c r="J34" t="s">
        <v>53</v>
      </c>
      <c r="K34" t="s">
        <v>29</v>
      </c>
      <c r="L34" t="s">
        <v>50</v>
      </c>
      <c r="M34">
        <v>1</v>
      </c>
    </row>
    <row r="35" spans="1:13" x14ac:dyDescent="0.25">
      <c r="A35" s="2">
        <v>46153</v>
      </c>
      <c r="B35" s="1" t="str">
        <f ca="1">IF(Información1[[#This Row],[Fecha]]='Ajuste de fechas'!$A$2,"Día actual","Día anterior")</f>
        <v>Día anterior</v>
      </c>
      <c r="C35" t="s">
        <v>61</v>
      </c>
      <c r="D35" t="s">
        <v>65</v>
      </c>
      <c r="E35" t="s">
        <v>121</v>
      </c>
      <c r="F35" t="s">
        <v>70</v>
      </c>
      <c r="G35" t="s">
        <v>122</v>
      </c>
      <c r="H35" t="s">
        <v>11</v>
      </c>
      <c r="I35" t="s">
        <v>7</v>
      </c>
      <c r="J35" t="s">
        <v>49</v>
      </c>
      <c r="K35" t="s">
        <v>66</v>
      </c>
      <c r="L35" t="s">
        <v>52</v>
      </c>
      <c r="M35">
        <v>1</v>
      </c>
    </row>
    <row r="36" spans="1:13" x14ac:dyDescent="0.25">
      <c r="A36" s="2">
        <v>46153</v>
      </c>
      <c r="B36" s="1" t="str">
        <f ca="1">IF(Información1[[#This Row],[Fecha]]='Ajuste de fechas'!$A$2,"Día actual","Día anterior")</f>
        <v>Día anterior</v>
      </c>
      <c r="C36" t="s">
        <v>123</v>
      </c>
      <c r="D36" t="s">
        <v>124</v>
      </c>
      <c r="E36" t="s">
        <v>125</v>
      </c>
      <c r="F36" t="s">
        <v>26</v>
      </c>
      <c r="G36" t="s">
        <v>63</v>
      </c>
      <c r="H36" t="s">
        <v>11</v>
      </c>
      <c r="I36" t="s">
        <v>7</v>
      </c>
      <c r="J36" t="s">
        <v>49</v>
      </c>
      <c r="K36" t="s">
        <v>126</v>
      </c>
      <c r="L36" t="s">
        <v>52</v>
      </c>
      <c r="M36">
        <v>1</v>
      </c>
    </row>
    <row r="37" spans="1:13" x14ac:dyDescent="0.25">
      <c r="A37" s="2">
        <v>46153</v>
      </c>
      <c r="B37" s="1" t="str">
        <f ca="1">IF(Información1[[#This Row],[Fecha]]='Ajuste de fechas'!$A$2,"Día actual","Día anterior")</f>
        <v>Día anterior</v>
      </c>
      <c r="C37" t="s">
        <v>61</v>
      </c>
      <c r="D37" t="s">
        <v>65</v>
      </c>
      <c r="E37" t="s">
        <v>125</v>
      </c>
      <c r="F37" t="s">
        <v>26</v>
      </c>
      <c r="G37" t="s">
        <v>63</v>
      </c>
      <c r="H37" t="s">
        <v>11</v>
      </c>
      <c r="I37" t="s">
        <v>7</v>
      </c>
      <c r="J37" t="s">
        <v>49</v>
      </c>
      <c r="K37" t="s">
        <v>66</v>
      </c>
      <c r="L37" t="s">
        <v>52</v>
      </c>
      <c r="M37">
        <v>1</v>
      </c>
    </row>
    <row r="38" spans="1:13" x14ac:dyDescent="0.25">
      <c r="A38" s="2">
        <v>46153</v>
      </c>
      <c r="B38" s="1" t="str">
        <f ca="1">IF(Información1[[#This Row],[Fecha]]='Ajuste de fechas'!$A$2,"Día actual","Día anterior")</f>
        <v>Día anterior</v>
      </c>
      <c r="C38" t="s">
        <v>28</v>
      </c>
      <c r="D38" t="s">
        <v>10</v>
      </c>
      <c r="E38" t="s">
        <v>127</v>
      </c>
      <c r="F38" t="s">
        <v>64</v>
      </c>
      <c r="G38" t="s">
        <v>63</v>
      </c>
      <c r="H38" t="s">
        <v>11</v>
      </c>
      <c r="I38" t="s">
        <v>7</v>
      </c>
      <c r="J38" t="s">
        <v>49</v>
      </c>
      <c r="K38" t="s">
        <v>29</v>
      </c>
      <c r="L38" t="s">
        <v>50</v>
      </c>
      <c r="M38">
        <v>1</v>
      </c>
    </row>
    <row r="39" spans="1:13" x14ac:dyDescent="0.25">
      <c r="A39" s="2">
        <v>46153</v>
      </c>
      <c r="B39" s="1" t="str">
        <f ca="1">IF(Información1[[#This Row],[Fecha]]='Ajuste de fechas'!$A$2,"Día actual","Día anterior")</f>
        <v>Día anterior</v>
      </c>
      <c r="C39" t="s">
        <v>28</v>
      </c>
      <c r="D39" t="s">
        <v>10</v>
      </c>
      <c r="E39" t="s">
        <v>128</v>
      </c>
      <c r="F39" t="s">
        <v>15</v>
      </c>
      <c r="G39" t="s">
        <v>80</v>
      </c>
      <c r="H39" t="s">
        <v>11</v>
      </c>
      <c r="I39" t="s">
        <v>7</v>
      </c>
      <c r="J39" t="s">
        <v>49</v>
      </c>
      <c r="K39" t="s">
        <v>29</v>
      </c>
      <c r="L39" t="s">
        <v>50</v>
      </c>
      <c r="M39">
        <v>1</v>
      </c>
    </row>
    <row r="40" spans="1:13" x14ac:dyDescent="0.25">
      <c r="A40" s="2">
        <v>46153</v>
      </c>
      <c r="B40" s="1" t="str">
        <f ca="1">IF(Información1[[#This Row],[Fecha]]='Ajuste de fechas'!$A$2,"Día actual","Día anterior")</f>
        <v>Día anterior</v>
      </c>
      <c r="C40" t="s">
        <v>8</v>
      </c>
      <c r="D40" t="s">
        <v>10</v>
      </c>
      <c r="E40" t="s">
        <v>129</v>
      </c>
      <c r="F40" t="s">
        <v>19</v>
      </c>
      <c r="G40" t="s">
        <v>77</v>
      </c>
      <c r="H40" t="s">
        <v>11</v>
      </c>
      <c r="I40" t="s">
        <v>7</v>
      </c>
      <c r="J40" t="s">
        <v>53</v>
      </c>
      <c r="K40" t="s">
        <v>14</v>
      </c>
      <c r="L40" t="s">
        <v>50</v>
      </c>
      <c r="M40">
        <v>1</v>
      </c>
    </row>
    <row r="41" spans="1:13" x14ac:dyDescent="0.25">
      <c r="A41" s="2">
        <v>46153</v>
      </c>
      <c r="B41" s="1" t="str">
        <f ca="1">IF(Información1[[#This Row],[Fecha]]='Ajuste de fechas'!$A$2,"Día actual","Día anterior")</f>
        <v>Día anterior</v>
      </c>
      <c r="C41" t="s">
        <v>28</v>
      </c>
      <c r="D41" t="s">
        <v>30</v>
      </c>
      <c r="E41" t="s">
        <v>130</v>
      </c>
      <c r="F41" t="s">
        <v>24</v>
      </c>
      <c r="G41" t="s">
        <v>81</v>
      </c>
      <c r="H41" t="s">
        <v>11</v>
      </c>
      <c r="I41" t="s">
        <v>7</v>
      </c>
      <c r="J41" t="s">
        <v>24</v>
      </c>
      <c r="K41" t="s">
        <v>41</v>
      </c>
      <c r="L41" t="s">
        <v>50</v>
      </c>
      <c r="M41">
        <v>1</v>
      </c>
    </row>
    <row r="42" spans="1:13" x14ac:dyDescent="0.25">
      <c r="A42" s="2">
        <v>46153</v>
      </c>
      <c r="B42" s="1" t="str">
        <f ca="1">IF(Información1[[#This Row],[Fecha]]='Ajuste de fechas'!$A$2,"Día actual","Día anterior")</f>
        <v>Día anterior</v>
      </c>
      <c r="C42" t="s">
        <v>28</v>
      </c>
      <c r="D42" t="s">
        <v>30</v>
      </c>
      <c r="E42" t="s">
        <v>131</v>
      </c>
      <c r="F42" t="s">
        <v>22</v>
      </c>
      <c r="G42" t="s">
        <v>81</v>
      </c>
      <c r="H42" t="s">
        <v>11</v>
      </c>
      <c r="I42" t="s">
        <v>7</v>
      </c>
      <c r="J42" t="s">
        <v>54</v>
      </c>
      <c r="K42" t="s">
        <v>41</v>
      </c>
      <c r="L42" t="s">
        <v>50</v>
      </c>
      <c r="M42">
        <v>1</v>
      </c>
    </row>
    <row r="43" spans="1:13" x14ac:dyDescent="0.25">
      <c r="A43" s="2">
        <v>46153</v>
      </c>
      <c r="B43" s="1" t="str">
        <f ca="1">IF(Información1[[#This Row],[Fecha]]='Ajuste de fechas'!$A$2,"Día actual","Día anterior")</f>
        <v>Día anterior</v>
      </c>
      <c r="C43" t="s">
        <v>28</v>
      </c>
      <c r="D43" t="s">
        <v>10</v>
      </c>
      <c r="E43" t="s">
        <v>132</v>
      </c>
      <c r="F43" t="s">
        <v>21</v>
      </c>
      <c r="G43" t="s">
        <v>81</v>
      </c>
      <c r="H43" t="s">
        <v>11</v>
      </c>
      <c r="I43" t="s">
        <v>7</v>
      </c>
      <c r="J43" t="s">
        <v>49</v>
      </c>
      <c r="K43" t="s">
        <v>29</v>
      </c>
      <c r="L43" t="s">
        <v>50</v>
      </c>
      <c r="M43">
        <v>1</v>
      </c>
    </row>
    <row r="44" spans="1:13" x14ac:dyDescent="0.25">
      <c r="A44" s="2">
        <v>46153</v>
      </c>
      <c r="B44" s="1" t="str">
        <f ca="1">IF(Información1[[#This Row],[Fecha]]='Ajuste de fechas'!$A$2,"Día actual","Día anterior")</f>
        <v>Día anterior</v>
      </c>
      <c r="C44" t="s">
        <v>8</v>
      </c>
      <c r="D44" t="s">
        <v>10</v>
      </c>
      <c r="E44" t="s">
        <v>133</v>
      </c>
      <c r="F44" t="s">
        <v>24</v>
      </c>
      <c r="G44" t="s">
        <v>81</v>
      </c>
      <c r="H44" t="s">
        <v>11</v>
      </c>
      <c r="I44" t="s">
        <v>7</v>
      </c>
      <c r="J44" t="s">
        <v>24</v>
      </c>
      <c r="K44" t="s">
        <v>14</v>
      </c>
      <c r="L44" t="s">
        <v>50</v>
      </c>
      <c r="M44">
        <v>1</v>
      </c>
    </row>
    <row r="45" spans="1:13" x14ac:dyDescent="0.25">
      <c r="A45" s="2">
        <v>46153</v>
      </c>
      <c r="B45" s="1" t="str">
        <f ca="1">IF(Información1[[#This Row],[Fecha]]='Ajuste de fechas'!$A$2,"Día actual","Día anterior")</f>
        <v>Día anterior</v>
      </c>
      <c r="C45" t="s">
        <v>28</v>
      </c>
      <c r="D45" t="s">
        <v>10</v>
      </c>
      <c r="E45" t="s">
        <v>134</v>
      </c>
      <c r="F45" t="s">
        <v>15</v>
      </c>
      <c r="G45" t="s">
        <v>135</v>
      </c>
      <c r="H45" t="s">
        <v>11</v>
      </c>
      <c r="I45" t="s">
        <v>7</v>
      </c>
      <c r="J45" t="s">
        <v>49</v>
      </c>
      <c r="K45" t="s">
        <v>29</v>
      </c>
      <c r="L45" t="s">
        <v>50</v>
      </c>
      <c r="M45">
        <v>1</v>
      </c>
    </row>
    <row r="46" spans="1:13" x14ac:dyDescent="0.25">
      <c r="A46" s="2">
        <v>46153</v>
      </c>
      <c r="B46" s="1" t="str">
        <f ca="1">IF(Información1[[#This Row],[Fecha]]='Ajuste de fechas'!$A$2,"Día actual","Día anterior")</f>
        <v>Día anterior</v>
      </c>
      <c r="C46" t="s">
        <v>28</v>
      </c>
      <c r="D46" t="s">
        <v>10</v>
      </c>
      <c r="E46" t="s">
        <v>136</v>
      </c>
      <c r="F46" t="s">
        <v>21</v>
      </c>
      <c r="G46" t="s">
        <v>137</v>
      </c>
      <c r="H46" t="s">
        <v>11</v>
      </c>
      <c r="I46" t="s">
        <v>7</v>
      </c>
      <c r="J46" t="s">
        <v>49</v>
      </c>
      <c r="K46" t="s">
        <v>29</v>
      </c>
      <c r="L46" t="s">
        <v>50</v>
      </c>
      <c r="M46">
        <v>1</v>
      </c>
    </row>
    <row r="47" spans="1:13" x14ac:dyDescent="0.25">
      <c r="A47" s="2">
        <v>46153</v>
      </c>
      <c r="B47" s="1" t="str">
        <f ca="1">IF(Información1[[#This Row],[Fecha]]='Ajuste de fechas'!$A$2,"Día actual","Día anterior")</f>
        <v>Día anterior</v>
      </c>
      <c r="C47" t="s">
        <v>8</v>
      </c>
      <c r="D47" t="s">
        <v>10</v>
      </c>
      <c r="E47" t="s">
        <v>138</v>
      </c>
      <c r="F47" t="s">
        <v>22</v>
      </c>
      <c r="G47" t="s">
        <v>139</v>
      </c>
      <c r="H47" t="s">
        <v>11</v>
      </c>
      <c r="I47" t="s">
        <v>7</v>
      </c>
      <c r="J47" t="s">
        <v>54</v>
      </c>
      <c r="K47" t="s">
        <v>14</v>
      </c>
      <c r="L47" t="s">
        <v>50</v>
      </c>
      <c r="M47">
        <v>1</v>
      </c>
    </row>
    <row r="48" spans="1:13" x14ac:dyDescent="0.25">
      <c r="A48" s="2">
        <v>46153</v>
      </c>
      <c r="B48" s="1" t="str">
        <f ca="1">IF(Información1[[#This Row],[Fecha]]='Ajuste de fechas'!$A$2,"Día actual","Día anterior")</f>
        <v>Día anterior</v>
      </c>
      <c r="C48" t="s">
        <v>28</v>
      </c>
      <c r="D48" t="s">
        <v>10</v>
      </c>
      <c r="E48" t="s">
        <v>140</v>
      </c>
      <c r="F48" t="s">
        <v>71</v>
      </c>
      <c r="G48" t="s">
        <v>141</v>
      </c>
      <c r="H48" t="s">
        <v>11</v>
      </c>
      <c r="I48" t="s">
        <v>7</v>
      </c>
      <c r="J48" t="s">
        <v>49</v>
      </c>
      <c r="K48" t="s">
        <v>29</v>
      </c>
      <c r="L48" t="s">
        <v>50</v>
      </c>
      <c r="M48">
        <v>1</v>
      </c>
    </row>
    <row r="49" spans="1:13" x14ac:dyDescent="0.25">
      <c r="A49" s="2">
        <v>46154</v>
      </c>
      <c r="B49" s="1" t="str">
        <f ca="1">IF(Información1[[#This Row],[Fecha]]='Ajuste de fechas'!$A$2,"Día actual","Día anterior")</f>
        <v>Día actual</v>
      </c>
      <c r="C49" t="s">
        <v>34</v>
      </c>
      <c r="D49" t="s">
        <v>35</v>
      </c>
      <c r="E49" t="s">
        <v>143</v>
      </c>
      <c r="F49" t="s">
        <v>144</v>
      </c>
      <c r="G49" t="s">
        <v>145</v>
      </c>
      <c r="H49" t="s">
        <v>32</v>
      </c>
      <c r="I49" t="s">
        <v>7</v>
      </c>
      <c r="J49" t="s">
        <v>49</v>
      </c>
      <c r="K49" t="s">
        <v>27</v>
      </c>
      <c r="L49" t="s">
        <v>52</v>
      </c>
      <c r="M49">
        <v>2</v>
      </c>
    </row>
    <row r="50" spans="1:13" x14ac:dyDescent="0.25">
      <c r="A50" s="2">
        <v>46154</v>
      </c>
      <c r="B50" s="1" t="str">
        <f ca="1">IF(Información1[[#This Row],[Fecha]]='Ajuste de fechas'!$A$2,"Día actual","Día anterior")</f>
        <v>Día actual</v>
      </c>
      <c r="C50" t="s">
        <v>34</v>
      </c>
      <c r="D50" t="s">
        <v>35</v>
      </c>
      <c r="E50" t="s">
        <v>146</v>
      </c>
      <c r="F50" t="s">
        <v>26</v>
      </c>
      <c r="G50" t="s">
        <v>147</v>
      </c>
      <c r="H50" t="s">
        <v>32</v>
      </c>
      <c r="I50" t="s">
        <v>7</v>
      </c>
      <c r="J50" t="s">
        <v>49</v>
      </c>
      <c r="K50" t="s">
        <v>27</v>
      </c>
      <c r="L50" t="s">
        <v>52</v>
      </c>
      <c r="M50">
        <v>1</v>
      </c>
    </row>
    <row r="51" spans="1:13" x14ac:dyDescent="0.25">
      <c r="A51" s="2">
        <v>46154</v>
      </c>
      <c r="B51" s="1" t="str">
        <f ca="1">IF(Información1[[#This Row],[Fecha]]='Ajuste de fechas'!$A$2,"Día actual","Día anterior")</f>
        <v>Día actual</v>
      </c>
      <c r="C51" t="s">
        <v>34</v>
      </c>
      <c r="D51" t="s">
        <v>35</v>
      </c>
      <c r="E51" t="s">
        <v>148</v>
      </c>
      <c r="F51" t="s">
        <v>17</v>
      </c>
      <c r="G51" t="s">
        <v>149</v>
      </c>
      <c r="H51" t="s">
        <v>32</v>
      </c>
      <c r="I51" t="s">
        <v>7</v>
      </c>
      <c r="J51" t="s">
        <v>49</v>
      </c>
      <c r="K51" t="s">
        <v>27</v>
      </c>
      <c r="L51" t="s">
        <v>51</v>
      </c>
      <c r="M51">
        <v>1</v>
      </c>
    </row>
    <row r="52" spans="1:13" x14ac:dyDescent="0.25">
      <c r="A52" s="2">
        <v>46154</v>
      </c>
      <c r="B52" s="1" t="str">
        <f ca="1">IF(Información1[[#This Row],[Fecha]]='Ajuste de fechas'!$A$2,"Día actual","Día anterior")</f>
        <v>Día actual</v>
      </c>
      <c r="C52" t="s">
        <v>34</v>
      </c>
      <c r="D52" t="s">
        <v>35</v>
      </c>
      <c r="E52" t="s">
        <v>150</v>
      </c>
      <c r="F52" t="s">
        <v>17</v>
      </c>
      <c r="G52" t="s">
        <v>149</v>
      </c>
      <c r="H52" t="s">
        <v>32</v>
      </c>
      <c r="I52" t="s">
        <v>25</v>
      </c>
      <c r="J52" t="s">
        <v>49</v>
      </c>
      <c r="K52" t="s">
        <v>27</v>
      </c>
      <c r="L52" t="s">
        <v>51</v>
      </c>
      <c r="M52">
        <v>1</v>
      </c>
    </row>
    <row r="53" spans="1:13" x14ac:dyDescent="0.25">
      <c r="A53" s="2">
        <v>46154</v>
      </c>
      <c r="B53" s="1" t="str">
        <f ca="1">IF(Información1[[#This Row],[Fecha]]='Ajuste de fechas'!$A$2,"Día actual","Día anterior")</f>
        <v>Día actual</v>
      </c>
      <c r="C53" t="s">
        <v>34</v>
      </c>
      <c r="D53" t="s">
        <v>35</v>
      </c>
      <c r="E53" t="s">
        <v>151</v>
      </c>
      <c r="F53" t="s">
        <v>21</v>
      </c>
      <c r="G53" t="s">
        <v>152</v>
      </c>
      <c r="H53" t="s">
        <v>32</v>
      </c>
      <c r="I53" t="s">
        <v>7</v>
      </c>
      <c r="J53" t="s">
        <v>49</v>
      </c>
      <c r="K53" t="s">
        <v>27</v>
      </c>
      <c r="L53" t="s">
        <v>50</v>
      </c>
      <c r="M53">
        <v>1</v>
      </c>
    </row>
    <row r="54" spans="1:13" x14ac:dyDescent="0.25">
      <c r="A54" s="2">
        <v>46154</v>
      </c>
      <c r="B54" s="1" t="str">
        <f ca="1">IF(Información1[[#This Row],[Fecha]]='Ajuste de fechas'!$A$2,"Día actual","Día anterior")</f>
        <v>Día actual</v>
      </c>
      <c r="C54" t="s">
        <v>34</v>
      </c>
      <c r="D54" t="s">
        <v>35</v>
      </c>
      <c r="E54" t="s">
        <v>153</v>
      </c>
      <c r="F54" t="s">
        <v>19</v>
      </c>
      <c r="G54" t="s">
        <v>89</v>
      </c>
      <c r="H54" t="s">
        <v>32</v>
      </c>
      <c r="I54" t="s">
        <v>7</v>
      </c>
      <c r="J54" t="s">
        <v>53</v>
      </c>
      <c r="K54" t="s">
        <v>27</v>
      </c>
      <c r="L54" t="s">
        <v>50</v>
      </c>
      <c r="M54">
        <v>1</v>
      </c>
    </row>
    <row r="55" spans="1:13" x14ac:dyDescent="0.25">
      <c r="A55" s="2">
        <v>46154</v>
      </c>
      <c r="B55" s="1" t="str">
        <f ca="1">IF(Información1[[#This Row],[Fecha]]='Ajuste de fechas'!$A$2,"Día actual","Día anterior")</f>
        <v>Día actual</v>
      </c>
      <c r="C55" t="s">
        <v>34</v>
      </c>
      <c r="D55" t="s">
        <v>35</v>
      </c>
      <c r="E55" t="s">
        <v>154</v>
      </c>
      <c r="F55" t="s">
        <v>15</v>
      </c>
      <c r="G55" t="s">
        <v>60</v>
      </c>
      <c r="H55" t="s">
        <v>32</v>
      </c>
      <c r="I55" t="s">
        <v>25</v>
      </c>
      <c r="J55" t="s">
        <v>49</v>
      </c>
      <c r="K55" t="s">
        <v>27</v>
      </c>
      <c r="L55" t="s">
        <v>51</v>
      </c>
      <c r="M55">
        <v>1</v>
      </c>
    </row>
    <row r="56" spans="1:13" x14ac:dyDescent="0.25">
      <c r="A56" s="2">
        <v>46154</v>
      </c>
      <c r="B56" s="1" t="str">
        <f ca="1">IF(Información1[[#This Row],[Fecha]]='Ajuste de fechas'!$A$2,"Día actual","Día anterior")</f>
        <v>Día actual</v>
      </c>
      <c r="C56" t="s">
        <v>34</v>
      </c>
      <c r="D56" t="s">
        <v>35</v>
      </c>
      <c r="E56" t="s">
        <v>155</v>
      </c>
      <c r="F56" t="s">
        <v>21</v>
      </c>
      <c r="G56" t="s">
        <v>81</v>
      </c>
      <c r="H56" t="s">
        <v>32</v>
      </c>
      <c r="I56" t="s">
        <v>7</v>
      </c>
      <c r="J56" t="s">
        <v>49</v>
      </c>
      <c r="K56" t="s">
        <v>27</v>
      </c>
      <c r="L56" t="s">
        <v>55</v>
      </c>
      <c r="M56">
        <v>1</v>
      </c>
    </row>
    <row r="57" spans="1:13" x14ac:dyDescent="0.25">
      <c r="A57" s="2">
        <v>46154</v>
      </c>
      <c r="B57" s="1" t="str">
        <f ca="1">IF(Información1[[#This Row],[Fecha]]='Ajuste de fechas'!$A$2,"Día actual","Día anterior")</f>
        <v>Día actual</v>
      </c>
      <c r="C57" t="s">
        <v>34</v>
      </c>
      <c r="D57" t="s">
        <v>35</v>
      </c>
      <c r="E57" t="s">
        <v>156</v>
      </c>
      <c r="F57" t="s">
        <v>21</v>
      </c>
      <c r="G57" t="s">
        <v>81</v>
      </c>
      <c r="H57" t="s">
        <v>32</v>
      </c>
      <c r="I57" t="s">
        <v>7</v>
      </c>
      <c r="J57" t="s">
        <v>49</v>
      </c>
      <c r="K57" t="s">
        <v>27</v>
      </c>
      <c r="L57" t="s">
        <v>52</v>
      </c>
      <c r="M57">
        <v>1</v>
      </c>
    </row>
    <row r="58" spans="1:13" x14ac:dyDescent="0.25">
      <c r="A58" s="2">
        <v>46154</v>
      </c>
      <c r="B58" s="1" t="str">
        <f ca="1">IF(Información1[[#This Row],[Fecha]]='Ajuste de fechas'!$A$2,"Día actual","Día anterior")</f>
        <v>Día actual</v>
      </c>
      <c r="C58" t="s">
        <v>37</v>
      </c>
      <c r="D58" t="s">
        <v>38</v>
      </c>
      <c r="E58" t="s">
        <v>157</v>
      </c>
      <c r="F58" t="s">
        <v>19</v>
      </c>
      <c r="G58" t="s">
        <v>158</v>
      </c>
      <c r="H58" t="s">
        <v>11</v>
      </c>
      <c r="I58" t="s">
        <v>7</v>
      </c>
      <c r="J58" t="s">
        <v>53</v>
      </c>
      <c r="K58" t="s">
        <v>39</v>
      </c>
      <c r="L58" t="s">
        <v>50</v>
      </c>
      <c r="M58">
        <v>1</v>
      </c>
    </row>
    <row r="59" spans="1:13" x14ac:dyDescent="0.25">
      <c r="A59" s="2">
        <v>46154</v>
      </c>
      <c r="B59" s="1" t="str">
        <f ca="1">IF(Información1[[#This Row],[Fecha]]='Ajuste de fechas'!$A$2,"Día actual","Día anterior")</f>
        <v>Día actual</v>
      </c>
      <c r="C59" t="s">
        <v>37</v>
      </c>
      <c r="D59" t="s">
        <v>38</v>
      </c>
      <c r="E59" t="s">
        <v>143</v>
      </c>
      <c r="F59" t="s">
        <v>144</v>
      </c>
      <c r="G59" t="s">
        <v>145</v>
      </c>
      <c r="H59" t="s">
        <v>11</v>
      </c>
      <c r="I59" t="s">
        <v>7</v>
      </c>
      <c r="J59" t="s">
        <v>49</v>
      </c>
      <c r="K59" t="s">
        <v>39</v>
      </c>
      <c r="L59" t="s">
        <v>52</v>
      </c>
      <c r="M59">
        <v>1</v>
      </c>
    </row>
    <row r="60" spans="1:13" x14ac:dyDescent="0.25">
      <c r="A60" s="2">
        <v>46154</v>
      </c>
      <c r="B60" s="1" t="str">
        <f ca="1">IF(Información1[[#This Row],[Fecha]]='Ajuste de fechas'!$A$2,"Día actual","Día anterior")</f>
        <v>Día actual</v>
      </c>
      <c r="C60" t="s">
        <v>37</v>
      </c>
      <c r="D60" t="s">
        <v>38</v>
      </c>
      <c r="E60" t="s">
        <v>159</v>
      </c>
      <c r="F60" t="s">
        <v>21</v>
      </c>
      <c r="G60" t="s">
        <v>160</v>
      </c>
      <c r="H60" t="s">
        <v>11</v>
      </c>
      <c r="I60" t="s">
        <v>7</v>
      </c>
      <c r="J60" t="s">
        <v>49</v>
      </c>
      <c r="K60" t="s">
        <v>39</v>
      </c>
      <c r="L60" t="s">
        <v>52</v>
      </c>
      <c r="M60">
        <v>1</v>
      </c>
    </row>
    <row r="61" spans="1:13" x14ac:dyDescent="0.25">
      <c r="A61" s="2">
        <v>46154</v>
      </c>
      <c r="B61" s="1" t="str">
        <f ca="1">IF(Información1[[#This Row],[Fecha]]='Ajuste de fechas'!$A$2,"Día actual","Día anterior")</f>
        <v>Día actual</v>
      </c>
      <c r="C61" t="s">
        <v>37</v>
      </c>
      <c r="D61" t="s">
        <v>38</v>
      </c>
      <c r="E61" t="s">
        <v>161</v>
      </c>
      <c r="F61" t="s">
        <v>19</v>
      </c>
      <c r="G61" t="s">
        <v>162</v>
      </c>
      <c r="H61" t="s">
        <v>11</v>
      </c>
      <c r="I61" t="s">
        <v>7</v>
      </c>
      <c r="J61" t="s">
        <v>53</v>
      </c>
      <c r="K61" t="s">
        <v>39</v>
      </c>
      <c r="L61" t="s">
        <v>50</v>
      </c>
      <c r="M61">
        <v>1</v>
      </c>
    </row>
    <row r="62" spans="1:13" x14ac:dyDescent="0.25">
      <c r="A62" s="2">
        <v>46154</v>
      </c>
      <c r="B62" s="1" t="str">
        <f ca="1">IF(Información1[[#This Row],[Fecha]]='Ajuste de fechas'!$A$2,"Día actual","Día anterior")</f>
        <v>Día actual</v>
      </c>
      <c r="C62" t="s">
        <v>37</v>
      </c>
      <c r="D62" t="s">
        <v>38</v>
      </c>
      <c r="E62" t="s">
        <v>163</v>
      </c>
      <c r="F62" t="s">
        <v>23</v>
      </c>
      <c r="G62" t="s">
        <v>62</v>
      </c>
      <c r="H62" t="s">
        <v>11</v>
      </c>
      <c r="I62" t="s">
        <v>7</v>
      </c>
      <c r="J62" t="s">
        <v>49</v>
      </c>
      <c r="K62" t="s">
        <v>39</v>
      </c>
      <c r="L62" t="s">
        <v>52</v>
      </c>
      <c r="M62">
        <v>1</v>
      </c>
    </row>
    <row r="63" spans="1:13" x14ac:dyDescent="0.25">
      <c r="A63" s="2">
        <v>46154</v>
      </c>
      <c r="B63" s="1" t="str">
        <f ca="1">IF(Información1[[#This Row],[Fecha]]='Ajuste de fechas'!$A$2,"Día actual","Día anterior")</f>
        <v>Día actual</v>
      </c>
      <c r="C63" t="s">
        <v>37</v>
      </c>
      <c r="D63" t="s">
        <v>38</v>
      </c>
      <c r="E63" t="s">
        <v>164</v>
      </c>
      <c r="F63" t="s">
        <v>19</v>
      </c>
      <c r="G63" t="s">
        <v>33</v>
      </c>
      <c r="H63" t="s">
        <v>11</v>
      </c>
      <c r="I63" t="s">
        <v>7</v>
      </c>
      <c r="J63" t="s">
        <v>53</v>
      </c>
      <c r="K63" t="s">
        <v>39</v>
      </c>
      <c r="L63" t="s">
        <v>50</v>
      </c>
      <c r="M63">
        <v>1</v>
      </c>
    </row>
    <row r="64" spans="1:13" x14ac:dyDescent="0.25">
      <c r="A64" s="2">
        <v>46154</v>
      </c>
      <c r="B64" s="1" t="str">
        <f ca="1">IF(Información1[[#This Row],[Fecha]]='Ajuste de fechas'!$A$2,"Día actual","Día anterior")</f>
        <v>Día actual</v>
      </c>
      <c r="C64" t="s">
        <v>37</v>
      </c>
      <c r="D64" t="s">
        <v>38</v>
      </c>
      <c r="E64" t="s">
        <v>165</v>
      </c>
      <c r="F64" t="s">
        <v>71</v>
      </c>
      <c r="G64" t="s">
        <v>166</v>
      </c>
      <c r="H64" t="s">
        <v>11</v>
      </c>
      <c r="I64" t="s">
        <v>7</v>
      </c>
      <c r="J64" t="s">
        <v>49</v>
      </c>
      <c r="K64" t="s">
        <v>39</v>
      </c>
      <c r="L64" t="s">
        <v>50</v>
      </c>
      <c r="M64">
        <v>1</v>
      </c>
    </row>
    <row r="65" spans="1:13" x14ac:dyDescent="0.25">
      <c r="A65" s="2">
        <v>46154</v>
      </c>
      <c r="B65" s="1" t="str">
        <f ca="1">IF(Información1[[#This Row],[Fecha]]='Ajuste de fechas'!$A$2,"Día actual","Día anterior")</f>
        <v>Día actual</v>
      </c>
      <c r="C65" t="s">
        <v>37</v>
      </c>
      <c r="D65" t="s">
        <v>38</v>
      </c>
      <c r="E65" t="s">
        <v>167</v>
      </c>
      <c r="F65" t="s">
        <v>71</v>
      </c>
      <c r="G65" t="s">
        <v>168</v>
      </c>
      <c r="H65" t="s">
        <v>11</v>
      </c>
      <c r="I65" t="s">
        <v>7</v>
      </c>
      <c r="J65" t="s">
        <v>49</v>
      </c>
      <c r="K65" t="s">
        <v>39</v>
      </c>
      <c r="L65" t="s">
        <v>50</v>
      </c>
      <c r="M65">
        <v>1</v>
      </c>
    </row>
    <row r="66" spans="1:13" x14ac:dyDescent="0.25">
      <c r="A66" s="2">
        <v>46154</v>
      </c>
      <c r="B66" s="1" t="str">
        <f ca="1">IF(Información1[[#This Row],[Fecha]]='Ajuste de fechas'!$A$2,"Día actual","Día anterior")</f>
        <v>Día actual</v>
      </c>
      <c r="C66" t="s">
        <v>37</v>
      </c>
      <c r="D66" t="s">
        <v>38</v>
      </c>
      <c r="E66" t="s">
        <v>169</v>
      </c>
      <c r="F66" t="s">
        <v>71</v>
      </c>
      <c r="G66" t="s">
        <v>170</v>
      </c>
      <c r="H66" t="s">
        <v>11</v>
      </c>
      <c r="I66" t="s">
        <v>25</v>
      </c>
      <c r="J66" t="s">
        <v>49</v>
      </c>
      <c r="K66" t="s">
        <v>39</v>
      </c>
      <c r="L66" t="s">
        <v>50</v>
      </c>
      <c r="M66">
        <v>1</v>
      </c>
    </row>
    <row r="67" spans="1:13" x14ac:dyDescent="0.25">
      <c r="A67" s="2">
        <v>46154</v>
      </c>
      <c r="B67" s="1" t="str">
        <f ca="1">IF(Información1[[#This Row],[Fecha]]='Ajuste de fechas'!$A$2,"Día actual","Día anterior")</f>
        <v>Día actual</v>
      </c>
      <c r="C67" t="s">
        <v>37</v>
      </c>
      <c r="D67" t="s">
        <v>38</v>
      </c>
      <c r="E67" t="s">
        <v>171</v>
      </c>
      <c r="F67" t="s">
        <v>71</v>
      </c>
      <c r="G67" t="s">
        <v>170</v>
      </c>
      <c r="H67" t="s">
        <v>11</v>
      </c>
      <c r="I67" t="s">
        <v>7</v>
      </c>
      <c r="J67" t="s">
        <v>49</v>
      </c>
      <c r="K67" t="s">
        <v>39</v>
      </c>
      <c r="L67" t="s">
        <v>50</v>
      </c>
      <c r="M67">
        <v>1</v>
      </c>
    </row>
    <row r="68" spans="1:13" x14ac:dyDescent="0.25">
      <c r="A68" s="2">
        <v>46154</v>
      </c>
      <c r="B68" s="1" t="str">
        <f ca="1">IF(Información1[[#This Row],[Fecha]]='Ajuste de fechas'!$A$2,"Día actual","Día anterior")</f>
        <v>Día actual</v>
      </c>
      <c r="C68" t="s">
        <v>37</v>
      </c>
      <c r="D68" t="s">
        <v>38</v>
      </c>
      <c r="E68" t="s">
        <v>172</v>
      </c>
      <c r="F68" t="s">
        <v>71</v>
      </c>
      <c r="G68" t="s">
        <v>166</v>
      </c>
      <c r="H68" t="s">
        <v>11</v>
      </c>
      <c r="I68" t="s">
        <v>7</v>
      </c>
      <c r="J68" t="s">
        <v>49</v>
      </c>
      <c r="K68" t="s">
        <v>39</v>
      </c>
      <c r="L68" t="s">
        <v>50</v>
      </c>
      <c r="M68">
        <v>1</v>
      </c>
    </row>
    <row r="69" spans="1:13" x14ac:dyDescent="0.25">
      <c r="A69" s="2">
        <v>46154</v>
      </c>
      <c r="B69" s="1" t="str">
        <f ca="1">IF(Información1[[#This Row],[Fecha]]='Ajuste de fechas'!$A$2,"Día actual","Día anterior")</f>
        <v>Día actual</v>
      </c>
      <c r="C69" t="s">
        <v>37</v>
      </c>
      <c r="D69" t="s">
        <v>38</v>
      </c>
      <c r="E69" t="s">
        <v>146</v>
      </c>
      <c r="F69" t="s">
        <v>26</v>
      </c>
      <c r="G69" t="s">
        <v>147</v>
      </c>
      <c r="H69" t="s">
        <v>11</v>
      </c>
      <c r="I69" t="s">
        <v>7</v>
      </c>
      <c r="J69" t="s">
        <v>49</v>
      </c>
      <c r="K69" t="s">
        <v>39</v>
      </c>
      <c r="L69" t="s">
        <v>52</v>
      </c>
      <c r="M69">
        <v>1</v>
      </c>
    </row>
    <row r="70" spans="1:13" x14ac:dyDescent="0.25">
      <c r="A70" s="2">
        <v>46154</v>
      </c>
      <c r="B70" s="1" t="str">
        <f ca="1">IF(Información1[[#This Row],[Fecha]]='Ajuste de fechas'!$A$2,"Día actual","Día anterior")</f>
        <v>Día actual</v>
      </c>
      <c r="C70" t="s">
        <v>37</v>
      </c>
      <c r="D70" t="s">
        <v>38</v>
      </c>
      <c r="E70" t="s">
        <v>173</v>
      </c>
      <c r="F70" t="s">
        <v>174</v>
      </c>
      <c r="G70" t="s">
        <v>175</v>
      </c>
      <c r="H70" t="s">
        <v>11</v>
      </c>
      <c r="I70" t="s">
        <v>7</v>
      </c>
      <c r="J70" t="s">
        <v>49</v>
      </c>
      <c r="K70" t="s">
        <v>39</v>
      </c>
      <c r="L70" t="s">
        <v>50</v>
      </c>
      <c r="M70">
        <v>1</v>
      </c>
    </row>
    <row r="71" spans="1:13" x14ac:dyDescent="0.25">
      <c r="A71" s="2">
        <v>46154</v>
      </c>
      <c r="B71" s="1" t="str">
        <f ca="1">IF(Información1[[#This Row],[Fecha]]='Ajuste de fechas'!$A$2,"Día actual","Día anterior")</f>
        <v>Día actual</v>
      </c>
      <c r="C71" t="s">
        <v>37</v>
      </c>
      <c r="D71" t="s">
        <v>38</v>
      </c>
      <c r="E71" t="s">
        <v>176</v>
      </c>
      <c r="F71" t="s">
        <v>19</v>
      </c>
      <c r="G71" t="s">
        <v>96</v>
      </c>
      <c r="H71" t="s">
        <v>11</v>
      </c>
      <c r="I71" t="s">
        <v>25</v>
      </c>
      <c r="J71" t="s">
        <v>53</v>
      </c>
      <c r="K71" t="s">
        <v>39</v>
      </c>
      <c r="L71" t="s">
        <v>50</v>
      </c>
      <c r="M71">
        <v>1</v>
      </c>
    </row>
    <row r="72" spans="1:13" x14ac:dyDescent="0.25">
      <c r="A72" s="2">
        <v>46154</v>
      </c>
      <c r="B72" s="1" t="str">
        <f ca="1">IF(Información1[[#This Row],[Fecha]]='Ajuste de fechas'!$A$2,"Día actual","Día anterior")</f>
        <v>Día actual</v>
      </c>
      <c r="C72" t="s">
        <v>37</v>
      </c>
      <c r="D72" t="s">
        <v>38</v>
      </c>
      <c r="E72" t="s">
        <v>177</v>
      </c>
      <c r="F72" t="s">
        <v>22</v>
      </c>
      <c r="G72" t="s">
        <v>81</v>
      </c>
      <c r="H72" t="s">
        <v>11</v>
      </c>
      <c r="I72" t="s">
        <v>7</v>
      </c>
      <c r="J72" t="s">
        <v>54</v>
      </c>
      <c r="K72" t="s">
        <v>39</v>
      </c>
      <c r="L72" t="s">
        <v>50</v>
      </c>
      <c r="M72">
        <v>1</v>
      </c>
    </row>
    <row r="73" spans="1:13" x14ac:dyDescent="0.25">
      <c r="A73" s="2">
        <v>46154</v>
      </c>
      <c r="B73" s="1" t="str">
        <f ca="1">IF(Información1[[#This Row],[Fecha]]='Ajuste de fechas'!$A$2,"Día actual","Día anterior")</f>
        <v>Día actual</v>
      </c>
      <c r="C73" t="s">
        <v>37</v>
      </c>
      <c r="D73" t="s">
        <v>38</v>
      </c>
      <c r="E73" t="s">
        <v>178</v>
      </c>
      <c r="F73" t="s">
        <v>179</v>
      </c>
      <c r="G73" t="s">
        <v>149</v>
      </c>
      <c r="H73" t="s">
        <v>11</v>
      </c>
      <c r="I73" t="s">
        <v>7</v>
      </c>
      <c r="J73" t="s">
        <v>49</v>
      </c>
      <c r="K73" t="s">
        <v>39</v>
      </c>
      <c r="L73" t="s">
        <v>50</v>
      </c>
      <c r="M73">
        <v>1</v>
      </c>
    </row>
    <row r="74" spans="1:13" x14ac:dyDescent="0.25">
      <c r="A74" s="2">
        <v>46154</v>
      </c>
      <c r="B74" s="1" t="str">
        <f ca="1">IF(Información1[[#This Row],[Fecha]]='Ajuste de fechas'!$A$2,"Día actual","Día anterior")</f>
        <v>Día actual</v>
      </c>
      <c r="C74" t="s">
        <v>37</v>
      </c>
      <c r="D74" t="s">
        <v>38</v>
      </c>
      <c r="E74" t="s">
        <v>180</v>
      </c>
      <c r="F74" t="s">
        <v>17</v>
      </c>
      <c r="G74" t="s">
        <v>181</v>
      </c>
      <c r="H74" t="s">
        <v>11</v>
      </c>
      <c r="I74" t="s">
        <v>7</v>
      </c>
      <c r="J74" t="s">
        <v>49</v>
      </c>
      <c r="K74" t="s">
        <v>39</v>
      </c>
      <c r="L74" t="s">
        <v>50</v>
      </c>
      <c r="M74">
        <v>1</v>
      </c>
    </row>
    <row r="75" spans="1:13" x14ac:dyDescent="0.25">
      <c r="A75" s="2">
        <v>46154</v>
      </c>
      <c r="B75" s="1" t="str">
        <f ca="1">IF(Información1[[#This Row],[Fecha]]='Ajuste de fechas'!$A$2,"Día actual","Día anterior")</f>
        <v>Día actual</v>
      </c>
      <c r="C75" t="s">
        <v>37</v>
      </c>
      <c r="D75" t="s">
        <v>38</v>
      </c>
      <c r="E75" t="s">
        <v>182</v>
      </c>
      <c r="F75" t="s">
        <v>19</v>
      </c>
      <c r="G75" t="s">
        <v>183</v>
      </c>
      <c r="H75" t="s">
        <v>11</v>
      </c>
      <c r="I75" t="s">
        <v>7</v>
      </c>
      <c r="J75" t="s">
        <v>53</v>
      </c>
      <c r="K75" t="s">
        <v>39</v>
      </c>
      <c r="L75" t="s">
        <v>50</v>
      </c>
      <c r="M75">
        <v>1</v>
      </c>
    </row>
    <row r="76" spans="1:13" x14ac:dyDescent="0.25">
      <c r="A76" s="2">
        <v>46154</v>
      </c>
      <c r="B76" s="1" t="str">
        <f ca="1">IF(Información1[[#This Row],[Fecha]]='Ajuste de fechas'!$A$2,"Día actual","Día anterior")</f>
        <v>Día actual</v>
      </c>
      <c r="C76" t="s">
        <v>37</v>
      </c>
      <c r="D76" t="s">
        <v>38</v>
      </c>
      <c r="E76" t="s">
        <v>184</v>
      </c>
      <c r="F76" t="s">
        <v>19</v>
      </c>
      <c r="G76" t="s">
        <v>33</v>
      </c>
      <c r="H76" t="s">
        <v>11</v>
      </c>
      <c r="I76" t="s">
        <v>7</v>
      </c>
      <c r="J76" t="s">
        <v>53</v>
      </c>
      <c r="K76" t="s">
        <v>39</v>
      </c>
      <c r="L76" t="s">
        <v>50</v>
      </c>
      <c r="M76">
        <v>1</v>
      </c>
    </row>
    <row r="77" spans="1:13" x14ac:dyDescent="0.25">
      <c r="A77" s="2">
        <v>46154</v>
      </c>
      <c r="B77" s="1" t="str">
        <f ca="1">IF(Información1[[#This Row],[Fecha]]='Ajuste de fechas'!$A$2,"Día actual","Día anterior")</f>
        <v>Día actual</v>
      </c>
      <c r="C77" t="s">
        <v>37</v>
      </c>
      <c r="D77" t="s">
        <v>38</v>
      </c>
      <c r="E77" t="s">
        <v>185</v>
      </c>
      <c r="F77" t="s">
        <v>19</v>
      </c>
      <c r="G77" t="s">
        <v>186</v>
      </c>
      <c r="H77" t="s">
        <v>11</v>
      </c>
      <c r="I77" t="s">
        <v>7</v>
      </c>
      <c r="J77" t="s">
        <v>53</v>
      </c>
      <c r="K77" t="s">
        <v>39</v>
      </c>
      <c r="L77" t="s">
        <v>50</v>
      </c>
      <c r="M77">
        <v>1</v>
      </c>
    </row>
    <row r="78" spans="1:13" x14ac:dyDescent="0.25">
      <c r="A78" s="2">
        <v>46154</v>
      </c>
      <c r="B78" s="1" t="str">
        <f ca="1">IF(Información1[[#This Row],[Fecha]]='Ajuste de fechas'!$A$2,"Día actual","Día anterior")</f>
        <v>Día actual</v>
      </c>
      <c r="C78" t="s">
        <v>37</v>
      </c>
      <c r="D78" t="s">
        <v>38</v>
      </c>
      <c r="E78" t="s">
        <v>187</v>
      </c>
      <c r="F78" t="s">
        <v>22</v>
      </c>
      <c r="G78" t="s">
        <v>81</v>
      </c>
      <c r="H78" t="s">
        <v>11</v>
      </c>
      <c r="I78" t="s">
        <v>7</v>
      </c>
      <c r="J78" t="s">
        <v>54</v>
      </c>
      <c r="K78" t="s">
        <v>39</v>
      </c>
      <c r="L78" t="s">
        <v>50</v>
      </c>
      <c r="M78">
        <v>1</v>
      </c>
    </row>
    <row r="79" spans="1:13" x14ac:dyDescent="0.25">
      <c r="A79" s="2">
        <v>46154</v>
      </c>
      <c r="B79" s="1" t="str">
        <f ca="1">IF(Información1[[#This Row],[Fecha]]='Ajuste de fechas'!$A$2,"Día actual","Día anterior")</f>
        <v>Día actual</v>
      </c>
      <c r="C79" t="s">
        <v>37</v>
      </c>
      <c r="D79" t="s">
        <v>38</v>
      </c>
      <c r="E79" t="s">
        <v>188</v>
      </c>
      <c r="F79" t="s">
        <v>21</v>
      </c>
      <c r="G79" t="s">
        <v>81</v>
      </c>
      <c r="H79" t="s">
        <v>11</v>
      </c>
      <c r="I79" t="s">
        <v>7</v>
      </c>
      <c r="J79" t="s">
        <v>49</v>
      </c>
      <c r="K79" t="s">
        <v>39</v>
      </c>
      <c r="L79" t="s">
        <v>50</v>
      </c>
      <c r="M79">
        <v>1</v>
      </c>
    </row>
    <row r="80" spans="1:13" x14ac:dyDescent="0.25">
      <c r="A80" s="2">
        <v>46154</v>
      </c>
      <c r="B80" s="1" t="str">
        <f ca="1">IF(Información1[[#This Row],[Fecha]]='Ajuste de fechas'!$A$2,"Día actual","Día anterior")</f>
        <v>Día actual</v>
      </c>
      <c r="C80" t="s">
        <v>34</v>
      </c>
      <c r="D80" t="s">
        <v>35</v>
      </c>
      <c r="E80" t="s">
        <v>189</v>
      </c>
      <c r="F80" t="s">
        <v>17</v>
      </c>
      <c r="G80" t="s">
        <v>73</v>
      </c>
      <c r="H80" t="s">
        <v>32</v>
      </c>
      <c r="I80" t="s">
        <v>25</v>
      </c>
      <c r="J80" t="s">
        <v>49</v>
      </c>
      <c r="K80" t="s">
        <v>9</v>
      </c>
      <c r="L80" t="s">
        <v>51</v>
      </c>
      <c r="M80">
        <v>1</v>
      </c>
    </row>
    <row r="81" spans="1:13" x14ac:dyDescent="0.25">
      <c r="A81" s="2">
        <v>46154</v>
      </c>
      <c r="B81" s="1" t="str">
        <f ca="1">IF(Información1[[#This Row],[Fecha]]='Ajuste de fechas'!$A$2,"Día actual","Día anterior")</f>
        <v>Día actual</v>
      </c>
      <c r="C81" t="s">
        <v>8</v>
      </c>
      <c r="D81" t="s">
        <v>10</v>
      </c>
      <c r="E81" t="s">
        <v>190</v>
      </c>
      <c r="F81" t="s">
        <v>6</v>
      </c>
      <c r="G81" t="s">
        <v>69</v>
      </c>
      <c r="H81" t="s">
        <v>11</v>
      </c>
      <c r="I81" t="s">
        <v>25</v>
      </c>
      <c r="J81" t="s">
        <v>49</v>
      </c>
      <c r="K81" t="s">
        <v>9</v>
      </c>
      <c r="L81" t="s">
        <v>51</v>
      </c>
      <c r="M81">
        <v>1</v>
      </c>
    </row>
    <row r="82" spans="1:13" x14ac:dyDescent="0.25">
      <c r="A82" s="2">
        <v>46154</v>
      </c>
      <c r="B82" s="1" t="str">
        <f ca="1">IF(Información1[[#This Row],[Fecha]]='Ajuste de fechas'!$A$2,"Día actual","Día anterior")</f>
        <v>Día actual</v>
      </c>
      <c r="C82" t="s">
        <v>8</v>
      </c>
      <c r="D82" t="s">
        <v>10</v>
      </c>
      <c r="E82" t="s">
        <v>191</v>
      </c>
      <c r="F82" t="s">
        <v>6</v>
      </c>
      <c r="G82" t="s">
        <v>69</v>
      </c>
      <c r="H82" t="s">
        <v>11</v>
      </c>
      <c r="I82" t="s">
        <v>25</v>
      </c>
      <c r="J82" t="s">
        <v>49</v>
      </c>
      <c r="K82" t="s">
        <v>9</v>
      </c>
      <c r="L82" t="s">
        <v>51</v>
      </c>
      <c r="M82">
        <v>1</v>
      </c>
    </row>
    <row r="83" spans="1:13" x14ac:dyDescent="0.25">
      <c r="A83" s="2">
        <v>46154</v>
      </c>
      <c r="B83" s="1" t="str">
        <f ca="1">IF(Información1[[#This Row],[Fecha]]='Ajuste de fechas'!$A$2,"Día actual","Día anterior")</f>
        <v>Día actual</v>
      </c>
      <c r="C83" t="s">
        <v>8</v>
      </c>
      <c r="D83" t="s">
        <v>10</v>
      </c>
      <c r="E83" t="s">
        <v>192</v>
      </c>
      <c r="F83" t="s">
        <v>6</v>
      </c>
      <c r="G83" t="s">
        <v>69</v>
      </c>
      <c r="H83" t="s">
        <v>11</v>
      </c>
      <c r="I83" t="s">
        <v>25</v>
      </c>
      <c r="J83" t="s">
        <v>49</v>
      </c>
      <c r="K83" t="s">
        <v>9</v>
      </c>
      <c r="L83" t="s">
        <v>51</v>
      </c>
      <c r="M83">
        <v>1</v>
      </c>
    </row>
    <row r="84" spans="1:13" x14ac:dyDescent="0.25">
      <c r="A84" s="2">
        <v>46154</v>
      </c>
      <c r="B84" s="1" t="str">
        <f ca="1">IF(Información1[[#This Row],[Fecha]]='Ajuste de fechas'!$A$2,"Día actual","Día anterior")</f>
        <v>Día actual</v>
      </c>
      <c r="C84" t="s">
        <v>8</v>
      </c>
      <c r="D84" t="s">
        <v>10</v>
      </c>
      <c r="E84" t="s">
        <v>193</v>
      </c>
      <c r="F84" t="s">
        <v>6</v>
      </c>
      <c r="G84" t="s">
        <v>69</v>
      </c>
      <c r="H84" t="s">
        <v>11</v>
      </c>
      <c r="I84" t="s">
        <v>25</v>
      </c>
      <c r="J84" t="s">
        <v>49</v>
      </c>
      <c r="K84" t="s">
        <v>9</v>
      </c>
      <c r="L84" t="s">
        <v>51</v>
      </c>
      <c r="M84">
        <v>1</v>
      </c>
    </row>
    <row r="85" spans="1:13" x14ac:dyDescent="0.25">
      <c r="A85" s="2">
        <v>46154</v>
      </c>
      <c r="B85" s="1" t="str">
        <f ca="1">IF(Información1[[#This Row],[Fecha]]='Ajuste de fechas'!$A$2,"Día actual","Día anterior")</f>
        <v>Día actual</v>
      </c>
      <c r="C85" t="s">
        <v>8</v>
      </c>
      <c r="D85" t="s">
        <v>10</v>
      </c>
      <c r="E85" t="s">
        <v>194</v>
      </c>
      <c r="F85" t="s">
        <v>6</v>
      </c>
      <c r="G85" t="s">
        <v>69</v>
      </c>
      <c r="H85" t="s">
        <v>11</v>
      </c>
      <c r="I85" t="s">
        <v>25</v>
      </c>
      <c r="J85" t="s">
        <v>49</v>
      </c>
      <c r="K85" t="s">
        <v>9</v>
      </c>
      <c r="L85" t="s">
        <v>51</v>
      </c>
      <c r="M85">
        <v>1</v>
      </c>
    </row>
    <row r="86" spans="1:13" x14ac:dyDescent="0.25">
      <c r="A86" s="2">
        <v>46154</v>
      </c>
      <c r="B86" s="1" t="str">
        <f ca="1">IF(Información1[[#This Row],[Fecha]]='Ajuste de fechas'!$A$2,"Día actual","Día anterior")</f>
        <v>Día actual</v>
      </c>
      <c r="C86" t="s">
        <v>8</v>
      </c>
      <c r="D86" t="s">
        <v>10</v>
      </c>
      <c r="E86" t="s">
        <v>195</v>
      </c>
      <c r="F86" t="s">
        <v>6</v>
      </c>
      <c r="G86" t="s">
        <v>69</v>
      </c>
      <c r="H86" t="s">
        <v>11</v>
      </c>
      <c r="I86" t="s">
        <v>25</v>
      </c>
      <c r="J86" t="s">
        <v>49</v>
      </c>
      <c r="K86" t="s">
        <v>9</v>
      </c>
      <c r="L86" t="s">
        <v>51</v>
      </c>
      <c r="M86">
        <v>1</v>
      </c>
    </row>
    <row r="87" spans="1:13" x14ac:dyDescent="0.25">
      <c r="A87" s="2">
        <v>46154</v>
      </c>
      <c r="B87" s="1" t="str">
        <f ca="1">IF(Información1[[#This Row],[Fecha]]='Ajuste de fechas'!$A$2,"Día actual","Día anterior")</f>
        <v>Día actual</v>
      </c>
      <c r="C87" t="s">
        <v>8</v>
      </c>
      <c r="D87" t="s">
        <v>10</v>
      </c>
      <c r="E87" t="s">
        <v>196</v>
      </c>
      <c r="F87" t="s">
        <v>6</v>
      </c>
      <c r="G87" t="s">
        <v>69</v>
      </c>
      <c r="H87" t="s">
        <v>11</v>
      </c>
      <c r="I87" t="s">
        <v>25</v>
      </c>
      <c r="J87" t="s">
        <v>49</v>
      </c>
      <c r="K87" t="s">
        <v>9</v>
      </c>
      <c r="L87" t="s">
        <v>51</v>
      </c>
      <c r="M87">
        <v>1</v>
      </c>
    </row>
    <row r="88" spans="1:13" x14ac:dyDescent="0.25">
      <c r="A88" s="2">
        <v>46154</v>
      </c>
      <c r="B88" s="1" t="str">
        <f ca="1">IF(Información1[[#This Row],[Fecha]]='Ajuste de fechas'!$A$2,"Día actual","Día anterior")</f>
        <v>Día actual</v>
      </c>
      <c r="C88" t="s">
        <v>8</v>
      </c>
      <c r="D88" t="s">
        <v>10</v>
      </c>
      <c r="E88" t="s">
        <v>197</v>
      </c>
      <c r="F88" t="s">
        <v>6</v>
      </c>
      <c r="G88" t="s">
        <v>69</v>
      </c>
      <c r="H88" t="s">
        <v>11</v>
      </c>
      <c r="I88" t="s">
        <v>25</v>
      </c>
      <c r="J88" t="s">
        <v>49</v>
      </c>
      <c r="K88" t="s">
        <v>9</v>
      </c>
      <c r="L88" t="s">
        <v>51</v>
      </c>
      <c r="M88">
        <v>1</v>
      </c>
    </row>
    <row r="89" spans="1:13" x14ac:dyDescent="0.25">
      <c r="A89" s="2">
        <v>46154</v>
      </c>
      <c r="B89" s="1" t="str">
        <f ca="1">IF(Información1[[#This Row],[Fecha]]='Ajuste de fechas'!$A$2,"Día actual","Día anterior")</f>
        <v>Día actual</v>
      </c>
      <c r="C89" t="s">
        <v>8</v>
      </c>
      <c r="D89" t="s">
        <v>10</v>
      </c>
      <c r="E89" t="s">
        <v>198</v>
      </c>
      <c r="F89" t="s">
        <v>6</v>
      </c>
      <c r="G89" t="s">
        <v>69</v>
      </c>
      <c r="H89" t="s">
        <v>11</v>
      </c>
      <c r="I89" t="s">
        <v>25</v>
      </c>
      <c r="J89" t="s">
        <v>49</v>
      </c>
      <c r="K89" t="s">
        <v>9</v>
      </c>
      <c r="L89" t="s">
        <v>51</v>
      </c>
      <c r="M89">
        <v>1</v>
      </c>
    </row>
    <row r="90" spans="1:13" x14ac:dyDescent="0.25">
      <c r="A90" s="2">
        <v>46154</v>
      </c>
      <c r="B90" s="1" t="str">
        <f ca="1">IF(Información1[[#This Row],[Fecha]]='Ajuste de fechas'!$A$2,"Día actual","Día anterior")</f>
        <v>Día actual</v>
      </c>
      <c r="C90" t="s">
        <v>8</v>
      </c>
      <c r="D90" t="s">
        <v>10</v>
      </c>
      <c r="E90" t="s">
        <v>199</v>
      </c>
      <c r="F90" t="s">
        <v>6</v>
      </c>
      <c r="G90" t="s">
        <v>69</v>
      </c>
      <c r="H90" t="s">
        <v>11</v>
      </c>
      <c r="I90" t="s">
        <v>25</v>
      </c>
      <c r="J90" t="s">
        <v>49</v>
      </c>
      <c r="K90" t="s">
        <v>14</v>
      </c>
      <c r="L90" t="s">
        <v>51</v>
      </c>
      <c r="M90">
        <v>1</v>
      </c>
    </row>
    <row r="91" spans="1:13" x14ac:dyDescent="0.25">
      <c r="A91" s="2">
        <v>46154</v>
      </c>
      <c r="B91" s="1" t="str">
        <f ca="1">IF(Información1[[#This Row],[Fecha]]='Ajuste de fechas'!$A$2,"Día actual","Día anterior")</f>
        <v>Día actual</v>
      </c>
      <c r="C91" t="s">
        <v>8</v>
      </c>
      <c r="D91" t="s">
        <v>10</v>
      </c>
      <c r="E91" t="s">
        <v>200</v>
      </c>
      <c r="F91" t="s">
        <v>6</v>
      </c>
      <c r="G91" t="s">
        <v>69</v>
      </c>
      <c r="H91" t="s">
        <v>11</v>
      </c>
      <c r="I91" t="s">
        <v>25</v>
      </c>
      <c r="J91" t="s">
        <v>49</v>
      </c>
      <c r="K91" t="s">
        <v>9</v>
      </c>
      <c r="L91" t="s">
        <v>51</v>
      </c>
      <c r="M91">
        <v>1</v>
      </c>
    </row>
    <row r="92" spans="1:13" x14ac:dyDescent="0.25">
      <c r="A92" s="2">
        <v>46154</v>
      </c>
      <c r="B92" s="1" t="str">
        <f ca="1">IF(Información1[[#This Row],[Fecha]]='Ajuste de fechas'!$A$2,"Día actual","Día anterior")</f>
        <v>Día actual</v>
      </c>
      <c r="C92" t="s">
        <v>28</v>
      </c>
      <c r="D92" t="s">
        <v>31</v>
      </c>
      <c r="E92" t="s">
        <v>201</v>
      </c>
      <c r="F92" t="s">
        <v>15</v>
      </c>
      <c r="G92" t="s">
        <v>93</v>
      </c>
      <c r="H92" t="s">
        <v>11</v>
      </c>
      <c r="I92" t="s">
        <v>7</v>
      </c>
      <c r="J92" t="s">
        <v>49</v>
      </c>
      <c r="K92" t="s">
        <v>29</v>
      </c>
      <c r="L92" t="s">
        <v>50</v>
      </c>
      <c r="M92">
        <v>1</v>
      </c>
    </row>
    <row r="93" spans="1:13" x14ac:dyDescent="0.25">
      <c r="A93" s="2">
        <v>46154</v>
      </c>
      <c r="B93" s="1" t="str">
        <f ca="1">IF(Información1[[#This Row],[Fecha]]='Ajuste de fechas'!$A$2,"Día actual","Día anterior")</f>
        <v>Día actual</v>
      </c>
      <c r="C93" t="s">
        <v>8</v>
      </c>
      <c r="D93" t="s">
        <v>10</v>
      </c>
      <c r="E93" t="s">
        <v>202</v>
      </c>
      <c r="F93" t="s">
        <v>19</v>
      </c>
      <c r="G93" t="s">
        <v>203</v>
      </c>
      <c r="H93" t="s">
        <v>11</v>
      </c>
      <c r="I93" t="s">
        <v>7</v>
      </c>
      <c r="J93" t="s">
        <v>53</v>
      </c>
      <c r="K93" t="s">
        <v>14</v>
      </c>
      <c r="L93" t="s">
        <v>50</v>
      </c>
      <c r="M93">
        <v>1</v>
      </c>
    </row>
    <row r="94" spans="1:13" x14ac:dyDescent="0.25">
      <c r="A94" s="2">
        <v>46154</v>
      </c>
      <c r="B94" s="1" t="str">
        <f ca="1">IF(Información1[[#This Row],[Fecha]]='Ajuste de fechas'!$A$2,"Día actual","Día anterior")</f>
        <v>Día actual</v>
      </c>
      <c r="C94" t="s">
        <v>8</v>
      </c>
      <c r="D94" t="s">
        <v>10</v>
      </c>
      <c r="E94" t="s">
        <v>204</v>
      </c>
      <c r="F94" t="s">
        <v>205</v>
      </c>
      <c r="G94" t="s">
        <v>206</v>
      </c>
      <c r="H94" t="s">
        <v>11</v>
      </c>
      <c r="I94" t="s">
        <v>7</v>
      </c>
      <c r="J94" t="s">
        <v>49</v>
      </c>
      <c r="K94" t="s">
        <v>14</v>
      </c>
      <c r="L94" t="s">
        <v>52</v>
      </c>
      <c r="M94">
        <v>1</v>
      </c>
    </row>
    <row r="95" spans="1:13" x14ac:dyDescent="0.25">
      <c r="A95" s="2">
        <v>46154</v>
      </c>
      <c r="B95" s="1" t="str">
        <f ca="1">IF(Información1[[#This Row],[Fecha]]='Ajuste de fechas'!$A$2,"Día actual","Día anterior")</f>
        <v>Día actual</v>
      </c>
      <c r="C95" t="s">
        <v>28</v>
      </c>
      <c r="D95" t="s">
        <v>30</v>
      </c>
      <c r="E95" t="s">
        <v>207</v>
      </c>
      <c r="F95" t="s">
        <v>36</v>
      </c>
      <c r="G95" t="s">
        <v>208</v>
      </c>
      <c r="H95" t="s">
        <v>11</v>
      </c>
      <c r="I95" t="s">
        <v>7</v>
      </c>
      <c r="J95" t="s">
        <v>49</v>
      </c>
      <c r="K95" t="s">
        <v>41</v>
      </c>
      <c r="L95" t="s">
        <v>55</v>
      </c>
      <c r="M95">
        <v>1</v>
      </c>
    </row>
    <row r="96" spans="1:13" x14ac:dyDescent="0.25">
      <c r="A96" s="2">
        <v>46154</v>
      </c>
      <c r="B96" s="1" t="str">
        <f ca="1">IF(Información1[[#This Row],[Fecha]]='Ajuste de fechas'!$A$2,"Día actual","Día anterior")</f>
        <v>Día actual</v>
      </c>
      <c r="C96" t="s">
        <v>8</v>
      </c>
      <c r="D96" t="s">
        <v>10</v>
      </c>
      <c r="E96" t="s">
        <v>209</v>
      </c>
      <c r="F96" t="s">
        <v>6</v>
      </c>
      <c r="G96" t="s">
        <v>40</v>
      </c>
      <c r="H96" t="s">
        <v>11</v>
      </c>
      <c r="I96" t="s">
        <v>7</v>
      </c>
      <c r="J96" t="s">
        <v>49</v>
      </c>
      <c r="K96" t="s">
        <v>14</v>
      </c>
      <c r="L96" t="s">
        <v>50</v>
      </c>
      <c r="M96">
        <v>1</v>
      </c>
    </row>
    <row r="97" spans="1:13" x14ac:dyDescent="0.25">
      <c r="A97" s="2">
        <v>46154</v>
      </c>
      <c r="B97" s="1" t="str">
        <f ca="1">IF(Información1[[#This Row],[Fecha]]='Ajuste de fechas'!$A$2,"Día actual","Día anterior")</f>
        <v>Día actual</v>
      </c>
      <c r="C97" t="s">
        <v>8</v>
      </c>
      <c r="D97" t="s">
        <v>10</v>
      </c>
      <c r="E97" t="s">
        <v>20</v>
      </c>
      <c r="F97" t="s">
        <v>19</v>
      </c>
      <c r="G97" t="s">
        <v>40</v>
      </c>
      <c r="H97" t="s">
        <v>11</v>
      </c>
      <c r="I97" t="s">
        <v>12</v>
      </c>
      <c r="J97" t="s">
        <v>53</v>
      </c>
      <c r="K97" t="s">
        <v>14</v>
      </c>
      <c r="L97" t="s">
        <v>51</v>
      </c>
      <c r="M97">
        <v>1</v>
      </c>
    </row>
    <row r="98" spans="1:13" x14ac:dyDescent="0.25">
      <c r="A98" s="2">
        <v>46154</v>
      </c>
      <c r="B98" s="1" t="str">
        <f ca="1">IF(Información1[[#This Row],[Fecha]]='Ajuste de fechas'!$A$2,"Día actual","Día anterior")</f>
        <v>Día actual</v>
      </c>
      <c r="C98" t="s">
        <v>8</v>
      </c>
      <c r="D98" t="s">
        <v>10</v>
      </c>
      <c r="E98" t="s">
        <v>18</v>
      </c>
      <c r="F98" t="s">
        <v>19</v>
      </c>
      <c r="G98" t="s">
        <v>40</v>
      </c>
      <c r="H98" t="s">
        <v>11</v>
      </c>
      <c r="I98" t="s">
        <v>12</v>
      </c>
      <c r="J98" t="s">
        <v>53</v>
      </c>
      <c r="K98" t="s">
        <v>14</v>
      </c>
      <c r="L98" t="s">
        <v>51</v>
      </c>
      <c r="M98">
        <v>1</v>
      </c>
    </row>
    <row r="99" spans="1:13" x14ac:dyDescent="0.25">
      <c r="A99" s="2">
        <v>46154</v>
      </c>
      <c r="B99" s="1" t="str">
        <f ca="1">IF(Información1[[#This Row],[Fecha]]='Ajuste de fechas'!$A$2,"Día actual","Día anterior")</f>
        <v>Día actual</v>
      </c>
      <c r="C99" t="s">
        <v>8</v>
      </c>
      <c r="D99" t="s">
        <v>10</v>
      </c>
      <c r="E99" t="s">
        <v>76</v>
      </c>
      <c r="F99" t="s">
        <v>74</v>
      </c>
      <c r="G99" t="s">
        <v>40</v>
      </c>
      <c r="H99" t="s">
        <v>11</v>
      </c>
      <c r="I99" t="s">
        <v>12</v>
      </c>
      <c r="J99" t="s">
        <v>24</v>
      </c>
      <c r="K99" t="s">
        <v>14</v>
      </c>
      <c r="L99" t="s">
        <v>51</v>
      </c>
      <c r="M99">
        <v>1</v>
      </c>
    </row>
    <row r="100" spans="1:13" x14ac:dyDescent="0.25">
      <c r="A100" s="2">
        <v>46154</v>
      </c>
      <c r="B100" s="1" t="str">
        <f ca="1">IF(Información1[[#This Row],[Fecha]]='Ajuste de fechas'!$A$2,"Día actual","Día anterior")</f>
        <v>Día actual</v>
      </c>
      <c r="C100" t="s">
        <v>8</v>
      </c>
      <c r="D100" t="s">
        <v>10</v>
      </c>
      <c r="E100" t="s">
        <v>59</v>
      </c>
      <c r="F100" t="s">
        <v>21</v>
      </c>
      <c r="G100" t="s">
        <v>40</v>
      </c>
      <c r="H100" t="s">
        <v>11</v>
      </c>
      <c r="I100" t="s">
        <v>12</v>
      </c>
      <c r="J100" t="s">
        <v>49</v>
      </c>
      <c r="K100" t="s">
        <v>14</v>
      </c>
      <c r="L100" t="s">
        <v>51</v>
      </c>
      <c r="M100">
        <v>1</v>
      </c>
    </row>
    <row r="101" spans="1:13" x14ac:dyDescent="0.25">
      <c r="A101" s="2">
        <v>46154</v>
      </c>
      <c r="B101" s="1" t="str">
        <f ca="1">IF(Información1[[#This Row],[Fecha]]='Ajuste de fechas'!$A$2,"Día actual","Día anterior")</f>
        <v>Día actual</v>
      </c>
      <c r="C101" t="s">
        <v>8</v>
      </c>
      <c r="D101" t="s">
        <v>10</v>
      </c>
      <c r="E101" t="s">
        <v>13</v>
      </c>
      <c r="F101" t="s">
        <v>15</v>
      </c>
      <c r="G101" t="s">
        <v>40</v>
      </c>
      <c r="H101" t="s">
        <v>11</v>
      </c>
      <c r="I101" t="s">
        <v>12</v>
      </c>
      <c r="J101" t="s">
        <v>49</v>
      </c>
      <c r="K101" t="s">
        <v>14</v>
      </c>
      <c r="L101" t="s">
        <v>51</v>
      </c>
      <c r="M101">
        <v>1</v>
      </c>
    </row>
    <row r="102" spans="1:13" x14ac:dyDescent="0.25">
      <c r="A102" s="2">
        <v>46154</v>
      </c>
      <c r="B102" s="1" t="str">
        <f ca="1">IF(Información1[[#This Row],[Fecha]]='Ajuste de fechas'!$A$2,"Día actual","Día anterior")</f>
        <v>Día actual</v>
      </c>
      <c r="C102" t="s">
        <v>8</v>
      </c>
      <c r="D102" t="s">
        <v>10</v>
      </c>
      <c r="E102" t="s">
        <v>16</v>
      </c>
      <c r="F102" t="s">
        <v>17</v>
      </c>
      <c r="G102" t="s">
        <v>40</v>
      </c>
      <c r="H102" t="s">
        <v>11</v>
      </c>
      <c r="I102" t="s">
        <v>12</v>
      </c>
      <c r="J102" t="s">
        <v>49</v>
      </c>
      <c r="K102" t="s">
        <v>14</v>
      </c>
      <c r="L102" t="s">
        <v>51</v>
      </c>
      <c r="M102">
        <v>1</v>
      </c>
    </row>
    <row r="103" spans="1:13" x14ac:dyDescent="0.25">
      <c r="A103" s="2">
        <v>46154</v>
      </c>
      <c r="B103" s="1" t="str">
        <f ca="1">IF(Información1[[#This Row],[Fecha]]='Ajuste de fechas'!$A$2,"Día actual","Día anterior")</f>
        <v>Día actual</v>
      </c>
      <c r="C103" t="s">
        <v>8</v>
      </c>
      <c r="D103" t="s">
        <v>10</v>
      </c>
      <c r="E103" t="s">
        <v>42</v>
      </c>
      <c r="F103" t="s">
        <v>6</v>
      </c>
      <c r="G103" t="s">
        <v>40</v>
      </c>
      <c r="H103" t="s">
        <v>11</v>
      </c>
      <c r="I103" t="s">
        <v>12</v>
      </c>
      <c r="J103" t="s">
        <v>49</v>
      </c>
      <c r="K103" t="s">
        <v>14</v>
      </c>
      <c r="L103" t="s">
        <v>51</v>
      </c>
      <c r="M103">
        <v>1</v>
      </c>
    </row>
    <row r="104" spans="1:13" x14ac:dyDescent="0.25">
      <c r="A104" s="2">
        <v>46154</v>
      </c>
      <c r="B104" s="1" t="str">
        <f ca="1">IF(Información1[[#This Row],[Fecha]]='Ajuste de fechas'!$A$2,"Día actual","Día anterior")</f>
        <v>Día actual</v>
      </c>
      <c r="C104" t="s">
        <v>28</v>
      </c>
      <c r="D104" t="s">
        <v>31</v>
      </c>
      <c r="E104" t="s">
        <v>210</v>
      </c>
      <c r="F104" t="s">
        <v>83</v>
      </c>
      <c r="G104" t="s">
        <v>98</v>
      </c>
      <c r="H104" t="s">
        <v>11</v>
      </c>
      <c r="I104" t="s">
        <v>7</v>
      </c>
      <c r="J104" t="s">
        <v>49</v>
      </c>
      <c r="K104" t="s">
        <v>29</v>
      </c>
      <c r="L104" t="s">
        <v>50</v>
      </c>
      <c r="M104">
        <v>1</v>
      </c>
    </row>
    <row r="105" spans="1:13" x14ac:dyDescent="0.25">
      <c r="A105" s="2">
        <v>46154</v>
      </c>
      <c r="B105" s="1" t="str">
        <f ca="1">IF(Información1[[#This Row],[Fecha]]='Ajuste de fechas'!$A$2,"Día actual","Día anterior")</f>
        <v>Día actual</v>
      </c>
      <c r="C105" t="s">
        <v>28</v>
      </c>
      <c r="D105" t="s">
        <v>31</v>
      </c>
      <c r="E105" t="s">
        <v>211</v>
      </c>
      <c r="F105" t="s">
        <v>23</v>
      </c>
      <c r="G105" t="s">
        <v>75</v>
      </c>
      <c r="H105" t="s">
        <v>11</v>
      </c>
      <c r="I105" t="s">
        <v>7</v>
      </c>
      <c r="J105" t="s">
        <v>49</v>
      </c>
      <c r="K105" t="s">
        <v>29</v>
      </c>
      <c r="L105" t="s">
        <v>50</v>
      </c>
      <c r="M105">
        <v>1</v>
      </c>
    </row>
    <row r="106" spans="1:13" x14ac:dyDescent="0.25">
      <c r="A106" s="2">
        <v>46154</v>
      </c>
      <c r="B106" s="1" t="str">
        <f ca="1">IF(Información1[[#This Row],[Fecha]]='Ajuste de fechas'!$A$2,"Día actual","Día anterior")</f>
        <v>Día actual</v>
      </c>
      <c r="C106" t="s">
        <v>8</v>
      </c>
      <c r="D106" t="s">
        <v>10</v>
      </c>
      <c r="E106" t="s">
        <v>212</v>
      </c>
      <c r="F106" t="s">
        <v>23</v>
      </c>
      <c r="G106" t="s">
        <v>75</v>
      </c>
      <c r="H106" t="s">
        <v>11</v>
      </c>
      <c r="I106" t="s">
        <v>7</v>
      </c>
      <c r="J106" t="s">
        <v>49</v>
      </c>
      <c r="K106" t="s">
        <v>14</v>
      </c>
      <c r="L106" t="s">
        <v>52</v>
      </c>
      <c r="M106">
        <v>1</v>
      </c>
    </row>
    <row r="107" spans="1:13" x14ac:dyDescent="0.25">
      <c r="A107" s="2">
        <v>46154</v>
      </c>
      <c r="B107" s="1" t="str">
        <f ca="1">IF(Información1[[#This Row],[Fecha]]='Ajuste de fechas'!$A$2,"Día actual","Día anterior")</f>
        <v>Día actual</v>
      </c>
      <c r="C107" t="s">
        <v>8</v>
      </c>
      <c r="D107" t="s">
        <v>10</v>
      </c>
      <c r="E107" t="s">
        <v>213</v>
      </c>
      <c r="F107" t="s">
        <v>23</v>
      </c>
      <c r="G107" t="s">
        <v>75</v>
      </c>
      <c r="H107" t="s">
        <v>11</v>
      </c>
      <c r="I107" t="s">
        <v>7</v>
      </c>
      <c r="J107" t="s">
        <v>49</v>
      </c>
      <c r="K107" t="s">
        <v>14</v>
      </c>
      <c r="L107" t="s">
        <v>50</v>
      </c>
      <c r="M107">
        <v>1</v>
      </c>
    </row>
    <row r="108" spans="1:13" x14ac:dyDescent="0.25">
      <c r="A108" s="2">
        <v>46154</v>
      </c>
      <c r="B108" s="1" t="str">
        <f ca="1">IF(Información1[[#This Row],[Fecha]]='Ajuste de fechas'!$A$2,"Día actual","Día anterior")</f>
        <v>Día actual</v>
      </c>
      <c r="C108" t="s">
        <v>28</v>
      </c>
      <c r="D108" t="s">
        <v>30</v>
      </c>
      <c r="E108" t="s">
        <v>214</v>
      </c>
      <c r="F108" t="s">
        <v>36</v>
      </c>
      <c r="G108" t="s">
        <v>68</v>
      </c>
      <c r="H108" t="s">
        <v>11</v>
      </c>
      <c r="I108" t="s">
        <v>7</v>
      </c>
      <c r="J108" t="s">
        <v>49</v>
      </c>
      <c r="K108" t="s">
        <v>41</v>
      </c>
      <c r="L108" t="s">
        <v>55</v>
      </c>
      <c r="M108">
        <v>1</v>
      </c>
    </row>
    <row r="109" spans="1:13" x14ac:dyDescent="0.25">
      <c r="A109" s="2">
        <v>46154</v>
      </c>
      <c r="B109" s="1" t="str">
        <f ca="1">IF(Información1[[#This Row],[Fecha]]='Ajuste de fechas'!$A$2,"Día actual","Día anterior")</f>
        <v>Día actual</v>
      </c>
      <c r="C109" t="s">
        <v>28</v>
      </c>
      <c r="D109" t="s">
        <v>31</v>
      </c>
      <c r="E109" t="s">
        <v>215</v>
      </c>
      <c r="F109" t="s">
        <v>72</v>
      </c>
      <c r="G109" t="s">
        <v>68</v>
      </c>
      <c r="H109" t="s">
        <v>11</v>
      </c>
      <c r="I109" t="s">
        <v>7</v>
      </c>
      <c r="J109" t="s">
        <v>49</v>
      </c>
      <c r="K109" t="s">
        <v>29</v>
      </c>
      <c r="L109" t="s">
        <v>50</v>
      </c>
      <c r="M109">
        <v>1</v>
      </c>
    </row>
    <row r="110" spans="1:13" x14ac:dyDescent="0.25">
      <c r="A110" s="2">
        <v>46154</v>
      </c>
      <c r="B110" s="1" t="str">
        <f ca="1">IF(Información1[[#This Row],[Fecha]]='Ajuste de fechas'!$A$2,"Día actual","Día anterior")</f>
        <v>Día actual</v>
      </c>
      <c r="C110" t="s">
        <v>28</v>
      </c>
      <c r="D110" t="s">
        <v>30</v>
      </c>
      <c r="E110" t="s">
        <v>216</v>
      </c>
      <c r="F110" t="s">
        <v>70</v>
      </c>
      <c r="G110" t="s">
        <v>217</v>
      </c>
      <c r="H110" t="s">
        <v>11</v>
      </c>
      <c r="I110" t="s">
        <v>7</v>
      </c>
      <c r="J110" t="s">
        <v>49</v>
      </c>
      <c r="K110" t="s">
        <v>41</v>
      </c>
      <c r="L110" t="s">
        <v>52</v>
      </c>
      <c r="M110">
        <v>1</v>
      </c>
    </row>
    <row r="111" spans="1:13" x14ac:dyDescent="0.25">
      <c r="A111" s="2">
        <v>46154</v>
      </c>
      <c r="B111" s="1" t="str">
        <f ca="1">IF(Información1[[#This Row],[Fecha]]='Ajuste de fechas'!$A$2,"Día actual","Día anterior")</f>
        <v>Día actual</v>
      </c>
      <c r="C111" t="s">
        <v>28</v>
      </c>
      <c r="D111" t="s">
        <v>30</v>
      </c>
      <c r="E111" t="s">
        <v>218</v>
      </c>
      <c r="F111" t="s">
        <v>19</v>
      </c>
      <c r="G111" t="s">
        <v>79</v>
      </c>
      <c r="H111" t="s">
        <v>11</v>
      </c>
      <c r="I111" t="s">
        <v>7</v>
      </c>
      <c r="J111" t="s">
        <v>53</v>
      </c>
      <c r="K111" t="s">
        <v>41</v>
      </c>
      <c r="L111" t="s">
        <v>50</v>
      </c>
      <c r="M111">
        <v>1</v>
      </c>
    </row>
    <row r="112" spans="1:13" x14ac:dyDescent="0.25">
      <c r="A112" s="2">
        <v>46154</v>
      </c>
      <c r="B112" s="1" t="str">
        <f ca="1">IF(Información1[[#This Row],[Fecha]]='Ajuste de fechas'!$A$2,"Día actual","Día anterior")</f>
        <v>Día actual</v>
      </c>
      <c r="C112" t="s">
        <v>28</v>
      </c>
      <c r="D112" t="s">
        <v>30</v>
      </c>
      <c r="E112" t="s">
        <v>219</v>
      </c>
      <c r="F112" t="s">
        <v>19</v>
      </c>
      <c r="G112" t="s">
        <v>79</v>
      </c>
      <c r="H112" t="s">
        <v>11</v>
      </c>
      <c r="I112" t="s">
        <v>7</v>
      </c>
      <c r="J112" t="s">
        <v>53</v>
      </c>
      <c r="K112" t="s">
        <v>41</v>
      </c>
      <c r="L112" t="s">
        <v>50</v>
      </c>
      <c r="M112">
        <v>1</v>
      </c>
    </row>
    <row r="113" spans="1:13" x14ac:dyDescent="0.25">
      <c r="A113" s="2">
        <v>46154</v>
      </c>
      <c r="B113" s="1" t="str">
        <f ca="1">IF(Información1[[#This Row],[Fecha]]='Ajuste de fechas'!$A$2,"Día actual","Día anterior")</f>
        <v>Día actual</v>
      </c>
      <c r="C113" t="s">
        <v>28</v>
      </c>
      <c r="D113" t="s">
        <v>31</v>
      </c>
      <c r="E113" t="s">
        <v>220</v>
      </c>
      <c r="F113" t="s">
        <v>174</v>
      </c>
      <c r="G113" t="s">
        <v>175</v>
      </c>
      <c r="H113" t="s">
        <v>11</v>
      </c>
      <c r="I113" t="s">
        <v>7</v>
      </c>
      <c r="J113" t="s">
        <v>49</v>
      </c>
      <c r="K113" t="s">
        <v>29</v>
      </c>
      <c r="L113" t="s">
        <v>50</v>
      </c>
      <c r="M113">
        <v>1</v>
      </c>
    </row>
    <row r="114" spans="1:13" x14ac:dyDescent="0.25">
      <c r="A114" s="2">
        <v>46154</v>
      </c>
      <c r="B114" s="1" t="str">
        <f ca="1">IF(Información1[[#This Row],[Fecha]]='Ajuste de fechas'!$A$2,"Día actual","Día anterior")</f>
        <v>Día actual</v>
      </c>
      <c r="C114" t="s">
        <v>28</v>
      </c>
      <c r="D114" t="s">
        <v>30</v>
      </c>
      <c r="E114" t="s">
        <v>221</v>
      </c>
      <c r="F114" t="s">
        <v>70</v>
      </c>
      <c r="G114" t="s">
        <v>149</v>
      </c>
      <c r="H114" t="s">
        <v>11</v>
      </c>
      <c r="I114" t="s">
        <v>7</v>
      </c>
      <c r="J114" t="s">
        <v>49</v>
      </c>
      <c r="K114" t="s">
        <v>41</v>
      </c>
      <c r="L114" t="s">
        <v>52</v>
      </c>
      <c r="M114">
        <v>1</v>
      </c>
    </row>
    <row r="115" spans="1:13" x14ac:dyDescent="0.25">
      <c r="A115" s="2">
        <v>46154</v>
      </c>
      <c r="B115" s="1" t="str">
        <f ca="1">IF(Información1[[#This Row],[Fecha]]='Ajuste de fechas'!$A$2,"Día actual","Día anterior")</f>
        <v>Día actual</v>
      </c>
      <c r="C115" t="s">
        <v>28</v>
      </c>
      <c r="D115" t="s">
        <v>30</v>
      </c>
      <c r="E115" t="s">
        <v>222</v>
      </c>
      <c r="F115" t="s">
        <v>22</v>
      </c>
      <c r="G115" t="s">
        <v>81</v>
      </c>
      <c r="H115" t="s">
        <v>11</v>
      </c>
      <c r="I115" t="s">
        <v>7</v>
      </c>
      <c r="J115" t="s">
        <v>54</v>
      </c>
      <c r="K115" t="s">
        <v>41</v>
      </c>
      <c r="L115" t="s">
        <v>50</v>
      </c>
      <c r="M115">
        <v>1</v>
      </c>
    </row>
    <row r="116" spans="1:13" x14ac:dyDescent="0.25">
      <c r="A116" s="2">
        <v>46154</v>
      </c>
      <c r="B116" s="1" t="str">
        <f ca="1">IF(Información1[[#This Row],[Fecha]]='Ajuste de fechas'!$A$2,"Día actual","Día anterior")</f>
        <v>Día actual</v>
      </c>
      <c r="C116" t="s">
        <v>28</v>
      </c>
      <c r="D116" t="s">
        <v>30</v>
      </c>
      <c r="E116" t="s">
        <v>223</v>
      </c>
      <c r="F116" t="s">
        <v>22</v>
      </c>
      <c r="G116" t="s">
        <v>81</v>
      </c>
      <c r="H116" t="s">
        <v>11</v>
      </c>
      <c r="I116" t="s">
        <v>7</v>
      </c>
      <c r="J116" t="s">
        <v>54</v>
      </c>
      <c r="K116" t="s">
        <v>41</v>
      </c>
      <c r="L116" t="s">
        <v>50</v>
      </c>
      <c r="M116">
        <v>1</v>
      </c>
    </row>
    <row r="117" spans="1:13" x14ac:dyDescent="0.25">
      <c r="A117" s="2">
        <v>46154</v>
      </c>
      <c r="B117" s="1" t="str">
        <f ca="1">IF(Información1[[#This Row],[Fecha]]='Ajuste de fechas'!$A$2,"Día actual","Día anterior")</f>
        <v>Día actual</v>
      </c>
      <c r="C117" t="s">
        <v>28</v>
      </c>
      <c r="D117" t="s">
        <v>30</v>
      </c>
      <c r="E117" t="s">
        <v>224</v>
      </c>
      <c r="F117" t="s">
        <v>22</v>
      </c>
      <c r="G117" t="s">
        <v>81</v>
      </c>
      <c r="H117" t="s">
        <v>11</v>
      </c>
      <c r="I117" t="s">
        <v>7</v>
      </c>
      <c r="J117" t="s">
        <v>54</v>
      </c>
      <c r="K117" t="s">
        <v>41</v>
      </c>
      <c r="L117" t="s">
        <v>50</v>
      </c>
      <c r="M117">
        <v>1</v>
      </c>
    </row>
    <row r="118" spans="1:13" x14ac:dyDescent="0.25">
      <c r="A118" s="2">
        <v>46154</v>
      </c>
      <c r="B118" s="1" t="str">
        <f ca="1">IF(Información1[[#This Row],[Fecha]]='Ajuste de fechas'!$A$2,"Día actual","Día anterior")</f>
        <v>Día actual</v>
      </c>
      <c r="C118" t="s">
        <v>28</v>
      </c>
      <c r="D118" t="s">
        <v>31</v>
      </c>
      <c r="E118" t="s">
        <v>225</v>
      </c>
      <c r="F118" t="s">
        <v>21</v>
      </c>
      <c r="G118" t="s">
        <v>81</v>
      </c>
      <c r="H118" t="s">
        <v>11</v>
      </c>
      <c r="I118" t="s">
        <v>7</v>
      </c>
      <c r="J118" t="s">
        <v>49</v>
      </c>
      <c r="K118" t="s">
        <v>29</v>
      </c>
      <c r="L118" t="s">
        <v>50</v>
      </c>
      <c r="M118">
        <v>1</v>
      </c>
    </row>
    <row r="119" spans="1:13" x14ac:dyDescent="0.25">
      <c r="A119" s="2">
        <v>46154</v>
      </c>
      <c r="B119" s="1" t="str">
        <f ca="1">IF(Información1[[#This Row],[Fecha]]='Ajuste de fechas'!$A$2,"Día actual","Día anterior")</f>
        <v>Día actual</v>
      </c>
      <c r="C119" t="s">
        <v>8</v>
      </c>
      <c r="D119" t="s">
        <v>10</v>
      </c>
      <c r="E119" t="s">
        <v>226</v>
      </c>
      <c r="F119" t="s">
        <v>21</v>
      </c>
      <c r="G119" t="s">
        <v>81</v>
      </c>
      <c r="H119" t="s">
        <v>11</v>
      </c>
      <c r="I119" t="s">
        <v>7</v>
      </c>
      <c r="J119" t="s">
        <v>49</v>
      </c>
      <c r="K119" t="s">
        <v>14</v>
      </c>
      <c r="L119" t="s">
        <v>51</v>
      </c>
      <c r="M119">
        <v>1</v>
      </c>
    </row>
    <row r="120" spans="1:13" x14ac:dyDescent="0.25">
      <c r="A120" s="2">
        <v>46154</v>
      </c>
      <c r="B120" s="1" t="str">
        <f ca="1">IF(Información1[[#This Row],[Fecha]]='Ajuste de fechas'!$A$2,"Día actual","Día anterior")</f>
        <v>Día actual</v>
      </c>
      <c r="C120" t="s">
        <v>123</v>
      </c>
      <c r="D120" t="s">
        <v>124</v>
      </c>
      <c r="E120" t="s">
        <v>227</v>
      </c>
      <c r="F120" t="s">
        <v>21</v>
      </c>
      <c r="G120" t="s">
        <v>228</v>
      </c>
      <c r="H120" t="s">
        <v>11</v>
      </c>
      <c r="I120" t="s">
        <v>7</v>
      </c>
      <c r="J120" t="s">
        <v>49</v>
      </c>
      <c r="K120" t="s">
        <v>126</v>
      </c>
      <c r="L120" t="s">
        <v>52</v>
      </c>
      <c r="M120">
        <v>1</v>
      </c>
    </row>
    <row r="121" spans="1:13" x14ac:dyDescent="0.25">
      <c r="A121" s="2">
        <v>46154</v>
      </c>
      <c r="B121" s="1" t="str">
        <f ca="1">IF(Información1[[#This Row],[Fecha]]='Ajuste de fechas'!$A$2,"Día actual","Día anterior")</f>
        <v>Día actual</v>
      </c>
      <c r="C121" t="s">
        <v>61</v>
      </c>
      <c r="D121" t="s">
        <v>65</v>
      </c>
      <c r="E121" t="s">
        <v>229</v>
      </c>
      <c r="F121" t="s">
        <v>6</v>
      </c>
      <c r="G121" t="s">
        <v>230</v>
      </c>
      <c r="H121" t="s">
        <v>11</v>
      </c>
      <c r="I121" t="s">
        <v>7</v>
      </c>
      <c r="J121" t="s">
        <v>49</v>
      </c>
      <c r="K121" t="s">
        <v>66</v>
      </c>
      <c r="L121" t="s">
        <v>52</v>
      </c>
      <c r="M121">
        <v>1</v>
      </c>
    </row>
    <row r="122" spans="1:13" x14ac:dyDescent="0.25">
      <c r="A122" s="2">
        <v>46154</v>
      </c>
      <c r="B122" s="1" t="str">
        <f ca="1">IF(Información1[[#This Row],[Fecha]]='Ajuste de fechas'!$A$2,"Día actual","Día anterior")</f>
        <v>Día actual</v>
      </c>
      <c r="C122" t="s">
        <v>28</v>
      </c>
      <c r="D122" t="s">
        <v>30</v>
      </c>
      <c r="E122" t="s">
        <v>231</v>
      </c>
      <c r="F122" t="s">
        <v>70</v>
      </c>
      <c r="G122" t="s">
        <v>139</v>
      </c>
      <c r="H122" t="s">
        <v>11</v>
      </c>
      <c r="I122" t="s">
        <v>7</v>
      </c>
      <c r="J122" t="s">
        <v>49</v>
      </c>
      <c r="K122" t="s">
        <v>41</v>
      </c>
      <c r="L122" t="s">
        <v>52</v>
      </c>
      <c r="M122">
        <v>1</v>
      </c>
    </row>
    <row r="123" spans="1:13" x14ac:dyDescent="0.25">
      <c r="A123" s="2">
        <v>46154</v>
      </c>
      <c r="B123" s="1" t="str">
        <f ca="1">IF(Información1[[#This Row],[Fecha]]='Ajuste de fechas'!$A$2,"Día actual","Día anterior")</f>
        <v>Día actual</v>
      </c>
      <c r="C123" t="s">
        <v>61</v>
      </c>
      <c r="D123" t="s">
        <v>65</v>
      </c>
      <c r="E123" t="s">
        <v>231</v>
      </c>
      <c r="F123" t="s">
        <v>70</v>
      </c>
      <c r="G123" t="s">
        <v>139</v>
      </c>
      <c r="H123" t="s">
        <v>11</v>
      </c>
      <c r="I123" t="s">
        <v>7</v>
      </c>
      <c r="J123" t="s">
        <v>49</v>
      </c>
      <c r="K123" t="s">
        <v>66</v>
      </c>
      <c r="L123" t="s">
        <v>52</v>
      </c>
      <c r="M123">
        <v>1</v>
      </c>
    </row>
    <row r="124" spans="1:13" x14ac:dyDescent="0.25">
      <c r="A124" s="2">
        <v>46154</v>
      </c>
      <c r="B124" s="1" t="str">
        <f ca="1">IF(Información1[[#This Row],[Fecha]]='Ajuste de fechas'!$A$2,"Día actual","Día anterior")</f>
        <v>Día actual</v>
      </c>
      <c r="C124" t="s">
        <v>8</v>
      </c>
      <c r="D124" t="s">
        <v>10</v>
      </c>
      <c r="E124" t="s">
        <v>232</v>
      </c>
      <c r="F124" t="s">
        <v>17</v>
      </c>
      <c r="G124" t="s">
        <v>233</v>
      </c>
      <c r="H124" t="s">
        <v>11</v>
      </c>
      <c r="I124" t="s">
        <v>25</v>
      </c>
      <c r="J124" t="s">
        <v>49</v>
      </c>
      <c r="K124" t="s">
        <v>9</v>
      </c>
      <c r="L124" t="s">
        <v>51</v>
      </c>
      <c r="M124">
        <v>1</v>
      </c>
    </row>
    <row r="125" spans="1:13" x14ac:dyDescent="0.25">
      <c r="A125" s="2">
        <v>46154</v>
      </c>
      <c r="B125" s="1" t="str">
        <f ca="1">IF(Información1[[#This Row],[Fecha]]='Ajuste de fechas'!$A$2,"Día actual","Día anterior")</f>
        <v>Día actual</v>
      </c>
      <c r="C125" t="s">
        <v>8</v>
      </c>
      <c r="D125" t="s">
        <v>10</v>
      </c>
      <c r="E125" t="s">
        <v>234</v>
      </c>
      <c r="F125" t="s">
        <v>19</v>
      </c>
      <c r="G125" t="s">
        <v>235</v>
      </c>
      <c r="H125" t="s">
        <v>11</v>
      </c>
      <c r="I125" t="s">
        <v>7</v>
      </c>
      <c r="J125" t="s">
        <v>53</v>
      </c>
      <c r="K125" t="s">
        <v>14</v>
      </c>
      <c r="L125" t="s">
        <v>50</v>
      </c>
      <c r="M125">
        <v>1</v>
      </c>
    </row>
    <row r="126" spans="1:13" x14ac:dyDescent="0.25">
      <c r="A126" s="2">
        <v>46154</v>
      </c>
      <c r="B126" s="1" t="str">
        <f ca="1">IF(Información1[[#This Row],[Fecha]]='Ajuste de fechas'!$A$2,"Día actual","Día anterior")</f>
        <v>Día actual</v>
      </c>
      <c r="C126" t="s">
        <v>28</v>
      </c>
      <c r="D126" t="s">
        <v>30</v>
      </c>
      <c r="E126" t="s">
        <v>146</v>
      </c>
      <c r="F126" t="s">
        <v>26</v>
      </c>
      <c r="G126" t="s">
        <v>147</v>
      </c>
      <c r="H126" t="s">
        <v>11</v>
      </c>
      <c r="I126" t="s">
        <v>7</v>
      </c>
      <c r="J126" t="s">
        <v>49</v>
      </c>
      <c r="K126" t="s">
        <v>41</v>
      </c>
      <c r="L126" t="s">
        <v>52</v>
      </c>
      <c r="M126">
        <v>1</v>
      </c>
    </row>
    <row r="127" spans="1:13" x14ac:dyDescent="0.25">
      <c r="A127" s="2">
        <v>46154</v>
      </c>
      <c r="B127" s="1" t="str">
        <f ca="1">IF(Información1[[#This Row],[Fecha]]='Ajuste de fechas'!$A$2,"Día actual","Día anterior")</f>
        <v>Día actual</v>
      </c>
      <c r="C127" t="s">
        <v>28</v>
      </c>
      <c r="D127" t="s">
        <v>31</v>
      </c>
      <c r="E127" t="s">
        <v>146</v>
      </c>
      <c r="F127" t="s">
        <v>26</v>
      </c>
      <c r="G127" t="s">
        <v>147</v>
      </c>
      <c r="H127" t="s">
        <v>11</v>
      </c>
      <c r="I127" t="s">
        <v>7</v>
      </c>
      <c r="J127" t="s">
        <v>49</v>
      </c>
      <c r="K127" t="s">
        <v>29</v>
      </c>
      <c r="L127" t="s">
        <v>52</v>
      </c>
      <c r="M127">
        <v>1</v>
      </c>
    </row>
    <row r="128" spans="1:13" x14ac:dyDescent="0.25">
      <c r="A128" s="2">
        <v>46154</v>
      </c>
      <c r="B128" s="1" t="str">
        <f ca="1">IF(Información1[[#This Row],[Fecha]]='Ajuste de fechas'!$A$2,"Día actual","Día anterior")</f>
        <v>Día actual</v>
      </c>
      <c r="C128" t="s">
        <v>8</v>
      </c>
      <c r="D128" t="s">
        <v>10</v>
      </c>
      <c r="E128" t="s">
        <v>146</v>
      </c>
      <c r="F128" t="s">
        <v>26</v>
      </c>
      <c r="G128" t="s">
        <v>147</v>
      </c>
      <c r="H128" t="s">
        <v>11</v>
      </c>
      <c r="I128" t="s">
        <v>7</v>
      </c>
      <c r="J128" t="s">
        <v>49</v>
      </c>
      <c r="K128" t="s">
        <v>14</v>
      </c>
      <c r="L128" t="s">
        <v>52</v>
      </c>
      <c r="M128">
        <v>1</v>
      </c>
    </row>
    <row r="129" spans="1:13" x14ac:dyDescent="0.25">
      <c r="A129" s="2">
        <v>46154</v>
      </c>
      <c r="B129" s="1" t="str">
        <f ca="1">IF(Información1[[#This Row],[Fecha]]='Ajuste de fechas'!$A$2,"Día actual","Día anterior")</f>
        <v>Día actual</v>
      </c>
      <c r="C129" t="s">
        <v>61</v>
      </c>
      <c r="D129" t="s">
        <v>65</v>
      </c>
      <c r="E129" t="s">
        <v>236</v>
      </c>
      <c r="F129" t="s">
        <v>115</v>
      </c>
      <c r="G129" t="s">
        <v>237</v>
      </c>
      <c r="H129" t="s">
        <v>11</v>
      </c>
      <c r="I129" t="s">
        <v>7</v>
      </c>
      <c r="J129" t="s">
        <v>49</v>
      </c>
      <c r="K129" t="s">
        <v>66</v>
      </c>
      <c r="L129" t="s">
        <v>52</v>
      </c>
      <c r="M129">
        <v>1</v>
      </c>
    </row>
    <row r="130" spans="1:13" x14ac:dyDescent="0.25">
      <c r="A130" s="2">
        <v>46154</v>
      </c>
      <c r="B130" s="1" t="str">
        <f ca="1">IF(Información1[[#This Row],[Fecha]]='Ajuste de fechas'!$A$2,"Día actual","Día anterior")</f>
        <v>Día actual</v>
      </c>
      <c r="C130" t="s">
        <v>28</v>
      </c>
      <c r="D130" t="s">
        <v>31</v>
      </c>
      <c r="E130" t="s">
        <v>238</v>
      </c>
      <c r="F130" t="s">
        <v>17</v>
      </c>
      <c r="G130" t="s">
        <v>181</v>
      </c>
      <c r="H130" t="s">
        <v>11</v>
      </c>
      <c r="I130" t="s">
        <v>7</v>
      </c>
      <c r="J130" t="s">
        <v>49</v>
      </c>
      <c r="K130" t="s">
        <v>29</v>
      </c>
      <c r="L130" t="s">
        <v>50</v>
      </c>
      <c r="M130">
        <v>1</v>
      </c>
    </row>
    <row r="131" spans="1:13" x14ac:dyDescent="0.25">
      <c r="A131" s="2">
        <v>46154</v>
      </c>
      <c r="B131" s="1" t="str">
        <f ca="1">IF(Información1[[#This Row],[Fecha]]='Ajuste de fechas'!$A$2,"Día actual","Día anterior")</f>
        <v>Día actual</v>
      </c>
      <c r="C131" t="s">
        <v>28</v>
      </c>
      <c r="D131" t="s">
        <v>30</v>
      </c>
      <c r="E131" t="s">
        <v>239</v>
      </c>
      <c r="F131" t="s">
        <v>36</v>
      </c>
      <c r="G131" t="s">
        <v>240</v>
      </c>
      <c r="H131" t="s">
        <v>11</v>
      </c>
      <c r="I131" t="s">
        <v>7</v>
      </c>
      <c r="J131" t="s">
        <v>49</v>
      </c>
      <c r="K131" t="s">
        <v>41</v>
      </c>
      <c r="L131" t="s">
        <v>55</v>
      </c>
      <c r="M13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57</v>
      </c>
      <c r="B1" t="s">
        <v>58</v>
      </c>
    </row>
    <row r="2" spans="1:2" x14ac:dyDescent="0.25">
      <c r="A2" s="2">
        <f ca="1">TODAY()</f>
        <v>46154</v>
      </c>
      <c r="B2" s="2">
        <f ca="1">A2-1</f>
        <v>46153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2026-05-12T23:42:53Z</dcterms:modified>
</cp:coreProperties>
</file>