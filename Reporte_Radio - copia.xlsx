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625AE0B0-3A41-4BED-B033-7A087E10022D}"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84" i="2"/>
  <c r="B86" i="2"/>
  <c r="B88" i="2"/>
  <c r="B90" i="2"/>
  <c r="B93" i="2"/>
  <c r="B95" i="2"/>
  <c r="B96" i="2"/>
  <c r="B98" i="2"/>
  <c r="B100" i="2"/>
  <c r="B103" i="2"/>
  <c r="B105" i="2"/>
  <c r="B107" i="2"/>
  <c r="B110" i="2"/>
  <c r="B112" i="2"/>
  <c r="B114" i="2"/>
  <c r="B116" i="2"/>
  <c r="B118" i="2"/>
  <c r="B120" i="2"/>
  <c r="B122" i="2"/>
  <c r="B124" i="2"/>
  <c r="B126" i="2"/>
  <c r="B128" i="2"/>
  <c r="B129" i="2"/>
  <c r="B131" i="2"/>
  <c r="B133" i="2"/>
  <c r="B135" i="2"/>
  <c r="B137" i="2"/>
  <c r="B139" i="2"/>
  <c r="B141" i="2"/>
  <c r="B143" i="2"/>
  <c r="B145" i="2"/>
  <c r="B147" i="2"/>
  <c r="B149" i="2"/>
  <c r="B151" i="2"/>
  <c r="B153" i="2"/>
  <c r="B155" i="2"/>
  <c r="B157" i="2"/>
  <c r="B159" i="2"/>
  <c r="B161" i="2"/>
  <c r="B163"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5" i="2"/>
  <c r="B87" i="2"/>
  <c r="B89" i="2"/>
  <c r="B91" i="2"/>
  <c r="B92" i="2"/>
  <c r="B94" i="2"/>
  <c r="B97" i="2"/>
  <c r="B99" i="2"/>
  <c r="B101" i="2"/>
  <c r="B102" i="2"/>
  <c r="B104" i="2"/>
  <c r="B106" i="2"/>
  <c r="B108" i="2"/>
  <c r="B109" i="2"/>
  <c r="B111" i="2"/>
  <c r="B113" i="2"/>
  <c r="B115" i="2"/>
  <c r="B117" i="2"/>
  <c r="B119" i="2"/>
  <c r="B121" i="2"/>
  <c r="B123" i="2"/>
  <c r="B125" i="2"/>
  <c r="B127" i="2"/>
  <c r="B130" i="2"/>
  <c r="B132" i="2"/>
  <c r="B134" i="2"/>
  <c r="B136" i="2"/>
  <c r="B138" i="2"/>
  <c r="B140" i="2"/>
  <c r="B142" i="2"/>
  <c r="B144" i="2"/>
  <c r="B146" i="2"/>
  <c r="B148" i="2"/>
  <c r="B150" i="2"/>
  <c r="B152" i="2"/>
  <c r="B154" i="2"/>
  <c r="B156" i="2"/>
  <c r="B158" i="2"/>
  <c r="B160" i="2"/>
  <c r="B162"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<sst xmlns="http://schemas.openxmlformats.org/spreadsheetml/2006/main" count="1635" uniqueCount="312">
  <si>
    <t>Fecha</t>
  </si>
  <si>
    <t>Titular</t>
  </si>
  <si>
    <t>Dependencia</t>
  </si>
  <si>
    <t>Canal</t>
  </si>
  <si>
    <t>Tema</t>
  </si>
  <si>
    <t>Estatus</t>
  </si>
  <si>
    <t>Sipdus</t>
  </si>
  <si>
    <t>Informativa</t>
  </si>
  <si>
    <t>Acir 92.5 FM</t>
  </si>
  <si>
    <t>Radioescucha</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</si>
  <si>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</si>
  <si>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</si>
  <si>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</si>
  <si>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</si>
  <si>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</si>
  <si>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</si>
  <si>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</si>
  <si>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</si>
  <si>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</si>
  <si>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</si>
  <si>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</si>
  <si>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</si>
  <si>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</si>
  <si>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</si>
  <si>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</si>
  <si>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</si>
  <si>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</si>
  <si>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</si>
  <si>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</si>
  <si>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</si>
  <si>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</si>
  <si>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</si>
  <si>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</si>
  <si>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</si>
  <si>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</si>
  <si>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</si>
  <si>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</si>
  <si>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</si>
  <si>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</si>
  <si>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</si>
  <si>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</si>
  <si>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</si>
  <si>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Eulalio Larrieta agradece a Carlos Gamiño por estar al pendiente de temas.</t>
  </si>
  <si>
    <t>Segobh</t>
  </si>
  <si>
    <t>Eulalio Larrieta agradece a Jair Martínez de la SEGOBH, porque esta al pendiente de lo que se necesite y los reportes.</t>
  </si>
  <si>
    <t>Abasto de agua</t>
  </si>
  <si>
    <t>SSH</t>
  </si>
  <si>
    <t>RADIO LOCAL</t>
  </si>
  <si>
    <t>NQ 90.1 FM</t>
  </si>
  <si>
    <t>Enlace Hidalgo1</t>
  </si>
  <si>
    <t>Jesús Riveros</t>
  </si>
  <si>
    <t>Juan Carlos Santamaría</t>
  </si>
  <si>
    <t>Ultra 102.9 FM</t>
  </si>
  <si>
    <t>Ultra Noticias1</t>
  </si>
  <si>
    <t>Vialidad En Mal Estado</t>
  </si>
  <si>
    <t>Daniel Martínez</t>
  </si>
  <si>
    <t>Canal del Pueblo</t>
  </si>
  <si>
    <t>Vocales Radio</t>
  </si>
  <si>
    <t>Saderh</t>
  </si>
  <si>
    <t>TV LOCAL</t>
  </si>
  <si>
    <t>Aldo Falcón</t>
  </si>
  <si>
    <t>Andrés Torres</t>
  </si>
  <si>
    <t>Planeación</t>
  </si>
  <si>
    <t>Jessenia Romero</t>
  </si>
  <si>
    <t>Vía telefónica el reporte de Bombero y Protección Civil con Abner Yáñez informa de las diversas emergencias reportadas por la ciudadanía y que fueron atendidas.</t>
  </si>
  <si>
    <t>Auxilio a la ciudadanía</t>
  </si>
  <si>
    <t>Abner Yáñez</t>
  </si>
  <si>
    <t>Participación</t>
  </si>
  <si>
    <t>Súper Stéreo 100.5 FM</t>
  </si>
  <si>
    <t>Enfoque Regional Matutino</t>
  </si>
  <si>
    <t>Rodolfo López</t>
  </si>
  <si>
    <t>PGJEH</t>
  </si>
  <si>
    <t>Enlace Hidalgo2</t>
  </si>
  <si>
    <t>Combate a la delincuencia</t>
  </si>
  <si>
    <t>Iza Hernández</t>
  </si>
  <si>
    <t>Turismo</t>
  </si>
  <si>
    <t>TEEH</t>
  </si>
  <si>
    <t>Órgano Interno de Control</t>
  </si>
  <si>
    <t>Informe Alcalde</t>
  </si>
  <si>
    <t>Ataque Armado</t>
  </si>
  <si>
    <t>Reforma Electoral</t>
  </si>
  <si>
    <t>Carretera Huasca</t>
  </si>
  <si>
    <t>Grito De Independencia</t>
  </si>
  <si>
    <t>Paquete de apoyos escolares</t>
  </si>
  <si>
    <t>Fuga De Agua</t>
  </si>
  <si>
    <t>Rehabilitación Vial</t>
  </si>
  <si>
    <t>Partidos</t>
  </si>
  <si>
    <t>Morena</t>
  </si>
  <si>
    <t>Centro de acopio lechero</t>
  </si>
  <si>
    <t>Visita Sheinbaum</t>
  </si>
  <si>
    <t>Cultura</t>
  </si>
  <si>
    <t>Concierto Sinfónico</t>
  </si>
  <si>
    <t>Iniciativa</t>
  </si>
  <si>
    <t>Fortalece SEPH seguimiento académico en Educación Básica</t>
  </si>
  <si>
    <t>Fortalecimiento educativo</t>
  </si>
  <si>
    <t>El secretario de Agricultura y Desarrollo de Hidalgo, Napoleón González Pérez, encabezó la entrega regional de apoyos agrícolas y acuícolas en el Centro Cívico Social de Tulancingo. Con una inversión total de 8,596,155 pesos, se benefició a 179 productores de diversos municipios de la región a través de tres programas: la dotación de 200,000 crías de peces (tilapia y carpa), el impulso a huertos familiares para mujeres rurales, y la entrega de equipamiento e infraestructura intraagrícola como sistemas fotovoltaicos móviles.</t>
  </si>
  <si>
    <t>Apoyo Al Agro</t>
  </si>
  <si>
    <t>El presidente municipal de Cuautepec de Hinojosa, Jorge Hernández Arauz, rindió su segundo informe de gobierno ante autoridades estatales, municipales y ciudadanos en el jardín municipal. Durante su intervención, destacó logros en materia de infraestructura pública (agua potable, drenajes, electrificación y vialidades), seguridad (videovigilancia y proximidad policial) y bienestar social (apoyo a grupos vulnerables a través del sistema DIF). El evento contó con la representación del gobierno estatal y concluyó con el llamado del alcalde a mantener el trabajo coordinado y sin descanso por el desarrollo del municipio.</t>
  </si>
  <si>
    <t>Informe De Gobierno</t>
  </si>
  <si>
    <t>Tulancingo se prepara para celebrar las Fiestas Patrias 2026 con una agenda que reunirá a las familias en el centro de la ciudad el día 15, en una jornada dedicada a las tradiciones, la música y el orgullo de ser mexicanos. El Gobierno Municipal, a través de la Secretaría de Cultura, Educación, Deporte y Juventud, dio a conocer que el escenario principal será el Jardín La Floresta, donde se instalará la tradicional verbena popular con antojitos mexicanos, artesanías y actividades para toda la familia. Para esta celebración se prevé una asistencia de entre 8 mil y 10 mil personas. La noche del 15 de septiembre tendrá como atractivo principal la presentación de Cadetes de Linares, agrupación que acompañará el festejo con música y nostalgia. Las actividades del 15 de septiembre comenzarán a las 15:00 horas con una programación cultural distribuida en dos escenarios. En el Jardín La Floresta se desarrollará la ceremonia del Grito de Independencia, que será encabezada por la presidenta municipal, Lorena García Cázares, mientras que el Centro Cultural Ricardo Garibay recibirá entre ocho y diez agrupaciones locales, que mostrarán el talento artístico de Tulancingo. A esta programación se sumará la tradicional Carrera Nocturna del 15 de septiembre, cuya convocatoria ya se encuentra abierta y que contempla la participación de alrededor de 300 corredores. Minutos antes de las 23:00 horas se realizará el protocolo del Grito de Independencia, acompañado de la lectura del Acta de Independencia y el tradicional vitoreo a las heroínas y héroes que contribuyeron a la libertad de México. La jornada concluirá con un espectáculo sorpresa de cantantes y música mexicana, para mantener el ambiente festivo en una noche pensada para convivir y celebrar las raíces que unen a las familias tulancinguenses.</t>
  </si>
  <si>
    <t>Entrega SEPH útiles, uniformes, calzado y libros a estudiantes de Tizayuca</t>
  </si>
  <si>
    <t>Locutor Jesús Riveros da lectura a comentario de radioescucha que reporta, que desde hace dos semanas se encuentra fundida la luminaria del alumbrado público en la colonia Francisco I. Madero, hacen un llamado a las autoridades correspondientes, ya que en la noche esta zona es muy insegura.</t>
  </si>
  <si>
    <t>alumbrado público</t>
  </si>
  <si>
    <t>En el reporte de los servicios de emergencia, Abner Yáñez, de bomberos y protección civil, informó sobre la atención de diversos incidentes, destacando incendios de llantas y pasto, rescates de animales, fugas de gas, atención a personas enfermas, enjambres y cables caídos. Asimismo, reportó accidentes viales ocurridos durante el fin de semana, entre ellos un choque automovilístico en la colonia Emiliano Zapata y dos accidentes graves de motocicleta en la carretera México-Tuxpan (a la altura del nuevo Tulancingo y en Zapotlán de Allende) que dejaron a varios jóvenes con traumatismo de cráneo, señalando que ninguno portaba casco de protección. Finalmente, en el pronóstico del clima, indicó que se espera cielo despejado por la mañana, nublado por la tarde, baja probabilidad de lluvia, temperatura máxima de 22°C y mínima de 10°C.</t>
  </si>
  <si>
    <t>Durante la visita de la presidenta Claudia Sheinbaum en Hidalgo, se registró la irrupción de normalistas del Mëshë y de la escuela normal rural Luis Villarreal en el templete de prensa. Los manifestantes exigieron el cumplimiento de acuerdos para la apertura total de su escuela, el esclarecimiento del homicidio de un compañero ocurrido la semana anterior, la repartición de tierras y la mejora de sus instalaciones en mal estado. A pesar de que el acto se adelantó una hora y de la presencia de seguridad, los estudiantes lograron ingresar empujando las vallas metálicas justo al finalizar el evento mientras se entonaba el himno nacional, debido también a las condiciones climáticas. Por su parte, la Secretaría de Gobernación Federal indicó que atenderá las demandas planteadas por los normalistas.</t>
  </si>
  <si>
    <t>Durante el fin de semana, la presidenta Claudia Sheinbaum realizó una visita al estado de Hidalgo, donde encabezó la asamblea "Honestidad y Resultados" en el Domo de las Estrellas de Pachuca. La mandataria informó que más de 1.1 millones de hidalguenses reciben apoyos a través de los programas para el bienestar, destacando pensiones para adultos mayores y personas con discapacidad, becas educativas (como Benito Juárez y Rita Cetina), entrega de leche, y el programa La Escuela es Nuestra. Asimismo, anunció importantes proyectos de infraestructura, que incluyen la construcción de 10 bachilleratos nacionales Margarita Maza, un campus de la Universidad Rosario Castellanos, la ampliación de hospitales del IMSS y del ISSSTE, el desarrollo de miles de viviendas del Bienestar, y obras de conectividad regional como el tren Ciudad de México-Pachuca y la modernización de carreteras y sistemas de riego en la entidad.</t>
  </si>
  <si>
    <t>Entrevista en cabina, el biólogo Rolando Arturo Pérez García informó sobre las actividades y el funcionamiento de los módulos del Instituto Nacional Electoral (INE) de la Junta Distrital 04 en Tulancingo. Detalló que el miércoles 16 de septiembre los módulos permanecerán cerrados por ser día festivo, reanudando labores el 17 de septiembre. Asimismo, especificó los domicilios y horarios del módulo fijo ubicado en la Colonia Los Pinos segunda sección, así como las rutas y fechas de atención de los módulos itinerantes que visitarán Acaxochitlán, Metepec y Agua Blanca. Finalmente, recordó los requisitos para trámites como inscripción de jóvenes de 17 años que cumplirán la mayoría de edad antes del 6 de junio de 2027, reincorporación, cambio de domicilio y reemplazo por vencimiento de vigencia, cuya fecha límite para actualización es el 25 de enero de 2027.</t>
  </si>
  <si>
    <t>Credencialización</t>
  </si>
  <si>
    <t>Durante la conferencia matutina, el subsecretario de Protección Civil y Gestión de Riesgos del Estado, Román Bernal Díaz, emitió una serie de recomendaciones preventivas para los festejos patrios del 15 y 16 de septiembre, orientadas a salvaguardar la integridad de la ciudadanía tanto en plazas públicas como en hogares. Entre las pautas principales para eventos masivos destacó la identificación de rutas de evacuación, salidas de emergencia, el establecimiento de puntos de reunión familiares, el cuidado especial de niños y adultos mayores mediante tarjetas de identificación, y la prohibición de ciertos objetos. Asimismo, se recordó la participación estelar del cantante Carlos Rivera en las celebraciones y se subrayaron las recomendaciones emitidas por la secretaría de Salud para prevenir incidentes que afecten la seguridad y la salud pública.</t>
  </si>
  <si>
    <t>Mañanera de Hidalgo</t>
  </si>
  <si>
    <t>Durante la conferencia de prensa, Edmundo Pineda, titular de la Oficina de Comunicación Digital del Gobierno del Estado, destacó que Hidalgo cuenta con 84 municipios, pero posee una cantidad aún mayor de lienzos charros distribuidos en su geografía debido al profundo arraigo de la charrería, coincidiendo con la conmemoración del día dedicado a este deporte nacional. Asimismo, envió una felicitación a los locutores en su día —reconociendo la labor en plataformas de radio, televisión y medios multimedia— y se reconoció la labor de enlaces de comunicación regional como Juan Carlos Santa María desde Tulancingo a través de la XNQ.</t>
  </si>
  <si>
    <t>OCSAD</t>
  </si>
  <si>
    <t>Durante la conferencia matutina del Gobierno del Estado, la titular de la Secretaría de Movilidad y Transporte, Lizbeth Robles Gutiérrez, informó que la ruta troncal atiende actualmente a más de 61,000 usuarios diarios con una eficiencia operativa del 99%, logrando además reducir los siniestros viales y la frecuencia de paso. No obstante, detalló que el bulevar Felipe Ángeles enfrenta una alta saturación vehicular debido a su dinamismo económico, la concentración de centros comerciales, hospitales y escuelas, así como por obras públicas y la baja ocupación de vehículos particulares. Para mitigar esta problemática, se anunció la instalación de cámaras con inteligencia artificial en paraderos clave como el Tecnológico de Pachuca, la Procuraduría de Justicia y Téllez, las cuales analizarán el flujo vehicular y evaluarán soluciones, en coordinación con el exhorto emitido por el Congreso del Estado para revisar las restricciones en los carriles confinados.</t>
  </si>
  <si>
    <t>Durante la conferencia matutina semanal del Gobierno del Estado, realizada desde el Parque Cultural Hidalguense, intervino el presidente municipal de Pachuca, Jorge Alberto Reyes Hernández. El alcalde informó sobre los cierres viales implementados por las fiestas patrias en calles como Belisario Domínguez y Vicente Segura, en las inmediaciones de Plaza Juárez y la Glorieta Revolución, donde ya se instalan los juegos mecánicos. Asimismo, detalló que se realizarán labores de limpieza en la madrugada del 16 de septiembre y destacó la coordinación con dependencias como la Secretaría de Seguridad Pública de Hidalgo, la Oficialía Mayor y la Procuraduría para garantizar la seguridad y el desarrollo de los festejos.</t>
  </si>
  <si>
    <t>Durante la cobertura de la conferencia matutina del Gobierno del Estado desde el Parque Cultural Hidalguense, se informó sobre la intervención de Edgard Orlando Ángeles Pérez, titular de la Oficialía Mayor. El funcionario detalló que el sistema de transporte metropolitano incrementó su promedio de usuarios diarios de 68,000 en junio a más de 91,000, gracias a la incorporación de nuevas unidades impulsadas por la administración estatal. Esta mejora busca reducir el uso de vehículos particulares en Pachuca y mitigar el tráfico vehicular. Asimismo, se anunciaron trabajos constantes de mantenimiento en unidades y estaciones de la ruta troncal, destacando la coordinación con la Secretaría de Movilidad y Transporte encabezada por Lizbeth Robles Gutiérrez para eficientar el servicio por instrucción del gobernador Julio Menchaca Salazar.</t>
  </si>
  <si>
    <t>Oficialía Mayor</t>
  </si>
  <si>
    <t>Durante la conferencia matutina semanal del Gobierno del Estado de Hidalgo, se presentaron extractos de los "Círculos de diálogo" encabezados por el gobernador Julio Menchaca Salazar con habitantes de la entidad. En estos espacios se destacó el potencial turístico y económico del estado, posicionándolo más allá del turismo tradicional al resaltar su riqueza cultural, gastronómica, artesanal e histórica (como cuna de la charrería y del fútbol, además de contar con un geoparque). Asimismo, se enfatizó la importancia de la profesionalización, la capacitación y el impulso al turismo comunitario para generar empleos, arraigar a las poblaciones locales y revalorizar la identidad ancestral y artesanal hidalguense. La transmisión también adelantó los temas que se abordarían posteriormente en la agenda estatal, tales como movilidad, protección civil, asuntos del municipio de Pachuca, oficialía mayor y deporte.</t>
  </si>
  <si>
    <t>En la sección "La vida hoy", el doctor Luis Téllez Reyes reflexiona sobre los acontecimientos más destacados en el estado de Hidalgo durante la semana del 7 al 12 de septiembre de 2026. Analiza positivamente el proyecto de presupuesto federal para 2027 con obras como el tren AIFA-Pachuca, el crecimiento económico histórico del 8.2% en el primer trimestre, el inicio del ciclo escolar para más de 69,000 jóvenes, las acciones de protección sanitaria y la entrega de apoyos sociales. Luis Téllez Reyes concluye que todas estas áreas convergen en la aspiración común de generar mejores oportunidades y calidad de vida para las familias hidalguenses mediante la autonomía y el desarrollo integral.</t>
  </si>
  <si>
    <t>Hidalgo participó en la 20.ª Cumbre de Gobierno y Tecnología.</t>
  </si>
  <si>
    <t>Mejora regulatoria</t>
  </si>
  <si>
    <t>La Secretaría de Seguridad Pública de Hidalgo desplegará un operativo especial en los 84 municipios durante las celebraciones patrias del 15 y 16 de septiembre</t>
  </si>
  <si>
    <t>Fiestas Patrias</t>
  </si>
  <si>
    <t>Y en Tepeapulco, policías estatales con apoyo de elementos municipales detuvieron a un hombre presuntamente relacionado con al menos siete asaltos a tiendas de conveniencia cometidos en Hidalgo y el Estado de México.</t>
  </si>
  <si>
    <t>Secretaría de Salud llama a celebrar las Fiestas Patrias con responsabilidad .</t>
  </si>
  <si>
    <t>La Fundación Elena Poniatowska Amor donó 2000 libros de lectura a la Secretaría de Educación Pública de Hidalgo destinados a niñas y niños de educación básica. Estos ejemplares serán distribuidos por la Subsecretaría de Educación Básica a través de la Dirección General de Desarrollo Curricular para acercar materiales literarios a las comunidades escolares y fomentar el gusto por la lectura.</t>
  </si>
  <si>
    <t>Donación de libros</t>
  </si>
  <si>
    <t>La Secretaría de Educación Pública de Hidalgo presentó el procedimiento para registrar en el sistema CONEST los resultados de los ejercicios integradores del aprendizaje correspondientes al ciclo escolar 2026-2027.</t>
  </si>
  <si>
    <t>La Poderosa Tuxpan 93.1 FM</t>
  </si>
  <si>
    <t>Nn Nuestras Noticias Zona Norte</t>
  </si>
  <si>
    <t>El secretario de Educación Pública de Hidalgo, Natividad Castrejón Valdez, encabezó la entrega de uniformes, útiles escolares, calzado y libros de texto a estudiantes de la escuela Secundaria General “Ismael Villaseñor Ramírez”, en Tizayuca.</t>
  </si>
  <si>
    <t>Liz Argüelles</t>
  </si>
  <si>
    <t>Durante la trigésima novena sesión del sistema estatal para prevenir, atender, sancionar y erradicar la violencia contra las mujeres, realizada en Tepeapulco, autoridades informaron avances registrados de enero a junio de 2026. En este informe se dio a conocer que 600 escuelas aplican el programa de igualdad sustantiva y 100 policías violetas fueron capacitados en protocolos de atención. El objetivo de esta jornada es dar seguimiento a los trabajos de ambos mecanismos de coordinación mediante la presentación de los informes correspondientes a sus condiciones y subsistemas, con el propósito de fortalecer la conjunción de esfuerzos, instrumentos, políticas, servicios y acciones interinstitucionales.</t>
  </si>
  <si>
    <t>Erradicación Violencia De Género</t>
  </si>
  <si>
    <t>Radio Lobo 96.7 FM</t>
  </si>
  <si>
    <t>Enlace Noticias</t>
  </si>
  <si>
    <t>Hidalgo impulsa el turismo cinematográfico con segundo recorrido de locaciones para casas productoras</t>
  </si>
  <si>
    <t>Producción audiovisual</t>
  </si>
  <si>
    <t>Gina Lorenzo</t>
  </si>
  <si>
    <t>En representación del gobernador, el secretario de Bienestar e Inclusión Social, Ricardo Gómez Moreno, recibió el segundo informe de gobierno del Ayuntamiento de Mixquiahuala.</t>
  </si>
  <si>
    <t>Bienestar</t>
  </si>
  <si>
    <t>El gobernador Julio Menchaca Salazar dio la bienvenida a la presidenta de México este fin de semana, donde presentó su segundo informe de gobierno.</t>
  </si>
  <si>
    <t>Informe Sheinbaum</t>
  </si>
  <si>
    <t>El gobernador Julio Menchaca Salazar acompañó a la presidenta de México, Claudia Sheinbaum Pardo, durante su rendición de cuentas ante miles de hidalguenses a quienes le refrendó su compromiso de seguir trabajando en la transformación de la entidad.Hoy, con su gobierno, con los megaproyectos que usted va a anunciar, con ese cariño que le tiene a Hidalgo y a cada una de las regiones de nuestro país, demuestra que la primera mujer presidenta de los Estados Unidos mexicanos está respondiendo con resultados, con cariño, con valentía. Nos representa, presidenta. Estamos orgullosos, de Usted.</t>
  </si>
  <si>
    <t>La Orquesta Sinfónica del Estado de Hidalgo realizará un homenaje al Príncipe de la Canción José José en el Auditorio Gota de Plata</t>
  </si>
  <si>
    <t>Es cierto lo que dice esta persona, que muchos municipios se lavan las manos para atender el problema de violencia contra las mujeres. Y ya lo escuchamos, 25 municipios cuentan con centros libres y 8 con espacios temporales. Somos 84 municipios a nivel estatal. Estamos hablando que ni el 25% del Estado tiene condiciones idóneas para atender los casos de violencia contra las mujeres. Es importante tocar el tema, es importante hablar de esto en el Cabildo, además de esos chismes de que si se equivocan en la reunión de Cabildo, que si llegan, que si hay pique entre regidores y presidentes o presidentas municipales, y hay que siempre votan en contra. Estos temas no se hablan, no se tocan en los ayuntamientos. Si fuera así, si se hablaran, si hubiera un proyecto integral, estamos hablando que también hay representación de mujeres en las alcaldías, hay presidentas municipales. Ellos tendrían que ser empáticas con las mismas mujeres de sus municipios y no se tocan estos temas. 25 municipios solamente cuentan con sistema para atender la violencia contra las mujeres y 8 con espacios temporales. Porque cuando una mujer decide denunciar, ya no hay vuelta atrás, pero tampoco después de la denuncia puede regresar a su casa, donde está el violentador. ¿Imagina usted el miedo, la incertidumbre, todo lo que esta persona, esta mujer puede llegar a sufrir, únicamente con solo denunciar? Por eso es importante tocar el tema, por eso es importante también hoy la reforma electoral. Si estamos hablando que se pretende que 42 mujeres lleguen a los cabildos, lleguen a las presidencias municipales en Estado, pues al menos esta cifra tendría que duplicarse. Tendríamos que tener al menos mínimo 50 centros especializados que atiendan y que tengan sus centros, sus espacios temporales. Más de la mitad del Estado tendríamos que tener para el 2028. Las elecciones son en 2027. Ahí está un punto que usted tiene que tomar en cuenta a la hora de votar.</t>
  </si>
  <si>
    <t>Y al menos un grupo de treinta normalistas irrumpieron con gritos y pancartas el evento que la presidenta Claudia Sheinbaum Pardo realizaba este domingo en Pachuca. Casi al finalizar el evento, el grupo proveniente de la Escuela Normal Rural Luis Villarreal El Mexe derribó las vallas impuestas por la organización de la mandataria federal. Patearon las divisiones metálicas y forcejearon con los elementos de seguridad para lograr ingresar al templete donde estaba localizada la prensa.</t>
  </si>
  <si>
    <t>El Mexe</t>
  </si>
  <si>
    <t>Ahora sí, vamos con otros temas. Una mujer de 46 años, que se encontraba en el interior de su auto, fue asesinada a balazos la tarde del pasado viernes en el municipio de Tula de Allende.</t>
  </si>
  <si>
    <t>Y un hombre que caminaba por el centro de Pachuca con una boa sobre los hombros fue interceptado por policías municipales tras un reporte ciudadano. Vaya, vaya situación. Durante la revisión no pudo acreditar la legal procedencia del reptil, por lo que fue puesto a disposición de la Fiscalía General de la República. La Profepa ya atiende el caso para determinar responsabilidades. La boa fue valorada por especialistas y presentó lesiones en la boca, nódulos en el cuerpo, baja temperatura y poca reacción. Autoridades recordaron que la tenencia de fauna silvestre requiere documentos y autorizaciones y que está prohibido pasear a estos animales en la vía pública.</t>
  </si>
  <si>
    <t>Rescate de especies</t>
  </si>
  <si>
    <t>Y un trágico accidente vial registrado el fin de semana cobró la vida de un motociclista en el primer cuadro de la capital hidalguense. El percance ocurrió en la colonia centro, donde la motocicleta del hoy fallecido colisionó contra una unidad del transporte público tipo urban de la ruta Tulipanes-Centro. Paramédicos acudieron al sitio para brindarle los primeros auxilios, sin embargo, confirmaron que el motociclista ya no contaba con signos vitales.</t>
  </si>
  <si>
    <t>Accidente Carretero</t>
  </si>
  <si>
    <t>Y en otros temas, en otra información, siete hombres fueron detenidos luego del asalto a un camión repartidor de la empresa Coca-Cola ocurrido este fin de semana en la localidad de Jaguay Blanco, en el municipio de Mixquiahuala.</t>
  </si>
  <si>
    <t>Detención</t>
  </si>
  <si>
    <t>Y entre 5 y 6 personas privadas de la libertad en Hidalgo podrán obtener su preliberación el próximo 15 de septiembre debido a su edad avanzada o por motivos de salud, así lo informó el secretario de Gobierno, Guillermo Olivares Reina, quien explicó que el Estado ya trabaja en la identificación de posibles beneficiarios desde antes de la reunión del pasado 8 de septiembre con Rosa Icela Rodríguez Velázquez, secretaria de Gobernación Federal.</t>
  </si>
  <si>
    <t>Liberación de detenidos</t>
  </si>
  <si>
    <t>Y es hoy, es hoy, ahora sí como el meme, es hoy, es hoy, el presidente de la Junta de Gobierno del Congreso Estatal, Andrés Velázquez Vázquez, informó que hoy lunes 14 de septiembre se prevé discutir ante el Pleno la reforma electoral en Hidalgo.</t>
  </si>
  <si>
    <t>Pero bueno, la secretaria de Gobernación aseguró que revisará las demandas y dará seguimiento a las denuncias del grupo de estudiantes normalistas del Mexe. De acuerdo con la dependencia, los alumnos buscan que se atiendan demandas de infraestructura y equipamiento de la Escuela Normal Rural Luis Villarreal, como la delimitación del predio y la continuación de la segunda etapa del internado. La SEGOB aseguró que se trata de demandas históricas que se analizarán en conjunto con autoridades educativas federales y estatales para definir las acciones que corresponden. La secretaria de Gobernación, encabezada por Rosa Icela Rodríguez Velázquez, afirmó que, en compromiso con su deber, dará seguimiento a ambos temas.</t>
  </si>
  <si>
    <t>Radioescucha reporta calle del panteón municipal esta en muy mal estado</t>
  </si>
  <si>
    <t>Radioescucha dice una fuga muy grande de agua potable en Parque de Poblamiento, ojalá nos hagan caso, ya nos enviaron la fotografía y todas las cosas aquí</t>
  </si>
  <si>
    <t>Radioescucha dice: «Feliz Día del Locutor, Lalo, para ti, para todos los loc- los colaboradores. Buen día. Me gustaría reportar a Caasim que en la colonia Loma, en especial en la calle Flamingos, solamente cae agua los sábados una hora. En realidad no nos alcanza para llenar nada. Por favor, que Caasim la ponga a tiempo. Somos muchas familias»</t>
  </si>
  <si>
    <t>Radioescucha Lic. Najar agradece a las autoridades, ya que despúes de año y medio abrieron la calle en de Sonora en San Bartólo</t>
  </si>
  <si>
    <t>Liberación de vía</t>
  </si>
  <si>
    <t>Hidalgo acumula 175 casos de COVID y 15 fallecimientos. Adelante, vamos a escuchar a Jaqueline Servín.Secretaría de Salud con corte al 7 de septiembre, en Hidalgo se han registrado 175 casos de COVID-19 y 15 fallecimientos por esta causa. En la última semana se registraron nueve contagios y tres fallecimientos. A nivel nacional, Hidalgo se ubica como la entidad con más fallecimientos por COVID-19 y en tercer lugar con más contagios. En cuanto a casos de influenza, se registran 26 casos y un fallecimiento</t>
  </si>
  <si>
    <t>Covid 19</t>
  </si>
  <si>
    <t>La Secretaría de Infraestructura Pública y Desarrollo Urbano Sostenible informó que a partir de este lunes 14 de septiembre habrá cierre vehicular en el bulevar Felipe Ángeles, en el tramo lateral de Venta Prieta hacia el acceso al Tecnológico de Pachuca, con una duración estimada de 45 días. Para facilitar la circulación, se habilitará un carril en la bajada del puente vehicular de Venta Prieta como vía alterna. Por ello se recomienda anticipar traslados, considerar tiempo adicional y respetar el señalamiento vial en la zona.</t>
  </si>
  <si>
    <t>En el marco del Día Nacional del Charro, que se celebra cada 14 de septiembre, el Congreso del Estado de Hidalgo realizó un acto en el que legisladores y representantes de la comunidad charra destacaron la importancia de preservar esta tradición y transmitirla a las nuevas generaciones.Durante el encuentro, el presidente de la Junta de Gobierno del Congreso local, Andrés Velázquez Vázquez, destacó el vínculo histórico de Hidalgo con la charrería y señaló que la entidad ocupa un lugar especial dentro de esta tradición al ser considerada su cuna.Asimismo, el legislador reconoció la labor de charros, escaramuzas, familias, asociaciones e instructores que contribuyen a mantener vigente esta expresión cultural y refrendó el compromiso del Poder Legislativo con la preservación de las tradiciones.</t>
  </si>
  <si>
    <t>Día del Charro</t>
  </si>
  <si>
    <t>Eulalio Larrieta agradece a Sarahi Pineda, por estar atentas a los mensajes de la ciudadanía y por atenderlos.</t>
  </si>
  <si>
    <t>Coordinación interestatal</t>
  </si>
  <si>
    <t>Andrés Torrres recuerda que el domingo Luciano Cornejo, quien intentaba dialogar con los jóvenes del Mexe, pero en 1999, él era quien azuzaba a los estudiantes de la Normal, cuando amarraron y desnudaron a policías en la Plaza de la Revolución en Francisco I. Madero en Tepatepec durante el gobierno de Manuel Ángel Núñez y con Miguel Osorio como secretario de Gobierno. Señala que Luciano Cornejo en su juventud era "incendiario" y ahora actúa como "apagafuegos", reflejando cómo las circunstancias y roles de las personas pueden cambiar con el tiempo.</t>
  </si>
  <si>
    <t>Sobre los alumnos del Mexe, quienes el fin de semana durante el evento de la presidenta Claudia Sheinbaum se manifestaron y se saltaron las vallas de seguridad, Alberto González lo califica de un asunto menor y plantea la pregunta sobre la falta de acción de las huestes o los policías bajo el mando de Salvador Cruz Neri, a diferencia de su intervención en una manifestación de médicos del ISSSTE. Por su parte Andrés Torres menciona un conflicto entre el procurador de justicia, Francisco Fernández Hasbun, y Cruz Neri, esto cuando los del Mexe hicieron lo propio en las instalaciones de la SEPH, y fue esto lo que trascendió y quedó registrado ante los medios. ahí, dijeron que los dos se deslindaban del tema.</t>
  </si>
  <si>
    <t>Andrés Torres Y Alberto Gonzálezz</t>
  </si>
  <si>
    <t>Andrés torres y Alberto González comentan que ayer durante su visita la presidenta Claudia Sheinbaum mencionó que más de 1,100,000 hidalguenses se benefician de un programa social. Se plantea que, hipotéticamente, un millón podría representar el voto fiel de Morena en las próximas elecciones. Sin embargo, se cuestiona si todos esos beneficiarios votarán, ya que podrían sentirse amenazados con la posibilidad de que se les quite el programa, que constitucionalmente no puede ser eliminado. Se observa que el número de beneficiarios ha crecido mucho desde 2023, cuando había solo 500,000. Esto es relevante porque se acercan las elecciones. Se sugiere que quizás Morena tenga más simpatizantes que los registrados, y que sería útil encontrar otra manera de contarlos con precisión. También se menciona que otros partidos, como el PRI y el PRD, están intentando reposicionarse, aunque manteniendo las comparaciones en su debido contexto. Además, hay un sector de la población que está descontento con los gobiernos de Morena, especialmente a nivel municipal. Se menciona la situación de varios municipios en Hidalgo, como Tulancingo, Ixmiquilpan y Actopan, donde la insatisfacción se siente y podría afectar a Morena en las elecciones. Se considera que los malos gobiernos municipales les pasarán factura. Se comenta sobre un incidente en Tula donde se vio un conflicto entre el alcalde y regidores, y se observa que este tipo de problemas podría impactar negativamente en el partido.</t>
  </si>
  <si>
    <t>Mal desempeño de alcaldes</t>
  </si>
  <si>
    <t>Andrés torres y Alberto González hacen referencia a eventos recientes en Acaxochitlán y Tepeapulco, donde figuras del PT estuvieron involucradas, lo que destaca la relevancia de sus declaraciones. Se analizó el impacto de una alianza previa entre Morena, PT, PVEM y Panalh en las elecciones pasadas, sugiriendo que si hubieran competido solos, habrían ganado con facilidad. También se discutió la situación actual de los partidos y sus líderes, y cómo el PT y el Grupo Universidad que están todavía activos en el mapa electoral, preparándose para las elecciones de 2027. Damián Sosa fue mencionado al declarar que no irán en alianza, lo que puede influir en el futuro político. El contexto acreditado a nivel nacional entre el PT y Morena indica que ambos partidos podrían seguir colaborando, pero hay incertidumbre sobre cómo esto se traducirá en el estado de Hidalgo. En relación a las alcaldías actuales, hay dudas sobre si Morena podrá mantener su base de apoyo.</t>
  </si>
  <si>
    <t>PT</t>
  </si>
  <si>
    <t>Alianzas Electorales</t>
  </si>
  <si>
    <t>Sobre la visita de Alejandro Moreno en Pachuca, Alberto González la calificó como estridente y escandalosa por el lenguaje que usó, y que observó que el único alcalde priista que ganó en las últimas elecciones estaba a un lado de Carolina Viggiano, pero no lo vi vestido con los colores del partido, lo que llamó la atención, pues es de los alcaldes que apoya y habla bien del gobernador. Andrés Torres critica la frase de Alito, al decir que el PRI es inmortal y destacan que, a pesar de la pérdida de militancia, el partido conserva una estructura organizada.</t>
  </si>
  <si>
    <t>PRI</t>
  </si>
  <si>
    <t>Evento partidista</t>
  </si>
  <si>
    <t>Comenta Andrés Torres que para lo que sí se coordinaron los diputados fue para no asistir al informe del presidente del Tribunal Electoral en Hidalgo, Leodegario Hernández Cortés. Ahí sí hubo acuerdo, ya que hay un conflicto por un auditor interno. La relación no fluye adecuadamente y eso es evidente. Sin embargo, el presidente de la junta legislativa parece más preocupado por otros asuntos. Ayer estuvo recorriendo las calles de Pachuca, que son parte de su distrito. Está bien que haga eso, pero la ley electoral les afecta y les costará en el futuro, especialmente a quienes quieren reelegirse. Al ver la situación, muchos decidieron que lo mejor era quedarse en su puesto y no arriesgarse a moverse a otro lugar.</t>
  </si>
  <si>
    <t>Desaire</t>
  </si>
  <si>
    <t>Alberto González y Andrés Torres, respecto a la reforma electoral comentan que tal como se había adelantado en Las Vocales Radio, esta iniciativa nació muerta y habrá que ver cuál es la justificación para no haberla aprobado. Señalan que llevamos tres legislaturas desde aquella discusión en vivo cuando el ex rector de la UAEH fue atacado y los diputados saltaron a defender al presídium. Esta forma de actuar de los diputados de Morena no ha cambiado y queda claro que no han aprendido. Si supieran que las iniciativas requieren más que solo una idea rápida, no estarían en esta situación. En esta iniciativa, nadie la leyó y todos pensaron que iba a ser aprobada sin revisión. Al tratar de revisarla, se dieron cuenta de que no estaba cabildeada ni discutida con otros partidos, lo cual no refleja la realidad del Estado.</t>
  </si>
  <si>
    <t>Estuvo en Pachuca Alejandro Moreno, quien en el evento en el Cubo de Colosio dijo que "el PRI es inmortal." En este vento se dijeron listos para las próximas elecciones y se le fuero con todo al gobernador Julio Menchca.</t>
  </si>
  <si>
    <t>Andrés Torres informa que en la sesión de hoy en el Congreso se desechará la iniciativa de reforma electoral en la LXVI Legislatura de Hidalgo. Esta reforma incluía un apartado que garantizaba un 50% de candidaturas exclusivamente para mujeres, pero esta propuesta será desechada. Torres había anticipado esta noticia en sus columnas anteriores y confirma que en lugar de esta exclusividad, los partidos deberán presentar un 50% de candidatos hombres y un 50% de candidatas mujeres, según su propia conveniencia y circunstancias. Esto significa que los partidos tienen libertad para decidir cómo distribuir sus candidaturas. Expresa su interés por escuchar las justificaciones que presentarán los diputados sobre el fracaso de la iniciativa. Él señala que los mismos diputados fueron quienes presentaron la propuesta y se pregunta por qué finalmente no recibió apoyo. Opina que se dieron cuenta de que la iniciativa estaba desconectada de la realidad política de Hidalgo, lo que lo llevó a concluir que "nació muerta". Además, critica la forma en que algunas personas suelen abordar la comunicación y la promoción de su imagen, comparándolos con la propaganda de la antigua Unión Soviética. Menciona que en su programa de radio, Las Vocales, no siguen ese tipo de prácticas sensacionalistas o demagógicas y se comprometen a hacer un periodismo serio. Torres concluye expresando su curiosidad por cómo los legisladores explicarán la falta de respaldo para una iniciativa que consideraba completamente vacía.</t>
  </si>
  <si>
    <t>Al final de un evento del informe de la presidenta Glaudia Sheinbaum en las instalaciones de la feria, un grupo de estudiantes de la Normal Rural del El Mexe interrumpió la ceremonia cuando la gente se estaba retirando. Durante los honores a la bandera y la interpretación del Himno Nacional, los jóvenes lograron entrar al recinto de manera difícil, lo que generó un momento de crisis e incertidumbre. El equipo de logística del evento intentó detener su avance y hubo algunos empujones. El Secretario de Gobierno, Guillermo Olivares Reyna, y el delegado de la Secretaría de Gobernación, Luciano Cornejo, pidieron a los estudiantes que formaran una delegación para dialogar. Los jóvenes querían hablar con la Presidenta Claudia Sheinbaum y solicitar apoyo para su escuela. Ellos deseaban ver también al Secretario de Educación para preguntar sobre el futuro de su normal, que ha estado cerrada desde hace varios años. El presidente Andrés Manuel López Obrador había prometido la reapertura de la Normal, pero esta ha luchado por recuperar sus actividades desde entonces. La principal dificultad es que no hay presupuesto federal asignado. Cada año, el pago de los maestros y otros gastos dependen del Gobierno Federal, y la respuesta recurrente de las autoridades es que están haciendo lo que les corresponde a nivel local. La Escuela Normal Rural Luis Villarreal El Mexe, como otras normales, tiene un perfil federal, por lo que su financiamiento proviene de las arcas del gobierno nacional. Los estudiantes expresaron su insatisfacción con el lento avance de la normal y recordaron que la situación es un asunto que debe ser resuelto a nivel federal. Además, existe un problema más amplio: el formato del maestro rural ya no es tan relevante en el país, y las cifras de nuevos alumnos en las normales están disminuyendo cada año. Esto se debe a que hay menos demanda de maestros. Durante el incidente en el evento, las redes sociales se llenaron de comentarios sobre lo que estaba ocurriendo. A pesar del momento de tensión, al final se pudo entablar una conversación con los jóvenes. Aunque no se formaron mesas para el diálogo, todos estuvieron de pie discutiendo el tema. Finalmente, los estudiantes fueron atendidos, y el incidente concluyó sin que la situación se tornara más grave.</t>
  </si>
  <si>
    <t>“En Hidalgo tiene un ejército de mujeres y hombres con gran disposición”, afirma Menchaca a Sheinbaum</t>
  </si>
  <si>
    <t>Nuevamente este fin de semana hubo una balacera a la salida de un centro comercial, en donde una mujer resultó con heridas, que le costaron la vida. Al parecer, unas personas armadas esperaban a esta persona que salió de un centro comercial cerca del Río Rosas</t>
  </si>
  <si>
    <t>Ejecuciones</t>
  </si>
  <si>
    <t>En Acaxochitlán, estuvo presente Agustín Sosa Castelán, dirigente del PT a quien se le cuestionó si para las próximas elecciones irán en alianza con algún partido, a lo que respondió que irán solos</t>
  </si>
  <si>
    <t>Ayer se presentó un percance ahí en la avenida Juárez donde un automóvil, el conductor de un automóvil particular dio vuelta a la izquierda, no sacó el espejo, no volteó ni siquiera. Impactó contra el Tuzobús dejando al menos cinco personas lesionadas. Al lugar arribaron paramédicos quienes atendieron a estas personas y también personal de la Secretaría de Seguridad Pública dialogó con los involucrados para deslindar responsabilidades.</t>
  </si>
  <si>
    <t>Accidente Tuzobús</t>
  </si>
  <si>
    <t>La CAAMT informa que hay una fuga de agua que se está atendiendo por lo que el servicio de agua en la colonia Rojo Gómez se ha visto afectado y será que hasta la tarde ya se cuente con el abasto de agua.</t>
  </si>
  <si>
    <t>Reparación De Tubería</t>
  </si>
  <si>
    <t>SSPH captura a sujeto relacionado con asaltos a tiendas de conveniencia</t>
  </si>
  <si>
    <t>Una persona resultó lesionada durante un choque registrado entre dos motocicletas ocurrido al mediodía del sábado 12 de septiembre en la colonia Jalpa, dentro del municipio de Tula de Allende. Una de las motocicletas era conducida por una mujer, mientras que en la segunda viajaba un repartidor de tortillas. Al sitio acudió personal de atención de emergencias, quienes tras revisar al joven determinaron que requería atención médica especializada, por lo cual fue trasladado al Hospital Regional de Tula. En cuanto a la mujer que conducía la otra motocicleta, la información no se tiene en más detalles sobre su estado físico y de salud. Será a partir de las investigaciones respectivas cuando se determinen las responsabilidades legales en el caso.</t>
  </si>
  <si>
    <t>Un conductor resultó lesionado luego de perder el control de su vehículo y protagonizar también un aparatoso accidente sobre la carretera Federal Pachuca-Ciudad Sahagún, a la altura del poblado de Tepeyahualco, esto en el municipio de Zempoala. De acuerdo con los primeros reportes, el automóvil salió de la cinta asfáltica, volcó y dio varias volteretas hasta terminar a varios metros fuera de la carretera. El conductor resultó lesionado y fue atendido también por paramédicos de Protección Civil, quienes posteriormente lo trasladaron a un hospital en Ciudad Sahagún para poder recibir atención médica. Policías municipales y elementos de la Guardia Nacional acudieron al sitio y se hicieron cargo de las diligencias correspondientes.</t>
  </si>
  <si>
    <t>*Un motociclista falleció en un accidente vial ocurrido la tarde del sábado 12 de septiembre sobre la calle Belisario Domínguez, esquina con Viaducto Nuevo Hidalgo, en el centro de Pachuca. La Secretaría de Movilidad y Transporte en Hidalgo, a través de sus organismos autorizados, el Sistema de Transporte Convencional de Hidalgo, informó que elementos de la Secretaría de Seguridad Pública y del Cuerpo de Bomberos Estatal atendieron el siniestro como primeros respondientes para brindar atención a las personas involucradas. De acuerdo con la información proporcionada por la Secretaría de Seguridad, el conductor de la motocicleta derrapó sobre la carpeta asfáltica proyectándose hacia la unidad de transporte público, quedando debajo de ella. Fueron paramédicos del Heroico Cuerpo de Bomberos los cuales realizaron maniobras para liberar al motociclista; sin embargo, ya no contaba con signos vitales. Al lugar acudieron elementos de la Agencia de Investigación Criminal de la Procuraduría General de Justicia del Estado de Hidalgo para realizar las diligencias correspondientes. Personal del Sistema de Transporte Convencional de Hidalgo dio seguimiento al caso para conocer el desarrollo de los hechos e implementar las acciones correspondientes en el ámbito de su competencia, de lo que se desprende que la persona conductora y la unidad de transporte contaban con documentación en regla. La persona conductora involucrada, así como la unidad de transporte con placas de circulación A-55844-K, fueron puestas a disposición de la Secretaría de Seguridad para el deslinde de responsabilidades.</t>
  </si>
  <si>
    <t>Una mujer fue atacada con arma de fuego, esto por personas que pues se acercaron hasta el vehículo en donde ella se encontraba a bordo. La situación se registró la tarde del viernes 11 de septiembre ubicada en la zona... en la sobre la calle, perdón, José María de los Reyes, esto en la colonia La Malinche dentro del municipio de Tula de Allende. Se conoció que la mujer viajaba en automóvil, un automóvil Volkswagen Jetta azul, descendiéndome de hecho de esta para poder acudir a una tienda de abarrotes ubicada en la zona señalada. Tras realizar precisamente unas compras, la mujer abordó de nuevo el vehículo y en ese momento pues se acercaron precisamente personas que viajaban en otro vehículo automotor, quienes le dispararon de manera directa para poder huir inmediatamente del sitio. Vecinos de la demarcación reportaron la situación ante corporaciones de seguridad pública, acudiendo policías y elementos de Protección Civil al sitio de hecho donde se registró esta situación, al tiempo también que se confirmó que la mujer ya no contaba con signos vitales. Se implementó un operativo para la búsqueda y localización de los responsables del ataque, sin que hasta el momento se reporten resultados al respecto, pero la Procuraduría General de Justicia del Estado de Hidalgo inició las investigaciones respectivas al caso.</t>
  </si>
  <si>
    <t>Un hombre fue lesionado en un ataque con arma de fuego la mañana del pasado viernes 11 de septiembre en el barrio Tejanicapa, este perteneciente a la localidad de Santa María Asunción, dentro del municipio de Tulancingo. De acuerdo con testigos, dos individuos realizaron el ataque para poder huir de inmediato del sitio y fuentes policiales señalaron que se presume que el ataque hacia el hombre, de aproximadamente 40 años de edad, fue directo. De hecho, el lesionado fue trasladado a la clínica particular para poder recibir atención médica especializada, informándose el mismo viernes 11 que pues había fallecido. Tras este reporte, fue implementado un operativo para la localización de los responsables del ataque, sin que hasta el momento se reporte alguna detención. De hecho, la Procuraduría General de Justicia del Estado de Hidalgo inició las investigaciones respectivas al caso para poder determinar las responsabilidades...</t>
  </si>
  <si>
    <t>Radioescucha: están haciendo una obra a la altura de Valle Verde, ojalá y vieran que lo que hace falta ahí es un puente peatonal para los jóvenes que estudian el bachillerato. Eso sí sería una obra que se agradecería para que los jóvenes no estén arriesgando la vida cada vez que cruzan la carretera. Daniel Martínez: Es un tema que se ha solicitado desde prácticamente desde que se abrió el CECyTE ahí en Valle Verde, ¿eh? Este... y sí, en algún momento incluso el gobernador en turno, que era Omar Fayad, señaló de que se iba a hacer el puente, nada más que nos pasó como el son de La Negra: no nos dijo para cuándo.</t>
  </si>
  <si>
    <t>Solicitud de puentes</t>
  </si>
  <si>
    <t>Daniel Martínez: "Que por cierto ya estamos cruzando la primera quincena, las primeras dos semanas de... este... haber iniciado el ciclo escolar 2026-2027 y entiendo de que por lo tanto están en los plazos para... que han puesto las propias autoridades para hacer la entrega tanto de los paquetes de útiles escolares como de los uniformes y calzado escolar este... es que no me gusta usar la palabra gratuita... en base a el pago de los impuestos que cubrimos todas y todos."</t>
  </si>
  <si>
    <t>Irrumpen estudiantes de El Mexe en evento de la Presidenta Sheinbaum Exigiendo el esclarecimiento de uno de sus compañeros localizados sin vida, así como la apertura total del plantel, estudiantes de la Escuela Normal Rural Luis Villarreal irrumpieron en el evento donde la Presidenta de México, Claudia Sheinbaum, ofrecía datos y estadísticas de acciones realizadas en el Estado de Hidalgo. Prácticamente al finalizar el evento, el grupo de estudiantes logró burlar la seguridad y derribar una valla para acceder al área destinada a la prensa, en tanto que otro grupo de trabajadores oficiales intentaba una nueva contención. El evento donde la Presidenta de México se encontraba con el Gobernador del Estado de Hidalgo, Julio Menchaca Salazar, además de funcionarios federales, estatales y municipales, se llevaba a cabo en las instalaciones de la feria de Pachuca. Al tiempo que se escuchaban las notas del Himno Nacional Mexicano, los estudiantes arremetían hacia las vallas, al tiempo que lanzaban consignas y reclamos. Previo a la situación, ya habían lanzado consignas, además de exhibir mensajes donde reclamaban atención a los temas planteados. Señalaron que en una de las visitas realizadas por la Presidenta Sheinbaum Pardo al Estado de Hidalgo, concretamente a Tulancingo, ya habían solicitado que se les atendiera en cuanto al tema de la apertura total de las instalaciones de la Escuela Normal. seguraron que no han tenido respuesta alguna, sumando ahora el reclamo por la muerte de unos de sus compañeros, quien fue localizado hace unos días. No se conoce de personas detenidas por las acciones de protesta, salvo los daños que se registraron durante la situación.</t>
  </si>
  <si>
    <t>Daniel Martínez menciona su preocupación por el hecho de que, más de cinco años después de que comenzó la construcción del Centro de Acopio lechero en Tulancingo, aún no se ha completado el proceso de donación del terreno necesario para el proyecto. Señala que tanto el gobierno estatal como el federal tienen responsabilidades en la construcción y equipamiento. Se pregunta si se está revisando el estatus legal del terreno para avanzar en la donación. Jessenia Romero coincide en que hay un tema pendiente y asegura que darán seguimiento a esta situación. Martínez espera que las gestiones se concreten para finalizar dos centros de acopio lechero. Romero resalta la importancia de estos centros para los productores, quienes fueron prometidos beneficios, y lamenta que, después de tantos años, no se ha visto progreso. Ambos expresan preocupación por la falta de avances. Daniel Martínez: "Pues a esperar. No sé si sentados, pero esperar este... para ver si se concretan las gestiones y culminar estos dos centros de acopio lechero, Jess."</t>
  </si>
  <si>
    <t>Daniel Martínez: Nos soltamos el tema acerca del centro de acopio lechero de Tulancingo. Incluyamos el de Tizayuca, que también está pendiente concretar su construcción y equipamiento, o reconstrucción en ambos casos, porque por lo menos el de Tulancingo, francamente no conozco mucho la situación que tiene el de Tizayuca, pero por lo menos el de Tulancingo está saqueado, vandalizado, por momentos ocupado por momentos por personas aparentemente en situación de calle y convertido en bodega de basuras y trastos por parte de esas personas en situación de calle.</t>
  </si>
  <si>
    <t>Radioescucha: Cuándo habrá agua en a calle Francisco Villa de la Colonia Rojo Gómez</t>
  </si>
  <si>
    <t>Hoy a mediodía se inaugurará la tienda Hidarte en Tulancingo, un proyecto anunciado en octubre del año pasado por la alcaldesa Lorena García Cázares. En aquel momento, se había indicado que se estaban realizando gestiones para establecer esta tienda, que forma parte de una serie de tiendas presentes en el estado de Hidalgo. Desde marzo se había anticipado la llegada de la tienda. La tienda Hidarte será manejada por la Secretaría de Bienestar e Inclusión Social del Estado de Hidalgo (SEBISO) y estará ubicada en la planta baja del Centro Cultural Ricardo Garibay. Además, habrá dos personas encargadas de este espacio. Se mencionó que en un futuro se inaugurará el Paseo Artesanal, el cual se encuentra frente a la Cineteca y contará con aproximadamente 32 espacios para artesanos. Este Paseo está destinado a emprendedores que aún no están formalizados y no tienen registro en Hacienda. La alcaldesa ha destacado que este será el primer paso hacia su profesionalización, lo que les permitirá formar parte de Hidarte y hasta exportar sus creaciones.</t>
  </si>
  <si>
    <t>Hidarte</t>
  </si>
  <si>
    <t>Desde octubre del 2022 la Comisión de Agua y Alcantarillado de Sistemas Intermunicipales, la CAASIM, ha localizado 13,794 tomas clandestinas de agua principalmente en la capital hidalguense y también en Mineral de la Reforma. Esto fue lo que informó el titular del organismo, Juan Evel Chávez Trovamala. El funcionario explicó que el denominado "huachicoleo del agua" representa uno de los principales problemas que enfrenta el organismo operador, particularmente en sectores donde el acceso y la supervisión de la infraestructura resulta más complicado. "Casi siempre tenemos lo que le llamamos ahora el huachicoleo del agua y lo tenemos más sobre todo en las zonas altas, en las partes alejadas donde también el acceso es más complicado para nosotros". De acuerdo con la cifra proporcionada por Chávez Trovamala, las 13,794 tomas clandestinas han sido detectadas desde que asumió el cargo el 7 de octubre del 2022 hasta septiembre del 2026. Los datos ofrecidos señalan que durante la presente administración diariamente personal de la CAASIM, así como de la Policía Hídrica, han detectado 9.6 tomas clandestinas que toman el flujo de agua de manera ilegal. La Policía Hídrica es un organismo creado precisamente para atender reportes sobre el uso ilegal de la infraestructura a cargo de la CAASIM, entre ellos vandalización y robo a instalaciones, así como realización de conexiones ilegales. Chávez Trovamala señaló que Pachuca y Mineral de la Reforma son los municipios a cargo del organismo operador donde se han detectado la mayor cantidad de tomas clandestinas hacia las redes para surtido de agua potable, esto debido a que cuentan con la cantidad de infraestructura y usuarios de todos los municipios que atiende el organismo operador, lo que provoca que el número de atenciones aumente de forma importante.</t>
  </si>
  <si>
    <t>Robo De Agua</t>
  </si>
  <si>
    <t>Secretaría de Salud llama a celebrar las Fiestas Patrias con responsabilidad</t>
  </si>
  <si>
    <t>Presenta gobierno de Tulancingo, programa de Fiestas Patrias 2026 Los eventos por fiestas patrias se desarrollarán desde la tarde del martes 15 de septiembre con una serie de espectáculos, así como el tradicional Grito de Independencia, siguiendo con el desfile cívico durante la mañana del día 16. La Secretaría municipal de Cultura, Educación, Deporte y Juventud estará a cargo de los eventos que se desarrollarán desde la tarde del martes 15 en el Centro Cultural Ricardo Garibay. En dicho espacio se instalará un foro abierto para la presentación de artistas locales, extendiendo sus actuaciones hasta la noche, previo al evento del Tradicional Grito de Independencia. De manera paralela, en las inmediaciones del Jardín La Floresta se instalará una verbena popular con venta de comida mexicana y participación de artesanos. La organización de esta zona estará a cargo de Servicios Municipales y la Dirección de Mercados. A esta programación se sumará la tradicional Carrera Nocturna de Independencia, donde se contempla la participación de alrededor de 300 corredores, quienes recorrerán un circuito de competencia. Poco antes de las once de la noche se llevará a cabo la Ceremonia de Grito de Independencia en un templete que será instalado en Callejón de San Vicente, en el centro de la ciudad de Tulancingo. Como es tradicional, el Secretario General del Ayuntamiento, Edmundo Aguilar Aranda, leerá el Acta de Independencia, para que posteriormente la alcaldesa de Tulancingo, Lorena García Cázares, dé el Tradicional Grito de Independencia, así como las arengas a los héroes patrios. También en el perímetro del jardín La Floresta, se llevará a cabo una verbena popular, con venta de antojitos, así como de objetos relacionados con los festejos patrios. Durante la ceremonia del Grito de Independencia se espera una asistencia entre 8 mil a 10 mil asistentes. Mientras que el 16 de septiembre se desarrollará el tradicional desfile cívico de Independencia, iniciando a las nueve de la mañana, iniciando en la zona del ferrocarril, para recorrer calles del centro de la ciudad de Tulancingo. Se contempla la participación de alrededor de 30 contingentes, entre corporaciones de Seguridad Pública, dependencias municipales, asociaciones de charros y escuelas; además, fueron convocadas 25 instituciones de educación media superior y superior.</t>
  </si>
  <si>
    <t>Tres integrantes independientes del Ayuntamiento de Tula se colocaron cruces de papel sobre la boca durante el segundo informe de gobierno del presidente municipal, Cristhian Martínez, para denunciar lo que calificaron como censura y falta de apertura dentro del Cabildo. La protesta fue realizada por la síndica jurídica Guadalupe Rodríguez Cruz y las regidoras Janeth Martínez Mendoza e Ivonne Ponce Sobrevilla, quienes acudieron al acto con una “X” visible sobre los labios. Mientras el alcalde presentaba los resultados de su segundo año al frente del municipio, las representantes mantuvieron la protesta desde sus lugares. Con esta acción buscaron exponer públicamente las diferencias que existen entre la fracción independiente y la administración municipal encabezada por Morena. De acuerdo con la postura difundida por las ediles, la cruz representó las presuntas limitaciones que enfrentan para expresar opiniones, presentar cuestionamientos y fijar posicionamientos distintos a los del gobierno municipal durante las sesiones del Ayuntamiento. La protesta también fue planteada como una respuesta a lo que consideran indiferencia por parte de la administración ante los señalamientos formulados desde el Cabildo. Sin embargo, no se detalló si existe alguna sesión, intervención o propuesta específica que haya motivado la manifestación durante el informe. Rodríguez Cruz, Martínez Mendoza y Ponce Sobrevilla han expresado diferencias en distintas asambleas municipales. En esta ocasión trasladaron su inconformidad a un acto público para llamar la atención de quienes asistieron a la presentación.</t>
  </si>
  <si>
    <t>El Tribunal Electoral del Estado de Hidalgo anunció que va a acatar la determinación de la Sala Superior del Tribunal Electoral del Poder Judicial de la Federación relacionado con la designación del Órgano Interno de Control, el titular, realizada por el Poder Legislativo. Esto lo informó Leodegario Hernández Cortés, magistrado presidente del órgano jurisdiccional, luego de presentar su tercer informe de actividades. A su vez, detalló que mantendrá acéfala la titularidad del Órgano Interno de Control debido a que no realizará una designación provisional y esperará a que el Congreso Local emita una nueva convocatoria. Con ello, se va a sustituir a Jonathan Pérez Ledesma, quien había sido designado para ocupar la titularidad del órgano de control, pero presentó su renuncia. Recordemos que el ahora excontralor señaló que prácticamente desde que llegó no le habían dado oportunidad de hacer su chamba, es decir, revisar las cuentas, asuntos y administración interna del Tribunal Estatal Electoral de Hidalgo. De hecho, eh... eh... Leodegario este... Hernández, el presidente del Tribunal Electoral del Estado de Hidalgo, negó que tenga un enfrentamiento con el Congreso del Estado de Hidalgo y que es el origen de situaciones como la cuestión del rechazo a un Órgano Interno de Control que lo designe el propio Congreso del Estado de Hidalgo.</t>
  </si>
  <si>
    <t>Congreso estatal discutiría Reforma Electoral para Hidalgo el lunes 14 de septiembre Podría ser este lunes 14 de septiembre cuando se presente y discuta en el Pleno del Congreso de Hidalgo la propuesta de Reforma Electoral estatal; la fecha límite para que sea aprobada, es al día siguiente. Pachuca de Soto, Hidalgo.- Al respecto, el presidente de la Junta de Gobierno del Congreso estatal, Andrés Velázquez Vázquez, señaló que “el lunes (14 de septiembre) tendremos la sesión y definiremos qué es lo que se ha vertido en torno a la iniciativa”. Previamente, el sábado 12, debió realizarse reunión entre los integrantes de la Comisión de Legislación y Puntos Constitucionales, en donde se encuentra radicada la reforma, con objetivo de revisar detalles de esta. Entre los temas que se incluirían en dicha reforma, se encuentra en materia de integración y paridad de género en los Ayuntamientos del Estado de Hidalgo. La iniciativa plantea que los partidos políticos postulen únicamente a mujeres para gobernar en 42 de los 84 municipios durante el proceso electoral de 2027, divididos en dos bloques alfabéticos. De aprobarse la Reforma en los términos en que ha sido presentada, los municipios con letra inicial de la A a la M, serían con candidaturas exclusivas para mujeres, mientras que de las letras N a la Z, las postulaciones podrán ser de ambos géneros. “Lo estamos resolviendo, hay un orden, por eso se llama orden alfabético, sin embargo, como todas las iniciativas pueden ser perfectibles, se pueden subir, se pueden bajar, se pueden acomodar, e incluso pudieran ser presentadas en otro momento por otros”, señaló al respecto Velázquez Vázquez. Además, se plantea modificar la integración de los ayuntamientos mediante la eliminación de las sindicaturas de primera minoría, por lo que los cabildos contarían con una sola sindicatura. También se busca reordenar el número de regidurías de acuerdo con la población de cada demarcación, además de incluir a grupos vulnerables. Durante la última sesión del Congreso estatal, celebrada el jueves 10 de septiembre, la presidenta de la Mesa Directiva del Congreso estatal, Yarabi Martínez, dio a conocer que el lunes 14 de septiembre habrá sesión a las 11:30 de la mañana.</t>
  </si>
  <si>
    <t>Con alianzas o no, el PRI está listo para competir, señala Alejandro Moreno Con alianzas con otros institutos políticos, o sin ellas, el Partido Revolucionario Institucional (PRI), está listo para competir, afirmó su presidente nacional, Alejandro Moreno Cárdenas. Lo anterior en visita al Estado de Hidalgo, este domingo 13 de septiembre, para tomarle la protesta a 300 “Defensores de Hidalgo”, provenientes de los 84 municipios de la entidad. En el acto también rindieron protesta dirigentes de los Comités Directivos Municipales, todos los que estarán dedicados a los trabajos de organización para el proceso electoral tanto federal como estatal 2026-2027. Moreno Cárdenas señaló que Comité Directivo del PRI Hidalgo se encargará de buscar los acuerdos para que se establezcan las posibles alianzas electorales con otros partidos políticos que no formen parte del oficialismo. Enfatizó que las condiciones de cada región serán determinantes para definir si el partido participa mediante coaliciones o compite en solitario en cada caso. “Donde haya coalición y alianza, ir juntos; y donde vayamos solos, solos a competir”, afirmó. Criticó particularmente al partido Movimiento Ciudadano, señalando que se está encargando de dividir a los partidos políticos que no forman parte del oficialismo. “Movimiento Ciudadano es el encargado de tratar de dividir a la oposición”, afirmó Moreno Cárdenas, quien llamó a los electores a no votar por dicho partido, pues señaló que sería lo mismo que votar por Movimiento de Regeneración Nacional (Morena). El dirigente nacional del PRI insistió que están listos para competir en los 300 distritos electorales federales en los que se divide el país. Dijo que los recientes resultados electorales confirman que el PRI es un partido político competitivo a nivel nacional. “Nosotros regresamos, ganamos, el PRI es inmortal”, afirmó, al tiempo de insistir que con alianzas electorales o sin estas, serán competitivos durante el proceso electoral. Respecto a las candidaturas a los diversos cargos de elección popular en ambos procesos electorales (federal y estatal), señalo que “Las candidaturas, los espacios, los deciden los hidalguenses”.</t>
  </si>
  <si>
    <t>Toma de protesta</t>
  </si>
  <si>
    <t>Sheinbaum destaca para Hidalgo, trenes y entrega de apoyos sociales El paso de parte de los trenes de pasajeros México-Nuevo Laredo y México-Guadalajara por territorio del Estado de Hidalgo, así como el tren México-Pachuca, también en construcción actualmente, fue destacado por la Presidenta de México, Claudia Sheinbaum Pardo. Lo anterior durante su visita a la entidad, donde ofreció datos, cifras y estadísticas específicas para la entidad, en el marco de su segundo año como titular del Poder Ejecutivo Federal. También señaló que uno de cada tres hidalguenses son beneficiarios de alguno de los programas sociales a cargo del Gobierno de México; entre ellos, la Pensión para Adultos Mayores, Mujeres del Bienestar y Pensión para Personas con Discapacidad. Así como Jóvenes Construyendo su Futuro, junto con las becas para estudiantes de diversos educativos, así como el apoyo especial que se brindó para la compra de útiles y uniformes escolares. Acompañada del Gobernador de Hidalgo, Julio Menchaca Salazar, así como por funcionarios federales, estatales y municipales, Sheinbaum Pardo inició su mensaje con una semblanza sobre la historia de México. Lo anterior recordando los festejos patrios del presente mes de septiembre, destacando que la entidad lleva el nombre “del Padre de la Patria, el personaje fundamental de nuestra historia”. Durante su discurso, la Presidenta de México también destacó el Polo de Desarrollo Zapotlán, que actualmente se encuentra en desarrollo, con objetivo de potencializar la economía de la entidad. También destacó que actualmente se atienden los caminos y vialidades dañados por la vaguada monzónica registrada en el Estado de Hidalgo en octubre del año pasado, y que dejó afectaciones sobre todo en 28 municipios de la entidad. Destacó la construcción de la carretera Huejutla-Tamazunchale, que actualmente se desarrolla, y que es parte de un eje carretero que permitirá comunicar al norte del Estado de Hidalgo con Tamaulipas. Debido a la intensa lluvia que se registró durante la presentación de su mensaje, en el recinto ferial de Pachuca, Sheinbaum Pardo apuró la lectura de este, para posteriormente dar por terminado el evento.</t>
  </si>
  <si>
    <t>PC de Tulancingo atendió 4 mil 436 servicios de emergencia y se capacitó a 600 personas para prevenir riesgos y actuar ante una eventualidad. Del 1 de septiembre de 2025 al 25 de agosto de 2026, Bomberos y Protección Civil de Tulancingo atendieron 4 mil 436 servicios de emergencia, fortaleciendo la capacidad de respuesta ante situaciones que pueden poner en riesgo la vida, la integridad de las personas y su patrimonio. La atención comprende emergencias de distinta naturaleza, entre ellas, incendios, accidentes, rescates, fugas y otras situaciones de riesgo, en las que la intervención oportuna de los cuerpos especializados resulta fundamental para proteger a la población. La capacidad de atención también requiere contar con vehículos y equipo adecuados para llegar a donde se necesita. Durante este año se incorporaron siete nuevas unidades para fortalecer las labores de Bomberos y Protección Civil: un RZR, cuatro motocicletas, una pick-up y una mini-bomba. Pero atender una emergencia también significa trabajar para evitar que ocurra o para disminuir sus consecuencias. Por ello, el Gobierno Municipal reforzó las acciones de prevención y capacitación, preparando a 600 personas para responder de mejor manera ante una eventualidad mediante simulacros. 120 integrantes de brigadas de evacuación fueron capacitados para la realización de simulacros; 60 funcionarios públicos recibieron capacitación en el uso y manejo de extintores; 90 personas fueron preparadas en primeros auxilios básicos y otras 60 como primeros respondientes. La prevención también se llevó a espacios donde diariamente existe concentración de personas. 180 comerciantes de la feria recibieron capacitación en el uso y manejo de extintores, mientras que 90 comerciantes de tianguis participaron en esta misma preparación.</t>
  </si>
  <si>
    <t>Una boa que era llevada por una persona en la vía pública fue asegurada en el Centro de Pachuca, luego de que una denuncia ciudadana alertara sobre la presencia del reptil. Personal de la Secretaría de Seguridad Pública de Hidalgo atendió el reporte y localizó a la persona junto con el ejemplar. Durante la intervención se solicitó la documentación que permitiera acreditar la procedencia legal del animal y las autorizaciones aplicables para mantenerlo bajo cuidado. Debido a que la persona no presentó los documentos requeridos, la boa quedó asegurada y el civil fue puesto a disposición de la Fiscalía General de la República (FGR). Será esta autoridad la que determine su situación jurídica y establezca si existe alguna responsabilidad relacionada con la posesión del ejemplar. Asimismo, la Procuraduría Federal de Protección al Ambiente (Profepa) asumió la atención del caso y la custodia especializada del reptil. El organismo deberá revisar las condiciones en las que se encontraba y continuar con el procedimiento administrativo correspondiente. Después del aseguramiento, especialistas realizaron una valoración médica del ejemplar. De acuerdo con la información difundida por la Unidad de Rehabilitación de Fauna Silvestre de Pachuca, la boa se encontraba en condiciones delicadas de salud. Durante la revisión fueron detectadas múltiples lesiones dentro de la cavidad bucal, además de nódulos distribuidos en diferentes partes del cuerpo. El reptil también presentaba una temperatura corporal baja y poca reacción ante los estímulos de su entorno. Aunque estos animales sean reptiles de sangre fría, conocidos como ectotermos, si su temperatura desciende demasiado (por debajo de los 20 °C o 68 °F de forma prolongada), se vuelven muy vulnerables a enfermedades respiratorias graves. Es por eso que, después de notar estos indicios fue necesaria su canalización a un espacio donde pueda permanecer bajo observación y recibir cuidados especializados. Debido a su estado de salud, la boa no podrá ser liberada o trasladada a otro sitio sin que antes se determine si se encuentra en condiciones adecuadas. Su destino dependerá de la valoración de las autoridades ambientales y del avance del procedimiento.</t>
  </si>
  <si>
    <t>Rescate Animal</t>
  </si>
  <si>
    <t>Espera SICT resultados de estudios para rehabilitar carretera Real del Monte-Huasca La deformación en el pavimento registrado en un tramo de la carretera Real del Monte-Huasca es consecuencia de una falla geológica e hidrológica asociada con la saturación de agua en la parte alta de la montaña. Lo anterior fue explicado por Pablo Octavio Olvera Sánchez, titular de la delegación en el Estado de Hidalgo de la Secretaría de Infraestructura, Comunicaciones y Transportes (SICT). Fue a inicios de la semana pasada cuando se anunció el cierre de la vialidad, entre los kilómetros 18+900 y 19+140; en este punto se encuentra un muro de contención de aproximadamente 150 metros de longitud. El funcionario explicó que el movimiento del terreno no fue por obras relacionadas con la carretera, sino por escurrimientos naturales y la acumulación de agua en la zona, condiciones que, con el paso del tiempo, provocaron las afectaciones. Señaló que en un par de semanas se tendrán resultados de los estudios que se están realizando, con los cuales se definirán las acciones que deberán realizarse para la rehabilitación del tramo carretero. El titular de la SICT Hidalgo también señaló que una vivienda ubicada en la parte alta de la zona representaba un riesgo e incluso fue afectada. Aclaró que la propiedad fue previamente adquirida por la dependencia federal como parte de los trabajos para obtener el derecho de vía, pero actualmente se encontraba deshabitada. La carretera Real del Monte-Huasca, que forma parte de la vialidad Pachuca-Huejutla, fue inaugurada a finales del mes de marzo del año pasado por la Presidenta de México, Claudia Sheinbaum Pardo. La inversión realizada fue de 5,500 millones de pesos, para la construcción de la vialidad de diez kilómetros de extensión, con dos entronques de 7.8 kilómetros. La vialidad cuenta con 18 estructuras, cuatro carriles, así como dos túneles que suman más de un kilómetro, uno de ellos el segundo más grande del país. En su momento se señaló que la obra beneficiaría a aproximadamente 351 mil habitantes de los municipios Real del Monte, Omitlán de Juárez y Huasca al disminuir los tiempos de traslado en unos 4 minutos.</t>
  </si>
  <si>
    <t>Asegura titular de Saderh que sigue gestión para concretar centro de acopio lechero en Tizayuca y Tulancingo El Gobierno de Hidalgo sigue en gestiones para contar con recursos para retomar y culminar la construcción del Centro de Acopio Lechero de Tulancingo, aseguró en entrevista Napoleón González Pérez, titular de la Secretaría de Agricultura y Desarrollo Rural estatal. Tras visita de trabajo a la región para la entrega de apoyos a productores, el funcionario señaló que se calcula requerir recursos por aproximadamente 70 millones de pesos para continuar y finalizar las obras de los centros de acopio lechero en Tizayuca y Tulancingo. “No puedo decir que es un tema ya cerrado, olvidado, se está trabajando”, señaló el funcionario estatal, reconociendo que el espacio es importante para garantizar la comercialización del alimento por parte de los productores en la región. La construcción del Centro de Acopio Lechero regional de Tulancingo, fue iniciada en el mes de julio del 2020, con una inversión de 12 millones de pesos, en un terreno ubicado en la localidad de San Nicolás el Chico. Durante la ceremonia de inicio de construcción, se informó que el espacio tendría capacidad para recibir hasta 30 mil litros de leche diariamente, garantizando a más de 450 productores en la región recibir un precio de garantía adecuado por el alimento. Para el proyecto, el Municipio de Tulancingo aportó el terreno, el gobierno de Hidalgo se encargó de la construcción del inmueble, y el equipamiento especializado correspondía al entonces organismo federal (Seguridad Alimentaria Mexicana) Segalmex. Pero las instalaciones están abandonadas desde hace por lo menos 4 años, incluso siendo ya saqueadas y vandalizadas; testimonios de vecinos en la zona señalan que incluso personas se quedan a pernoctar en el interior. González Pérez recordó que ambos centros de acopios son proyectos que se desarrollaron durante el anterior sexenio federal, y que por “ciertas anomalías” detectadas, no se continuó. Insistió que siguen las gestiones para contar con recursos que permitan finalizar la construcción y equipamiento de ambos espacios, en Tizayuca y Tulancingo. Enfatizó que junto con dichas gestiones, se revisan detalles legales; en el caso de Tulancingo, por ejemplo, la propiedad del terreno, para tener la certeza de aplicar los eventuales recursos públicos en forma adecuada.</t>
  </si>
  <si>
    <t>Más de 5 mil policías resguardarán a familias hidalguenses durante festejos patrios</t>
  </si>
  <si>
    <t>Reunión Gabinete De Seguridad</t>
  </si>
  <si>
    <t>El Congreso del Estado de Hidalgo aprobó con 23 votos a favor, dos en contra y cero abstenciones, la reforma al Código Electoral de la entidad, mediante la cual se armoniza la legislación local con el marco constitucional vigente y se actualizan diversas disposiciones que serán aplicables al proceso electoral 2026-2027.La modificación responde, entre otros aspectos, a la reforma al artículo 115 de la Constitución Política de los Estados Unidos Mexicanos, publicada el 23 de abril de 2026, que estableció nuevas bases para la integración de los ayuntamientos y mandató a las entidades federativas realizar las adecuaciones correspondientes en sus constituciones y leyes. En cumplimiento de esa disposición, Hidalgo establece tres rangos poblacionales para determinar la integración de los cabildos. Los municipios con menos de 20 mil habitantes contarán con una sindicatura, cuatro regidurías de mayoría relativa y tres de representación proporcional; los de 20 mil y hasta 50 mil habitantes tendrán una sindicatura, cinco regidurías de mayoría relativa y cuatro de representación proporcional; y aquellos con más de 50 mil habitantes tendrán una sindicatura, ocho regidurías de mayoría relativa y siete de representación proporcional. La reforma establece una sola sindicatura por ayuntamiento, en congruencia con el nuevo marco constitucional. Este ajuste no elimina la representación plural de los cabildos, ya que se mantienen regidurías de representación proporcional en los tres rangos poblacionales. De esta manera, la integración de los ayuntamientos atenderá criterios generales y verificables de población, manteniendo mecanismos de representación política plural.</t>
  </si>
  <si>
    <t>Impulsa Saderh al campo hidalguense con entrega de apoyos productivos en La Misión y Zimapán</t>
  </si>
  <si>
    <t>Aldo Falcón Ya todos los cierres viales en el principal cuadro de la ciudad. Te comento algunos de los cortes a la circulación que se realizan: en Belisario Domínguez, en el Viaducto Nuevo Hidalgo, Prolongación Revolución, retorno al Jardín del Arte, Matamoros, Guerrero, Guzmán Mayer, Fernando Soto, Cuauhtémoc, también en Gómez Pérez, Avenida Juárez con su cruce Avenida Madero, Vicente Segura y Daniel… eh también la Glorieta Revolución con Prolongación a Revolución en ambos carriles. Algunas de las vías alternas que pueden tomar es el Viaducto. Está cerrado el primer cuadro de la ciudad en la Plaza Juárez, todo alrededor está cerrado ya para pues eh los festejos patrios en unas horas más. Si usted tiene que ir a Plaza Juárez, si usted tiene que trabajar en Palacio de Gobierno o en alguno de los puntos anteriores, salga con tiempo.</t>
  </si>
  <si>
    <t>Recorte Operativo</t>
  </si>
  <si>
    <t>Para el día de mañana que se realizará el desfile, este eh se tienen cierres de la vialidad desde las 6 de la mañana con el inicio del desfile a las 10 de la mañana. Estos el punto de concentración de la salida será en la calle de Ignacio Allende. La ruta establecida es la calle de Ignacio Allende, Matamoros, Plaza Independencia, Ignacio Allende, Juan C. Doria, Vicente Guerrero hasta la Avenida Juárez. Algunas de las vías alternas son el Viaducto Nuevo Hidalgo, Avenida Cuauhtémoc, Francisco I. Madero, calle de Abasolo y Avenida Revolución. El cierre se realizará hasta las tres… hasta la 1 de la tarde la aproximadamente la apertura de todas estas vialidades.</t>
  </si>
  <si>
    <t>Gobierno</t>
  </si>
  <si>
    <t>Desfile cívico militar</t>
  </si>
  <si>
    <t>Andrés Torres en respuesta a un radioescucha en torno a la no aprobada reforma electoral, afirma que la iniciativa no fue bien pensada y se presentó sin el consenso necesario, lo que llevó a que no tuviera éxito. Comenta que el Congreso del Estado ha decidido dar un paso atrás y aprobó la iniciativa sin una presentación formal, simplemente anunciándolo a través de un boletín. Torres considera lógico que el Instituto Estatal Electoral sea responsable de los temas de paridad de género. Además, señala la contradicción dentro del mismo partido Morena, ya que, aunque la propuesta inicialmente vino de ellos, sus dirigencias estatales y nacionales no estaban de acuerdo. Menciona que muchos miembros y aspirantes de Morena se opusieron a la idea tal como se presentó. Esto lleva a Torres a cuestionar cómo se pudo generar una propuesta sin contar con los consensos necesarios dentro del propio partido, lo que muestra una falta de realidad y conexión con las opiniones de sus militantes. Torres sugiere que la situación refleja una desconexión dentro de Morena respecto a sus propios miembros y a la voluntad del partido.</t>
  </si>
  <si>
    <t>Entre 20 a 30 años de edad, rango de motociclistas accidentados El grupo de personas entre los 20 a 30 años de edad, es donde se concentra la mayor cantidad de accidentes en motocicleta en diversas zonas de Tulancingo, con aproximadamente 70 por ciento de incidencia. El dato fue ofrecido por Enrique Romero Alcántar, secretario municipal de Seguridad Ciudadana, tras el registro de dos accidentes donde estuvieron involucrados dos vehículos de este tipo, con saldo de una persona fallecida, precisamente de 20 años de edad. En estos accidentes ocurridos el pasado fin de semana, tres personas más resultaron con lesiones graves, incluso traumatismo cráneo encefálico. El mando policiaco municipal señaló que la falta de uso por lo menos de casco, así como el sobrecupo, son dos de las principales causas de registro de accidentes en motocicletas. Por lo cual el gobierno municipal ha implementado la campaña “Moto segura”, donde se revisa que los conductores del vehículo ligero, así como en caso de tener acompañante, estén usando por lo menos el casco protector. “Dos ocupantes, dos cascos”, señaló Romero Alcántar, recordando que también se revisa que en las motocicletas viajen como máximo dos personas, tanto por seguridad personal, como de las personas que encuentren en su camino. En los filtros implementados por elementos de Tránsito y Movilidad municipal, con apoyo de seguridad pública, se hacen las revisiones, y en los casos donde se encuentren infractores, se les hacen recomendaciones para cuidar su seguridad. Se señaló que en los filtros que se implementan se han encontrado motociclistas que han sido reincidentes en las detenciones, por lo que en estos casos se procede directamente en las sanciones, entre ellas, el aseguramiento del vehículo. Romero Alcántar consideró que más que un endurecimiento en las leyes al respecto del tema, lo que se requiere es tener conciencia social de lo que significa conducir una motocicleta con responsabilidad. “Desde casa tiene qué venir esa conciencia para conducir de forma adecuada una motocicleta”, enfatizó el mando.</t>
  </si>
  <si>
    <t>Prevención de accidentes</t>
  </si>
  <si>
    <t>Izza Hernández</t>
  </si>
  <si>
    <t>Reforzarán alcoholímetro en Tulancingo a partir de Fiestas Patrias El operativo alcoholímetro será reforzado en Tulancingo a partir de las celebraciones de Fiestas Patrias y por lo que resta del presente año, informó en entrevista Enrique Romero Alcántar, secretario de Seguridad Ciudadana de Tulancingo. Señaló que el objetivo es prevenir accidentes relacionados con el consumo de bebidas alcohólicas, y con ello evitar riesgos tanto para los conductores como para sus acompañantes y otras familias que circulan por las calles. Por lo cual se implementarán acciones preventivas ante el incremento de movilidad que suele registrarse durante los días festivos, particularmente cuando las celebraciones coinciden con días entre semana. Explicó que las sanciones dependerán del grado de alcohol que presente cada conductor durante la prueba correspondiente. Además, se reforzará la campaña de prevención para exhortar a la población a no conducir bajo los efectos del alcohol y buscar alternativas de traslado. El funcionario destacó que la intención principal es evitar accidentes y proteger no solamente a quienes conducen después de consumir bebidas alcohólicas, sino también a sus familias y a terceras personas que podrían verse involucradas en algún percance. Romero Alcántar agregó que durante los operativos de alcoholemia, se graban las acciones realizadas por los elementos de Tránsito y Movilidad, con el apoyo de personal de Seguridad Pública. Ello como parte de las medidas para transparentar su aplicación y evitar falsas acusaciones o señalamientos sobre el procedimiento. El mando policiaco municipal hizo llamado a los automovilistas a no tomar el volante cuando han consumido bebidas alcohólicas, más allá de evitar una sanción, para no ser parte de un accidente que incluso pueda ser de consecuencias graves, incluso mortales. Agregó que el operativo no tiene objetivo recaudatorio, sino más bien preventivo a incidentes y accidentes viales.</t>
  </si>
  <si>
    <t>Alcoholímetro</t>
  </si>
  <si>
    <t>El fin de semana el secretario de Seguridad Ciudadana, Salvador Cruz Neri, anunció que serán más de 5000 elementos policiacos los que estarán a cargo de la vigilancia de los temas de seguridad pública durante las Fiestas Patrias. Y, el día de ayer que fue la reunión semanal del Gabinete de Seguridad ratificó precisamente esta cifra, señalando que los operativos realizados en 14 municipios en los cuales se detuvo a 24 personas y se aseguraron 4521 dosis de estupefacientes, dos armas cortas, celulares, tres básculas grameras, dos vehículos y dos motocicletas. Esta reunión en la que participa o que encabeza el gobernador Julio Menchaca Salazar, en la que participa el secretario general de Gobierno, Guillermo Olivares Reina, así como el encargado de despacho de la Procuraduría General de Justicia del Estado de Hidalgo, Francisco Fernández Hasbun, y Cruz Neri.</t>
  </si>
  <si>
    <t>Registran cateo en fraccionamiento de Tulancingo: participó FGR, Marina y Ejército Se registró un fuerte operativo el domingo 13 de septiembre en el Fraccionamiento La Toscana, dentro del municipio de Tulancingo, donde una residencia fue asegurada con apoyo de agentes de la Fiscalía General de la República, así como de la Marina y el Ejército Mexicano. Trascendió que la residencia asegurada sería propiedad de José Guillermo Rivera Parrazales, señalado como hermano de Justo Rivera, conocido como el “Señor de los Lamborghinis”. Versiones señalan que dicha persona estaría relacionada con grupos criminales con los que operaría; hasta el momento autoridades no han ofrecido información respecto al operativo, como por ejemplo, la posible detención de personas. Sobre el tema, la alcaldesa Lorena García Cázares señaló que el gobierno municipal no cuenta con información respecto al operativo, pues se desarrolló sin solicitarse apoyo por parte de las fuerzas de seguridad municipal. La residencia quedó asegurada y bajo resguardo tras concretarse el cateo. Cabe señalar que durante el mismo domingo 13, se registró la presencia de elementos y unidades del Ejército Mexicano y la Guardia Nacional sobre la calle Allende, en el centro de Tulancingo. En grupos de whatsapp así como en cuentas de redes sociales se conoció respecto al movimiento, donde incluso fueron cerradas algunas calles del mismo centro de la ciudad de Tulancingo. Tampoco se ha ofrecido información al respecto, por lo que no se conoce si tiene alguna relación con el cateo realizado en el fraccionamiento La Toscana.</t>
  </si>
  <si>
    <t>Operativo FGR</t>
  </si>
  <si>
    <t>Prevención y atención: Tulancingo acerca servicios de salud a los habitantes de Tulancingo El Gobierno Municipal de Tulancingo fortaleció durante el segundo año de administración las acciones de prevención, atención médica y gestión de servicios especializados, con el propósito de acercar servicios de salud a la población y brindar atención principalmente a quienes enfrentan condiciones de vulnerabilidad. En coordinación con el sector salud, se realizaron 47 brigadas y jornadas integrales, mediante las cuales se atendió a más de 15 mil 600 habitantes con servicios gratuitos de vacunación, salud visual, bucal y auditiva, así como acciones para la detección de adicciones y la prevención de enfermedades crónicas. A estas acciones se sumaron 4 mil 304 consultas médicas y odontológicas, otorgadas a través de la red de consultorios y dispensarios municipales. Asimismo, mediante la vinculación con Clínica Sala UNO, se gestionaron 62 cirugías de cataratas a bajo costo. A través del esquema Salud a Tu Alcance se brindaron 781 atenciones médicas, psicológicas y de fisioterapia, en beneficio de 621 personas de 47 colonias en condiciones de vulnerabilidad. La estrategia de atención también contempló a pacientes que requieren servicios médicos especializados, lo que requirió mil 309 traslados a hospitales de tercer nivel, entre ellos instituciones especializadas en cancerología, nutrición, pediatría y atención al cáncer de mama. Además, se otorgaron 79 ayudas funcionales y se gestionaron mil 56 apoyos para hemodiálisis, medicamentos, estudios de laboratorio, concentradores de oxígeno y otras necesidades relacionadas con la atención de la salud. El Gobierno Municipal reconoció el acompañamiento del gobernador y de Petróleos Mexicanos (PEMEX) por la presencia, durante 10 días, de unidades médicas en Tulancingo, así como la colaboración de la Secretaría de Salud de Hidalgo en las jornadas de mastografías, campañas de vacunación e inspección sanitaria. De igual manera, se destacó la capacitación de mil 782 manejadores de alimentos, como parte de las acciones de prevención y vigilancia sanitaria implementadas en el municipio.</t>
  </si>
  <si>
    <t>Promoción De La Salud</t>
  </si>
  <si>
    <t>Con 22 artesanos expositores, inicia actividades tienda Hidarte en Tulancingo 22 artesanos tanto de la región Tulancingo, de la Sierra Otomí Tepehua, así como de otros puntos del Estado de Hidalgo, inició actividades de expo venta en la Casa de Artesanías Hidarte Tulancingo. El espacio, anunciado desde finales del año pasado, se ubica en la planta baja del Centro Cultural “Ricardo Garibay”, siendo inaugurado este lunes 14 de septiembre con la presencia de Ricardo Gómez Moreno, titular de la Secretaría de Bienestar e Inclusión Social de Hidalgo (Sebisoh), acompañado de la alcaldesa Lorena García Cázares. La funcionaria municipal enfatizó que este espacio representa una oportunidad para que quienes elaboran artesanías con sus propias manos puedan comercializar sus productos, obteniendo un precio justo por su trabajo. Con ello se da mayor valor a los conocimientos y técnicas que se transmiten de generación en generación. Entre las artesanías que se ofrecen, se encuentran textiles de diverso tipo, así como aquellos realizados en técnicas como alfarería, talabartería, marroquinería y metalistería. La propuesta también llega al paladar con productos derivados del maguey, mermeladas, salsas, productos de granada, licores, chocolatería, miel, además de buñuelos y galletería. El titular de la Sebisoh señaló que artesanas y artesanos reciben el pago por sus creaciones en forma directa, realizando la comercialización de forma directa, donde Hidarte es un enlace con el comprador. El funcionario estatal señaló que la apertura de Hidarte Tulancingo implicó un importante esfuerzo y subrayó que la encomienda es que este espacio llegue para quedarse y se consolide como una alternativa permanente para las y los artesanos. La alcaldesa García Cázares señaló que los artesanos cuentan con un espacio digno para la exposición y venta de sus productos, comercializados a un precio justo, además de que el visitante podrá encontrar reales artesanías. Enfatizó que cada una de las artesanías son obras de arte que merecen contar con una forma digna para ser ofrecido a quien esté interesado en su adquisición.</t>
  </si>
  <si>
    <t>Propone DIF Hidalgo esquema de acogimiento temporal para adolescentes El Sistema DIF Hidalgo propone que las familias que así lo decidan, sean parte de esquemas de acogimiento temporal para que adolescentes que permanecen bajo resguardo institucional. Edda Vite Ramos, Presidenta del organismo asistencial estatal, puntualizó que el objetivo de este esquema es que los adolescentes resguardados puedan convivir en un entorno familiar, sin que esto implique un proceso de adopción. Recordó que una de las principales dificultades en los procesos de adopción es que suelen buscar bebés, por lo que niñas y niños y adolescentes con alguna discapacidad tienen menos oportunidad de ser integrados a un hogar. Por ello, planteó la importancia de que las familias conozcan que existe la posibilidad de recibir temporalmente a un menor en casa y permitirle desarrollarse en un ambiente familiar. Vite Ramos señaló que al menos 12 ya pasaron por dicho esquema desde el inicio de la actual administración estatal y hasta la fecha, mientras que mientras que 59 más, se integraron a un nuevo hogar en forma definitiva. “Seguimos haciendo el llamado para que participen previa certificación que debe cubrir la familia para asegurarnos pues que sean redes viables y sólidas para ellos”, enfatizó. En momentos anteriores, la Presidenta del Patronato del Sistema DIF Hidalgo ha realizado llamado a quienes buscan otorgar un nuevo hogar a niñas, niños y adolescentes a considerarles. Sobre todo porque buena parte de quienes se encuentran bajo resguardo institucional, han pasado por situaciones complicadas en los entornos de los que provienen. En todos los casos, las familias con esta disposición contarán con el apoyo y asesoría del personal del Sistema DIF Hidalgo, quienes también realizan la revisión de antecedentes para garantizar que niñas, niños y adolescentes se integren a un entorno adecuado.</t>
  </si>
  <si>
    <t>DIFH</t>
  </si>
  <si>
    <t>Adopción De Menores</t>
  </si>
  <si>
    <t>Reducen número de cargos en los próximos ayuntamientos de Hidalgo El Congreso de Hidalgo dio luz verde a una modificación al Código Electoral estatal que contempla una menor cantidad de integrantes en los ayuntamientos que serán electos en 2027. La propuesta fue aprobada con 23 votos a favor, dos en contra y sin abstenciones, dentro de la Reforma Electoral del Estado de Hidalgo, que será aplicada en el proceso local 2026-2027. De acuerdo a la propuesta aprobada en sesión del Congreso local realizada este lunes 14 de septiembre, en municipios con menos de 20 mil habitantes habrá cuatro regidurías de mayoría relativa y tres de representación proporcional; entre 20 mil y 50 mil habitantes serán cinco y cuatro, respectivamente. Para los municipios con más de 50 mil habitantes se contemplan ocho regidurías de mayoría relativa y siete de representación proporcional. En todos los municipios del Estado de Hidalgo habrá una sola sindicatura. La modificación responde, entre otros aspectos, a la reforma al artículo 115 de la Constitución Política de los Estados Unidos Mexicanos, publicada el 23 de abril de 2026, que estableció nuevas bases para la integración de los ayuntamientos y mandató a las entidades federativas realizar las adecuaciones correspondientes en sus constituciones y leyes. Se destacó en la sesión que aunque se reduce el número de integrantes de los cabildos, permanecerán las posiciones de representación proporcional para garantizar la participación de las distintas fuerzas políticas. En materia de paridad de género, la reforma mantiene su observancia en la integración de los órganos de representación y dispone expresamente que la asignación de regidurías de representación proporcional deberá respetar dicho principio. Las modificaciones incluyen además ajustes en el registro y sustitución de candidaturas, participación de independientes y acreditación de discapacidad, entre otros aspectos. Estas disposiciones no afectan a los ayuntamientos que actualmente están en funciones y comenzarán a aplicarse con las elecciones municipales de 2027, una vez que el decreto sea publicado en el Periódico Oficial del Estado de Hidalgo. Los eventuales ahorros derivados de la nueva integración de los ayuntamientos permanecerán en la hacienda pública de cada municipio y deberán destinarse a obras de infraestructura pública en beneficio de la población, conforme al régimen previsto en la reforma constitucional federal. El Decreto entrará en vigor el mismo día de su publicación en el Periódico Oficial del Estado de Hidalgo.</t>
  </si>
  <si>
    <t>Envía Julio Menchaca iniciativas para fortalecer la transparencia, protección de datos y simplificación administrativa</t>
  </si>
  <si>
    <t>Proponen implementar app para alertar delitos en Arco Norte Una aplicación móvil en dispositivos de los transportistas permitirá a la Guardia Nacional recibir una alerta en tiempo real ante algún incidente delictivo en el Arco Norte, como parte del sistema tecnológico que la corporación busca ampliar hacia las empresas del sector. Óscar Reyes Ávila, general de brigada de la Guardia Nacional, explicó que este sistema permitirá conocer la ubicación de las unidades de carga y emitir un alertamiento en el momento en que el conductor enfrente algún hecho que requiera atención. El sistema ya existe y forma parte de las herramientas tecnológicas implementadas por la Guardia Nacional; sin embargo, la corporación trabaja con las cámaras empresariales para ampliar su uso entre los operadores que circulan por esta vialidad. Reyes Ávila señaló que, aunque se planea que la herramienta funcione como seguimiento a vehículos de carga, se considera ampliar su alcance para compartirla con la población. Asimismo, informó que la Guardia Nacional mantiene vigilancia sobre los accesos irregulares al Arco Norte, utilizados por grupos delictivos para ingresar a la vialidad. Durante julio y agosto fueron cerrados ocho, con lo que suman 44 clausuras en lo que va de 2026. Se trata de caminos usados por los delincuentes para conectase a la vialidad con objetivo de cometer delitos, para posteriormente huir por la misma zona. El mando explicó que la cantidad de estos caminos cambia constantemente debido a que mientras algunos accesos son cerrados, otros vuelven a habilitarse. Incluso los delincuentes buscan otras zonas para crear estos caminos irregulares y las interconexiones. Agregó que la Guardia Nacional mantiene coordinación con personal del Ejército, la Policía de Hidalgo, así como las fiscalías federal y estatal para atender los delitos registrados en la zona.</t>
  </si>
  <si>
    <t>Copriseh reforzará vigilancia sanitaria durante Fiestas Patrias en Hidalgo Con motivo de las celebraciones patrias, la Comisión para la Protección contra Riesgos Sanitarios del Estado de Hidalgo (Copriseh) desplegará operativos de vigilancia sanitaria en los 84 municipios, con especial atención en los lugares donde se preparen y comercialicen alimentos y bebidas. A través de sus 12 delegaciones sanitarias, personal de la dependencia realizará recorridos durante el 15 y 16 de septiembre en plazas, espacios públicos y sitios donde se concentren grandes cantidades de personas. El titular de Copriseh, Alberto Mercado Hernández, señaló que las revisiones estarán dirigidas a comerciantes, organizadores y personas encargadas de la preparación de alimentos, además de establecimientos y puestos que vendan bebidas alcohólicas, bebidas sin alcohol y productos de tabaco. Entre los aspectos que serán supervisados se encuentran la higiene de los vendedores, el lavado de manos, la limpieza de utensilios y superficies, la conservación adecuada de alimentos perecederos y la correcta disposición de residuos. También se verificará que los productos estén protegidos contra polvo, lluvia y fauna nociva, además de que los alimentos que requieren refrigeración o congelación se mantengan a temperaturas adecuadas. Las acciones se llevarán a cabo en coordinación con autoridades municipales, Seguridad Pública y Protección Civil. En caso de detectar condiciones que representen un riesgo para la salud, la Copriseh podrá asegurar o destruir productos y, dependiendo de la irregularidad, suspender trabajos o servicios. Como antecedente, durante las Fiestas Patrias de 2025 se realizaron acciones de vigilancia, fomento sanitario y saneamiento básico en eventos que concentraron alrededor de 106 mil personas. La población puede reportar irregularidades relacionadas con la preparación, manejo o venta de alimentos al teléfono 771 718 1756, extensión 107.</t>
  </si>
  <si>
    <t>Vigilancia Sanitaria</t>
  </si>
  <si>
    <t>Retiran concesión a ruta de transporte de pasajeros Tilcuautla-Pachuca: no tenía seguros Por falta de póliza de seguro vigente, le fue retirada la concesión a la ruta del transporte público colectivo Tilcuautla-Pachuca. Ello después de que una de sus unidades se viera involucrada en el incidente registrado el pasado 20 de mayo sobre el bulevar Minero, en Pachuca, que dejó como saldo una persona sin vida y 17 más lesionadas, tras su impacto contra una camioneta particular de transporte de materiales. Así lo confirmó la secretaria de Movilidad y Transporte del Estado de Hidalgo (Semoth), Lizbeth Robles Gutiérrez, quien señaló que, aunque no se logró demostrar que el conductor de la unidad tuvo responsabilidad directa en el incidente, al recabar la información respecto al caso, no presentó una póliza de seguro vigente. Lo anterior derivó en el inicio de un procedimiento administrativo y, posteriormente, en una resolución jurídico-administrativa que determinó el retiro de la concesión, de conformidad con la normatividad vigente. Aunque, de acuerdo con las investigaciones y los videos difundidos en redes sociales, preliminarmente se señala que la responsabilidad pudo haber sido del conductor del vehículo particular, también se tomó en consideración que el chofer de la unidad del transporte público tenía la intención de realizar el ascenso y descenso de pasajeros en un lugar no permitido lo que pudo incrementar el riesgo. Videos difundidos en redes sociales mostraron que la Urvan circulaba con dirección al centro de Pachuca, mientras que, en el cruce hacia Campo de Tiro, una camioneta particular que iba presuntamente a exceso de velocidad se impactó contra la unidad de pasajeros, provocando que la combi volcara sobre la vialidad. Derivado de este accidente, Robles Gutiérrez anunció que la dependencia realizará acciones permanentes de revisión, exclusivamente referentes al cumplimiento de los seguros en el transporte convencional, para verificar que cuenten con su documentación vigente y evitar que se tenga como resultado el retiro de la concesión. “Hacemos un llamado y es una advertencia a los compañeros de transporte convencional. Deben de tener su seguro porque se van a abrir los expedientes correspondientes si no tienen el seguro”, señaló la funcionaria.</t>
  </si>
  <si>
    <t>Revocación de concesión</t>
  </si>
  <si>
    <t>Dos menores de edad fueron trasladados a un hospital después de que una estructura instalada para la Feria Tradicional Pachuquilla 2026 cayera durante la tarde del domingo. El incidente fue provocado, de acuerdo con la información del Ayuntamiento, por las fuertes ráfagas de viento registradas en la zona. La estructura afectada correspondía al marco de bienvenida colocado como parte de las instalaciones de la celebración. Los menores transitaban por el lugar cuando el marco se desprendió y los empujó. Personal de Protección Civil de Mineral de la Reforma acudió para brindarles atención y efectuar una primera valoración médica. Durante esa revisión no se detectaron lesiones graves. Sin embargo, ambos fueron trasladados de manera preventiva a un hospital para someterlos a estudios más completos y descartar cualquier afectación que no pudiera identificarse en el sitio. Después del incidente, el Ayuntamiento anunció una revisión de la infraestructura colocada dentro del recinto ferial y en sus inmediaciones. La inspección nuevamente deberá verificar las condiciones de escenarios, marcos, estructuras decorativas, instalaciones eléctricas y otros elementos temporales que puedan representar algún riesgo ante nuevas lluvias o rachas de viento.</t>
  </si>
  <si>
    <t>Accidente feria</t>
  </si>
  <si>
    <t>Recibe SEPH donación de 2 mil libros de la Fundación Elena Poniatowska</t>
  </si>
  <si>
    <t>De la Universidad Politécnica de Tulancingo señalan que hay una profesora que hace comentarios que hacen sentir mal a los alumnos, mismos que acusan de bullying por parte de la misma profesora. Eh todas las escuelas de todos los niveles, desde básico hasta profesional, en este caso universidades, deben de tener un departamento de vinculación educativa donde, pregunten en la dirección, en este caso en la rectoría de la UPT, este para que les digan cuál es el siguiente paso porque sí hay una hay un área específica donde se atiende este tipo de casos entre alumnos, con profesores, etcétera, etcétera, sobre esta profesora de la UPT.</t>
  </si>
  <si>
    <t>Bullying</t>
  </si>
  <si>
    <t>Daniel Martínez comentó sobre el estancamiento del centro de acopio lechero en Tulancingo, que lleva más de 4 años parado desde su inicio en julio de 2020. El secretario de Desarrollo Agropecuario de Hidalgo, Napoleón González Pérez, indicó que la obra fue suspendida debido a irregularidades en Segalmex, que estaba a cargo del proyecto junto con Liconsa. Peniley Ramírez, en su columna del diario Reforma, señaló que Liconsa, parte de la ahora desaparecida Segalmex, estuvo implicada en fraudes de 47 millones de pesos, especialmente en el norte de México, donde se pagó a productores de leche que ya habían fallecido. En mayo de 2023, se destituyó a Ignacio Ovalle por un desfalco en Segalmex mientras se llevaban a cabo investigaciones. Nuevas irregularidades surgieron bajo otros funcionarios que implementaron la política de suministro de leche. En Chihuahua, Gregorio Chávez, gerente de Liconsa, formalizó un contrato para comprar leche a varios proveedores locales. Se descubrió que sus ingresos anuales eran significativamente más altos que los de otros funcionarios, y se relacionó con su hermana Andrea Chávez, quien busca gobernar en Chihuahua. En febrero de 2025, la Auditoría Superior de la Federación halló serias irregularidades en el contrato que administraba, indicando abuso de funciones y desvío de recursos públicos. La auditoría reveló que Liconsa pagó a dos personas fallecidas más de un millón de pesos después de su muerte, así como otros casos preocupantes que revelaban 45 millones de pesos pendientes de aclarar. En 2023, Liconsa también hizo pagos indebidos a quienes tenían más vacas de las permitidas para recibir precio de garantía. En los centros de acopio en San Pedro, Chihuahua, y Jalisco, se realizaron pagos por leche que nunca fue recolectada. Ramírez accedió a un documento confidencial de la Secretaría de Agricultura que resume estas irregularidades y menciona a varios responsables. Entre ellos, Rubén Ramírez, exgerente de Liconsa en Jalisco, que enfrenta investigaciones por desvío de recursos. Otros funcionarios de Coahuila también están implicados por desvíos que involucraban montos significativos relacionados con el precio de garantía. Chávez es el único funcionario mencionado que sigue activo dentro de Liconsa, y no respondió a las solicitudes de información sobre la investigación en su contra. La responsabilidad de estos desvíos, según el documento, prescribirá en 2030. Además, el proceso de investigación no ha avanzado, ya que no ha sido enviado a la Dirección General de Investigación y Responsabilidades. Recientemente, la presidenta Claudia Sheinbaum presentó logros en la distribución de leche en su informe de gobierno, pero queda la duda de si en Palacio Nacional están al tanto de los problemas y de las investigaciones que la Auditoría Superior de la Federación ha ordenado desde febrero de 2025. Además, se destaca el hecho de que dos centros de acopio lechero siguen parados desde hace más de 4 años tras las irregularidades descubiertas en Segalmex.</t>
  </si>
  <si>
    <t>Un profesor habitante de Tlanchinol denunció que sujetos desconocidos atacaron su camioneta con un artefacto explosivo casero mientras estaba estacionada frente a su domicilio y pues en la cabecera municipal todo esto sucedió. Por medio de redes sociales el afectado señaló que la situación se registró el pasado fin de semana, de acuerdo con un testimonio los responsables viajaban en un automóvil que permaneció varios minutos cerca de su vivienda, rompieron un cristal de su vehículo e introdujeron la bomba que pues detonó dentro de la unidad. Añadió también que al salir encontró la camioneta llena de de humo y eh con daños también eh por el fuego en el interior, no hubo lesionados, eh solamente daños materiales, pero sí señaló pues que minutos antes precisamente se suspendió el suministro eléctrico de aquella zona sin que hubiera lluvia, lo que consideró inusual. Y pues en el lugar quedaron una botella de gasolina, eh tela, un mechero también, y un martillo, como indicios y pues la Policía Municipal acordonó el área y resguardó también la unidad. Y pues el afectado, quien preside una asociación civil dedicada a la defensa y regulación del patrimonio bajo el régimen de propiedad social, pues consideró que el ataque podría estar vinculado a su labor. Y pues explicó también que a pesar de que notificó al Ministerio Público para poder recabar los indicios, eh pasaron tres horas y las autoridades ministeriales no habían llegado al lugar para poder realizar las diligencias correspondientes. Y pues anunció también que va a interponer una denuncia ante la Procuraduría General de Justicia del Estado de Hidalgo y pidió también la intervención del gobierno estatal. De hecho, asegura también que el hecho no estaría pues deteniendo el trabajo de la organización, que tienen programadas reuniones en los próximos días. Esto fue lo que sucedió, Daniel, allá en Tlanchinol.</t>
  </si>
  <si>
    <t>Atentado</t>
  </si>
  <si>
    <t>Aldo Falcón y Andrés Torres hablan sobre los cortes de circulación en el centro de Pachuca debido a las festividades patrias. A partir del mediodía, se cerrarán estaciones del Tuzobús en la Plaza Juárez y la Plaza Constitución. Estos cierres se iniciaron la noche anterior en varias calles y avenidas del centro, ya que se espera una gran afluencia de personas para los festejos. Ambos animan a la gente a celebrar con familia y amigos, pero también a cuidarse. El Tuzobús extenderá su horario de servicio una vez que terminen las celebraciones en la Plaza Juárez. Se recomienda a los usuarios que verifiquen los horarios y qué estaciones están abiertas o cerradas para evitar problemas al regresar a casa. Es importante estar informado sobre el transporte para facilitar el regreso después de los festejos.</t>
  </si>
  <si>
    <t>Andrés Torres: Ayer hubo reunión entre el gabinete de Seguridad Pública de nuestro estado, este que encabeza el gobernador Julio Menchaca Salazar y, por supuesto, en el que participa el secretario de Gobierno Guillermo Olivares Reyna y, por supuesto, el secretario de Seguridad Pública, el señor Salvador Cruz Neri, y también está en este gabinete el procurador de justicia Hernández Hasbun. Que le fue muy mal, ¿no?, el domingo pasado. Lo regañaron mucho allá en las instalaciones de la Feria, los videos, las fotos pues son evidentes, bueno pues también se le fueron se le fue ahí el tema de la organización, pero bueno, pues ya más repuesto, ayer participó en esta reunión de gabinete...</t>
  </si>
  <si>
    <t>Ke Buena 106.7 FM</t>
  </si>
  <si>
    <t>Noticias 106.7</t>
  </si>
  <si>
    <t>Gabinete de Seguridad</t>
  </si>
  <si>
    <t>David Cárdenas</t>
  </si>
  <si>
    <t>Emite Protección Civil recomendaciones para prevenir incidentes durante las Fiestas Patrias</t>
  </si>
  <si>
    <t>Copriseh implementará acciones de vigilancia sanitaria durante las Fiestas Patrias 2026</t>
  </si>
  <si>
    <t>Durante su colaboración matutina, David Cárdenas compartió una entrevista realizada a Héctor Chávez Ruiz, titular de comunicación política del PRD en Hidalgo, quien evaluó positivamente el informe federal presentado previamente. Chávez Ruiz reconoció la buena coordinación entre el gobierno estatal de Julio Menchaca y la administración federal, subrayando la importancia de canalizar la atracción de inversiones y el crecimiento económico hacia mejores servicios, educación y empleos bien remunerados para los hidalguenses, evitando así la fuga de talento local.</t>
  </si>
  <si>
    <t>En Tulancingo se inauguró la "Casa de Artesanías e Idarte Tulancingo" ubicada en el Centro Cultural Ricardo Garibay. El evento fue encabezado por el secretario del Bienestar e Inclusión Social, Ricardo Gómez Moreno, y la presidenta municipal, Lorena García Cáceres. Este nuevo espacio busca impulsar el talento de 22 artesanas y artesanos locales, ofreciendo un escaparate para comercializar productos como bordados de tenangos, alfarería, talabartería, marroquinería, metalistería y gastronomía regional (miel, licores, derivados del maguey, entre otros), garantizando precios justos y fomentando la riqueza cultural para las nuevas generaciones.</t>
  </si>
  <si>
    <t>SEPH y Casio México evalúan uso de tecnología para fortalecer la enseñanza de las matemáticas</t>
  </si>
  <si>
    <t>Niñas y Niños Cantores de Hidalgo celebran 15 años con su primera gira internacional</t>
  </si>
  <si>
    <t>Niños cantores</t>
  </si>
  <si>
    <t>Entrevista vía telefónica Francisco Uriel Camacho Aranda, director de vinculación del Instituto Tecnológico Superior de Huichapan - El Instituto Tecnológico Superior de Huichapan (Iteshu) celebró su 26 aniversario con diversas actividades culturales, académicas y deportivas, destacando un impacto significativo en el desarrollo regional y la movilidad social de las comunidades aledañas, al contar actualmente con nueve carreras, dos maestrías y un alto porcentaje de inserción laboral de sus egresados. Las celebraciones incluyeron un protocolo con autoridades estatales y municipales, un concierto de música clásica, una caravana temática, el evento "Embajadores Iteshu", un concurso de canto y el anuncio de próximas actividades como el Congreso Internacional de Mecatrónica y una carrera atlética abierta al público programada para el 29 de septiembre.</t>
  </si>
  <si>
    <t>Conmemoración Aniversario</t>
  </si>
  <si>
    <t>Un fuerte operativo conjunto de la Secretaría de la Defensa Nacional, la Secretaría de Marina y la Fiscalía General de la República se llevó a cabo en una residencia del fraccionamiento La Toscana en Tulancingo, presuntamente vinculada a familiares de Justo Aurelio Rivera Parrales, conocido como el "señor de los lamborghinis" y detenido previamente en Mérida. Durante la diligencia, que incluyó el aseguramiento de vehículos y objetos, se mantuvo un despliegue de seguridad; no obstante, hasta el momento las autoridades federales no han emitido una confirmación oficial sobre detenidos o los detalles de la investigación. Por su parte, la alcaldesa local indicó que el municipio no participó en el operativo al no ser requerido por las fuerzas federales, mientras se investiga si guarda relación con otros movimientos de seguridad recientes en la zona.</t>
  </si>
  <si>
    <t>Empresas fachada</t>
  </si>
  <si>
    <t>SSPH desmantela taller de regrabado y clonación de identificaciones vehiculares</t>
  </si>
  <si>
    <t>Durante su colaboración matutina, David Cárdenas, quien informó que no habría conferencias matutinas debido a los preparativos de las celebraciones patrias del Grito de Independencia, destacando que este representa el segundo acto de esta naturaleza encabezado por la presidenta Claudia Sheinbaum Pardo.</t>
  </si>
  <si>
    <t>Radioescucha 55 60 dice: «Buenos días, solo para reportar: en la colonia Rojo Gómez hoy se cumplen dos semanas que no tenemos agua y tampoco hemos recibido apoyo de abasto por Caasim». Con mucho gusto lo paso con Paola García, de Caasim, para que nos pueda apoyar en un momento determinado, cuando menos que les apoyen con alguna pipa o algo así, para que puedan salir adelante con esta falta de agua.</t>
  </si>
  <si>
    <t>Conductor comento de una situación que se suscitó en una colectiva de Centro-Pachuquilla. Entonces, venían ahí los pasajeros muy tranquilos, sin ningún problema.</t>
  </si>
  <si>
    <t>Agresión a transportistas</t>
  </si>
  <si>
    <t>Eulalio Larrieta agradece Paola García y Lic. Sarahi Pineda, por estar atentas a los mensajes de la ciudadanía y por atenderlos.</t>
  </si>
  <si>
    <t>Vía telefónica Érick Canales médico veterinario zootecnista, responsable del programa estatal de zoonosis de la Secretaria de Salud de Hidalgo con el tema: cuidados que debemos de tener con nuestras mascotitas, les repito, gatos y yo creo que las aves con la pirotecnia,</t>
  </si>
  <si>
    <t>Bienestar Animal</t>
  </si>
  <si>
    <t>En conferencia de prensa, la Secretaria de Movilidad de Hidalgo, Lyzbeth Robles Gutiérrez, informó que desde el 1 de agosto de 2026, el Sistema Integrado de Transporte Masivo de Hidalgo opera por cuenta propia el servicio. Actualmente cuenta con 491 personas que, junto con los operadores, participan en la atención de miles de usuarios.</t>
  </si>
  <si>
    <t>Carril confinado</t>
  </si>
  <si>
    <t>Sobre la nota de la secretaria de movilidad del rechazo al trafico por el carril confinado, el conductor Eulalio Larrieta comento: “La vez del informe del gobernador lo abrieron, ¿y qué tráfico hubo? Nada de tráfico, estuvo circulando bien. Pero bueno, cada quien es su perro, cada quien lo baña como quiere, de una vez les digo. Si no al rato van a decir: «No, es que Lalo lo está motivando, es que va a sacar alguna inteligencia, con alguna inteligencia artificial va a decir algo». No, no, para nada. Ahí está. Ahí está y yo no tengo ninguna situación en ello”</t>
  </si>
  <si>
    <t>Hay delitos que usted a veces ni se imagina que ya suceden en hidalgo pero si, ya existen, la secretaria de seguridad pública desarticuló en Pachuca un inmueble utilizado para regrabar y clonar documentos de identificación vehicular en coordinación con la Procuraduría General de Justicia y la Secretaría de la Defensa Nacional se ejecutó una orden de cateo en el fraccionamiento Valle Diamante Plus donde fue detenido un hombre Las autoridades encontraron en este cateo placas, tarjetas de circulación, licencias y etiquetas para clonar documentos además de una motocicleta, un Chevrolet Jetta y un Chevrolet Onix con alteraciones en sus medios de identificación El detenido y los indicios quedaron a disposición del Ministerio Público, la población puede denunciar este tipo de delitos al 089</t>
  </si>
  <si>
    <t>Sin embargo, estos recorridos por las 18 entidades también han registrado protestas y reclamos. Aquí en Hidalgo, los estudiantes del Mexe demandaron que se aclare el homicidio de uno de sus compañeros que ocurrió el pasado lunes. El procurador Francisco Fernández Hasbún se reunió con familiares para informar sobre los avances de la investigación del crimen en contra del alumno de la Escuela Normal Rural Luis Villarreal. El lunes pasado un homicidio, es una persona que pertenece al Mexe, ya se atendió a la familia desde el día. El mes pasado estuvimos con la familia, me solicitaron que me acercara aquí al venue para ver este tema, para explicarles y volverles a explicar. Y también un contingente de delegados del Mexe, para que sepan y entiendan todo lo que está sucediendo y aparte la investigación. ¿Nos recuerda por qué del momento se inició la carpeta? Es por homicidio. ¿Por homicidio? Sí. ¿Cuántos años tenía él? Miren, esa información la tengo que reservar, como ustedes saben, es un tema que estamos en investigación, vamos bastante avanzados.</t>
  </si>
  <si>
    <t>Recomendaciones de Protección Civil Estatal para fiestas patrias si usted tiene planeado salir esta noche pues la secretaría de gobierno de hidalgo a través de protección civil emitió recomendaciones para celebrar con seguridad de estas fiestas patrias a quienes acudan a eventos masivos el subsecretario de protección civil Román Bernal</t>
  </si>
  <si>
    <t>Cambiemos de tema porque hoy sí, hoy es el grito de independencia y habrá fiesta en la ciudad metropolitana, en la capital hidalguense, se prevé que el grito de independencia se dé a eso de las veintidós cuarenta horas diez de la noche con cuarenta minutos en el balcón central del edificio de gobierno allá en Plaza Juárez en Pachuca donde va a estar</t>
  </si>
  <si>
    <t>Vía telefónica comandante Óscar Sánchez Director General de Tránsito y Vialidad del Municipio de Pachuca con el tema: Fiestas patrias . Comentó sobre las los cortes viales que se estaran llevando acabo debido a los festejos de fiestas patrias</t>
  </si>
  <si>
    <t>Protección Civil del Estado de Hidalgo emite recomendaciones para los festejos patrios. Se hace un llamado a no utilizar pirotecnia durante esta esta celebración.</t>
  </si>
  <si>
    <t>Radioescucha Dice: «Solamente para hacer nuevamente un llamado a Caasim: la reparación de fugas en Punta Azul». Con mucho gusto lo pasamos enseguida. Gracias.</t>
  </si>
  <si>
    <t>En otros temas por primera ocasión hidalgo es sede de la gimnasiada nacional 2026, un evento que reúne a cerca de 5000 deportistas en Pachuca y que continuará hasta el domingo 20 de septiembre y así lo informó Oscar Pérez Rojas, director general del instituto hidalguense del deporte si usted tiene la oportunidad de asistir a esta gimnasiada hágalo sobre todo por sus hijos para que vean pues el deporte en alta competencia y tal vez pueda motivarse a participar en alguno el funcionario nuestro querido Oscar Pérez</t>
  </si>
  <si>
    <t>Gimnasiada Nacional</t>
  </si>
  <si>
    <t>Vamos a otra información dejamos de lado las fiestas patrias y déjeme decirle que vecinos se manifestaron en la calzada Melchor Ocampo en Tula de Allende para expresar su rechazo al derribo de árboles visto en la obra de la zona los inconformes fueron atendidos por el secretario municipal con quien acordaron que las autoridades les mostrarán el proyecto técnico de la obra a fin de reconocer sus alcances y las medidas consideradas para proteger el arbolado tras el diálogo los manifestantes señalaron que permanecerán atentos a la presentación del proyecto y las decisiones que se tomen sobre esta intervención la reunión se da hoy a las 4 de la tarde.</t>
  </si>
  <si>
    <t>Inconformidad por obra</t>
  </si>
  <si>
    <t>La presidenta Claudia Sheinbaum informó que más de 300 mil personas han asistido a los actos realizados en 18 entidades como parte de su gira de rendición de cuentas. Sheinbaum Pardo reportó que tres mil personas estuvieron en Hidalgo en su informe, entre otras entidades visitadas.Y mucho, mucho entusiasmo, la verdad.Todos los lugares estuvimos. En total de los dos, Hidalgo hay 13 mil, eso que nos agarró la lluvia. Sí, en total han sido más de 300 mil personas entre los dos fines de semana.</t>
  </si>
  <si>
    <t>Vamos a otros temas porque el gobernador Julio Menchaca Salazar envió al congreso de Hidalgo un paquete de iniciativas para actualizar el marco jurídico estatal en transparencia, protección de datos personales, control interno, simplificación administrativa y transformación digital. Esta propuesta contempla crear el órgano desconcentrado, transparencia para el pueblo de Hidalgo, que estará adscrito a la Secretaría de Contraloría, así como un subsistema estatal de transparencia.</t>
  </si>
  <si>
    <t>Hallazgo de cuerpo flotando en el río Tula a la altura de Chilcuautla Y un hombre quien cayó accidentalmente la tarde del domingo al río Tula en Mixquiahuala fue localizado este lunes a la altura de la comunidad Tlacotlapilco en Chilcuautla Habitantes de la zona observaron el cadáver flotando en el afluente y solicitaron apoyo a los servicios de emergencia, elementos de auxilio acudieron al sitio confirmando el hallazgo y realizaron las maniobras para recuperar el cuerpo.</t>
  </si>
  <si>
    <t>Localización de cuerpo</t>
  </si>
  <si>
    <t>El gobierno de Hidalgo remodelará 34 estaciones del Sistema de Transporte Metropolitano, conocido como Tuzobús.</t>
  </si>
  <si>
    <t>Modernización Tuzobús</t>
  </si>
  <si>
    <t>Hidalgo llega a la elección de 2027 con reglas del juego cambiadas. Ayer hubo sesión del congreso de Hidalgo. Le decíamos también en este espacio que estaban por definir también si el 50 por ciento, si 42 municipios iban solamente a candidatar a mujeres con este tema de paridad de género. Bueno, con esta sesión que tuvo ayer el congreso del estado de Hidalgo se aprobó una reforma electoral que redibuja la integración de los 84 ayuntamientos.</t>
  </si>
  <si>
    <t>Resultados del operativo de seguridad presentados por Julio Menchaca Salazar tras esta situación pues más de cinco mil policías participarán en el operativo de seguridad por estos festejos patrios no solamente en Plaza Juárez de Pachuca sino en varios de los municipios de Hidalgo informó el gobernador Julio Menchaca Salazar durante la reunión semanal del gabinete de seguridad s</t>
  </si>
  <si>
    <t>Vigilancia sanitaria de la Secretaría de Salud y COPRISEH en comercios y la secretaría de salud de Hidalgo y la Copriseh implementarán acciones de vigilancia sanitaria en los 84 municipios durante las fiestas patrias 2026 a través de sus 12 delegaciones se supervisarán puestos y establecimientos donde se preparen y vendan alimentos bebidas con énfasis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</si>
</sst>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63" tableType="queryTable" totalsRowShown="0">
  <autoFilter ref="A1:M163"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63"/>
  <sheetViews>
    <sheetView tabSelected="1" topLeftCell="A128" workbookViewId="0">
      <selection activeCell="C163" sqref="C163"/>
    </sheetView>
  </sheetViews>
  <sheetFormatPr baseColWidth="10" defaultRowHeight="15" x14ac:dyDescent="0.25"/>
  <cols>
    <col min="1" max="1" width="8.5703125" bestFit="1" customWidth="1"/>
    <col min="2" max="2" width="11.42578125" bestFit="1" customWidth="1"/>
    <col min="3" max="3" width="26" bestFit="1" customWidth="1"/>
    <col min="4" max="4" width="30.42578125" bestFit="1" customWidth="1"/>
    <col min="5" max="5" width="81.140625" bestFit="1" customWidth="1"/>
    <col min="6" max="6" width="20.85546875" bestFit="1" customWidth="1"/>
    <col min="7" max="7" width="30.85546875" bestFit="1" customWidth="1"/>
    <col min="8" max="8" width="12.42578125" bestFit="1" customWidth="1"/>
    <col min="9" max="9" width="11.140625" bestFit="1" customWidth="1"/>
    <col min="10" max="10" width="25.7109375" bestFit="1" customWidth="1"/>
    <col min="11" max="11" width="31"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25</v>
      </c>
      <c r="C1" t="s">
        <v>26</v>
      </c>
      <c r="D1" t="s">
        <v>27</v>
      </c>
      <c r="E1" t="s">
        <v>1</v>
      </c>
      <c r="F1" t="s">
        <v>2</v>
      </c>
      <c r="G1" t="s">
        <v>4</v>
      </c>
      <c r="H1" t="s">
        <v>3</v>
      </c>
      <c r="I1" t="s">
        <v>5</v>
      </c>
      <c r="J1" t="s">
        <v>28</v>
      </c>
      <c r="K1" t="s">
        <v>29</v>
      </c>
      <c r="L1" t="s">
        <v>30</v>
      </c>
      <c r="M1" t="s">
        <v>37</v>
      </c>
    </row>
    <row r="2" spans="1:13" x14ac:dyDescent="0.25">
      <c r="A2" s="2">
        <v>46279</v>
      </c>
      <c r="B2" s="1" t="str">
        <f ca="1">IF(Información1[[#This Row],[Fecha]]='Ajuste de fechas'!$A$2,"Día actual","Día anterior")</f>
        <v>Día anterior</v>
      </c>
      <c r="C2" s="3" t="s">
        <v>48</v>
      </c>
      <c r="D2" t="s">
        <v>72</v>
      </c>
      <c r="E2" s="3" t="s">
        <v>93</v>
      </c>
      <c r="F2" s="3" t="s">
        <v>18</v>
      </c>
      <c r="G2" s="3" t="s">
        <v>94</v>
      </c>
      <c r="H2" s="3" t="s">
        <v>47</v>
      </c>
      <c r="I2" s="3" t="s">
        <v>7</v>
      </c>
      <c r="J2" s="3" t="s">
        <v>31</v>
      </c>
      <c r="K2" s="3" t="s">
        <v>50</v>
      </c>
      <c r="L2" s="3" t="s">
        <v>34</v>
      </c>
      <c r="M2">
        <v>1</v>
      </c>
    </row>
    <row r="3" spans="1:13" x14ac:dyDescent="0.25">
      <c r="A3" s="2">
        <v>46279</v>
      </c>
      <c r="B3" s="1" t="str">
        <f ca="1">IF(Información1[[#This Row],[Fecha]]='Ajuste de fechas'!$A$2,"Día actual","Día anterior")</f>
        <v>Día anterior</v>
      </c>
      <c r="C3" s="3" t="s">
        <v>48</v>
      </c>
      <c r="D3" t="s">
        <v>72</v>
      </c>
      <c r="E3" s="3" t="s">
        <v>95</v>
      </c>
      <c r="F3" s="3" t="s">
        <v>58</v>
      </c>
      <c r="G3" s="3" t="s">
        <v>96</v>
      </c>
      <c r="H3" s="3" t="s">
        <v>47</v>
      </c>
      <c r="I3" s="3" t="s">
        <v>7</v>
      </c>
      <c r="J3" s="3" t="s">
        <v>31</v>
      </c>
      <c r="K3" s="3" t="s">
        <v>50</v>
      </c>
      <c r="L3" s="3" t="s">
        <v>32</v>
      </c>
      <c r="M3">
        <v>1</v>
      </c>
    </row>
    <row r="4" spans="1:13" x14ac:dyDescent="0.25">
      <c r="A4" s="2">
        <v>46279</v>
      </c>
      <c r="B4" s="1" t="str">
        <f ca="1">IF(Información1[[#This Row],[Fecha]]='Ajuste de fechas'!$A$2,"Día actual","Día anterior")</f>
        <v>Día anterior</v>
      </c>
      <c r="C4" s="3" t="s">
        <v>48</v>
      </c>
      <c r="D4" t="s">
        <v>72</v>
      </c>
      <c r="E4" s="3" t="s">
        <v>97</v>
      </c>
      <c r="F4" s="3" t="s">
        <v>16</v>
      </c>
      <c r="G4" s="3" t="s">
        <v>98</v>
      </c>
      <c r="H4" s="3" t="s">
        <v>47</v>
      </c>
      <c r="I4" s="3" t="s">
        <v>7</v>
      </c>
      <c r="J4" s="3" t="s">
        <v>35</v>
      </c>
      <c r="K4" s="3" t="s">
        <v>50</v>
      </c>
      <c r="L4" s="3" t="s">
        <v>32</v>
      </c>
      <c r="M4">
        <v>1</v>
      </c>
    </row>
    <row r="5" spans="1:13" x14ac:dyDescent="0.25">
      <c r="A5" s="2">
        <v>46279</v>
      </c>
      <c r="B5" s="1" t="str">
        <f ca="1">IF(Información1[[#This Row],[Fecha]]='Ajuste de fechas'!$A$2,"Día actual","Día anterior")</f>
        <v>Día anterior</v>
      </c>
      <c r="C5" s="3" t="s">
        <v>48</v>
      </c>
      <c r="D5" t="s">
        <v>72</v>
      </c>
      <c r="E5" s="3" t="s">
        <v>99</v>
      </c>
      <c r="F5" s="3" t="s">
        <v>16</v>
      </c>
      <c r="G5" s="3" t="s">
        <v>82</v>
      </c>
      <c r="H5" s="3" t="s">
        <v>47</v>
      </c>
      <c r="I5" s="3" t="s">
        <v>7</v>
      </c>
      <c r="J5" s="3" t="s">
        <v>35</v>
      </c>
      <c r="K5" s="3" t="s">
        <v>50</v>
      </c>
      <c r="L5" s="3" t="s">
        <v>32</v>
      </c>
      <c r="M5">
        <v>1</v>
      </c>
    </row>
    <row r="6" spans="1:13" x14ac:dyDescent="0.25">
      <c r="A6" s="2">
        <v>46279</v>
      </c>
      <c r="B6" s="1" t="str">
        <f ca="1">IF(Información1[[#This Row],[Fecha]]='Ajuste de fechas'!$A$2,"Día actual","Día anterior")</f>
        <v>Día anterior</v>
      </c>
      <c r="C6" s="3" t="s">
        <v>48</v>
      </c>
      <c r="D6" t="s">
        <v>72</v>
      </c>
      <c r="E6" s="3" t="s">
        <v>100</v>
      </c>
      <c r="F6" s="3" t="s">
        <v>18</v>
      </c>
      <c r="G6" s="3" t="s">
        <v>83</v>
      </c>
      <c r="H6" s="3" t="s">
        <v>47</v>
      </c>
      <c r="I6" s="3" t="s">
        <v>7</v>
      </c>
      <c r="J6" s="3" t="s">
        <v>31</v>
      </c>
      <c r="K6" s="3" t="s">
        <v>50</v>
      </c>
      <c r="L6" s="3" t="s">
        <v>34</v>
      </c>
      <c r="M6">
        <v>1</v>
      </c>
    </row>
    <row r="7" spans="1:13" x14ac:dyDescent="0.25">
      <c r="A7" s="2">
        <v>46279</v>
      </c>
      <c r="B7" s="1" t="str">
        <f ca="1">IF(Información1[[#This Row],[Fecha]]='Ajuste de fechas'!$A$2,"Día actual","Día anterior")</f>
        <v>Día anterior</v>
      </c>
      <c r="C7" s="3" t="s">
        <v>48</v>
      </c>
      <c r="D7" t="s">
        <v>49</v>
      </c>
      <c r="E7" s="3" t="s">
        <v>101</v>
      </c>
      <c r="F7" s="3" t="s">
        <v>16</v>
      </c>
      <c r="G7" s="3" t="s">
        <v>102</v>
      </c>
      <c r="H7" s="3" t="s">
        <v>47</v>
      </c>
      <c r="I7" s="3" t="s">
        <v>22</v>
      </c>
      <c r="J7" s="3" t="s">
        <v>35</v>
      </c>
      <c r="K7" s="3" t="s">
        <v>9</v>
      </c>
      <c r="L7" s="3" t="s">
        <v>33</v>
      </c>
      <c r="M7">
        <v>1</v>
      </c>
    </row>
    <row r="8" spans="1:13" x14ac:dyDescent="0.25">
      <c r="A8" s="2">
        <v>46279</v>
      </c>
      <c r="B8" s="1" t="str">
        <f ca="1">IF(Información1[[#This Row],[Fecha]]='Ajuste de fechas'!$A$2,"Día actual","Día anterior")</f>
        <v>Día anterior</v>
      </c>
      <c r="C8" s="3" t="s">
        <v>48</v>
      </c>
      <c r="D8" t="s">
        <v>49</v>
      </c>
      <c r="E8" s="3" t="s">
        <v>103</v>
      </c>
      <c r="F8" s="3" t="s">
        <v>16</v>
      </c>
      <c r="G8" s="3" t="s">
        <v>65</v>
      </c>
      <c r="H8" s="3" t="s">
        <v>47</v>
      </c>
      <c r="I8" s="3" t="s">
        <v>7</v>
      </c>
      <c r="J8" s="3" t="s">
        <v>35</v>
      </c>
      <c r="K8" s="3" t="s">
        <v>50</v>
      </c>
      <c r="L8" s="3" t="s">
        <v>32</v>
      </c>
      <c r="M8">
        <v>1</v>
      </c>
    </row>
    <row r="9" spans="1:13" x14ac:dyDescent="0.25">
      <c r="A9" s="2">
        <v>46279</v>
      </c>
      <c r="B9" s="1" t="str">
        <f ca="1">IF(Información1[[#This Row],[Fecha]]='Ajuste de fechas'!$A$2,"Día actual","Día anterior")</f>
        <v>Día anterior</v>
      </c>
      <c r="C9" s="3" t="s">
        <v>48</v>
      </c>
      <c r="D9" t="s">
        <v>49</v>
      </c>
      <c r="E9" s="3" t="s">
        <v>104</v>
      </c>
      <c r="F9" s="3" t="s">
        <v>19</v>
      </c>
      <c r="G9" s="3" t="s">
        <v>89</v>
      </c>
      <c r="H9" s="3" t="s">
        <v>47</v>
      </c>
      <c r="I9" s="3" t="s">
        <v>22</v>
      </c>
      <c r="J9" s="3" t="s">
        <v>36</v>
      </c>
      <c r="K9" s="3" t="s">
        <v>50</v>
      </c>
      <c r="L9" s="3" t="s">
        <v>32</v>
      </c>
      <c r="M9">
        <v>1</v>
      </c>
    </row>
    <row r="10" spans="1:13" x14ac:dyDescent="0.25">
      <c r="A10" s="2">
        <v>46279</v>
      </c>
      <c r="B10" s="1" t="str">
        <f ca="1">IF(Información1[[#This Row],[Fecha]]='Ajuste de fechas'!$A$2,"Día actual","Día anterior")</f>
        <v>Día anterior</v>
      </c>
      <c r="C10" s="3" t="s">
        <v>48</v>
      </c>
      <c r="D10" t="s">
        <v>49</v>
      </c>
      <c r="E10" s="3" t="s">
        <v>105</v>
      </c>
      <c r="F10" s="3" t="s">
        <v>19</v>
      </c>
      <c r="G10" s="3" t="s">
        <v>89</v>
      </c>
      <c r="H10" s="3" t="s">
        <v>47</v>
      </c>
      <c r="I10" s="3" t="s">
        <v>7</v>
      </c>
      <c r="J10" s="3" t="s">
        <v>36</v>
      </c>
      <c r="K10" s="3" t="s">
        <v>50</v>
      </c>
      <c r="L10" s="3" t="s">
        <v>32</v>
      </c>
      <c r="M10">
        <v>1</v>
      </c>
    </row>
    <row r="11" spans="1:13" x14ac:dyDescent="0.25">
      <c r="A11" s="2">
        <v>46279</v>
      </c>
      <c r="B11" s="1" t="str">
        <f ca="1">IF(Información1[[#This Row],[Fecha]]='Ajuste de fechas'!$A$2,"Día actual","Día anterior")</f>
        <v>Día anterior</v>
      </c>
      <c r="C11" s="3" t="s">
        <v>48</v>
      </c>
      <c r="D11" t="s">
        <v>49</v>
      </c>
      <c r="E11" s="3" t="s">
        <v>106</v>
      </c>
      <c r="F11" s="3" t="s">
        <v>21</v>
      </c>
      <c r="G11" s="3" t="s">
        <v>107</v>
      </c>
      <c r="H11" s="3" t="s">
        <v>47</v>
      </c>
      <c r="I11" s="3" t="s">
        <v>7</v>
      </c>
      <c r="J11" s="3" t="s">
        <v>21</v>
      </c>
      <c r="K11" s="3" t="s">
        <v>50</v>
      </c>
      <c r="L11" s="3" t="s">
        <v>41</v>
      </c>
      <c r="M11">
        <v>1</v>
      </c>
    </row>
    <row r="12" spans="1:13" x14ac:dyDescent="0.25">
      <c r="A12" s="2">
        <v>46279</v>
      </c>
      <c r="B12" s="1" t="str">
        <f ca="1">IF(Información1[[#This Row],[Fecha]]='Ajuste de fechas'!$A$2,"Día actual","Día anterior")</f>
        <v>Día anterior</v>
      </c>
      <c r="C12" s="3" t="s">
        <v>48</v>
      </c>
      <c r="D12" t="s">
        <v>49</v>
      </c>
      <c r="E12" s="3" t="s">
        <v>108</v>
      </c>
      <c r="F12" s="3" t="s">
        <v>43</v>
      </c>
      <c r="G12" s="3" t="s">
        <v>109</v>
      </c>
      <c r="H12" s="3" t="s">
        <v>47</v>
      </c>
      <c r="I12" s="3" t="s">
        <v>7</v>
      </c>
      <c r="J12" s="3" t="s">
        <v>31</v>
      </c>
      <c r="K12" s="3" t="s">
        <v>51</v>
      </c>
      <c r="L12" s="3" t="s">
        <v>32</v>
      </c>
      <c r="M12">
        <v>1</v>
      </c>
    </row>
    <row r="13" spans="1:13" x14ac:dyDescent="0.25">
      <c r="A13" s="2">
        <v>46279</v>
      </c>
      <c r="B13" s="1" t="str">
        <f ca="1">IF(Información1[[#This Row],[Fecha]]='Ajuste de fechas'!$A$2,"Día actual","Día anterior")</f>
        <v>Día anterior</v>
      </c>
      <c r="C13" s="3" t="s">
        <v>48</v>
      </c>
      <c r="D13" t="s">
        <v>49</v>
      </c>
      <c r="E13" s="3" t="s">
        <v>110</v>
      </c>
      <c r="F13" s="3" t="s">
        <v>111</v>
      </c>
      <c r="G13" s="3" t="s">
        <v>109</v>
      </c>
      <c r="H13" s="3" t="s">
        <v>47</v>
      </c>
      <c r="I13" s="3" t="s">
        <v>7</v>
      </c>
      <c r="J13" s="3" t="s">
        <v>31</v>
      </c>
      <c r="K13" s="3" t="s">
        <v>51</v>
      </c>
      <c r="L13" s="3" t="s">
        <v>32</v>
      </c>
      <c r="M13">
        <v>1</v>
      </c>
    </row>
    <row r="14" spans="1:13" x14ac:dyDescent="0.25">
      <c r="A14" s="2">
        <v>46279</v>
      </c>
      <c r="B14" s="1" t="str">
        <f ca="1">IF(Información1[[#This Row],[Fecha]]='Ajuste de fechas'!$A$2,"Día actual","Día anterior")</f>
        <v>Día anterior</v>
      </c>
      <c r="C14" s="3" t="s">
        <v>48</v>
      </c>
      <c r="D14" t="s">
        <v>49</v>
      </c>
      <c r="E14" s="3" t="s">
        <v>112</v>
      </c>
      <c r="F14" s="3" t="s">
        <v>14</v>
      </c>
      <c r="G14" s="3" t="s">
        <v>109</v>
      </c>
      <c r="H14" s="3" t="s">
        <v>47</v>
      </c>
      <c r="I14" s="3" t="s">
        <v>7</v>
      </c>
      <c r="J14" s="3" t="s">
        <v>31</v>
      </c>
      <c r="K14" s="3" t="s">
        <v>51</v>
      </c>
      <c r="L14" s="3" t="s">
        <v>32</v>
      </c>
      <c r="M14">
        <v>1</v>
      </c>
    </row>
    <row r="15" spans="1:13" x14ac:dyDescent="0.25">
      <c r="A15" s="2">
        <v>46279</v>
      </c>
      <c r="B15" s="1" t="str">
        <f ca="1">IF(Información1[[#This Row],[Fecha]]='Ajuste de fechas'!$A$2,"Día actual","Día anterior")</f>
        <v>Día anterior</v>
      </c>
      <c r="C15" s="3" t="s">
        <v>48</v>
      </c>
      <c r="D15" t="s">
        <v>49</v>
      </c>
      <c r="E15" s="3" t="s">
        <v>113</v>
      </c>
      <c r="F15" s="3" t="s">
        <v>111</v>
      </c>
      <c r="G15" s="3" t="s">
        <v>109</v>
      </c>
      <c r="H15" s="3" t="s">
        <v>47</v>
      </c>
      <c r="I15" s="3" t="s">
        <v>7</v>
      </c>
      <c r="J15" s="3" t="s">
        <v>31</v>
      </c>
      <c r="K15" s="3" t="s">
        <v>51</v>
      </c>
      <c r="L15" s="3" t="s">
        <v>32</v>
      </c>
      <c r="M15">
        <v>1</v>
      </c>
    </row>
    <row r="16" spans="1:13" x14ac:dyDescent="0.25">
      <c r="A16" s="2">
        <v>46279</v>
      </c>
      <c r="B16" s="1" t="str">
        <f ca="1">IF(Información1[[#This Row],[Fecha]]='Ajuste de fechas'!$A$2,"Día actual","Día anterior")</f>
        <v>Día anterior</v>
      </c>
      <c r="C16" s="3" t="s">
        <v>48</v>
      </c>
      <c r="D16" t="s">
        <v>49</v>
      </c>
      <c r="E16" s="3" t="s">
        <v>114</v>
      </c>
      <c r="F16" s="3" t="s">
        <v>115</v>
      </c>
      <c r="G16" s="3" t="s">
        <v>109</v>
      </c>
      <c r="H16" s="3" t="s">
        <v>47</v>
      </c>
      <c r="I16" s="3" t="s">
        <v>7</v>
      </c>
      <c r="J16" s="3" t="s">
        <v>31</v>
      </c>
      <c r="K16" s="3" t="s">
        <v>51</v>
      </c>
      <c r="L16" s="3" t="s">
        <v>32</v>
      </c>
      <c r="M16">
        <v>1</v>
      </c>
    </row>
    <row r="17" spans="1:13" x14ac:dyDescent="0.25">
      <c r="A17" s="2">
        <v>46279</v>
      </c>
      <c r="B17" s="1" t="str">
        <f ca="1">IF(Información1[[#This Row],[Fecha]]='Ajuste de fechas'!$A$2,"Día actual","Día anterior")</f>
        <v>Día anterior</v>
      </c>
      <c r="C17" s="3" t="s">
        <v>48</v>
      </c>
      <c r="D17" t="s">
        <v>49</v>
      </c>
      <c r="E17" s="3" t="s">
        <v>116</v>
      </c>
      <c r="F17" s="3" t="s">
        <v>23</v>
      </c>
      <c r="G17" s="3" t="s">
        <v>109</v>
      </c>
      <c r="H17" s="3" t="s">
        <v>47</v>
      </c>
      <c r="I17" s="3" t="s">
        <v>7</v>
      </c>
      <c r="J17" s="3" t="s">
        <v>31</v>
      </c>
      <c r="K17" s="3" t="s">
        <v>51</v>
      </c>
      <c r="L17" s="3" t="s">
        <v>32</v>
      </c>
      <c r="M17">
        <v>1</v>
      </c>
    </row>
    <row r="18" spans="1:13" x14ac:dyDescent="0.25">
      <c r="A18" s="2">
        <v>46279</v>
      </c>
      <c r="B18" s="1" t="str">
        <f ca="1">IF(Información1[[#This Row],[Fecha]]='Ajuste de fechas'!$A$2,"Día actual","Día anterior")</f>
        <v>Día anterior</v>
      </c>
      <c r="C18" s="3" t="s">
        <v>48</v>
      </c>
      <c r="D18" t="s">
        <v>49</v>
      </c>
      <c r="E18" s="3" t="s">
        <v>117</v>
      </c>
      <c r="F18" s="3" t="s">
        <v>23</v>
      </c>
      <c r="G18" s="3" t="s">
        <v>98</v>
      </c>
      <c r="H18" s="3" t="s">
        <v>47</v>
      </c>
      <c r="I18" s="3" t="s">
        <v>11</v>
      </c>
      <c r="J18" s="3" t="s">
        <v>31</v>
      </c>
      <c r="K18" s="3" t="s">
        <v>51</v>
      </c>
      <c r="L18" s="3" t="s">
        <v>33</v>
      </c>
      <c r="M18">
        <v>1</v>
      </c>
    </row>
    <row r="19" spans="1:13" x14ac:dyDescent="0.25">
      <c r="A19" s="2">
        <v>46279</v>
      </c>
      <c r="B19" s="1" t="str">
        <f ca="1">IF(Información1[[#This Row],[Fecha]]='Ajuste de fechas'!$A$2,"Día actual","Día anterior")</f>
        <v>Día anterior</v>
      </c>
      <c r="C19" s="3" t="s">
        <v>8</v>
      </c>
      <c r="D19" t="s">
        <v>10</v>
      </c>
      <c r="E19" s="3" t="s">
        <v>118</v>
      </c>
      <c r="F19" s="3" t="s">
        <v>62</v>
      </c>
      <c r="G19" s="3" t="s">
        <v>119</v>
      </c>
      <c r="H19" s="3" t="s">
        <v>47</v>
      </c>
      <c r="I19" s="3" t="s">
        <v>7</v>
      </c>
      <c r="J19" s="3" t="s">
        <v>31</v>
      </c>
      <c r="K19" s="3" t="s">
        <v>12</v>
      </c>
      <c r="L19" s="3" t="s">
        <v>34</v>
      </c>
      <c r="M19">
        <v>1</v>
      </c>
    </row>
    <row r="20" spans="1:13" x14ac:dyDescent="0.25">
      <c r="A20" s="2">
        <v>46279</v>
      </c>
      <c r="B20" s="1" t="str">
        <f ca="1">IF(Información1[[#This Row],[Fecha]]='Ajuste de fechas'!$A$2,"Día actual","Día anterior")</f>
        <v>Día anterior</v>
      </c>
      <c r="C20" s="3" t="s">
        <v>68</v>
      </c>
      <c r="D20" t="s">
        <v>69</v>
      </c>
      <c r="E20" s="3" t="s">
        <v>120</v>
      </c>
      <c r="F20" s="3" t="s">
        <v>20</v>
      </c>
      <c r="G20" s="3" t="s">
        <v>121</v>
      </c>
      <c r="H20" s="3" t="s">
        <v>47</v>
      </c>
      <c r="I20" s="3" t="s">
        <v>7</v>
      </c>
      <c r="J20" s="3" t="s">
        <v>31</v>
      </c>
      <c r="K20" s="3" t="s">
        <v>70</v>
      </c>
      <c r="L20" s="3" t="s">
        <v>32</v>
      </c>
      <c r="M20">
        <v>1</v>
      </c>
    </row>
    <row r="21" spans="1:13" x14ac:dyDescent="0.25">
      <c r="A21" s="2">
        <v>46279</v>
      </c>
      <c r="B21" s="1" t="str">
        <f ca="1">IF(Información1[[#This Row],[Fecha]]='Ajuste de fechas'!$A$2,"Día actual","Día anterior")</f>
        <v>Día anterior</v>
      </c>
      <c r="C21" s="3" t="s">
        <v>68</v>
      </c>
      <c r="D21" t="s">
        <v>69</v>
      </c>
      <c r="E21" s="3" t="s">
        <v>122</v>
      </c>
      <c r="F21" s="3" t="s">
        <v>20</v>
      </c>
      <c r="G21" s="3" t="s">
        <v>73</v>
      </c>
      <c r="H21" s="3" t="s">
        <v>47</v>
      </c>
      <c r="I21" s="3" t="s">
        <v>7</v>
      </c>
      <c r="J21" s="3" t="s">
        <v>31</v>
      </c>
      <c r="K21" s="3" t="s">
        <v>70</v>
      </c>
      <c r="L21" s="3" t="s">
        <v>32</v>
      </c>
      <c r="M21">
        <v>1</v>
      </c>
    </row>
    <row r="22" spans="1:13" x14ac:dyDescent="0.25">
      <c r="A22" s="2">
        <v>46279</v>
      </c>
      <c r="B22" s="1" t="str">
        <f ca="1">IF(Información1[[#This Row],[Fecha]]='Ajuste de fechas'!$A$2,"Día actual","Día anterior")</f>
        <v>Día anterior</v>
      </c>
      <c r="C22" s="3" t="s">
        <v>8</v>
      </c>
      <c r="D22" t="s">
        <v>10</v>
      </c>
      <c r="E22" s="3" t="s">
        <v>123</v>
      </c>
      <c r="F22" s="3" t="s">
        <v>46</v>
      </c>
      <c r="G22" s="3" t="s">
        <v>121</v>
      </c>
      <c r="H22" s="3" t="s">
        <v>47</v>
      </c>
      <c r="I22" s="3" t="s">
        <v>7</v>
      </c>
      <c r="J22" s="3" t="s">
        <v>31</v>
      </c>
      <c r="K22" s="3" t="s">
        <v>12</v>
      </c>
      <c r="L22" s="3" t="s">
        <v>34</v>
      </c>
      <c r="M22">
        <v>1</v>
      </c>
    </row>
    <row r="23" spans="1:13" x14ac:dyDescent="0.25">
      <c r="A23" s="2">
        <v>46279</v>
      </c>
      <c r="B23" s="1" t="str">
        <f ca="1">IF(Información1[[#This Row],[Fecha]]='Ajuste de fechas'!$A$2,"Día actual","Día anterior")</f>
        <v>Día anterior</v>
      </c>
      <c r="C23" s="3" t="s">
        <v>68</v>
      </c>
      <c r="D23" t="s">
        <v>69</v>
      </c>
      <c r="E23" s="3" t="s">
        <v>124</v>
      </c>
      <c r="F23" s="3" t="s">
        <v>18</v>
      </c>
      <c r="G23" s="3" t="s">
        <v>125</v>
      </c>
      <c r="H23" s="3" t="s">
        <v>47</v>
      </c>
      <c r="I23" s="3" t="s">
        <v>7</v>
      </c>
      <c r="J23" s="3" t="s">
        <v>31</v>
      </c>
      <c r="K23" s="3" t="s">
        <v>70</v>
      </c>
      <c r="L23" s="3" t="s">
        <v>32</v>
      </c>
      <c r="M23">
        <v>1</v>
      </c>
    </row>
    <row r="24" spans="1:13" x14ac:dyDescent="0.25">
      <c r="A24" s="2">
        <v>46279</v>
      </c>
      <c r="B24" s="1" t="str">
        <f ca="1">IF(Información1[[#This Row],[Fecha]]='Ajuste de fechas'!$A$2,"Día actual","Día anterior")</f>
        <v>Día anterior</v>
      </c>
      <c r="C24" s="3" t="s">
        <v>68</v>
      </c>
      <c r="D24" t="s">
        <v>69</v>
      </c>
      <c r="E24" s="3" t="s">
        <v>126</v>
      </c>
      <c r="F24" s="3" t="s">
        <v>18</v>
      </c>
      <c r="G24" s="3" t="s">
        <v>94</v>
      </c>
      <c r="H24" s="3" t="s">
        <v>47</v>
      </c>
      <c r="I24" s="3" t="s">
        <v>7</v>
      </c>
      <c r="J24" s="3" t="s">
        <v>31</v>
      </c>
      <c r="K24" s="3" t="s">
        <v>70</v>
      </c>
      <c r="L24" s="3" t="s">
        <v>32</v>
      </c>
      <c r="M24">
        <v>1</v>
      </c>
    </row>
    <row r="25" spans="1:13" x14ac:dyDescent="0.25">
      <c r="A25" s="2">
        <v>46279</v>
      </c>
      <c r="B25" s="1" t="str">
        <f ca="1">IF(Información1[[#This Row],[Fecha]]='Ajuste de fechas'!$A$2,"Día actual","Día anterior")</f>
        <v>Día anterior</v>
      </c>
      <c r="C25" s="3" t="s">
        <v>127</v>
      </c>
      <c r="D25" t="s">
        <v>128</v>
      </c>
      <c r="E25" s="3" t="s">
        <v>129</v>
      </c>
      <c r="F25" s="3" t="s">
        <v>18</v>
      </c>
      <c r="G25" s="3" t="s">
        <v>83</v>
      </c>
      <c r="H25" s="3" t="s">
        <v>47</v>
      </c>
      <c r="I25" s="3" t="s">
        <v>7</v>
      </c>
      <c r="J25" s="3" t="s">
        <v>31</v>
      </c>
      <c r="K25" s="3" t="s">
        <v>130</v>
      </c>
      <c r="L25" s="3" t="s">
        <v>32</v>
      </c>
      <c r="M25">
        <v>1</v>
      </c>
    </row>
    <row r="26" spans="1:13" x14ac:dyDescent="0.25">
      <c r="A26" s="2">
        <v>46279</v>
      </c>
      <c r="B26" s="1" t="str">
        <f ca="1">IF(Información1[[#This Row],[Fecha]]='Ajuste de fechas'!$A$2,"Día actual","Día anterior")</f>
        <v>Día anterior</v>
      </c>
      <c r="C26" s="3" t="s">
        <v>68</v>
      </c>
      <c r="D26" t="s">
        <v>69</v>
      </c>
      <c r="E26" s="3" t="s">
        <v>131</v>
      </c>
      <c r="F26" s="3" t="s">
        <v>43</v>
      </c>
      <c r="G26" s="3" t="s">
        <v>132</v>
      </c>
      <c r="H26" s="3" t="s">
        <v>47</v>
      </c>
      <c r="I26" s="3" t="s">
        <v>7</v>
      </c>
      <c r="J26" s="3" t="s">
        <v>31</v>
      </c>
      <c r="K26" s="3" t="s">
        <v>70</v>
      </c>
      <c r="L26" s="3" t="s">
        <v>32</v>
      </c>
      <c r="M26">
        <v>1</v>
      </c>
    </row>
    <row r="27" spans="1:13" x14ac:dyDescent="0.25">
      <c r="A27" s="2">
        <v>46279</v>
      </c>
      <c r="B27" s="1" t="str">
        <f ca="1">IF(Información1[[#This Row],[Fecha]]='Ajuste de fechas'!$A$2,"Día actual","Día anterior")</f>
        <v>Día anterior</v>
      </c>
      <c r="C27" s="3" t="s">
        <v>133</v>
      </c>
      <c r="D27" t="s">
        <v>134</v>
      </c>
      <c r="E27" s="3" t="s">
        <v>135</v>
      </c>
      <c r="F27" s="3" t="s">
        <v>75</v>
      </c>
      <c r="G27" s="3" t="s">
        <v>136</v>
      </c>
      <c r="H27" s="3" t="s">
        <v>47</v>
      </c>
      <c r="I27" s="3" t="s">
        <v>7</v>
      </c>
      <c r="J27" s="3" t="s">
        <v>31</v>
      </c>
      <c r="K27" s="3" t="s">
        <v>137</v>
      </c>
      <c r="L27" s="3" t="s">
        <v>34</v>
      </c>
      <c r="M27">
        <v>1</v>
      </c>
    </row>
    <row r="28" spans="1:13" x14ac:dyDescent="0.25">
      <c r="A28" s="2">
        <v>46279</v>
      </c>
      <c r="B28" s="1" t="str">
        <f ca="1">IF(Información1[[#This Row],[Fecha]]='Ajuste de fechas'!$A$2,"Día actual","Día anterior")</f>
        <v>Día anterior</v>
      </c>
      <c r="C28" s="3" t="s">
        <v>127</v>
      </c>
      <c r="D28" t="s">
        <v>128</v>
      </c>
      <c r="E28" s="3" t="s">
        <v>138</v>
      </c>
      <c r="F28" s="3" t="s">
        <v>139</v>
      </c>
      <c r="G28" s="3" t="s">
        <v>78</v>
      </c>
      <c r="H28" s="3" t="s">
        <v>47</v>
      </c>
      <c r="I28" s="3" t="s">
        <v>7</v>
      </c>
      <c r="J28" s="3" t="s">
        <v>31</v>
      </c>
      <c r="K28" s="3" t="s">
        <v>130</v>
      </c>
      <c r="L28" s="3" t="s">
        <v>32</v>
      </c>
      <c r="M28">
        <v>1</v>
      </c>
    </row>
    <row r="29" spans="1:13" x14ac:dyDescent="0.25">
      <c r="A29" s="2">
        <v>46279</v>
      </c>
      <c r="B29" s="1" t="str">
        <f ca="1">IF(Información1[[#This Row],[Fecha]]='Ajuste de fechas'!$A$2,"Día actual","Día anterior")</f>
        <v>Día anterior</v>
      </c>
      <c r="C29" s="3" t="s">
        <v>127</v>
      </c>
      <c r="D29" t="s">
        <v>128</v>
      </c>
      <c r="E29" s="3" t="s">
        <v>140</v>
      </c>
      <c r="F29" s="3" t="s">
        <v>23</v>
      </c>
      <c r="G29" s="3" t="s">
        <v>141</v>
      </c>
      <c r="H29" s="3" t="s">
        <v>47</v>
      </c>
      <c r="I29" s="3" t="s">
        <v>7</v>
      </c>
      <c r="J29" s="3" t="s">
        <v>31</v>
      </c>
      <c r="K29" s="3" t="s">
        <v>130</v>
      </c>
      <c r="L29" s="3" t="s">
        <v>32</v>
      </c>
      <c r="M29">
        <v>1</v>
      </c>
    </row>
    <row r="30" spans="1:13" x14ac:dyDescent="0.25">
      <c r="A30" s="2">
        <v>46279</v>
      </c>
      <c r="B30" s="1" t="str">
        <f ca="1">IF(Información1[[#This Row],[Fecha]]='Ajuste de fechas'!$A$2,"Día actual","Día anterior")</f>
        <v>Día anterior</v>
      </c>
      <c r="C30" s="3" t="s">
        <v>68</v>
      </c>
      <c r="D30" t="s">
        <v>69</v>
      </c>
      <c r="E30" s="3" t="s">
        <v>142</v>
      </c>
      <c r="F30" s="3" t="s">
        <v>23</v>
      </c>
      <c r="G30" s="3" t="s">
        <v>141</v>
      </c>
      <c r="H30" s="3" t="s">
        <v>47</v>
      </c>
      <c r="I30" s="3" t="s">
        <v>7</v>
      </c>
      <c r="J30" s="3" t="s">
        <v>31</v>
      </c>
      <c r="K30" s="3" t="s">
        <v>70</v>
      </c>
      <c r="L30" s="3" t="s">
        <v>32</v>
      </c>
      <c r="M30">
        <v>1</v>
      </c>
    </row>
    <row r="31" spans="1:13" x14ac:dyDescent="0.25">
      <c r="A31" s="2">
        <v>46279</v>
      </c>
      <c r="B31" s="1" t="str">
        <f ca="1">IF(Información1[[#This Row],[Fecha]]='Ajuste de fechas'!$A$2,"Día actual","Día anterior")</f>
        <v>Día anterior</v>
      </c>
      <c r="C31" s="3" t="s">
        <v>8</v>
      </c>
      <c r="D31" t="s">
        <v>10</v>
      </c>
      <c r="E31" s="3" t="s">
        <v>143</v>
      </c>
      <c r="F31" s="3" t="s">
        <v>90</v>
      </c>
      <c r="G31" s="3" t="s">
        <v>91</v>
      </c>
      <c r="H31" s="3" t="s">
        <v>47</v>
      </c>
      <c r="I31" s="3" t="s">
        <v>7</v>
      </c>
      <c r="J31" s="3" t="s">
        <v>31</v>
      </c>
      <c r="K31" s="3" t="s">
        <v>12</v>
      </c>
      <c r="L31" s="3" t="s">
        <v>32</v>
      </c>
      <c r="M31">
        <v>1</v>
      </c>
    </row>
    <row r="32" spans="1:13" x14ac:dyDescent="0.25">
      <c r="A32" s="2">
        <v>46279</v>
      </c>
      <c r="B32" s="1" t="str">
        <f ca="1">IF(Información1[[#This Row],[Fecha]]='Ajuste de fechas'!$A$2,"Día actual","Día anterior")</f>
        <v>Día anterior</v>
      </c>
      <c r="C32" s="3" t="s">
        <v>68</v>
      </c>
      <c r="D32" t="s">
        <v>69</v>
      </c>
      <c r="E32" s="3" t="s">
        <v>144</v>
      </c>
      <c r="F32" s="3" t="s">
        <v>16</v>
      </c>
      <c r="G32" s="3" t="s">
        <v>132</v>
      </c>
      <c r="H32" s="3" t="s">
        <v>47</v>
      </c>
      <c r="I32" s="3" t="s">
        <v>22</v>
      </c>
      <c r="J32" s="3" t="s">
        <v>35</v>
      </c>
      <c r="K32" s="3" t="s">
        <v>70</v>
      </c>
      <c r="L32" s="3" t="s">
        <v>32</v>
      </c>
      <c r="M32">
        <v>1</v>
      </c>
    </row>
    <row r="33" spans="1:13" x14ac:dyDescent="0.25">
      <c r="A33" s="2">
        <v>46279</v>
      </c>
      <c r="B33" s="1" t="str">
        <f ca="1">IF(Información1[[#This Row],[Fecha]]='Ajuste de fechas'!$A$2,"Día actual","Día anterior")</f>
        <v>Día anterior</v>
      </c>
      <c r="C33" s="3" t="s">
        <v>68</v>
      </c>
      <c r="D33" t="s">
        <v>69</v>
      </c>
      <c r="E33" s="3" t="s">
        <v>145</v>
      </c>
      <c r="F33" s="3" t="s">
        <v>19</v>
      </c>
      <c r="G33" s="3" t="s">
        <v>146</v>
      </c>
      <c r="H33" s="3" t="s">
        <v>47</v>
      </c>
      <c r="I33" s="3" t="s">
        <v>22</v>
      </c>
      <c r="J33" s="3" t="s">
        <v>36</v>
      </c>
      <c r="K33" s="3" t="s">
        <v>70</v>
      </c>
      <c r="L33" s="3" t="s">
        <v>32</v>
      </c>
      <c r="M33">
        <v>1</v>
      </c>
    </row>
    <row r="34" spans="1:13" x14ac:dyDescent="0.25">
      <c r="A34" s="2">
        <v>46279</v>
      </c>
      <c r="B34" s="1" t="str">
        <f ca="1">IF(Información1[[#This Row],[Fecha]]='Ajuste de fechas'!$A$2,"Día actual","Día anterior")</f>
        <v>Día anterior</v>
      </c>
      <c r="C34" s="3" t="s">
        <v>68</v>
      </c>
      <c r="D34" t="s">
        <v>69</v>
      </c>
      <c r="E34" s="3" t="s">
        <v>147</v>
      </c>
      <c r="F34" s="3" t="s">
        <v>71</v>
      </c>
      <c r="G34" s="3" t="s">
        <v>79</v>
      </c>
      <c r="H34" s="3" t="s">
        <v>47</v>
      </c>
      <c r="I34" s="3" t="s">
        <v>7</v>
      </c>
      <c r="J34" s="3" t="s">
        <v>31</v>
      </c>
      <c r="K34" s="3" t="s">
        <v>70</v>
      </c>
      <c r="L34" s="3" t="s">
        <v>32</v>
      </c>
      <c r="M34">
        <v>1</v>
      </c>
    </row>
    <row r="35" spans="1:13" x14ac:dyDescent="0.25">
      <c r="A35" s="2">
        <v>46279</v>
      </c>
      <c r="B35" s="1" t="str">
        <f ca="1">IF(Información1[[#This Row],[Fecha]]='Ajuste de fechas'!$A$2,"Día actual","Día anterior")</f>
        <v>Día anterior</v>
      </c>
      <c r="C35" s="3" t="s">
        <v>68</v>
      </c>
      <c r="D35" t="s">
        <v>69</v>
      </c>
      <c r="E35" s="3" t="s">
        <v>148</v>
      </c>
      <c r="F35" s="3" t="s">
        <v>19</v>
      </c>
      <c r="G35" s="3" t="s">
        <v>149</v>
      </c>
      <c r="H35" s="3" t="s">
        <v>47</v>
      </c>
      <c r="I35" s="3" t="s">
        <v>7</v>
      </c>
      <c r="J35" s="3" t="s">
        <v>36</v>
      </c>
      <c r="K35" s="3" t="s">
        <v>70</v>
      </c>
      <c r="L35" s="3" t="s">
        <v>32</v>
      </c>
      <c r="M35">
        <v>1</v>
      </c>
    </row>
    <row r="36" spans="1:13" x14ac:dyDescent="0.25">
      <c r="A36" s="2">
        <v>46279</v>
      </c>
      <c r="B36" s="1" t="str">
        <f ca="1">IF(Información1[[#This Row],[Fecha]]='Ajuste de fechas'!$A$2,"Día actual","Día anterior")</f>
        <v>Día anterior</v>
      </c>
      <c r="C36" s="3" t="s">
        <v>68</v>
      </c>
      <c r="D36" t="s">
        <v>69</v>
      </c>
      <c r="E36" s="3" t="s">
        <v>150</v>
      </c>
      <c r="F36" s="3" t="s">
        <v>16</v>
      </c>
      <c r="G36" s="3" t="s">
        <v>151</v>
      </c>
      <c r="H36" s="3" t="s">
        <v>47</v>
      </c>
      <c r="I36" s="3" t="s">
        <v>7</v>
      </c>
      <c r="J36" s="3" t="s">
        <v>35</v>
      </c>
      <c r="K36" s="3" t="s">
        <v>70</v>
      </c>
      <c r="L36" s="3" t="s">
        <v>32</v>
      </c>
      <c r="M36">
        <v>1</v>
      </c>
    </row>
    <row r="37" spans="1:13" x14ac:dyDescent="0.25">
      <c r="A37" s="2">
        <v>46279</v>
      </c>
      <c r="B37" s="1" t="str">
        <f ca="1">IF(Información1[[#This Row],[Fecha]]='Ajuste de fechas'!$A$2,"Día actual","Día anterior")</f>
        <v>Día anterior</v>
      </c>
      <c r="C37" s="3" t="s">
        <v>68</v>
      </c>
      <c r="D37" t="s">
        <v>69</v>
      </c>
      <c r="E37" s="3" t="s">
        <v>152</v>
      </c>
      <c r="F37" s="3" t="s">
        <v>71</v>
      </c>
      <c r="G37" s="3" t="s">
        <v>153</v>
      </c>
      <c r="H37" s="3" t="s">
        <v>47</v>
      </c>
      <c r="I37" s="3" t="s">
        <v>7</v>
      </c>
      <c r="J37" s="3" t="s">
        <v>31</v>
      </c>
      <c r="K37" s="3" t="s">
        <v>70</v>
      </c>
      <c r="L37" s="3" t="s">
        <v>32</v>
      </c>
      <c r="M37">
        <v>1</v>
      </c>
    </row>
    <row r="38" spans="1:13" x14ac:dyDescent="0.25">
      <c r="A38" s="2">
        <v>46279</v>
      </c>
      <c r="B38" s="1" t="str">
        <f ca="1">IF(Información1[[#This Row],[Fecha]]='Ajuste de fechas'!$A$2,"Día actual","Día anterior")</f>
        <v>Día anterior</v>
      </c>
      <c r="C38" s="3" t="s">
        <v>68</v>
      </c>
      <c r="D38" t="s">
        <v>69</v>
      </c>
      <c r="E38" s="3" t="s">
        <v>154</v>
      </c>
      <c r="F38" s="3" t="s">
        <v>43</v>
      </c>
      <c r="G38" s="3" t="s">
        <v>155</v>
      </c>
      <c r="H38" s="3" t="s">
        <v>47</v>
      </c>
      <c r="I38" s="3" t="s">
        <v>7</v>
      </c>
      <c r="J38" s="3" t="s">
        <v>31</v>
      </c>
      <c r="K38" s="3" t="s">
        <v>70</v>
      </c>
      <c r="L38" s="3" t="s">
        <v>32</v>
      </c>
      <c r="M38">
        <v>1</v>
      </c>
    </row>
    <row r="39" spans="1:13" x14ac:dyDescent="0.25">
      <c r="A39" s="2">
        <v>46279</v>
      </c>
      <c r="B39" s="1" t="str">
        <f ca="1">IF(Información1[[#This Row],[Fecha]]='Ajuste de fechas'!$A$2,"Día actual","Día anterior")</f>
        <v>Día anterior</v>
      </c>
      <c r="C39" s="3" t="s">
        <v>68</v>
      </c>
      <c r="D39" t="s">
        <v>69</v>
      </c>
      <c r="E39" s="3" t="s">
        <v>156</v>
      </c>
      <c r="F39" s="3" t="s">
        <v>40</v>
      </c>
      <c r="G39" s="3" t="s">
        <v>80</v>
      </c>
      <c r="H39" s="3" t="s">
        <v>47</v>
      </c>
      <c r="I39" s="3" t="s">
        <v>7</v>
      </c>
      <c r="J39" s="3" t="s">
        <v>21</v>
      </c>
      <c r="K39" s="3" t="s">
        <v>70</v>
      </c>
      <c r="L39" s="3" t="s">
        <v>32</v>
      </c>
      <c r="M39">
        <v>1</v>
      </c>
    </row>
    <row r="40" spans="1:13" x14ac:dyDescent="0.25">
      <c r="A40" s="2">
        <v>46279</v>
      </c>
      <c r="B40" s="1" t="str">
        <f ca="1">IF(Información1[[#This Row],[Fecha]]='Ajuste de fechas'!$A$2,"Día actual","Día anterior")</f>
        <v>Día anterior</v>
      </c>
      <c r="C40" s="3" t="s">
        <v>68</v>
      </c>
      <c r="D40" t="s">
        <v>69</v>
      </c>
      <c r="E40" s="3" t="s">
        <v>157</v>
      </c>
      <c r="F40" s="3" t="s">
        <v>19</v>
      </c>
      <c r="G40" s="3" t="s">
        <v>146</v>
      </c>
      <c r="H40" s="3" t="s">
        <v>47</v>
      </c>
      <c r="I40" s="3" t="s">
        <v>7</v>
      </c>
      <c r="J40" s="3" t="s">
        <v>36</v>
      </c>
      <c r="K40" s="3" t="s">
        <v>70</v>
      </c>
      <c r="L40" s="3" t="s">
        <v>32</v>
      </c>
      <c r="M40">
        <v>1</v>
      </c>
    </row>
    <row r="41" spans="1:13" x14ac:dyDescent="0.25">
      <c r="A41" s="2">
        <v>46279</v>
      </c>
      <c r="B41" s="1" t="str">
        <f ca="1">IF(Información1[[#This Row],[Fecha]]='Ajuste de fechas'!$A$2,"Día actual","Día anterior")</f>
        <v>Día anterior</v>
      </c>
      <c r="C41" s="3" t="s">
        <v>8</v>
      </c>
      <c r="D41" t="s">
        <v>10</v>
      </c>
      <c r="E41" s="3" t="s">
        <v>158</v>
      </c>
      <c r="F41" s="3" t="s">
        <v>16</v>
      </c>
      <c r="G41" s="3" t="s">
        <v>54</v>
      </c>
      <c r="H41" s="3" t="s">
        <v>47</v>
      </c>
      <c r="I41" s="3" t="s">
        <v>22</v>
      </c>
      <c r="J41" s="3" t="s">
        <v>35</v>
      </c>
      <c r="K41" s="3" t="s">
        <v>9</v>
      </c>
      <c r="L41" s="3" t="s">
        <v>33</v>
      </c>
      <c r="M41">
        <v>1</v>
      </c>
    </row>
    <row r="42" spans="1:13" x14ac:dyDescent="0.25">
      <c r="A42" s="2">
        <v>46279</v>
      </c>
      <c r="B42" s="1" t="str">
        <f ca="1">IF(Información1[[#This Row],[Fecha]]='Ajuste de fechas'!$A$2,"Día actual","Día anterior")</f>
        <v>Día anterior</v>
      </c>
      <c r="C42" s="3" t="s">
        <v>8</v>
      </c>
      <c r="D42" t="s">
        <v>10</v>
      </c>
      <c r="E42" s="3" t="s">
        <v>159</v>
      </c>
      <c r="F42" s="3" t="s">
        <v>6</v>
      </c>
      <c r="G42" s="3" t="s">
        <v>84</v>
      </c>
      <c r="H42" s="3" t="s">
        <v>47</v>
      </c>
      <c r="I42" s="3" t="s">
        <v>22</v>
      </c>
      <c r="J42" s="3" t="s">
        <v>31</v>
      </c>
      <c r="K42" s="3" t="s">
        <v>9</v>
      </c>
      <c r="L42" s="3" t="s">
        <v>33</v>
      </c>
      <c r="M42">
        <v>1</v>
      </c>
    </row>
    <row r="43" spans="1:13" x14ac:dyDescent="0.25">
      <c r="A43" s="2">
        <v>46279</v>
      </c>
      <c r="B43" s="1" t="str">
        <f ca="1">IF(Información1[[#This Row],[Fecha]]='Ajuste de fechas'!$A$2,"Día actual","Día anterior")</f>
        <v>Día anterior</v>
      </c>
      <c r="C43" s="3" t="s">
        <v>8</v>
      </c>
      <c r="D43" t="s">
        <v>10</v>
      </c>
      <c r="E43" s="3" t="s">
        <v>160</v>
      </c>
      <c r="F43" s="3" t="s">
        <v>6</v>
      </c>
      <c r="G43" s="3" t="s">
        <v>45</v>
      </c>
      <c r="H43" s="3" t="s">
        <v>47</v>
      </c>
      <c r="I43" s="3" t="s">
        <v>22</v>
      </c>
      <c r="J43" s="3" t="s">
        <v>31</v>
      </c>
      <c r="K43" s="3" t="s">
        <v>9</v>
      </c>
      <c r="L43" s="3" t="s">
        <v>33</v>
      </c>
      <c r="M43">
        <v>1</v>
      </c>
    </row>
    <row r="44" spans="1:13" x14ac:dyDescent="0.25">
      <c r="A44" s="2">
        <v>46279</v>
      </c>
      <c r="B44" s="1" t="str">
        <f ca="1">IF(Información1[[#This Row],[Fecha]]='Ajuste de fechas'!$A$2,"Día actual","Día anterior")</f>
        <v>Día anterior</v>
      </c>
      <c r="C44" s="3" t="s">
        <v>8</v>
      </c>
      <c r="D44" t="s">
        <v>10</v>
      </c>
      <c r="E44" s="3" t="s">
        <v>161</v>
      </c>
      <c r="F44" s="3" t="s">
        <v>16</v>
      </c>
      <c r="G44" s="3" t="s">
        <v>162</v>
      </c>
      <c r="H44" s="3" t="s">
        <v>47</v>
      </c>
      <c r="I44" s="3" t="s">
        <v>11</v>
      </c>
      <c r="J44" s="3" t="s">
        <v>35</v>
      </c>
      <c r="K44" s="3" t="s">
        <v>9</v>
      </c>
      <c r="L44" s="3" t="s">
        <v>33</v>
      </c>
      <c r="M44">
        <v>1</v>
      </c>
    </row>
    <row r="45" spans="1:13" x14ac:dyDescent="0.25">
      <c r="A45" s="2">
        <v>46279</v>
      </c>
      <c r="B45" s="1" t="str">
        <f ca="1">IF(Información1[[#This Row],[Fecha]]='Ajuste de fechas'!$A$2,"Día actual","Día anterior")</f>
        <v>Día anterior</v>
      </c>
      <c r="C45" s="3" t="s">
        <v>8</v>
      </c>
      <c r="D45" t="s">
        <v>10</v>
      </c>
      <c r="E45" s="3" t="s">
        <v>163</v>
      </c>
      <c r="F45" s="3" t="s">
        <v>46</v>
      </c>
      <c r="G45" s="3" t="s">
        <v>164</v>
      </c>
      <c r="H45" s="3" t="s">
        <v>47</v>
      </c>
      <c r="I45" s="3" t="s">
        <v>7</v>
      </c>
      <c r="J45" s="3" t="s">
        <v>31</v>
      </c>
      <c r="K45" s="3" t="s">
        <v>12</v>
      </c>
      <c r="L45" s="3" t="s">
        <v>32</v>
      </c>
      <c r="M45">
        <v>1</v>
      </c>
    </row>
    <row r="46" spans="1:13" x14ac:dyDescent="0.25">
      <c r="A46" s="2">
        <v>46279</v>
      </c>
      <c r="B46" s="1" t="str">
        <f ca="1">IF(Información1[[#This Row],[Fecha]]='Ajuste de fechas'!$A$2,"Día actual","Día anterior")</f>
        <v>Día anterior</v>
      </c>
      <c r="C46" s="3" t="s">
        <v>8</v>
      </c>
      <c r="D46" t="s">
        <v>10</v>
      </c>
      <c r="E46" s="3" t="s">
        <v>165</v>
      </c>
      <c r="F46" s="3" t="s">
        <v>6</v>
      </c>
      <c r="G46" s="3" t="s">
        <v>85</v>
      </c>
      <c r="H46" s="3" t="s">
        <v>47</v>
      </c>
      <c r="I46" s="3" t="s">
        <v>7</v>
      </c>
      <c r="J46" s="3" t="s">
        <v>31</v>
      </c>
      <c r="K46" s="3" t="s">
        <v>12</v>
      </c>
      <c r="L46" s="3" t="s">
        <v>32</v>
      </c>
      <c r="M46">
        <v>1</v>
      </c>
    </row>
    <row r="47" spans="1:13" x14ac:dyDescent="0.25">
      <c r="A47" s="2">
        <v>46279</v>
      </c>
      <c r="B47" s="1" t="str">
        <f ca="1">IF(Información1[[#This Row],[Fecha]]='Ajuste de fechas'!$A$2,"Día actual","Día anterior")</f>
        <v>Día anterior</v>
      </c>
      <c r="C47" s="3" t="s">
        <v>8</v>
      </c>
      <c r="D47" t="s">
        <v>10</v>
      </c>
      <c r="E47" s="3" t="s">
        <v>166</v>
      </c>
      <c r="F47" s="3" t="s">
        <v>40</v>
      </c>
      <c r="G47" s="3" t="s">
        <v>167</v>
      </c>
      <c r="H47" s="3" t="s">
        <v>47</v>
      </c>
      <c r="I47" s="3" t="s">
        <v>7</v>
      </c>
      <c r="J47" s="3" t="s">
        <v>21</v>
      </c>
      <c r="K47" s="3" t="s">
        <v>12</v>
      </c>
      <c r="L47" s="3" t="s">
        <v>32</v>
      </c>
      <c r="M47">
        <v>1</v>
      </c>
    </row>
    <row r="48" spans="1:13" x14ac:dyDescent="0.25">
      <c r="A48" s="2">
        <v>46279</v>
      </c>
      <c r="B48" s="1" t="str">
        <f ca="1">IF(Información1[[#This Row],[Fecha]]='Ajuste de fechas'!$A$2,"Día actual","Día anterior")</f>
        <v>Día anterior</v>
      </c>
      <c r="C48" s="3" t="s">
        <v>8</v>
      </c>
      <c r="D48" t="s">
        <v>10</v>
      </c>
      <c r="E48" s="3" t="s">
        <v>17</v>
      </c>
      <c r="F48" s="3" t="s">
        <v>16</v>
      </c>
      <c r="G48" s="3" t="s">
        <v>24</v>
      </c>
      <c r="H48" s="3" t="s">
        <v>47</v>
      </c>
      <c r="I48" s="3" t="s">
        <v>11</v>
      </c>
      <c r="J48" s="3" t="s">
        <v>35</v>
      </c>
      <c r="K48" s="3" t="s">
        <v>12</v>
      </c>
      <c r="L48" s="3" t="s">
        <v>33</v>
      </c>
      <c r="M48">
        <v>1</v>
      </c>
    </row>
    <row r="49" spans="1:13" x14ac:dyDescent="0.25">
      <c r="A49" s="2">
        <v>46279</v>
      </c>
      <c r="B49" s="1" t="str">
        <f ca="1">IF(Información1[[#This Row],[Fecha]]='Ajuste de fechas'!$A$2,"Día actual","Día anterior")</f>
        <v>Día anterior</v>
      </c>
      <c r="C49" s="3" t="s">
        <v>8</v>
      </c>
      <c r="D49" t="s">
        <v>10</v>
      </c>
      <c r="E49" s="3" t="s">
        <v>15</v>
      </c>
      <c r="F49" s="3" t="s">
        <v>16</v>
      </c>
      <c r="G49" s="3" t="s">
        <v>24</v>
      </c>
      <c r="H49" s="3" t="s">
        <v>47</v>
      </c>
      <c r="I49" s="3" t="s">
        <v>11</v>
      </c>
      <c r="J49" s="3" t="s">
        <v>35</v>
      </c>
      <c r="K49" s="3" t="s">
        <v>12</v>
      </c>
      <c r="L49" s="3" t="s">
        <v>33</v>
      </c>
      <c r="M49">
        <v>1</v>
      </c>
    </row>
    <row r="50" spans="1:13" x14ac:dyDescent="0.25">
      <c r="A50" s="2">
        <v>46279</v>
      </c>
      <c r="B50" s="1" t="str">
        <f ca="1">IF(Información1[[#This Row],[Fecha]]='Ajuste de fechas'!$A$2,"Día actual","Día anterior")</f>
        <v>Día anterior</v>
      </c>
      <c r="C50" s="3" t="s">
        <v>8</v>
      </c>
      <c r="D50" t="s">
        <v>10</v>
      </c>
      <c r="E50" s="3" t="s">
        <v>42</v>
      </c>
      <c r="F50" s="3" t="s">
        <v>40</v>
      </c>
      <c r="G50" s="3" t="s">
        <v>24</v>
      </c>
      <c r="H50" s="3" t="s">
        <v>47</v>
      </c>
      <c r="I50" s="3" t="s">
        <v>11</v>
      </c>
      <c r="J50" s="3" t="s">
        <v>21</v>
      </c>
      <c r="K50" s="3" t="s">
        <v>12</v>
      </c>
      <c r="L50" s="3" t="s">
        <v>33</v>
      </c>
      <c r="M50">
        <v>1</v>
      </c>
    </row>
    <row r="51" spans="1:13" x14ac:dyDescent="0.25">
      <c r="A51" s="2">
        <v>46279</v>
      </c>
      <c r="B51" s="1" t="str">
        <f ca="1">IF(Información1[[#This Row],[Fecha]]='Ajuste de fechas'!$A$2,"Día actual","Día anterior")</f>
        <v>Día anterior</v>
      </c>
      <c r="C51" s="3" t="s">
        <v>8</v>
      </c>
      <c r="D51" t="s">
        <v>10</v>
      </c>
      <c r="E51" s="3" t="s">
        <v>44</v>
      </c>
      <c r="F51" s="3" t="s">
        <v>43</v>
      </c>
      <c r="G51" s="3" t="s">
        <v>24</v>
      </c>
      <c r="H51" s="3" t="s">
        <v>47</v>
      </c>
      <c r="I51" s="3" t="s">
        <v>11</v>
      </c>
      <c r="J51" s="3" t="s">
        <v>31</v>
      </c>
      <c r="K51" s="3" t="s">
        <v>12</v>
      </c>
      <c r="L51" s="3" t="s">
        <v>33</v>
      </c>
      <c r="M51">
        <v>1</v>
      </c>
    </row>
    <row r="52" spans="1:13" x14ac:dyDescent="0.25">
      <c r="A52" s="2">
        <v>46279</v>
      </c>
      <c r="B52" s="1" t="str">
        <f ca="1">IF(Información1[[#This Row],[Fecha]]='Ajuste de fechas'!$A$2,"Día actual","Día anterior")</f>
        <v>Día anterior</v>
      </c>
      <c r="C52" s="3" t="s">
        <v>8</v>
      </c>
      <c r="D52" t="s">
        <v>10</v>
      </c>
      <c r="E52" s="3" t="s">
        <v>13</v>
      </c>
      <c r="F52" s="3" t="s">
        <v>14</v>
      </c>
      <c r="G52" s="3" t="s">
        <v>24</v>
      </c>
      <c r="H52" s="3" t="s">
        <v>47</v>
      </c>
      <c r="I52" s="3" t="s">
        <v>11</v>
      </c>
      <c r="J52" s="3" t="s">
        <v>31</v>
      </c>
      <c r="K52" s="3" t="s">
        <v>12</v>
      </c>
      <c r="L52" s="3" t="s">
        <v>33</v>
      </c>
      <c r="M52">
        <v>1</v>
      </c>
    </row>
    <row r="53" spans="1:13" x14ac:dyDescent="0.25">
      <c r="A53" s="2">
        <v>46279</v>
      </c>
      <c r="B53" s="1" t="str">
        <f ca="1">IF(Información1[[#This Row],[Fecha]]='Ajuste de fechas'!$A$2,"Día actual","Día anterior")</f>
        <v>Día anterior</v>
      </c>
      <c r="C53" s="3" t="s">
        <v>8</v>
      </c>
      <c r="D53" t="s">
        <v>10</v>
      </c>
      <c r="E53" s="3" t="s">
        <v>168</v>
      </c>
      <c r="F53" s="3" t="s">
        <v>6</v>
      </c>
      <c r="G53" s="3" t="s">
        <v>24</v>
      </c>
      <c r="H53" s="3" t="s">
        <v>47</v>
      </c>
      <c r="I53" s="3" t="s">
        <v>11</v>
      </c>
      <c r="J53" s="3" t="s">
        <v>31</v>
      </c>
      <c r="K53" s="3" t="s">
        <v>12</v>
      </c>
      <c r="L53" s="3" t="s">
        <v>33</v>
      </c>
      <c r="M53">
        <v>1</v>
      </c>
    </row>
    <row r="54" spans="1:13" x14ac:dyDescent="0.25">
      <c r="A54" s="2">
        <v>46279</v>
      </c>
      <c r="B54" s="1" t="str">
        <f ca="1">IF(Información1[[#This Row],[Fecha]]='Ajuste de fechas'!$A$2,"Día actual","Día anterior")</f>
        <v>Día anterior</v>
      </c>
      <c r="C54" s="3" t="s">
        <v>56</v>
      </c>
      <c r="D54" t="s">
        <v>57</v>
      </c>
      <c r="E54" s="3" t="s">
        <v>170</v>
      </c>
      <c r="F54" s="3" t="s">
        <v>19</v>
      </c>
      <c r="G54" s="3" t="s">
        <v>146</v>
      </c>
      <c r="H54" s="3" t="s">
        <v>59</v>
      </c>
      <c r="I54" s="3" t="s">
        <v>22</v>
      </c>
      <c r="J54" s="3" t="s">
        <v>36</v>
      </c>
      <c r="K54" s="3" t="s">
        <v>61</v>
      </c>
      <c r="L54" s="3" t="s">
        <v>33</v>
      </c>
      <c r="M54">
        <v>1</v>
      </c>
    </row>
    <row r="55" spans="1:13" x14ac:dyDescent="0.25">
      <c r="A55" s="2">
        <v>46279</v>
      </c>
      <c r="B55" s="1" t="str">
        <f ca="1">IF(Información1[[#This Row],[Fecha]]='Ajuste de fechas'!$A$2,"Día actual","Día anterior")</f>
        <v>Día anterior</v>
      </c>
      <c r="C55" s="3" t="s">
        <v>56</v>
      </c>
      <c r="D55" t="s">
        <v>57</v>
      </c>
      <c r="E55" s="3" t="s">
        <v>171</v>
      </c>
      <c r="F55" s="3" t="s">
        <v>20</v>
      </c>
      <c r="G55" s="3" t="s">
        <v>146</v>
      </c>
      <c r="H55" s="3" t="s">
        <v>59</v>
      </c>
      <c r="I55" s="3" t="s">
        <v>22</v>
      </c>
      <c r="J55" s="3" t="s">
        <v>31</v>
      </c>
      <c r="K55" s="3" t="s">
        <v>172</v>
      </c>
      <c r="L55" s="3" t="s">
        <v>33</v>
      </c>
      <c r="M55">
        <v>1</v>
      </c>
    </row>
    <row r="56" spans="1:13" x14ac:dyDescent="0.25">
      <c r="A56" s="2">
        <v>46279</v>
      </c>
      <c r="B56" s="1" t="str">
        <f ca="1">IF(Información1[[#This Row],[Fecha]]='Ajuste de fechas'!$A$2,"Día actual","Día anterior")</f>
        <v>Día anterior</v>
      </c>
      <c r="C56" s="3" t="s">
        <v>56</v>
      </c>
      <c r="D56" t="s">
        <v>57</v>
      </c>
      <c r="E56" s="3" t="s">
        <v>173</v>
      </c>
      <c r="F56" s="3" t="s">
        <v>87</v>
      </c>
      <c r="G56" s="3" t="s">
        <v>174</v>
      </c>
      <c r="H56" s="3" t="s">
        <v>59</v>
      </c>
      <c r="I56" s="3" t="s">
        <v>22</v>
      </c>
      <c r="J56" s="3" t="s">
        <v>86</v>
      </c>
      <c r="K56" s="3" t="s">
        <v>172</v>
      </c>
      <c r="L56" s="3" t="s">
        <v>33</v>
      </c>
      <c r="M56">
        <v>1</v>
      </c>
    </row>
    <row r="57" spans="1:13" x14ac:dyDescent="0.25">
      <c r="A57" s="2">
        <v>46279</v>
      </c>
      <c r="B57" s="1" t="str">
        <f ca="1">IF(Información1[[#This Row],[Fecha]]='Ajuste de fechas'!$A$2,"Día actual","Día anterior")</f>
        <v>Día anterior</v>
      </c>
      <c r="C57" s="3" t="s">
        <v>56</v>
      </c>
      <c r="D57" t="s">
        <v>57</v>
      </c>
      <c r="E57" s="3" t="s">
        <v>175</v>
      </c>
      <c r="F57" s="3" t="s">
        <v>176</v>
      </c>
      <c r="G57" s="3" t="s">
        <v>177</v>
      </c>
      <c r="H57" s="3" t="s">
        <v>59</v>
      </c>
      <c r="I57" s="3" t="s">
        <v>7</v>
      </c>
      <c r="J57" s="3" t="s">
        <v>86</v>
      </c>
      <c r="K57" s="3" t="s">
        <v>172</v>
      </c>
      <c r="L57" s="3" t="s">
        <v>33</v>
      </c>
      <c r="M57">
        <v>1</v>
      </c>
    </row>
    <row r="58" spans="1:13" x14ac:dyDescent="0.25">
      <c r="A58" s="2">
        <v>46279</v>
      </c>
      <c r="B58" s="1" t="str">
        <f ca="1">IF(Información1[[#This Row],[Fecha]]='Ajuste de fechas'!$A$2,"Día actual","Día anterior")</f>
        <v>Día anterior</v>
      </c>
      <c r="C58" s="3" t="s">
        <v>56</v>
      </c>
      <c r="D58" t="s">
        <v>57</v>
      </c>
      <c r="E58" s="3" t="s">
        <v>178</v>
      </c>
      <c r="F58" s="3" t="s">
        <v>179</v>
      </c>
      <c r="G58" s="3" t="s">
        <v>180</v>
      </c>
      <c r="H58" s="3" t="s">
        <v>59</v>
      </c>
      <c r="I58" s="3" t="s">
        <v>7</v>
      </c>
      <c r="J58" s="3" t="s">
        <v>86</v>
      </c>
      <c r="K58" s="3" t="s">
        <v>172</v>
      </c>
      <c r="L58" s="3" t="s">
        <v>33</v>
      </c>
      <c r="M58">
        <v>1</v>
      </c>
    </row>
    <row r="59" spans="1:13" x14ac:dyDescent="0.25">
      <c r="A59" s="2">
        <v>46279</v>
      </c>
      <c r="B59" s="1" t="str">
        <f ca="1">IF(Información1[[#This Row],[Fecha]]='Ajuste de fechas'!$A$2,"Día actual","Día anterior")</f>
        <v>Día anterior</v>
      </c>
      <c r="C59" s="3" t="s">
        <v>56</v>
      </c>
      <c r="D59" t="s">
        <v>57</v>
      </c>
      <c r="E59" s="3" t="s">
        <v>181</v>
      </c>
      <c r="F59" s="3" t="s">
        <v>40</v>
      </c>
      <c r="G59" s="3" t="s">
        <v>182</v>
      </c>
      <c r="H59" s="3" t="s">
        <v>59</v>
      </c>
      <c r="I59" s="3" t="s">
        <v>22</v>
      </c>
      <c r="J59" s="3" t="s">
        <v>21</v>
      </c>
      <c r="K59" s="3" t="s">
        <v>172</v>
      </c>
      <c r="L59" s="3" t="s">
        <v>33</v>
      </c>
      <c r="M59">
        <v>1</v>
      </c>
    </row>
    <row r="60" spans="1:13" x14ac:dyDescent="0.25">
      <c r="A60" s="2">
        <v>46279</v>
      </c>
      <c r="B60" s="1" t="str">
        <f ca="1">IF(Información1[[#This Row],[Fecha]]='Ajuste de fechas'!$A$2,"Día actual","Día anterior")</f>
        <v>Día anterior</v>
      </c>
      <c r="C60" s="3" t="s">
        <v>56</v>
      </c>
      <c r="D60" t="s">
        <v>57</v>
      </c>
      <c r="E60" s="3" t="s">
        <v>183</v>
      </c>
      <c r="F60" s="3" t="s">
        <v>40</v>
      </c>
      <c r="G60" s="3" t="s">
        <v>80</v>
      </c>
      <c r="H60" s="3" t="s">
        <v>59</v>
      </c>
      <c r="I60" s="3" t="s">
        <v>22</v>
      </c>
      <c r="J60" s="3" t="s">
        <v>21</v>
      </c>
      <c r="K60" s="3" t="s">
        <v>172</v>
      </c>
      <c r="L60" s="3" t="s">
        <v>33</v>
      </c>
      <c r="M60">
        <v>1</v>
      </c>
    </row>
    <row r="61" spans="1:13" x14ac:dyDescent="0.25">
      <c r="A61" s="2">
        <v>46279</v>
      </c>
      <c r="B61" s="1" t="str">
        <f ca="1">IF(Información1[[#This Row],[Fecha]]='Ajuste de fechas'!$A$2,"Día actual","Día anterior")</f>
        <v>Día anterior</v>
      </c>
      <c r="C61" s="3" t="s">
        <v>56</v>
      </c>
      <c r="D61" t="s">
        <v>57</v>
      </c>
      <c r="E61" s="3" t="s">
        <v>184</v>
      </c>
      <c r="F61" s="3" t="s">
        <v>179</v>
      </c>
      <c r="G61" s="3" t="s">
        <v>180</v>
      </c>
      <c r="H61" s="3" t="s">
        <v>59</v>
      </c>
      <c r="I61" s="3" t="s">
        <v>7</v>
      </c>
      <c r="J61" s="3" t="s">
        <v>86</v>
      </c>
      <c r="K61" s="3" t="s">
        <v>61</v>
      </c>
      <c r="L61" s="3" t="s">
        <v>32</v>
      </c>
      <c r="M61">
        <v>1</v>
      </c>
    </row>
    <row r="62" spans="1:13" x14ac:dyDescent="0.25">
      <c r="A62" s="2">
        <v>46279</v>
      </c>
      <c r="B62" s="1" t="str">
        <f ca="1">IF(Información1[[#This Row],[Fecha]]='Ajuste de fechas'!$A$2,"Día actual","Día anterior")</f>
        <v>Día anterior</v>
      </c>
      <c r="C62" s="3" t="s">
        <v>56</v>
      </c>
      <c r="D62" t="s">
        <v>57</v>
      </c>
      <c r="E62" s="3" t="s">
        <v>185</v>
      </c>
      <c r="F62" s="3" t="s">
        <v>40</v>
      </c>
      <c r="G62" s="3" t="s">
        <v>80</v>
      </c>
      <c r="H62" s="3" t="s">
        <v>59</v>
      </c>
      <c r="I62" s="3" t="s">
        <v>22</v>
      </c>
      <c r="J62" s="3" t="s">
        <v>21</v>
      </c>
      <c r="K62" s="3" t="s">
        <v>61</v>
      </c>
      <c r="L62" s="3" t="s">
        <v>33</v>
      </c>
      <c r="M62">
        <v>1</v>
      </c>
    </row>
    <row r="63" spans="1:13" x14ac:dyDescent="0.25">
      <c r="A63" s="2">
        <v>46279</v>
      </c>
      <c r="B63" s="1" t="str">
        <f ca="1">IF(Información1[[#This Row],[Fecha]]='Ajuste de fechas'!$A$2,"Día actual","Día anterior")</f>
        <v>Día anterior</v>
      </c>
      <c r="C63" s="3" t="s">
        <v>56</v>
      </c>
      <c r="D63" t="s">
        <v>57</v>
      </c>
      <c r="E63" s="3" t="s">
        <v>186</v>
      </c>
      <c r="F63" s="3" t="s">
        <v>43</v>
      </c>
      <c r="G63" s="3" t="s">
        <v>146</v>
      </c>
      <c r="H63" s="3" t="s">
        <v>59</v>
      </c>
      <c r="I63" s="3" t="s">
        <v>11</v>
      </c>
      <c r="J63" s="3" t="s">
        <v>31</v>
      </c>
      <c r="K63" s="3" t="s">
        <v>61</v>
      </c>
      <c r="L63" s="3" t="s">
        <v>32</v>
      </c>
      <c r="M63">
        <v>1</v>
      </c>
    </row>
    <row r="64" spans="1:13" x14ac:dyDescent="0.25">
      <c r="A64" s="2">
        <v>46279</v>
      </c>
      <c r="B64" s="1" t="str">
        <f ca="1">IF(Información1[[#This Row],[Fecha]]='Ajuste de fechas'!$A$2,"Día actual","Día anterior")</f>
        <v>Día anterior</v>
      </c>
      <c r="C64" s="3" t="s">
        <v>56</v>
      </c>
      <c r="D64" t="s">
        <v>57</v>
      </c>
      <c r="E64" s="3" t="s">
        <v>187</v>
      </c>
      <c r="F64" s="3" t="s">
        <v>23</v>
      </c>
      <c r="G64" s="3" t="s">
        <v>141</v>
      </c>
      <c r="H64" s="3" t="s">
        <v>59</v>
      </c>
      <c r="I64" s="3" t="s">
        <v>7</v>
      </c>
      <c r="J64" s="3" t="s">
        <v>31</v>
      </c>
      <c r="K64" s="3" t="s">
        <v>61</v>
      </c>
      <c r="L64" s="3" t="s">
        <v>34</v>
      </c>
      <c r="M64">
        <v>1</v>
      </c>
    </row>
    <row r="65" spans="1:13" x14ac:dyDescent="0.25">
      <c r="A65" s="2">
        <v>46279</v>
      </c>
      <c r="B65" s="1" t="str">
        <f ca="1">IF(Información1[[#This Row],[Fecha]]='Ajuste de fechas'!$A$2,"Día actual","Día anterior")</f>
        <v>Día anterior</v>
      </c>
      <c r="C65" s="3" t="s">
        <v>56</v>
      </c>
      <c r="D65" t="s">
        <v>57</v>
      </c>
      <c r="E65" s="3" t="s">
        <v>188</v>
      </c>
      <c r="F65" s="3" t="s">
        <v>16</v>
      </c>
      <c r="G65" s="3" t="s">
        <v>189</v>
      </c>
      <c r="H65" s="3" t="s">
        <v>59</v>
      </c>
      <c r="I65" s="3" t="s">
        <v>22</v>
      </c>
      <c r="J65" s="3" t="s">
        <v>35</v>
      </c>
      <c r="K65" s="3" t="s">
        <v>61</v>
      </c>
      <c r="L65" s="3" t="s">
        <v>32</v>
      </c>
      <c r="M65">
        <v>1</v>
      </c>
    </row>
    <row r="66" spans="1:13" x14ac:dyDescent="0.25">
      <c r="A66" s="2">
        <v>46279</v>
      </c>
      <c r="B66" s="1" t="str">
        <f ca="1">IF(Información1[[#This Row],[Fecha]]='Ajuste de fechas'!$A$2,"Día actual","Día anterior")</f>
        <v>Día anterior</v>
      </c>
      <c r="C66" s="3" t="s">
        <v>56</v>
      </c>
      <c r="D66" t="s">
        <v>57</v>
      </c>
      <c r="E66" s="3" t="s">
        <v>190</v>
      </c>
      <c r="F66" s="3" t="s">
        <v>176</v>
      </c>
      <c r="G66" s="3" t="s">
        <v>177</v>
      </c>
      <c r="H66" s="3" t="s">
        <v>59</v>
      </c>
      <c r="I66" s="3" t="s">
        <v>7</v>
      </c>
      <c r="J66" s="3" t="s">
        <v>86</v>
      </c>
      <c r="K66" s="3" t="s">
        <v>61</v>
      </c>
      <c r="L66" s="3" t="s">
        <v>32</v>
      </c>
      <c r="M66">
        <v>1</v>
      </c>
    </row>
    <row r="67" spans="1:13" x14ac:dyDescent="0.25">
      <c r="A67" s="2">
        <v>46279</v>
      </c>
      <c r="B67" s="1" t="str">
        <f ca="1">IF(Información1[[#This Row],[Fecha]]='Ajuste de fechas'!$A$2,"Día actual","Día anterior")</f>
        <v>Día anterior</v>
      </c>
      <c r="C67" s="3" t="s">
        <v>56</v>
      </c>
      <c r="D67" t="s">
        <v>57</v>
      </c>
      <c r="E67" s="3" t="s">
        <v>191</v>
      </c>
      <c r="F67" s="3" t="s">
        <v>14</v>
      </c>
      <c r="G67" s="3" t="s">
        <v>192</v>
      </c>
      <c r="H67" s="3" t="s">
        <v>59</v>
      </c>
      <c r="I67" s="3" t="s">
        <v>7</v>
      </c>
      <c r="J67" s="3" t="s">
        <v>31</v>
      </c>
      <c r="K67" s="3" t="s">
        <v>60</v>
      </c>
      <c r="L67" s="3" t="s">
        <v>32</v>
      </c>
      <c r="M67">
        <v>1</v>
      </c>
    </row>
    <row r="68" spans="1:13" x14ac:dyDescent="0.25">
      <c r="A68" s="2">
        <v>46279</v>
      </c>
      <c r="B68" s="1" t="str">
        <f ca="1">IF(Información1[[#This Row],[Fecha]]='Ajuste de fechas'!$A$2,"Día actual","Día anterior")</f>
        <v>Día anterior</v>
      </c>
      <c r="C68" s="3" t="s">
        <v>52</v>
      </c>
      <c r="D68" t="s">
        <v>53</v>
      </c>
      <c r="E68" s="3" t="s">
        <v>193</v>
      </c>
      <c r="F68" s="3" t="s">
        <v>16</v>
      </c>
      <c r="G68" s="3" t="s">
        <v>194</v>
      </c>
      <c r="H68" s="3" t="s">
        <v>47</v>
      </c>
      <c r="I68" s="3" t="s">
        <v>7</v>
      </c>
      <c r="J68" s="3" t="s">
        <v>35</v>
      </c>
      <c r="K68" s="3" t="s">
        <v>55</v>
      </c>
      <c r="L68" s="3" t="s">
        <v>32</v>
      </c>
      <c r="M68">
        <v>1</v>
      </c>
    </row>
    <row r="69" spans="1:13" x14ac:dyDescent="0.25">
      <c r="A69" s="2">
        <v>46279</v>
      </c>
      <c r="B69" s="1" t="str">
        <f ca="1">IF(Información1[[#This Row],[Fecha]]='Ajuste de fechas'!$A$2,"Día actual","Día anterior")</f>
        <v>Día anterior</v>
      </c>
      <c r="C69" s="3" t="s">
        <v>52</v>
      </c>
      <c r="D69" t="s">
        <v>53</v>
      </c>
      <c r="E69" s="3" t="s">
        <v>195</v>
      </c>
      <c r="F69" s="3" t="s">
        <v>20</v>
      </c>
      <c r="G69" s="3" t="s">
        <v>73</v>
      </c>
      <c r="H69" s="3" t="s">
        <v>47</v>
      </c>
      <c r="I69" s="3" t="s">
        <v>7</v>
      </c>
      <c r="J69" s="3" t="s">
        <v>31</v>
      </c>
      <c r="K69" s="3" t="s">
        <v>74</v>
      </c>
      <c r="L69" s="3" t="s">
        <v>34</v>
      </c>
      <c r="M69">
        <v>1</v>
      </c>
    </row>
    <row r="70" spans="1:13" x14ac:dyDescent="0.25">
      <c r="A70" s="2">
        <v>46279</v>
      </c>
      <c r="B70" s="1" t="str">
        <f ca="1">IF(Información1[[#This Row],[Fecha]]='Ajuste de fechas'!$A$2,"Día actual","Día anterior")</f>
        <v>Día anterior</v>
      </c>
      <c r="C70" s="3" t="s">
        <v>52</v>
      </c>
      <c r="D70" t="s">
        <v>53</v>
      </c>
      <c r="E70" s="3" t="s">
        <v>196</v>
      </c>
      <c r="F70" s="3" t="s">
        <v>16</v>
      </c>
      <c r="G70" s="3" t="s">
        <v>65</v>
      </c>
      <c r="H70" s="3" t="s">
        <v>47</v>
      </c>
      <c r="I70" s="3" t="s">
        <v>7</v>
      </c>
      <c r="J70" s="3" t="s">
        <v>35</v>
      </c>
      <c r="K70" s="3" t="s">
        <v>63</v>
      </c>
      <c r="L70" s="3" t="s">
        <v>32</v>
      </c>
      <c r="M70">
        <v>1</v>
      </c>
    </row>
    <row r="71" spans="1:13" x14ac:dyDescent="0.25">
      <c r="A71" s="2">
        <v>46279</v>
      </c>
      <c r="B71" s="1" t="str">
        <f ca="1">IF(Información1[[#This Row],[Fecha]]='Ajuste de fechas'!$A$2,"Día actual","Día anterior")</f>
        <v>Día anterior</v>
      </c>
      <c r="C71" s="3" t="s">
        <v>52</v>
      </c>
      <c r="D71" t="s">
        <v>53</v>
      </c>
      <c r="E71" s="3" t="s">
        <v>197</v>
      </c>
      <c r="F71" s="3" t="s">
        <v>16</v>
      </c>
      <c r="G71" s="3" t="s">
        <v>65</v>
      </c>
      <c r="H71" s="3" t="s">
        <v>47</v>
      </c>
      <c r="I71" s="3" t="s">
        <v>7</v>
      </c>
      <c r="J71" s="3" t="s">
        <v>35</v>
      </c>
      <c r="K71" s="3" t="s">
        <v>74</v>
      </c>
      <c r="L71" s="3" t="s">
        <v>32</v>
      </c>
      <c r="M71">
        <v>1</v>
      </c>
    </row>
    <row r="72" spans="1:13" x14ac:dyDescent="0.25">
      <c r="A72" s="2">
        <v>46279</v>
      </c>
      <c r="B72" s="1" t="str">
        <f ca="1">IF(Información1[[#This Row],[Fecha]]='Ajuste de fechas'!$A$2,"Día actual","Día anterior")</f>
        <v>Día anterior</v>
      </c>
      <c r="C72" s="3" t="s">
        <v>52</v>
      </c>
      <c r="D72" t="s">
        <v>53</v>
      </c>
      <c r="E72" s="3" t="s">
        <v>198</v>
      </c>
      <c r="F72" s="3" t="s">
        <v>14</v>
      </c>
      <c r="G72" s="3" t="s">
        <v>192</v>
      </c>
      <c r="H72" s="3" t="s">
        <v>47</v>
      </c>
      <c r="I72" s="3" t="s">
        <v>7</v>
      </c>
      <c r="J72" s="3" t="s">
        <v>31</v>
      </c>
      <c r="K72" s="3" t="s">
        <v>63</v>
      </c>
      <c r="L72" s="3" t="s">
        <v>32</v>
      </c>
      <c r="M72">
        <v>1</v>
      </c>
    </row>
    <row r="73" spans="1:13" x14ac:dyDescent="0.25">
      <c r="A73" s="2">
        <v>46279</v>
      </c>
      <c r="B73" s="1" t="str">
        <f ca="1">IF(Información1[[#This Row],[Fecha]]='Ajuste de fechas'!$A$2,"Día actual","Día anterior")</f>
        <v>Día anterior</v>
      </c>
      <c r="C73" s="3" t="s">
        <v>52</v>
      </c>
      <c r="D73" t="s">
        <v>53</v>
      </c>
      <c r="E73" s="3" t="s">
        <v>199</v>
      </c>
      <c r="F73" s="3" t="s">
        <v>71</v>
      </c>
      <c r="G73" s="3" t="s">
        <v>189</v>
      </c>
      <c r="H73" s="3" t="s">
        <v>47</v>
      </c>
      <c r="I73" s="3" t="s">
        <v>22</v>
      </c>
      <c r="J73" s="3" t="s">
        <v>31</v>
      </c>
      <c r="K73" s="3" t="s">
        <v>74</v>
      </c>
      <c r="L73" s="3" t="s">
        <v>32</v>
      </c>
      <c r="M73">
        <v>1</v>
      </c>
    </row>
    <row r="74" spans="1:13" x14ac:dyDescent="0.25">
      <c r="A74" s="2">
        <v>46279</v>
      </c>
      <c r="B74" s="1" t="str">
        <f ca="1">IF(Información1[[#This Row],[Fecha]]='Ajuste de fechas'!$A$2,"Día actual","Día anterior")</f>
        <v>Día anterior</v>
      </c>
      <c r="C74" s="3" t="s">
        <v>52</v>
      </c>
      <c r="D74" t="s">
        <v>53</v>
      </c>
      <c r="E74" s="3" t="s">
        <v>200</v>
      </c>
      <c r="F74" s="3" t="s">
        <v>71</v>
      </c>
      <c r="G74" s="3" t="s">
        <v>189</v>
      </c>
      <c r="H74" s="3" t="s">
        <v>47</v>
      </c>
      <c r="I74" s="3" t="s">
        <v>22</v>
      </c>
      <c r="J74" s="3" t="s">
        <v>31</v>
      </c>
      <c r="K74" s="3" t="s">
        <v>74</v>
      </c>
      <c r="L74" s="3" t="s">
        <v>32</v>
      </c>
      <c r="M74">
        <v>1</v>
      </c>
    </row>
    <row r="75" spans="1:13" x14ac:dyDescent="0.25">
      <c r="A75" s="2">
        <v>46279</v>
      </c>
      <c r="B75" s="1" t="str">
        <f ca="1">IF(Información1[[#This Row],[Fecha]]='Ajuste de fechas'!$A$2,"Día actual","Día anterior")</f>
        <v>Día anterior</v>
      </c>
      <c r="C75" s="3" t="s">
        <v>52</v>
      </c>
      <c r="D75" t="s">
        <v>53</v>
      </c>
      <c r="E75" s="3" t="s">
        <v>201</v>
      </c>
      <c r="F75" s="3" t="s">
        <v>6</v>
      </c>
      <c r="G75" s="3" t="s">
        <v>202</v>
      </c>
      <c r="H75" s="3" t="s">
        <v>47</v>
      </c>
      <c r="I75" s="3" t="s">
        <v>7</v>
      </c>
      <c r="J75" s="3" t="s">
        <v>31</v>
      </c>
      <c r="K75" s="3" t="s">
        <v>9</v>
      </c>
      <c r="L75" s="3" t="s">
        <v>33</v>
      </c>
      <c r="M75">
        <v>1</v>
      </c>
    </row>
    <row r="76" spans="1:13" x14ac:dyDescent="0.25">
      <c r="A76" s="2">
        <v>46279</v>
      </c>
      <c r="B76" s="1" t="str">
        <f ca="1">IF(Información1[[#This Row],[Fecha]]='Ajuste de fechas'!$A$2,"Día actual","Día anterior")</f>
        <v>Día anterior</v>
      </c>
      <c r="C76" s="3" t="s">
        <v>52</v>
      </c>
      <c r="D76" t="s">
        <v>53</v>
      </c>
      <c r="E76" s="3" t="s">
        <v>203</v>
      </c>
      <c r="F76" s="3" t="s">
        <v>18</v>
      </c>
      <c r="G76" s="3" t="s">
        <v>83</v>
      </c>
      <c r="H76" s="3" t="s">
        <v>47</v>
      </c>
      <c r="I76" s="3" t="s">
        <v>11</v>
      </c>
      <c r="J76" s="3" t="s">
        <v>31</v>
      </c>
      <c r="K76" s="3" t="s">
        <v>55</v>
      </c>
      <c r="L76" s="3" t="s">
        <v>33</v>
      </c>
      <c r="M76">
        <v>1</v>
      </c>
    </row>
    <row r="77" spans="1:13" x14ac:dyDescent="0.25">
      <c r="A77" s="2">
        <v>46279</v>
      </c>
      <c r="B77" s="1" t="str">
        <f ca="1">IF(Información1[[#This Row],[Fecha]]='Ajuste de fechas'!$A$2,"Día actual","Día anterior")</f>
        <v>Día anterior</v>
      </c>
      <c r="C77" s="3" t="s">
        <v>52</v>
      </c>
      <c r="D77" t="s">
        <v>53</v>
      </c>
      <c r="E77" s="3" t="s">
        <v>204</v>
      </c>
      <c r="F77" s="3" t="s">
        <v>19</v>
      </c>
      <c r="G77" s="3" t="s">
        <v>146</v>
      </c>
      <c r="H77" s="3" t="s">
        <v>47</v>
      </c>
      <c r="I77" s="3" t="s">
        <v>22</v>
      </c>
      <c r="J77" s="3" t="s">
        <v>36</v>
      </c>
      <c r="K77" s="3" t="s">
        <v>55</v>
      </c>
      <c r="L77" s="3" t="s">
        <v>32</v>
      </c>
      <c r="M77">
        <v>1</v>
      </c>
    </row>
    <row r="78" spans="1:13" x14ac:dyDescent="0.25">
      <c r="A78" s="2">
        <v>46279</v>
      </c>
      <c r="B78" s="1" t="str">
        <f ca="1">IF(Información1[[#This Row],[Fecha]]='Ajuste de fechas'!$A$2,"Día actual","Día anterior")</f>
        <v>Día anterior</v>
      </c>
      <c r="C78" s="3" t="s">
        <v>52</v>
      </c>
      <c r="D78" t="s">
        <v>53</v>
      </c>
      <c r="E78" s="3" t="s">
        <v>205</v>
      </c>
      <c r="F78" s="3" t="s">
        <v>58</v>
      </c>
      <c r="G78" s="3" t="s">
        <v>88</v>
      </c>
      <c r="H78" s="3" t="s">
        <v>47</v>
      </c>
      <c r="I78" s="3" t="s">
        <v>22</v>
      </c>
      <c r="J78" s="3" t="s">
        <v>31</v>
      </c>
      <c r="K78" s="3" t="s">
        <v>55</v>
      </c>
      <c r="L78" s="3" t="s">
        <v>33</v>
      </c>
      <c r="M78">
        <v>1</v>
      </c>
    </row>
    <row r="79" spans="1:13" x14ac:dyDescent="0.25">
      <c r="A79" s="2">
        <v>46279</v>
      </c>
      <c r="B79" s="1" t="str">
        <f ca="1">IF(Información1[[#This Row],[Fecha]]='Ajuste de fechas'!$A$2,"Día actual","Día anterior")</f>
        <v>Día anterior</v>
      </c>
      <c r="C79" s="3" t="s">
        <v>52</v>
      </c>
      <c r="D79" t="s">
        <v>53</v>
      </c>
      <c r="E79" s="3" t="s">
        <v>206</v>
      </c>
      <c r="F79" s="3" t="s">
        <v>58</v>
      </c>
      <c r="G79" s="3" t="s">
        <v>88</v>
      </c>
      <c r="H79" s="3" t="s">
        <v>47</v>
      </c>
      <c r="I79" s="3" t="s">
        <v>22</v>
      </c>
      <c r="J79" s="3" t="s">
        <v>31</v>
      </c>
      <c r="K79" s="3" t="s">
        <v>55</v>
      </c>
      <c r="L79" s="3" t="s">
        <v>33</v>
      </c>
      <c r="M79">
        <v>1</v>
      </c>
    </row>
    <row r="80" spans="1:13" x14ac:dyDescent="0.25">
      <c r="A80" s="2">
        <v>46279</v>
      </c>
      <c r="B80" s="1" t="str">
        <f ca="1">IF(Información1[[#This Row],[Fecha]]='Ajuste de fechas'!$A$2,"Día actual","Día anterior")</f>
        <v>Día anterior</v>
      </c>
      <c r="C80" s="3" t="s">
        <v>52</v>
      </c>
      <c r="D80" t="s">
        <v>53</v>
      </c>
      <c r="E80" s="3" t="s">
        <v>207</v>
      </c>
      <c r="F80" s="3" t="s">
        <v>16</v>
      </c>
      <c r="G80" s="3" t="s">
        <v>45</v>
      </c>
      <c r="H80" s="3" t="s">
        <v>47</v>
      </c>
      <c r="I80" s="3" t="s">
        <v>22</v>
      </c>
      <c r="J80" s="3" t="s">
        <v>35</v>
      </c>
      <c r="K80" s="3" t="s">
        <v>9</v>
      </c>
      <c r="L80" s="3" t="s">
        <v>33</v>
      </c>
      <c r="M80">
        <v>1</v>
      </c>
    </row>
    <row r="81" spans="1:13" x14ac:dyDescent="0.25">
      <c r="A81" s="2">
        <v>46279</v>
      </c>
      <c r="B81" s="1" t="str">
        <f ca="1">IF(Información1[[#This Row],[Fecha]]='Ajuste de fechas'!$A$2,"Día actual","Día anterior")</f>
        <v>Día anterior</v>
      </c>
      <c r="C81" s="3" t="s">
        <v>52</v>
      </c>
      <c r="D81" t="s">
        <v>53</v>
      </c>
      <c r="E81" s="3" t="s">
        <v>208</v>
      </c>
      <c r="F81" s="3" t="s">
        <v>16</v>
      </c>
      <c r="G81" s="3" t="s">
        <v>209</v>
      </c>
      <c r="H81" s="3" t="s">
        <v>47</v>
      </c>
      <c r="I81" s="3" t="s">
        <v>7</v>
      </c>
      <c r="J81" s="3" t="s">
        <v>35</v>
      </c>
      <c r="K81" s="3" t="s">
        <v>55</v>
      </c>
      <c r="L81" s="3" t="s">
        <v>32</v>
      </c>
      <c r="M81">
        <v>1</v>
      </c>
    </row>
    <row r="82" spans="1:13" x14ac:dyDescent="0.25">
      <c r="A82" s="2">
        <v>46279</v>
      </c>
      <c r="B82" s="1" t="str">
        <f ca="1">IF(Información1[[#This Row],[Fecha]]='Ajuste de fechas'!$A$2,"Día actual","Día anterior")</f>
        <v>Día anterior</v>
      </c>
      <c r="C82" s="3" t="s">
        <v>52</v>
      </c>
      <c r="D82" t="s">
        <v>53</v>
      </c>
      <c r="E82" s="3" t="s">
        <v>210</v>
      </c>
      <c r="F82" s="3" t="s">
        <v>6</v>
      </c>
      <c r="G82" s="3" t="s">
        <v>211</v>
      </c>
      <c r="H82" s="3" t="s">
        <v>47</v>
      </c>
      <c r="I82" s="3" t="s">
        <v>7</v>
      </c>
      <c r="J82" s="3" t="s">
        <v>31</v>
      </c>
      <c r="K82" s="3" t="s">
        <v>63</v>
      </c>
      <c r="L82" s="3" t="s">
        <v>32</v>
      </c>
      <c r="M82">
        <v>1</v>
      </c>
    </row>
    <row r="83" spans="1:13" x14ac:dyDescent="0.25">
      <c r="A83" s="2">
        <v>46279</v>
      </c>
      <c r="B83" s="1" t="str">
        <f ca="1">IF(Información1[[#This Row],[Fecha]]='Ajuste de fechas'!$A$2,"Día actual","Día anterior")</f>
        <v>Día anterior</v>
      </c>
      <c r="C83" s="3" t="s">
        <v>52</v>
      </c>
      <c r="D83" t="s">
        <v>53</v>
      </c>
      <c r="E83" s="3" t="s">
        <v>212</v>
      </c>
      <c r="F83" s="3" t="s">
        <v>46</v>
      </c>
      <c r="G83" s="3" t="s">
        <v>121</v>
      </c>
      <c r="H83" s="3" t="s">
        <v>47</v>
      </c>
      <c r="I83" s="3" t="s">
        <v>7</v>
      </c>
      <c r="J83" s="3" t="s">
        <v>31</v>
      </c>
      <c r="K83" s="3" t="s">
        <v>55</v>
      </c>
      <c r="L83" s="3" t="s">
        <v>34</v>
      </c>
      <c r="M83">
        <v>1</v>
      </c>
    </row>
    <row r="84" spans="1:13" x14ac:dyDescent="0.25">
      <c r="A84" s="2">
        <v>46279</v>
      </c>
      <c r="B84" s="1" t="str">
        <f ca="1">IF(Información1[[#This Row],[Fecha]]='Ajuste de fechas'!$A$2,"Día actual","Día anterior")</f>
        <v>Día anterior</v>
      </c>
      <c r="C84" s="3" t="s">
        <v>52</v>
      </c>
      <c r="D84" t="s">
        <v>53</v>
      </c>
      <c r="E84" s="3" t="s">
        <v>213</v>
      </c>
      <c r="F84" s="3" t="s">
        <v>16</v>
      </c>
      <c r="G84" s="3" t="s">
        <v>121</v>
      </c>
      <c r="H84" s="3" t="s">
        <v>47</v>
      </c>
      <c r="I84" s="3" t="s">
        <v>7</v>
      </c>
      <c r="J84" s="3" t="s">
        <v>35</v>
      </c>
      <c r="K84" s="3" t="s">
        <v>74</v>
      </c>
      <c r="L84" s="3" t="s">
        <v>32</v>
      </c>
      <c r="M84">
        <v>1</v>
      </c>
    </row>
    <row r="85" spans="1:13" x14ac:dyDescent="0.25">
      <c r="A85" s="2">
        <v>46279</v>
      </c>
      <c r="B85" s="1" t="str">
        <f ca="1">IF(Información1[[#This Row],[Fecha]]='Ajuste de fechas'!$A$2,"Día actual","Día anterior")</f>
        <v>Día anterior</v>
      </c>
      <c r="C85" s="3" t="s">
        <v>52</v>
      </c>
      <c r="D85" t="s">
        <v>53</v>
      </c>
      <c r="E85" s="3" t="s">
        <v>100</v>
      </c>
      <c r="F85" s="3" t="s">
        <v>18</v>
      </c>
      <c r="G85" s="3" t="s">
        <v>83</v>
      </c>
      <c r="H85" s="3" t="s">
        <v>47</v>
      </c>
      <c r="I85" s="3" t="s">
        <v>7</v>
      </c>
      <c r="J85" s="3" t="s">
        <v>31</v>
      </c>
      <c r="K85" s="3" t="s">
        <v>55</v>
      </c>
      <c r="L85" s="3" t="s">
        <v>34</v>
      </c>
      <c r="M85">
        <v>1</v>
      </c>
    </row>
    <row r="86" spans="1:13" x14ac:dyDescent="0.25">
      <c r="A86" s="2">
        <v>46279</v>
      </c>
      <c r="B86" s="1" t="str">
        <f ca="1">IF(Información1[[#This Row],[Fecha]]='Ajuste de fechas'!$A$2,"Día actual","Día anterior")</f>
        <v>Día anterior</v>
      </c>
      <c r="C86" s="3" t="s">
        <v>52</v>
      </c>
      <c r="D86" t="s">
        <v>53</v>
      </c>
      <c r="E86" s="3" t="s">
        <v>214</v>
      </c>
      <c r="F86" s="3" t="s">
        <v>16</v>
      </c>
      <c r="G86" s="3" t="s">
        <v>78</v>
      </c>
      <c r="H86" s="3" t="s">
        <v>47</v>
      </c>
      <c r="I86" s="3" t="s">
        <v>22</v>
      </c>
      <c r="J86" s="3" t="s">
        <v>35</v>
      </c>
      <c r="K86" s="3" t="s">
        <v>74</v>
      </c>
      <c r="L86" s="3" t="s">
        <v>32</v>
      </c>
      <c r="M86">
        <v>1</v>
      </c>
    </row>
    <row r="87" spans="1:13" x14ac:dyDescent="0.25">
      <c r="A87" s="2">
        <v>46279</v>
      </c>
      <c r="B87" s="1" t="str">
        <f ca="1">IF(Información1[[#This Row],[Fecha]]='Ajuste de fechas'!$A$2,"Día actual","Día anterior")</f>
        <v>Día anterior</v>
      </c>
      <c r="C87" s="3" t="s">
        <v>52</v>
      </c>
      <c r="D87" t="s">
        <v>53</v>
      </c>
      <c r="E87" s="3" t="s">
        <v>215</v>
      </c>
      <c r="F87" s="3" t="s">
        <v>76</v>
      </c>
      <c r="G87" s="3" t="s">
        <v>77</v>
      </c>
      <c r="H87" s="3" t="s">
        <v>47</v>
      </c>
      <c r="I87" s="3" t="s">
        <v>7</v>
      </c>
      <c r="J87" s="3" t="s">
        <v>21</v>
      </c>
      <c r="K87" s="3" t="s">
        <v>55</v>
      </c>
      <c r="L87" s="3" t="s">
        <v>32</v>
      </c>
      <c r="M87">
        <v>1</v>
      </c>
    </row>
    <row r="88" spans="1:13" x14ac:dyDescent="0.25">
      <c r="A88" s="2">
        <v>46279</v>
      </c>
      <c r="B88" s="1" t="str">
        <f ca="1">IF(Información1[[#This Row],[Fecha]]='Ajuste de fechas'!$A$2,"Día actual","Día anterior")</f>
        <v>Día anterior</v>
      </c>
      <c r="C88" s="3" t="s">
        <v>52</v>
      </c>
      <c r="D88" t="s">
        <v>53</v>
      </c>
      <c r="E88" s="3" t="s">
        <v>216</v>
      </c>
      <c r="F88" s="3" t="s">
        <v>40</v>
      </c>
      <c r="G88" s="3" t="s">
        <v>80</v>
      </c>
      <c r="H88" s="3" t="s">
        <v>47</v>
      </c>
      <c r="I88" s="3" t="s">
        <v>7</v>
      </c>
      <c r="J88" s="3" t="s">
        <v>21</v>
      </c>
      <c r="K88" s="3" t="s">
        <v>74</v>
      </c>
      <c r="L88" s="3" t="s">
        <v>32</v>
      </c>
      <c r="M88">
        <v>1</v>
      </c>
    </row>
    <row r="89" spans="1:13" x14ac:dyDescent="0.25">
      <c r="A89" s="2">
        <v>46279</v>
      </c>
      <c r="B89" s="1" t="str">
        <f ca="1">IF(Información1[[#This Row],[Fecha]]='Ajuste de fechas'!$A$2,"Día actual","Día anterior")</f>
        <v>Día anterior</v>
      </c>
      <c r="C89" s="3" t="s">
        <v>52</v>
      </c>
      <c r="D89" t="s">
        <v>53</v>
      </c>
      <c r="E89" s="3" t="s">
        <v>217</v>
      </c>
      <c r="F89" s="3" t="s">
        <v>179</v>
      </c>
      <c r="G89" s="3" t="s">
        <v>218</v>
      </c>
      <c r="H89" s="3" t="s">
        <v>47</v>
      </c>
      <c r="I89" s="3" t="s">
        <v>7</v>
      </c>
      <c r="J89" s="3" t="s">
        <v>86</v>
      </c>
      <c r="K89" s="3" t="s">
        <v>63</v>
      </c>
      <c r="L89" s="3" t="s">
        <v>32</v>
      </c>
      <c r="M89">
        <v>1</v>
      </c>
    </row>
    <row r="90" spans="1:13" x14ac:dyDescent="0.25">
      <c r="A90" s="2">
        <v>46279</v>
      </c>
      <c r="B90" s="1" t="str">
        <f ca="1">IF(Información1[[#This Row],[Fecha]]='Ajuste de fechas'!$A$2,"Día actual","Día anterior")</f>
        <v>Día anterior</v>
      </c>
      <c r="C90" s="3" t="s">
        <v>52</v>
      </c>
      <c r="D90" t="s">
        <v>53</v>
      </c>
      <c r="E90" s="3" t="s">
        <v>219</v>
      </c>
      <c r="F90" s="3" t="s">
        <v>19</v>
      </c>
      <c r="G90" s="3" t="s">
        <v>141</v>
      </c>
      <c r="H90" s="3" t="s">
        <v>47</v>
      </c>
      <c r="I90" s="3" t="s">
        <v>7</v>
      </c>
      <c r="J90" s="3" t="s">
        <v>36</v>
      </c>
      <c r="K90" s="3" t="s">
        <v>74</v>
      </c>
      <c r="L90" s="3" t="s">
        <v>32</v>
      </c>
      <c r="M90">
        <v>1</v>
      </c>
    </row>
    <row r="91" spans="1:13" x14ac:dyDescent="0.25">
      <c r="A91" s="2">
        <v>46279</v>
      </c>
      <c r="B91" s="1" t="str">
        <f ca="1">IF(Información1[[#This Row],[Fecha]]='Ajuste de fechas'!$A$2,"Día actual","Día anterior")</f>
        <v>Día anterior</v>
      </c>
      <c r="C91" s="3" t="s">
        <v>52</v>
      </c>
      <c r="D91" t="s">
        <v>53</v>
      </c>
      <c r="E91" s="3" t="s">
        <v>220</v>
      </c>
      <c r="F91" s="3" t="s">
        <v>16</v>
      </c>
      <c r="G91" s="3" t="s">
        <v>65</v>
      </c>
      <c r="H91" s="3" t="s">
        <v>47</v>
      </c>
      <c r="I91" s="3" t="s">
        <v>7</v>
      </c>
      <c r="J91" s="3" t="s">
        <v>35</v>
      </c>
      <c r="K91" s="3" t="s">
        <v>63</v>
      </c>
      <c r="L91" s="3" t="s">
        <v>32</v>
      </c>
      <c r="M91">
        <v>1</v>
      </c>
    </row>
    <row r="92" spans="1:13" x14ac:dyDescent="0.25">
      <c r="A92" s="2">
        <v>46279</v>
      </c>
      <c r="B92" s="1" t="str">
        <f ca="1">IF(Información1[[#This Row],[Fecha]]='Ajuste de fechas'!$A$2,"Día actual","Día anterior")</f>
        <v>Día anterior</v>
      </c>
      <c r="C92" s="3" t="s">
        <v>52</v>
      </c>
      <c r="D92" t="s">
        <v>53</v>
      </c>
      <c r="E92" s="3" t="s">
        <v>221</v>
      </c>
      <c r="F92" s="3" t="s">
        <v>16</v>
      </c>
      <c r="G92" s="3" t="s">
        <v>222</v>
      </c>
      <c r="H92" s="3" t="s">
        <v>47</v>
      </c>
      <c r="I92" s="3" t="s">
        <v>7</v>
      </c>
      <c r="J92" s="3" t="s">
        <v>35</v>
      </c>
      <c r="K92" s="3" t="s">
        <v>55</v>
      </c>
      <c r="L92" s="3" t="s">
        <v>32</v>
      </c>
      <c r="M92">
        <v>1</v>
      </c>
    </row>
    <row r="93" spans="1:13" x14ac:dyDescent="0.25">
      <c r="A93" s="2">
        <v>46279</v>
      </c>
      <c r="B93" s="1" t="str">
        <f ca="1">IF(Información1[[#This Row],[Fecha]]='Ajuste de fechas'!$A$2,"Día actual","Día anterior")</f>
        <v>Día anterior</v>
      </c>
      <c r="C93" s="3" t="s">
        <v>52</v>
      </c>
      <c r="D93" t="s">
        <v>53</v>
      </c>
      <c r="E93" s="3" t="s">
        <v>223</v>
      </c>
      <c r="F93" s="3" t="s">
        <v>19</v>
      </c>
      <c r="G93" s="3" t="s">
        <v>81</v>
      </c>
      <c r="H93" s="3" t="s">
        <v>47</v>
      </c>
      <c r="I93" s="3" t="s">
        <v>7</v>
      </c>
      <c r="J93" s="3" t="s">
        <v>36</v>
      </c>
      <c r="K93" s="3" t="s">
        <v>74</v>
      </c>
      <c r="L93" s="3" t="s">
        <v>32</v>
      </c>
      <c r="M93">
        <v>1</v>
      </c>
    </row>
    <row r="94" spans="1:13" x14ac:dyDescent="0.25">
      <c r="A94" s="2">
        <v>46279</v>
      </c>
      <c r="B94" s="1" t="str">
        <f ca="1">IF(Información1[[#This Row],[Fecha]]='Ajuste de fechas'!$A$2,"Día actual","Día anterior")</f>
        <v>Día anterior</v>
      </c>
      <c r="C94" s="3" t="s">
        <v>52</v>
      </c>
      <c r="D94" t="s">
        <v>53</v>
      </c>
      <c r="E94" s="3" t="s">
        <v>224</v>
      </c>
      <c r="F94" s="3" t="s">
        <v>58</v>
      </c>
      <c r="G94" s="3" t="s">
        <v>88</v>
      </c>
      <c r="H94" s="3" t="s">
        <v>47</v>
      </c>
      <c r="I94" s="3" t="s">
        <v>7</v>
      </c>
      <c r="J94" s="3" t="s">
        <v>31</v>
      </c>
      <c r="K94" s="3" t="s">
        <v>63</v>
      </c>
      <c r="L94" s="3" t="s">
        <v>32</v>
      </c>
      <c r="M94">
        <v>1</v>
      </c>
    </row>
    <row r="95" spans="1:13" x14ac:dyDescent="0.25">
      <c r="A95" s="2">
        <v>46280</v>
      </c>
      <c r="B95" s="1" t="str">
        <f ca="1">IF(Información1[[#This Row],[Fecha]]='Ajuste de fechas'!$A$2,"Día actual","Día anterior")</f>
        <v>Día actual</v>
      </c>
      <c r="C95" s="3" t="s">
        <v>56</v>
      </c>
      <c r="D95" t="s">
        <v>57</v>
      </c>
      <c r="E95" s="3" t="s">
        <v>225</v>
      </c>
      <c r="F95" s="3" t="s">
        <v>23</v>
      </c>
      <c r="G95" s="3" t="s">
        <v>226</v>
      </c>
      <c r="H95" s="3" t="s">
        <v>59</v>
      </c>
      <c r="I95" s="3" t="s">
        <v>7</v>
      </c>
      <c r="J95" s="3" t="s">
        <v>31</v>
      </c>
      <c r="K95" s="3" t="s">
        <v>60</v>
      </c>
      <c r="L95" s="3" t="s">
        <v>34</v>
      </c>
      <c r="M95">
        <v>1</v>
      </c>
    </row>
    <row r="96" spans="1:13" x14ac:dyDescent="0.25">
      <c r="A96" s="2">
        <v>46280</v>
      </c>
      <c r="B96" s="1" t="str">
        <f ca="1">IF(Información1[[#This Row],[Fecha]]='Ajuste de fechas'!$A$2,"Día actual","Día anterior")</f>
        <v>Día actual</v>
      </c>
      <c r="C96" s="3" t="s">
        <v>56</v>
      </c>
      <c r="D96" t="s">
        <v>57</v>
      </c>
      <c r="E96" s="3" t="s">
        <v>227</v>
      </c>
      <c r="F96" s="3" t="s">
        <v>40</v>
      </c>
      <c r="G96" s="3" t="s">
        <v>80</v>
      </c>
      <c r="H96" s="3" t="s">
        <v>59</v>
      </c>
      <c r="I96" s="3" t="s">
        <v>7</v>
      </c>
      <c r="J96" s="3" t="s">
        <v>21</v>
      </c>
      <c r="K96" s="3" t="s">
        <v>61</v>
      </c>
      <c r="L96" s="3" t="s">
        <v>32</v>
      </c>
      <c r="M96">
        <v>1</v>
      </c>
    </row>
    <row r="97" spans="1:13" x14ac:dyDescent="0.25">
      <c r="A97" s="2">
        <v>46280</v>
      </c>
      <c r="B97" s="1" t="str">
        <f ca="1">IF(Información1[[#This Row],[Fecha]]='Ajuste de fechas'!$A$2,"Día actual","Día anterior")</f>
        <v>Día actual</v>
      </c>
      <c r="C97" s="3" t="s">
        <v>56</v>
      </c>
      <c r="D97" t="s">
        <v>57</v>
      </c>
      <c r="E97" s="3" t="s">
        <v>228</v>
      </c>
      <c r="F97" s="3" t="s">
        <v>58</v>
      </c>
      <c r="G97" s="3" t="s">
        <v>96</v>
      </c>
      <c r="H97" s="3" t="s">
        <v>59</v>
      </c>
      <c r="I97" s="3" t="s">
        <v>7</v>
      </c>
      <c r="J97" s="3" t="s">
        <v>31</v>
      </c>
      <c r="K97" s="3" t="s">
        <v>61</v>
      </c>
      <c r="L97" s="3" t="s">
        <v>34</v>
      </c>
      <c r="M97">
        <v>1</v>
      </c>
    </row>
    <row r="98" spans="1:13" x14ac:dyDescent="0.25">
      <c r="A98" s="2">
        <v>46280</v>
      </c>
      <c r="B98" s="1" t="str">
        <f ca="1">IF(Información1[[#This Row],[Fecha]]='Ajuste de fechas'!$A$2,"Día actual","Día anterior")</f>
        <v>Día actual</v>
      </c>
      <c r="C98" s="3" t="s">
        <v>56</v>
      </c>
      <c r="D98" t="s">
        <v>57</v>
      </c>
      <c r="E98" s="3" t="s">
        <v>229</v>
      </c>
      <c r="F98" s="3" t="s">
        <v>14</v>
      </c>
      <c r="G98" s="3" t="s">
        <v>230</v>
      </c>
      <c r="H98" s="3" t="s">
        <v>59</v>
      </c>
      <c r="I98" s="3" t="s">
        <v>7</v>
      </c>
      <c r="J98" s="3" t="s">
        <v>31</v>
      </c>
      <c r="K98" s="3" t="s">
        <v>60</v>
      </c>
      <c r="L98" s="3" t="s">
        <v>32</v>
      </c>
      <c r="M98">
        <v>1</v>
      </c>
    </row>
    <row r="99" spans="1:13" x14ac:dyDescent="0.25">
      <c r="A99" s="2">
        <v>46280</v>
      </c>
      <c r="B99" s="1" t="str">
        <f ca="1">IF(Información1[[#This Row],[Fecha]]='Ajuste de fechas'!$A$2,"Día actual","Día anterior")</f>
        <v>Día actual</v>
      </c>
      <c r="C99" s="3" t="s">
        <v>56</v>
      </c>
      <c r="D99" t="s">
        <v>57</v>
      </c>
      <c r="E99" s="3" t="s">
        <v>231</v>
      </c>
      <c r="F99" s="3" t="s">
        <v>232</v>
      </c>
      <c r="G99" s="3" t="s">
        <v>233</v>
      </c>
      <c r="H99" s="3" t="s">
        <v>59</v>
      </c>
      <c r="I99" s="3" t="s">
        <v>7</v>
      </c>
      <c r="J99" s="3" t="s">
        <v>31</v>
      </c>
      <c r="K99" s="3" t="s">
        <v>60</v>
      </c>
      <c r="L99" s="3" t="s">
        <v>32</v>
      </c>
      <c r="M99">
        <v>1</v>
      </c>
    </row>
    <row r="100" spans="1:13" x14ac:dyDescent="0.25">
      <c r="A100" s="2">
        <v>46280</v>
      </c>
      <c r="B100" s="1" t="str">
        <f ca="1">IF(Información1[[#This Row],[Fecha]]='Ajuste de fechas'!$A$2,"Día actual","Día anterior")</f>
        <v>Día actual</v>
      </c>
      <c r="C100" s="3" t="s">
        <v>56</v>
      </c>
      <c r="D100" t="s">
        <v>57</v>
      </c>
      <c r="E100" s="3" t="s">
        <v>234</v>
      </c>
      <c r="F100" s="3" t="s">
        <v>40</v>
      </c>
      <c r="G100" s="3" t="s">
        <v>80</v>
      </c>
      <c r="H100" s="3" t="s">
        <v>59</v>
      </c>
      <c r="I100" s="3" t="s">
        <v>22</v>
      </c>
      <c r="J100" s="3" t="s">
        <v>21</v>
      </c>
      <c r="K100" s="3" t="s">
        <v>61</v>
      </c>
      <c r="L100" s="3" t="s">
        <v>33</v>
      </c>
      <c r="M100">
        <v>1</v>
      </c>
    </row>
    <row r="101" spans="1:13" x14ac:dyDescent="0.25">
      <c r="A101" s="2">
        <v>46280</v>
      </c>
      <c r="B101" s="1" t="str">
        <f ca="1">IF(Información1[[#This Row],[Fecha]]='Ajuste de fechas'!$A$2,"Día actual","Día anterior")</f>
        <v>Día actual</v>
      </c>
      <c r="C101" s="3" t="s">
        <v>52</v>
      </c>
      <c r="D101" t="s">
        <v>53</v>
      </c>
      <c r="E101" s="3" t="s">
        <v>235</v>
      </c>
      <c r="F101" s="3" t="s">
        <v>16</v>
      </c>
      <c r="G101" s="3" t="s">
        <v>236</v>
      </c>
      <c r="H101" s="3" t="s">
        <v>47</v>
      </c>
      <c r="I101" s="3" t="s">
        <v>7</v>
      </c>
      <c r="J101" s="3" t="s">
        <v>35</v>
      </c>
      <c r="K101" s="3" t="s">
        <v>237</v>
      </c>
      <c r="L101" s="3" t="s">
        <v>32</v>
      </c>
      <c r="M101">
        <v>1</v>
      </c>
    </row>
    <row r="102" spans="1:13" x14ac:dyDescent="0.25">
      <c r="A102" s="2">
        <v>46280</v>
      </c>
      <c r="B102" s="1" t="str">
        <f ca="1">IF(Información1[[#This Row],[Fecha]]='Ajuste de fechas'!$A$2,"Día actual","Día anterior")</f>
        <v>Día actual</v>
      </c>
      <c r="C102" s="3" t="s">
        <v>52</v>
      </c>
      <c r="D102" t="s">
        <v>53</v>
      </c>
      <c r="E102" s="3" t="s">
        <v>238</v>
      </c>
      <c r="F102" s="3" t="s">
        <v>16</v>
      </c>
      <c r="G102" s="3" t="s">
        <v>239</v>
      </c>
      <c r="H102" s="3" t="s">
        <v>47</v>
      </c>
      <c r="I102" s="3" t="s">
        <v>7</v>
      </c>
      <c r="J102" s="3" t="s">
        <v>35</v>
      </c>
      <c r="K102" s="3" t="s">
        <v>237</v>
      </c>
      <c r="L102" s="3" t="s">
        <v>32</v>
      </c>
      <c r="M102">
        <v>1</v>
      </c>
    </row>
    <row r="103" spans="1:13" x14ac:dyDescent="0.25">
      <c r="A103" s="2">
        <v>46280</v>
      </c>
      <c r="B103" s="1" t="str">
        <f ca="1">IF(Información1[[#This Row],[Fecha]]='Ajuste de fechas'!$A$2,"Día actual","Día anterior")</f>
        <v>Día actual</v>
      </c>
      <c r="C103" s="3" t="s">
        <v>52</v>
      </c>
      <c r="D103" t="s">
        <v>53</v>
      </c>
      <c r="E103" s="3" t="s">
        <v>240</v>
      </c>
      <c r="F103" s="3" t="s">
        <v>23</v>
      </c>
      <c r="G103" s="3" t="s">
        <v>226</v>
      </c>
      <c r="H103" s="3" t="s">
        <v>47</v>
      </c>
      <c r="I103" s="3" t="s">
        <v>7</v>
      </c>
      <c r="J103" s="3" t="s">
        <v>31</v>
      </c>
      <c r="K103" s="3" t="s">
        <v>55</v>
      </c>
      <c r="L103" s="3" t="s">
        <v>32</v>
      </c>
      <c r="M103">
        <v>1</v>
      </c>
    </row>
    <row r="104" spans="1:13" x14ac:dyDescent="0.25">
      <c r="A104" s="2">
        <v>46280</v>
      </c>
      <c r="B104" s="1" t="str">
        <f ca="1">IF(Información1[[#This Row],[Fecha]]='Ajuste de fechas'!$A$2,"Día actual","Día anterior")</f>
        <v>Día actual</v>
      </c>
      <c r="C104" s="3" t="s">
        <v>52</v>
      </c>
      <c r="D104" t="s">
        <v>53</v>
      </c>
      <c r="E104" s="3" t="s">
        <v>241</v>
      </c>
      <c r="F104" s="3" t="s">
        <v>16</v>
      </c>
      <c r="G104" s="3" t="s">
        <v>242</v>
      </c>
      <c r="H104" s="3" t="s">
        <v>47</v>
      </c>
      <c r="I104" s="3" t="s">
        <v>7</v>
      </c>
      <c r="J104" s="3" t="s">
        <v>35</v>
      </c>
      <c r="K104" s="3" t="s">
        <v>55</v>
      </c>
      <c r="L104" s="3" t="s">
        <v>32</v>
      </c>
      <c r="M104">
        <v>1</v>
      </c>
    </row>
    <row r="105" spans="1:13" x14ac:dyDescent="0.25">
      <c r="A105" s="2">
        <v>46280</v>
      </c>
      <c r="B105" s="1" t="str">
        <f ca="1">IF(Información1[[#This Row],[Fecha]]='Ajuste de fechas'!$A$2,"Día actual","Día anterior")</f>
        <v>Día actual</v>
      </c>
      <c r="C105" s="3" t="s">
        <v>52</v>
      </c>
      <c r="D105" t="s">
        <v>53</v>
      </c>
      <c r="E105" s="3" t="s">
        <v>64</v>
      </c>
      <c r="F105" s="3" t="s">
        <v>16</v>
      </c>
      <c r="G105" s="3" t="s">
        <v>65</v>
      </c>
      <c r="H105" s="3" t="s">
        <v>47</v>
      </c>
      <c r="I105" s="3" t="s">
        <v>7</v>
      </c>
      <c r="J105" s="3" t="s">
        <v>35</v>
      </c>
      <c r="K105" s="3" t="s">
        <v>66</v>
      </c>
      <c r="L105" s="3" t="s">
        <v>67</v>
      </c>
      <c r="M105">
        <v>1</v>
      </c>
    </row>
    <row r="106" spans="1:13" x14ac:dyDescent="0.25">
      <c r="A106" s="2">
        <v>46280</v>
      </c>
      <c r="B106" s="1" t="str">
        <f ca="1">IF(Información1[[#This Row],[Fecha]]='Ajuste de fechas'!$A$2,"Día actual","Día anterior")</f>
        <v>Día actual</v>
      </c>
      <c r="C106" s="3" t="s">
        <v>52</v>
      </c>
      <c r="D106" t="s">
        <v>53</v>
      </c>
      <c r="E106" s="3" t="s">
        <v>243</v>
      </c>
      <c r="F106" s="3" t="s">
        <v>16</v>
      </c>
      <c r="G106" s="3" t="s">
        <v>244</v>
      </c>
      <c r="H106" s="3" t="s">
        <v>47</v>
      </c>
      <c r="I106" s="3" t="s">
        <v>7</v>
      </c>
      <c r="J106" s="3" t="s">
        <v>35</v>
      </c>
      <c r="K106" s="3" t="s">
        <v>237</v>
      </c>
      <c r="L106" s="3" t="s">
        <v>32</v>
      </c>
      <c r="M106">
        <v>1</v>
      </c>
    </row>
    <row r="107" spans="1:13" x14ac:dyDescent="0.25">
      <c r="A107" s="2">
        <v>46280</v>
      </c>
      <c r="B107" s="1" t="str">
        <f ca="1">IF(Información1[[#This Row],[Fecha]]='Ajuste de fechas'!$A$2,"Día actual","Día anterior")</f>
        <v>Día actual</v>
      </c>
      <c r="C107" s="3" t="s">
        <v>52</v>
      </c>
      <c r="D107" t="s">
        <v>53</v>
      </c>
      <c r="E107" s="3" t="s">
        <v>245</v>
      </c>
      <c r="F107" s="3" t="s">
        <v>16</v>
      </c>
      <c r="G107" s="3" t="s">
        <v>209</v>
      </c>
      <c r="H107" s="3" t="s">
        <v>47</v>
      </c>
      <c r="I107" s="3" t="s">
        <v>7</v>
      </c>
      <c r="J107" s="3" t="s">
        <v>35</v>
      </c>
      <c r="K107" s="3" t="s">
        <v>63</v>
      </c>
      <c r="L107" s="3" t="s">
        <v>32</v>
      </c>
      <c r="M107">
        <v>1</v>
      </c>
    </row>
    <row r="108" spans="1:13" x14ac:dyDescent="0.25">
      <c r="A108" s="2">
        <v>46280</v>
      </c>
      <c r="B108" s="1" t="str">
        <f ca="1">IF(Información1[[#This Row],[Fecha]]='Ajuste de fechas'!$A$2,"Día actual","Día anterior")</f>
        <v>Día actual</v>
      </c>
      <c r="C108" s="3" t="s">
        <v>52</v>
      </c>
      <c r="D108" t="s">
        <v>53</v>
      </c>
      <c r="E108" s="3" t="s">
        <v>246</v>
      </c>
      <c r="F108" s="3" t="s">
        <v>247</v>
      </c>
      <c r="G108" s="3" t="s">
        <v>248</v>
      </c>
      <c r="H108" s="3" t="s">
        <v>47</v>
      </c>
      <c r="I108" s="3" t="s">
        <v>11</v>
      </c>
      <c r="J108" s="3" t="s">
        <v>31</v>
      </c>
      <c r="K108" s="3" t="s">
        <v>55</v>
      </c>
      <c r="L108" s="3" t="s">
        <v>32</v>
      </c>
      <c r="M108">
        <v>1</v>
      </c>
    </row>
    <row r="109" spans="1:13" x14ac:dyDescent="0.25">
      <c r="A109" s="2">
        <v>46280</v>
      </c>
      <c r="B109" s="1" t="str">
        <f ca="1">IF(Información1[[#This Row],[Fecha]]='Ajuste de fechas'!$A$2,"Día actual","Día anterior")</f>
        <v>Día actual</v>
      </c>
      <c r="C109" s="3" t="s">
        <v>52</v>
      </c>
      <c r="D109" t="s">
        <v>53</v>
      </c>
      <c r="E109" s="3" t="s">
        <v>249</v>
      </c>
      <c r="F109" s="3" t="s">
        <v>40</v>
      </c>
      <c r="G109" s="3" t="s">
        <v>80</v>
      </c>
      <c r="H109" s="3" t="s">
        <v>47</v>
      </c>
      <c r="I109" s="3" t="s">
        <v>7</v>
      </c>
      <c r="J109" s="3" t="s">
        <v>21</v>
      </c>
      <c r="K109" s="3" t="s">
        <v>237</v>
      </c>
      <c r="L109" s="3" t="s">
        <v>32</v>
      </c>
      <c r="M109">
        <v>1</v>
      </c>
    </row>
    <row r="110" spans="1:13" x14ac:dyDescent="0.25">
      <c r="A110" s="2">
        <v>46280</v>
      </c>
      <c r="B110" s="1" t="str">
        <f ca="1">IF(Información1[[#This Row],[Fecha]]='Ajuste de fechas'!$A$2,"Día actual","Día anterior")</f>
        <v>Día actual</v>
      </c>
      <c r="C110" s="3" t="s">
        <v>52</v>
      </c>
      <c r="D110" t="s">
        <v>53</v>
      </c>
      <c r="E110" s="3" t="s">
        <v>250</v>
      </c>
      <c r="F110" s="3" t="s">
        <v>23</v>
      </c>
      <c r="G110" s="3" t="s">
        <v>92</v>
      </c>
      <c r="H110" s="3" t="s">
        <v>47</v>
      </c>
      <c r="I110" s="3" t="s">
        <v>7</v>
      </c>
      <c r="J110" s="3" t="s">
        <v>31</v>
      </c>
      <c r="K110" s="3" t="s">
        <v>55</v>
      </c>
      <c r="L110" s="3" t="s">
        <v>34</v>
      </c>
      <c r="M110">
        <v>1</v>
      </c>
    </row>
    <row r="111" spans="1:13" x14ac:dyDescent="0.25">
      <c r="A111" s="2">
        <v>46280</v>
      </c>
      <c r="B111" s="1" t="str">
        <f ca="1">IF(Información1[[#This Row],[Fecha]]='Ajuste de fechas'!$A$2,"Día actual","Día anterior")</f>
        <v>Día actual</v>
      </c>
      <c r="C111" s="3" t="s">
        <v>52</v>
      </c>
      <c r="D111" t="s">
        <v>53</v>
      </c>
      <c r="E111" s="3" t="s">
        <v>251</v>
      </c>
      <c r="F111" s="3" t="s">
        <v>19</v>
      </c>
      <c r="G111" s="3" t="s">
        <v>169</v>
      </c>
      <c r="H111" s="3" t="s">
        <v>47</v>
      </c>
      <c r="I111" s="3" t="s">
        <v>7</v>
      </c>
      <c r="J111" s="3" t="s">
        <v>36</v>
      </c>
      <c r="K111" s="3" t="s">
        <v>237</v>
      </c>
      <c r="L111" s="3" t="s">
        <v>32</v>
      </c>
      <c r="M111">
        <v>1</v>
      </c>
    </row>
    <row r="112" spans="1:13" x14ac:dyDescent="0.25">
      <c r="A112" s="2">
        <v>46280</v>
      </c>
      <c r="B112" s="1" t="str">
        <f ca="1">IF(Información1[[#This Row],[Fecha]]='Ajuste de fechas'!$A$2,"Día actual","Día anterior")</f>
        <v>Día actual</v>
      </c>
      <c r="C112" s="3" t="s">
        <v>52</v>
      </c>
      <c r="D112" t="s">
        <v>53</v>
      </c>
      <c r="E112" s="3" t="s">
        <v>252</v>
      </c>
      <c r="F112" s="3" t="s">
        <v>46</v>
      </c>
      <c r="G112" s="3" t="s">
        <v>253</v>
      </c>
      <c r="H112" s="3" t="s">
        <v>47</v>
      </c>
      <c r="I112" s="3" t="s">
        <v>7</v>
      </c>
      <c r="J112" s="3" t="s">
        <v>31</v>
      </c>
      <c r="K112" s="3" t="s">
        <v>55</v>
      </c>
      <c r="L112" s="3" t="s">
        <v>32</v>
      </c>
      <c r="M112">
        <v>1</v>
      </c>
    </row>
    <row r="113" spans="1:13" x14ac:dyDescent="0.25">
      <c r="A113" s="2">
        <v>46280</v>
      </c>
      <c r="B113" s="1" t="str">
        <f ca="1">IF(Información1[[#This Row],[Fecha]]='Ajuste de fechas'!$A$2,"Día actual","Día anterior")</f>
        <v>Día actual</v>
      </c>
      <c r="C113" s="3" t="s">
        <v>52</v>
      </c>
      <c r="D113" t="s">
        <v>53</v>
      </c>
      <c r="E113" s="3" t="s">
        <v>254</v>
      </c>
      <c r="F113" s="3" t="s">
        <v>14</v>
      </c>
      <c r="G113" s="3" t="s">
        <v>255</v>
      </c>
      <c r="H113" s="3" t="s">
        <v>47</v>
      </c>
      <c r="I113" s="3" t="s">
        <v>7</v>
      </c>
      <c r="J113" s="3" t="s">
        <v>31</v>
      </c>
      <c r="K113" s="3" t="s">
        <v>63</v>
      </c>
      <c r="L113" s="3" t="s">
        <v>32</v>
      </c>
      <c r="M113">
        <v>1</v>
      </c>
    </row>
    <row r="114" spans="1:13" x14ac:dyDescent="0.25">
      <c r="A114" s="2">
        <v>46280</v>
      </c>
      <c r="B114" s="1" t="str">
        <f ca="1">IF(Información1[[#This Row],[Fecha]]='Ajuste de fechas'!$A$2,"Día actual","Día anterior")</f>
        <v>Día actual</v>
      </c>
      <c r="C114" s="3" t="s">
        <v>52</v>
      </c>
      <c r="D114" t="s">
        <v>53</v>
      </c>
      <c r="E114" s="3" t="s">
        <v>256</v>
      </c>
      <c r="F114" s="3" t="s">
        <v>16</v>
      </c>
      <c r="G114" s="3" t="s">
        <v>257</v>
      </c>
      <c r="H114" s="3" t="s">
        <v>47</v>
      </c>
      <c r="I114" s="3" t="s">
        <v>7</v>
      </c>
      <c r="J114" s="3" t="s">
        <v>35</v>
      </c>
      <c r="K114" s="3" t="s">
        <v>237</v>
      </c>
      <c r="L114" s="3" t="s">
        <v>32</v>
      </c>
      <c r="M114">
        <v>1</v>
      </c>
    </row>
    <row r="115" spans="1:13" x14ac:dyDescent="0.25">
      <c r="A115" s="2">
        <v>46280</v>
      </c>
      <c r="B115" s="1" t="str">
        <f ca="1">IF(Información1[[#This Row],[Fecha]]='Ajuste de fechas'!$A$2,"Día actual","Día anterior")</f>
        <v>Día actual</v>
      </c>
      <c r="C115" s="3" t="s">
        <v>52</v>
      </c>
      <c r="D115" t="s">
        <v>53</v>
      </c>
      <c r="E115" s="3" t="s">
        <v>258</v>
      </c>
      <c r="F115" s="3" t="s">
        <v>18</v>
      </c>
      <c r="G115" s="3" t="s">
        <v>125</v>
      </c>
      <c r="H115" s="3" t="s">
        <v>47</v>
      </c>
      <c r="I115" s="3" t="s">
        <v>7</v>
      </c>
      <c r="J115" s="3" t="s">
        <v>31</v>
      </c>
      <c r="K115" s="3" t="s">
        <v>55</v>
      </c>
      <c r="L115" s="3" t="s">
        <v>34</v>
      </c>
      <c r="M115">
        <v>1</v>
      </c>
    </row>
    <row r="116" spans="1:13" x14ac:dyDescent="0.25">
      <c r="A116" s="2">
        <v>46280</v>
      </c>
      <c r="B116" s="1" t="str">
        <f ca="1">IF(Información1[[#This Row],[Fecha]]='Ajuste de fechas'!$A$2,"Día actual","Día anterior")</f>
        <v>Día actual</v>
      </c>
      <c r="C116" s="3" t="s">
        <v>52</v>
      </c>
      <c r="D116" t="s">
        <v>53</v>
      </c>
      <c r="E116" s="3" t="s">
        <v>259</v>
      </c>
      <c r="F116" s="3" t="s">
        <v>18</v>
      </c>
      <c r="G116" s="3" t="s">
        <v>260</v>
      </c>
      <c r="H116" s="3" t="s">
        <v>47</v>
      </c>
      <c r="I116" s="3" t="s">
        <v>22</v>
      </c>
      <c r="J116" s="3" t="s">
        <v>31</v>
      </c>
      <c r="K116" s="3" t="s">
        <v>55</v>
      </c>
      <c r="L116" s="3" t="s">
        <v>32</v>
      </c>
      <c r="M116">
        <v>1</v>
      </c>
    </row>
    <row r="117" spans="1:13" x14ac:dyDescent="0.25">
      <c r="A117" s="2">
        <v>46280</v>
      </c>
      <c r="B117" s="1" t="str">
        <f ca="1">IF(Información1[[#This Row],[Fecha]]='Ajuste de fechas'!$A$2,"Día actual","Día anterior")</f>
        <v>Día actual</v>
      </c>
      <c r="C117" s="3" t="s">
        <v>52</v>
      </c>
      <c r="D117" t="s">
        <v>53</v>
      </c>
      <c r="E117" s="3" t="s">
        <v>261</v>
      </c>
      <c r="F117" s="3" t="s">
        <v>58</v>
      </c>
      <c r="G117" s="3" t="s">
        <v>88</v>
      </c>
      <c r="H117" s="3" t="s">
        <v>47</v>
      </c>
      <c r="I117" s="3" t="s">
        <v>7</v>
      </c>
      <c r="J117" s="3" t="s">
        <v>31</v>
      </c>
      <c r="K117" s="3" t="s">
        <v>55</v>
      </c>
      <c r="L117" s="3" t="s">
        <v>32</v>
      </c>
      <c r="M117">
        <v>1</v>
      </c>
    </row>
    <row r="118" spans="1:13" x14ac:dyDescent="0.25">
      <c r="A118" s="2">
        <v>46280</v>
      </c>
      <c r="B118" s="1" t="str">
        <f ca="1">IF(Información1[[#This Row],[Fecha]]='Ajuste de fechas'!$A$2,"Día actual","Día anterior")</f>
        <v>Día actual</v>
      </c>
      <c r="C118" s="3" t="s">
        <v>52</v>
      </c>
      <c r="D118" t="s">
        <v>53</v>
      </c>
      <c r="E118" s="3" t="s">
        <v>262</v>
      </c>
      <c r="F118" s="3" t="s">
        <v>71</v>
      </c>
      <c r="G118" s="3" t="s">
        <v>263</v>
      </c>
      <c r="H118" s="3" t="s">
        <v>47</v>
      </c>
      <c r="I118" s="3" t="s">
        <v>22</v>
      </c>
      <c r="J118" s="3" t="s">
        <v>31</v>
      </c>
      <c r="K118" s="3" t="s">
        <v>237</v>
      </c>
      <c r="L118" s="3" t="s">
        <v>32</v>
      </c>
      <c r="M118">
        <v>1</v>
      </c>
    </row>
    <row r="119" spans="1:13" x14ac:dyDescent="0.25">
      <c r="A119" s="2">
        <v>46280</v>
      </c>
      <c r="B119" s="1" t="str">
        <f ca="1">IF(Información1[[#This Row],[Fecha]]='Ajuste de fechas'!$A$2,"Día actual","Día anterior")</f>
        <v>Día actual</v>
      </c>
      <c r="C119" s="3" t="s">
        <v>56</v>
      </c>
      <c r="D119" t="s">
        <v>57</v>
      </c>
      <c r="E119" s="3" t="s">
        <v>264</v>
      </c>
      <c r="F119" s="3" t="s">
        <v>14</v>
      </c>
      <c r="G119" s="3" t="s">
        <v>230</v>
      </c>
      <c r="H119" s="3" t="s">
        <v>59</v>
      </c>
      <c r="I119" s="3" t="s">
        <v>7</v>
      </c>
      <c r="J119" s="3" t="s">
        <v>31</v>
      </c>
      <c r="K119" s="3" t="s">
        <v>61</v>
      </c>
      <c r="L119" s="3" t="s">
        <v>32</v>
      </c>
      <c r="M119">
        <v>1</v>
      </c>
    </row>
    <row r="120" spans="1:13" x14ac:dyDescent="0.25">
      <c r="A120" s="2">
        <v>46280</v>
      </c>
      <c r="B120" s="1" t="str">
        <f ca="1">IF(Información1[[#This Row],[Fecha]]='Ajuste de fechas'!$A$2,"Día actual","Día anterior")</f>
        <v>Día actual</v>
      </c>
      <c r="C120" s="3" t="s">
        <v>56</v>
      </c>
      <c r="D120" t="s">
        <v>57</v>
      </c>
      <c r="E120" s="3" t="s">
        <v>265</v>
      </c>
      <c r="F120" s="3" t="s">
        <v>71</v>
      </c>
      <c r="G120" s="3" t="s">
        <v>146</v>
      </c>
      <c r="H120" s="3" t="s">
        <v>59</v>
      </c>
      <c r="I120" s="3" t="s">
        <v>22</v>
      </c>
      <c r="J120" s="3" t="s">
        <v>31</v>
      </c>
      <c r="K120" s="3" t="s">
        <v>61</v>
      </c>
      <c r="L120" s="3" t="s">
        <v>33</v>
      </c>
      <c r="M120">
        <v>1</v>
      </c>
    </row>
    <row r="121" spans="1:13" x14ac:dyDescent="0.25">
      <c r="A121" s="2">
        <v>46280</v>
      </c>
      <c r="B121" s="1" t="str">
        <f ca="1">IF(Información1[[#This Row],[Fecha]]='Ajuste de fechas'!$A$2,"Día actual","Día anterior")</f>
        <v>Día actual</v>
      </c>
      <c r="C121" s="3" t="s">
        <v>266</v>
      </c>
      <c r="D121" t="s">
        <v>267</v>
      </c>
      <c r="E121" s="3" t="s">
        <v>225</v>
      </c>
      <c r="F121" s="3" t="s">
        <v>268</v>
      </c>
      <c r="G121" s="3" t="s">
        <v>226</v>
      </c>
      <c r="H121" s="3" t="s">
        <v>47</v>
      </c>
      <c r="I121" s="3" t="s">
        <v>11</v>
      </c>
      <c r="J121" s="3" t="s">
        <v>31</v>
      </c>
      <c r="K121" s="3" t="s">
        <v>269</v>
      </c>
      <c r="L121" s="3" t="s">
        <v>34</v>
      </c>
      <c r="M121">
        <v>1</v>
      </c>
    </row>
    <row r="122" spans="1:13" x14ac:dyDescent="0.25">
      <c r="A122" s="2">
        <v>46280</v>
      </c>
      <c r="B122" s="1" t="str">
        <f ca="1">IF(Información1[[#This Row],[Fecha]]='Ajuste de fechas'!$A$2,"Día actual","Día anterior")</f>
        <v>Día actual</v>
      </c>
      <c r="C122" s="3" t="s">
        <v>266</v>
      </c>
      <c r="D122" t="s">
        <v>267</v>
      </c>
      <c r="E122" s="3" t="s">
        <v>270</v>
      </c>
      <c r="F122" s="3" t="s">
        <v>43</v>
      </c>
      <c r="G122" s="3" t="s">
        <v>121</v>
      </c>
      <c r="H122" s="3" t="s">
        <v>47</v>
      </c>
      <c r="I122" s="3" t="s">
        <v>11</v>
      </c>
      <c r="J122" s="3" t="s">
        <v>31</v>
      </c>
      <c r="K122" s="3" t="s">
        <v>269</v>
      </c>
      <c r="L122" s="3" t="s">
        <v>34</v>
      </c>
      <c r="M122">
        <v>1</v>
      </c>
    </row>
    <row r="123" spans="1:13" x14ac:dyDescent="0.25">
      <c r="A123" s="2">
        <v>46280</v>
      </c>
      <c r="B123" s="1" t="str">
        <f ca="1">IF(Información1[[#This Row],[Fecha]]='Ajuste de fechas'!$A$2,"Día actual","Día anterior")</f>
        <v>Día actual</v>
      </c>
      <c r="C123" s="3" t="s">
        <v>266</v>
      </c>
      <c r="D123" t="s">
        <v>267</v>
      </c>
      <c r="E123" s="3" t="s">
        <v>271</v>
      </c>
      <c r="F123" s="3" t="s">
        <v>46</v>
      </c>
      <c r="G123" s="3" t="s">
        <v>253</v>
      </c>
      <c r="H123" s="3" t="s">
        <v>47</v>
      </c>
      <c r="I123" s="3" t="s">
        <v>7</v>
      </c>
      <c r="J123" s="3" t="s">
        <v>31</v>
      </c>
      <c r="K123" s="3" t="s">
        <v>269</v>
      </c>
      <c r="L123" s="3" t="s">
        <v>34</v>
      </c>
      <c r="M123">
        <v>1</v>
      </c>
    </row>
    <row r="124" spans="1:13" x14ac:dyDescent="0.25">
      <c r="A124" s="2">
        <v>46280</v>
      </c>
      <c r="B124" s="1" t="str">
        <f ca="1">IF(Información1[[#This Row],[Fecha]]='Ajuste de fechas'!$A$2,"Día actual","Día anterior")</f>
        <v>Día actual</v>
      </c>
      <c r="C124" s="3" t="s">
        <v>266</v>
      </c>
      <c r="D124" t="s">
        <v>267</v>
      </c>
      <c r="E124" s="3" t="s">
        <v>250</v>
      </c>
      <c r="F124" s="3" t="s">
        <v>23</v>
      </c>
      <c r="G124" s="3" t="s">
        <v>92</v>
      </c>
      <c r="H124" s="3" t="s">
        <v>47</v>
      </c>
      <c r="I124" s="3" t="s">
        <v>7</v>
      </c>
      <c r="J124" s="3" t="s">
        <v>31</v>
      </c>
      <c r="K124" s="3" t="s">
        <v>269</v>
      </c>
      <c r="L124" s="3" t="s">
        <v>34</v>
      </c>
      <c r="M124">
        <v>1</v>
      </c>
    </row>
    <row r="125" spans="1:13" x14ac:dyDescent="0.25">
      <c r="A125" s="2">
        <v>46280</v>
      </c>
      <c r="B125" s="1" t="str">
        <f ca="1">IF(Información1[[#This Row],[Fecha]]='Ajuste de fechas'!$A$2,"Día actual","Día anterior")</f>
        <v>Día actual</v>
      </c>
      <c r="C125" s="3" t="s">
        <v>48</v>
      </c>
      <c r="D125" t="s">
        <v>49</v>
      </c>
      <c r="E125" s="3" t="s">
        <v>272</v>
      </c>
      <c r="F125" s="3" t="s">
        <v>19</v>
      </c>
      <c r="G125" s="3" t="s">
        <v>141</v>
      </c>
      <c r="H125" s="3" t="s">
        <v>47</v>
      </c>
      <c r="I125" s="3" t="s">
        <v>7</v>
      </c>
      <c r="J125" s="3" t="s">
        <v>36</v>
      </c>
      <c r="K125" s="3" t="s">
        <v>50</v>
      </c>
      <c r="L125" s="3" t="s">
        <v>41</v>
      </c>
      <c r="M125">
        <v>1</v>
      </c>
    </row>
    <row r="126" spans="1:13" x14ac:dyDescent="0.25">
      <c r="A126" s="2">
        <v>46280</v>
      </c>
      <c r="B126" s="1" t="str">
        <f ca="1">IF(Información1[[#This Row],[Fecha]]='Ajuste de fechas'!$A$2,"Día actual","Día anterior")</f>
        <v>Día actual</v>
      </c>
      <c r="C126" s="3" t="s">
        <v>48</v>
      </c>
      <c r="D126" t="s">
        <v>49</v>
      </c>
      <c r="E126" s="3" t="s">
        <v>273</v>
      </c>
      <c r="F126" s="3" t="s">
        <v>16</v>
      </c>
      <c r="G126" s="3" t="s">
        <v>209</v>
      </c>
      <c r="H126" s="3" t="s">
        <v>47</v>
      </c>
      <c r="I126" s="3" t="s">
        <v>7</v>
      </c>
      <c r="J126" s="3" t="s">
        <v>35</v>
      </c>
      <c r="K126" s="3" t="s">
        <v>50</v>
      </c>
      <c r="L126" s="3" t="s">
        <v>32</v>
      </c>
      <c r="M126">
        <v>1</v>
      </c>
    </row>
    <row r="127" spans="1:13" x14ac:dyDescent="0.25">
      <c r="A127" s="2">
        <v>46280</v>
      </c>
      <c r="B127" s="1" t="str">
        <f ca="1">IF(Información1[[#This Row],[Fecha]]='Ajuste de fechas'!$A$2,"Día actual","Día anterior")</f>
        <v>Día actual</v>
      </c>
      <c r="C127" s="3" t="s">
        <v>48</v>
      </c>
      <c r="D127" t="s">
        <v>49</v>
      </c>
      <c r="E127" s="3" t="s">
        <v>274</v>
      </c>
      <c r="F127" s="3" t="s">
        <v>18</v>
      </c>
      <c r="G127" s="3" t="s">
        <v>94</v>
      </c>
      <c r="H127" s="3" t="s">
        <v>47</v>
      </c>
      <c r="I127" s="3" t="s">
        <v>7</v>
      </c>
      <c r="J127" s="3" t="s">
        <v>31</v>
      </c>
      <c r="K127" s="3" t="s">
        <v>50</v>
      </c>
      <c r="L127" s="3" t="s">
        <v>34</v>
      </c>
      <c r="M127">
        <v>1</v>
      </c>
    </row>
    <row r="128" spans="1:13" x14ac:dyDescent="0.25">
      <c r="A128" s="2">
        <v>46280</v>
      </c>
      <c r="B128" s="1" t="str">
        <f ca="1">IF(Información1[[#This Row],[Fecha]]='Ajuste de fechas'!$A$2,"Día actual","Día anterior")</f>
        <v>Día actual</v>
      </c>
      <c r="C128" s="3" t="s">
        <v>48</v>
      </c>
      <c r="D128" t="s">
        <v>49</v>
      </c>
      <c r="E128" s="3" t="s">
        <v>271</v>
      </c>
      <c r="F128" s="3" t="s">
        <v>46</v>
      </c>
      <c r="G128" s="3" t="s">
        <v>253</v>
      </c>
      <c r="H128" s="3" t="s">
        <v>47</v>
      </c>
      <c r="I128" s="3" t="s">
        <v>7</v>
      </c>
      <c r="J128" s="3" t="s">
        <v>31</v>
      </c>
      <c r="K128" s="3" t="s">
        <v>51</v>
      </c>
      <c r="L128" s="3" t="s">
        <v>34</v>
      </c>
      <c r="M128">
        <v>1</v>
      </c>
    </row>
    <row r="129" spans="1:13" x14ac:dyDescent="0.25">
      <c r="A129" s="2">
        <v>46280</v>
      </c>
      <c r="B129" s="1" t="str">
        <f ca="1">IF(Información1[[#This Row],[Fecha]]='Ajuste de fechas'!$A$2,"Día actual","Día anterior")</f>
        <v>Día actual</v>
      </c>
      <c r="C129" s="3" t="s">
        <v>48</v>
      </c>
      <c r="D129" t="s">
        <v>49</v>
      </c>
      <c r="E129" s="3" t="s">
        <v>275</v>
      </c>
      <c r="F129" s="3" t="s">
        <v>90</v>
      </c>
      <c r="G129" s="3" t="s">
        <v>276</v>
      </c>
      <c r="H129" s="3" t="s">
        <v>47</v>
      </c>
      <c r="I129" s="3" t="s">
        <v>7</v>
      </c>
      <c r="J129" s="3" t="s">
        <v>31</v>
      </c>
      <c r="K129" s="3" t="s">
        <v>51</v>
      </c>
      <c r="L129" s="3" t="s">
        <v>34</v>
      </c>
      <c r="M129">
        <v>1</v>
      </c>
    </row>
    <row r="130" spans="1:13" x14ac:dyDescent="0.25">
      <c r="A130" s="2">
        <v>46280</v>
      </c>
      <c r="B130" s="1" t="str">
        <f ca="1">IF(Información1[[#This Row],[Fecha]]='Ajuste de fechas'!$A$2,"Día actual","Día anterior")</f>
        <v>Día actual</v>
      </c>
      <c r="C130" s="3" t="s">
        <v>48</v>
      </c>
      <c r="D130" t="s">
        <v>49</v>
      </c>
      <c r="E130" s="3" t="s">
        <v>277</v>
      </c>
      <c r="F130" s="3" t="s">
        <v>18</v>
      </c>
      <c r="G130" s="3" t="s">
        <v>278</v>
      </c>
      <c r="H130" s="3" t="s">
        <v>47</v>
      </c>
      <c r="I130" s="3" t="s">
        <v>7</v>
      </c>
      <c r="J130" s="3" t="s">
        <v>31</v>
      </c>
      <c r="K130" s="3" t="s">
        <v>51</v>
      </c>
      <c r="L130" s="3" t="s">
        <v>41</v>
      </c>
      <c r="M130">
        <v>1</v>
      </c>
    </row>
    <row r="131" spans="1:13" x14ac:dyDescent="0.25">
      <c r="A131" s="2">
        <v>46280</v>
      </c>
      <c r="B131" s="1" t="str">
        <f ca="1">IF(Información1[[#This Row],[Fecha]]='Ajuste de fechas'!$A$2,"Día actual","Día anterior")</f>
        <v>Día actual</v>
      </c>
      <c r="C131" s="3" t="s">
        <v>48</v>
      </c>
      <c r="D131" t="s">
        <v>49</v>
      </c>
      <c r="E131" s="3" t="s">
        <v>279</v>
      </c>
      <c r="F131" s="3" t="s">
        <v>232</v>
      </c>
      <c r="G131" s="3" t="s">
        <v>280</v>
      </c>
      <c r="H131" s="3" t="s">
        <v>47</v>
      </c>
      <c r="I131" s="3" t="s">
        <v>7</v>
      </c>
      <c r="J131" s="3" t="s">
        <v>31</v>
      </c>
      <c r="K131" s="3" t="s">
        <v>50</v>
      </c>
      <c r="L131" s="3" t="s">
        <v>32</v>
      </c>
      <c r="M131">
        <v>1</v>
      </c>
    </row>
    <row r="132" spans="1:13" x14ac:dyDescent="0.25">
      <c r="A132" s="2">
        <v>46280</v>
      </c>
      <c r="B132" s="1" t="str">
        <f ca="1">IF(Información1[[#This Row],[Fecha]]='Ajuste de fechas'!$A$2,"Día actual","Día anterior")</f>
        <v>Día actual</v>
      </c>
      <c r="C132" s="3" t="s">
        <v>48</v>
      </c>
      <c r="D132" t="s">
        <v>49</v>
      </c>
      <c r="E132" s="3" t="s">
        <v>250</v>
      </c>
      <c r="F132" s="3" t="s">
        <v>23</v>
      </c>
      <c r="G132" s="3" t="s">
        <v>92</v>
      </c>
      <c r="H132" s="3" t="s">
        <v>47</v>
      </c>
      <c r="I132" s="3" t="s">
        <v>7</v>
      </c>
      <c r="J132" s="3" t="s">
        <v>31</v>
      </c>
      <c r="K132" s="3" t="s">
        <v>51</v>
      </c>
      <c r="L132" s="3" t="s">
        <v>34</v>
      </c>
      <c r="M132">
        <v>1</v>
      </c>
    </row>
    <row r="133" spans="1:13" x14ac:dyDescent="0.25">
      <c r="A133" s="2">
        <v>46280</v>
      </c>
      <c r="B133" s="1" t="str">
        <f ca="1">IF(Información1[[#This Row],[Fecha]]='Ajuste de fechas'!$A$2,"Día actual","Día anterior")</f>
        <v>Día actual</v>
      </c>
      <c r="C133" s="3" t="s">
        <v>48</v>
      </c>
      <c r="D133" t="s">
        <v>49</v>
      </c>
      <c r="E133" s="3" t="s">
        <v>281</v>
      </c>
      <c r="F133" s="3" t="s">
        <v>20</v>
      </c>
      <c r="G133" s="3" t="s">
        <v>73</v>
      </c>
      <c r="H133" s="3" t="s">
        <v>47</v>
      </c>
      <c r="I133" s="3" t="s">
        <v>7</v>
      </c>
      <c r="J133" s="3" t="s">
        <v>31</v>
      </c>
      <c r="K133" s="3" t="s">
        <v>51</v>
      </c>
      <c r="L133" s="3" t="s">
        <v>34</v>
      </c>
      <c r="M133">
        <v>1</v>
      </c>
    </row>
    <row r="134" spans="1:13" x14ac:dyDescent="0.25">
      <c r="A134" s="2">
        <v>46280</v>
      </c>
      <c r="B134" s="1" t="str">
        <f ca="1">IF(Información1[[#This Row],[Fecha]]='Ajuste de fechas'!$A$2,"Día actual","Día anterior")</f>
        <v>Día actual</v>
      </c>
      <c r="C134" s="3" t="s">
        <v>48</v>
      </c>
      <c r="D134" t="s">
        <v>49</v>
      </c>
      <c r="E134" s="3" t="s">
        <v>282</v>
      </c>
      <c r="F134" s="3" t="s">
        <v>19</v>
      </c>
      <c r="G134" s="3" t="s">
        <v>82</v>
      </c>
      <c r="H134" s="3" t="s">
        <v>47</v>
      </c>
      <c r="I134" s="3" t="s">
        <v>7</v>
      </c>
      <c r="J134" s="3" t="s">
        <v>36</v>
      </c>
      <c r="K134" s="3" t="s">
        <v>50</v>
      </c>
      <c r="L134" s="3" t="s">
        <v>32</v>
      </c>
      <c r="M134">
        <v>1</v>
      </c>
    </row>
    <row r="135" spans="1:13" x14ac:dyDescent="0.25">
      <c r="A135" s="2">
        <v>46280</v>
      </c>
      <c r="B135" s="1" t="str">
        <f ca="1">IF(Información1[[#This Row],[Fecha]]='Ajuste de fechas'!$A$2,"Día actual","Día anterior")</f>
        <v>Día actual</v>
      </c>
      <c r="C135" s="3" t="s">
        <v>8</v>
      </c>
      <c r="D135" t="s">
        <v>10</v>
      </c>
      <c r="E135" s="3" t="s">
        <v>283</v>
      </c>
      <c r="F135" s="3" t="s">
        <v>6</v>
      </c>
      <c r="G135" s="3" t="s">
        <v>45</v>
      </c>
      <c r="H135" s="3" t="s">
        <v>47</v>
      </c>
      <c r="I135" s="3" t="s">
        <v>22</v>
      </c>
      <c r="J135" s="3" t="s">
        <v>31</v>
      </c>
      <c r="K135" s="3" t="s">
        <v>12</v>
      </c>
      <c r="L135" s="3" t="s">
        <v>33</v>
      </c>
      <c r="M135">
        <v>1</v>
      </c>
    </row>
    <row r="136" spans="1:13" x14ac:dyDescent="0.25">
      <c r="A136" s="2">
        <v>46280</v>
      </c>
      <c r="B136" s="1" t="str">
        <f ca="1">IF(Información1[[#This Row],[Fecha]]='Ajuste de fechas'!$A$2,"Día actual","Día anterior")</f>
        <v>Día actual</v>
      </c>
      <c r="C136" s="3" t="s">
        <v>8</v>
      </c>
      <c r="D136" t="s">
        <v>10</v>
      </c>
      <c r="E136" s="3" t="s">
        <v>284</v>
      </c>
      <c r="F136" s="3" t="s">
        <v>14</v>
      </c>
      <c r="G136" s="3" t="s">
        <v>285</v>
      </c>
      <c r="H136" s="3" t="s">
        <v>47</v>
      </c>
      <c r="I136" s="3" t="s">
        <v>7</v>
      </c>
      <c r="J136" s="3" t="s">
        <v>31</v>
      </c>
      <c r="K136" s="3" t="s">
        <v>12</v>
      </c>
      <c r="L136" s="3" t="s">
        <v>33</v>
      </c>
      <c r="M136">
        <v>1</v>
      </c>
    </row>
    <row r="137" spans="1:13" x14ac:dyDescent="0.25">
      <c r="A137" s="2">
        <v>46280</v>
      </c>
      <c r="B137" s="1" t="str">
        <f ca="1">IF(Información1[[#This Row],[Fecha]]='Ajuste de fechas'!$A$2,"Día actual","Día anterior")</f>
        <v>Día actual</v>
      </c>
      <c r="C137" s="3" t="s">
        <v>8</v>
      </c>
      <c r="D137" t="s">
        <v>10</v>
      </c>
      <c r="E137" s="3" t="s">
        <v>17</v>
      </c>
      <c r="F137" s="3" t="s">
        <v>16</v>
      </c>
      <c r="G137" s="3" t="s">
        <v>24</v>
      </c>
      <c r="H137" s="3" t="s">
        <v>47</v>
      </c>
      <c r="I137" s="3" t="s">
        <v>11</v>
      </c>
      <c r="J137" s="3" t="s">
        <v>35</v>
      </c>
      <c r="K137" s="3" t="s">
        <v>12</v>
      </c>
      <c r="L137" s="3" t="s">
        <v>33</v>
      </c>
      <c r="M137">
        <v>1</v>
      </c>
    </row>
    <row r="138" spans="1:13" x14ac:dyDescent="0.25">
      <c r="A138" s="2">
        <v>46280</v>
      </c>
      <c r="B138" s="1" t="str">
        <f ca="1">IF(Información1[[#This Row],[Fecha]]='Ajuste de fechas'!$A$2,"Día actual","Día anterior")</f>
        <v>Día actual</v>
      </c>
      <c r="C138" s="3" t="s">
        <v>8</v>
      </c>
      <c r="D138" t="s">
        <v>10</v>
      </c>
      <c r="E138" s="3" t="s">
        <v>15</v>
      </c>
      <c r="F138" s="3" t="s">
        <v>16</v>
      </c>
      <c r="G138" s="3" t="s">
        <v>24</v>
      </c>
      <c r="H138" s="3" t="s">
        <v>47</v>
      </c>
      <c r="I138" s="3" t="s">
        <v>11</v>
      </c>
      <c r="J138" s="3" t="s">
        <v>35</v>
      </c>
      <c r="K138" s="3" t="s">
        <v>12</v>
      </c>
      <c r="L138" s="3" t="s">
        <v>33</v>
      </c>
      <c r="M138">
        <v>1</v>
      </c>
    </row>
    <row r="139" spans="1:13" x14ac:dyDescent="0.25">
      <c r="A139" s="2">
        <v>46280</v>
      </c>
      <c r="B139" s="1" t="str">
        <f ca="1">IF(Información1[[#This Row],[Fecha]]='Ajuste de fechas'!$A$2,"Día actual","Día anterior")</f>
        <v>Día actual</v>
      </c>
      <c r="C139" s="3" t="s">
        <v>8</v>
      </c>
      <c r="D139" t="s">
        <v>10</v>
      </c>
      <c r="E139" s="3" t="s">
        <v>42</v>
      </c>
      <c r="F139" s="3" t="s">
        <v>40</v>
      </c>
      <c r="G139" s="3" t="s">
        <v>24</v>
      </c>
      <c r="H139" s="3" t="s">
        <v>47</v>
      </c>
      <c r="I139" s="3" t="s">
        <v>11</v>
      </c>
      <c r="J139" s="3" t="s">
        <v>21</v>
      </c>
      <c r="K139" s="3" t="s">
        <v>12</v>
      </c>
      <c r="L139" s="3" t="s">
        <v>33</v>
      </c>
      <c r="M139">
        <v>1</v>
      </c>
    </row>
    <row r="140" spans="1:13" x14ac:dyDescent="0.25">
      <c r="A140" s="2">
        <v>46280</v>
      </c>
      <c r="B140" s="1" t="str">
        <f ca="1">IF(Información1[[#This Row],[Fecha]]='Ajuste de fechas'!$A$2,"Día actual","Día anterior")</f>
        <v>Día actual</v>
      </c>
      <c r="C140" s="3" t="s">
        <v>8</v>
      </c>
      <c r="D140" t="s">
        <v>10</v>
      </c>
      <c r="E140" s="3" t="s">
        <v>44</v>
      </c>
      <c r="F140" s="3" t="s">
        <v>43</v>
      </c>
      <c r="G140" s="3" t="s">
        <v>24</v>
      </c>
      <c r="H140" s="3" t="s">
        <v>47</v>
      </c>
      <c r="I140" s="3" t="s">
        <v>11</v>
      </c>
      <c r="J140" s="3" t="s">
        <v>31</v>
      </c>
      <c r="K140" s="3" t="s">
        <v>12</v>
      </c>
      <c r="L140" s="3" t="s">
        <v>33</v>
      </c>
      <c r="M140">
        <v>1</v>
      </c>
    </row>
    <row r="141" spans="1:13" x14ac:dyDescent="0.25">
      <c r="A141" s="2">
        <v>46280</v>
      </c>
      <c r="B141" s="1" t="str">
        <f ca="1">IF(Información1[[#This Row],[Fecha]]='Ajuste de fechas'!$A$2,"Día actual","Día anterior")</f>
        <v>Día actual</v>
      </c>
      <c r="C141" s="3" t="s">
        <v>8</v>
      </c>
      <c r="D141" t="s">
        <v>10</v>
      </c>
      <c r="E141" s="3" t="s">
        <v>13</v>
      </c>
      <c r="F141" s="3" t="s">
        <v>14</v>
      </c>
      <c r="G141" s="3" t="s">
        <v>24</v>
      </c>
      <c r="H141" s="3" t="s">
        <v>47</v>
      </c>
      <c r="I141" s="3" t="s">
        <v>11</v>
      </c>
      <c r="J141" s="3" t="s">
        <v>31</v>
      </c>
      <c r="K141" s="3" t="s">
        <v>12</v>
      </c>
      <c r="L141" s="3" t="s">
        <v>33</v>
      </c>
      <c r="M141">
        <v>1</v>
      </c>
    </row>
    <row r="142" spans="1:13" x14ac:dyDescent="0.25">
      <c r="A142" s="2">
        <v>46280</v>
      </c>
      <c r="B142" s="1" t="str">
        <f ca="1">IF(Información1[[#This Row],[Fecha]]='Ajuste de fechas'!$A$2,"Día actual","Día anterior")</f>
        <v>Día actual</v>
      </c>
      <c r="C142" s="3" t="s">
        <v>8</v>
      </c>
      <c r="D142" t="s">
        <v>10</v>
      </c>
      <c r="E142" s="3" t="s">
        <v>286</v>
      </c>
      <c r="F142" s="3" t="s">
        <v>6</v>
      </c>
      <c r="G142" s="3" t="s">
        <v>24</v>
      </c>
      <c r="H142" s="3" t="s">
        <v>47</v>
      </c>
      <c r="I142" s="3" t="s">
        <v>11</v>
      </c>
      <c r="J142" s="3" t="s">
        <v>31</v>
      </c>
      <c r="K142" s="3" t="s">
        <v>12</v>
      </c>
      <c r="L142" s="3" t="s">
        <v>33</v>
      </c>
      <c r="M142">
        <v>1</v>
      </c>
    </row>
    <row r="143" spans="1:13" x14ac:dyDescent="0.25">
      <c r="A143" s="2">
        <v>46280</v>
      </c>
      <c r="B143" s="1" t="str">
        <f ca="1">IF(Información1[[#This Row],[Fecha]]='Ajuste de fechas'!$A$2,"Día actual","Día anterior")</f>
        <v>Día actual</v>
      </c>
      <c r="C143" s="3" t="s">
        <v>8</v>
      </c>
      <c r="D143" t="s">
        <v>10</v>
      </c>
      <c r="E143" s="3" t="s">
        <v>287</v>
      </c>
      <c r="F143" s="3" t="s">
        <v>46</v>
      </c>
      <c r="G143" s="3" t="s">
        <v>288</v>
      </c>
      <c r="H143" s="3" t="s">
        <v>47</v>
      </c>
      <c r="I143" s="3" t="s">
        <v>7</v>
      </c>
      <c r="J143" s="3" t="s">
        <v>31</v>
      </c>
      <c r="K143" s="3" t="s">
        <v>12</v>
      </c>
      <c r="L143" s="3" t="s">
        <v>41</v>
      </c>
      <c r="M143">
        <v>1</v>
      </c>
    </row>
    <row r="144" spans="1:13" x14ac:dyDescent="0.25">
      <c r="A144" s="2">
        <v>46280</v>
      </c>
      <c r="B144" s="1" t="str">
        <f ca="1">IF(Información1[[#This Row],[Fecha]]='Ajuste de fechas'!$A$2,"Día actual","Día anterior")</f>
        <v>Día actual</v>
      </c>
      <c r="C144" s="3" t="s">
        <v>68</v>
      </c>
      <c r="D144" t="s">
        <v>69</v>
      </c>
      <c r="E144" s="3" t="s">
        <v>289</v>
      </c>
      <c r="F144" s="3" t="s">
        <v>14</v>
      </c>
      <c r="G144" s="3" t="s">
        <v>290</v>
      </c>
      <c r="H144" s="3" t="s">
        <v>47</v>
      </c>
      <c r="I144" s="3" t="s">
        <v>7</v>
      </c>
      <c r="J144" s="3" t="s">
        <v>31</v>
      </c>
      <c r="K144" s="3" t="s">
        <v>70</v>
      </c>
      <c r="L144" s="3" t="s">
        <v>32</v>
      </c>
      <c r="M144">
        <v>1</v>
      </c>
    </row>
    <row r="145" spans="1:13" x14ac:dyDescent="0.25">
      <c r="A145" s="2">
        <v>46280</v>
      </c>
      <c r="B145" s="1" t="str">
        <f ca="1">IF(Información1[[#This Row],[Fecha]]='Ajuste de fechas'!$A$2,"Día actual","Día anterior")</f>
        <v>Día actual</v>
      </c>
      <c r="C145" s="3" t="s">
        <v>8</v>
      </c>
      <c r="D145" t="s">
        <v>10</v>
      </c>
      <c r="E145" s="3" t="s">
        <v>291</v>
      </c>
      <c r="F145" s="3" t="s">
        <v>14</v>
      </c>
      <c r="G145" s="3" t="s">
        <v>290</v>
      </c>
      <c r="H145" s="3" t="s">
        <v>47</v>
      </c>
      <c r="I145" s="3" t="s">
        <v>22</v>
      </c>
      <c r="J145" s="3" t="s">
        <v>31</v>
      </c>
      <c r="K145" s="3" t="s">
        <v>12</v>
      </c>
      <c r="L145" s="3" t="s">
        <v>33</v>
      </c>
      <c r="M145">
        <v>1</v>
      </c>
    </row>
    <row r="146" spans="1:13" x14ac:dyDescent="0.25">
      <c r="A146" s="2">
        <v>46280</v>
      </c>
      <c r="B146" s="1" t="str">
        <f ca="1">IF(Información1[[#This Row],[Fecha]]='Ajuste de fechas'!$A$2,"Día actual","Día anterior")</f>
        <v>Día actual</v>
      </c>
      <c r="C146" s="3" t="s">
        <v>8</v>
      </c>
      <c r="D146" t="s">
        <v>10</v>
      </c>
      <c r="E146" s="3" t="s">
        <v>289</v>
      </c>
      <c r="F146" s="3" t="s">
        <v>14</v>
      </c>
      <c r="G146" s="3" t="s">
        <v>290</v>
      </c>
      <c r="H146" s="3" t="s">
        <v>47</v>
      </c>
      <c r="I146" s="3" t="s">
        <v>7</v>
      </c>
      <c r="J146" s="3" t="s">
        <v>31</v>
      </c>
      <c r="K146" s="3" t="s">
        <v>12</v>
      </c>
      <c r="L146" s="3" t="s">
        <v>32</v>
      </c>
      <c r="M146">
        <v>1</v>
      </c>
    </row>
    <row r="147" spans="1:13" x14ac:dyDescent="0.25">
      <c r="A147" s="2">
        <v>46280</v>
      </c>
      <c r="B147" s="1" t="str">
        <f ca="1">IF(Información1[[#This Row],[Fecha]]='Ajuste de fechas'!$A$2,"Día actual","Día anterior")</f>
        <v>Día actual</v>
      </c>
      <c r="C147" s="3" t="s">
        <v>68</v>
      </c>
      <c r="D147" t="s">
        <v>69</v>
      </c>
      <c r="E147" s="3" t="s">
        <v>292</v>
      </c>
      <c r="F147" s="3" t="s">
        <v>20</v>
      </c>
      <c r="G147" s="3" t="s">
        <v>73</v>
      </c>
      <c r="H147" s="3" t="s">
        <v>47</v>
      </c>
      <c r="I147" s="3" t="s">
        <v>7</v>
      </c>
      <c r="J147" s="3" t="s">
        <v>31</v>
      </c>
      <c r="K147" s="3" t="s">
        <v>70</v>
      </c>
      <c r="L147" s="3" t="s">
        <v>32</v>
      </c>
      <c r="M147">
        <v>1</v>
      </c>
    </row>
    <row r="148" spans="1:13" x14ac:dyDescent="0.25">
      <c r="A148" s="2">
        <v>46280</v>
      </c>
      <c r="B148" s="1" t="str">
        <f ca="1">IF(Información1[[#This Row],[Fecha]]='Ajuste de fechas'!$A$2,"Día actual","Día anterior")</f>
        <v>Día actual</v>
      </c>
      <c r="C148" s="3" t="s">
        <v>8</v>
      </c>
      <c r="D148" t="s">
        <v>10</v>
      </c>
      <c r="E148" s="3" t="s">
        <v>281</v>
      </c>
      <c r="F148" s="3" t="s">
        <v>20</v>
      </c>
      <c r="G148" s="3" t="s">
        <v>73</v>
      </c>
      <c r="H148" s="3" t="s">
        <v>47</v>
      </c>
      <c r="I148" s="3" t="s">
        <v>7</v>
      </c>
      <c r="J148" s="3" t="s">
        <v>31</v>
      </c>
      <c r="K148" s="3" t="s">
        <v>12</v>
      </c>
      <c r="L148" s="3" t="s">
        <v>34</v>
      </c>
      <c r="M148">
        <v>1</v>
      </c>
    </row>
    <row r="149" spans="1:13" x14ac:dyDescent="0.25">
      <c r="A149" s="2">
        <v>46280</v>
      </c>
      <c r="B149" s="1" t="str">
        <f ca="1">IF(Información1[[#This Row],[Fecha]]='Ajuste de fechas'!$A$2,"Día actual","Día anterior")</f>
        <v>Día actual</v>
      </c>
      <c r="C149" s="3" t="s">
        <v>68</v>
      </c>
      <c r="D149" t="s">
        <v>69</v>
      </c>
      <c r="E149" s="3" t="s">
        <v>293</v>
      </c>
      <c r="F149" s="3" t="s">
        <v>71</v>
      </c>
      <c r="G149" s="3" t="s">
        <v>146</v>
      </c>
      <c r="H149" s="3" t="s">
        <v>47</v>
      </c>
      <c r="I149" s="3" t="s">
        <v>7</v>
      </c>
      <c r="J149" s="3" t="s">
        <v>31</v>
      </c>
      <c r="K149" s="3" t="s">
        <v>70</v>
      </c>
      <c r="L149" s="3" t="s">
        <v>32</v>
      </c>
      <c r="M149">
        <v>1</v>
      </c>
    </row>
    <row r="150" spans="1:13" x14ac:dyDescent="0.25">
      <c r="A150" s="2">
        <v>46280</v>
      </c>
      <c r="B150" s="1" t="str">
        <f ca="1">IF(Información1[[#This Row],[Fecha]]='Ajuste de fechas'!$A$2,"Día actual","Día anterior")</f>
        <v>Día actual</v>
      </c>
      <c r="C150" s="3" t="s">
        <v>68</v>
      </c>
      <c r="D150" t="s">
        <v>69</v>
      </c>
      <c r="E150" s="3" t="s">
        <v>294</v>
      </c>
      <c r="F150" s="3" t="s">
        <v>43</v>
      </c>
      <c r="G150" s="3" t="s">
        <v>121</v>
      </c>
      <c r="H150" s="3" t="s">
        <v>47</v>
      </c>
      <c r="I150" s="3" t="s">
        <v>7</v>
      </c>
      <c r="J150" s="3" t="s">
        <v>31</v>
      </c>
      <c r="K150" s="3" t="s">
        <v>70</v>
      </c>
      <c r="L150" s="3" t="s">
        <v>32</v>
      </c>
      <c r="M150">
        <v>1</v>
      </c>
    </row>
    <row r="151" spans="1:13" x14ac:dyDescent="0.25">
      <c r="A151" s="2">
        <v>46280</v>
      </c>
      <c r="B151" s="1" t="str">
        <f ca="1">IF(Información1[[#This Row],[Fecha]]='Ajuste de fechas'!$A$2,"Día actual","Día anterior")</f>
        <v>Día actual</v>
      </c>
      <c r="C151" s="3" t="s">
        <v>68</v>
      </c>
      <c r="D151" t="s">
        <v>69</v>
      </c>
      <c r="E151" s="3" t="s">
        <v>295</v>
      </c>
      <c r="F151" s="3" t="s">
        <v>23</v>
      </c>
      <c r="G151" s="3" t="s">
        <v>121</v>
      </c>
      <c r="H151" s="3" t="s">
        <v>47</v>
      </c>
      <c r="I151" s="3" t="s">
        <v>7</v>
      </c>
      <c r="J151" s="3" t="s">
        <v>31</v>
      </c>
      <c r="K151" s="3" t="s">
        <v>70</v>
      </c>
      <c r="L151" s="3" t="s">
        <v>32</v>
      </c>
      <c r="M151">
        <v>1</v>
      </c>
    </row>
    <row r="152" spans="1:13" x14ac:dyDescent="0.25">
      <c r="A152" s="2">
        <v>46280</v>
      </c>
      <c r="B152" s="1" t="str">
        <f ca="1">IF(Información1[[#This Row],[Fecha]]='Ajuste de fechas'!$A$2,"Día actual","Día anterior")</f>
        <v>Día actual</v>
      </c>
      <c r="C152" s="3" t="s">
        <v>8</v>
      </c>
      <c r="D152" t="s">
        <v>10</v>
      </c>
      <c r="E152" s="3" t="s">
        <v>296</v>
      </c>
      <c r="F152" s="3" t="s">
        <v>16</v>
      </c>
      <c r="G152" s="3" t="s">
        <v>121</v>
      </c>
      <c r="H152" s="3" t="s">
        <v>47</v>
      </c>
      <c r="I152" s="3" t="s">
        <v>7</v>
      </c>
      <c r="J152" s="3" t="s">
        <v>35</v>
      </c>
      <c r="K152" s="3" t="s">
        <v>12</v>
      </c>
      <c r="L152" s="3" t="s">
        <v>41</v>
      </c>
      <c r="M152">
        <v>1</v>
      </c>
    </row>
    <row r="153" spans="1:13" x14ac:dyDescent="0.25">
      <c r="A153" s="2">
        <v>46280</v>
      </c>
      <c r="B153" s="1" t="str">
        <f ca="1">IF(Información1[[#This Row],[Fecha]]='Ajuste de fechas'!$A$2,"Día actual","Día anterior")</f>
        <v>Día actual</v>
      </c>
      <c r="C153" s="3" t="s">
        <v>8</v>
      </c>
      <c r="D153" t="s">
        <v>10</v>
      </c>
      <c r="E153" s="3" t="s">
        <v>297</v>
      </c>
      <c r="F153" s="3" t="s">
        <v>43</v>
      </c>
      <c r="G153" s="3" t="s">
        <v>121</v>
      </c>
      <c r="H153" s="3" t="s">
        <v>47</v>
      </c>
      <c r="I153" s="3" t="s">
        <v>7</v>
      </c>
      <c r="J153" s="3" t="s">
        <v>31</v>
      </c>
      <c r="K153" s="3" t="s">
        <v>12</v>
      </c>
      <c r="L153" s="3" t="s">
        <v>34</v>
      </c>
      <c r="M153">
        <v>1</v>
      </c>
    </row>
    <row r="154" spans="1:13" x14ac:dyDescent="0.25">
      <c r="A154" s="2">
        <v>46280</v>
      </c>
      <c r="B154" s="1" t="str">
        <f ca="1">IF(Información1[[#This Row],[Fecha]]='Ajuste de fechas'!$A$2,"Día actual","Día anterior")</f>
        <v>Día actual</v>
      </c>
      <c r="C154" s="3" t="s">
        <v>8</v>
      </c>
      <c r="D154" t="s">
        <v>10</v>
      </c>
      <c r="E154" s="3" t="s">
        <v>298</v>
      </c>
      <c r="F154" s="3" t="s">
        <v>6</v>
      </c>
      <c r="G154" s="3" t="s">
        <v>84</v>
      </c>
      <c r="H154" s="3" t="s">
        <v>47</v>
      </c>
      <c r="I154" s="3" t="s">
        <v>22</v>
      </c>
      <c r="J154" s="3" t="s">
        <v>31</v>
      </c>
      <c r="K154" s="3" t="s">
        <v>12</v>
      </c>
      <c r="L154" s="3" t="s">
        <v>33</v>
      </c>
      <c r="M154">
        <v>1</v>
      </c>
    </row>
    <row r="155" spans="1:13" x14ac:dyDescent="0.25">
      <c r="A155" s="2">
        <v>46280</v>
      </c>
      <c r="B155" s="1" t="str">
        <f ca="1">IF(Información1[[#This Row],[Fecha]]='Ajuste de fechas'!$A$2,"Día actual","Día anterior")</f>
        <v>Día actual</v>
      </c>
      <c r="C155" s="3" t="s">
        <v>68</v>
      </c>
      <c r="D155" t="s">
        <v>69</v>
      </c>
      <c r="E155" s="3" t="s">
        <v>299</v>
      </c>
      <c r="F155" s="3" t="s">
        <v>111</v>
      </c>
      <c r="G155" s="3" t="s">
        <v>300</v>
      </c>
      <c r="H155" s="3" t="s">
        <v>47</v>
      </c>
      <c r="I155" s="3" t="s">
        <v>7</v>
      </c>
      <c r="J155" s="3" t="s">
        <v>31</v>
      </c>
      <c r="K155" s="3" t="s">
        <v>70</v>
      </c>
      <c r="L155" s="3" t="s">
        <v>32</v>
      </c>
      <c r="M155">
        <v>1</v>
      </c>
    </row>
    <row r="156" spans="1:13" x14ac:dyDescent="0.25">
      <c r="A156" s="2">
        <v>46280</v>
      </c>
      <c r="B156" s="1" t="str">
        <f ca="1">IF(Información1[[#This Row],[Fecha]]='Ajuste de fechas'!$A$2,"Día actual","Día anterior")</f>
        <v>Día actual</v>
      </c>
      <c r="C156" s="3" t="s">
        <v>68</v>
      </c>
      <c r="D156" t="s">
        <v>69</v>
      </c>
      <c r="E156" s="3" t="s">
        <v>301</v>
      </c>
      <c r="F156" s="3" t="s">
        <v>16</v>
      </c>
      <c r="G156" s="3" t="s">
        <v>302</v>
      </c>
      <c r="H156" s="3" t="s">
        <v>47</v>
      </c>
      <c r="I156" s="3" t="s">
        <v>22</v>
      </c>
      <c r="J156" s="3" t="s">
        <v>35</v>
      </c>
      <c r="K156" s="3" t="s">
        <v>70</v>
      </c>
      <c r="L156" s="3" t="s">
        <v>32</v>
      </c>
      <c r="M156">
        <v>1</v>
      </c>
    </row>
    <row r="157" spans="1:13" x14ac:dyDescent="0.25">
      <c r="A157" s="2">
        <v>46280</v>
      </c>
      <c r="B157" s="1" t="str">
        <f ca="1">IF(Información1[[#This Row],[Fecha]]='Ajuste de fechas'!$A$2,"Día actual","Día anterior")</f>
        <v>Día actual</v>
      </c>
      <c r="C157" s="3" t="s">
        <v>68</v>
      </c>
      <c r="D157" t="s">
        <v>69</v>
      </c>
      <c r="E157" s="3" t="s">
        <v>303</v>
      </c>
      <c r="F157" s="3" t="s">
        <v>19</v>
      </c>
      <c r="G157" s="3" t="s">
        <v>141</v>
      </c>
      <c r="H157" s="3" t="s">
        <v>47</v>
      </c>
      <c r="I157" s="3" t="s">
        <v>7</v>
      </c>
      <c r="J157" s="3" t="s">
        <v>36</v>
      </c>
      <c r="K157" s="3" t="s">
        <v>70</v>
      </c>
      <c r="L157" s="3" t="s">
        <v>32</v>
      </c>
      <c r="M157">
        <v>1</v>
      </c>
    </row>
    <row r="158" spans="1:13" x14ac:dyDescent="0.25">
      <c r="A158" s="2">
        <v>46280</v>
      </c>
      <c r="B158" s="1" t="str">
        <f ca="1">IF(Información1[[#This Row],[Fecha]]='Ajuste de fechas'!$A$2,"Día actual","Día anterior")</f>
        <v>Día actual</v>
      </c>
      <c r="C158" s="3" t="s">
        <v>68</v>
      </c>
      <c r="D158" t="s">
        <v>69</v>
      </c>
      <c r="E158" s="3" t="s">
        <v>304</v>
      </c>
      <c r="F158" s="3" t="s">
        <v>23</v>
      </c>
      <c r="G158" s="3" t="s">
        <v>92</v>
      </c>
      <c r="H158" s="3" t="s">
        <v>47</v>
      </c>
      <c r="I158" s="3" t="s">
        <v>7</v>
      </c>
      <c r="J158" s="3" t="s">
        <v>31</v>
      </c>
      <c r="K158" s="3" t="s">
        <v>70</v>
      </c>
      <c r="L158" s="3" t="s">
        <v>32</v>
      </c>
      <c r="M158">
        <v>1</v>
      </c>
    </row>
    <row r="159" spans="1:13" x14ac:dyDescent="0.25">
      <c r="A159" s="2">
        <v>46280</v>
      </c>
      <c r="B159" s="1" t="str">
        <f ca="1">IF(Información1[[#This Row],[Fecha]]='Ajuste de fechas'!$A$2,"Día actual","Día anterior")</f>
        <v>Día actual</v>
      </c>
      <c r="C159" s="3" t="s">
        <v>68</v>
      </c>
      <c r="D159" t="s">
        <v>69</v>
      </c>
      <c r="E159" s="3" t="s">
        <v>305</v>
      </c>
      <c r="F159" s="3" t="s">
        <v>16</v>
      </c>
      <c r="G159" s="3" t="s">
        <v>306</v>
      </c>
      <c r="H159" s="3" t="s">
        <v>47</v>
      </c>
      <c r="I159" s="3" t="s">
        <v>7</v>
      </c>
      <c r="J159" s="3" t="s">
        <v>35</v>
      </c>
      <c r="K159" s="3" t="s">
        <v>70</v>
      </c>
      <c r="L159" s="3" t="s">
        <v>32</v>
      </c>
      <c r="M159">
        <v>1</v>
      </c>
    </row>
    <row r="160" spans="1:13" x14ac:dyDescent="0.25">
      <c r="A160" s="2">
        <v>46280</v>
      </c>
      <c r="B160" s="1" t="str">
        <f ca="1">IF(Información1[[#This Row],[Fecha]]='Ajuste de fechas'!$A$2,"Día actual","Día anterior")</f>
        <v>Día actual</v>
      </c>
      <c r="C160" s="3" t="s">
        <v>8</v>
      </c>
      <c r="D160" t="s">
        <v>10</v>
      </c>
      <c r="E160" s="3" t="s">
        <v>307</v>
      </c>
      <c r="F160" s="3" t="s">
        <v>232</v>
      </c>
      <c r="G160" s="3" t="s">
        <v>308</v>
      </c>
      <c r="H160" s="3" t="s">
        <v>47</v>
      </c>
      <c r="I160" s="3" t="s">
        <v>7</v>
      </c>
      <c r="J160" s="3" t="s">
        <v>31</v>
      </c>
      <c r="K160" s="3" t="s">
        <v>12</v>
      </c>
      <c r="L160" s="3" t="s">
        <v>32</v>
      </c>
      <c r="M160">
        <v>1</v>
      </c>
    </row>
    <row r="161" spans="1:13" x14ac:dyDescent="0.25">
      <c r="A161" s="2">
        <v>46280</v>
      </c>
      <c r="B161" s="1" t="str">
        <f ca="1">IF(Información1[[#This Row],[Fecha]]='Ajuste de fechas'!$A$2,"Día actual","Día anterior")</f>
        <v>Día actual</v>
      </c>
      <c r="C161" s="3" t="s">
        <v>68</v>
      </c>
      <c r="D161" t="s">
        <v>69</v>
      </c>
      <c r="E161" s="3" t="s">
        <v>309</v>
      </c>
      <c r="F161" s="3" t="s">
        <v>23</v>
      </c>
      <c r="G161" s="3" t="s">
        <v>80</v>
      </c>
      <c r="H161" s="3" t="s">
        <v>47</v>
      </c>
      <c r="I161" s="3" t="s">
        <v>7</v>
      </c>
      <c r="J161" s="3" t="s">
        <v>31</v>
      </c>
      <c r="K161" s="3" t="s">
        <v>70</v>
      </c>
      <c r="L161" s="3" t="s">
        <v>32</v>
      </c>
      <c r="M161">
        <v>1</v>
      </c>
    </row>
    <row r="162" spans="1:13" x14ac:dyDescent="0.25">
      <c r="A162" s="2">
        <v>46280</v>
      </c>
      <c r="B162" s="1" t="str">
        <f ca="1">IF(Información1[[#This Row],[Fecha]]='Ajuste de fechas'!$A$2,"Día actual","Día anterior")</f>
        <v>Día actual</v>
      </c>
      <c r="C162" s="3" t="s">
        <v>68</v>
      </c>
      <c r="D162" t="s">
        <v>69</v>
      </c>
      <c r="E162" s="3" t="s">
        <v>310</v>
      </c>
      <c r="F162" s="3" t="s">
        <v>23</v>
      </c>
      <c r="G162" s="3" t="s">
        <v>226</v>
      </c>
      <c r="H162" s="3" t="s">
        <v>47</v>
      </c>
      <c r="I162" s="3" t="s">
        <v>7</v>
      </c>
      <c r="J162" s="3" t="s">
        <v>31</v>
      </c>
      <c r="K162" s="3" t="s">
        <v>70</v>
      </c>
      <c r="L162" s="3" t="s">
        <v>32</v>
      </c>
      <c r="M162">
        <v>1</v>
      </c>
    </row>
    <row r="163" spans="1:13" x14ac:dyDescent="0.25">
      <c r="A163" s="2">
        <v>46280</v>
      </c>
      <c r="B163" s="1" t="str">
        <f ca="1">IF(Información1[[#This Row],[Fecha]]='Ajuste de fechas'!$A$2,"Día actual","Día anterior")</f>
        <v>Día actual</v>
      </c>
      <c r="C163" s="3" t="s">
        <v>68</v>
      </c>
      <c r="D163" t="s">
        <v>69</v>
      </c>
      <c r="E163" s="3" t="s">
        <v>311</v>
      </c>
      <c r="F163" s="3" t="s">
        <v>46</v>
      </c>
      <c r="G163" s="3" t="s">
        <v>253</v>
      </c>
      <c r="H163" s="3" t="s">
        <v>47</v>
      </c>
      <c r="I163" s="3" t="s">
        <v>7</v>
      </c>
      <c r="J163" s="3" t="s">
        <v>31</v>
      </c>
      <c r="K163" s="3" t="s">
        <v>70</v>
      </c>
      <c r="L163" s="3" t="s">
        <v>32</v>
      </c>
      <c r="M163">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38</v>
      </c>
      <c r="B1" t="s">
        <v>39</v>
      </c>
    </row>
    <row r="2" spans="1:2" x14ac:dyDescent="0.25">
      <c r="A2" s="2">
        <f ca="1">TODAY()</f>
        <v>46280</v>
      </c>
      <c r="B2" s="2">
        <f ca="1">A2-1</f>
        <v>46279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2026-09-16T00:11:45Z</dcterms:modified>
</cp:coreProperties>
</file>