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1A8CAF83-3950-4949-BA27-68ED1DC7574A}" xr6:coauthVersionLast="47" xr6:coauthVersionMax="47" xr10:uidLastSave="{00000000-0000-0000-0000-000000000000}"/>
  <bookViews>
    <workbookView xWindow="-19310" yWindow="-110" windowWidth="19420" windowHeight="10300" xr2:uid="{5C0A4D95-2E1C-48C6-BF5D-23E5933B5009}"/>
  </bookViews>
  <sheets>
    <sheet name="Radio" sheetId="2" r:id="rId1"/>
    <sheet name="Ajuste de fechas" sheetId="1" r:id="rId2"/>
  </sheets>
  <definedNames>
    <definedName name="DatosExternos_1" localSheetId="0" hidden="1">Radio!$A$1:$M$152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3" i="2"/>
  <c r="B24" i="2"/>
  <c r="B25" i="2"/>
  <c r="B29" i="2"/>
  <c r="B32" i="2"/>
  <c r="B35" i="2"/>
  <c r="B38" i="2"/>
  <c r="B42" i="2"/>
  <c r="B45" i="2"/>
  <c r="B48" i="2"/>
  <c r="B51" i="2"/>
  <c r="B54" i="2"/>
  <c r="B57" i="2"/>
  <c r="B62" i="2"/>
  <c r="B65" i="2"/>
  <c r="B70" i="2"/>
  <c r="B75" i="2"/>
  <c r="B21" i="2"/>
  <c r="B22" i="2"/>
  <c r="B27" i="2"/>
  <c r="B30" i="2"/>
  <c r="B33" i="2"/>
  <c r="B36" i="2"/>
  <c r="B39" i="2"/>
  <c r="B43" i="2"/>
  <c r="B46" i="2"/>
  <c r="B49" i="2"/>
  <c r="B53" i="2"/>
  <c r="B56" i="2"/>
  <c r="B60" i="2"/>
  <c r="B66" i="2"/>
  <c r="B72" i="2"/>
  <c r="B77" i="2"/>
  <c r="B40" i="2"/>
  <c r="B59" i="2"/>
  <c r="B78" i="2"/>
  <c r="B79" i="2"/>
  <c r="B80" i="2"/>
  <c r="B81" i="2"/>
  <c r="B82" i="2"/>
  <c r="B83" i="2"/>
  <c r="B84" i="2"/>
  <c r="B85" i="2"/>
  <c r="B86" i="2"/>
  <c r="B87" i="2"/>
  <c r="B88" i="2"/>
  <c r="B89" i="2"/>
  <c r="B90" i="2"/>
  <c r="B91" i="2"/>
  <c r="B92" i="2"/>
  <c r="B93" i="2"/>
  <c r="B94" i="2"/>
  <c r="B95" i="2"/>
  <c r="B96" i="2"/>
  <c r="B99" i="2"/>
  <c r="B100" i="2"/>
  <c r="B101" i="2"/>
  <c r="B103" i="2"/>
  <c r="B105" i="2"/>
  <c r="B107" i="2"/>
  <c r="B109" i="2"/>
  <c r="B112" i="2"/>
  <c r="B114" i="2"/>
  <c r="B115" i="2"/>
  <c r="B63" i="2"/>
  <c r="B68" i="2"/>
  <c r="B74" i="2"/>
  <c r="B97" i="2"/>
  <c r="B98" i="2"/>
  <c r="B102" i="2"/>
  <c r="B104" i="2"/>
  <c r="B106" i="2"/>
  <c r="B108" i="2"/>
  <c r="B110" i="2"/>
  <c r="B111" i="2"/>
  <c r="B113" i="2"/>
  <c r="B61" i="2"/>
  <c r="B67" i="2"/>
  <c r="B73" i="2"/>
  <c r="B116" i="2"/>
  <c r="B117" i="2"/>
  <c r="B118" i="2"/>
  <c r="B119" i="2"/>
  <c r="B120" i="2"/>
  <c r="B121" i="2"/>
  <c r="B122" i="2"/>
  <c r="B123" i="2"/>
  <c r="B124" i="2"/>
  <c r="B125" i="2"/>
  <c r="B126" i="2"/>
  <c r="B127" i="2"/>
  <c r="B128" i="2"/>
  <c r="B129" i="2"/>
  <c r="B130" i="2"/>
  <c r="B131" i="2"/>
  <c r="B132" i="2"/>
  <c r="B133" i="2"/>
  <c r="B134" i="2"/>
  <c r="B26" i="2"/>
  <c r="B28" i="2"/>
  <c r="B31" i="2"/>
  <c r="B34" i="2"/>
  <c r="B37" i="2"/>
  <c r="B41" i="2"/>
  <c r="B44" i="2"/>
  <c r="B47" i="2"/>
  <c r="B50" i="2"/>
  <c r="B52" i="2"/>
  <c r="B55" i="2"/>
  <c r="B58" i="2"/>
  <c r="B64" i="2"/>
  <c r="B69" i="2"/>
  <c r="B71" i="2"/>
  <c r="B76" i="2"/>
  <c r="B135" i="2"/>
  <c r="B136" i="2"/>
  <c r="B137" i="2"/>
  <c r="B138" i="2"/>
  <c r="B139" i="2"/>
  <c r="B140" i="2"/>
  <c r="B141" i="2"/>
  <c r="B142" i="2"/>
  <c r="B143" i="2"/>
  <c r="B144" i="2"/>
  <c r="B145" i="2"/>
  <c r="B146" i="2"/>
  <c r="B147" i="2"/>
  <c r="B148" i="2"/>
  <c r="B149" i="2"/>
  <c r="B150" i="2"/>
  <c r="B151" i="2"/>
  <c r="B15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<sst xmlns="http://schemas.openxmlformats.org/spreadsheetml/2006/main" count="1525" uniqueCount="297">
  <si>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</si>
  <si>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</si>
  <si>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</si>
  <si>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</si>
  <si>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</si>
  <si>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</si>
  <si>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</si>
  <si>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</si>
  <si>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</si>
  <si>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</si>
  <si>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</si>
  <si>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</si>
  <si>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</si>
  <si>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</si>
  <si>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</si>
  <si>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</si>
  <si>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</si>
  <si>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</si>
  <si>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</si>
  <si>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</si>
  <si>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</si>
  <si>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</si>
  <si>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</si>
  <si>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</si>
  <si>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</si>
  <si>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</si>
  <si>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</si>
  <si>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</si>
  <si>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</si>
  <si>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</si>
  <si>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</si>
  <si>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</si>
  <si>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</si>
  <si>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</si>
  <si>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</si>
  <si>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</si>
  <si>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</si>
  <si>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</si>
  <si>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</si>
  <si>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</si>
  <si>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</si>
  <si>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</si>
  <si>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</si>
  <si>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</si>
  <si>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</si>
  <si>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</si>
  <si>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</si>
  <si>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</si>
  <si>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</si>
  <si>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</si>
  <si>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Morena</t>
  </si>
  <si>
    <t>TV LOCAL</t>
  </si>
  <si>
    <t>Partidos</t>
  </si>
  <si>
    <t>Aldo Falcón</t>
  </si>
  <si>
    <t>Andrés Torres</t>
  </si>
  <si>
    <t>Candidaturas</t>
  </si>
  <si>
    <t>Ultra 102.9 FM</t>
  </si>
  <si>
    <t>Ultra Noticias1</t>
  </si>
  <si>
    <t>Daniel Martínez</t>
  </si>
  <si>
    <t>Radio Lobo 96.7 FM</t>
  </si>
  <si>
    <t>Enlace Noticias</t>
  </si>
  <si>
    <t>Gina Lorenzo</t>
  </si>
  <si>
    <t>Combate Al Narcomenudeo</t>
  </si>
  <si>
    <t>Enfoque Regional Meridiano</t>
  </si>
  <si>
    <t>Jesús González</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</si>
  <si>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</si>
  <si>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</si>
  <si>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</si>
  <si>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</si>
  <si>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</si>
  <si>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</si>
  <si>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Localización de cuerpo</t>
  </si>
  <si>
    <t>Salud Mental</t>
  </si>
  <si>
    <t>SSPH</t>
  </si>
  <si>
    <t>Bachillerato Nacional</t>
  </si>
  <si>
    <t>Gobernador</t>
  </si>
  <si>
    <t>Súper Stéreo 100.5 FM</t>
  </si>
  <si>
    <t>Eulalio Larrieta agradece a Cristian Yahir Castañeda supervisor de la región Pachuca quien nos va atender los reportes que correspondan a la SEMOT</t>
  </si>
  <si>
    <t>Radiodifusoras</t>
  </si>
  <si>
    <t>Queja padres de familia</t>
  </si>
  <si>
    <t>Visita Sheinbaum</t>
  </si>
  <si>
    <t>Reforma De Ley</t>
  </si>
  <si>
    <t>Comparecencias</t>
  </si>
  <si>
    <t>Eulalio Larrieta agradece a Edith Balderas de la Secretaria de Educación Pública.</t>
  </si>
  <si>
    <t>Ataque Armado</t>
  </si>
  <si>
    <t>Cultura</t>
  </si>
  <si>
    <t>Paranacionales Conade</t>
  </si>
  <si>
    <t>Contraloría</t>
  </si>
  <si>
    <t>Eulalio Larrieta agradece a Jair Martínez de la SEGOBH, porque esta al pendiente de lo que se necesite y los reportes.</t>
  </si>
  <si>
    <t>IEEH</t>
  </si>
  <si>
    <t>Protesta sindical</t>
  </si>
  <si>
    <t>Comité de emergencias</t>
  </si>
  <si>
    <t>Saderh</t>
  </si>
  <si>
    <t>Apoyo Al Agro</t>
  </si>
  <si>
    <t>Cáncer De Mama</t>
  </si>
  <si>
    <t>Investigación académica</t>
  </si>
  <si>
    <t>Accidente Vial</t>
  </si>
  <si>
    <t>Tamiz neonatal</t>
  </si>
  <si>
    <t>Como parte de las acciones para fortalecer la infraestructura deportiva y recuperar espacios públicos en beneficio de la ciudadanía, el presidente municipal Cristian Martínez inauguró las nuevas canchas de tenis de la Unidad Deportiva, proyecto que representa una inversión superior a los 3.8 millones de pesos</t>
  </si>
  <si>
    <t>Recuperación De Espacios Públicos</t>
  </si>
  <si>
    <t>En la conferencia mañanera de hoy del gobierno de Hidalgo tras la salida del titular de la unidad de planeación Miguel Ángel Tello el encargado de esta dependencia Onésimo Serrano Rodríguez habló del alcance que tiene una reforma en materia de simplificación de trámites y servicios.</t>
  </si>
  <si>
    <t>Planeación</t>
  </si>
  <si>
    <t>Simplificación de trámites</t>
  </si>
  <si>
    <t>Tras el encuentro, Sheinbaum Pardo también anunció la entrega de apoyos económicos por 860 millones de pesos a más de 2.000 familias que perdieron sus hogares durante la vaguada monzónica del año pasado.</t>
  </si>
  <si>
    <t>Huracán Priscilla</t>
  </si>
  <si>
    <t>Con la convicción de transformar el sistema de salud de Hidalgo la Presidenta de México Claudia Sheinbaum y el Gobernador Julio Menchaca Salazar sostuvieron una reunión de trabajo para examinar los avances y las necesidades del sector así como para proyectar nuevas acciones y la puesta en marcha de los consultorios del bienestar en la entidad.Desde el Club del Adulto Mayor en Pachuca la mandataria dio a conocer que en dicho espacio se establecerá uno de los más de 600 consultorios de atención de primer nivel que se sumará a los centros de salud y clínicas de limpio bienestar que ya están en operación, mismos que contarán con Internet, expedientes médicos digitales y un laboratorio. JMS "Es un compromiso del gobierno federal de que se mejore sustancialmente todo el servicio. Es un ejemplo de lo que va a pasar por lo pronto en una primera etapa en 365 espacios para tener un consultorio con un médico con equipamiento poder tener una atención inmediata en lugares en donde se necesita además del reforzamiento no solamente de los centros de limpio bienestar sino del propio seguro social y del liste, de todo el sistema de salud".</t>
  </si>
  <si>
    <t>Consultorios del Bienestar</t>
  </si>
  <si>
    <t>El tema de este fin de semana fue la visita de la Presidenta de México, Claudia Sheinbaum, quien estuvo en varios lugares del Estado de Hidalgo. Tuvo reuniones privadas, particularmente estuvo en dos. El pasado viernes le adelantaba que estaba en un municipio de Hidalgo y también estuvo en Pachuca.Sobre su visita a Hidalgo, la Presidenta de México, Claudia Sheinbaum, dijo hoy en la mañanera que el objetivo de sus recorridos es si se cumplieron los compromisos que se hicieron hace un año.” En el caso del IMSS-Bienestar, yo tomé la decisión hace como un mes de ir a las 24 entidades de la República en donde está el IMSS-Bienestar. Hace un año, más o menos, hice un recorrido igual. Entonces, el objetivo de este recorrido es analizar si se cumplieron lo que instruimos en aquella ocasión y qué problemas pueden seguir teniendo en el proceso de federalización. Entonces, ¿cómo es el recorrido? Hago una reunión con los directores de los hospitales, porque hay principalmente algunos problemas en el segundo nivel de atención y tercer nivel de atención, que son los hospitales, los hospitales generales y los hospitales de especialidades. Hospitales materno-infantiles, infantiles o generales y después los hospitales de especialidades”. La presidenta de México dio a conocer qué temas se tratan en las reuniones con los directores de hospitales del IMSS. “¿Qué hago en la gira? Como lo hice ahora en Hidalgo y el Estado de México. Me reúno con los directores de los hospitales en una reunión franca y abierta en donde ellos me explican problemas que están teniendo, digamos virtudes del IMSS-Bienestar, qué ha mejorado y qué problemas siguen teniendo.”</t>
  </si>
  <si>
    <t>IMSS Bienestar</t>
  </si>
  <si>
    <t>Nos vamos hasta el estado de Hidalgo. Hidalgo obtiene reconocimiento internacional por llevar clases de arte a los ochenta y cuatro municipios. La Red Mundial de Ciudades y Gobiernos Locales Unidos distinguió el proyecto Tejido Vivo, el proyecto Hidalgo Tejido Vivo de Centralización Cultural para la Transformación, con el cual la Secretaría de Cultura de la entidad abrió talleres de enseñanza artística en comunidades que nunca habían tenido acceso a ellos.</t>
  </si>
  <si>
    <t>Premio internacional</t>
  </si>
  <si>
    <t>Enfoque Regional Matutino</t>
  </si>
  <si>
    <t>La violencia dejó una persona fallecida y tres lesionados por disparos la noche de este domingo en distintos puntos de Tula de Allende. También hubo daños en varios vehículos y se reportaron objetos ponchayantas en el tramo del sitio. Las autoridades no han confirmado si todos los hechos están relacionados ni reportan detenciones</t>
  </si>
  <si>
    <t>Christian García</t>
  </si>
  <si>
    <t>Y un hombre de veinticinco años de edad, conocido como Kevin N, fue localizado sin vida durante la madrugada de este domingo, tras un ataque armado en el fraccionamiento Sadasi, en Tizayuca. Sujetos armados habrían disparado contra la víctima, hasta el momento no se ha informado sobre el móvil del ataque, ni sobre personas detenidas.</t>
  </si>
  <si>
    <t>Habitantes de Santiago Tlapanaloya en el municipio de Tepeji del Río, se manifestaron en las inmediaciones del pozo dos de su localidad por el desabasto del vital líquido que padecen pese a que el cárcamo se encuentra ubicado en su asentamiento, y con toda la promesa de la alcaldesa, Tania Valdés, y la CAAMTROH, acerca de que no sufrían falta del recurso. Tras protesta, acuerdan restablecer el suministro de agua en Santiago Tlapacoya.Ya está su mensaje, el líquido, entonces</t>
  </si>
  <si>
    <t>Agradecemos la comunicación de la señora Laura Parra García dice a propósito del tema del IMSS que en la clínica 37 de Tlaxcoapan no hay insulina glargina que ya van dos ocasiones que me regresan sin insulina. Muchas gracias a la señora Laura Parra García que se comunica con nosotros a través de nuestras líneas telefónicas 221 19, 242 55 y también tenemos un número de Whatsapp para que también usted se reporte y lo escuchemos en esta mañana es el 773 731 88 39.</t>
  </si>
  <si>
    <t>Abasto De Medicamentos</t>
  </si>
  <si>
    <t>Y este doce de octubre, dará inicio aquí en Hidalgo la campaña de vacunación para la temporada invernal dos mil veintiséis, dos mil veintisiete, con una meta de más de un millón quinientas veinticuatro mil dosis contra influenza y COVID diecinueve. La Secretaría de Salud informó que se distribuirán un millón ochocientos mil vacunas contra influenza y quinientas dieciséis mil contra COVID diecinueve. La atención prioritaria será para niñas y niños pequeños, personas adultas mayores, mujeres embarazadas, personal de salud, y personas con enfermedades preexistentes.</t>
  </si>
  <si>
    <t>Vacunación</t>
  </si>
  <si>
    <t>Durante la madrugada de este domingo, un vehículo particular se impactó contra la estructura ubicada en el acceso a la zona conocida como Las Planchas, en pleno centro del municipio de Huasca, provocando su colapso total. Elementos de seguridad pública municipal implementaron las diligencias correspondientes para evocar la atención del incidente y deslindar responsabilidades.</t>
  </si>
  <si>
    <t>La Secretaría de Seguridad Pública de Hidalgo detuvo a un hombre y a una mujer durante un cateo en el barrio de Las Lajas, allá en Pachuca. En el inmueble fueron aseguradas seiscientas treinta dosis de presuntas drogas, quinientos cuarenta de hierba con características de marihuana, y noventa de una sustancia similar al cristal. También localizaron una báscula, una libreta con anotaciones, y tres teléfonos celulares. Las personas detenidas y los indicios quedaron a disposición de la autoridad competente.</t>
  </si>
  <si>
    <t>Elementos de la Secretaría de Seguridad Pública de Hidalgo, desmantelaron un laboratorio clandestino para elaborar y procesar droga sintética. Esto en la colonia Guadalupe Victoria, en Cuautepec de Hinojosa. Durante el cateo también localizaron un túnel que comunicaba dos espacios del mismo terreno. En el lugar aseguraron cuatrocientas seis dosis de presunta marihuana y ochenta y tres de una sustancia con características similares al cristal. También encontraron tinacos, ollas con residuos de cocción de metanfetamina, una pasta aún de proceso de secado y utensilios para filtrar y secar sustancias. El túnel comenzaba en el baño de uno de los espacios y llegaba al otro, cuyas fachadas aparentaban ser inmuebles independientes y los indicios quedaron a disposición de la autoridad competente.</t>
  </si>
  <si>
    <t>Narcolaboratorio</t>
  </si>
  <si>
    <t>También allá en Tepeji este domingo se reportaron agresiones entre habitantes de la comunidad de San Ildefonso y en Tepeji del Río. El conato de riña ocurrió en el marco de la asamblea convocada por el comité de festejos de la localidad, que estuvo a cargo de las celebraciones de los músicos y patronales durante el periodo dos mil veinticinco, y el marco dos mil veintiséis.Ya cállese, está tomado. No, no. El señor llegó y empujó. Espera, espera, escucha, no, no vamos a quitar, vamos a pasar mal. Espera, espera, el señor, si te ofendo, la muchacha me ofendió, pero tú es fuerte, es fuerte, espera, espera, espera, le pegó en la, le pegó la ceja. Por eso, es que ahí, ahí no hay porquera. No, no, sí, sí. Sí, le llego y le pongo. Por eso. Yo creo que usted. Ay, no manches. Hasta por decir eso te pueden demandar.</t>
  </si>
  <si>
    <t>riña</t>
  </si>
  <si>
    <t>7 con 22 el estudiante Mateo Vadillo Romero del Colegio de Bachilleres de Hidalgo Plantel Atotonilco de Tula obtuvo medalla de plata en el campeonato Panamericano de Artes Marciales Mixtas IMMAF 2026 realizado en Monterrey Mateo compitió en la categoría juvenil B de 60 a 67 kilogramos en un torneo con representantes de 15 países México encabezó el medallero con 70 preseas y ocupó los 3 primeros lugares de su división tras 2 años de preparación el joven fue invitado a integrarse a la delegación hidalguense y luego al equipo nacional su resultado también le abrió la posibilidad de competir en un evento internacional en Abu Dhabi en el 2027 el campeonato Panamericano de Artes Marciales</t>
  </si>
  <si>
    <t>Justa Académica</t>
  </si>
  <si>
    <t>La Secretaría de Educación Pública de Hidalgo realizó el tercer Congreso de Educación Socioemocional dirigido a docentes y figuras educativas para fortalecer el bienestar y promover el cuidado la empatía y el respeto en las escuelas el encuentro abordó la salud mental y su relación con el aprendizaje además de ofrecer herramientas de autocuidado y acompañamiento emocional la jornada incluyó talleres la obra teatral mirándome al espejo y una conferencia sobre ansiedad escolar la actividad se realizó en el marco del Día Estatal de la Salud Mental que se conmemoró el pasado 10 de octubre.</t>
  </si>
  <si>
    <t>Educación socioemocional</t>
  </si>
  <si>
    <t>: Continuando con la información el calendario oficial de comparecencias para los integrantes del gabinete como parte de la glosa del cuarto informe del gobernador Julio Menchaca Salazar se realizarán del 12 al 22 de octubre destaca que en el cronograma no incluyeron al oficial mayor para hoy lunes 12 acudirán el titular de la Secretaría de Gobierno Guillermo Olivares Reyna a las 10 horas y a las 16 horas Neyda Naranjo Baltazar de la Secretaría de Cultura al día siguiente la titular de la Secretaría de Hacienda María Esther Ramírez Vargas a las 10 horas y por la tarde Elizabeth Quintanar Gómez de Turismo.</t>
  </si>
  <si>
    <t>Gobierno</t>
  </si>
  <si>
    <t>El Comité Estatal de Emergencias de Hidalgo reportó 65 puntos con derrumbes y 26 por deslaves tras las lluvias registradas del primero al 10 de octubre. De estos, 26 derrumbes y 18 deslaves ya fueron atendidos. El resto continúa en seguimiento.Del primero al día de hoy, vamos a decirlo así, tuvimos un registro. Ahorita el Estado se encuentra en semáforo amarillo. Semáforo amarillo es manera preventiva. ¿Qué significa? Que todas las familias, todos los ciudadanos deben estar monitoreando los canales oficiales de información.</t>
  </si>
  <si>
    <t>Son ya las siete de la mañana con once minutos, y en este mismo tema, Zoé Robledo, titular del IMSS, respondió a las protestas de trabajadores del IMSS al afirmar que están en su derecho de expresar su desacuerdo con el aumento salarial del 6.8%. El titular del IMSS también expresó su respeto por la convocatoria del Sindicato Nacional de Trabajadores del Seguro Social, en la que el próximo 14 de octubre se debatirá el aumento del 2.9% al salario tabular y del 3.9% en prestaciones, aunque también hizo un llamado a que trabajadores del IMSS realicen sus protestas con respeto y sin afectar a otros. Reiteró que las demandas relacionadas con la operación del Instituto deben escucharse y atenderse. Vamos a dar soluciones y vamos también a reforzar la supervisión en todos los temas, en el abasto de insumos, en cargas de trabajo, en urgencias, en las cirugías pendientes, en el buen trato que merece cada uno de los derechohabientes. Y eso lo haremos juntos. En estos días ha habido manifestaciones de trabajadores y de jubilados y lo respetamos porque son parte del IMSS, a quienes no están de acuerdo con el incremento salarial que se propuso de 6.8% compuesto por 2.9% del salario tabular y 3.9% en prestaciones, que ya fue aprobado también por el Congreso del Sindicato. Respetamos su decisión de ir a una consulta sobre ese incremento el próximo 14 de octubre. A quienes han salido a las calles les pedimos hacerlo con respeto y sin afectar a otras personas. Durante estos días la operación del IMSS no se ha interrumpido.</t>
  </si>
  <si>
    <t>Atención A Manifestantes</t>
  </si>
  <si>
    <t>Siete de la mañana ya con diez minutos tras la manifestación de personal del IMSS sobre el bulevar Felipe Ángeles, en Pachuca, el secretario de gobierno, Guillermo Olivares Reyna, dialogó con representantes sindicales y firmó acuerdos para revisar las condiciones de operación de las unidades médicas y administrativas. Se realizarán recorridos sin previo aviso para verificar los reportes sobre falta de medicamentos, insumos, equipo y personal. En caso de detectar irregularidades, se dará parte a las autoridades correspondientes. La Secretaría de Gobierno dará seguimiento a dichos planteamientos. El acuerdo también permitió generar condiciones para restablecer la circulación en el bulevar.</t>
  </si>
  <si>
    <t>La presidenta Claudia Sheinbaum inició en el Hospital IMSS-Bienestar de Meztitlán su gira nacional de supervisión de unidades médicas. Acompañada por el gobernador Julio Menchaca, recorrió las instalaciones y saludó a los pobladores.</t>
  </si>
  <si>
    <t>Radioescucha reporta que frecuentemente no se tien agua en Hilaturas Pachuca</t>
  </si>
  <si>
    <t>Radioescucha 5705. Dice: «Muy buenos días. Quiero reportar que desde el miércoles no tenemos agua en Hilaturas Pachuca</t>
  </si>
  <si>
    <t>Radioescucha: “ Buenos días para todos. Desde el miércoles de la semana pasada en la Unidad Habitacional Hilaturas Pachuca no tenemos agua, son demasiados días». Con mucho gusto, ya lo estamos pasando aquí a la licenciada Paola García de Caasim “</t>
  </si>
  <si>
    <t>Radioescucha pide luminarias en calle de Hidalgo entre Mina y la calle de Tapía</t>
  </si>
  <si>
    <t>Luminarias</t>
  </si>
  <si>
    <t>En cabina, oncóloga Dulce Díaz Meza con el tema: Cáncer de mama, realiza varias intervenciones durante el programa.</t>
  </si>
  <si>
    <t>Vía télefonica diputado Miguel Moreno aclaró que las recientes modificaciones legislativas aprobadas en el Congreso del Estado de Hidalgo no representan un «cheque en blanco» ni otorgan atribuciones discrecionales retroactivas a los presidentes municipales, tambien enfatizó que las obras, adquisiciones y compras mayores (como la renovación de alumbrado público) continúan estrictamente reguladas por la Ley de Obra Pública y sujetas a procesos transparentes de licitación supervisados por los Comités de Adquisiciones, la Tesorería y la Contraloría y explicó que el cambio principal permite a los alcaldes agilizar la firma de convenios directos de colaboración e infraestructura con el Gobierno del Estado.</t>
  </si>
  <si>
    <t>En el marco del Día Mundial de la Salud Mental, que se conmemora el 10 de octubre, el Instituto Mexicano del Seguro Social (IMSS) en Hidalgo exhorta a la población a fortalecer el cuidado de la salud mental mediante hábitos saludables que favorezcan el bienestar emocional en las distintas etapas de la vida.La salud mental influye en la forma en que las personas piensan, sienten y actúan en su vida cotidiana. Su cuidado adquiere especial relevancia durante la adolescencia y juventud, etapas caracterizadas por cambios físicos, hormonales y emocionales que requieren acompañamiento y estrategias de autocuidado.Los trastornos mentales pueden presentarse en cualquier persona y tienen un origen multifactorial, relacionado con aspectos genéticos, psicológicos, neurológicos, ambientales y sociales.La psicóloga Maile Hurtado Pérez, adscrita al Hospital General de Zona (HGZ) No. 36 del IMSS en Hidalgo, destacó que la atención oportuna requiere una valoración integral y, cuando es necesario, la intervención coordinada de profesionales de medicina, psicología clínica y psiquiatría.</t>
  </si>
  <si>
    <t>La Fiscalía General de la República (FGR) llevó a cabo la incineración de nueve kilos 144 gramos 12 miligramos de narcóticos y mil 223 piezas de sustancias ilícitas, además de la destrucción de mil 186 objetos relacionados con investigaciones por delitos del orden federal.Ropa TácticaLas acciones fueron realizadas por la Fiscalía Especializada de Control Regional (FECOR) en Hidalgo, como parte del programa permanente de destrucción de objetos e instrumentos del delito.</t>
  </si>
  <si>
    <t>Destrucción de armas</t>
  </si>
  <si>
    <t>La Secretaría de Seguridad Pública de Hidalgo (SSPH) encabezó un operativo en el barrio de Las Lajas, ubicado en Pachuca, que derivó en la detención de un hombre y una mujer, así como en el aseguramiento de 630 dosis de presuntas drogas.</t>
  </si>
  <si>
    <t>Gobierno de Hidalgo fortalece acciones de atención ante afectaciones por lluvias</t>
  </si>
  <si>
    <t>La presidenta de México, Claudia Sheinbaum, inició en Hidalgo su gira de trabajo en materia de salud. Junto al gobernador Julio Menchaca, la mandataria supervisó la actividad del Hospital del IMSS-Bienestar y el Centro de Salud del municipio de Metztitlán. Ambos realizaron un recorrido por las instalaciones de ambas unidades de salud, durante el cual dialogaron con el personal y verificaron la infraestructura, el equipamiento, los servicios y especialidades que se otorgan, así como el abasto de medicamentos. En esta gira de trabajo, la presidenta Claudia Sheinbaum informó que el próximo 29 de octubre volverá al estado de Hidalgo para entregar apoyos a las familias que perdieron sus viviendas por la vaguada monzónica de hace un año</t>
  </si>
  <si>
    <t>La presidenta municipal Yasmín Dávila acompañó a la diputada local Liz Ordaz en la entrega de mobiliario escolar para instituciones educativas de Singuilucan, con el fin de mejorar las condiciones de aprendizaje de la niñez y juventud. El gobierno municipal reconoció el respaldo del gobernador Julio Menchaca y de la diputada Ordaz por impulsar la educación, reafirmando el compromiso de trabajar de manera coordinada para generar mayores oportunidades en el municipio.</t>
  </si>
  <si>
    <t>Entrega mobiliario escolar</t>
  </si>
  <si>
    <t>Alumno de Cobaeh obtiene plata en Campeonato Panamericano de Artes Marciales Mixtas</t>
  </si>
  <si>
    <t>Justa Deportiva</t>
  </si>
  <si>
    <t>El sistema DIF de Cuautepec de Hinojosa ha convocado a la ciudadanía a participar en las actividades conmemorativas por el Día Mundial de la Lucha contra el Cáncer de Mama, las cuales se llevarán a cabo el próximo domingo 18 de octubre en la Explanada del Jardín Felipe Ángeles. El evento gratuito iniciará a las 8:30 horas con el registro y entrega de playeras rosas, seguido de un foro de prevención, el taller de autoexploración "Tus manos, tu mejor defensa" y una clase masiva de zumba impartida con el apoyo de Energy Jump. La presidenta del DIF municipal, Cristal Butrón, destacó la importancia de fomentar la detección oportuna y la prevención como herramientas fundamentales para salvar vidas.</t>
  </si>
  <si>
    <t>En el municipio de Tepeapulco, específicamente en la comunidad de Palohueco, se registró un incendio en una vivienda que dejó como saldo tres personas sin vida con quemaduras e indicios de calcinación. Tras el llamado de auxilio, elementos de protección civil y policías municipales acudieron a sofocar las llamas, hallando en el lugar los cuerpos sin vida junto con un mensaje amenazante. La Procuraduría General de Justicia del Estado de Hidalgo y el Servicio Médico Forense acudieron para el levantamiento de los cuerpos e iniciar las indagatorias correspondientes, sin que hasta el momento se reporten personas detenidas o identidades confirmadas.</t>
  </si>
  <si>
    <t>Una fuerte movilización policiaca registrada la mañana del lunes 12 de octubre en la zona limítrofe de Tulancingo y Acaxochitlán permitió el rescate de una mujer que había sido privada ilegalmente de la libertad en la colonia La Cañada. Los hechos ocurrieron alrededor de las 7:00 horas, cuando la víctima fue obligada a subir a un auto rojo y trasladada al barrio Otontepec, en la comunidad de San Pedro Tlachichilco, Acaxochitlán. Tras la intervención de elementos estatales, cuerpos de emergencia y protección civil de ambos municipios, la mujer fue liberada, mientras que el presunto agresor se atrincheró en un domicilio y disparó contra los oficiales antes de ser capturado, concluyendo el operativo con saldo blanco en cuanto a lesionados y con un detenido.</t>
  </si>
  <si>
    <t>Rescate secuestro</t>
  </si>
  <si>
    <t>El secretario del Trabajo, Marath Bolaños López, aclaró que la intervención del gobierno federal se limitará al acompañamiento legal y logístico de la consulta de revisión salarial del IMSS, manteniendo una postura neutral de respeto a la autonomía gremial. La Secretaría del Trabajo y Previsión Social desplegará verificadores para supervisar el proceso democrático previsto para el 14 de octubre de 2026, sin otorgar un respaldo político a las protestas.</t>
  </si>
  <si>
    <t>La Secretaría del Campo de Tulancingo impulsa el desarrollo agrícola local mediante módulos demostrativos de agricultura protegida, la entrega de insumos y capacitaciones técnicas bajo la gestión de la presidenta municipal Lorena García Cázares y el titular de la dependencia, Hugo Flores Jiménez.</t>
  </si>
  <si>
    <t>Durante la conferencia de prensa del gobierno estatal, el titular de la Secretaría de Contraloría, Álvaro Bardales, destacó que en Hidalgo la corrupción se visibiliza y no se oculta, lo que ha llevado a la entidad a ocupar el primer lugar nacional en denuncias penales por hechos de corrupción como resultado de investigar, documentar y sancionar los malos manejos de recursos públicos. Bardales detalló el cumplimiento del plan de trabajo de seis ejes encomendado por el gobernador Julio Menchaca, enfocado en combatir la corrupción, recuperar recursos públicos (cerca de 500 millones de pesos recuperados), prevenir abusos, garantizar trámites sin cobros indebidos, transparentar el uso del dinero público, atender denuncias y fortalecer la vigilancia ciudadana. Asimismo, señaló que existen 97 denuncias penales radicadas en la Procuraduría contra proveedores, exservidores y alcaldes, derivando en procesos y sentencias de hasta 13 años de prisión por el uso indebido de recursos.</t>
  </si>
  <si>
    <t>Mañanera de Hidalgo</t>
  </si>
  <si>
    <t>Sheinbaum y Menchaca transforman sistema de salud de Hidalgo</t>
  </si>
  <si>
    <t>El estado de Hidalgo dará inicio el 12 de octubre a su campaña de vacunación para la temporada invernal 2026-2027, teniendo como meta aplicar 1,524,640 dosis contra la influenza y el COVID-19 para reducir riesgos por enfermedades respiratorias. Las vacunas serán gratuitas en los servicios públicos de salud, priorizando a menores de 5 años, adultos mayores de 60 años, mujeres embarazadas, personal de salud y personas con enfermedades crónicas. Las autoridades sanitarias exhortaron a la ciudadanía a revisar su Cartilla Nacional de Salud, acudir a su centro médico más cercano y mantener medidas preventivas de higiene y ventilación, evitando la automedicación ante síntomas respiratorios</t>
  </si>
  <si>
    <t>Tabajadores del Instituto Mexicano del Seguro Social (IMSS) anunciaron una marcha nacional pacífica para el miércoles 14 de octubre, con la que exigirán un incremento salarial, mejores condiciones laborales, contratación de personal y abastecimiento de medicamentos e insumos médicos. La movilización fue anunciada este sábado durante una concentración frente a las oficinas centrales del IMSS, ubicadas sobre Paseo de la Reforma, en la alcaldía Cuauhtémoc de la Ciudad de México, luego de que los inconformes realizaran una asamblea para definir sus próximas acciones.</t>
  </si>
  <si>
    <t>En entrevista en cabina, el ingeniero Saúl Flores Urrutia, representante del Instituto Nacional Electoral (INE), detalló las ubicaciones y fechas de los módulos itinerantes que estarán operando durante la semana del 12 al 16 de octubre de 2026 en distintos municipios de Hidalgo. El primer macro módulo itinerante visitará Acalán (12 y 13 de octubre), la localidad de Paredones en Acaxochitlán (14 y 15 de octubre) y Santiago Tulantepec (16 de octubre). Por su parte, el módulo de la Sierra atenderá en San Bartolo Tutotepec (12 de octubre), San Miguel (13 y 14 de octubre), La Vereda (15 de octubre) y Tenango de Doria (16 de octubre). Asimismo, recordó que el módulo fijo en Tulancingo (ubicado en Avenida del Maestro número 202, colonia Los Pinos) mantiene su horario habitual de lunes a viernes. Finalmente, invitó a la ciudadanía a realizar trámites anticipados para jóvenes que cumplirán la mayoría de edad antes del 6 de junio de 2027, y recordó las convocatorias abiertas para consejeros distritales y observadores electorales.</t>
  </si>
  <si>
    <t>Credencialización</t>
  </si>
  <si>
    <t>Durante la conferencia matutina semanal del gobierno del estado llevada a cabo en las instalaciones de la Secretaría de Contraloría, el secretario Álvaro Bardales informó que Hidalgo ocupa el primer lugar nacional en denuncias por corrupción. Aclaró que esta cifra no indica un incremento de actos corruptos, sino que refleja el trabajo de investigación, documentación y denuncia formal en la entidad. Asimismo, destacó que la actual administración ha logrado recuperar bienes inmuebles de uso irregular con un valor global de 1,267 millones de pesos, los cuales ahora se destinan a satisfacer diversas necesidades públicas de la sociedad.</t>
  </si>
  <si>
    <t>Un radioescucha reportó que los niños abandonan las escuelas debido al bullying ejercido incluso por maestros y directivos. Expuso el caso de la Escuela Secundaria General 2 Isaac Newton en Tulancingo, donde su hija fue amenazada e incluso sufrió represalias en su centro de trabajo por haberla cambiado de institución educativa, ante lo cual el locutor ofreció proporcionarle números telefónicos para interponer su denuncia.</t>
  </si>
  <si>
    <t>Quejas padres de familia</t>
  </si>
  <si>
    <t>Un padre de familia de la escuela Andrés Quintana Roo en Cuautepec reportó la inconformidad de diversos tutores debido a las ausencias constantes de la maestra de educación física, quien frecuentemente solicita permisos o presenta pretextos, provocando que los alumnos pierdan días de actividades físicas y que prácticamente no se imparta la materia, por lo que esperan que su inconformidad llegue a las autoridades educativas.</t>
  </si>
  <si>
    <t>Con un ejercicio de responsabilidad, transparencia y compromiso comunitario, el Comité de la Feria de los Angelitos entregó los recursos obtenidos durante la reciente edición de esta tradicional celebración, que generó utilidades por 400 mil pesos, reafirmando el sentido social, religioso y vecinal de una de las festividades más representativas de Tulancingo. De acuerdo con los compromisos establecidos, el Comité entregó 200 mil pesos al sacerdote responsable de la Iglesia de Nuestra Señora de los Ángeles, recursos que serán destinados a atender las necesidades del templo y las actividades vinculadas con esta importante tradición de fe. Los 200 mil pesos restantes se destinarán, en especie, a obras y acciones que determine el comité vecinal, integrado por representantes de las colonias periferia Centro y Francisco I. Madero. La inversión se realizará mediante la adquisición de bienes y materiales, de acuerdo con las necesidades identificadas y las prioridades que establezcan las y los vecinos, quienes también determinarán dónde conviene efectuar las compras para atender los requerimientos de sus comunidades. El Comité de Feria destacó que esta distribución responde al compromiso de procurar que los beneficios generados por la celebración se traduzcan en apoyos directos para la comunidad que participa, contribuye y mantiene viva esta tradición año con año. La Feria de los Angelitos no solo representa una expresión de identidad, fe y convivencia familiar; también constituye un espacio de colaboración entre ciudadanía, comerciantes, autoridades, vecinos y comunidad religiosa. En este sentido, la aplicación de los recursos busca contribuir tanto al fortalecimiento del patrimonio religioso como al bienestar de las colonias vinculadas con esta festividad. Finalmente, el Comité de Feria agradeció la participación de comerciantes, visitantes, vecinos, voluntarios, autoridades auxiliares y ciudadanía en general, cuyo respaldo hizo posible la realización de una feria concurrida, con resultados que se traducirán en beneficios para la comunidad.</t>
  </si>
  <si>
    <t>Feria Patronal</t>
  </si>
  <si>
    <t>Durante la conferencia matutina semanal del gobierno del estado celebrada en las instalaciones de la Secretaría de Contraloría (denominada "Hidalgo Honesto"), el titular de comunicación, Edmundo Pineda López, presentó a los funcionarios presentes, entre ellos el secretario de la Contraloría, Álvaro Bardales Ramírez, y el presidente municipal de Pachuca, Jorge Alberto Reyes Hernández. El eje central de la conferencia giró en torno a las acciones y el combate frontal a la corrupción en la entidad. Durante su intervención, Álvaro Bardales destacó que en los últimos cuatro años se ha optado por hacer visible la corrupción y no ocultarla, apoyándose en la labor de 50,000 ciudadanos organizados en comités de contraloría social para vigilar el ejercicio del gasto y la obra pública. Asimismo, señaló que el incremento en los índices de prevalencia de corrupción reportados por el INEGI responde a una mayor apertura institucional para visibilizar y denunciar estas prácticas, reafirmando el compromiso de cero impunidades en la administración pública estatal.</t>
  </si>
  <si>
    <t>OCSAD</t>
  </si>
  <si>
    <t>Durante su participación en la sección "La Vida Hoy" el doctor Luis Téllez Reyes compartió cinco notas destacadas del estado de Hidalgo. En primer lugar, informó sobre el inicio de la construcción del Bachillerato Nacional Margarita Maza en Mineral de la Reforma, encabezado por el secretario de Educación Pública, Natividad Castrejón. En segundo lugar, resaltó el desarrollo de un sistema de bajo costo de la Universidad Politécnica de Tulancingo para obtener imágenes de la retina con fines de salud visual. En tercer lugar, comentó la visita de la presidenta Claudia Sheinbaum y del gobernador Julio Menchaca al hospital y centro de salud del IMSS-Bienestar en Metztitlán. En cuarto lugar, dio cuenta de la destacada participación de Hidalgo en la Paranacional CONADE 2026, logrando diversas medallas en paratenis de mesa, fútbol para invidentes y paratletismo. Finalmente, celebró que la obra cinematográfica Curandero, del director Armando Arenas y filmada en Acaxochitlán, obtuviera el premio del público en el Festival Nefeliberno en Querétaro.</t>
  </si>
  <si>
    <t>Colaboración José Luis Lima Morales: Abordó la movilización de los trabajadores del Instituto Mexicano del Seguro Social (IMSS). Señaló que detrás de estas protestas existen inconformidades que deben ser escuchadas y atendidas con seriedad, recordando que los derechos laborales son obligaciones de ley. No obstante, enfatizó que las manifestaciones no deben perjudicar a terceros, particularmente a los pacientes que dependen de los servicios de salud, los cuales ya enfrentan retos como tiempos de espera y desabasto de medicamentos. Finalmente, hizo un llamado tanto a las autoridades para abrir el diálogo y resolver las demandas como a los trabajadores para defender sus derechos sin descuidar la atención a la ciudadanía.</t>
  </si>
  <si>
    <t>José Luis Lima</t>
  </si>
  <si>
    <t>En la sección deportiva, Gustavo Rosales informó sobre la participación de la delegación de Hidalgo en los Juegos Paranacionales. Hidalgo finalizó en la posición número 24 del medallero general, descendiendo respecto al puesto 21 que había mantenido en semanas anteriores. No obstante, se destacó la destacada participación de atletas en disciplinas como danza deportiva y atletismo, expresando el deseo de que los resultados mejoren para la próxima edición.</t>
  </si>
  <si>
    <t>Entrevista vía telefónica, Natividad Castrejón Vladéz, secretario de Educación Pública de Hidalgo - Habló sobre los avances, retos y metas en materia de educación dentro de la entidad. Informó que se logró incrementar la eficiencia terminal en el nivel de preparatoria al 75.6% y que se proyecta la construcción de 12 planteles nuevos (ocho del bachillerato Margarita Maza y cuatro de sistemas de bachillerato), además de infraestructura para telebachilleratos. Asimismo, destacó la entrega de 15,000 tabletas electrónicas para estudiantes de educación media y los apoyos mediante becas federales y estatales. En el ámbito universitario, la eficiencia terminal ascendió al 84.5% gracias al trabajo acumulado de los últimos 15 años. Por otro lado, mencionó datos del INEGI de 2024 que reflejan una disminución en el rezago educativo y el analfabetismo en personas mayores de 15 años en el estado. Finalmente, recordó que su comparecencia ante el Congreso local para la revisión presupuestal y rendición de cuentas está programada para el próximo martes 20.</t>
  </si>
  <si>
    <t>Atención a la ciudadanía</t>
  </si>
  <si>
    <t>Más y mejores espacios para aprender; Natividad Castrejón entrega obra educativa por 12.9 mdp en Huichapan</t>
  </si>
  <si>
    <t>Entrega de infraestructura escolar</t>
  </si>
  <si>
    <t>Empleotón 2026 impulsa inclusión laboral en Hidalgo</t>
  </si>
  <si>
    <t>STPSH</t>
  </si>
  <si>
    <t>Inclusión laboral</t>
  </si>
  <si>
    <t>Izza Hernández</t>
  </si>
  <si>
    <t>Senado aprueba prohibir celulares en escuelas de educación básica; uso en bachillerato se decidirá mediante asambleas. El dictamen establece que los dispositivos electrónicos solo podrán utilizarse en actividades educativas previamente programadas con objetivos pedagógicos</t>
  </si>
  <si>
    <t>Regulación de dispositivos digitales</t>
  </si>
  <si>
    <t>Una balacera registrada la noche de este domingo 11 de octubre en Tula, Hidalgo, dejó un saldo preliminar de una persona fallecida y tres más heridas por arma de fuego, además de daños en vehículos y una patrulla. De acuerdo con los primeros reportes, una persona perdió la vida mientras se encontraba a bordo de una camioneta Mazda gris, estacionada frente a una taquería. De manera extraoficial, trascendió que la víctima habría quedado en medio del fuego cruzado mientras viajaba en su vehículo; sin embargo, esta versión no ha sido confirmada oficialmente. Dos personas más resultaron heridas por disparos de arma de fuego al interior de un domicilio ubicado sobre la calle 1 de Mayo. A estos hechos se suma una mujer lesionada en ambas piernas, aunque hasta el momento no se ha informado oficialmente sobre su estado de salud. La balacera también habría provocado daños en varios vehículos, incluida una patrulla, mientras que en el tramo carretero conocido como El Cielito fueron reportados objetos ponchallantas, lo que generó afectaciones para algunos automovilistas. Tras los reportes de las detonaciones, se desplegaron corporaciones de seguridad y servicios de emergencia para atender la situación y realizar las diligencias correspondientes. Hasta el momento, no se ha confirmado la identidad de la persona fallecida, el estado de salud de las personas heridas, así como si existen personas detenidas por estos hechos.</t>
  </si>
  <si>
    <t>Una mujer que presuntamente fue privada de la libertad en la colonia La Cañada, dentro de la ciudad de Tulancingo, fue rescatada en el barrio de Otontepec, perteneciente a la comunidad de Santa Ana Hueytlalpan, en el municipio de Acaxochitlá. De acuerdo con el testimonio de la víctima, alrededor de las 7:00 de la mañana, fue amagada y obligada a subir a un automóvil de color rojo. En dicha unidad fue trasladada hasta la localidad citada, donde elementos policíacos y de atención de emergencias de ambos municipios implementaron un operativo en respuesta al reporte recibido. La mujer finalmente fue liberada en el operativo, contando con la participación de paramédicos de la Cruz Roja local. El presunto responsable se atrincheró en un domicilio y, de acuerdo con fuentes policiales consultadas, disparó contra los oficiales policíacos; tras aplicar protocolos, el sujeto fue detenido para ser puesto a disposición de las autoridades ministeriales y que estas determinen sus responsabilidades legales. Afortunadamente, se reporta a la mujer en buen estado de salud.</t>
  </si>
  <si>
    <t>Tres personas fueron encontradas sin vida y con quemaduras al interior de una vivienda en la comunidad de Palo Hueco, dentro del municipio de Tepeapulco, durante la madrugada de este lunes, luego de que se reportara un incendio en el inmueble. Tras recibir el llamado de emergencia, elementos de la Policía Municipal y de Protección Civil acudieron al lugar para atender el siniestro y realizar las labores para sofocar las llamas. Sin embargo, durante las acciones de atención, los cuerpos de emergencia localizaron tres cuerpos calcinados en el interior de la vivienda, así como un mensaje con amenazas, cuyo contenido y posible relación con los hechos no han sido esclarecidos. Ante el hallazgo, se notificó a la Procuraduría General de Justicia del Estado de Hidalgo para iniciar las investigaciones correspondientes y al Servicio Médico Forense para el levantamiento y traslado de los cuerpos. Hasta el momento, no se ha revelado la identidad de las víctimas ni se ha informado sobre posibles personas detenidas por estos hechos.</t>
  </si>
  <si>
    <t>Un túnel que comunicaba dos espacios dentro de un mismo terreno y diversos indicios de procesamiento de droga sintética fueron localizados durante un cateo realizado en la colonia Guadalupe Victoria, en Cuautepec de Hinojosa, Hidalgo. El operativo fue encabezado por elementos de la Secretaría de Seguridad Pública de Hidalgo (SSPH), en coordinación con la Procuraduría General de Justicia del estado, la Secretaría de la Defensa Nacional y la Guardia Nacional, tras labores de inteligencia. De acuerdo con la información oficial, los inmuebles aparentaban ser propiedades independientes desde el exterior; sin embargo, durante la inspección se descubrió que ambos estaban conectados por un pasadizo subterráneo que iniciaba en el baño de uno de los espacios y llegaba hasta el otro. En el lugar también fueron aseguradas 489 dosis de presuntas drogas: 406 de hierba seca con características similares a la marihuana y 83 de una sustancia granulada con características propias del cristal. Además, las autoridades encontraron un dispositivo artesanal aparentemente utilizado para calentar precursores químicos, dos tinacos con capacidad de mil 100 litros cada uno, ollas con residuos de cocción de presunta metanfetamina, restos de una pasta que aún no terminaba de secarse y utensilios para filtrar y procesar sustancias. Los objetos y materiales localizados quedaron a disposición de las autoridades correspondientes, que continuarán con las investigaciones para establecer qué actividades se realizaban en el predio y determinar las posibles responsabilidades. La SSPH indicó que el aseguramiento forma parte de las acciones coordinadas para combatir la producción y distribución de drogas en Hidalgo.</t>
  </si>
  <si>
    <t>Se confirmó la localización con vida de Isabella Reyes Escalona, una niña de apenas 4 años que había sido reportada como desaparecida en el estado de Hidalgo. La pequeña era buscada desde finales de julio, cuando se perdió el rastro de su paradero, lo que generó preocupación y movilizó los esfuerzos para dar con ella. El hallazgo fue confirmado por una tía de la menor, identificada como Vanessa, quien agradeció la difusión de la ficha de búsqueda y confirmó que la menor se encuentra sana y salva, en compañía de su familia:</t>
  </si>
  <si>
    <t>Exigen localización de persona</t>
  </si>
  <si>
    <t>Una mujer de 36 años de edad dio a luz a bordo de una ambulancia de Protección Civil en el municipio de Huasca de Ocampo, luego de que labores de parto se aceleraran cuando era trasladada de urgencia hacia el nosocomio de Tulancingo. De hecho, todo esto se registró cuando la paciente de 39 semanas de gestación y originaria del poblado de Río Seco, perteneciente a la localidad Tepextedoria, presentó contracciones avanzadas en el trayecto al no poder esperarla llegada al hospital, pues el personal socorrista tuvo que detener la marcha y reaccionar de inmediato. Ese alumbramiento se concretó precisamente con éxito a la altura del centro del municipio de Actopan, donde los paramédicos asistieron a la madre y también recibieron a un bebé de género masculino. Y de acuerdo con el reporte inicial de los cuerpos de auxilio, el recién nacido llegó al mundo en excelentes condiciones y tras brindar los primeros cuidados neonatales y también estabilizar a la madre, pues ambos fueron trasladados a un hospital, al hospital de de aquí de Tulancingo para poder recibir la valoración y la atención médica correspondiente. Eso fue lo que pasó pues con este caso, Daniel, que de alguna forma sí, sí, pues, vaya, sorprende afortunadamente todo salió excelente.</t>
  </si>
  <si>
    <t>Asistencia de parto</t>
  </si>
  <si>
    <t>En ejercicio de sus facultades y ante la vacante en la titularidad del Órgano Interno de Control del Municipio, el Gobierno de Tulancingo, emitió este lunes 12 de octubre la convocatoria pública abierta para seleccionar a la persona. La convocatoria, que es difundida a través de la página web oficial del municipio https://tulancingo.gob.mx/wp-content/uploads/2026/07/cedula_de_control.pdf y redes sociales, establece las bases, los requisitos, la documentación necesaria, las etapas y los plazos del procedimiento. El proceso será coordinado por una comisión especial del Ayuntamiento y contempla la participación de personas con perfil profesional y experiencia en materia jurídica, de fiscalización o administrativa. Entre los principales requisitos se encuentran contar con título profesional en Derecho, Contaduría Pública o carrera equivalente, así como acreditar la experiencia que establece la convocatoria; tener pleno ejercicio de los derechos políticos y civiles, modo honesto de vivir y no contar con inhabilitación vigente. Asimismo, las personas aspirantes no deberán haber sido sancionadas mediante un procedimiento de responsabilidad administrativa relacionado con el encargo. Tampoco podrán haber sido adherentes o afiliadas a un partido político durante el año previo a la designación, ni haber ocupado cargos de dirección partidista en los ámbitos nacional, estatal o municipal durante ese mismo periodo. De igual manera, no deberán haber sido registradas como candidatas ni haber desempeñado cargos de elección popular durante los cuatro años anteriores a la designación. Como parte de la evaluación, deberán presentar un ensayo sobre transparencia, rendición de cuentas y combate a la corrupción. Este documento será turnado a cada integrante del Pleno del Ayuntamiento para su análisis, y las personas aspirantes deberán presentar y defender su propuesta ante dicho órgano colegiado, conforme al calendario establecido. Del 13 al 16 de octubre se llevará a cabo la recepción de documentos y registro de aspirantes; del 16 al 19 de octubre, revisión de expedientes; 20 de octubre: informe de las personas registradas; mientras que 21 de octubre se realizará la publicación de las personas que cumplieron los requisitos, para que el 22 y 23 de octubre se realice la presentación y defensa de los ensayos ante el Pleno del Ayuntamiento.</t>
  </si>
  <si>
    <t>Convocatoria</t>
  </si>
  <si>
    <t>Este lunes 12 de octubre entró en vigor una nueva modalidad para la recolección de basura en la Central de Abastos PIFSAL, en Tulancingo, con la que se busca evitar la acumulación de residuos en espacios públicos. La medida establece horarios y puntos específicos para entregar los desechos, además de prohibir que sean depositados en el sendero intermunicipal ubicado a la altura de la central. La disposición se da en medio de diversos reportes de locatarios, quienes señalan que personas ajenas a la zona acuden en sus vehículos para arrojar bolsas de basura sobre el andador, sin importarles las condiciones de limpieza del lugar. De acuerdo con los comerciantes, algunos automovilistas se detienen en el sitio únicamente para deshacerse de sus residuos, una práctica que genera inconformidad entre quienes trabajan diariamente en esta área comercial. Con el nuevo esquema, los locatarios de las bodegas interiores deberán colocar su basura en la entrada de sus establecimientos al finalizar sus actividades. En los negocios ubicados en el tramo que conecta PIFSAL con la zona del ferrocarril, los residuos tendrán que colocarse detrás de los comercios y entregarse directamente al personal recolector cuando llegue el camión. El servicio funcionará de lunes a sábado, de 6:00 a 7:00 de la mañana y de 17:00 a 18:00 horas; los domingos no habrá recolección. Las autoridades municipales advirtieron que incumplir las disposiciones puede derivar en sanciones, incluida la suspensión temporal de actividades, con medidas más severas en caso de reincidencia. Como parte de las acciones complementarias, personal municipal realizó trabajos de recorte de vegetación en la ciclopista y se prevé pintar las guarniciones en los próximos días. Mientras tanto, los reportes de los comerciantes apuntan a que, además de ordenar la recolección, será necesario evitar que el andador continúe siendo utilizado para arrojar basura de manera irregular.</t>
  </si>
  <si>
    <t>Recolección De Basura</t>
  </si>
  <si>
    <t>El día de ayer el eh legisladores y legisladores federales de Movimiento de Regeneración Nacional acudieron a la Fiscalía General de la República para presentar una denuncia hacia la senadora de la República Carolina Viggiano Austria por presunto enriquecimiento ilícito, simulación fiscal y operaciones con recursos de procedencia ilícita. De acuerdo con el diputado Ricardo Crespo Arroyo, los presuntos ilícitos estarían relacionados con la utilización de empresas fachada para ocultar el origen de los recursos utilizados en la adquisición y el mantenimiento de un inmueble ubicado en Lomas de Chapultepec en la Ciudad de México con un valor estimado de 1.3 millones de dólares. Los legisladores indicaron que en la denuncia presentada ante la Unidad de Investigación y Litigación (FGR), se señala a la priísta y a su núcleo familiar. Crespo Arroyo señaló que la denuncia fue impulsada a raíz de información que se publicó en el periódico El Universal y del trabajo coordinado de Morena de Movimiento de Regeneración Nacional. Informaron que las supuestas empresas fachada presuntamente están asentadas en Monterrey, Nuevo León, y estarían vinculadas con otras 80 empresas señaladas como fantasma. El dirigente estatal de Morena, Marco Rico, señaló que también se presentó una denuncia ante el Servicio de Administración Tributaria con el propósito de que las autoridades fiscales revisen los hechos y determinen si existen irregularidades. Rico afirmó que ya existe una presunta secuencia de hechos que debe investigarse y pidió a la fiscalía esclarecer si hay elementos para determinar la comisión de algún delito.</t>
  </si>
  <si>
    <t>Enriquecimiento ilícito</t>
  </si>
  <si>
    <t>Radioescucha: en el Centro de Salud de Paraíso no tienen material para las pruebas de glucosa desde hace meses. Tampoco hay losartán.</t>
  </si>
  <si>
    <t>Dos movilizaciones se registraron este lunes en las inmediaciones del Congreso del Estado de Hidalgo, donde manifestantes exigieron la liberación de tres personas que enfrentan procesos judiciales y las protestas coincidieron de hecho con la comparecencia del secretario de gobierno Guillermo Olivares Reina, todo esto como parte de la glosa del cuarto informe del gobernador Julio Menchaca Salazar. Pero por un lado simpatizantes del exalcalde de Tlaxcoapan Miguel Ángel López Hernández se pronunciaron a favor de su liberación, luego de que el ex funcionario iniciara una huelga de hambre la semana pasada en el Cereso de Actopan, donde permanece recluido desde noviembre del 2024. A través de un escrito dirigido a sus familiares y a la ciudadanía, López Hernández señaló que considera ser víctima de su de una presunta persecución política y solicitó también que se revisen los procesos penales en su contra. También afirmó haber pues obtenido resoluciones favorables en tres causas judiciales y cuestionó también la falta de nuevos medicamentos cuando, según su versión, pues estaba cerca de recuperar su libertad. Pero así el exalcalde gobernó Tlaxcoapan durante los periodos 2006-2009 y 2012-2016. La segunda protesta fue encabezada por habitantes de Julián Villagrán, esta comunidad de Ixmiquilpan, quienes pidieron la liberación de Lorenzo Ramírez Ortiz y Macario Cruz Ramírez, ambos en prisión preventiva por un caso relacionado con el conflicto agrario pues que mantienen con pobladores de Pueblo Nuevo. De hecho, los manifestantes sostienen que los dos hombres son inocentes y denuncian también presuntas irregularidades en su detención. De acuerdo con su versión, ambos fueron convocados a una supuesta mesa de diálogo sobre la disputa territorial, esto en un módulo de servicios administrativos del gobierno estatal de Actopan, pero en lugar de concretarse el acuerdo fueron detenidos. De hecho, aseguraron que durante este procedimiento no se les presentó una orden de aprehensión, pero sí el caso está relacionado con hechos ocurridos el 20 de abril del 2024, cuando se registró un conflicto por terrenos entre ambas comunidades. Habitantes de Pueblo Nuevo pues sí señalaron que alrededor de un centenar de personas procedentes del ejido Julián Villagrán ingresaron a la zona con maquinaria pesada y presuntamente también los despojaron de tierras mediante agresiones. Y pues los pobladores de Julián Villagrán rechazan esa acusación, niegan que Ramírez Ruiz y Cruz Ramírez hayan participado en estos hechos.</t>
  </si>
  <si>
    <t>Exigen liberación de persona</t>
  </si>
  <si>
    <t>El otro tema que se tocó durante la comparecencia de Guillermo Olivares Reina, secretario general de gobierno del estado de Hidalgo, es la preliberación de 10 personas indígenas que se encuentran pues privadas de libertad, esto por cuestiones legales y que están en este momento en proceso de preliberación. Detalló Guillermo Olivares Reina, secretario general de gobierno del estado, que el pasado 15 de septiembre fue liberado un grupo de cuatro personas que presentaban problemas de salud y que cumplían con las condiciones para obtener su libertad anticipada, al estar sentenciadas por delitos no graves, y seis más están en proceso. Entre ellos, mencionó el de una persona con cuadriplejia que salió del centro de reinserción social de Pachuca, así como una adulta mayor con cáncer en fase terminal en el hígado y los riñones, quien obtuvo su libertad anticipada. Otra con osteoporosis degenerativa, hipertensión, trastorno de ansiedad y depresión, una más con traumatismo craneoencefálico moderado que requería cuidados las 24 horas del día. El funcionario estatal destacó que la defensoría pública ha realizado un excelente trabajo en favor de la población más vulnerable, con cerca de 300,000 casos atendidos en el que varias personas han logrado obtener su libertad y enfrentar sus procesos legales fuera de prisión, en especial atención a mujeres indígenas. Agregó que a través de las mesas de acercamiento de bienestar y paz se han recibido casos de personas indígenas que requieren apoyo para su defensa legal debido a sus condiciones económicas y que en muchos casos los enfrentan con la falta de asesoría jurídica. Señaló este sector desde hace desde muchos ángulos necesita apoyo y uno de esos es cuando desgraciadamente son privados de la libertad en ocasiones por delitos menores, pero por falta de asesoría jurídica siguen recluidos. Nosotros, dijo, vamos a hacer que recuperen su libertad. Olivares Reina informó que mediante las mesas de acercamiento de bienestar y paz se han atendido más de 700 casos relacionados con vulneraciones a los derechos humanos, con el acercamiento de las instituciones para dar seguimiento a sus planteamientos.</t>
  </si>
  <si>
    <t>Daniel Martínez respecto a las declaraciones del secretario de Gobierno Guillermo Olivares de que el operativo para retirar a trabajadores del Instituto Mexicano del Seguro Social (IMSS) que se manifestaban el pasado sábado 10 de octubre, fue por incumplimiento de acuerdos establecidos previamente con la Secretaría de Gobierno del Estado de Hidalgo; Daniel Martínez comenta lo siguiente: Me quedo con dos reflexiones de lo dicho por Olivares Huerta en la comparecencia del día de ayer. Dice el titular, el encargado de la política interna y de la seguridad, o de parte de la seguridad del estado de Hidalgo, dice que los trabajadores antepusieron intereses sindicales por encima de otros intereses, es decir, hay intereses de primera y de segunda. Los trabajadores no tienen derecho, entonces, a hablar de sus derechos laborales, de sus derechos sindicales y únicamente se tiene que limitar o circunscribir a otro tipo de derechos. ¿Cuáles son esos derechos de primera y de segunda, entonces? Uno y dos, "acomodé lugar" —y no estoy poniendo de mi cosecha ni nada por el estilo, son las palabras que utilizó Olivares Reina— "acomodé lugar", liberar las vialidades. Y vuelvo al tema del libre derecho a la manifestación. ¿Enoja? Sí. ¿Molesta? Sí. ¿Es un relajo Pachuca? Sí, por obras, por la feria, por muchas circunstancias. Entonces, ¿eso limita o prohíbe el derecho a la libre manifestación? Y finalmente, Olivares Reina también señala que si incumplieron acuerdos, ¿seguirán adelante esos acuerdos? Es pregunta que uno espera que no vaya a ser este, que no se vaya a quedar en el aire.</t>
  </si>
  <si>
    <t>Desalojo de manifestantes</t>
  </si>
  <si>
    <t>Radioescucha: en ningún centro de salud hay tamiz para los bebés, porque no hay papel para tomar las muestras.</t>
  </si>
  <si>
    <t>Radioescucha: lo familiares de los pacientes en el IMSS deben comprar medicamentos y los médicos no tiene insumos suficientes para operar.</t>
  </si>
  <si>
    <t>Zoé Robledo fue nombrado director general del Seguro Social Ordinario el 22 de mayo de 2019 y lleva más de 7 años en el cargo. Recientemente anunció una gira por los 277 hospitales del IMSS Ordinario. Sin embargo, se cuestiona su actuar ahora, cuando hay crisis y los trabajadores exigen respeto a sus derechos sindicales, mejor suministro de medicamentos y atención a las instalaciones. Se critica que 7 años después, Robledo responda a un sistema que fue dejado en mal estado por la administración anterior, que se centró en dar dádivas en lugar de atender los servicios adecuadamente.</t>
  </si>
  <si>
    <t>Mal Desempeño</t>
  </si>
  <si>
    <t>El operativo para retirar a trabajadores del Instituto Mexicano del Seguro Social (IMSS) que se manifestaban el pasado sábado 10 de octubre, fue por incumplimiento de acuerdos establecidos previamente con la Secretaría de Gobierno del Estado de Hidalgo. La justificación fue establecida por el titular de dicha dependencia estatal, Guillermo Olivares Reyna, durante su comparecencia ante integrantes del Congreso del Estado de Hidalgo, este lunes 12 de octubre. Dicha manifestación se realizó frente a las instalaciones de la Clínica 36, en la ciudad de Pachuca, exigiendo la salida de sus representantes sindicales. “Si algo le corresponde a la Secretaría de Gobierno es preservar el orden a toda costa”, señaló Olivares Reyna, al recordar que el pasado sábado se registraron bloqueos tanto en bulevar Felipe Ángeles, como a la altura del Puente Atirantado. El funcionario estatal señaló que con las obras viales que se llevan a cabo en este momento en la capital del Estado de Hidalgo, así como la celebración de la feria San Francisco, la ciudadanía exigía la liberación de las vialidades, y por ello se intervino. Respecto a las denuncias de trabajadores del IMSS sobre el presunto uso de la fuerza pública y el despliegue de binomios caninos, Olivares Reyna aseguró que en todo momento se respetaron los derechos humanos. Afirmó que se atenderán las solicitudes de la ciudadanía, “siempre y cuando sean pacíficas y respetuosas”. Olivares Reyna señaló que los acuerdos iniciales para liberar la circulación y evitar nuevos bloqueos, se estableció generar un vínculo con las autoridades federales, así como realizar recorridos por las unidades médicas para verificar la falta de medicamentos. Aseguró que acudió personalmente para entablar un diálogo con los trabajadores que bloqueaban las vialidades, acción que constituye un “ilícito” y explicó que, inicialmente, los manifestantes reclamaban la falta de insumos, medicamentos y personal médico, sin embargo, posteriormente, las demandas cambiaron y se centraron en un “conflicto sindical”. Reprochó que los manifestantes incumplieron lo pactado durante el viernes 9 de octubre, además de modificar sus exigencias, lo que, dijo, provocó un “choque de los problemas iniciales” y colocó el interés sindical por encima de las demandas iniciales.</t>
  </si>
  <si>
    <t>Vía telefónica Natividad Castrejón, Secretario de la SEPH y el tema de su trabajo al frene de la dependencia informó que el próximo martes será su comparecencia ante el Congreso. Destacó los indicadores estatales en materia educativa, señalando que la entidad cuenta con una eficiencia terminal del 100% en nivel primaria y un destacado posicionamiento nacional en secundaria (94%) y educación superior (84%). No obstante, reconoció que el nivel medio superior representa el mayor reto, aunque la deserción escolar ha disminuido tras aumentar del 69% al 75% la retención en los últimos tres años de la actual administración. Respecto a la infraestructura afectada por las recientes contingencias meteorológicas, el funcionario detalló los trabajos de rehabilitación en municipios como Huehuetla, donde tres escuelas sufrieron daños severos. Tras valoraciones técnicas y la intervención de la CONAGUA con un muro de contención valuado en casi 100 millones de pesos, las obras de reconstrucción en dichos planteles presentan un avance superior al 70%, estimando su conclusión total entre finales de octubre y mediados de noviembre. Asimismo, indicó que persisten retos particulares de atención en regiones como Tlacotengo y Chahuatlán.</t>
  </si>
  <si>
    <t>En medio de las movilizaciones de trabajadores del Instituto Mexicano del Seguro Social, su director general, Zoé Robledo, defendió pues los resultados alcanzados durante los últimos 7 años y aseguró que el instituto ha ampliado su capacidad de atención, aunque sí reconoció que el crecimiento de la población derechohabiente mantiene retos pendientes. De hecho, durante una conferencia de prensa conjunta con el secretario de Trabajo, Marath Bolaños, Zoé Robledo sí respondió también, pues a los cuestionamientos planteados previamente eh por la presidenta Claudia Sheinbaum sobre las condiciones que suelen presentarse cuando funcionarios de alto nivel eh pues visitan hospitales y clínicas. De hecho, el director del IMSS aseguró también que durante sus recorridos no se ordena al personal realizar recomendaciones o modificar las condiciones de las unidades eh que bueno, para poder recibir a los funcionarios. Incluso, señaló que acostumbra realizar algunas visitas durante la noche para poder conocer de manera directa la situación de las áreas de urgencias, y pues Zoé Robledo sí sostuvo que desde su llegada al frente del instituto, pues se han incorporado alrededor de 109,000 trabajadores y se han reabierto también hospitales, pues que se encontraron fuera de operación. También destacó la ampliación de infraestructura médica y señaló que actualmente existen 17,000 turnos de consulta adicionales, además también de nuevas unidades de medicina familiar. Entre los avances también que mencionó, pues se encuentra la expansión de centros de referencia estatal para la atención del niño y la niña con cáncer, eh pues que pasaron de 3 a 36 unidades. También señaló que las salas de hemodinamia, por ejemplo, disponibles en el segundo nivel aumentaron de 6 a 82. Pero si el funcionario reconoció sin embargo, pues que estos avances todavía no son suficientes debido al tamaño de la población, pues que atiende precisamente el seguro social, no por lo que sí consideró necesario, pues mantener el crecimiento de la infraestructura y de la capacidad médica. De hecho, la conferencia se realizó mientras trabajadores activos médicos, eh pues enfermeras, jubilados y también pensionados mantienen diversas expresiones de inconformidad en demanda de mejores condiciones laborales, mayor transparencia sindical y solución también a problemas relacionados con el abasto de medicamentos e insumos. Además, eh trabajadores del IMSS se preparan para una movilización nacional, está programada para el miércoles eh 14, es decir, el día de mañana.</t>
  </si>
  <si>
    <t>Recorrido por instalaciones</t>
  </si>
  <si>
    <t>Vía telefónica María Concepción Carmona Ramos, Jefa de Servicios de Atención a la Salud del IMSS Bienestar Hidalgo, informó que el Hospital General de Tulancingo retomó la programación de cirugías electivas tras recibir 27 cajas de fentanilo, sumadas al abasto mensual de midazolam entregado previamente el pasado 7 de octubre. La funcionaria explicó que la limitación temporal en las intervenciones programadas funcionó como una estrategia preventiva del cuerpo de gobierno del hospital ante el retraso de un mes en la recepción de estos insumos anestésicos. No obstante, aclaró que las cirugías de urgencia —con un promedio de diez procedimientos diarios— nunca fueron suspendidas. Asimismo, Carmona Ramos detalló que las compras de estos medicamentos son administradas de forma centralizada por la Secretaría de Salud Federal. En este sentido, confirmó que el próximo viernes se normalizará la distribución de fentanilo correspondiente al mes de octubre para los 18 hospitales del estado. Actualmente, el abasto promedio en los centros hospitalarios del IMSS-Bienestar en la entidad se mantiene entre un 75% y un 80%, respaldado por el ecosistema digital de salud para el control de inventarios y recetas.</t>
  </si>
  <si>
    <t>En cabina el diputado por el Distrito 8 con cabecera en Actopan, Miguel Ángel Moreno Zamora explicó los alcances de la iniciativa aprobada en el Congreso del Estado que modifica el artículo 141 (párrafo 15) de la Constitución local, enfocada en la modernización de la gestión administrativa municipal. Aclaró que esta modificación no otorga un "cheque en blanco" a los presidentes municipales. La reforma busca agilizar los procesos administrativos internos y regular de manera más eficiente los trámites, contratos, obras públicas y comités de adquisiciones, donde participan activamente los síndicos y las contralorías tanto municipal como estatal para garantizar la transparencia. Se destacó que la ley exige a los regidores un papel más activo y profesional, obligándolos a involucrarse en sus respectivas comisiones, proponer iniciativas, bandos, reglamentos y realizar al menos una sesión de audiencia pública mensual en sus comunidades, colonias o ejidos. indicó que los regidores están obligados a presentar informes anuales de sus actividades. Asimismo, se enfatizó que los síndicos y regidores fungen como contrapesos importantes y deben vigilar de cerca el ejercicio del gasto, los cortes de caja diarios y el cumplimiento normativo de las áreas administrativas. finalmente dijo que, en caso de detectar anomalías en los procesos de licitación o adjudicación de obras, los integrantes del cabildo y la Contraloría municipal tienen la facultad y la responsabilidad de denunciarlas para fincar responsabilidades directas al funcionario involucrado.</t>
  </si>
  <si>
    <t>Trabajo legislativo</t>
  </si>
  <si>
    <t>Huichapan recibe infraestructura educativa por 12.9 mdp</t>
  </si>
  <si>
    <t>Ayer, senadores de Hidalgo, diputados federales y el líder de Morena en Hidalgo, Marco Rico, presentaron una denuncia en la Fiscalía General de la República contra Carolina Viggiano Austria. Esta denuncia trata sobre sus propiedades y la posible comisión de delitos. Carolina Viggiano ha estado respondiendo en redes sociales a las acusaciones que ha recibido en las últimas semanas. Una de las discusiones incluyó las nuevas torres de gobierno en el bulevar Felipe Ángeles, donde el senador Cuauhtémoc Ochoa le dio respuesta. También ha habido comentarios sobre la gobernabilidad en Hidalgo, a los que respondió Ricardo Crespo. La situación ha generado un intercambio de acusaciones en redes sociales, que han llegado a ser bastante intensas. La denuncia formal por parte del Partido Morena ha llevado a una reacción inmediata de Viggiano. Este conflicto se considera preocupante, ya que no parece ayudar a la paz y confianza en el estado, ya que las acusaciones están empezando a sonar a insultos, aunque de forma sutil. Se espera ver cómo se desarrolla esta situación y qué repercusiones tendrá. Finalmente, se anunció un corte en el programa de radio "Las Voces Radio" antes de continuar con el tema.</t>
  </si>
  <si>
    <t>Hoy tenemos comparecencias; a las 10:00 de la mañana estará la maestra María Esther Ramírez Vargas, de la Secretaría de Hacienda, y más tarde a las 4:00 horas (sic), la secretaria de Turismo, Lizbeth Quintana Gómez.</t>
  </si>
  <si>
    <t>Turismo</t>
  </si>
  <si>
    <t>Hacienda</t>
  </si>
  <si>
    <t>Hidalgo refuerza la seguridad y el diálogo con atención cercana</t>
  </si>
  <si>
    <t>Andrés Torres comenta que siguen fuera del aire en la estación de Jacala en la frecuencia 91.1 FM. esto a causa de problemas técnicos</t>
  </si>
  <si>
    <t>Andrés Torres comenta que hay problemas relacionados con los cabildos y las presidencias municipales. Señala que le han enviado un video de Atotonilco de Tula o Atitalaquia donde los regidores y la presidenta municipal discuten acaloradamente sobre permisos y la recolección de basura. Estas discusiones, aunque intensas, son vistas como normales dentro del marco de la legalidad y el respeto. Es importante debatir los pros y contras de los servicios en los municipios, señala.</t>
  </si>
  <si>
    <t>Andrés Torres envía un saludo a Tizayuca, donde la seguridad es un problema grave. Menciona que la inseguridad, como una forma de contaminación en el Estado de México, afecta a esta área. Recientemente, hubo un asalto en una casa de empeño que resultó en persecuciones y un fuerte despliegue policial en las calles de Tizayuca. Torres expresa la esperanza de que la situación se controle pronto, planteando la difícil tarea de proteger a las comunidades de amenazas tanto internas como externas. Aldo Falcón añade que los delincuentes lograron robar pertenencias, celulares y dinero en efectivo.</t>
  </si>
  <si>
    <t>Inseguridad</t>
  </si>
  <si>
    <t>En Tulancingo, el registro para elegir coordinador municipal electoral por parte de Morena está abierto desde el 8 de octubre y cerrará el 18. Ya hay varios perfiles registrados, y se espera la opinión de la Comisión Nacional de Elecciones. Cada día se suman más candidatos en los municipios. La convocatoria de Morena, emitida el día 8 por Aldo Falcón, es extensa, con 24 páginas de requisitos. Los aspirantes deben cumplir con varios cursos y probar su militancia y activismo. Se espera ver cuántos de los inscritos realmente cumplen con todos los requerimientos, ya que llenar la forma es solo el primer paso; cumplir con los requisitos es lo más importante.</t>
  </si>
  <si>
    <t>Andrés Torres informó que la Secretaría de Salud del estado de Hidalgo ha iniciado la campaña de vacunación invernal, aunque el invierno aún no comienza. La campaña tiene como objetivo aplicar más de 1.5 millones de dosis para covid e influenza. Los grupos prioritarios incluyen a niños menores de 5 años, adultos mayores y personas con enfermedades crónicas. Se invita a toda la población a acercarse a su centro de salud, hospital o clínica cercana para recibir las vacunas, ya que la inmunización es importante para estar protegidos durante la temporada invernal, que se espera sea fría. Aldo Falcón destacó que acudir al centro de salud para vacunarse es gratuito. Andrés también mencionó que, según los especialistas, es recomendable recibir un refuerzo de la vacuna contra el covid cada año o, si es posible, cada seis meses. Se enfatiza la importancia de la vacunación para asegurar la salud y la protección de las familias.</t>
  </si>
  <si>
    <t>Se comentó sobre la efervescencia del movimiento político en Hidalgo de cara a los registros de aspirantes de Morena. En el municipio de Acaxochitlán, Luis Balderas, exsecretario municipal, renunció definitivamente a su cargo hace unas semanas con la intención de buscar la nominación de su partido para las próximas elecciones. A diferencia de otros aspirantes que solicitan licencia temporal, Balderas optó por la renuncia total, manifestando contar con el respaldo político necesario y asegurando que, en caso de no ser favorecido, se mantendrá al margen para apoyar a su comunidad debido a su postura institucional.</t>
  </si>
  <si>
    <t>Renuncia</t>
  </si>
  <si>
    <t>Irving Sánchez</t>
  </si>
  <si>
    <t>Durante una conferencia de prensa, el titular de la Comisión de Agua y Alcantarillado en Tulancingo anunció su separación temporal del cargo por un periodo de tres meses, aclarando que no se trata de una renuncia definitiva, sino de una decisión motivada por asuntos personales y miras a nuevos proyectos de cara a las próximas jornadas electorales. El funcionario señaló que la decisión busca garantizar la continuidad en la atención ciudadana y los servicios del organismo sin que se detengan las labores cotidianas, quedando a reserva de que la alcaldesa informe quién asumirá la titularidad del área de manera temporal.</t>
  </si>
  <si>
    <t>Tras un minucioso proceso de selección y evaluación de proyectos, el H. Ayuntamiento de Cuautepec de Hinojosa, en coordinación con el Instituto Hidalguense de la Juventud, presentó de manera oficial la integración del Primer Cabildo Juvenil 2026. Este importante ejercicio de participación ciudadana reunirá a 20 destacados perfiles de entre 14 y 17 años, garantizando un órgano inclusivo, plural y con estricta paridad de género para analizar las necesidades del municipio e impulsar iniciativas desde la perspectiva de las juventudes. La representación ejecutiva estará encabezada por Emily Guerrero Hernández como Presidenta Municipal Constitucional Juvenil, acompañada por Renata Cadena Carmona en la Sindicatura Procuradora Hacendaria Juvenil y Valeria Pérez Martínez como Síndica Procuradora Jurídica Juvenil. De igual manera, la administración del pleno juvenil contará con Daniela Alfaro Téllez en la Secretaría General Municipal Juvenil y Aimme Muñoz Hernández como Oficial Mayor Juvenil.</t>
  </si>
  <si>
    <t>Cabildo Juvenil</t>
  </si>
  <si>
    <t>Después de casi seis meses de rehabilitación especializada en Pachuca, Itzán, un ejemplar de tigrillo (Leopardus wiedii), concluyó satisfactoriamente su proceso de acondicionamiento y se prepara para regresar a su hábitat natural en San Luis Potosí. En abril pasado, la Unidad de Rehabilitación de Fauna Silvestre de Pachuca recibió al felino, nacido en el Centro de Rescate “Selva Teenek”, ubicado en San Luis Potosí, para iniciar su preparación en los biosimuladores de sus instalaciones. Durante este periodo, el ejemplar desarrolló y demostró las habilidades necesarias para sobrevivir en vida silvestre, entre ellas reconocer, rastrear y capturar presas, identificar amenazas potenciales, desplazarse con agilidad y trepar árboles y ramas, además de manifestar conductas propias de su especie. Tras concluir las evaluaciones y cumplir con los requisitos técnicos y administrativos correspondientes, Itzán será liberado en un área protegida de San Luis Potosí, su entidad de procedencia, con el objetivo de favorecer su reincorporación a un entorno natural adecuado. Con este resultado, el ejemplar se convierte en el segundo tigrillo que concluye exitosamente su rehabilitación durante la presente administración, lo que refrenda el compromiso del presidente municipal, Jorge Reyes, con la conservación de la biodiversidad y la protección de la fauna silvestre. El tigrillo es uno de los seis felinos silvestres que habitan en México. Se distingue por su tamaño reducido y actualmente está catalogado en peligro de extinción conforme a la normativa ambiental, por lo que las acciones para su conservación y recuperación resultan fundamentales. A través de la Unidad de Rehabilitación de Fauna Silvestre, el municipio de Pachuca fortalece sus capacidades técnicas y la colaboración con instituciones especializadas para contribuir a la protección de los felinos mexicanos y promover el retorno de ejemplares a su hábitat natural.</t>
  </si>
  <si>
    <t>Rescate de especies</t>
  </si>
  <si>
    <t>El gobierno de Hidalgo avanza en la simplificación y digitalización de trámites para mejorar la atención ciudadana y fortalecer la transparencia gubernamental, de acuerdo con lo señalado por Onésimo Serrano Rivera, encargado del despacho de la Unidad de Planeación y Prospectiva. Serrano Rivera asumió esta responsabilidad de manera inmediata tras la salida del anterior titular, Miguel Tello, destacando que estos procesos tecnológicos buscan construir un gobierno más cercano, confiable y comprometido con la población.</t>
  </si>
  <si>
    <t>Durante las coberturas de las comparecencias en el estado, David Cárdenas destaca la importancia de informar a la ciudadanía sobre este ejercicio fundamental de transparencia y rendición de cuentas. El proceso evalúa el cumplimiento de los criterios establecidos en el plan estatal de desarrollo desde su inicio hasta el momento actual.</t>
  </si>
  <si>
    <t>Durante su comparecencia ante el Congreso estatal, la secretaria de Hacienda, María Esther Ramírez Vargas, destacó que, bajo el liderazgo del gobernador Julio Menchaca Salazar, Hidalgo se posiciona como referente nacional en el manejo responsable de las finanzas públicas. Informó que el estado obtuvo el primer lugar nacional en crecimiento de recursos del Fondo General de Participaciones en el segundo trimestre de 2026, un incremento del 96% en ingresos propios y el primer lugar global en eficiencia recaudatoria del SAT. Asimismo, resaltó una inversión de más de 45,000 millones de pesos en obra pública y programas sociales, la reducción del 42% en la deuda pública heredada y calificaciones crediticias en nivel doble A.</t>
  </si>
  <si>
    <t>Durante su comparecencia ante el Congreso del Estado, la secretaria de Cultura, Neyda Naranjo Baltazar, informó sobre las acciones implementadas en los 84 municipios y destacó la realización de la Feria Internacional del Libro Infantil, así como la participación de Hidalgo en el Congreso Nacional de Bibliotecas Públicas. Asimismo, resaltó el reconocimiento a colaboradores por parte de la Secretaría de Cultura Federal para compartir estrategias en la Biblioteca Vasconcelos, la inclusión en programas sociales y el despliegue del talento artístico hidalguense en escenarios como el Festival Cervantino en Guanajuato, Tamaulipas y Veracruz.</t>
  </si>
  <si>
    <t>Durante su comparecencia ante el Congreso del Estado de Hidalgo con motivo del cuarto informe de administración, el secretario de Gobierno, Guillermo Olivares Reina, destacó los avances en gobernabilidad, seguridad y bienestar social logrados bajo la administración del gobernador Julio Menchaca Salazar. Entre los puntos clave, resaltó que Hidalgo ocupa el noveno lugar nacional en el Índice de Paz México 2026 y la octava posición en percepción de seguridad, producto de la coordinación en más de 220 reuniones de seguridad y miles de acciones de vinculación ciudadana. Asimismo, informó sobre el incremento del 156% en el presupuesto destinado a las mujeres, la digitalización de más de 5 millones de registros y la recuperación de 385 inmuebles estatales. Durante la sesión, la diputada Cynthia Citlali Méndez cuestionó sobre el retraso en el proyecto de construcción de viviendas del bienestar en Ixmiquilpan —específicamente en la comunidad de El Balante— debido a un conflicto agrario. En respuesta, el secretario explicó que, ante la complejidad de dicha disputa, se optó por buscar un nuevo predio ofrecido en donación en el municipio para garantizar la celeridad del proyecto habitacional.</t>
  </si>
  <si>
    <t>El Ayuntamiento de Tulancingo abrió una convocatoria pública para elegir a la persona que encabezará el Órgano Interno de Control, responsable de vigilar el uso de los recursos públicos, supervisar el cumplimiento de las obligaciones administrativas y atender posibles irregularidades dentro del gobierno municipal. La convocatoria fue emitida este lunes 12 de octubre, ante la vacante existente en la titularidad de esta área. El registro de aspirantes comenzará el martes 13 y concluirá el viernes 16 de octubre. La selección estará a cargo de una comisión especial del Ayuntamiento y contempla una evaluación de los conocimientos, la trayectoria profesional y las propuestas de quienes busquen ocupar el puesto. Uno de los requisitos centrales es que las personas interesadas cuenten con título profesional en Derecho, Contaduría Pública o alguna carrera equivalente, además de acreditar experiencia en materia jurídica, administrativa o de fiscalización. La convocatoria también establece restricciones para evitar vínculos partidistas recientes. Los aspirantes no podrán haber estado afiliados a algún partido político ni ocupado cargos de dirección partidista durante el año anterior a su designación. Tampoco podrán haber sido registrados como candidatos ni desempeñado cargos de elección popular durante los últimos cuatro años. Asimismo, deberán estar en pleno ejercicio de sus derechos civiles y políticos, no encontrarse inhabilitados ni contar con sanciones administrativas relacionadas con el encargo.</t>
  </si>
  <si>
    <t>Órgano Interno de Control</t>
  </si>
  <si>
    <t>Tulancingo: La tradición del mole volverá a reunir a las cocineras de Santa Ana Hueytlalpan, en Tulancingo, con la edición número 12 de su feria gastronómica, para la cual ya se abrió el registro de participantes. La convocatoria cerrará el próximo 18 de octubre y los organizadores esperan recibir alrededor de cinco mil visitantes. Este año, la celebración tendrá un significado especial, pues coincidirá con el 18 aniversario del concurso de mole, una tradición que ha permitido conservar las recetas, los ingredientes y las técnicas de preparación transmitidas entre generaciones de familias de la comunidad. La convocatoria está dirigida a personas originarias o residentes de Santa Ana Hueytlalpan que deseen participar y mostrar su talento culinario en uno de los encuentros gastronómicos más representativos de la localidad. Minerva Rosales Gayosso, secretaria de Fomento Económico de Tulancingo, informó que las personas interesadas deberán presentar nombre completo, número telefónico, domicilio y copia de su credencial de elector, además de cumplir con las bases del concurso. La feria también representa una oportunidad comercial para las familias dedicadas a la elaboración de alimentos y otros productos locales, ante la afluencia de visitantes prevista por las autoridades municipales. Más allá de la competencia, el encuentro busca mantener vigentes las distintas formas de preparar el mole, un platillo que ocupa un lugar especial en las celebraciones familiares y comunitarias de Santa Ana Hueytlalpan. El gobierno municipal de Tulancingo, encabezado por Lorena García Cázares, mantiene abierta la convocatoria hasta el domingo 18 de octubre, fecha límite para que las cocineras y demás participantes interesados realicen su registro.</t>
  </si>
  <si>
    <t>Festival Gastronómico</t>
  </si>
  <si>
    <t>A cuatro años del gobierno de Julio Menchaca Salazar, Cultura llegó por primera vez a los 84 municipios</t>
  </si>
  <si>
    <t>La dirigencia de Morena en Hidalgo, encabezada por Marco Antonio Rico Mercado, junto con legisladores federales, presentó una denuncia ante el SAT y la FGR por presuntas irregularidades fiscales vinculadas a la adquisición de un inmueble en Lomas de Chapultepec, Ciudad de México, relacionado con la senadora Carolina Viggiano Austria y su esposo, el exgobernador Rubén Moreira Valdez. La denuncia solicita investigar un posible esquema de simulación fiscal e intermediación mediante empresas como Borsa Inmuebles y Bienes Raíces y Corporativo Awiki. En respuesta, la senadora Viggiano rechazó las acusaciones, calificándolas de persecución política por parte del gobernador Julio Menchaca debido a sus críticas a la administración estatal, y cuestionó a los legisladores morenistas por presuntamente ignorar problemas de inseguridad, salud y deficiencias en obra pública.</t>
  </si>
  <si>
    <t>A propósito de las acciones de acercamiento con la población y tras la comparecencia del secretario de Gobierno, Guillermo Olivares Reyna, este martes se programó una mesa de seguridad a partir de las 14:15 horas. El encuentro se llevará a cabo en la plaza principal del municipio de Tenango de Doria, con la presencia de las y los integrantes del Gabinete de Seguridad estatal, como parte del compromiso de continuar recorriendo las diversas regiones de la entidad hidalguense.</t>
  </si>
  <si>
    <t>Mesas de acercamiento</t>
  </si>
  <si>
    <t>Hidalgo fortalece la paz, seguridad y el diálogo con atención cercana: Guillermo Olivares</t>
  </si>
  <si>
    <t>Radioescucha Dice: «Muy buenos días, Lalito, bendecido martes. Muchísimas gracias por el apoyo, ¡ya nos cayó agüita! Gracias». ¿Les cayó agua? Porque entonces les cayó un hilito. Les cayó un hilito entonces, hemos de suponer, ¿no? No, ya aquí está, dice: en Río de Janeiro ya cayó agüita, dice. Pues bueno, les ha de haber caído el hilito de agua.</t>
  </si>
  <si>
    <t>7 con 27 minutos. La Secretaría de Agricultura de Hidalgo entregó apoyos por 2.9 millones de pesos a productores de Lolotla (mencionado como Lulotla) en la Sierra Alta. El secretario Napoleón González Pérez informó que el beneficio llegará a 194 familias</t>
  </si>
  <si>
    <t>En los últimos 12 meses, 65 de cada 100 mexicanos de 12 años y más asistieron a algún evento cultural, dio a conocer ayer el Instituto Nacional de Estadística y Geografía (Inegi) en los resultados del Módulo sobre Eventos Culturales (Modecult) 2026. Este estudio también destacó que la asistencia a eventos culturales entre la población hablante de alguna lengua indígena fue de 58.6 por ciento.</t>
  </si>
  <si>
    <t>Censo Inegi</t>
  </si>
  <si>
    <t>En dos mil veinticinco de cada cien mil habitantes de México, quince mil seiscientos cuarenta y dos tuvieron contacto con alguna persona servidora pública y experimentaron al menos un acto de corrupción. Hace dos años eran trece mil novecientos sesenta y seis y el INEGI marca ese aumento como estadísticamente significativo. E</t>
  </si>
  <si>
    <t>Combate a la corrupción</t>
  </si>
  <si>
    <t>Juan N., alias "El Moco", detenido en Zacatlán, Puebla, era buscado por su presunta relación con el robo de hidrocarburos, homicidio, portación de armas sin licencia y delitos contra la salud. Esto lo informó el secretario de Seguridad Pública de Puebla, el vicealmirante Francisco Sánchez. De acuerdo con el funcionario, su zona de operación abarcaba municipios como Ahuazotepec, Zacatlán, Chignahuapan y Huauchinango (mencionado como Huautzinango), además de diversas regiones de Hidalgo.</t>
  </si>
  <si>
    <t>Combate Al Huachicol</t>
  </si>
  <si>
    <t>La secretaria de Cultura, Neyda Naranjo Baltazar, presentó ante la LXVI Legislatura del Congreso del Estado el informe correspondiente al cuarto año de la administración de Julio Menchaca Salazar, enmarcado en el Eje 7 del Plan Estatal de Desarrollo 2022-2028.</t>
  </si>
  <si>
    <t>Durante su comparecencia en el Congreso del Estado de Hidalgo, el secretario de Gobierno, Guillermo Olivares Reyna, fue cuestionado por el uso de la fuerza pública para replegar a trabajadores del Instituto Mexicano del Seguro Social que se manifestaron en bulevar Felipe Ángeles el pasado fin de semana.Al respecto, el secretario de Gobierno justificó la acción argumentando que previamente se había acordado con los manifestantes liberar la circulación y, al no cumplir con lo pactado y a petición de la ciudadanía afectada, se optó por llevar a policías estatales para retirar a los trabajadores inconformes.”Lo rompieron, bloquearon y, a partir de ahí y de surgir que lo que les interesaba era obedecer lo que sus líderes nacionales les decían y les decían que no tenían que levantar el bloqueo y que tenían que permanecer, bueno, pues entonces ya estábamos hablando de otra cosa. Ya estábamos hablando de una agresión a la sociedad, a las vías generales de comunicación, y eso pues, simple y sencillamente, no se puede permitir porque es transgredir el orden”</t>
  </si>
  <si>
    <t>El secretario de Gobierno de Hidalgo, Guillermo Olivares Reyna, afirmó que el diálogo y la atención directa han fortalecido la paz, la seguridad y la atención a las mujeres. Esto lo señaló durante su comparecencia ante el Congreso Local. Informó que en cuatro años se realizaron más de noventa y seis mil acciones de atención y vinculación, además de dos mil doscientos acercamientos regionales.También destacó una reducción de treinta y seis por ciento en homicidio doloso y de treinta y tres por ciento en delitos de alto impacto. En materia de atención a las mujeres, indicó que más de ciento cuarenta y siete mil usuarias recibieron servicios especializados y operan cuarenta y un Centros Violeta (mencionados como centros libre).</t>
  </si>
  <si>
    <t>En sesión ordinaria, el secretario de Gobierno, Guillermo Olivares Reyna, compareció ante el Congreso del Estado de Hidalgo como parte del procedimiento relativo al Cuarto Informe del estado que guardan los diversos ramos de la administración pública, encabezada por el gobernador Julio Menchaca.Dentro de los logros más destacados, el secretario informó que, en materia de seguridad y construcción de paz, Hidalgo se ubicó en el noveno lugar nacional en el Índice de Paz México 2026 y en la octava posición en percepción de seguridad.</t>
  </si>
  <si>
    <t>Radioescucha dice: “Muy buenos días, licenciado Larrieta, un gusto y un placer saludarlo a usted, a todo su equipo y a todos sus radioescuchas. Mi punto de vista muy personal, su servidor Emilio Osorio, acerca de lo que dice el secretario de Gobernación de por qué fueron desalojadas las personas del IMSS el día sábado</t>
  </si>
  <si>
    <t>Durante su comparecencia en el Congreso del Estado de Hidalgo, el secretario de Gobierno, Guillermo Olivares Reyna, fue cuestionado por el uso de la fuerza pública para replegar a trabajadores del Instituto Mexicano del Seguro Social que se manifestaron en bulevar Felipe Ángeles el pasado fin de semana.Al respecto,</t>
  </si>
  <si>
    <t>El Secretario de Educación Pública de Hidalgo, Natividad Castrejón Valdés, informó que una de cada cuatro estudiantes (jóvenes) interrumpe sus estudios antes de terminar la preparatoria. Ante esta situación, llamó a madres, padres de familia y docentes a acompañar y apoyar a las y los jóvenes para que continúen su formación. En primaria y secundaria, estamos comprometidos a mejorar la calidad educativa, ¿No? Que tengan mejores conocimientos cuando terminan esas etapas, porque ahí la cobertura está cubierta.</t>
  </si>
  <si>
    <t>Deserción escolar</t>
  </si>
  <si>
    <t>Radioescucha 3910. Dice: «Muy buenos días. Ojalá puedan pasar el reporte nuevamente. Como un mes lleva tapada esta coladera de donde sale agua del caño, esto es en avenida San Judas Tadeo»</t>
  </si>
  <si>
    <t>Dren Pluvial</t>
  </si>
  <si>
    <t>Con una inversión de doce punto nueve millones de pesos el secretario de educación de Hidalgo Natividad Castrejón Valdés entregó un edificio de dos niveles con doce aulas en la primaria Pedro María Anaya allá en Huichapan. Durante su gira de trabajo también recorrió la Universidad Nacional Rosario Castellanos allá en Tecozautla, donde estudian ciento veintiún jóvenes en tres licenciaturas y noventa aspirantes cursan en el semestre propedéutico para ingresar a medicina o enfermería.R</t>
  </si>
  <si>
    <t>Familiares exalcalde de Tlaxcoapan, señalado por peculado y recluido desde hace dos años, se manifestaron afuera del Congreso de Hidalgo, exigen libertad para el expresidente municipal y lo consideran como un preso político.</t>
  </si>
  <si>
    <t>El Servicio de Administración Tributaria publicó una nueva lista de ciento veinte contribuyentes imputados por la emisión de comprobantes fiscales falsos y operaciones simuladas para que la población conozca quiénes están cometiendo estos delitos.En la lista negra aparecen personas físicas y morales de todos los estados del país como Sonora, Sinaloa, Monterrey, Hidalgo, Estado de México y la Ciudad de México, entre otros. Muestran los oficios publicados en el Diario Oficial de la Federación.</t>
  </si>
  <si>
    <t>Factureras</t>
  </si>
  <si>
    <t>El abasto de medicamentos en los hospitales del IMSS en Hidalgo está arriba del noventa y cinco por ciento y se están haciendo compras emergentes para aquellos que no haya de manera inmediata.Esto lo informó el delegado del Instituto en el Estado, José Luis Cendeja Villanueva. “ Está arriba del noventa y cinco por ciento. Pues porque en la salud siempre, aunque falte un medicamento, si en ese momento se necesita, pues lo importante es tenerlo, ¿No? Todas las semanas estamos en las unidades de manera presencial, su servidor todas las semanas está en las unidades, entonces no es nada más falta o ausencia de algún tipo de insumo y estamos trabajando para poderlas suministrar cuando así sea el caso y se están haciendo compras emergentes para en el caso de que no los tengamos de manera inmediata, tenerlos lo más pronto que se pueda”</t>
  </si>
  <si>
    <t>Falta de medicamentos</t>
  </si>
  <si>
    <t>Radioescucha Sr. Pedro Nieto dice: Solamente para reportar una pequeña fuga de agua. Esta se está generando... se está generando en la calle de Padierna, frente al número 103, en el barrio San Clemente, envió evidencia</t>
  </si>
  <si>
    <t>Fuga De Agua</t>
  </si>
  <si>
    <t>El Empleotón 2026 reunió a 17 empresas en el CRIT Hidalgo, donde se ofrecieron 397 vacantes para personas que buscan incorporarse al empleo formal. La Feria Nacional de Empleo para Grupos Vulnerables registró la asistencia de 158 personas y contó con empresas como Coppel, Oxxo, Grupo Rica e Invercap.</t>
  </si>
  <si>
    <t>Participación semanal de Mtro. Roberto Rico con el tema: Informalidad laboral. Comento en su análisis sobre la situación laboral en México e Hidalgo, señaló que las cifras oficiales de ocupación maquillan una severa precariedad, destacando que a nivel nacional el 55% de los trabajadores labora en la informalidad y solo el 48% de los empleos formales registrados en el IMSS percibe un salario digno. Alertó que esta carencia de seguridad social y representación sindical impactará negativamente a futuro las finanzas públicas y el sistema de pensiones. Asimismo, detalló que en Hidalgo la problemática es aún más grave, ya que, a pesar de registrar una baja desocupación del 2.2%, la informalidad laboral alcanza un crítico 72% de su Población Económicamente Activa.el país no tendrá un mercado laboral sano, tendrá una maquinaria de desgaste humano.</t>
  </si>
  <si>
    <t>Informalidad laboral</t>
  </si>
  <si>
    <t>Tres personas murieron calcinadas durante la madrugada de este lunes tras incendiarse una vivienda en la localidad de Palo Hueco en Tepeapulco. De acuerdo con los primeros reportes, el fuego habría sido provocado por terceros. En el lugar presuntamente fue dejada una manta con un mensaje de advertencia e intimidación.Al sofocar las llamas, cuerpos de emergencia localizaron los cuerpos. Hasta el momento se desconoce su identidad y género. La Procuraduría General de Justicia del Estado de Hidalgo inició las investigaciones para esclarecer los hechos, determinar el móvil y establecer quiénes serían los responsables.</t>
  </si>
  <si>
    <t>Con el objetivo de mejorar la iluminación de calles y espacios públicos, el presidente municipal de Mineral de la Reforma, Eduardo Medécigo Rubio, gestiona nuevos proyectos de alumbrado en coordinación con la Comisión Federal de Electricidad (CFE).Como parte de estas acciones, el alcalde sostuvo una reunión con representantes de la Superintendencia de la CFE, en la que revisaron propuestas para fortalecer la infraestructura eléctrica y atender las necesidades de distintas comunidades del municipio.</t>
  </si>
  <si>
    <t>Elementos de la Secretaría de Seguridad Pública de Hidalgo (SSPH) desmantelaron un laboratorio clandestino destinado a la elaboración y procesamiento de droga sintética en Cuautepec de Hinojosa, donde también se descubrió un túnel que comunicaba dos espacios de un mismo terreno, cuyas fachadas aparentaban corresponder a inmuebles independientes</t>
  </si>
  <si>
    <t>Conductor Eulalio Larrieta, da lectura de la supuesta convocatoria de trabajadores del sector salud, con cierres en la CDMX y menciona que tambien posiblemente se realice en una marcha en Pachuca, para este martes 13 de octubre, con el objetivo de exigir mejores condiciones en concordancia con las protestas que se realizarán en la Ciudad de México.De acuerdo con la convocatoria difundida la concentración comenzará a las 15:00 horas en la glorieta de la Hospital General de Zona (HGZ) No. 1 del IMSS, mientras que la marcha está prevista para iniciar puntualmente a las 16:00 horas, en sincronía con una movilización capitalina.</t>
  </si>
  <si>
    <t>Después de casi seis meses de rehabilitación especializada en Pachuca, Itzán, un ejemplar de tigrillo (Leopardus wiedii), concluyó satisfactoriamente su proceso de acondicionamiento y se prepara para regresar a su hábitat natural en San Luis Potosí.En abril pasado, la Unidad de Rehabilitación de Fauna Silvestre de Pachuca recibió al felino, nacido en el Centro de Rescate “Selva Teenek”, ubicado en San Luis Potosí, para iniciar su preparación en los biosimuladores de sus instalaciones.Durante este periodo, el ejemplar desarrolló y demostró las habilidades necesarias para sobrevivir en vida silvestre, entre ellas reconocer, rastrear y capturar presas, identificar amenazas potenciales, desplazarse con agilidad y trepar árboles y ramas, además de manifestar conductas propias de su especie. Tras concluir las evaluaciones y cumplir con los requisitos técnicos y administrativos correspondientes, Itzán será liberado en un área protegida de San Luis Potosí, su entidad de procedencia, con el objetivo de favorecer su reincorporación a un entorno natural adecuado</t>
  </si>
  <si>
    <t>Rehabilitación animal</t>
  </si>
  <si>
    <t>Centro de Bachillerato Tecnológico Agropecuario número 5 de Huejutla, donde suspenden clases presenciales. Esto debido a una falla en el sistema eléctrico. A partir de este martes, los alumnos tendrán que tomar clases de manera virtual.Esto lo dio a conocer la dirección del Centro de Bachillerato Tecnológico Agropecuario número 5, y esto será hasta nuevo aviso, que suspendan las clases presenciales por una falla en el sistema eléctrico.Bueno, pues ojalá que se pueda arreglar y que nuevamente se puedan retomar las clases presenciales, no hay nada como eso. Pero bueno, al final también se resuelve haciéndolos de manera virtual. Parte de lo que nos dejó la pandemia es precisamente eso, la facilidad ahora que se tiene para poderlo hacer de manera virtual, eso y muchas otras cosas más.</t>
  </si>
  <si>
    <t>Suministro de energía</t>
  </si>
  <si>
    <t>Siete de la mañana ya con nueve minutos, organizar las elecciones del dos mil veintisiete en Hidalgo y consultar a la ciudadanía sobre la posible prohibición de las corridas de toros, requerirá casi trescientos noventa y tres millones de pesos, de acuerdo con los proyectos de presupuesto aprobados por el Instituto Estatal Electoral de Hidalgo. De esa cantidad, trescientos veintiséis millones novecientos ochenta mil pesos se destinarían a la organización de las elecciones para renovar los ochenta y cuatro presidencias municipales y las treinta diputaciones del Congreso Local, mientras que otros sesenta y seis millones de pesos serían para la consulta popular sobre las corridas de toros. Ambos ejercicios se realizarían el seis de junio de dos mil veintisiete, por lo que los hidalguenses acudirán a las urnas para elegir a sus nuevas autoridades municipales y legislativas, además de expresar su postura sobre la prohibición de los espectáculos taurinos en el Estado. Son ya las siete de la mañana con diez minutos.</t>
  </si>
  <si>
    <t>Tauromaquia</t>
  </si>
  <si>
    <t>Con una meta conjunta de más de un millón y medio de dosis, el Gobierno de Hidalgo puso en marcha las campañas de vacunación contra influenza, COVID-19 y virus del papiloma humano (VPH), como parte de las acciones para prevenir enfermedades y reducir el riesgo de complicaciones entre la población.A través de la Secretaría de Salud de Hidalgo (SSH), en coordinación con la Secretaría de Educación Pública estatal (SEPH), se busca proteger a la población durante la temporada invernal y prevenir el desarrollo de cáncer cervicouterino asociado al VPH.Las metas contemplan la aplicación de un millón 8 mil 20 dosis contra influenza, 516 mil 620 contra COVID-19 y 53 mil 60 contra el VPH, de acuerdo con la población objetivo de cada estrategia.</t>
  </si>
  <si>
    <t>Con una meta conjunta de más de un millón y medio de dosis, el Gobierno de Hidalgo puso en marcha las campañas de vacunación contra influenza, COVID-19 y virus del papiloma humano (VPH), como parte de las acciones para prevenir enfermedades y reducir el riesgo de complicaciones entre la población.A través de la Secretaría de Salud de Hidalgo (SSH),</t>
  </si>
  <si>
    <t>Radioescucha reporta baches en el tramo de Avenida Madero subiendo por J. Farias hasta Magnolia</t>
  </si>
  <si>
    <t>Vialidad En Mal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</si>
</sst>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2" tableType="queryTable" totalsRowShown="0">
  <autoFilter ref="A1:M15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2"/>
  <sheetViews>
    <sheetView tabSelected="1" workbookViewId="0"/>
  </sheetViews>
  <sheetFormatPr baseColWidth="10" defaultRowHeight="14.5" x14ac:dyDescent="0.35"/>
  <cols>
    <col min="1" max="1" width="8.1796875" bestFit="1" customWidth="1"/>
    <col min="2" max="2" width="10.26953125" bestFit="1" customWidth="1"/>
    <col min="3" max="3" width="18.90625" bestFit="1" customWidth="1"/>
    <col min="4" max="4" width="26.26953125" bestFit="1" customWidth="1"/>
    <col min="5" max="5" width="80.7265625" bestFit="1" customWidth="1"/>
    <col min="6" max="6" width="14.26953125" bestFit="1" customWidth="1"/>
    <col min="7" max="7" width="29.81640625" bestFit="1" customWidth="1"/>
    <col min="8" max="8" width="12"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18</v>
      </c>
      <c r="C1" t="s">
        <v>19</v>
      </c>
      <c r="D1" t="s">
        <v>20</v>
      </c>
      <c r="E1" t="s">
        <v>1</v>
      </c>
      <c r="F1" t="s">
        <v>2</v>
      </c>
      <c r="G1" t="s">
        <v>4</v>
      </c>
      <c r="H1" t="s">
        <v>3</v>
      </c>
      <c r="I1" t="s">
        <v>5</v>
      </c>
      <c r="J1" t="s">
        <v>21</v>
      </c>
      <c r="K1" t="s">
        <v>22</v>
      </c>
      <c r="L1" t="s">
        <v>23</v>
      </c>
      <c r="M1" t="s">
        <v>30</v>
      </c>
    </row>
    <row r="2" spans="1:13" x14ac:dyDescent="0.35">
      <c r="A2" s="2">
        <v>46307</v>
      </c>
      <c r="B2" s="1" t="str">
        <f ca="1">IF(Información1[[#This Row],[Fecha]]='Ajuste de fechas'!$A$2,"Día actual","Día anterior")</f>
        <v>Día anterior</v>
      </c>
      <c r="C2" s="3" t="s">
        <v>76</v>
      </c>
      <c r="D2" t="s">
        <v>63</v>
      </c>
      <c r="E2" s="3" t="s">
        <v>98</v>
      </c>
      <c r="F2" s="3" t="s">
        <v>13</v>
      </c>
      <c r="G2" s="3" t="s">
        <v>99</v>
      </c>
      <c r="H2" s="3" t="s">
        <v>37</v>
      </c>
      <c r="I2" s="3" t="s">
        <v>7</v>
      </c>
      <c r="J2" s="3" t="s">
        <v>28</v>
      </c>
      <c r="K2" s="3" t="s">
        <v>64</v>
      </c>
      <c r="L2" s="3" t="s">
        <v>25</v>
      </c>
      <c r="M2">
        <v>1</v>
      </c>
    </row>
    <row r="3" spans="1:13" x14ac:dyDescent="0.35">
      <c r="A3" s="2">
        <v>46307</v>
      </c>
      <c r="B3" s="1" t="str">
        <f ca="1">IF(Información1[[#This Row],[Fecha]]='Ajuste de fechas'!$A$2,"Día actual","Día anterior")</f>
        <v>Día anterior</v>
      </c>
      <c r="C3" s="3" t="s">
        <v>76</v>
      </c>
      <c r="D3" t="s">
        <v>63</v>
      </c>
      <c r="E3" s="3" t="s">
        <v>100</v>
      </c>
      <c r="F3" s="3" t="s">
        <v>101</v>
      </c>
      <c r="G3" s="3" t="s">
        <v>102</v>
      </c>
      <c r="H3" s="3" t="s">
        <v>37</v>
      </c>
      <c r="I3" s="3" t="s">
        <v>7</v>
      </c>
      <c r="J3" s="3" t="s">
        <v>24</v>
      </c>
      <c r="K3" s="3" t="s">
        <v>64</v>
      </c>
      <c r="L3" s="3" t="s">
        <v>25</v>
      </c>
      <c r="M3">
        <v>1</v>
      </c>
    </row>
    <row r="4" spans="1:13" x14ac:dyDescent="0.35">
      <c r="A4" s="2">
        <v>46307</v>
      </c>
      <c r="B4" s="1" t="str">
        <f ca="1">IF(Información1[[#This Row],[Fecha]]='Ajuste de fechas'!$A$2,"Día actual","Día anterior")</f>
        <v>Día anterior</v>
      </c>
      <c r="C4" s="3" t="s">
        <v>76</v>
      </c>
      <c r="D4" t="s">
        <v>63</v>
      </c>
      <c r="E4" s="3" t="s">
        <v>103</v>
      </c>
      <c r="F4" s="3" t="s">
        <v>15</v>
      </c>
      <c r="G4" s="3" t="s">
        <v>104</v>
      </c>
      <c r="H4" s="3" t="s">
        <v>37</v>
      </c>
      <c r="I4" s="3" t="s">
        <v>7</v>
      </c>
      <c r="J4" s="3" t="s">
        <v>29</v>
      </c>
      <c r="K4" s="3" t="s">
        <v>64</v>
      </c>
      <c r="L4" s="3" t="s">
        <v>25</v>
      </c>
      <c r="M4">
        <v>1</v>
      </c>
    </row>
    <row r="5" spans="1:13" x14ac:dyDescent="0.35">
      <c r="A5" s="2">
        <v>46307</v>
      </c>
      <c r="B5" s="1" t="str">
        <f ca="1">IF(Información1[[#This Row],[Fecha]]='Ajuste de fechas'!$A$2,"Día actual","Día anterior")</f>
        <v>Día anterior</v>
      </c>
      <c r="C5" s="3" t="s">
        <v>76</v>
      </c>
      <c r="D5" t="s">
        <v>63</v>
      </c>
      <c r="E5" s="3" t="s">
        <v>105</v>
      </c>
      <c r="F5" s="3" t="s">
        <v>75</v>
      </c>
      <c r="G5" s="3" t="s">
        <v>106</v>
      </c>
      <c r="H5" s="3" t="s">
        <v>37</v>
      </c>
      <c r="I5" s="3" t="s">
        <v>7</v>
      </c>
      <c r="J5" s="3" t="s">
        <v>24</v>
      </c>
      <c r="K5" s="3" t="s">
        <v>64</v>
      </c>
      <c r="L5" s="3" t="s">
        <v>25</v>
      </c>
      <c r="M5">
        <v>1</v>
      </c>
    </row>
    <row r="6" spans="1:13" x14ac:dyDescent="0.35">
      <c r="A6" s="2">
        <v>46307</v>
      </c>
      <c r="B6" s="1" t="str">
        <f ca="1">IF(Información1[[#This Row],[Fecha]]='Ajuste de fechas'!$A$2,"Día actual","Día anterior")</f>
        <v>Día anterior</v>
      </c>
      <c r="C6" s="3" t="s">
        <v>76</v>
      </c>
      <c r="D6" t="s">
        <v>63</v>
      </c>
      <c r="E6" s="3" t="s">
        <v>107</v>
      </c>
      <c r="F6" s="3" t="s">
        <v>15</v>
      </c>
      <c r="G6" s="3" t="s">
        <v>108</v>
      </c>
      <c r="H6" s="3" t="s">
        <v>37</v>
      </c>
      <c r="I6" s="3" t="s">
        <v>7</v>
      </c>
      <c r="J6" s="3" t="s">
        <v>29</v>
      </c>
      <c r="K6" s="3" t="s">
        <v>64</v>
      </c>
      <c r="L6" s="3" t="s">
        <v>25</v>
      </c>
      <c r="M6">
        <v>1</v>
      </c>
    </row>
    <row r="7" spans="1:13" x14ac:dyDescent="0.35">
      <c r="A7" s="2">
        <v>46307</v>
      </c>
      <c r="B7" s="1" t="str">
        <f ca="1">IF(Información1[[#This Row],[Fecha]]='Ajuste de fechas'!$A$2,"Día actual","Día anterior")</f>
        <v>Día anterior</v>
      </c>
      <c r="C7" s="3" t="s">
        <v>59</v>
      </c>
      <c r="D7" t="s">
        <v>60</v>
      </c>
      <c r="E7" s="3" t="s">
        <v>109</v>
      </c>
      <c r="F7" s="3" t="s">
        <v>85</v>
      </c>
      <c r="G7" s="3" t="s">
        <v>110</v>
      </c>
      <c r="H7" s="3" t="s">
        <v>37</v>
      </c>
      <c r="I7" s="3" t="s">
        <v>7</v>
      </c>
      <c r="J7" s="3" t="s">
        <v>24</v>
      </c>
      <c r="K7" s="3" t="s">
        <v>61</v>
      </c>
      <c r="L7" s="3" t="s">
        <v>25</v>
      </c>
      <c r="M7">
        <v>1</v>
      </c>
    </row>
    <row r="8" spans="1:13" x14ac:dyDescent="0.35">
      <c r="A8" s="2">
        <v>46307</v>
      </c>
      <c r="B8" s="1" t="str">
        <f ca="1">IF(Información1[[#This Row],[Fecha]]='Ajuste de fechas'!$A$2,"Día actual","Día anterior")</f>
        <v>Día anterior</v>
      </c>
      <c r="C8" s="3" t="s">
        <v>76</v>
      </c>
      <c r="D8" t="s">
        <v>111</v>
      </c>
      <c r="E8" s="3" t="s">
        <v>112</v>
      </c>
      <c r="F8" s="3" t="s">
        <v>13</v>
      </c>
      <c r="G8" s="3" t="s">
        <v>84</v>
      </c>
      <c r="H8" s="3" t="s">
        <v>37</v>
      </c>
      <c r="I8" s="3" t="s">
        <v>17</v>
      </c>
      <c r="J8" s="3" t="s">
        <v>28</v>
      </c>
      <c r="K8" s="3" t="s">
        <v>113</v>
      </c>
      <c r="L8" s="3" t="s">
        <v>25</v>
      </c>
      <c r="M8">
        <v>1</v>
      </c>
    </row>
    <row r="9" spans="1:13" x14ac:dyDescent="0.35">
      <c r="A9" s="2">
        <v>46307</v>
      </c>
      <c r="B9" s="1" t="str">
        <f ca="1">IF(Información1[[#This Row],[Fecha]]='Ajuste de fechas'!$A$2,"Día actual","Día anterior")</f>
        <v>Día anterior</v>
      </c>
      <c r="C9" s="3" t="s">
        <v>76</v>
      </c>
      <c r="D9" t="s">
        <v>111</v>
      </c>
      <c r="E9" s="3" t="s">
        <v>114</v>
      </c>
      <c r="F9" s="3" t="s">
        <v>13</v>
      </c>
      <c r="G9" s="3" t="s">
        <v>84</v>
      </c>
      <c r="H9" s="3" t="s">
        <v>37</v>
      </c>
      <c r="I9" s="3" t="s">
        <v>17</v>
      </c>
      <c r="J9" s="3" t="s">
        <v>28</v>
      </c>
      <c r="K9" s="3" t="s">
        <v>113</v>
      </c>
      <c r="L9" s="3" t="s">
        <v>25</v>
      </c>
      <c r="M9">
        <v>1</v>
      </c>
    </row>
    <row r="10" spans="1:13" x14ac:dyDescent="0.35">
      <c r="A10" s="2">
        <v>46307</v>
      </c>
      <c r="B10" s="1" t="str">
        <f ca="1">IF(Información1[[#This Row],[Fecha]]='Ajuste de fechas'!$A$2,"Día actual","Día anterior")</f>
        <v>Día anterior</v>
      </c>
      <c r="C10" s="3" t="s">
        <v>76</v>
      </c>
      <c r="D10" t="s">
        <v>111</v>
      </c>
      <c r="E10" s="3" t="s">
        <v>115</v>
      </c>
      <c r="F10" s="3" t="s">
        <v>13</v>
      </c>
      <c r="G10" s="3" t="s">
        <v>65</v>
      </c>
      <c r="H10" s="3" t="s">
        <v>37</v>
      </c>
      <c r="I10" s="3" t="s">
        <v>17</v>
      </c>
      <c r="J10" s="3" t="s">
        <v>28</v>
      </c>
      <c r="K10" s="3" t="s">
        <v>113</v>
      </c>
      <c r="L10" s="3" t="s">
        <v>25</v>
      </c>
      <c r="M10">
        <v>1</v>
      </c>
    </row>
    <row r="11" spans="1:13" x14ac:dyDescent="0.35">
      <c r="A11" s="2">
        <v>46307</v>
      </c>
      <c r="B11" s="1" t="str">
        <f ca="1">IF(Información1[[#This Row],[Fecha]]='Ajuste de fechas'!$A$2,"Día actual","Día anterior")</f>
        <v>Día anterior</v>
      </c>
      <c r="C11" s="3" t="s">
        <v>76</v>
      </c>
      <c r="D11" t="s">
        <v>111</v>
      </c>
      <c r="E11" s="3" t="s">
        <v>116</v>
      </c>
      <c r="F11" s="3" t="s">
        <v>15</v>
      </c>
      <c r="G11" s="3" t="s">
        <v>117</v>
      </c>
      <c r="H11" s="3" t="s">
        <v>37</v>
      </c>
      <c r="I11" s="3" t="s">
        <v>17</v>
      </c>
      <c r="J11" s="3" t="s">
        <v>29</v>
      </c>
      <c r="K11" s="3" t="s">
        <v>44</v>
      </c>
      <c r="L11" s="3" t="s">
        <v>26</v>
      </c>
      <c r="M11">
        <v>1</v>
      </c>
    </row>
    <row r="12" spans="1:13" x14ac:dyDescent="0.35">
      <c r="A12" s="2">
        <v>46307</v>
      </c>
      <c r="B12" s="1" t="str">
        <f ca="1">IF(Información1[[#This Row],[Fecha]]='Ajuste de fechas'!$A$2,"Día actual","Día anterior")</f>
        <v>Día anterior</v>
      </c>
      <c r="C12" s="3" t="s">
        <v>76</v>
      </c>
      <c r="D12" t="s">
        <v>111</v>
      </c>
      <c r="E12" s="3" t="s">
        <v>118</v>
      </c>
      <c r="F12" s="3" t="s">
        <v>36</v>
      </c>
      <c r="G12" s="3" t="s">
        <v>119</v>
      </c>
      <c r="H12" s="3" t="s">
        <v>37</v>
      </c>
      <c r="I12" s="3" t="s">
        <v>7</v>
      </c>
      <c r="J12" s="3" t="s">
        <v>24</v>
      </c>
      <c r="K12" s="3" t="s">
        <v>113</v>
      </c>
      <c r="L12" s="3" t="s">
        <v>25</v>
      </c>
      <c r="M12">
        <v>1</v>
      </c>
    </row>
    <row r="13" spans="1:13" x14ac:dyDescent="0.35">
      <c r="A13" s="2">
        <v>46307</v>
      </c>
      <c r="B13" s="1" t="str">
        <f ca="1">IF(Información1[[#This Row],[Fecha]]='Ajuste de fechas'!$A$2,"Día actual","Día anterior")</f>
        <v>Día anterior</v>
      </c>
      <c r="C13" s="3" t="s">
        <v>76</v>
      </c>
      <c r="D13" t="s">
        <v>111</v>
      </c>
      <c r="E13" s="3" t="s">
        <v>120</v>
      </c>
      <c r="F13" s="3" t="s">
        <v>13</v>
      </c>
      <c r="G13" s="3" t="s">
        <v>96</v>
      </c>
      <c r="H13" s="3" t="s">
        <v>37</v>
      </c>
      <c r="I13" s="3" t="s">
        <v>7</v>
      </c>
      <c r="J13" s="3" t="s">
        <v>28</v>
      </c>
      <c r="K13" s="3" t="s">
        <v>113</v>
      </c>
      <c r="L13" s="3" t="s">
        <v>25</v>
      </c>
      <c r="M13">
        <v>1</v>
      </c>
    </row>
    <row r="14" spans="1:13" x14ac:dyDescent="0.35">
      <c r="A14" s="2">
        <v>46307</v>
      </c>
      <c r="B14" s="1" t="str">
        <f ca="1">IF(Información1[[#This Row],[Fecha]]='Ajuste de fechas'!$A$2,"Día actual","Día anterior")</f>
        <v>Día anterior</v>
      </c>
      <c r="C14" s="3" t="s">
        <v>76</v>
      </c>
      <c r="D14" t="s">
        <v>111</v>
      </c>
      <c r="E14" s="3" t="s">
        <v>121</v>
      </c>
      <c r="F14" s="3" t="s">
        <v>73</v>
      </c>
      <c r="G14" s="3" t="s">
        <v>62</v>
      </c>
      <c r="H14" s="3" t="s">
        <v>37</v>
      </c>
      <c r="I14" s="3" t="s">
        <v>7</v>
      </c>
      <c r="J14" s="3" t="s">
        <v>24</v>
      </c>
      <c r="K14" s="3" t="s">
        <v>113</v>
      </c>
      <c r="L14" s="3" t="s">
        <v>25</v>
      </c>
      <c r="M14">
        <v>1</v>
      </c>
    </row>
    <row r="15" spans="1:13" x14ac:dyDescent="0.35">
      <c r="A15" s="2">
        <v>46307</v>
      </c>
      <c r="B15" s="1" t="str">
        <f ca="1">IF(Información1[[#This Row],[Fecha]]='Ajuste de fechas'!$A$2,"Día actual","Día anterior")</f>
        <v>Día anterior</v>
      </c>
      <c r="C15" s="3" t="s">
        <v>76</v>
      </c>
      <c r="D15" t="s">
        <v>111</v>
      </c>
      <c r="E15" s="3" t="s">
        <v>122</v>
      </c>
      <c r="F15" s="3" t="s">
        <v>73</v>
      </c>
      <c r="G15" s="3" t="s">
        <v>123</v>
      </c>
      <c r="H15" s="3" t="s">
        <v>37</v>
      </c>
      <c r="I15" s="3" t="s">
        <v>7</v>
      </c>
      <c r="J15" s="3" t="s">
        <v>24</v>
      </c>
      <c r="K15" s="3" t="s">
        <v>113</v>
      </c>
      <c r="L15" s="3" t="s">
        <v>25</v>
      </c>
      <c r="M15">
        <v>1</v>
      </c>
    </row>
    <row r="16" spans="1:13" x14ac:dyDescent="0.35">
      <c r="A16" s="2">
        <v>46307</v>
      </c>
      <c r="B16" s="1" t="str">
        <f ca="1">IF(Información1[[#This Row],[Fecha]]='Ajuste de fechas'!$A$2,"Día actual","Día anterior")</f>
        <v>Día anterior</v>
      </c>
      <c r="C16" s="3" t="s">
        <v>76</v>
      </c>
      <c r="D16" t="s">
        <v>111</v>
      </c>
      <c r="E16" s="3" t="s">
        <v>124</v>
      </c>
      <c r="F16" s="3" t="s">
        <v>13</v>
      </c>
      <c r="G16" s="3" t="s">
        <v>125</v>
      </c>
      <c r="H16" s="3" t="s">
        <v>37</v>
      </c>
      <c r="I16" s="3" t="s">
        <v>7</v>
      </c>
      <c r="J16" s="3" t="s">
        <v>28</v>
      </c>
      <c r="K16" s="3" t="s">
        <v>113</v>
      </c>
      <c r="L16" s="3" t="s">
        <v>25</v>
      </c>
      <c r="M16">
        <v>1</v>
      </c>
    </row>
    <row r="17" spans="1:13" x14ac:dyDescent="0.35">
      <c r="A17" s="2">
        <v>46307</v>
      </c>
      <c r="B17" s="1" t="str">
        <f ca="1">IF(Información1[[#This Row],[Fecha]]='Ajuste de fechas'!$A$2,"Día actual","Día anterior")</f>
        <v>Día anterior</v>
      </c>
      <c r="C17" s="3" t="s">
        <v>76</v>
      </c>
      <c r="D17" t="s">
        <v>111</v>
      </c>
      <c r="E17" s="3" t="s">
        <v>126</v>
      </c>
      <c r="F17" s="3" t="s">
        <v>14</v>
      </c>
      <c r="G17" s="3" t="s">
        <v>127</v>
      </c>
      <c r="H17" s="3" t="s">
        <v>37</v>
      </c>
      <c r="I17" s="3" t="s">
        <v>7</v>
      </c>
      <c r="J17" s="3" t="s">
        <v>24</v>
      </c>
      <c r="K17" s="3" t="s">
        <v>113</v>
      </c>
      <c r="L17" s="3" t="s">
        <v>25</v>
      </c>
      <c r="M17">
        <v>1</v>
      </c>
    </row>
    <row r="18" spans="1:13" x14ac:dyDescent="0.35">
      <c r="A18" s="2">
        <v>46307</v>
      </c>
      <c r="B18" s="1" t="str">
        <f ca="1">IF(Información1[[#This Row],[Fecha]]='Ajuste de fechas'!$A$2,"Día actual","Día anterior")</f>
        <v>Día anterior</v>
      </c>
      <c r="C18" s="3" t="s">
        <v>76</v>
      </c>
      <c r="D18" t="s">
        <v>111</v>
      </c>
      <c r="E18" s="3" t="s">
        <v>128</v>
      </c>
      <c r="F18" s="3" t="s">
        <v>14</v>
      </c>
      <c r="G18" s="3" t="s">
        <v>129</v>
      </c>
      <c r="H18" s="3" t="s">
        <v>37</v>
      </c>
      <c r="I18" s="3" t="s">
        <v>7</v>
      </c>
      <c r="J18" s="3" t="s">
        <v>24</v>
      </c>
      <c r="K18" s="3" t="s">
        <v>113</v>
      </c>
      <c r="L18" s="3" t="s">
        <v>25</v>
      </c>
      <c r="M18">
        <v>1</v>
      </c>
    </row>
    <row r="19" spans="1:13" x14ac:dyDescent="0.35">
      <c r="A19" s="2">
        <v>46307</v>
      </c>
      <c r="B19" s="1" t="str">
        <f ca="1">IF(Información1[[#This Row],[Fecha]]='Ajuste de fechas'!$A$2,"Día actual","Día anterior")</f>
        <v>Día anterior</v>
      </c>
      <c r="C19" s="3" t="s">
        <v>76</v>
      </c>
      <c r="D19" t="s">
        <v>111</v>
      </c>
      <c r="E19" s="3" t="s">
        <v>130</v>
      </c>
      <c r="F19" s="3" t="s">
        <v>131</v>
      </c>
      <c r="G19" s="3" t="s">
        <v>82</v>
      </c>
      <c r="H19" s="3" t="s">
        <v>37</v>
      </c>
      <c r="I19" s="3" t="s">
        <v>7</v>
      </c>
      <c r="J19" s="3" t="s">
        <v>24</v>
      </c>
      <c r="K19" s="3" t="s">
        <v>113</v>
      </c>
      <c r="L19" s="3" t="s">
        <v>25</v>
      </c>
      <c r="M19">
        <v>1</v>
      </c>
    </row>
    <row r="20" spans="1:13" x14ac:dyDescent="0.35">
      <c r="A20" s="2">
        <v>46307</v>
      </c>
      <c r="B20" s="1" t="str">
        <f ca="1">IF(Información1[[#This Row],[Fecha]]='Ajuste de fechas'!$A$2,"Día actual","Día anterior")</f>
        <v>Día anterior</v>
      </c>
      <c r="C20" s="3" t="s">
        <v>76</v>
      </c>
      <c r="D20" t="s">
        <v>111</v>
      </c>
      <c r="E20" s="3" t="s">
        <v>132</v>
      </c>
      <c r="F20" s="3" t="s">
        <v>35</v>
      </c>
      <c r="G20" s="3" t="s">
        <v>91</v>
      </c>
      <c r="H20" s="3" t="s">
        <v>37</v>
      </c>
      <c r="I20" s="3" t="s">
        <v>7</v>
      </c>
      <c r="J20" s="3" t="s">
        <v>24</v>
      </c>
      <c r="K20" s="3" t="s">
        <v>113</v>
      </c>
      <c r="L20" s="3" t="s">
        <v>25</v>
      </c>
      <c r="M20">
        <v>1</v>
      </c>
    </row>
    <row r="21" spans="1:13" x14ac:dyDescent="0.35">
      <c r="A21" s="2">
        <v>46307</v>
      </c>
      <c r="B21" s="1" t="str">
        <f ca="1">IF(Información1[[#This Row],[Fecha]]='Ajuste de fechas'!$A$2,"Día actual","Día anterior")</f>
        <v>Día anterior</v>
      </c>
      <c r="C21" s="3" t="s">
        <v>76</v>
      </c>
      <c r="D21" t="s">
        <v>111</v>
      </c>
      <c r="E21" s="3" t="s">
        <v>133</v>
      </c>
      <c r="F21" s="3" t="s">
        <v>15</v>
      </c>
      <c r="G21" s="3" t="s">
        <v>134</v>
      </c>
      <c r="H21" s="3" t="s">
        <v>37</v>
      </c>
      <c r="I21" s="3" t="s">
        <v>7</v>
      </c>
      <c r="J21" s="3" t="s">
        <v>29</v>
      </c>
      <c r="K21" s="3" t="s">
        <v>113</v>
      </c>
      <c r="L21" s="3" t="s">
        <v>25</v>
      </c>
      <c r="M21">
        <v>1</v>
      </c>
    </row>
    <row r="22" spans="1:13" x14ac:dyDescent="0.35">
      <c r="A22" s="2">
        <v>46307</v>
      </c>
      <c r="B22" s="1" t="str">
        <f ca="1">IF(Información1[[#This Row],[Fecha]]='Ajuste de fechas'!$A$2,"Día actual","Día anterior")</f>
        <v>Día anterior</v>
      </c>
      <c r="C22" s="3" t="s">
        <v>76</v>
      </c>
      <c r="D22" t="s">
        <v>111</v>
      </c>
      <c r="E22" s="3" t="s">
        <v>135</v>
      </c>
      <c r="F22" s="3" t="s">
        <v>35</v>
      </c>
      <c r="G22" s="3" t="s">
        <v>134</v>
      </c>
      <c r="H22" s="3" t="s">
        <v>37</v>
      </c>
      <c r="I22" s="3" t="s">
        <v>7</v>
      </c>
      <c r="J22" s="3" t="s">
        <v>24</v>
      </c>
      <c r="K22" s="3" t="s">
        <v>113</v>
      </c>
      <c r="L22" s="3" t="s">
        <v>25</v>
      </c>
      <c r="M22">
        <v>1</v>
      </c>
    </row>
    <row r="23" spans="1:13" x14ac:dyDescent="0.35">
      <c r="A23" s="2">
        <v>46307</v>
      </c>
      <c r="B23" s="1" t="str">
        <f ca="1">IF(Información1[[#This Row],[Fecha]]='Ajuste de fechas'!$A$2,"Día actual","Día anterior")</f>
        <v>Día anterior</v>
      </c>
      <c r="C23" s="3" t="s">
        <v>76</v>
      </c>
      <c r="D23" t="s">
        <v>111</v>
      </c>
      <c r="E23" s="3" t="s">
        <v>136</v>
      </c>
      <c r="F23" s="3" t="s">
        <v>15</v>
      </c>
      <c r="G23" s="3" t="s">
        <v>108</v>
      </c>
      <c r="H23" s="3" t="s">
        <v>37</v>
      </c>
      <c r="I23" s="3" t="s">
        <v>7</v>
      </c>
      <c r="J23" s="3" t="s">
        <v>29</v>
      </c>
      <c r="K23" s="3" t="s">
        <v>113</v>
      </c>
      <c r="L23" s="3" t="s">
        <v>25</v>
      </c>
      <c r="M23">
        <v>1</v>
      </c>
    </row>
    <row r="24" spans="1:13" x14ac:dyDescent="0.35">
      <c r="A24" s="2">
        <v>46307</v>
      </c>
      <c r="B24" s="1" t="str">
        <f ca="1">IF(Información1[[#This Row],[Fecha]]='Ajuste de fechas'!$A$2,"Día actual","Día anterior")</f>
        <v>Día anterior</v>
      </c>
      <c r="C24" s="3" t="s">
        <v>8</v>
      </c>
      <c r="D24" t="s">
        <v>9</v>
      </c>
      <c r="E24" s="3" t="s">
        <v>137</v>
      </c>
      <c r="F24" s="3" t="s">
        <v>6</v>
      </c>
      <c r="G24" s="3" t="s">
        <v>65</v>
      </c>
      <c r="H24" s="3" t="s">
        <v>37</v>
      </c>
      <c r="I24" s="3" t="s">
        <v>17</v>
      </c>
      <c r="J24" s="3" t="s">
        <v>24</v>
      </c>
      <c r="K24" s="3" t="s">
        <v>44</v>
      </c>
      <c r="L24" s="3" t="s">
        <v>26</v>
      </c>
      <c r="M24">
        <v>1</v>
      </c>
    </row>
    <row r="25" spans="1:13" x14ac:dyDescent="0.35">
      <c r="A25" s="2">
        <v>46307</v>
      </c>
      <c r="B25" s="1" t="str">
        <f ca="1">IF(Información1[[#This Row],[Fecha]]='Ajuste de fechas'!$A$2,"Día actual","Día anterior")</f>
        <v>Día anterior</v>
      </c>
      <c r="C25" s="3" t="s">
        <v>8</v>
      </c>
      <c r="D25" t="s">
        <v>9</v>
      </c>
      <c r="E25" s="3" t="s">
        <v>138</v>
      </c>
      <c r="F25" s="3" t="s">
        <v>6</v>
      </c>
      <c r="G25" s="3" t="s">
        <v>65</v>
      </c>
      <c r="H25" s="3" t="s">
        <v>37</v>
      </c>
      <c r="I25" s="3" t="s">
        <v>17</v>
      </c>
      <c r="J25" s="3" t="s">
        <v>24</v>
      </c>
      <c r="K25" s="3" t="s">
        <v>44</v>
      </c>
      <c r="L25" s="3" t="s">
        <v>26</v>
      </c>
      <c r="M25">
        <v>1</v>
      </c>
    </row>
    <row r="26" spans="1:13" x14ac:dyDescent="0.35">
      <c r="A26" s="2">
        <v>46307</v>
      </c>
      <c r="B26" s="1" t="str">
        <f ca="1">IF(Información1[[#This Row],[Fecha]]='Ajuste de fechas'!$A$2,"Día actual","Día anterior")</f>
        <v>Día anterior</v>
      </c>
      <c r="C26" s="3" t="s">
        <v>8</v>
      </c>
      <c r="D26" t="s">
        <v>9</v>
      </c>
      <c r="E26" s="3" t="s">
        <v>139</v>
      </c>
      <c r="F26" s="3" t="s">
        <v>6</v>
      </c>
      <c r="G26" s="3" t="s">
        <v>65</v>
      </c>
      <c r="H26" s="3" t="s">
        <v>37</v>
      </c>
      <c r="I26" s="3" t="s">
        <v>17</v>
      </c>
      <c r="J26" s="3" t="s">
        <v>24</v>
      </c>
      <c r="K26" s="3" t="s">
        <v>44</v>
      </c>
      <c r="L26" s="3" t="s">
        <v>26</v>
      </c>
      <c r="M26">
        <v>1</v>
      </c>
    </row>
    <row r="27" spans="1:13" x14ac:dyDescent="0.35">
      <c r="A27" s="2">
        <v>46307</v>
      </c>
      <c r="B27" s="1" t="str">
        <f ca="1">IF(Información1[[#This Row],[Fecha]]='Ajuste de fechas'!$A$2,"Día actual","Día anterior")</f>
        <v>Día anterior</v>
      </c>
      <c r="C27" s="3" t="s">
        <v>8</v>
      </c>
      <c r="D27" t="s">
        <v>9</v>
      </c>
      <c r="E27" s="3" t="s">
        <v>140</v>
      </c>
      <c r="F27" s="3" t="s">
        <v>13</v>
      </c>
      <c r="G27" s="3" t="s">
        <v>141</v>
      </c>
      <c r="H27" s="3" t="s">
        <v>37</v>
      </c>
      <c r="I27" s="3" t="s">
        <v>7</v>
      </c>
      <c r="J27" s="3" t="s">
        <v>28</v>
      </c>
      <c r="K27" s="3" t="s">
        <v>11</v>
      </c>
      <c r="L27" s="3" t="s">
        <v>26</v>
      </c>
      <c r="M27">
        <v>1</v>
      </c>
    </row>
    <row r="28" spans="1:13" x14ac:dyDescent="0.35">
      <c r="A28" s="2">
        <v>46307</v>
      </c>
      <c r="B28" s="1" t="str">
        <f ca="1">IF(Información1[[#This Row],[Fecha]]='Ajuste de fechas'!$A$2,"Día actual","Día anterior")</f>
        <v>Día anterior</v>
      </c>
      <c r="C28" s="3" t="s">
        <v>8</v>
      </c>
      <c r="D28" t="s">
        <v>9</v>
      </c>
      <c r="E28" s="3" t="s">
        <v>142</v>
      </c>
      <c r="F28" s="3" t="s">
        <v>16</v>
      </c>
      <c r="G28" s="3" t="s">
        <v>94</v>
      </c>
      <c r="H28" s="3" t="s">
        <v>37</v>
      </c>
      <c r="I28" s="3" t="s">
        <v>7</v>
      </c>
      <c r="J28" s="3" t="s">
        <v>16</v>
      </c>
      <c r="K28" s="3" t="s">
        <v>11</v>
      </c>
      <c r="L28" s="3" t="s">
        <v>34</v>
      </c>
      <c r="M28">
        <v>1</v>
      </c>
    </row>
    <row r="29" spans="1:13" x14ac:dyDescent="0.35">
      <c r="A29" s="2">
        <v>46307</v>
      </c>
      <c r="B29" s="1" t="str">
        <f ca="1">IF(Información1[[#This Row],[Fecha]]='Ajuste de fechas'!$A$2,"Día actual","Día anterior")</f>
        <v>Día anterior</v>
      </c>
      <c r="C29" s="3" t="s">
        <v>8</v>
      </c>
      <c r="D29" t="s">
        <v>9</v>
      </c>
      <c r="E29" s="3" t="s">
        <v>143</v>
      </c>
      <c r="F29" s="3" t="s">
        <v>33</v>
      </c>
      <c r="G29" s="3" t="s">
        <v>81</v>
      </c>
      <c r="H29" s="3" t="s">
        <v>37</v>
      </c>
      <c r="I29" s="3" t="s">
        <v>7</v>
      </c>
      <c r="J29" s="3" t="s">
        <v>16</v>
      </c>
      <c r="K29" s="3" t="s">
        <v>11</v>
      </c>
      <c r="L29" s="3" t="s">
        <v>34</v>
      </c>
      <c r="M29">
        <v>1</v>
      </c>
    </row>
    <row r="30" spans="1:13" x14ac:dyDescent="0.35">
      <c r="A30" s="2">
        <v>46307</v>
      </c>
      <c r="B30" s="1" t="str">
        <f ca="1">IF(Información1[[#This Row],[Fecha]]='Ajuste de fechas'!$A$2,"Día actual","Día anterior")</f>
        <v>Día anterior</v>
      </c>
      <c r="C30" s="3" t="s">
        <v>8</v>
      </c>
      <c r="D30" t="s">
        <v>9</v>
      </c>
      <c r="E30" s="3" t="s">
        <v>144</v>
      </c>
      <c r="F30" s="3" t="s">
        <v>15</v>
      </c>
      <c r="G30" s="3" t="s">
        <v>72</v>
      </c>
      <c r="H30" s="3" t="s">
        <v>37</v>
      </c>
      <c r="I30" s="3" t="s">
        <v>7</v>
      </c>
      <c r="J30" s="3" t="s">
        <v>29</v>
      </c>
      <c r="K30" s="3" t="s">
        <v>11</v>
      </c>
      <c r="L30" s="3" t="s">
        <v>25</v>
      </c>
      <c r="M30">
        <v>1</v>
      </c>
    </row>
    <row r="31" spans="1:13" x14ac:dyDescent="0.35">
      <c r="A31" s="2">
        <v>46307</v>
      </c>
      <c r="B31" s="1" t="str">
        <f ca="1">IF(Información1[[#This Row],[Fecha]]='Ajuste de fechas'!$A$2,"Día actual","Día anterior")</f>
        <v>Día anterior</v>
      </c>
      <c r="C31" s="3" t="s">
        <v>8</v>
      </c>
      <c r="D31" t="s">
        <v>9</v>
      </c>
      <c r="E31" s="3" t="s">
        <v>145</v>
      </c>
      <c r="F31" s="3" t="s">
        <v>15</v>
      </c>
      <c r="G31" s="3" t="s">
        <v>146</v>
      </c>
      <c r="H31" s="3" t="s">
        <v>37</v>
      </c>
      <c r="I31" s="3" t="s">
        <v>7</v>
      </c>
      <c r="J31" s="3" t="s">
        <v>29</v>
      </c>
      <c r="K31" s="3" t="s">
        <v>11</v>
      </c>
      <c r="L31" s="3" t="s">
        <v>25</v>
      </c>
      <c r="M31">
        <v>1</v>
      </c>
    </row>
    <row r="32" spans="1:13" x14ac:dyDescent="0.35">
      <c r="A32" s="2">
        <v>46307</v>
      </c>
      <c r="B32" s="1" t="str">
        <f ca="1">IF(Información1[[#This Row],[Fecha]]='Ajuste de fechas'!$A$2,"Día actual","Día anterior")</f>
        <v>Día anterior</v>
      </c>
      <c r="C32" s="3" t="s">
        <v>8</v>
      </c>
      <c r="D32" t="s">
        <v>9</v>
      </c>
      <c r="E32" s="3" t="s">
        <v>147</v>
      </c>
      <c r="F32" s="3" t="s">
        <v>73</v>
      </c>
      <c r="G32" s="3" t="s">
        <v>62</v>
      </c>
      <c r="H32" s="3" t="s">
        <v>37</v>
      </c>
      <c r="I32" s="3" t="s">
        <v>7</v>
      </c>
      <c r="J32" s="3" t="s">
        <v>24</v>
      </c>
      <c r="K32" s="3" t="s">
        <v>11</v>
      </c>
      <c r="L32" s="3" t="s">
        <v>27</v>
      </c>
      <c r="M32">
        <v>1</v>
      </c>
    </row>
    <row r="33" spans="1:13" x14ac:dyDescent="0.35">
      <c r="A33" s="2">
        <v>46307</v>
      </c>
      <c r="B33" s="1" t="str">
        <f ca="1">IF(Información1[[#This Row],[Fecha]]='Ajuste de fechas'!$A$2,"Día actual","Día anterior")</f>
        <v>Día anterior</v>
      </c>
      <c r="C33" s="3" t="s">
        <v>8</v>
      </c>
      <c r="D33" t="s">
        <v>9</v>
      </c>
      <c r="E33" s="3" t="s">
        <v>148</v>
      </c>
      <c r="F33" s="3" t="s">
        <v>35</v>
      </c>
      <c r="G33" s="3" t="s">
        <v>91</v>
      </c>
      <c r="H33" s="3" t="s">
        <v>37</v>
      </c>
      <c r="I33" s="3" t="s">
        <v>7</v>
      </c>
      <c r="J33" s="3" t="s">
        <v>24</v>
      </c>
      <c r="K33" s="3" t="s">
        <v>11</v>
      </c>
      <c r="L33" s="3" t="s">
        <v>27</v>
      </c>
      <c r="M33">
        <v>1</v>
      </c>
    </row>
    <row r="34" spans="1:13" x14ac:dyDescent="0.35">
      <c r="A34" s="2">
        <v>46307</v>
      </c>
      <c r="B34" s="1" t="str">
        <f ca="1">IF(Información1[[#This Row],[Fecha]]='Ajuste de fechas'!$A$2,"Día actual","Día anterior")</f>
        <v>Día anterior</v>
      </c>
      <c r="C34" s="3" t="s">
        <v>8</v>
      </c>
      <c r="D34" t="s">
        <v>9</v>
      </c>
      <c r="E34" s="3" t="s">
        <v>149</v>
      </c>
      <c r="F34" s="3" t="s">
        <v>15</v>
      </c>
      <c r="G34" s="3" t="s">
        <v>108</v>
      </c>
      <c r="H34" s="3" t="s">
        <v>37</v>
      </c>
      <c r="I34" s="3" t="s">
        <v>7</v>
      </c>
      <c r="J34" s="3" t="s">
        <v>29</v>
      </c>
      <c r="K34" s="3" t="s">
        <v>11</v>
      </c>
      <c r="L34" s="3" t="s">
        <v>25</v>
      </c>
      <c r="M34">
        <v>1</v>
      </c>
    </row>
    <row r="35" spans="1:13" x14ac:dyDescent="0.35">
      <c r="A35" s="2">
        <v>46307</v>
      </c>
      <c r="B35" s="1" t="str">
        <f ca="1">IF(Información1[[#This Row],[Fecha]]='Ajuste de fechas'!$A$2,"Día actual","Día anterior")</f>
        <v>Día anterior</v>
      </c>
      <c r="C35" s="3" t="s">
        <v>8</v>
      </c>
      <c r="D35" t="s">
        <v>9</v>
      </c>
      <c r="E35" s="3" t="s">
        <v>66</v>
      </c>
      <c r="F35" s="3" t="s">
        <v>13</v>
      </c>
      <c r="G35" s="3" t="s">
        <v>180</v>
      </c>
      <c r="H35" s="3" t="s">
        <v>37</v>
      </c>
      <c r="I35" s="3" t="s">
        <v>7</v>
      </c>
      <c r="J35" s="3" t="s">
        <v>28</v>
      </c>
      <c r="K35" s="3" t="s">
        <v>11</v>
      </c>
      <c r="L35" s="3" t="s">
        <v>26</v>
      </c>
      <c r="M35">
        <v>1</v>
      </c>
    </row>
    <row r="36" spans="1:13" x14ac:dyDescent="0.35">
      <c r="A36" s="2">
        <v>46307</v>
      </c>
      <c r="B36" s="1" t="str">
        <f ca="1">IF(Información1[[#This Row],[Fecha]]='Ajuste de fechas'!$A$2,"Día actual","Día anterior")</f>
        <v>Día anterior</v>
      </c>
      <c r="C36" s="3" t="s">
        <v>8</v>
      </c>
      <c r="D36" t="s">
        <v>9</v>
      </c>
      <c r="E36" s="3" t="s">
        <v>68</v>
      </c>
      <c r="F36" s="3" t="s">
        <v>13</v>
      </c>
      <c r="G36" s="3" t="s">
        <v>180</v>
      </c>
      <c r="H36" s="3" t="s">
        <v>37</v>
      </c>
      <c r="I36" s="3" t="s">
        <v>7</v>
      </c>
      <c r="J36" s="3" t="s">
        <v>28</v>
      </c>
      <c r="K36" s="3" t="s">
        <v>11</v>
      </c>
      <c r="L36" s="3" t="s">
        <v>26</v>
      </c>
      <c r="M36">
        <v>1</v>
      </c>
    </row>
    <row r="37" spans="1:13" x14ac:dyDescent="0.35">
      <c r="A37" s="2">
        <v>46307</v>
      </c>
      <c r="B37" s="1" t="str">
        <f ca="1">IF(Información1[[#This Row],[Fecha]]='Ajuste de fechas'!$A$2,"Día actual","Día anterior")</f>
        <v>Día anterior</v>
      </c>
      <c r="C37" s="3" t="s">
        <v>8</v>
      </c>
      <c r="D37" t="s">
        <v>9</v>
      </c>
      <c r="E37" s="3" t="s">
        <v>69</v>
      </c>
      <c r="F37" s="3" t="s">
        <v>33</v>
      </c>
      <c r="G37" s="3" t="s">
        <v>180</v>
      </c>
      <c r="H37" s="3" t="s">
        <v>37</v>
      </c>
      <c r="I37" s="3" t="s">
        <v>7</v>
      </c>
      <c r="J37" s="3" t="s">
        <v>16</v>
      </c>
      <c r="K37" s="3" t="s">
        <v>11</v>
      </c>
      <c r="L37" s="3" t="s">
        <v>26</v>
      </c>
      <c r="M37">
        <v>1</v>
      </c>
    </row>
    <row r="38" spans="1:13" x14ac:dyDescent="0.35">
      <c r="A38" s="2">
        <v>46307</v>
      </c>
      <c r="B38" s="1" t="str">
        <f ca="1">IF(Información1[[#This Row],[Fecha]]='Ajuste de fechas'!$A$2,"Día actual","Día anterior")</f>
        <v>Día anterior</v>
      </c>
      <c r="C38" s="3" t="s">
        <v>8</v>
      </c>
      <c r="D38" t="s">
        <v>9</v>
      </c>
      <c r="E38" s="3" t="s">
        <v>77</v>
      </c>
      <c r="F38" s="3" t="s">
        <v>12</v>
      </c>
      <c r="G38" s="3" t="s">
        <v>180</v>
      </c>
      <c r="H38" s="3" t="s">
        <v>37</v>
      </c>
      <c r="I38" s="3" t="s">
        <v>7</v>
      </c>
      <c r="J38" s="3" t="s">
        <v>24</v>
      </c>
      <c r="K38" s="3" t="s">
        <v>11</v>
      </c>
      <c r="L38" s="3" t="s">
        <v>26</v>
      </c>
      <c r="M38">
        <v>1</v>
      </c>
    </row>
    <row r="39" spans="1:13" x14ac:dyDescent="0.35">
      <c r="A39" s="2">
        <v>46307</v>
      </c>
      <c r="B39" s="1" t="str">
        <f ca="1">IF(Información1[[#This Row],[Fecha]]='Ajuste de fechas'!$A$2,"Día actual","Día anterior")</f>
        <v>Día anterior</v>
      </c>
      <c r="C39" s="3" t="s">
        <v>8</v>
      </c>
      <c r="D39" t="s">
        <v>9</v>
      </c>
      <c r="E39" s="3" t="s">
        <v>70</v>
      </c>
      <c r="F39" s="3" t="s">
        <v>6</v>
      </c>
      <c r="G39" s="3" t="s">
        <v>180</v>
      </c>
      <c r="H39" s="3" t="s">
        <v>37</v>
      </c>
      <c r="I39" s="3" t="s">
        <v>7</v>
      </c>
      <c r="J39" s="3" t="s">
        <v>24</v>
      </c>
      <c r="K39" s="3" t="s">
        <v>11</v>
      </c>
      <c r="L39" s="3" t="s">
        <v>26</v>
      </c>
      <c r="M39">
        <v>1</v>
      </c>
    </row>
    <row r="40" spans="1:13" x14ac:dyDescent="0.35">
      <c r="A40" s="2">
        <v>46307</v>
      </c>
      <c r="B40" s="1" t="str">
        <f ca="1">IF(Información1[[#This Row],[Fecha]]='Ajuste de fechas'!$A$2,"Día actual","Día anterior")</f>
        <v>Día anterior</v>
      </c>
      <c r="C40" s="3" t="s">
        <v>38</v>
      </c>
      <c r="D40" t="s">
        <v>43</v>
      </c>
      <c r="E40" s="3" t="s">
        <v>150</v>
      </c>
      <c r="F40" s="3" t="s">
        <v>13</v>
      </c>
      <c r="G40" s="3" t="s">
        <v>151</v>
      </c>
      <c r="H40" s="3" t="s">
        <v>37</v>
      </c>
      <c r="I40" s="3" t="s">
        <v>7</v>
      </c>
      <c r="J40" s="3" t="s">
        <v>28</v>
      </c>
      <c r="K40" s="3" t="s">
        <v>40</v>
      </c>
      <c r="L40" s="3" t="s">
        <v>25</v>
      </c>
      <c r="M40">
        <v>1</v>
      </c>
    </row>
    <row r="41" spans="1:13" x14ac:dyDescent="0.35">
      <c r="A41" s="2">
        <v>46307</v>
      </c>
      <c r="B41" s="1" t="str">
        <f ca="1">IF(Información1[[#This Row],[Fecha]]='Ajuste de fechas'!$A$2,"Día actual","Día anterior")</f>
        <v>Día anterior</v>
      </c>
      <c r="C41" s="3" t="s">
        <v>38</v>
      </c>
      <c r="D41" t="s">
        <v>43</v>
      </c>
      <c r="E41" s="3" t="s">
        <v>152</v>
      </c>
      <c r="F41" s="3" t="s">
        <v>14</v>
      </c>
      <c r="G41" s="3" t="s">
        <v>153</v>
      </c>
      <c r="H41" s="3" t="s">
        <v>37</v>
      </c>
      <c r="I41" s="3" t="s">
        <v>7</v>
      </c>
      <c r="J41" s="3" t="s">
        <v>24</v>
      </c>
      <c r="K41" s="3" t="s">
        <v>40</v>
      </c>
      <c r="L41" s="3" t="s">
        <v>27</v>
      </c>
      <c r="M41">
        <v>1</v>
      </c>
    </row>
    <row r="42" spans="1:13" x14ac:dyDescent="0.35">
      <c r="A42" s="2">
        <v>46307</v>
      </c>
      <c r="B42" s="1" t="str">
        <f ca="1">IF(Información1[[#This Row],[Fecha]]='Ajuste de fechas'!$A$2,"Día actual","Día anterior")</f>
        <v>Día anterior</v>
      </c>
      <c r="C42" s="3" t="s">
        <v>38</v>
      </c>
      <c r="D42" t="s">
        <v>43</v>
      </c>
      <c r="E42" s="3" t="s">
        <v>154</v>
      </c>
      <c r="F42" s="3" t="s">
        <v>13</v>
      </c>
      <c r="G42" s="3" t="s">
        <v>94</v>
      </c>
      <c r="H42" s="3" t="s">
        <v>37</v>
      </c>
      <c r="I42" s="3" t="s">
        <v>7</v>
      </c>
      <c r="J42" s="3" t="s">
        <v>28</v>
      </c>
      <c r="K42" s="3" t="s">
        <v>40</v>
      </c>
      <c r="L42" s="3" t="s">
        <v>25</v>
      </c>
      <c r="M42">
        <v>1</v>
      </c>
    </row>
    <row r="43" spans="1:13" x14ac:dyDescent="0.35">
      <c r="A43" s="2">
        <v>46307</v>
      </c>
      <c r="B43" s="1" t="str">
        <f ca="1">IF(Información1[[#This Row],[Fecha]]='Ajuste de fechas'!$A$2,"Día actual","Día anterior")</f>
        <v>Día anterior</v>
      </c>
      <c r="C43" s="3" t="s">
        <v>38</v>
      </c>
      <c r="D43" t="s">
        <v>43</v>
      </c>
      <c r="E43" s="3" t="s">
        <v>155</v>
      </c>
      <c r="F43" s="3" t="s">
        <v>42</v>
      </c>
      <c r="G43" s="3" t="s">
        <v>71</v>
      </c>
      <c r="H43" s="3" t="s">
        <v>37</v>
      </c>
      <c r="I43" s="3" t="s">
        <v>7</v>
      </c>
      <c r="J43" s="3" t="s">
        <v>24</v>
      </c>
      <c r="K43" s="3" t="s">
        <v>40</v>
      </c>
      <c r="L43" s="3" t="s">
        <v>25</v>
      </c>
      <c r="M43">
        <v>1</v>
      </c>
    </row>
    <row r="44" spans="1:13" x14ac:dyDescent="0.35">
      <c r="A44" s="2">
        <v>46307</v>
      </c>
      <c r="B44" s="1" t="str">
        <f ca="1">IF(Información1[[#This Row],[Fecha]]='Ajuste de fechas'!$A$2,"Día actual","Día anterior")</f>
        <v>Día anterior</v>
      </c>
      <c r="C44" s="3" t="s">
        <v>38</v>
      </c>
      <c r="D44" t="s">
        <v>43</v>
      </c>
      <c r="E44" s="3" t="s">
        <v>156</v>
      </c>
      <c r="F44" s="3" t="s">
        <v>73</v>
      </c>
      <c r="G44" s="3" t="s">
        <v>157</v>
      </c>
      <c r="H44" s="3" t="s">
        <v>37</v>
      </c>
      <c r="I44" s="3" t="s">
        <v>7</v>
      </c>
      <c r="J44" s="3" t="s">
        <v>24</v>
      </c>
      <c r="K44" s="3" t="s">
        <v>40</v>
      </c>
      <c r="L44" s="3" t="s">
        <v>25</v>
      </c>
      <c r="M44">
        <v>1</v>
      </c>
    </row>
    <row r="45" spans="1:13" x14ac:dyDescent="0.35">
      <c r="A45" s="2">
        <v>46307</v>
      </c>
      <c r="B45" s="1" t="str">
        <f ca="1">IF(Información1[[#This Row],[Fecha]]='Ajuste de fechas'!$A$2,"Día actual","Día anterior")</f>
        <v>Día anterior</v>
      </c>
      <c r="C45" s="3" t="s">
        <v>45</v>
      </c>
      <c r="D45" t="s">
        <v>46</v>
      </c>
      <c r="E45" s="3" t="s">
        <v>158</v>
      </c>
      <c r="F45" s="3" t="s">
        <v>15</v>
      </c>
      <c r="G45" s="3" t="s">
        <v>90</v>
      </c>
      <c r="H45" s="3" t="s">
        <v>37</v>
      </c>
      <c r="I45" s="3" t="s">
        <v>7</v>
      </c>
      <c r="J45" s="3" t="s">
        <v>29</v>
      </c>
      <c r="K45" s="3" t="s">
        <v>47</v>
      </c>
      <c r="L45" s="3" t="s">
        <v>25</v>
      </c>
      <c r="M45">
        <v>1</v>
      </c>
    </row>
    <row r="46" spans="1:13" x14ac:dyDescent="0.35">
      <c r="A46" s="2">
        <v>46307</v>
      </c>
      <c r="B46" s="1" t="str">
        <f ca="1">IF(Información1[[#This Row],[Fecha]]='Ajuste de fechas'!$A$2,"Día actual","Día anterior")</f>
        <v>Día anterior</v>
      </c>
      <c r="C46" s="3" t="s">
        <v>45</v>
      </c>
      <c r="D46" t="s">
        <v>46</v>
      </c>
      <c r="E46" s="3" t="s">
        <v>159</v>
      </c>
      <c r="F46" s="3" t="s">
        <v>13</v>
      </c>
      <c r="G46" s="3" t="s">
        <v>93</v>
      </c>
      <c r="H46" s="3" t="s">
        <v>37</v>
      </c>
      <c r="I46" s="3" t="s">
        <v>7</v>
      </c>
      <c r="J46" s="3" t="s">
        <v>28</v>
      </c>
      <c r="K46" s="3" t="s">
        <v>47</v>
      </c>
      <c r="L46" s="3" t="s">
        <v>25</v>
      </c>
      <c r="M46">
        <v>1</v>
      </c>
    </row>
    <row r="47" spans="1:13" x14ac:dyDescent="0.35">
      <c r="A47" s="2">
        <v>46307</v>
      </c>
      <c r="B47" s="1" t="str">
        <f ca="1">IF(Información1[[#This Row],[Fecha]]='Ajuste de fechas'!$A$2,"Día actual","Día anterior")</f>
        <v>Día anterior</v>
      </c>
      <c r="C47" s="3" t="s">
        <v>45</v>
      </c>
      <c r="D47" t="s">
        <v>46</v>
      </c>
      <c r="E47" s="3" t="s">
        <v>160</v>
      </c>
      <c r="F47" s="3" t="s">
        <v>87</v>
      </c>
      <c r="G47" s="3" t="s">
        <v>161</v>
      </c>
      <c r="H47" s="3" t="s">
        <v>37</v>
      </c>
      <c r="I47" s="3" t="s">
        <v>10</v>
      </c>
      <c r="J47" s="3" t="s">
        <v>24</v>
      </c>
      <c r="K47" s="3" t="s">
        <v>47</v>
      </c>
      <c r="L47" s="3" t="s">
        <v>25</v>
      </c>
      <c r="M47">
        <v>1</v>
      </c>
    </row>
    <row r="48" spans="1:13" x14ac:dyDescent="0.35">
      <c r="A48" s="2">
        <v>46307</v>
      </c>
      <c r="B48" s="1" t="str">
        <f ca="1">IF(Información1[[#This Row],[Fecha]]='Ajuste de fechas'!$A$2,"Día actual","Día anterior")</f>
        <v>Día anterior</v>
      </c>
      <c r="C48" s="3" t="s">
        <v>45</v>
      </c>
      <c r="D48" t="s">
        <v>46</v>
      </c>
      <c r="E48" s="3" t="s">
        <v>162</v>
      </c>
      <c r="F48" s="3" t="s">
        <v>75</v>
      </c>
      <c r="G48" s="3" t="s">
        <v>106</v>
      </c>
      <c r="H48" s="3" t="s">
        <v>37</v>
      </c>
      <c r="I48" s="3" t="s">
        <v>7</v>
      </c>
      <c r="J48" s="3" t="s">
        <v>24</v>
      </c>
      <c r="K48" s="3" t="s">
        <v>47</v>
      </c>
      <c r="L48" s="3" t="s">
        <v>27</v>
      </c>
      <c r="M48">
        <v>1</v>
      </c>
    </row>
    <row r="49" spans="1:13" x14ac:dyDescent="0.35">
      <c r="A49" s="2">
        <v>46307</v>
      </c>
      <c r="B49" s="1" t="str">
        <f ca="1">IF(Información1[[#This Row],[Fecha]]='Ajuste de fechas'!$A$2,"Día actual","Día anterior")</f>
        <v>Día anterior</v>
      </c>
      <c r="C49" s="3" t="s">
        <v>45</v>
      </c>
      <c r="D49" t="s">
        <v>46</v>
      </c>
      <c r="E49" s="3" t="s">
        <v>163</v>
      </c>
      <c r="F49" s="3" t="s">
        <v>36</v>
      </c>
      <c r="G49" s="3" t="s">
        <v>119</v>
      </c>
      <c r="H49" s="3" t="s">
        <v>37</v>
      </c>
      <c r="I49" s="3" t="s">
        <v>7</v>
      </c>
      <c r="J49" s="3" t="s">
        <v>24</v>
      </c>
      <c r="K49" s="3" t="s">
        <v>47</v>
      </c>
      <c r="L49" s="3" t="s">
        <v>25</v>
      </c>
      <c r="M49">
        <v>1</v>
      </c>
    </row>
    <row r="50" spans="1:13" x14ac:dyDescent="0.35">
      <c r="A50" s="2">
        <v>46307</v>
      </c>
      <c r="B50" s="1" t="str">
        <f ca="1">IF(Información1[[#This Row],[Fecha]]='Ajuste de fechas'!$A$2,"Día actual","Día anterior")</f>
        <v>Día anterior</v>
      </c>
      <c r="C50" s="3" t="s">
        <v>45</v>
      </c>
      <c r="D50" t="s">
        <v>46</v>
      </c>
      <c r="E50" s="3" t="s">
        <v>164</v>
      </c>
      <c r="F50" s="3" t="s">
        <v>15</v>
      </c>
      <c r="G50" s="3" t="s">
        <v>90</v>
      </c>
      <c r="H50" s="3" t="s">
        <v>37</v>
      </c>
      <c r="I50" s="3" t="s">
        <v>17</v>
      </c>
      <c r="J50" s="3" t="s">
        <v>29</v>
      </c>
      <c r="K50" s="3" t="s">
        <v>47</v>
      </c>
      <c r="L50" s="3" t="s">
        <v>25</v>
      </c>
      <c r="M50">
        <v>1</v>
      </c>
    </row>
    <row r="51" spans="1:13" x14ac:dyDescent="0.35">
      <c r="A51" s="2">
        <v>46307</v>
      </c>
      <c r="B51" s="1" t="str">
        <f ca="1">IF(Información1[[#This Row],[Fecha]]='Ajuste de fechas'!$A$2,"Día actual","Día anterior")</f>
        <v>Día anterior</v>
      </c>
      <c r="C51" s="3" t="s">
        <v>38</v>
      </c>
      <c r="D51" t="s">
        <v>39</v>
      </c>
      <c r="E51" s="3" t="s">
        <v>165</v>
      </c>
      <c r="F51" s="3" t="s">
        <v>16</v>
      </c>
      <c r="G51" s="3" t="s">
        <v>166</v>
      </c>
      <c r="H51" s="3" t="s">
        <v>37</v>
      </c>
      <c r="I51" s="3" t="s">
        <v>7</v>
      </c>
      <c r="J51" s="3" t="s">
        <v>16</v>
      </c>
      <c r="K51" s="3" t="s">
        <v>40</v>
      </c>
      <c r="L51" s="3" t="s">
        <v>34</v>
      </c>
      <c r="M51">
        <v>1</v>
      </c>
    </row>
    <row r="52" spans="1:13" x14ac:dyDescent="0.35">
      <c r="A52" s="2">
        <v>46307</v>
      </c>
      <c r="B52" s="1" t="str">
        <f ca="1">IF(Información1[[#This Row],[Fecha]]='Ajuste de fechas'!$A$2,"Día actual","Día anterior")</f>
        <v>Día anterior</v>
      </c>
      <c r="C52" s="3" t="s">
        <v>38</v>
      </c>
      <c r="D52" t="s">
        <v>39</v>
      </c>
      <c r="E52" s="3" t="s">
        <v>167</v>
      </c>
      <c r="F52" s="3" t="s">
        <v>87</v>
      </c>
      <c r="G52" s="3" t="s">
        <v>161</v>
      </c>
      <c r="H52" s="3" t="s">
        <v>37</v>
      </c>
      <c r="I52" s="3" t="s">
        <v>7</v>
      </c>
      <c r="J52" s="3" t="s">
        <v>24</v>
      </c>
      <c r="K52" s="3" t="s">
        <v>41</v>
      </c>
      <c r="L52" s="3" t="s">
        <v>25</v>
      </c>
      <c r="M52">
        <v>1</v>
      </c>
    </row>
    <row r="53" spans="1:13" x14ac:dyDescent="0.35">
      <c r="A53" s="2">
        <v>46307</v>
      </c>
      <c r="B53" s="1" t="str">
        <f ca="1">IF(Información1[[#This Row],[Fecha]]='Ajuste de fechas'!$A$2,"Día actual","Día anterior")</f>
        <v>Día anterior</v>
      </c>
      <c r="C53" s="3" t="s">
        <v>38</v>
      </c>
      <c r="D53" t="s">
        <v>39</v>
      </c>
      <c r="E53" s="3" t="s">
        <v>168</v>
      </c>
      <c r="F53" s="3" t="s">
        <v>14</v>
      </c>
      <c r="G53" s="3" t="s">
        <v>169</v>
      </c>
      <c r="H53" s="3" t="s">
        <v>37</v>
      </c>
      <c r="I53" s="3" t="s">
        <v>17</v>
      </c>
      <c r="J53" s="3" t="s">
        <v>24</v>
      </c>
      <c r="K53" s="3" t="s">
        <v>44</v>
      </c>
      <c r="L53" s="3" t="s">
        <v>26</v>
      </c>
      <c r="M53">
        <v>1</v>
      </c>
    </row>
    <row r="54" spans="1:13" x14ac:dyDescent="0.35">
      <c r="A54" s="2">
        <v>46307</v>
      </c>
      <c r="B54" s="1" t="str">
        <f ca="1">IF(Información1[[#This Row],[Fecha]]='Ajuste de fechas'!$A$2,"Día actual","Día anterior")</f>
        <v>Día anterior</v>
      </c>
      <c r="C54" s="3" t="s">
        <v>38</v>
      </c>
      <c r="D54" t="s">
        <v>39</v>
      </c>
      <c r="E54" s="3" t="s">
        <v>170</v>
      </c>
      <c r="F54" s="3" t="s">
        <v>14</v>
      </c>
      <c r="G54" s="3" t="s">
        <v>79</v>
      </c>
      <c r="H54" s="3" t="s">
        <v>37</v>
      </c>
      <c r="I54" s="3" t="s">
        <v>17</v>
      </c>
      <c r="J54" s="3" t="s">
        <v>24</v>
      </c>
      <c r="K54" s="3" t="s">
        <v>44</v>
      </c>
      <c r="L54" s="3" t="s">
        <v>26</v>
      </c>
      <c r="M54">
        <v>1</v>
      </c>
    </row>
    <row r="55" spans="1:13" x14ac:dyDescent="0.35">
      <c r="A55" s="2">
        <v>46307</v>
      </c>
      <c r="B55" s="1" t="str">
        <f ca="1">IF(Información1[[#This Row],[Fecha]]='Ajuste de fechas'!$A$2,"Día actual","Día anterior")</f>
        <v>Día anterior</v>
      </c>
      <c r="C55" s="3" t="s">
        <v>38</v>
      </c>
      <c r="D55" t="s">
        <v>39</v>
      </c>
      <c r="E55" s="3" t="s">
        <v>171</v>
      </c>
      <c r="F55" s="3" t="s">
        <v>13</v>
      </c>
      <c r="G55" s="3" t="s">
        <v>172</v>
      </c>
      <c r="H55" s="3" t="s">
        <v>37</v>
      </c>
      <c r="I55" s="3" t="s">
        <v>7</v>
      </c>
      <c r="J55" s="3" t="s">
        <v>28</v>
      </c>
      <c r="K55" s="3" t="s">
        <v>40</v>
      </c>
      <c r="L55" s="3" t="s">
        <v>25</v>
      </c>
      <c r="M55">
        <v>1</v>
      </c>
    </row>
    <row r="56" spans="1:13" x14ac:dyDescent="0.35">
      <c r="A56" s="2">
        <v>46307</v>
      </c>
      <c r="B56" s="1" t="str">
        <f ca="1">IF(Información1[[#This Row],[Fecha]]='Ajuste de fechas'!$A$2,"Día actual","Día anterior")</f>
        <v>Día anterior</v>
      </c>
      <c r="C56" s="3" t="s">
        <v>38</v>
      </c>
      <c r="D56" t="s">
        <v>39</v>
      </c>
      <c r="E56" s="3" t="s">
        <v>173</v>
      </c>
      <c r="F56" s="3" t="s">
        <v>87</v>
      </c>
      <c r="G56" s="3" t="s">
        <v>161</v>
      </c>
      <c r="H56" s="3" t="s">
        <v>37</v>
      </c>
      <c r="I56" s="3" t="s">
        <v>7</v>
      </c>
      <c r="J56" s="3" t="s">
        <v>24</v>
      </c>
      <c r="K56" s="3" t="s">
        <v>41</v>
      </c>
      <c r="L56" s="3" t="s">
        <v>26</v>
      </c>
      <c r="M56">
        <v>1</v>
      </c>
    </row>
    <row r="57" spans="1:13" x14ac:dyDescent="0.35">
      <c r="A57" s="2">
        <v>46307</v>
      </c>
      <c r="B57" s="1" t="str">
        <f ca="1">IF(Información1[[#This Row],[Fecha]]='Ajuste de fechas'!$A$2,"Día actual","Día anterior")</f>
        <v>Día anterior</v>
      </c>
      <c r="C57" s="3" t="s">
        <v>38</v>
      </c>
      <c r="D57" t="s">
        <v>39</v>
      </c>
      <c r="E57" s="3" t="s">
        <v>173</v>
      </c>
      <c r="F57" s="3" t="s">
        <v>174</v>
      </c>
      <c r="G57" s="3" t="s">
        <v>161</v>
      </c>
      <c r="H57" s="3" t="s">
        <v>37</v>
      </c>
      <c r="I57" s="3" t="s">
        <v>7</v>
      </c>
      <c r="J57" s="3" t="s">
        <v>24</v>
      </c>
      <c r="K57" s="3" t="s">
        <v>41</v>
      </c>
      <c r="L57" s="3" t="s">
        <v>26</v>
      </c>
      <c r="M57">
        <v>1</v>
      </c>
    </row>
    <row r="58" spans="1:13" x14ac:dyDescent="0.35">
      <c r="A58" s="2">
        <v>46307</v>
      </c>
      <c r="B58" s="1" t="str">
        <f ca="1">IF(Información1[[#This Row],[Fecha]]='Ajuste de fechas'!$A$2,"Día actual","Día anterior")</f>
        <v>Día anterior</v>
      </c>
      <c r="C58" s="3" t="s">
        <v>38</v>
      </c>
      <c r="D58" t="s">
        <v>39</v>
      </c>
      <c r="E58" s="3" t="s">
        <v>175</v>
      </c>
      <c r="F58" s="3" t="s">
        <v>14</v>
      </c>
      <c r="G58" s="3" t="s">
        <v>86</v>
      </c>
      <c r="H58" s="3" t="s">
        <v>37</v>
      </c>
      <c r="I58" s="3" t="s">
        <v>10</v>
      </c>
      <c r="J58" s="3" t="s">
        <v>24</v>
      </c>
      <c r="K58" s="3" t="s">
        <v>40</v>
      </c>
      <c r="L58" s="3" t="s">
        <v>26</v>
      </c>
      <c r="M58">
        <v>1</v>
      </c>
    </row>
    <row r="59" spans="1:13" x14ac:dyDescent="0.35">
      <c r="A59" s="2">
        <v>46307</v>
      </c>
      <c r="B59" s="1" t="str">
        <f ca="1">IF(Información1[[#This Row],[Fecha]]='Ajuste de fechas'!$A$2,"Día actual","Día anterior")</f>
        <v>Día anterior</v>
      </c>
      <c r="C59" s="3" t="s">
        <v>38</v>
      </c>
      <c r="D59" t="s">
        <v>39</v>
      </c>
      <c r="E59" s="3" t="s">
        <v>175</v>
      </c>
      <c r="F59" s="3" t="s">
        <v>75</v>
      </c>
      <c r="G59" s="3" t="s">
        <v>80</v>
      </c>
      <c r="H59" s="3" t="s">
        <v>37</v>
      </c>
      <c r="I59" s="3" t="s">
        <v>10</v>
      </c>
      <c r="J59" s="3" t="s">
        <v>24</v>
      </c>
      <c r="K59" s="3" t="s">
        <v>40</v>
      </c>
      <c r="L59" s="3" t="s">
        <v>26</v>
      </c>
      <c r="M59">
        <v>1</v>
      </c>
    </row>
    <row r="60" spans="1:13" x14ac:dyDescent="0.35">
      <c r="A60" s="2">
        <v>46307</v>
      </c>
      <c r="B60" s="1" t="str">
        <f ca="1">IF(Información1[[#This Row],[Fecha]]='Ajuste de fechas'!$A$2,"Día actual","Día anterior")</f>
        <v>Día anterior</v>
      </c>
      <c r="C60" s="3" t="s">
        <v>38</v>
      </c>
      <c r="D60" t="s">
        <v>39</v>
      </c>
      <c r="E60" s="3" t="s">
        <v>175</v>
      </c>
      <c r="F60" s="3" t="s">
        <v>14</v>
      </c>
      <c r="G60" s="3" t="s">
        <v>95</v>
      </c>
      <c r="H60" s="3" t="s">
        <v>37</v>
      </c>
      <c r="I60" s="3" t="s">
        <v>10</v>
      </c>
      <c r="J60" s="3" t="s">
        <v>24</v>
      </c>
      <c r="K60" s="3" t="s">
        <v>40</v>
      </c>
      <c r="L60" s="3" t="s">
        <v>26</v>
      </c>
      <c r="M60">
        <v>1</v>
      </c>
    </row>
    <row r="61" spans="1:13" x14ac:dyDescent="0.35">
      <c r="A61" s="2">
        <v>46307</v>
      </c>
      <c r="B61" s="1" t="str">
        <f ca="1">IF(Información1[[#This Row],[Fecha]]='Ajuste de fechas'!$A$2,"Día actual","Día anterior")</f>
        <v>Día anterior</v>
      </c>
      <c r="C61" s="3" t="s">
        <v>38</v>
      </c>
      <c r="D61" t="s">
        <v>39</v>
      </c>
      <c r="E61" s="3" t="s">
        <v>175</v>
      </c>
      <c r="F61" s="3" t="s">
        <v>14</v>
      </c>
      <c r="G61" s="3" t="s">
        <v>74</v>
      </c>
      <c r="H61" s="3" t="s">
        <v>37</v>
      </c>
      <c r="I61" s="3" t="s">
        <v>10</v>
      </c>
      <c r="J61" s="3" t="s">
        <v>24</v>
      </c>
      <c r="K61" s="3" t="s">
        <v>40</v>
      </c>
      <c r="L61" s="3" t="s">
        <v>26</v>
      </c>
      <c r="M61">
        <v>1</v>
      </c>
    </row>
    <row r="62" spans="1:13" x14ac:dyDescent="0.35">
      <c r="A62" s="2">
        <v>46307</v>
      </c>
      <c r="B62" s="1" t="str">
        <f ca="1">IF(Información1[[#This Row],[Fecha]]='Ajuste de fechas'!$A$2,"Día actual","Día anterior")</f>
        <v>Día anterior</v>
      </c>
      <c r="C62" s="3" t="s">
        <v>38</v>
      </c>
      <c r="D62" t="s">
        <v>39</v>
      </c>
      <c r="E62" s="3" t="s">
        <v>176</v>
      </c>
      <c r="F62" s="3" t="s">
        <v>15</v>
      </c>
      <c r="G62" s="3" t="s">
        <v>90</v>
      </c>
      <c r="H62" s="3" t="s">
        <v>37</v>
      </c>
      <c r="I62" s="3" t="s">
        <v>17</v>
      </c>
      <c r="J62" s="3" t="s">
        <v>29</v>
      </c>
      <c r="K62" s="3" t="s">
        <v>177</v>
      </c>
      <c r="L62" s="3" t="s">
        <v>26</v>
      </c>
      <c r="M62">
        <v>1</v>
      </c>
    </row>
    <row r="63" spans="1:13" x14ac:dyDescent="0.35">
      <c r="A63" s="2">
        <v>46307</v>
      </c>
      <c r="B63" s="1" t="str">
        <f ca="1">IF(Información1[[#This Row],[Fecha]]='Ajuste de fechas'!$A$2,"Día actual","Día anterior")</f>
        <v>Día anterior</v>
      </c>
      <c r="C63" s="3" t="s">
        <v>38</v>
      </c>
      <c r="D63" t="s">
        <v>39</v>
      </c>
      <c r="E63" s="3" t="s">
        <v>178</v>
      </c>
      <c r="F63" s="3" t="s">
        <v>14</v>
      </c>
      <c r="G63" s="3" t="s">
        <v>86</v>
      </c>
      <c r="H63" s="3" t="s">
        <v>37</v>
      </c>
      <c r="I63" s="3" t="s">
        <v>7</v>
      </c>
      <c r="J63" s="3" t="s">
        <v>24</v>
      </c>
      <c r="K63" s="3" t="s">
        <v>40</v>
      </c>
      <c r="L63" s="3" t="s">
        <v>25</v>
      </c>
      <c r="M63">
        <v>1</v>
      </c>
    </row>
    <row r="64" spans="1:13" x14ac:dyDescent="0.35">
      <c r="A64" s="2">
        <v>46307</v>
      </c>
      <c r="B64" s="1" t="str">
        <f ca="1">IF(Información1[[#This Row],[Fecha]]='Ajuste de fechas'!$A$2,"Día actual","Día anterior")</f>
        <v>Día anterior</v>
      </c>
      <c r="C64" s="3" t="s">
        <v>38</v>
      </c>
      <c r="D64" t="s">
        <v>39</v>
      </c>
      <c r="E64" s="3" t="s">
        <v>179</v>
      </c>
      <c r="F64" s="3" t="s">
        <v>14</v>
      </c>
      <c r="G64" s="3" t="s">
        <v>82</v>
      </c>
      <c r="H64" s="3" t="s">
        <v>37</v>
      </c>
      <c r="I64" s="3" t="s">
        <v>7</v>
      </c>
      <c r="J64" s="3" t="s">
        <v>24</v>
      </c>
      <c r="K64" s="3" t="s">
        <v>41</v>
      </c>
      <c r="L64" s="3" t="s">
        <v>34</v>
      </c>
      <c r="M64">
        <v>1</v>
      </c>
    </row>
    <row r="65" spans="1:13" x14ac:dyDescent="0.35">
      <c r="A65" s="2">
        <v>46308</v>
      </c>
      <c r="B65" s="1" t="str">
        <f ca="1">IF(Información1[[#This Row],[Fecha]]='Ajuste de fechas'!$A$2,"Día actual","Día anterior")</f>
        <v>Día actual</v>
      </c>
      <c r="C65" s="3" t="s">
        <v>56</v>
      </c>
      <c r="D65" t="s">
        <v>57</v>
      </c>
      <c r="E65" s="3" t="s">
        <v>181</v>
      </c>
      <c r="F65" s="3" t="s">
        <v>14</v>
      </c>
      <c r="G65" s="3" t="s">
        <v>182</v>
      </c>
      <c r="H65" s="3" t="s">
        <v>37</v>
      </c>
      <c r="I65" s="3" t="s">
        <v>7</v>
      </c>
      <c r="J65" s="3" t="s">
        <v>24</v>
      </c>
      <c r="K65" s="3" t="s">
        <v>58</v>
      </c>
      <c r="L65" s="3" t="s">
        <v>27</v>
      </c>
      <c r="M65">
        <v>1</v>
      </c>
    </row>
    <row r="66" spans="1:13" x14ac:dyDescent="0.35">
      <c r="A66" s="2">
        <v>46308</v>
      </c>
      <c r="B66" s="1" t="str">
        <f ca="1">IF(Información1[[#This Row],[Fecha]]='Ajuste de fechas'!$A$2,"Día actual","Día anterior")</f>
        <v>Día actual</v>
      </c>
      <c r="C66" s="3" t="s">
        <v>56</v>
      </c>
      <c r="D66" t="s">
        <v>57</v>
      </c>
      <c r="E66" s="3" t="s">
        <v>183</v>
      </c>
      <c r="F66" s="3" t="s">
        <v>184</v>
      </c>
      <c r="G66" s="3" t="s">
        <v>185</v>
      </c>
      <c r="H66" s="3" t="s">
        <v>37</v>
      </c>
      <c r="I66" s="3" t="s">
        <v>7</v>
      </c>
      <c r="J66" s="3" t="s">
        <v>24</v>
      </c>
      <c r="K66" s="3" t="s">
        <v>186</v>
      </c>
      <c r="L66" s="3" t="s">
        <v>27</v>
      </c>
      <c r="M66">
        <v>1</v>
      </c>
    </row>
    <row r="67" spans="1:13" x14ac:dyDescent="0.35">
      <c r="A67" s="2">
        <v>46308</v>
      </c>
      <c r="B67" s="1" t="str">
        <f ca="1">IF(Información1[[#This Row],[Fecha]]='Ajuste de fechas'!$A$2,"Día actual","Día anterior")</f>
        <v>Día actual</v>
      </c>
      <c r="C67" s="3" t="s">
        <v>56</v>
      </c>
      <c r="D67" t="s">
        <v>57</v>
      </c>
      <c r="E67" s="3" t="s">
        <v>187</v>
      </c>
      <c r="F67" s="3" t="s">
        <v>15</v>
      </c>
      <c r="G67" s="3" t="s">
        <v>188</v>
      </c>
      <c r="H67" s="3" t="s">
        <v>37</v>
      </c>
      <c r="I67" s="3" t="s">
        <v>7</v>
      </c>
      <c r="J67" s="3" t="s">
        <v>29</v>
      </c>
      <c r="K67" s="3" t="s">
        <v>186</v>
      </c>
      <c r="L67" s="3" t="s">
        <v>25</v>
      </c>
      <c r="M67">
        <v>1</v>
      </c>
    </row>
    <row r="68" spans="1:13" x14ac:dyDescent="0.35">
      <c r="A68" s="2">
        <v>46308</v>
      </c>
      <c r="B68" s="1" t="str">
        <f ca="1">IF(Información1[[#This Row],[Fecha]]='Ajuste de fechas'!$A$2,"Día actual","Día anterior")</f>
        <v>Día actual</v>
      </c>
      <c r="C68" s="3" t="s">
        <v>56</v>
      </c>
      <c r="D68" t="s">
        <v>57</v>
      </c>
      <c r="E68" s="3" t="s">
        <v>189</v>
      </c>
      <c r="F68" s="3" t="s">
        <v>13</v>
      </c>
      <c r="G68" s="3" t="s">
        <v>84</v>
      </c>
      <c r="H68" s="3" t="s">
        <v>37</v>
      </c>
      <c r="I68" s="3" t="s">
        <v>17</v>
      </c>
      <c r="J68" s="3" t="s">
        <v>28</v>
      </c>
      <c r="K68" s="3" t="s">
        <v>58</v>
      </c>
      <c r="L68" s="3" t="s">
        <v>25</v>
      </c>
      <c r="M68">
        <v>1</v>
      </c>
    </row>
    <row r="69" spans="1:13" x14ac:dyDescent="0.35">
      <c r="A69" s="2">
        <v>46308</v>
      </c>
      <c r="B69" s="1" t="str">
        <f ca="1">IF(Información1[[#This Row],[Fecha]]='Ajuste de fechas'!$A$2,"Día actual","Día anterior")</f>
        <v>Día actual</v>
      </c>
      <c r="C69" s="3" t="s">
        <v>56</v>
      </c>
      <c r="D69" t="s">
        <v>57</v>
      </c>
      <c r="E69" s="3" t="s">
        <v>190</v>
      </c>
      <c r="F69" s="3" t="s">
        <v>13</v>
      </c>
      <c r="G69" s="3" t="s">
        <v>157</v>
      </c>
      <c r="H69" s="3" t="s">
        <v>37</v>
      </c>
      <c r="I69" s="3" t="s">
        <v>7</v>
      </c>
      <c r="J69" s="3" t="s">
        <v>28</v>
      </c>
      <c r="K69" s="3" t="s">
        <v>58</v>
      </c>
      <c r="L69" s="3" t="s">
        <v>25</v>
      </c>
      <c r="M69">
        <v>1</v>
      </c>
    </row>
    <row r="70" spans="1:13" x14ac:dyDescent="0.35">
      <c r="A70" s="2">
        <v>46308</v>
      </c>
      <c r="B70" s="1" t="str">
        <f ca="1">IF(Información1[[#This Row],[Fecha]]='Ajuste de fechas'!$A$2,"Día actual","Día anterior")</f>
        <v>Día actual</v>
      </c>
      <c r="C70" s="3" t="s">
        <v>56</v>
      </c>
      <c r="D70" t="s">
        <v>57</v>
      </c>
      <c r="E70" s="3" t="s">
        <v>191</v>
      </c>
      <c r="F70" s="3" t="s">
        <v>42</v>
      </c>
      <c r="G70" s="3" t="s">
        <v>71</v>
      </c>
      <c r="H70" s="3" t="s">
        <v>37</v>
      </c>
      <c r="I70" s="3" t="s">
        <v>17</v>
      </c>
      <c r="J70" s="3" t="s">
        <v>24</v>
      </c>
      <c r="K70" s="3" t="s">
        <v>186</v>
      </c>
      <c r="L70" s="3" t="s">
        <v>25</v>
      </c>
      <c r="M70">
        <v>1</v>
      </c>
    </row>
    <row r="71" spans="1:13" x14ac:dyDescent="0.35">
      <c r="A71" s="2">
        <v>46308</v>
      </c>
      <c r="B71" s="1" t="str">
        <f ca="1">IF(Información1[[#This Row],[Fecha]]='Ajuste de fechas'!$A$2,"Día actual","Día anterior")</f>
        <v>Día actual</v>
      </c>
      <c r="C71" s="3" t="s">
        <v>56</v>
      </c>
      <c r="D71" t="s">
        <v>57</v>
      </c>
      <c r="E71" s="3" t="s">
        <v>192</v>
      </c>
      <c r="F71" s="3" t="s">
        <v>73</v>
      </c>
      <c r="G71" s="3" t="s">
        <v>123</v>
      </c>
      <c r="H71" s="3" t="s">
        <v>37</v>
      </c>
      <c r="I71" s="3" t="s">
        <v>7</v>
      </c>
      <c r="J71" s="3" t="s">
        <v>24</v>
      </c>
      <c r="K71" s="3" t="s">
        <v>58</v>
      </c>
      <c r="L71" s="3" t="s">
        <v>25</v>
      </c>
      <c r="M71">
        <v>1</v>
      </c>
    </row>
    <row r="72" spans="1:13" x14ac:dyDescent="0.35">
      <c r="A72" s="2">
        <v>46308</v>
      </c>
      <c r="B72" s="1" t="str">
        <f ca="1">IF(Información1[[#This Row],[Fecha]]='Ajuste de fechas'!$A$2,"Día actual","Día anterior")</f>
        <v>Día actual</v>
      </c>
      <c r="C72" s="3" t="s">
        <v>56</v>
      </c>
      <c r="D72" t="s">
        <v>57</v>
      </c>
      <c r="E72" s="3" t="s">
        <v>193</v>
      </c>
      <c r="F72" s="3" t="s">
        <v>42</v>
      </c>
      <c r="G72" s="3" t="s">
        <v>194</v>
      </c>
      <c r="H72" s="3" t="s">
        <v>37</v>
      </c>
      <c r="I72" s="3" t="s">
        <v>7</v>
      </c>
      <c r="J72" s="3" t="s">
        <v>24</v>
      </c>
      <c r="K72" s="3" t="s">
        <v>186</v>
      </c>
      <c r="L72" s="3" t="s">
        <v>25</v>
      </c>
      <c r="M72">
        <v>1</v>
      </c>
    </row>
    <row r="73" spans="1:13" x14ac:dyDescent="0.35">
      <c r="A73" s="2">
        <v>46308</v>
      </c>
      <c r="B73" s="1" t="str">
        <f ca="1">IF(Información1[[#This Row],[Fecha]]='Ajuste de fechas'!$A$2,"Día actual","Día anterior")</f>
        <v>Día actual</v>
      </c>
      <c r="C73" s="3" t="s">
        <v>56</v>
      </c>
      <c r="D73" t="s">
        <v>57</v>
      </c>
      <c r="E73" s="3" t="s">
        <v>195</v>
      </c>
      <c r="F73" s="3" t="s">
        <v>13</v>
      </c>
      <c r="G73" s="3" t="s">
        <v>196</v>
      </c>
      <c r="H73" s="3" t="s">
        <v>37</v>
      </c>
      <c r="I73" s="3" t="s">
        <v>7</v>
      </c>
      <c r="J73" s="3" t="s">
        <v>28</v>
      </c>
      <c r="K73" s="3" t="s">
        <v>186</v>
      </c>
      <c r="L73" s="3" t="s">
        <v>25</v>
      </c>
      <c r="M73">
        <v>1</v>
      </c>
    </row>
    <row r="74" spans="1:13" x14ac:dyDescent="0.35">
      <c r="A74" s="2">
        <v>46308</v>
      </c>
      <c r="B74" s="1" t="str">
        <f ca="1">IF(Información1[[#This Row],[Fecha]]='Ajuste de fechas'!$A$2,"Día actual","Día anterior")</f>
        <v>Día actual</v>
      </c>
      <c r="C74" s="3" t="s">
        <v>56</v>
      </c>
      <c r="D74" t="s">
        <v>57</v>
      </c>
      <c r="E74" s="3" t="s">
        <v>197</v>
      </c>
      <c r="F74" s="3" t="s">
        <v>13</v>
      </c>
      <c r="G74" s="3" t="s">
        <v>198</v>
      </c>
      <c r="H74" s="3" t="s">
        <v>37</v>
      </c>
      <c r="I74" s="3" t="s">
        <v>7</v>
      </c>
      <c r="J74" s="3" t="s">
        <v>28</v>
      </c>
      <c r="K74" s="3" t="s">
        <v>58</v>
      </c>
      <c r="L74" s="3" t="s">
        <v>25</v>
      </c>
      <c r="M74">
        <v>1</v>
      </c>
    </row>
    <row r="75" spans="1:13" x14ac:dyDescent="0.35">
      <c r="A75" s="2">
        <v>46308</v>
      </c>
      <c r="B75" s="1" t="str">
        <f ca="1">IF(Información1[[#This Row],[Fecha]]='Ajuste de fechas'!$A$2,"Día actual","Día anterior")</f>
        <v>Día actual</v>
      </c>
      <c r="C75" s="3" t="s">
        <v>56</v>
      </c>
      <c r="D75" t="s">
        <v>57</v>
      </c>
      <c r="E75" s="3" t="s">
        <v>199</v>
      </c>
      <c r="F75" s="3" t="s">
        <v>13</v>
      </c>
      <c r="G75" s="3" t="s">
        <v>200</v>
      </c>
      <c r="H75" s="3" t="s">
        <v>37</v>
      </c>
      <c r="I75" s="3" t="s">
        <v>7</v>
      </c>
      <c r="J75" s="3" t="s">
        <v>28</v>
      </c>
      <c r="K75" s="3" t="s">
        <v>186</v>
      </c>
      <c r="L75" s="3" t="s">
        <v>25</v>
      </c>
      <c r="M75">
        <v>1</v>
      </c>
    </row>
    <row r="76" spans="1:13" x14ac:dyDescent="0.35">
      <c r="A76" s="2">
        <v>46308</v>
      </c>
      <c r="B76" s="1" t="str">
        <f ca="1">IF(Información1[[#This Row],[Fecha]]='Ajuste de fechas'!$A$2,"Día actual","Día anterior")</f>
        <v>Día actual</v>
      </c>
      <c r="C76" s="3" t="s">
        <v>56</v>
      </c>
      <c r="D76" t="s">
        <v>57</v>
      </c>
      <c r="E76" s="3" t="s">
        <v>201</v>
      </c>
      <c r="F76" s="3" t="s">
        <v>50</v>
      </c>
      <c r="G76" s="3" t="s">
        <v>202</v>
      </c>
      <c r="H76" s="3" t="s">
        <v>37</v>
      </c>
      <c r="I76" s="3" t="s">
        <v>7</v>
      </c>
      <c r="J76" s="3" t="s">
        <v>52</v>
      </c>
      <c r="K76" s="3" t="s">
        <v>58</v>
      </c>
      <c r="L76" s="3" t="s">
        <v>25</v>
      </c>
      <c r="M76">
        <v>1</v>
      </c>
    </row>
    <row r="77" spans="1:13" x14ac:dyDescent="0.35">
      <c r="A77" s="2">
        <v>46308</v>
      </c>
      <c r="B77" s="1" t="str">
        <f ca="1">IF(Información1[[#This Row],[Fecha]]='Ajuste de fechas'!$A$2,"Día actual","Día anterior")</f>
        <v>Día actual</v>
      </c>
      <c r="C77" s="3" t="s">
        <v>56</v>
      </c>
      <c r="D77" t="s">
        <v>57</v>
      </c>
      <c r="E77" s="3" t="s">
        <v>203</v>
      </c>
      <c r="F77" s="3" t="s">
        <v>15</v>
      </c>
      <c r="G77" s="3" t="s">
        <v>117</v>
      </c>
      <c r="H77" s="3" t="s">
        <v>37</v>
      </c>
      <c r="I77" s="3" t="s">
        <v>17</v>
      </c>
      <c r="J77" s="3" t="s">
        <v>29</v>
      </c>
      <c r="K77" s="3" t="s">
        <v>44</v>
      </c>
      <c r="L77" s="3" t="s">
        <v>26</v>
      </c>
      <c r="M77">
        <v>1</v>
      </c>
    </row>
    <row r="78" spans="1:13" x14ac:dyDescent="0.35">
      <c r="A78" s="2">
        <v>46308</v>
      </c>
      <c r="B78" s="1" t="str">
        <f ca="1">IF(Información1[[#This Row],[Fecha]]='Ajuste de fechas'!$A$2,"Día actual","Día anterior")</f>
        <v>Día actual</v>
      </c>
      <c r="C78" s="3" t="s">
        <v>56</v>
      </c>
      <c r="D78" t="s">
        <v>57</v>
      </c>
      <c r="E78" s="3" t="s">
        <v>204</v>
      </c>
      <c r="F78" s="3" t="s">
        <v>35</v>
      </c>
      <c r="G78" s="3" t="s">
        <v>205</v>
      </c>
      <c r="H78" s="3" t="s">
        <v>37</v>
      </c>
      <c r="I78" s="3" t="s">
        <v>7</v>
      </c>
      <c r="J78" s="3" t="s">
        <v>24</v>
      </c>
      <c r="K78" s="3" t="s">
        <v>186</v>
      </c>
      <c r="L78" s="3" t="s">
        <v>25</v>
      </c>
      <c r="M78">
        <v>1</v>
      </c>
    </row>
    <row r="79" spans="1:13" x14ac:dyDescent="0.35">
      <c r="A79" s="2">
        <v>46308</v>
      </c>
      <c r="B79" s="1" t="str">
        <f ca="1">IF(Información1[[#This Row],[Fecha]]='Ajuste de fechas'!$A$2,"Día actual","Día anterior")</f>
        <v>Día actual</v>
      </c>
      <c r="C79" s="3" t="s">
        <v>56</v>
      </c>
      <c r="D79" t="s">
        <v>57</v>
      </c>
      <c r="E79" s="3" t="s">
        <v>206</v>
      </c>
      <c r="F79" s="3" t="s">
        <v>35</v>
      </c>
      <c r="G79" s="3" t="s">
        <v>82</v>
      </c>
      <c r="H79" s="3" t="s">
        <v>37</v>
      </c>
      <c r="I79" s="3" t="s">
        <v>7</v>
      </c>
      <c r="J79" s="3" t="s">
        <v>24</v>
      </c>
      <c r="K79" s="3" t="s">
        <v>58</v>
      </c>
      <c r="L79" s="3" t="s">
        <v>25</v>
      </c>
      <c r="M79">
        <v>1</v>
      </c>
    </row>
    <row r="80" spans="1:13" x14ac:dyDescent="0.35">
      <c r="A80" s="2">
        <v>46308</v>
      </c>
      <c r="B80" s="1" t="str">
        <f ca="1">IF(Información1[[#This Row],[Fecha]]='Ajuste de fechas'!$A$2,"Día actual","Día anterior")</f>
        <v>Día actual</v>
      </c>
      <c r="C80" s="3" t="s">
        <v>56</v>
      </c>
      <c r="D80" t="s">
        <v>57</v>
      </c>
      <c r="E80" s="3" t="s">
        <v>207</v>
      </c>
      <c r="F80" s="3" t="s">
        <v>35</v>
      </c>
      <c r="G80" s="3" t="s">
        <v>208</v>
      </c>
      <c r="H80" s="3" t="s">
        <v>37</v>
      </c>
      <c r="I80" s="3" t="s">
        <v>17</v>
      </c>
      <c r="J80" s="3" t="s">
        <v>24</v>
      </c>
      <c r="K80" s="3" t="s">
        <v>58</v>
      </c>
      <c r="L80" s="3" t="s">
        <v>26</v>
      </c>
      <c r="M80">
        <v>1</v>
      </c>
    </row>
    <row r="81" spans="1:13" x14ac:dyDescent="0.35">
      <c r="A81" s="2">
        <v>46308</v>
      </c>
      <c r="B81" s="1" t="str">
        <f ca="1">IF(Información1[[#This Row],[Fecha]]='Ajuste de fechas'!$A$2,"Día actual","Día anterior")</f>
        <v>Día actual</v>
      </c>
      <c r="C81" s="3" t="s">
        <v>56</v>
      </c>
      <c r="D81" t="s">
        <v>57</v>
      </c>
      <c r="E81" s="3" t="s">
        <v>209</v>
      </c>
      <c r="F81" s="3" t="s">
        <v>15</v>
      </c>
      <c r="G81" s="3" t="s">
        <v>97</v>
      </c>
      <c r="H81" s="3" t="s">
        <v>37</v>
      </c>
      <c r="I81" s="3" t="s">
        <v>17</v>
      </c>
      <c r="J81" s="3" t="s">
        <v>29</v>
      </c>
      <c r="K81" s="3" t="s">
        <v>44</v>
      </c>
      <c r="L81" s="3" t="s">
        <v>26</v>
      </c>
      <c r="M81">
        <v>1</v>
      </c>
    </row>
    <row r="82" spans="1:13" x14ac:dyDescent="0.35">
      <c r="A82" s="2">
        <v>46308</v>
      </c>
      <c r="B82" s="1" t="str">
        <f ca="1">IF(Información1[[#This Row],[Fecha]]='Ajuste de fechas'!$A$2,"Día actual","Día anterior")</f>
        <v>Día actual</v>
      </c>
      <c r="C82" s="3" t="s">
        <v>56</v>
      </c>
      <c r="D82" t="s">
        <v>57</v>
      </c>
      <c r="E82" s="3" t="s">
        <v>210</v>
      </c>
      <c r="F82" s="3" t="s">
        <v>15</v>
      </c>
      <c r="G82" s="3" t="s">
        <v>117</v>
      </c>
      <c r="H82" s="3" t="s">
        <v>37</v>
      </c>
      <c r="I82" s="3" t="s">
        <v>17</v>
      </c>
      <c r="J82" s="3" t="s">
        <v>29</v>
      </c>
      <c r="K82" s="3" t="s">
        <v>44</v>
      </c>
      <c r="L82" s="3" t="s">
        <v>26</v>
      </c>
      <c r="M82">
        <v>1</v>
      </c>
    </row>
    <row r="83" spans="1:13" x14ac:dyDescent="0.35">
      <c r="A83" s="2">
        <v>46308</v>
      </c>
      <c r="B83" s="1" t="str">
        <f ca="1">IF(Información1[[#This Row],[Fecha]]='Ajuste de fechas'!$A$2,"Día actual","Día anterior")</f>
        <v>Día actual</v>
      </c>
      <c r="C83" s="3" t="s">
        <v>56</v>
      </c>
      <c r="D83" t="s">
        <v>57</v>
      </c>
      <c r="E83" s="3" t="s">
        <v>211</v>
      </c>
      <c r="F83" s="3" t="s">
        <v>15</v>
      </c>
      <c r="G83" s="3" t="s">
        <v>212</v>
      </c>
      <c r="H83" s="3" t="s">
        <v>37</v>
      </c>
      <c r="I83" s="3" t="s">
        <v>17</v>
      </c>
      <c r="J83" s="3" t="s">
        <v>29</v>
      </c>
      <c r="K83" s="3" t="s">
        <v>58</v>
      </c>
      <c r="L83" s="3" t="s">
        <v>26</v>
      </c>
      <c r="M83">
        <v>1</v>
      </c>
    </row>
    <row r="84" spans="1:13" x14ac:dyDescent="0.35">
      <c r="A84" s="2">
        <v>46308</v>
      </c>
      <c r="B84" s="1" t="str">
        <f ca="1">IF(Información1[[#This Row],[Fecha]]='Ajuste de fechas'!$A$2,"Día actual","Día anterior")</f>
        <v>Día actual</v>
      </c>
      <c r="C84" s="3" t="s">
        <v>56</v>
      </c>
      <c r="D84" t="s">
        <v>57</v>
      </c>
      <c r="E84" s="3" t="s">
        <v>213</v>
      </c>
      <c r="F84" s="3" t="s">
        <v>35</v>
      </c>
      <c r="G84" s="3" t="s">
        <v>208</v>
      </c>
      <c r="H84" s="3" t="s">
        <v>37</v>
      </c>
      <c r="I84" s="3" t="s">
        <v>7</v>
      </c>
      <c r="J84" s="3" t="s">
        <v>24</v>
      </c>
      <c r="K84" s="3" t="s">
        <v>186</v>
      </c>
      <c r="L84" s="3" t="s">
        <v>25</v>
      </c>
      <c r="M84">
        <v>1</v>
      </c>
    </row>
    <row r="85" spans="1:13" x14ac:dyDescent="0.35">
      <c r="A85" s="2">
        <v>46308</v>
      </c>
      <c r="B85" s="1" t="str">
        <f ca="1">IF(Información1[[#This Row],[Fecha]]='Ajuste de fechas'!$A$2,"Día actual","Día anterior")</f>
        <v>Día actual</v>
      </c>
      <c r="C85" s="3" t="s">
        <v>56</v>
      </c>
      <c r="D85" t="s">
        <v>57</v>
      </c>
      <c r="E85" s="3" t="s">
        <v>214</v>
      </c>
      <c r="F85" s="3" t="s">
        <v>14</v>
      </c>
      <c r="G85" s="3" t="s">
        <v>82</v>
      </c>
      <c r="H85" s="3" t="s">
        <v>37</v>
      </c>
      <c r="I85" s="3" t="s">
        <v>7</v>
      </c>
      <c r="J85" s="3" t="s">
        <v>24</v>
      </c>
      <c r="K85" s="3" t="s">
        <v>58</v>
      </c>
      <c r="L85" s="3" t="s">
        <v>34</v>
      </c>
      <c r="M85">
        <v>1</v>
      </c>
    </row>
    <row r="86" spans="1:13" x14ac:dyDescent="0.35">
      <c r="A86" s="2">
        <v>46308</v>
      </c>
      <c r="B86" s="1" t="str">
        <f ca="1">IF(Información1[[#This Row],[Fecha]]='Ajuste de fechas'!$A$2,"Día actual","Día anterior")</f>
        <v>Día actual</v>
      </c>
      <c r="C86" s="3" t="s">
        <v>56</v>
      </c>
      <c r="D86" t="s">
        <v>57</v>
      </c>
      <c r="E86" s="3" t="s">
        <v>215</v>
      </c>
      <c r="F86" s="3" t="s">
        <v>15</v>
      </c>
      <c r="G86" s="3" t="s">
        <v>216</v>
      </c>
      <c r="H86" s="3" t="s">
        <v>37</v>
      </c>
      <c r="I86" s="3" t="s">
        <v>7</v>
      </c>
      <c r="J86" s="3" t="s">
        <v>29</v>
      </c>
      <c r="K86" s="3" t="s">
        <v>186</v>
      </c>
      <c r="L86" s="3" t="s">
        <v>25</v>
      </c>
      <c r="M86">
        <v>1</v>
      </c>
    </row>
    <row r="87" spans="1:13" x14ac:dyDescent="0.35">
      <c r="A87" s="2">
        <v>46308</v>
      </c>
      <c r="B87" s="1" t="str">
        <f ca="1">IF(Información1[[#This Row],[Fecha]]='Ajuste de fechas'!$A$2,"Día actual","Día anterior")</f>
        <v>Día actual</v>
      </c>
      <c r="C87" s="3" t="s">
        <v>56</v>
      </c>
      <c r="D87" t="s">
        <v>57</v>
      </c>
      <c r="E87" s="3" t="s">
        <v>217</v>
      </c>
      <c r="F87" s="3" t="s">
        <v>15</v>
      </c>
      <c r="G87" s="3" t="s">
        <v>117</v>
      </c>
      <c r="H87" s="3" t="s">
        <v>37</v>
      </c>
      <c r="I87" s="3" t="s">
        <v>7</v>
      </c>
      <c r="J87" s="3" t="s">
        <v>29</v>
      </c>
      <c r="K87" s="3" t="s">
        <v>58</v>
      </c>
      <c r="L87" s="3" t="s">
        <v>34</v>
      </c>
      <c r="M87">
        <v>1</v>
      </c>
    </row>
    <row r="88" spans="1:13" x14ac:dyDescent="0.35">
      <c r="A88" s="2">
        <v>46308</v>
      </c>
      <c r="B88" s="1" t="str">
        <f ca="1">IF(Información1[[#This Row],[Fecha]]='Ajuste de fechas'!$A$2,"Día actual","Día anterior")</f>
        <v>Día actual</v>
      </c>
      <c r="C88" s="3" t="s">
        <v>48</v>
      </c>
      <c r="D88" t="s">
        <v>49</v>
      </c>
      <c r="E88" s="3" t="s">
        <v>218</v>
      </c>
      <c r="F88" s="3" t="s">
        <v>33</v>
      </c>
      <c r="G88" s="3" t="s">
        <v>219</v>
      </c>
      <c r="H88" s="3" t="s">
        <v>51</v>
      </c>
      <c r="I88" s="3" t="s">
        <v>7</v>
      </c>
      <c r="J88" s="3" t="s">
        <v>16</v>
      </c>
      <c r="K88" s="3" t="s">
        <v>54</v>
      </c>
      <c r="L88" s="3" t="s">
        <v>34</v>
      </c>
      <c r="M88">
        <v>1</v>
      </c>
    </row>
    <row r="89" spans="1:13" x14ac:dyDescent="0.35">
      <c r="A89" s="2">
        <v>46308</v>
      </c>
      <c r="B89" s="1" t="str">
        <f ca="1">IF(Información1[[#This Row],[Fecha]]='Ajuste de fechas'!$A$2,"Día actual","Día anterior")</f>
        <v>Día actual</v>
      </c>
      <c r="C89" s="3" t="s">
        <v>48</v>
      </c>
      <c r="D89" t="s">
        <v>49</v>
      </c>
      <c r="E89" s="3" t="s">
        <v>220</v>
      </c>
      <c r="F89" s="3" t="s">
        <v>14</v>
      </c>
      <c r="G89" s="3" t="s">
        <v>182</v>
      </c>
      <c r="H89" s="3" t="s">
        <v>51</v>
      </c>
      <c r="I89" s="3" t="s">
        <v>7</v>
      </c>
      <c r="J89" s="3" t="s">
        <v>24</v>
      </c>
      <c r="K89" s="3" t="s">
        <v>54</v>
      </c>
      <c r="L89" s="3" t="s">
        <v>27</v>
      </c>
      <c r="M89">
        <v>1</v>
      </c>
    </row>
    <row r="90" spans="1:13" x14ac:dyDescent="0.35">
      <c r="A90" s="2">
        <v>46308</v>
      </c>
      <c r="B90" s="1" t="str">
        <f ca="1">IF(Información1[[#This Row],[Fecha]]='Ajuste de fechas'!$A$2,"Día actual","Día anterior")</f>
        <v>Día actual</v>
      </c>
      <c r="C90" s="3" t="s">
        <v>48</v>
      </c>
      <c r="D90" t="s">
        <v>49</v>
      </c>
      <c r="E90" s="3" t="s">
        <v>221</v>
      </c>
      <c r="F90" s="3" t="s">
        <v>50</v>
      </c>
      <c r="G90" s="3" t="s">
        <v>202</v>
      </c>
      <c r="H90" s="3" t="s">
        <v>51</v>
      </c>
      <c r="I90" s="3" t="s">
        <v>7</v>
      </c>
      <c r="J90" s="3" t="s">
        <v>52</v>
      </c>
      <c r="K90" s="3" t="s">
        <v>54</v>
      </c>
      <c r="L90" s="3" t="s">
        <v>25</v>
      </c>
      <c r="M90">
        <v>1</v>
      </c>
    </row>
    <row r="91" spans="1:13" x14ac:dyDescent="0.35">
      <c r="A91" s="2">
        <v>46308</v>
      </c>
      <c r="B91" s="1" t="str">
        <f ca="1">IF(Información1[[#This Row],[Fecha]]='Ajuste de fechas'!$A$2,"Día actual","Día anterior")</f>
        <v>Día actual</v>
      </c>
      <c r="C91" s="3" t="s">
        <v>48</v>
      </c>
      <c r="D91" t="s">
        <v>49</v>
      </c>
      <c r="E91" s="3" t="s">
        <v>222</v>
      </c>
      <c r="F91" s="3" t="s">
        <v>223</v>
      </c>
      <c r="G91" s="3" t="s">
        <v>82</v>
      </c>
      <c r="H91" s="3" t="s">
        <v>51</v>
      </c>
      <c r="I91" s="3" t="s">
        <v>7</v>
      </c>
      <c r="J91" s="3" t="s">
        <v>24</v>
      </c>
      <c r="K91" s="3" t="s">
        <v>53</v>
      </c>
      <c r="L91" s="3" t="s">
        <v>25</v>
      </c>
      <c r="M91">
        <v>1</v>
      </c>
    </row>
    <row r="92" spans="1:13" x14ac:dyDescent="0.35">
      <c r="A92" s="2">
        <v>46308</v>
      </c>
      <c r="B92" s="1" t="str">
        <f ca="1">IF(Información1[[#This Row],[Fecha]]='Ajuste de fechas'!$A$2,"Día actual","Día anterior")</f>
        <v>Día actual</v>
      </c>
      <c r="C92" s="3" t="s">
        <v>48</v>
      </c>
      <c r="D92" t="s">
        <v>49</v>
      </c>
      <c r="E92" s="3" t="s">
        <v>222</v>
      </c>
      <c r="F92" s="3" t="s">
        <v>224</v>
      </c>
      <c r="G92" s="3" t="s">
        <v>82</v>
      </c>
      <c r="H92" s="3" t="s">
        <v>51</v>
      </c>
      <c r="I92" s="3" t="s">
        <v>7</v>
      </c>
      <c r="J92" s="3" t="s">
        <v>24</v>
      </c>
      <c r="K92" s="3" t="s">
        <v>53</v>
      </c>
      <c r="L92" s="3" t="s">
        <v>25</v>
      </c>
      <c r="M92">
        <v>1</v>
      </c>
    </row>
    <row r="93" spans="1:13" x14ac:dyDescent="0.35">
      <c r="A93" s="2">
        <v>46308</v>
      </c>
      <c r="B93" s="1" t="str">
        <f ca="1">IF(Información1[[#This Row],[Fecha]]='Ajuste de fechas'!$A$2,"Día actual","Día anterior")</f>
        <v>Día actual</v>
      </c>
      <c r="C93" s="3" t="s">
        <v>48</v>
      </c>
      <c r="D93" t="s">
        <v>49</v>
      </c>
      <c r="E93" s="3" t="s">
        <v>225</v>
      </c>
      <c r="F93" s="3" t="s">
        <v>35</v>
      </c>
      <c r="G93" s="3" t="s">
        <v>82</v>
      </c>
      <c r="H93" s="3" t="s">
        <v>51</v>
      </c>
      <c r="I93" s="3" t="s">
        <v>7</v>
      </c>
      <c r="J93" s="3" t="s">
        <v>24</v>
      </c>
      <c r="K93" s="3" t="s">
        <v>54</v>
      </c>
      <c r="L93" s="3" t="s">
        <v>27</v>
      </c>
      <c r="M93">
        <v>1</v>
      </c>
    </row>
    <row r="94" spans="1:13" x14ac:dyDescent="0.35">
      <c r="A94" s="2">
        <v>46308</v>
      </c>
      <c r="B94" s="1" t="str">
        <f ca="1">IF(Información1[[#This Row],[Fecha]]='Ajuste de fechas'!$A$2,"Día actual","Día anterior")</f>
        <v>Día actual</v>
      </c>
      <c r="C94" s="3" t="s">
        <v>48</v>
      </c>
      <c r="D94" t="s">
        <v>49</v>
      </c>
      <c r="E94" s="3" t="s">
        <v>226</v>
      </c>
      <c r="F94" s="3" t="s">
        <v>35</v>
      </c>
      <c r="G94" s="3" t="s">
        <v>78</v>
      </c>
      <c r="H94" s="3" t="s">
        <v>51</v>
      </c>
      <c r="I94" s="3" t="s">
        <v>7</v>
      </c>
      <c r="J94" s="3" t="s">
        <v>24</v>
      </c>
      <c r="K94" s="3" t="s">
        <v>54</v>
      </c>
      <c r="L94" s="3" t="s">
        <v>25</v>
      </c>
      <c r="M94">
        <v>1</v>
      </c>
    </row>
    <row r="95" spans="1:13" x14ac:dyDescent="0.35">
      <c r="A95" s="2">
        <v>46308</v>
      </c>
      <c r="B95" s="1" t="str">
        <f ca="1">IF(Información1[[#This Row],[Fecha]]='Ajuste de fechas'!$A$2,"Día actual","Día anterior")</f>
        <v>Día actual</v>
      </c>
      <c r="C95" s="3" t="s">
        <v>48</v>
      </c>
      <c r="D95" t="s">
        <v>49</v>
      </c>
      <c r="E95" s="3" t="s">
        <v>227</v>
      </c>
      <c r="F95" s="3" t="s">
        <v>13</v>
      </c>
      <c r="G95" s="3" t="s">
        <v>200</v>
      </c>
      <c r="H95" s="3" t="s">
        <v>51</v>
      </c>
      <c r="I95" s="3" t="s">
        <v>7</v>
      </c>
      <c r="J95" s="3" t="s">
        <v>28</v>
      </c>
      <c r="K95" s="3" t="s">
        <v>54</v>
      </c>
      <c r="L95" s="3" t="s">
        <v>25</v>
      </c>
      <c r="M95">
        <v>1</v>
      </c>
    </row>
    <row r="96" spans="1:13" x14ac:dyDescent="0.35">
      <c r="A96" s="2">
        <v>46308</v>
      </c>
      <c r="B96" s="1" t="str">
        <f ca="1">IF(Información1[[#This Row],[Fecha]]='Ajuste de fechas'!$A$2,"Día actual","Día anterior")</f>
        <v>Día actual</v>
      </c>
      <c r="C96" s="3" t="s">
        <v>48</v>
      </c>
      <c r="D96" t="s">
        <v>49</v>
      </c>
      <c r="E96" s="3" t="s">
        <v>228</v>
      </c>
      <c r="F96" s="3" t="s">
        <v>73</v>
      </c>
      <c r="G96" s="3" t="s">
        <v>229</v>
      </c>
      <c r="H96" s="3" t="s">
        <v>51</v>
      </c>
      <c r="I96" s="3" t="s">
        <v>17</v>
      </c>
      <c r="J96" s="3" t="s">
        <v>24</v>
      </c>
      <c r="K96" s="3" t="s">
        <v>54</v>
      </c>
      <c r="L96" s="3" t="s">
        <v>26</v>
      </c>
      <c r="M96">
        <v>1</v>
      </c>
    </row>
    <row r="97" spans="1:13" x14ac:dyDescent="0.35">
      <c r="A97" s="2">
        <v>46308</v>
      </c>
      <c r="B97" s="1" t="str">
        <f ca="1">IF(Información1[[#This Row],[Fecha]]='Ajuste de fechas'!$A$2,"Día actual","Día anterior")</f>
        <v>Día actual</v>
      </c>
      <c r="C97" s="3" t="s">
        <v>48</v>
      </c>
      <c r="D97" t="s">
        <v>49</v>
      </c>
      <c r="E97" s="3" t="s">
        <v>230</v>
      </c>
      <c r="F97" s="3" t="s">
        <v>50</v>
      </c>
      <c r="G97" s="3" t="s">
        <v>55</v>
      </c>
      <c r="H97" s="3" t="s">
        <v>51</v>
      </c>
      <c r="I97" s="3" t="s">
        <v>7</v>
      </c>
      <c r="J97" s="3" t="s">
        <v>52</v>
      </c>
      <c r="K97" s="3" t="s">
        <v>54</v>
      </c>
      <c r="L97" s="3" t="s">
        <v>25</v>
      </c>
      <c r="M97">
        <v>1</v>
      </c>
    </row>
    <row r="98" spans="1:13" x14ac:dyDescent="0.35">
      <c r="A98" s="2">
        <v>46308</v>
      </c>
      <c r="B98" s="1" t="str">
        <f ca="1">IF(Información1[[#This Row],[Fecha]]='Ajuste de fechas'!$A$2,"Día actual","Día anterior")</f>
        <v>Día actual</v>
      </c>
      <c r="C98" s="3" t="s">
        <v>48</v>
      </c>
      <c r="D98" t="s">
        <v>49</v>
      </c>
      <c r="E98" s="3" t="s">
        <v>231</v>
      </c>
      <c r="F98" s="3" t="s">
        <v>36</v>
      </c>
      <c r="G98" s="3" t="s">
        <v>119</v>
      </c>
      <c r="H98" s="3" t="s">
        <v>51</v>
      </c>
      <c r="I98" s="3" t="s">
        <v>7</v>
      </c>
      <c r="J98" s="3" t="s">
        <v>24</v>
      </c>
      <c r="K98" s="3" t="s">
        <v>54</v>
      </c>
      <c r="L98" s="3" t="s">
        <v>25</v>
      </c>
      <c r="M98">
        <v>1</v>
      </c>
    </row>
    <row r="99" spans="1:13" x14ac:dyDescent="0.35">
      <c r="A99" s="2">
        <v>46308</v>
      </c>
      <c r="B99" s="1" t="str">
        <f ca="1">IF(Información1[[#This Row],[Fecha]]='Ajuste de fechas'!$A$2,"Día actual","Día anterior")</f>
        <v>Día actual</v>
      </c>
      <c r="C99" s="3" t="s">
        <v>38</v>
      </c>
      <c r="D99" t="s">
        <v>43</v>
      </c>
      <c r="E99" s="3" t="s">
        <v>232</v>
      </c>
      <c r="F99" s="3" t="s">
        <v>15</v>
      </c>
      <c r="G99" s="3" t="s">
        <v>90</v>
      </c>
      <c r="H99" s="3" t="s">
        <v>37</v>
      </c>
      <c r="I99" s="3" t="s">
        <v>17</v>
      </c>
      <c r="J99" s="3" t="s">
        <v>29</v>
      </c>
      <c r="K99" s="3" t="s">
        <v>40</v>
      </c>
      <c r="L99" s="3" t="s">
        <v>25</v>
      </c>
      <c r="M99">
        <v>1</v>
      </c>
    </row>
    <row r="100" spans="1:13" x14ac:dyDescent="0.35">
      <c r="A100" s="2">
        <v>46308</v>
      </c>
      <c r="B100" s="1" t="str">
        <f ca="1">IF(Información1[[#This Row],[Fecha]]='Ajuste de fechas'!$A$2,"Día actual","Día anterior")</f>
        <v>Día actual</v>
      </c>
      <c r="C100" s="3" t="s">
        <v>38</v>
      </c>
      <c r="D100" t="s">
        <v>43</v>
      </c>
      <c r="E100" s="3" t="s">
        <v>232</v>
      </c>
      <c r="F100" s="3" t="s">
        <v>13</v>
      </c>
      <c r="G100" s="3" t="s">
        <v>233</v>
      </c>
      <c r="H100" s="3" t="s">
        <v>37</v>
      </c>
      <c r="I100" s="3" t="s">
        <v>7</v>
      </c>
      <c r="J100" s="3" t="s">
        <v>28</v>
      </c>
      <c r="K100" s="3" t="s">
        <v>234</v>
      </c>
      <c r="L100" s="3" t="s">
        <v>25</v>
      </c>
      <c r="M100">
        <v>1</v>
      </c>
    </row>
    <row r="101" spans="1:13" x14ac:dyDescent="0.35">
      <c r="A101" s="2">
        <v>46308</v>
      </c>
      <c r="B101" s="1" t="str">
        <f ca="1">IF(Información1[[#This Row],[Fecha]]='Ajuste de fechas'!$A$2,"Día actual","Día anterior")</f>
        <v>Día actual</v>
      </c>
      <c r="C101" s="3" t="s">
        <v>38</v>
      </c>
      <c r="D101" t="s">
        <v>43</v>
      </c>
      <c r="E101" s="3" t="s">
        <v>235</v>
      </c>
      <c r="F101" s="3" t="s">
        <v>13</v>
      </c>
      <c r="G101" s="3" t="s">
        <v>233</v>
      </c>
      <c r="H101" s="3" t="s">
        <v>37</v>
      </c>
      <c r="I101" s="3" t="s">
        <v>7</v>
      </c>
      <c r="J101" s="3" t="s">
        <v>28</v>
      </c>
      <c r="K101" s="3" t="s">
        <v>40</v>
      </c>
      <c r="L101" s="3" t="s">
        <v>25</v>
      </c>
      <c r="M101">
        <v>1</v>
      </c>
    </row>
    <row r="102" spans="1:13" x14ac:dyDescent="0.35">
      <c r="A102" s="2">
        <v>46308</v>
      </c>
      <c r="B102" s="1" t="str">
        <f ca="1">IF(Información1[[#This Row],[Fecha]]='Ajuste de fechas'!$A$2,"Día actual","Día anterior")</f>
        <v>Día actual</v>
      </c>
      <c r="C102" s="3" t="s">
        <v>38</v>
      </c>
      <c r="D102" t="s">
        <v>43</v>
      </c>
      <c r="E102" s="3" t="s">
        <v>236</v>
      </c>
      <c r="F102" s="3" t="s">
        <v>13</v>
      </c>
      <c r="G102" s="3" t="s">
        <v>237</v>
      </c>
      <c r="H102" s="3" t="s">
        <v>37</v>
      </c>
      <c r="I102" s="3" t="s">
        <v>7</v>
      </c>
      <c r="J102" s="3" t="s">
        <v>28</v>
      </c>
      <c r="K102" s="3" t="s">
        <v>40</v>
      </c>
      <c r="L102" s="3" t="s">
        <v>25</v>
      </c>
      <c r="M102">
        <v>1</v>
      </c>
    </row>
    <row r="103" spans="1:13" x14ac:dyDescent="0.35">
      <c r="A103" s="2">
        <v>46308</v>
      </c>
      <c r="B103" s="1" t="str">
        <f ca="1">IF(Información1[[#This Row],[Fecha]]='Ajuste de fechas'!$A$2,"Día actual","Día anterior")</f>
        <v>Día actual</v>
      </c>
      <c r="C103" s="3" t="s">
        <v>38</v>
      </c>
      <c r="D103" t="s">
        <v>43</v>
      </c>
      <c r="E103" s="3" t="s">
        <v>238</v>
      </c>
      <c r="F103" s="3" t="s">
        <v>13</v>
      </c>
      <c r="G103" s="3" t="s">
        <v>239</v>
      </c>
      <c r="H103" s="3" t="s">
        <v>37</v>
      </c>
      <c r="I103" s="3" t="s">
        <v>7</v>
      </c>
      <c r="J103" s="3" t="s">
        <v>28</v>
      </c>
      <c r="K103" s="3" t="s">
        <v>40</v>
      </c>
      <c r="L103" s="3" t="s">
        <v>25</v>
      </c>
      <c r="M103">
        <v>1</v>
      </c>
    </row>
    <row r="104" spans="1:13" x14ac:dyDescent="0.35">
      <c r="A104" s="2">
        <v>46308</v>
      </c>
      <c r="B104" s="1" t="str">
        <f ca="1">IF(Información1[[#This Row],[Fecha]]='Ajuste de fechas'!$A$2,"Día actual","Día anterior")</f>
        <v>Día actual</v>
      </c>
      <c r="C104" s="3" t="s">
        <v>45</v>
      </c>
      <c r="D104" t="s">
        <v>46</v>
      </c>
      <c r="E104" s="3" t="s">
        <v>240</v>
      </c>
      <c r="F104" s="3" t="s">
        <v>101</v>
      </c>
      <c r="G104" s="3" t="s">
        <v>102</v>
      </c>
      <c r="H104" s="3" t="s">
        <v>37</v>
      </c>
      <c r="I104" s="3" t="s">
        <v>7</v>
      </c>
      <c r="J104" s="3" t="s">
        <v>24</v>
      </c>
      <c r="K104" s="3" t="s">
        <v>47</v>
      </c>
      <c r="L104" s="3" t="s">
        <v>25</v>
      </c>
      <c r="M104">
        <v>1</v>
      </c>
    </row>
    <row r="105" spans="1:13" x14ac:dyDescent="0.35">
      <c r="A105" s="2">
        <v>46308</v>
      </c>
      <c r="B105" s="1" t="str">
        <f ca="1">IF(Información1[[#This Row],[Fecha]]='Ajuste de fechas'!$A$2,"Día actual","Día anterior")</f>
        <v>Día actual</v>
      </c>
      <c r="C105" s="3" t="s">
        <v>45</v>
      </c>
      <c r="D105" t="s">
        <v>46</v>
      </c>
      <c r="E105" s="3" t="s">
        <v>241</v>
      </c>
      <c r="F105" s="3" t="s">
        <v>131</v>
      </c>
      <c r="G105" s="3" t="s">
        <v>82</v>
      </c>
      <c r="H105" s="3" t="s">
        <v>37</v>
      </c>
      <c r="I105" s="3" t="s">
        <v>10</v>
      </c>
      <c r="J105" s="3" t="s">
        <v>24</v>
      </c>
      <c r="K105" s="3" t="s">
        <v>47</v>
      </c>
      <c r="L105" s="3" t="s">
        <v>26</v>
      </c>
      <c r="M105">
        <v>1</v>
      </c>
    </row>
    <row r="106" spans="1:13" x14ac:dyDescent="0.35">
      <c r="A106" s="2">
        <v>46308</v>
      </c>
      <c r="B106" s="1" t="str">
        <f ca="1">IF(Información1[[#This Row],[Fecha]]='Ajuste de fechas'!$A$2,"Día actual","Día anterior")</f>
        <v>Día actual</v>
      </c>
      <c r="C106" s="3" t="s">
        <v>45</v>
      </c>
      <c r="D106" t="s">
        <v>46</v>
      </c>
      <c r="E106" s="3" t="s">
        <v>242</v>
      </c>
      <c r="F106" s="3" t="s">
        <v>224</v>
      </c>
      <c r="G106" s="3" t="s">
        <v>82</v>
      </c>
      <c r="H106" s="3" t="s">
        <v>37</v>
      </c>
      <c r="I106" s="3" t="s">
        <v>7</v>
      </c>
      <c r="J106" s="3" t="s">
        <v>24</v>
      </c>
      <c r="K106" s="3" t="s">
        <v>47</v>
      </c>
      <c r="L106" s="3" t="s">
        <v>25</v>
      </c>
      <c r="M106">
        <v>1</v>
      </c>
    </row>
    <row r="107" spans="1:13" x14ac:dyDescent="0.35">
      <c r="A107" s="2">
        <v>46308</v>
      </c>
      <c r="B107" s="1" t="str">
        <f ca="1">IF(Información1[[#This Row],[Fecha]]='Ajuste de fechas'!$A$2,"Día actual","Día anterior")</f>
        <v>Día actual</v>
      </c>
      <c r="C107" s="3" t="s">
        <v>45</v>
      </c>
      <c r="D107" t="s">
        <v>46</v>
      </c>
      <c r="E107" s="3" t="s">
        <v>243</v>
      </c>
      <c r="F107" s="3" t="s">
        <v>85</v>
      </c>
      <c r="G107" s="3" t="s">
        <v>82</v>
      </c>
      <c r="H107" s="3" t="s">
        <v>37</v>
      </c>
      <c r="I107" s="3" t="s">
        <v>7</v>
      </c>
      <c r="J107" s="3" t="s">
        <v>24</v>
      </c>
      <c r="K107" s="3" t="s">
        <v>47</v>
      </c>
      <c r="L107" s="3" t="s">
        <v>25</v>
      </c>
      <c r="M107">
        <v>1</v>
      </c>
    </row>
    <row r="108" spans="1:13" x14ac:dyDescent="0.35">
      <c r="A108" s="2">
        <v>46308</v>
      </c>
      <c r="B108" s="1" t="str">
        <f ca="1">IF(Información1[[#This Row],[Fecha]]='Ajuste de fechas'!$A$2,"Día actual","Día anterior")</f>
        <v>Día actual</v>
      </c>
      <c r="C108" s="3" t="s">
        <v>45</v>
      </c>
      <c r="D108" t="s">
        <v>46</v>
      </c>
      <c r="E108" s="3" t="s">
        <v>244</v>
      </c>
      <c r="F108" s="3" t="s">
        <v>35</v>
      </c>
      <c r="G108" s="3" t="s">
        <v>82</v>
      </c>
      <c r="H108" s="3" t="s">
        <v>37</v>
      </c>
      <c r="I108" s="3" t="s">
        <v>7</v>
      </c>
      <c r="J108" s="3" t="s">
        <v>24</v>
      </c>
      <c r="K108" s="3" t="s">
        <v>47</v>
      </c>
      <c r="L108" s="3" t="s">
        <v>25</v>
      </c>
      <c r="M108">
        <v>1</v>
      </c>
    </row>
    <row r="109" spans="1:13" x14ac:dyDescent="0.35">
      <c r="A109" s="2">
        <v>46308</v>
      </c>
      <c r="B109" s="1" t="str">
        <f ca="1">IF(Información1[[#This Row],[Fecha]]='Ajuste de fechas'!$A$2,"Día actual","Día anterior")</f>
        <v>Día actual</v>
      </c>
      <c r="C109" s="3" t="s">
        <v>38</v>
      </c>
      <c r="D109" t="s">
        <v>39</v>
      </c>
      <c r="E109" s="3" t="s">
        <v>245</v>
      </c>
      <c r="F109" s="3" t="s">
        <v>13</v>
      </c>
      <c r="G109" s="3" t="s">
        <v>246</v>
      </c>
      <c r="H109" s="3" t="s">
        <v>37</v>
      </c>
      <c r="I109" s="3" t="s">
        <v>7</v>
      </c>
      <c r="J109" s="3" t="s">
        <v>28</v>
      </c>
      <c r="K109" s="3" t="s">
        <v>40</v>
      </c>
      <c r="L109" s="3" t="s">
        <v>25</v>
      </c>
      <c r="M109">
        <v>1</v>
      </c>
    </row>
    <row r="110" spans="1:13" x14ac:dyDescent="0.35">
      <c r="A110" s="2">
        <v>46308</v>
      </c>
      <c r="B110" s="1" t="str">
        <f ca="1">IF(Información1[[#This Row],[Fecha]]='Ajuste de fechas'!$A$2,"Día actual","Día anterior")</f>
        <v>Día actual</v>
      </c>
      <c r="C110" s="3" t="s">
        <v>38</v>
      </c>
      <c r="D110" t="s">
        <v>39</v>
      </c>
      <c r="E110" s="3" t="s">
        <v>181</v>
      </c>
      <c r="F110" s="3" t="s">
        <v>14</v>
      </c>
      <c r="G110" s="3" t="s">
        <v>182</v>
      </c>
      <c r="H110" s="3" t="s">
        <v>37</v>
      </c>
      <c r="I110" s="3" t="s">
        <v>7</v>
      </c>
      <c r="J110" s="3" t="s">
        <v>24</v>
      </c>
      <c r="K110" s="3" t="s">
        <v>40</v>
      </c>
      <c r="L110" s="3" t="s">
        <v>27</v>
      </c>
      <c r="M110">
        <v>1</v>
      </c>
    </row>
    <row r="111" spans="1:13" x14ac:dyDescent="0.35">
      <c r="A111" s="2">
        <v>46308</v>
      </c>
      <c r="B111" s="1" t="str">
        <f ca="1">IF(Información1[[#This Row],[Fecha]]='Ajuste de fechas'!$A$2,"Día actual","Día anterior")</f>
        <v>Día actual</v>
      </c>
      <c r="C111" s="3" t="s">
        <v>38</v>
      </c>
      <c r="D111" t="s">
        <v>39</v>
      </c>
      <c r="E111" s="3" t="s">
        <v>247</v>
      </c>
      <c r="F111" s="3" t="s">
        <v>13</v>
      </c>
      <c r="G111" s="3" t="s">
        <v>248</v>
      </c>
      <c r="H111" s="3" t="s">
        <v>37</v>
      </c>
      <c r="I111" s="3" t="s">
        <v>7</v>
      </c>
      <c r="J111" s="3" t="s">
        <v>28</v>
      </c>
      <c r="K111" s="3" t="s">
        <v>40</v>
      </c>
      <c r="L111" s="3" t="s">
        <v>25</v>
      </c>
      <c r="M111">
        <v>1</v>
      </c>
    </row>
    <row r="112" spans="1:13" x14ac:dyDescent="0.35">
      <c r="A112" s="2">
        <v>46308</v>
      </c>
      <c r="B112" s="1" t="str">
        <f ca="1">IF(Información1[[#This Row],[Fecha]]='Ajuste de fechas'!$A$2,"Día actual","Día anterior")</f>
        <v>Día actual</v>
      </c>
      <c r="C112" s="3" t="s">
        <v>38</v>
      </c>
      <c r="D112" t="s">
        <v>39</v>
      </c>
      <c r="E112" s="3" t="s">
        <v>249</v>
      </c>
      <c r="F112" s="3" t="s">
        <v>85</v>
      </c>
      <c r="G112" s="3" t="s">
        <v>82</v>
      </c>
      <c r="H112" s="3" t="s">
        <v>37</v>
      </c>
      <c r="I112" s="3" t="s">
        <v>7</v>
      </c>
      <c r="J112" s="3" t="s">
        <v>24</v>
      </c>
      <c r="K112" s="3" t="s">
        <v>41</v>
      </c>
      <c r="L112" s="3" t="s">
        <v>27</v>
      </c>
      <c r="M112">
        <v>1</v>
      </c>
    </row>
    <row r="113" spans="1:13" x14ac:dyDescent="0.35">
      <c r="A113" s="2">
        <v>46308</v>
      </c>
      <c r="B113" s="1" t="str">
        <f ca="1">IF(Información1[[#This Row],[Fecha]]='Ajuste de fechas'!$A$2,"Día actual","Día anterior")</f>
        <v>Día actual</v>
      </c>
      <c r="C113" s="3" t="s">
        <v>38</v>
      </c>
      <c r="D113" t="s">
        <v>39</v>
      </c>
      <c r="E113" s="3" t="s">
        <v>250</v>
      </c>
      <c r="F113" s="3" t="s">
        <v>50</v>
      </c>
      <c r="G113" s="3" t="s">
        <v>202</v>
      </c>
      <c r="H113" s="3" t="s">
        <v>37</v>
      </c>
      <c r="I113" s="3" t="s">
        <v>7</v>
      </c>
      <c r="J113" s="3" t="s">
        <v>52</v>
      </c>
      <c r="K113" s="3" t="s">
        <v>40</v>
      </c>
      <c r="L113" s="3" t="s">
        <v>25</v>
      </c>
      <c r="M113">
        <v>1</v>
      </c>
    </row>
    <row r="114" spans="1:13" x14ac:dyDescent="0.35">
      <c r="A114" s="2">
        <v>46308</v>
      </c>
      <c r="B114" s="1" t="str">
        <f ca="1">IF(Información1[[#This Row],[Fecha]]='Ajuste de fechas'!$A$2,"Día actual","Día anterior")</f>
        <v>Día actual</v>
      </c>
      <c r="C114" s="3" t="s">
        <v>38</v>
      </c>
      <c r="D114" t="s">
        <v>39</v>
      </c>
      <c r="E114" s="3" t="s">
        <v>251</v>
      </c>
      <c r="F114" s="3" t="s">
        <v>35</v>
      </c>
      <c r="G114" s="3" t="s">
        <v>252</v>
      </c>
      <c r="H114" s="3" t="s">
        <v>37</v>
      </c>
      <c r="I114" s="3" t="s">
        <v>7</v>
      </c>
      <c r="J114" s="3" t="s">
        <v>24</v>
      </c>
      <c r="K114" s="3" t="s">
        <v>41</v>
      </c>
      <c r="L114" s="3" t="s">
        <v>25</v>
      </c>
      <c r="M114">
        <v>1</v>
      </c>
    </row>
    <row r="115" spans="1:13" x14ac:dyDescent="0.35">
      <c r="A115" s="2">
        <v>46308</v>
      </c>
      <c r="B115" s="1" t="str">
        <f ca="1">IF(Información1[[#This Row],[Fecha]]='Ajuste de fechas'!$A$2,"Día actual","Día anterior")</f>
        <v>Día actual</v>
      </c>
      <c r="C115" s="3" t="s">
        <v>38</v>
      </c>
      <c r="D115" t="s">
        <v>39</v>
      </c>
      <c r="E115" s="3" t="s">
        <v>253</v>
      </c>
      <c r="F115" s="3" t="s">
        <v>35</v>
      </c>
      <c r="G115" s="3" t="s">
        <v>82</v>
      </c>
      <c r="H115" s="3" t="s">
        <v>37</v>
      </c>
      <c r="I115" s="3" t="s">
        <v>7</v>
      </c>
      <c r="J115" s="3" t="s">
        <v>24</v>
      </c>
      <c r="K115" s="3" t="s">
        <v>41</v>
      </c>
      <c r="L115" s="3" t="s">
        <v>27</v>
      </c>
      <c r="M115">
        <v>1</v>
      </c>
    </row>
    <row r="116" spans="1:13" x14ac:dyDescent="0.35">
      <c r="A116" s="2">
        <v>46308</v>
      </c>
      <c r="B116" s="1" t="str">
        <f ca="1">IF(Información1[[#This Row],[Fecha]]='Ajuste de fechas'!$A$2,"Día actual","Día anterior")</f>
        <v>Día actual</v>
      </c>
      <c r="C116" s="3" t="s">
        <v>8</v>
      </c>
      <c r="D116" t="s">
        <v>9</v>
      </c>
      <c r="E116" s="3" t="s">
        <v>254</v>
      </c>
      <c r="F116" s="3" t="s">
        <v>6</v>
      </c>
      <c r="G116" s="3" t="s">
        <v>65</v>
      </c>
      <c r="H116" s="3" t="s">
        <v>37</v>
      </c>
      <c r="I116" s="3" t="s">
        <v>10</v>
      </c>
      <c r="J116" s="3" t="s">
        <v>24</v>
      </c>
      <c r="K116" s="3" t="s">
        <v>44</v>
      </c>
      <c r="L116" s="3" t="s">
        <v>26</v>
      </c>
      <c r="M116">
        <v>1</v>
      </c>
    </row>
    <row r="117" spans="1:13" x14ac:dyDescent="0.35">
      <c r="A117" s="2">
        <v>46308</v>
      </c>
      <c r="B117" s="1" t="str">
        <f ca="1">IF(Información1[[#This Row],[Fecha]]='Ajuste de fechas'!$A$2,"Día actual","Día anterior")</f>
        <v>Día actual</v>
      </c>
      <c r="C117" s="3" t="s">
        <v>76</v>
      </c>
      <c r="D117" t="s">
        <v>111</v>
      </c>
      <c r="E117" s="3" t="s">
        <v>255</v>
      </c>
      <c r="F117" s="3" t="s">
        <v>92</v>
      </c>
      <c r="G117" s="3" t="s">
        <v>93</v>
      </c>
      <c r="H117" s="3" t="s">
        <v>37</v>
      </c>
      <c r="I117" s="3" t="s">
        <v>7</v>
      </c>
      <c r="J117" s="3" t="s">
        <v>24</v>
      </c>
      <c r="K117" s="3" t="s">
        <v>113</v>
      </c>
      <c r="L117" s="3" t="s">
        <v>25</v>
      </c>
      <c r="M117">
        <v>1</v>
      </c>
    </row>
    <row r="118" spans="1:13" x14ac:dyDescent="0.35">
      <c r="A118" s="2">
        <v>46308</v>
      </c>
      <c r="B118" s="1" t="str">
        <f ca="1">IF(Información1[[#This Row],[Fecha]]='Ajuste de fechas'!$A$2,"Día actual","Día anterior")</f>
        <v>Día actual</v>
      </c>
      <c r="C118" s="3" t="s">
        <v>8</v>
      </c>
      <c r="D118" t="s">
        <v>9</v>
      </c>
      <c r="E118" s="3" t="s">
        <v>66</v>
      </c>
      <c r="F118" s="3" t="s">
        <v>13</v>
      </c>
      <c r="G118" s="3" t="s">
        <v>67</v>
      </c>
      <c r="H118" s="3" t="s">
        <v>37</v>
      </c>
      <c r="I118" s="3" t="s">
        <v>10</v>
      </c>
      <c r="J118" s="3" t="s">
        <v>28</v>
      </c>
      <c r="K118" s="3" t="s">
        <v>11</v>
      </c>
      <c r="L118" s="3" t="s">
        <v>26</v>
      </c>
      <c r="M118">
        <v>1</v>
      </c>
    </row>
    <row r="119" spans="1:13" x14ac:dyDescent="0.35">
      <c r="A119" s="2">
        <v>46308</v>
      </c>
      <c r="B119" s="1" t="str">
        <f ca="1">IF(Información1[[#This Row],[Fecha]]='Ajuste de fechas'!$A$2,"Día actual","Día anterior")</f>
        <v>Día actual</v>
      </c>
      <c r="C119" s="3" t="s">
        <v>8</v>
      </c>
      <c r="D119" t="s">
        <v>9</v>
      </c>
      <c r="E119" s="3" t="s">
        <v>68</v>
      </c>
      <c r="F119" s="3" t="s">
        <v>13</v>
      </c>
      <c r="G119" s="3" t="s">
        <v>67</v>
      </c>
      <c r="H119" s="3" t="s">
        <v>37</v>
      </c>
      <c r="I119" s="3" t="s">
        <v>10</v>
      </c>
      <c r="J119" s="3" t="s">
        <v>28</v>
      </c>
      <c r="K119" s="3" t="s">
        <v>11</v>
      </c>
      <c r="L119" s="3" t="s">
        <v>26</v>
      </c>
      <c r="M119">
        <v>1</v>
      </c>
    </row>
    <row r="120" spans="1:13" x14ac:dyDescent="0.35">
      <c r="A120" s="2">
        <v>46308</v>
      </c>
      <c r="B120" s="1" t="str">
        <f ca="1">IF(Información1[[#This Row],[Fecha]]='Ajuste de fechas'!$A$2,"Día actual","Día anterior")</f>
        <v>Día actual</v>
      </c>
      <c r="C120" s="3" t="s">
        <v>8</v>
      </c>
      <c r="D120" t="s">
        <v>9</v>
      </c>
      <c r="E120" s="3" t="s">
        <v>69</v>
      </c>
      <c r="F120" s="3" t="s">
        <v>33</v>
      </c>
      <c r="G120" s="3" t="s">
        <v>67</v>
      </c>
      <c r="H120" s="3" t="s">
        <v>37</v>
      </c>
      <c r="I120" s="3" t="s">
        <v>10</v>
      </c>
      <c r="J120" s="3" t="s">
        <v>16</v>
      </c>
      <c r="K120" s="3" t="s">
        <v>11</v>
      </c>
      <c r="L120" s="3" t="s">
        <v>26</v>
      </c>
      <c r="M120">
        <v>1</v>
      </c>
    </row>
    <row r="121" spans="1:13" x14ac:dyDescent="0.35">
      <c r="A121" s="2">
        <v>46308</v>
      </c>
      <c r="B121" s="1" t="str">
        <f ca="1">IF(Información1[[#This Row],[Fecha]]='Ajuste de fechas'!$A$2,"Día actual","Día anterior")</f>
        <v>Día actual</v>
      </c>
      <c r="C121" s="3" t="s">
        <v>8</v>
      </c>
      <c r="D121" t="s">
        <v>9</v>
      </c>
      <c r="E121" s="3" t="s">
        <v>88</v>
      </c>
      <c r="F121" s="3" t="s">
        <v>35</v>
      </c>
      <c r="G121" s="3" t="s">
        <v>67</v>
      </c>
      <c r="H121" s="3" t="s">
        <v>37</v>
      </c>
      <c r="I121" s="3" t="s">
        <v>10</v>
      </c>
      <c r="J121" s="3" t="s">
        <v>24</v>
      </c>
      <c r="K121" s="3" t="s">
        <v>11</v>
      </c>
      <c r="L121" s="3" t="s">
        <v>26</v>
      </c>
      <c r="M121">
        <v>1</v>
      </c>
    </row>
    <row r="122" spans="1:13" x14ac:dyDescent="0.35">
      <c r="A122" s="2">
        <v>46308</v>
      </c>
      <c r="B122" s="1" t="str">
        <f ca="1">IF(Información1[[#This Row],[Fecha]]='Ajuste de fechas'!$A$2,"Día actual","Día anterior")</f>
        <v>Día actual</v>
      </c>
      <c r="C122" s="3" t="s">
        <v>8</v>
      </c>
      <c r="D122" t="s">
        <v>9</v>
      </c>
      <c r="E122" s="3" t="s">
        <v>83</v>
      </c>
      <c r="F122" s="3" t="s">
        <v>14</v>
      </c>
      <c r="G122" s="3" t="s">
        <v>67</v>
      </c>
      <c r="H122" s="3" t="s">
        <v>37</v>
      </c>
      <c r="I122" s="3" t="s">
        <v>10</v>
      </c>
      <c r="J122" s="3" t="s">
        <v>24</v>
      </c>
      <c r="K122" s="3" t="s">
        <v>11</v>
      </c>
      <c r="L122" s="3" t="s">
        <v>26</v>
      </c>
      <c r="M122">
        <v>1</v>
      </c>
    </row>
    <row r="123" spans="1:13" x14ac:dyDescent="0.35">
      <c r="A123" s="2">
        <v>46308</v>
      </c>
      <c r="B123" s="1" t="str">
        <f ca="1">IF(Información1[[#This Row],[Fecha]]='Ajuste de fechas'!$A$2,"Día actual","Día anterior")</f>
        <v>Día actual</v>
      </c>
      <c r="C123" s="3" t="s">
        <v>8</v>
      </c>
      <c r="D123" t="s">
        <v>9</v>
      </c>
      <c r="E123" s="3" t="s">
        <v>77</v>
      </c>
      <c r="F123" s="3" t="s">
        <v>12</v>
      </c>
      <c r="G123" s="3" t="s">
        <v>67</v>
      </c>
      <c r="H123" s="3" t="s">
        <v>37</v>
      </c>
      <c r="I123" s="3" t="s">
        <v>10</v>
      </c>
      <c r="J123" s="3" t="s">
        <v>24</v>
      </c>
      <c r="K123" s="3" t="s">
        <v>11</v>
      </c>
      <c r="L123" s="3" t="s">
        <v>26</v>
      </c>
      <c r="M123">
        <v>1</v>
      </c>
    </row>
    <row r="124" spans="1:13" x14ac:dyDescent="0.35">
      <c r="A124" s="2">
        <v>46308</v>
      </c>
      <c r="B124" s="1" t="str">
        <f ca="1">IF(Información1[[#This Row],[Fecha]]='Ajuste de fechas'!$A$2,"Día actual","Día anterior")</f>
        <v>Día actual</v>
      </c>
      <c r="C124" s="3" t="s">
        <v>8</v>
      </c>
      <c r="D124" t="s">
        <v>9</v>
      </c>
      <c r="E124" s="3" t="s">
        <v>70</v>
      </c>
      <c r="F124" s="3" t="s">
        <v>6</v>
      </c>
      <c r="G124" s="3" t="s">
        <v>67</v>
      </c>
      <c r="H124" s="3" t="s">
        <v>37</v>
      </c>
      <c r="I124" s="3" t="s">
        <v>10</v>
      </c>
      <c r="J124" s="3" t="s">
        <v>24</v>
      </c>
      <c r="K124" s="3" t="s">
        <v>11</v>
      </c>
      <c r="L124" s="3" t="s">
        <v>26</v>
      </c>
      <c r="M124">
        <v>1</v>
      </c>
    </row>
    <row r="125" spans="1:13" x14ac:dyDescent="0.35">
      <c r="A125" s="2">
        <v>46308</v>
      </c>
      <c r="B125" s="1" t="str">
        <f ca="1">IF(Información1[[#This Row],[Fecha]]='Ajuste de fechas'!$A$2,"Día actual","Día anterior")</f>
        <v>Día actual</v>
      </c>
      <c r="C125" s="3" t="s">
        <v>8</v>
      </c>
      <c r="D125" t="s">
        <v>9</v>
      </c>
      <c r="E125" s="3" t="s">
        <v>256</v>
      </c>
      <c r="F125" s="3" t="s">
        <v>15</v>
      </c>
      <c r="G125" s="3" t="s">
        <v>257</v>
      </c>
      <c r="H125" s="3" t="s">
        <v>37</v>
      </c>
      <c r="I125" s="3" t="s">
        <v>7</v>
      </c>
      <c r="J125" s="3" t="s">
        <v>29</v>
      </c>
      <c r="K125" s="3" t="s">
        <v>11</v>
      </c>
      <c r="L125" s="3" t="s">
        <v>25</v>
      </c>
      <c r="M125">
        <v>1</v>
      </c>
    </row>
    <row r="126" spans="1:13" x14ac:dyDescent="0.35">
      <c r="A126" s="2">
        <v>46308</v>
      </c>
      <c r="B126" s="1" t="str">
        <f ca="1">IF(Información1[[#This Row],[Fecha]]='Ajuste de fechas'!$A$2,"Día actual","Día anterior")</f>
        <v>Día actual</v>
      </c>
      <c r="C126" s="3" t="s">
        <v>76</v>
      </c>
      <c r="D126" t="s">
        <v>111</v>
      </c>
      <c r="E126" s="3" t="s">
        <v>258</v>
      </c>
      <c r="F126" s="3" t="s">
        <v>87</v>
      </c>
      <c r="G126" s="3" t="s">
        <v>259</v>
      </c>
      <c r="H126" s="3" t="s">
        <v>37</v>
      </c>
      <c r="I126" s="3" t="s">
        <v>7</v>
      </c>
      <c r="J126" s="3" t="s">
        <v>24</v>
      </c>
      <c r="K126" s="3" t="s">
        <v>113</v>
      </c>
      <c r="L126" s="3" t="s">
        <v>25</v>
      </c>
      <c r="M126">
        <v>1</v>
      </c>
    </row>
    <row r="127" spans="1:13" x14ac:dyDescent="0.35">
      <c r="A127" s="2">
        <v>46308</v>
      </c>
      <c r="B127" s="1" t="str">
        <f ca="1">IF(Información1[[#This Row],[Fecha]]='Ajuste de fechas'!$A$2,"Día actual","Día anterior")</f>
        <v>Día actual</v>
      </c>
      <c r="C127" s="3" t="s">
        <v>76</v>
      </c>
      <c r="D127" t="s">
        <v>111</v>
      </c>
      <c r="E127" s="3" t="s">
        <v>260</v>
      </c>
      <c r="F127" s="3" t="s">
        <v>16</v>
      </c>
      <c r="G127" s="3" t="s">
        <v>261</v>
      </c>
      <c r="H127" s="3" t="s">
        <v>37</v>
      </c>
      <c r="I127" s="3" t="s">
        <v>7</v>
      </c>
      <c r="J127" s="3" t="s">
        <v>16</v>
      </c>
      <c r="K127" s="3" t="s">
        <v>113</v>
      </c>
      <c r="L127" s="3" t="s">
        <v>25</v>
      </c>
      <c r="M127">
        <v>1</v>
      </c>
    </row>
    <row r="128" spans="1:13" x14ac:dyDescent="0.35">
      <c r="A128" s="2">
        <v>46308</v>
      </c>
      <c r="B128" s="1" t="str">
        <f ca="1">IF(Información1[[#This Row],[Fecha]]='Ajuste de fechas'!$A$2,"Día actual","Día anterior")</f>
        <v>Día actual</v>
      </c>
      <c r="C128" s="3" t="s">
        <v>59</v>
      </c>
      <c r="D128" t="s">
        <v>60</v>
      </c>
      <c r="E128" s="3" t="s">
        <v>262</v>
      </c>
      <c r="F128" s="3" t="s">
        <v>85</v>
      </c>
      <c r="G128" s="3" t="s">
        <v>82</v>
      </c>
      <c r="H128" s="3" t="s">
        <v>37</v>
      </c>
      <c r="I128" s="3" t="s">
        <v>7</v>
      </c>
      <c r="J128" s="3" t="s">
        <v>24</v>
      </c>
      <c r="K128" s="3" t="s">
        <v>61</v>
      </c>
      <c r="L128" s="3" t="s">
        <v>25</v>
      </c>
      <c r="M128">
        <v>1</v>
      </c>
    </row>
    <row r="129" spans="1:13" x14ac:dyDescent="0.35">
      <c r="A129" s="2">
        <v>46308</v>
      </c>
      <c r="B129" s="1" t="str">
        <f ca="1">IF(Información1[[#This Row],[Fecha]]='Ajuste de fechas'!$A$2,"Día actual","Día anterior")</f>
        <v>Día actual</v>
      </c>
      <c r="C129" s="3" t="s">
        <v>76</v>
      </c>
      <c r="D129" t="s">
        <v>111</v>
      </c>
      <c r="E129" s="3" t="s">
        <v>263</v>
      </c>
      <c r="F129" s="3" t="s">
        <v>35</v>
      </c>
      <c r="G129" s="3" t="s">
        <v>82</v>
      </c>
      <c r="H129" s="3" t="s">
        <v>37</v>
      </c>
      <c r="I129" s="3" t="s">
        <v>7</v>
      </c>
      <c r="J129" s="3" t="s">
        <v>24</v>
      </c>
      <c r="K129" s="3" t="s">
        <v>113</v>
      </c>
      <c r="L129" s="3" t="s">
        <v>25</v>
      </c>
      <c r="M129">
        <v>1</v>
      </c>
    </row>
    <row r="130" spans="1:13" x14ac:dyDescent="0.35">
      <c r="A130" s="2">
        <v>46308</v>
      </c>
      <c r="B130" s="1" t="str">
        <f ca="1">IF(Información1[[#This Row],[Fecha]]='Ajuste de fechas'!$A$2,"Día actual","Día anterior")</f>
        <v>Día actual</v>
      </c>
      <c r="C130" s="3" t="s">
        <v>76</v>
      </c>
      <c r="D130" t="s">
        <v>111</v>
      </c>
      <c r="E130" s="3" t="s">
        <v>264</v>
      </c>
      <c r="F130" s="3" t="s">
        <v>35</v>
      </c>
      <c r="G130" s="3" t="s">
        <v>82</v>
      </c>
      <c r="H130" s="3" t="s">
        <v>37</v>
      </c>
      <c r="I130" s="3" t="s">
        <v>7</v>
      </c>
      <c r="J130" s="3" t="s">
        <v>24</v>
      </c>
      <c r="K130" s="3" t="s">
        <v>113</v>
      </c>
      <c r="L130" s="3" t="s">
        <v>25</v>
      </c>
      <c r="M130">
        <v>1</v>
      </c>
    </row>
    <row r="131" spans="1:13" x14ac:dyDescent="0.35">
      <c r="A131" s="2">
        <v>46308</v>
      </c>
      <c r="B131" s="1" t="str">
        <f ca="1">IF(Información1[[#This Row],[Fecha]]='Ajuste de fechas'!$A$2,"Día actual","Día anterior")</f>
        <v>Día actual</v>
      </c>
      <c r="C131" s="3" t="s">
        <v>8</v>
      </c>
      <c r="D131" t="s">
        <v>9</v>
      </c>
      <c r="E131" s="3" t="s">
        <v>265</v>
      </c>
      <c r="F131" s="3" t="s">
        <v>35</v>
      </c>
      <c r="G131" s="3" t="s">
        <v>82</v>
      </c>
      <c r="H131" s="3" t="s">
        <v>37</v>
      </c>
      <c r="I131" s="3" t="s">
        <v>7</v>
      </c>
      <c r="J131" s="3" t="s">
        <v>24</v>
      </c>
      <c r="K131" s="3" t="s">
        <v>11</v>
      </c>
      <c r="L131" s="3" t="s">
        <v>25</v>
      </c>
      <c r="M131">
        <v>1</v>
      </c>
    </row>
    <row r="132" spans="1:13" x14ac:dyDescent="0.35">
      <c r="A132" s="2">
        <v>46308</v>
      </c>
      <c r="B132" s="1" t="str">
        <f ca="1">IF(Información1[[#This Row],[Fecha]]='Ajuste de fechas'!$A$2,"Día actual","Día anterior")</f>
        <v>Día actual</v>
      </c>
      <c r="C132" s="3" t="s">
        <v>8</v>
      </c>
      <c r="D132" t="s">
        <v>9</v>
      </c>
      <c r="E132" s="3" t="s">
        <v>266</v>
      </c>
      <c r="F132" s="3" t="s">
        <v>35</v>
      </c>
      <c r="G132" s="3" t="s">
        <v>208</v>
      </c>
      <c r="H132" s="3" t="s">
        <v>37</v>
      </c>
      <c r="I132" s="3" t="s">
        <v>17</v>
      </c>
      <c r="J132" s="3" t="s">
        <v>24</v>
      </c>
      <c r="K132" s="3" t="s">
        <v>44</v>
      </c>
      <c r="L132" s="3" t="s">
        <v>26</v>
      </c>
      <c r="M132">
        <v>1</v>
      </c>
    </row>
    <row r="133" spans="1:13" x14ac:dyDescent="0.35">
      <c r="A133" s="2">
        <v>46308</v>
      </c>
      <c r="B133" s="1" t="str">
        <f ca="1">IF(Información1[[#This Row],[Fecha]]='Ajuste de fechas'!$A$2,"Día actual","Día anterior")</f>
        <v>Día actual</v>
      </c>
      <c r="C133" s="3" t="s">
        <v>8</v>
      </c>
      <c r="D133" t="s">
        <v>9</v>
      </c>
      <c r="E133" s="3" t="s">
        <v>267</v>
      </c>
      <c r="F133" s="3" t="s">
        <v>35</v>
      </c>
      <c r="G133" s="3" t="s">
        <v>208</v>
      </c>
      <c r="H133" s="3" t="s">
        <v>37</v>
      </c>
      <c r="I133" s="3" t="s">
        <v>7</v>
      </c>
      <c r="J133" s="3" t="s">
        <v>24</v>
      </c>
      <c r="K133" s="3" t="s">
        <v>11</v>
      </c>
      <c r="L133" s="3" t="s">
        <v>25</v>
      </c>
      <c r="M133">
        <v>1</v>
      </c>
    </row>
    <row r="134" spans="1:13" x14ac:dyDescent="0.35">
      <c r="A134" s="2">
        <v>46308</v>
      </c>
      <c r="B134" s="1" t="str">
        <f ca="1">IF(Información1[[#This Row],[Fecha]]='Ajuste de fechas'!$A$2,"Día actual","Día anterior")</f>
        <v>Día actual</v>
      </c>
      <c r="C134" s="3" t="s">
        <v>76</v>
      </c>
      <c r="D134" t="s">
        <v>111</v>
      </c>
      <c r="E134" s="3" t="s">
        <v>268</v>
      </c>
      <c r="F134" s="3" t="s">
        <v>14</v>
      </c>
      <c r="G134" s="3" t="s">
        <v>269</v>
      </c>
      <c r="H134" s="3" t="s">
        <v>37</v>
      </c>
      <c r="I134" s="3" t="s">
        <v>7</v>
      </c>
      <c r="J134" s="3" t="s">
        <v>24</v>
      </c>
      <c r="K134" s="3" t="s">
        <v>113</v>
      </c>
      <c r="L134" s="3" t="s">
        <v>25</v>
      </c>
      <c r="M134">
        <v>1</v>
      </c>
    </row>
    <row r="135" spans="1:13" x14ac:dyDescent="0.35">
      <c r="A135" s="2">
        <v>46308</v>
      </c>
      <c r="B135" s="1" t="str">
        <f ca="1">IF(Información1[[#This Row],[Fecha]]='Ajuste de fechas'!$A$2,"Día actual","Día anterior")</f>
        <v>Día actual</v>
      </c>
      <c r="C135" s="3" t="s">
        <v>8</v>
      </c>
      <c r="D135" t="s">
        <v>9</v>
      </c>
      <c r="E135" s="3" t="s">
        <v>270</v>
      </c>
      <c r="F135" s="3" t="s">
        <v>13</v>
      </c>
      <c r="G135" s="3" t="s">
        <v>271</v>
      </c>
      <c r="H135" s="3" t="s">
        <v>37</v>
      </c>
      <c r="I135" s="3" t="s">
        <v>17</v>
      </c>
      <c r="J135" s="3" t="s">
        <v>28</v>
      </c>
      <c r="K135" s="3" t="s">
        <v>44</v>
      </c>
      <c r="L135" s="3" t="s">
        <v>26</v>
      </c>
      <c r="M135">
        <v>1</v>
      </c>
    </row>
    <row r="136" spans="1:13" x14ac:dyDescent="0.35">
      <c r="A136" s="2">
        <v>46308</v>
      </c>
      <c r="B136" s="1" t="str">
        <f ca="1">IF(Información1[[#This Row],[Fecha]]='Ajuste de fechas'!$A$2,"Día actual","Día anterior")</f>
        <v>Día actual</v>
      </c>
      <c r="C136" s="3" t="s">
        <v>76</v>
      </c>
      <c r="D136" t="s">
        <v>111</v>
      </c>
      <c r="E136" s="3" t="s">
        <v>272</v>
      </c>
      <c r="F136" s="3" t="s">
        <v>14</v>
      </c>
      <c r="G136" s="3" t="s">
        <v>182</v>
      </c>
      <c r="H136" s="3" t="s">
        <v>37</v>
      </c>
      <c r="I136" s="3" t="s">
        <v>7</v>
      </c>
      <c r="J136" s="3" t="s">
        <v>24</v>
      </c>
      <c r="K136" s="3" t="s">
        <v>113</v>
      </c>
      <c r="L136" s="3" t="s">
        <v>25</v>
      </c>
      <c r="M136">
        <v>1</v>
      </c>
    </row>
    <row r="137" spans="1:13" x14ac:dyDescent="0.35">
      <c r="A137" s="2">
        <v>46308</v>
      </c>
      <c r="B137" s="1" t="str">
        <f ca="1">IF(Información1[[#This Row],[Fecha]]='Ajuste de fechas'!$A$2,"Día actual","Día anterior")</f>
        <v>Día actual</v>
      </c>
      <c r="C137" s="3" t="s">
        <v>76</v>
      </c>
      <c r="D137" t="s">
        <v>111</v>
      </c>
      <c r="E137" s="3" t="s">
        <v>273</v>
      </c>
      <c r="F137" s="3" t="s">
        <v>35</v>
      </c>
      <c r="G137" s="3" t="s">
        <v>205</v>
      </c>
      <c r="H137" s="3" t="s">
        <v>37</v>
      </c>
      <c r="I137" s="3" t="s">
        <v>7</v>
      </c>
      <c r="J137" s="3" t="s">
        <v>24</v>
      </c>
      <c r="K137" s="3" t="s">
        <v>113</v>
      </c>
      <c r="L137" s="3" t="s">
        <v>25</v>
      </c>
      <c r="M137">
        <v>1</v>
      </c>
    </row>
    <row r="138" spans="1:13" x14ac:dyDescent="0.35">
      <c r="A138" s="2">
        <v>46308</v>
      </c>
      <c r="B138" s="1" t="str">
        <f ca="1">IF(Información1[[#This Row],[Fecha]]='Ajuste de fechas'!$A$2,"Día actual","Día anterior")</f>
        <v>Día actual</v>
      </c>
      <c r="C138" s="3" t="s">
        <v>76</v>
      </c>
      <c r="D138" t="s">
        <v>111</v>
      </c>
      <c r="E138" s="3" t="s">
        <v>274</v>
      </c>
      <c r="F138" s="3" t="s">
        <v>15</v>
      </c>
      <c r="G138" s="3" t="s">
        <v>275</v>
      </c>
      <c r="H138" s="3" t="s">
        <v>37</v>
      </c>
      <c r="I138" s="3" t="s">
        <v>7</v>
      </c>
      <c r="J138" s="3" t="s">
        <v>29</v>
      </c>
      <c r="K138" s="3" t="s">
        <v>113</v>
      </c>
      <c r="L138" s="3" t="s">
        <v>25</v>
      </c>
      <c r="M138">
        <v>1</v>
      </c>
    </row>
    <row r="139" spans="1:13" x14ac:dyDescent="0.35">
      <c r="A139" s="2">
        <v>46308</v>
      </c>
      <c r="B139" s="1" t="str">
        <f ca="1">IF(Información1[[#This Row],[Fecha]]='Ajuste de fechas'!$A$2,"Día actual","Día anterior")</f>
        <v>Día actual</v>
      </c>
      <c r="C139" s="3" t="s">
        <v>76</v>
      </c>
      <c r="D139" t="s">
        <v>111</v>
      </c>
      <c r="E139" s="3" t="s">
        <v>276</v>
      </c>
      <c r="F139" s="3" t="s">
        <v>15</v>
      </c>
      <c r="G139" s="3" t="s">
        <v>277</v>
      </c>
      <c r="H139" s="3" t="s">
        <v>37</v>
      </c>
      <c r="I139" s="3" t="s">
        <v>7</v>
      </c>
      <c r="J139" s="3" t="s">
        <v>29</v>
      </c>
      <c r="K139" s="3" t="s">
        <v>113</v>
      </c>
      <c r="L139" s="3" t="s">
        <v>25</v>
      </c>
      <c r="M139">
        <v>1</v>
      </c>
    </row>
    <row r="140" spans="1:13" x14ac:dyDescent="0.35">
      <c r="A140" s="2">
        <v>46308</v>
      </c>
      <c r="B140" s="1" t="str">
        <f ca="1">IF(Información1[[#This Row],[Fecha]]='Ajuste de fechas'!$A$2,"Día actual","Día anterior")</f>
        <v>Día actual</v>
      </c>
      <c r="C140" s="3" t="s">
        <v>8</v>
      </c>
      <c r="D140" t="s">
        <v>9</v>
      </c>
      <c r="E140" s="3" t="s">
        <v>278</v>
      </c>
      <c r="F140" s="3" t="s">
        <v>6</v>
      </c>
      <c r="G140" s="3" t="s">
        <v>279</v>
      </c>
      <c r="H140" s="3" t="s">
        <v>37</v>
      </c>
      <c r="I140" s="3" t="s">
        <v>17</v>
      </c>
      <c r="J140" s="3" t="s">
        <v>24</v>
      </c>
      <c r="K140" s="3" t="s">
        <v>44</v>
      </c>
      <c r="L140" s="3" t="s">
        <v>26</v>
      </c>
      <c r="M140">
        <v>1</v>
      </c>
    </row>
    <row r="141" spans="1:13" x14ac:dyDescent="0.35">
      <c r="A141" s="2">
        <v>46308</v>
      </c>
      <c r="B141" s="1" t="str">
        <f ca="1">IF(Información1[[#This Row],[Fecha]]='Ajuste de fechas'!$A$2,"Día actual","Día anterior")</f>
        <v>Día actual</v>
      </c>
      <c r="C141" s="3" t="s">
        <v>76</v>
      </c>
      <c r="D141" t="s">
        <v>111</v>
      </c>
      <c r="E141" s="3" t="s">
        <v>280</v>
      </c>
      <c r="F141" s="3" t="s">
        <v>184</v>
      </c>
      <c r="G141" s="3" t="s">
        <v>185</v>
      </c>
      <c r="H141" s="3" t="s">
        <v>37</v>
      </c>
      <c r="I141" s="3" t="s">
        <v>7</v>
      </c>
      <c r="J141" s="3" t="s">
        <v>24</v>
      </c>
      <c r="K141" s="3" t="s">
        <v>113</v>
      </c>
      <c r="L141" s="3" t="s">
        <v>25</v>
      </c>
      <c r="M141">
        <v>1</v>
      </c>
    </row>
    <row r="142" spans="1:13" x14ac:dyDescent="0.35">
      <c r="A142" s="2">
        <v>46308</v>
      </c>
      <c r="B142" s="1" t="str">
        <f ca="1">IF(Información1[[#This Row],[Fecha]]='Ajuste de fechas'!$A$2,"Día actual","Día anterior")</f>
        <v>Día actual</v>
      </c>
      <c r="C142" s="3" t="s">
        <v>8</v>
      </c>
      <c r="D142" t="s">
        <v>9</v>
      </c>
      <c r="E142" s="3" t="s">
        <v>281</v>
      </c>
      <c r="F142" s="3" t="s">
        <v>15</v>
      </c>
      <c r="G142" s="3" t="s">
        <v>282</v>
      </c>
      <c r="H142" s="3" t="s">
        <v>37</v>
      </c>
      <c r="I142" s="3" t="s">
        <v>7</v>
      </c>
      <c r="J142" s="3" t="s">
        <v>29</v>
      </c>
      <c r="K142" s="3" t="s">
        <v>11</v>
      </c>
      <c r="L142" s="3" t="s">
        <v>26</v>
      </c>
      <c r="M142">
        <v>1</v>
      </c>
    </row>
    <row r="143" spans="1:13" x14ac:dyDescent="0.35">
      <c r="A143" s="2">
        <v>46308</v>
      </c>
      <c r="B143" s="1" t="str">
        <f ca="1">IF(Información1[[#This Row],[Fecha]]='Ajuste de fechas'!$A$2,"Día actual","Día anterior")</f>
        <v>Día actual</v>
      </c>
      <c r="C143" s="3" t="s">
        <v>76</v>
      </c>
      <c r="D143" t="s">
        <v>111</v>
      </c>
      <c r="E143" s="3" t="s">
        <v>283</v>
      </c>
      <c r="F143" s="3" t="s">
        <v>42</v>
      </c>
      <c r="G143" s="3" t="s">
        <v>71</v>
      </c>
      <c r="H143" s="3" t="s">
        <v>37</v>
      </c>
      <c r="I143" s="3" t="s">
        <v>17</v>
      </c>
      <c r="J143" s="3" t="s">
        <v>24</v>
      </c>
      <c r="K143" s="3" t="s">
        <v>113</v>
      </c>
      <c r="L143" s="3" t="s">
        <v>25</v>
      </c>
      <c r="M143">
        <v>1</v>
      </c>
    </row>
    <row r="144" spans="1:13" x14ac:dyDescent="0.35">
      <c r="A144" s="2">
        <v>46308</v>
      </c>
      <c r="B144" s="1" t="str">
        <f ca="1">IF(Información1[[#This Row],[Fecha]]='Ajuste de fechas'!$A$2,"Día actual","Día anterior")</f>
        <v>Día actual</v>
      </c>
      <c r="C144" s="3" t="s">
        <v>8</v>
      </c>
      <c r="D144" t="s">
        <v>9</v>
      </c>
      <c r="E144" s="3" t="s">
        <v>284</v>
      </c>
      <c r="F144" s="3" t="s">
        <v>13</v>
      </c>
      <c r="G144" s="3" t="s">
        <v>141</v>
      </c>
      <c r="H144" s="3" t="s">
        <v>37</v>
      </c>
      <c r="I144" s="3" t="s">
        <v>7</v>
      </c>
      <c r="J144" s="3" t="s">
        <v>28</v>
      </c>
      <c r="K144" s="3" t="s">
        <v>11</v>
      </c>
      <c r="L144" s="3" t="s">
        <v>25</v>
      </c>
      <c r="M144">
        <v>1</v>
      </c>
    </row>
    <row r="145" spans="1:13" x14ac:dyDescent="0.35">
      <c r="A145" s="2">
        <v>46308</v>
      </c>
      <c r="B145" s="1" t="str">
        <f ca="1">IF(Información1[[#This Row],[Fecha]]='Ajuste de fechas'!$A$2,"Día actual","Día anterior")</f>
        <v>Día actual</v>
      </c>
      <c r="C145" s="3" t="s">
        <v>8</v>
      </c>
      <c r="D145" t="s">
        <v>9</v>
      </c>
      <c r="E145" s="3" t="s">
        <v>285</v>
      </c>
      <c r="F145" s="3" t="s">
        <v>73</v>
      </c>
      <c r="G145" s="3" t="s">
        <v>123</v>
      </c>
      <c r="H145" s="3" t="s">
        <v>37</v>
      </c>
      <c r="I145" s="3" t="s">
        <v>7</v>
      </c>
      <c r="J145" s="3" t="s">
        <v>24</v>
      </c>
      <c r="K145" s="3" t="s">
        <v>11</v>
      </c>
      <c r="L145" s="3" t="s">
        <v>27</v>
      </c>
      <c r="M145">
        <v>1</v>
      </c>
    </row>
    <row r="146" spans="1:13" x14ac:dyDescent="0.35">
      <c r="A146" s="2">
        <v>46308</v>
      </c>
      <c r="B146" s="1" t="str">
        <f ca="1">IF(Información1[[#This Row],[Fecha]]='Ajuste de fechas'!$A$2,"Día actual","Día anterior")</f>
        <v>Día actual</v>
      </c>
      <c r="C146" s="3" t="s">
        <v>8</v>
      </c>
      <c r="D146" t="s">
        <v>9</v>
      </c>
      <c r="E146" s="3" t="s">
        <v>286</v>
      </c>
      <c r="F146" s="3" t="s">
        <v>15</v>
      </c>
      <c r="G146" s="3" t="s">
        <v>90</v>
      </c>
      <c r="H146" s="3" t="s">
        <v>37</v>
      </c>
      <c r="I146" s="3" t="s">
        <v>7</v>
      </c>
      <c r="J146" s="3" t="s">
        <v>29</v>
      </c>
      <c r="K146" s="3" t="s">
        <v>11</v>
      </c>
      <c r="L146" s="3" t="s">
        <v>25</v>
      </c>
      <c r="M146">
        <v>1</v>
      </c>
    </row>
    <row r="147" spans="1:13" x14ac:dyDescent="0.35">
      <c r="A147" s="2">
        <v>46308</v>
      </c>
      <c r="B147" s="1" t="str">
        <f ca="1">IF(Información1[[#This Row],[Fecha]]='Ajuste de fechas'!$A$2,"Día actual","Día anterior")</f>
        <v>Día actual</v>
      </c>
      <c r="C147" s="3" t="s">
        <v>8</v>
      </c>
      <c r="D147" t="s">
        <v>9</v>
      </c>
      <c r="E147" s="3" t="s">
        <v>287</v>
      </c>
      <c r="F147" s="3" t="s">
        <v>13</v>
      </c>
      <c r="G147" s="3" t="s">
        <v>288</v>
      </c>
      <c r="H147" s="3" t="s">
        <v>37</v>
      </c>
      <c r="I147" s="3" t="s">
        <v>7</v>
      </c>
      <c r="J147" s="3" t="s">
        <v>28</v>
      </c>
      <c r="K147" s="3" t="s">
        <v>11</v>
      </c>
      <c r="L147" s="3" t="s">
        <v>25</v>
      </c>
      <c r="M147">
        <v>1</v>
      </c>
    </row>
    <row r="148" spans="1:13" x14ac:dyDescent="0.35">
      <c r="A148" s="2">
        <v>46308</v>
      </c>
      <c r="B148" s="1" t="str">
        <f ca="1">IF(Información1[[#This Row],[Fecha]]='Ajuste de fechas'!$A$2,"Día actual","Día anterior")</f>
        <v>Día actual</v>
      </c>
      <c r="C148" s="3" t="s">
        <v>76</v>
      </c>
      <c r="D148" t="s">
        <v>111</v>
      </c>
      <c r="E148" s="3" t="s">
        <v>289</v>
      </c>
      <c r="F148" s="3" t="s">
        <v>15</v>
      </c>
      <c r="G148" s="3" t="s">
        <v>290</v>
      </c>
      <c r="H148" s="3" t="s">
        <v>37</v>
      </c>
      <c r="I148" s="3" t="s">
        <v>7</v>
      </c>
      <c r="J148" s="3" t="s">
        <v>29</v>
      </c>
      <c r="K148" s="3" t="s">
        <v>113</v>
      </c>
      <c r="L148" s="3" t="s">
        <v>25</v>
      </c>
      <c r="M148">
        <v>1</v>
      </c>
    </row>
    <row r="149" spans="1:13" x14ac:dyDescent="0.35">
      <c r="A149" s="2">
        <v>46308</v>
      </c>
      <c r="B149" s="1" t="str">
        <f ca="1">IF(Información1[[#This Row],[Fecha]]='Ajuste de fechas'!$A$2,"Día actual","Día anterior")</f>
        <v>Día actual</v>
      </c>
      <c r="C149" s="3" t="s">
        <v>76</v>
      </c>
      <c r="D149" t="s">
        <v>111</v>
      </c>
      <c r="E149" s="3" t="s">
        <v>291</v>
      </c>
      <c r="F149" s="3" t="s">
        <v>89</v>
      </c>
      <c r="G149" s="3" t="s">
        <v>292</v>
      </c>
      <c r="H149" s="3" t="s">
        <v>37</v>
      </c>
      <c r="I149" s="3" t="s">
        <v>7</v>
      </c>
      <c r="J149" s="3" t="s">
        <v>16</v>
      </c>
      <c r="K149" s="3" t="s">
        <v>113</v>
      </c>
      <c r="L149" s="3" t="s">
        <v>25</v>
      </c>
      <c r="M149">
        <v>1</v>
      </c>
    </row>
    <row r="150" spans="1:13" x14ac:dyDescent="0.35">
      <c r="A150" s="2">
        <v>46308</v>
      </c>
      <c r="B150" s="1" t="str">
        <f ca="1">IF(Información1[[#This Row],[Fecha]]='Ajuste de fechas'!$A$2,"Día actual","Día anterior")</f>
        <v>Día actual</v>
      </c>
      <c r="C150" s="3" t="s">
        <v>76</v>
      </c>
      <c r="D150" t="s">
        <v>111</v>
      </c>
      <c r="E150" s="3" t="s">
        <v>293</v>
      </c>
      <c r="F150" s="3" t="s">
        <v>36</v>
      </c>
      <c r="G150" s="3" t="s">
        <v>119</v>
      </c>
      <c r="H150" s="3" t="s">
        <v>37</v>
      </c>
      <c r="I150" s="3" t="s">
        <v>7</v>
      </c>
      <c r="J150" s="3" t="s">
        <v>24</v>
      </c>
      <c r="K150" s="3" t="s">
        <v>113</v>
      </c>
      <c r="L150" s="3" t="s">
        <v>25</v>
      </c>
      <c r="M150">
        <v>1</v>
      </c>
    </row>
    <row r="151" spans="1:13" x14ac:dyDescent="0.35">
      <c r="A151" s="2">
        <v>46308</v>
      </c>
      <c r="B151" s="1" t="str">
        <f ca="1">IF(Información1[[#This Row],[Fecha]]='Ajuste de fechas'!$A$2,"Día actual","Día anterior")</f>
        <v>Día actual</v>
      </c>
      <c r="C151" s="3" t="s">
        <v>8</v>
      </c>
      <c r="D151" t="s">
        <v>9</v>
      </c>
      <c r="E151" s="3" t="s">
        <v>294</v>
      </c>
      <c r="F151" s="3" t="s">
        <v>36</v>
      </c>
      <c r="G151" s="3" t="s">
        <v>119</v>
      </c>
      <c r="H151" s="3" t="s">
        <v>37</v>
      </c>
      <c r="I151" s="3" t="s">
        <v>7</v>
      </c>
      <c r="J151" s="3" t="s">
        <v>24</v>
      </c>
      <c r="K151" s="3" t="s">
        <v>11</v>
      </c>
      <c r="L151" s="3" t="s">
        <v>27</v>
      </c>
      <c r="M151">
        <v>1</v>
      </c>
    </row>
    <row r="152" spans="1:13" x14ac:dyDescent="0.35">
      <c r="A152" s="2">
        <v>46308</v>
      </c>
      <c r="B152" s="1" t="str">
        <f ca="1">IF(Información1[[#This Row],[Fecha]]='Ajuste de fechas'!$A$2,"Día actual","Día anterior")</f>
        <v>Día actual</v>
      </c>
      <c r="C152" s="3" t="s">
        <v>8</v>
      </c>
      <c r="D152" t="s">
        <v>9</v>
      </c>
      <c r="E152" s="3" t="s">
        <v>295</v>
      </c>
      <c r="F152" s="3" t="s">
        <v>13</v>
      </c>
      <c r="G152" s="3" t="s">
        <v>296</v>
      </c>
      <c r="H152" s="3" t="s">
        <v>37</v>
      </c>
      <c r="I152" s="3" t="s">
        <v>17</v>
      </c>
      <c r="J152" s="3" t="s">
        <v>28</v>
      </c>
      <c r="K152" s="3" t="s">
        <v>44</v>
      </c>
      <c r="L152" s="3" t="s">
        <v>26</v>
      </c>
      <c r="M15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31</v>
      </c>
      <c r="B1" t="s">
        <v>32</v>
      </c>
    </row>
    <row r="2" spans="1:2" x14ac:dyDescent="0.35">
      <c r="A2" s="2">
        <f ca="1">TODAY()</f>
        <v>46308</v>
      </c>
      <c r="B2" s="2">
        <f ca="1">A2-1</f>
        <v>46307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2026-10-13T22:27:21Z</dcterms:modified>
</cp:coreProperties>
</file>