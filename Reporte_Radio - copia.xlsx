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F34DECD0-9B61-4F4C-A9F8-03B85A02B825}"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20" i="2" l="1"/>
  <c r="B121" i="2"/>
  <c r="B122" i="2"/>
  <c r="B123" i="2"/>
  <c r="B124" i="2"/>
  <c r="B125" i="2"/>
  <c r="B126" i="2"/>
  <c r="B127" i="2"/>
  <c r="B137" i="2"/>
  <c r="B140" i="2"/>
  <c r="B142" i="2"/>
  <c r="B144" i="2"/>
  <c r="B146" i="2"/>
  <c r="B148" i="2"/>
  <c r="B150" i="2"/>
  <c r="B128" i="2"/>
  <c r="B129" i="2"/>
  <c r="B130" i="2"/>
  <c r="B131" i="2"/>
  <c r="B132" i="2"/>
  <c r="B133" i="2"/>
  <c r="B134" i="2"/>
  <c r="B135" i="2"/>
  <c r="B136" i="2"/>
  <c r="B138" i="2"/>
  <c r="B139" i="2"/>
  <c r="B141" i="2"/>
  <c r="B143" i="2"/>
  <c r="B145" i="2"/>
  <c r="B147" i="2"/>
  <c r="B149"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101" i="2"/>
  <c r="B102" i="2"/>
  <c r="B103" i="2"/>
  <c r="B104" i="2"/>
  <c r="B105" i="2"/>
  <c r="B106" i="2"/>
  <c r="B107" i="2"/>
  <c r="B108" i="2"/>
  <c r="B109" i="2"/>
  <c r="B110" i="2"/>
  <c r="B111" i="2"/>
  <c r="B112" i="2"/>
  <c r="B113" i="2"/>
  <c r="B114" i="2"/>
  <c r="B115" i="2"/>
  <c r="B116" i="2"/>
  <c r="B117" i="2"/>
  <c r="B118" i="2"/>
  <c r="B119" i="2"/>
  <c r="B64" i="2"/>
  <c r="B65" i="2"/>
  <c r="B193" i="2"/>
  <c r="B194" i="2"/>
  <c r="B195" i="2"/>
  <c r="B196" i="2"/>
  <c r="B197" i="2"/>
  <c r="B198" i="2"/>
  <c r="B199" i="2"/>
  <c r="B200" i="2"/>
  <c r="B201" i="2"/>
  <c r="B202" i="2"/>
  <c r="B203" i="2"/>
  <c r="B204" i="2"/>
  <c r="B205" i="2"/>
  <c r="B206"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<sst xmlns="http://schemas.openxmlformats.org/spreadsheetml/2006/main" count="2065" uniqueCount="361">
  <si>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</si>
  <si>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</si>
  <si>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</si>
  <si>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</si>
  <si>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</si>
  <si>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</si>
  <si>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</si>
  <si>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</si>
  <si>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</si>
  <si>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</si>
  <si>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</si>
  <si>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</si>
  <si>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</si>
  <si>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</si>
  <si>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</si>
  <si>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</si>
  <si>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</si>
  <si>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</si>
  <si>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</si>
  <si>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</si>
  <si>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</si>
  <si>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</si>
  <si>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</si>
  <si>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</si>
  <si>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</si>
  <si>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</si>
  <si>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</si>
  <si>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</si>
  <si>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</si>
  <si>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</si>
  <si>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</si>
  <si>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</si>
  <si>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</si>
  <si>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</si>
  <si>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</si>
  <si>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</si>
  <si>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</si>
  <si>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</si>
  <si>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</si>
  <si>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</si>
  <si>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</si>
  <si>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</si>
  <si>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</si>
  <si>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</si>
  <si>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</si>
  <si>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</si>
  <si>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</si>
  <si>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Semarnath</t>
  </si>
  <si>
    <t>NQ 90.1 FM</t>
  </si>
  <si>
    <t>Jesús Riveros</t>
  </si>
  <si>
    <t>Enlace Hidalgo1</t>
  </si>
  <si>
    <t>Enlace Hidalgo2</t>
  </si>
  <si>
    <t>Planeación</t>
  </si>
  <si>
    <t>Ultra 102.9 FM</t>
  </si>
  <si>
    <t>Ultra Noticias1</t>
  </si>
  <si>
    <t>Daniel Martínez</t>
  </si>
  <si>
    <t>Eulalio Larrieta agradece a Carlos Gamiño por estar al pendiente de temas</t>
  </si>
  <si>
    <t>Iniciativa</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</si>
  <si>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</si>
  <si>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</si>
  <si>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</si>
  <si>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</si>
  <si>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</si>
  <si>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</si>
  <si>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</si>
  <si>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</si>
  <si>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</si>
  <si>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</si>
  <si>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</si>
  <si>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</si>
  <si>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</si>
  <si>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</si>
  <si>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</si>
  <si>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</si>
  <si>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</si>
  <si>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</si>
  <si>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</si>
  <si>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Prevención De Riesgos</t>
  </si>
  <si>
    <t>Combate Al Narcomenudeo</t>
  </si>
  <si>
    <t>Rehabilitación Vial</t>
  </si>
  <si>
    <t>Gusano barrenador</t>
  </si>
  <si>
    <t>Becas De Posgrado</t>
  </si>
  <si>
    <t>Detención</t>
  </si>
  <si>
    <t>Día del Niño</t>
  </si>
  <si>
    <t>Fuga De Agua</t>
  </si>
  <si>
    <t>Capacitación</t>
  </si>
  <si>
    <t>Huracán Priscilla</t>
  </si>
  <si>
    <t>DIFH</t>
  </si>
  <si>
    <t>Recolección De Basura</t>
  </si>
  <si>
    <t>Radioescucha reporta que los semaforos que estan rumbo a Tulipanes por Chedraui, no funcioanan y eso puede causar un accidente</t>
  </si>
  <si>
    <t>Semaforización</t>
  </si>
  <si>
    <t>Contraloría</t>
  </si>
  <si>
    <t>Atención Socioemocional</t>
  </si>
  <si>
    <t>Saderh</t>
  </si>
  <si>
    <t>STPSH</t>
  </si>
  <si>
    <t>Galardón</t>
  </si>
  <si>
    <t>Oferta educativa</t>
  </si>
  <si>
    <t>Eulalio Larrieta agradece a Edith Balderas de la Secretaria de Educación Pública.</t>
  </si>
  <si>
    <t>Centros asistenciales</t>
  </si>
  <si>
    <t>Desazolve</t>
  </si>
  <si>
    <t>Queja transporte público</t>
  </si>
  <si>
    <t>Tauromaquia</t>
  </si>
  <si>
    <t>Verificación vehicular</t>
  </si>
  <si>
    <t>Modernización Tuzobús</t>
  </si>
  <si>
    <t>Plan Hídrico</t>
  </si>
  <si>
    <t>Tren AIFA</t>
  </si>
  <si>
    <t>Visita Sheinbaum</t>
  </si>
  <si>
    <t>Prevención De Embarazo Adolescente</t>
  </si>
  <si>
    <t>Pilares</t>
  </si>
  <si>
    <t>Apoyo por catástrofes agropecuarias</t>
  </si>
  <si>
    <t>Abasto De Agua</t>
  </si>
  <si>
    <t>Trabajo legislativo</t>
  </si>
  <si>
    <t>Prevención De Enfermedades</t>
  </si>
  <si>
    <t>Nacionales Conade</t>
  </si>
  <si>
    <t>Día de la educadora</t>
  </si>
  <si>
    <t>Fundación Arturo Herrera</t>
  </si>
  <si>
    <t>Aspirantes</t>
  </si>
  <si>
    <t>Rehabilitación carretera</t>
  </si>
  <si>
    <t>Bienestar</t>
  </si>
  <si>
    <t>Locutor Jesús Rivero da lectura a comentario de radioescucha que comenta, que chistoso que mañana que viene la presidenta, estén bacheando la carretera de Acaxochitlán, cuando desde hace tiempo necesita reencarpetamiento.</t>
  </si>
  <si>
    <t>Carretera En Mal Estado</t>
  </si>
  <si>
    <t>El Estado de Hidalgo ya obtuvo sus primeras preseas en la Olimpiada Nacional Conade 2026 gracias a la participación de los representantes en la disciplina de ciclismo, que se convirtió en la encargada de inaugurar el medallero para la entidad. El primer oro llegó de la mano de Jeancarlo Manuel Celaya Escárcega campeón nacional en la modalidad contra reloj categoría cadete varonil; la jornada dorada continúo con la pedalista Valeia Quetzali Domínguez quien en la categoría junior femenil resgitró un tiempo de 18:49, suficiente para adjudicarse la segunda medalla de oro; el esfuerzo hidalguense se completó con Emily Yamila Mendoza Martínez en la categoría cadete femenil conquistando la medalla de bronce.</t>
  </si>
  <si>
    <t>Boletín 1053: Menchaca Salazar refrenda alianza con el magisterio para impulsar la transformación educativ</t>
  </si>
  <si>
    <t>Locutor David Cárdenas da lectura a columna Leonardo Herrera - Punto x Punto - La propuesta para la consejera nacional de Morena y exalcaldesa de Tizayuca, Susana Ángeles Quezada, estaba en la mesa, devolver parte del dinero que no ha podido solventar de la cuenta pública 2023 y 2024, el último tramo de su administración municipal que alcanzan en promedio 20 millones de pesos o enfrentar los procedimientos judiciales, se negó bajo el argumento que hacerlo sería aceptar la responsabilidad de algo que asegura no cometió, con ello, marcó el destino que tendrán los procedimientos cada vez más cerca de la Procuraduría de Justicia en el estado. De ahí que, en los últimos días, la directora general de relaciones institucionales de la Secretaría de las Mujeres, decidió iniciar un amparo en contra de la Auditoría Superior del Estado de Hidalgo (ASEH), por supuestas omisiones en el procedimiento y con ello, tratar de frenar las acciones de fondo con una suspensión, que no consiguió. La salida que se le ofreció a Ángeles Quezada, ya fue utilizada por morenistas como Jorge Hernández Araus, que devolvió casi 5 millones de pesos, para evitar el proceso legal en su contra por desvió de recursos públicos, recientemente a la expriista y ex secretaria de Finanzas del gobierno estatal, Jessica Blancas, quien busca librar el proceso en su contra con cerca de 25 millones de pesos.</t>
  </si>
  <si>
    <t>Observaciones ASEH</t>
  </si>
  <si>
    <t>Sucesión gubernamental</t>
  </si>
  <si>
    <t>La presidenta Claudia Sheinbaum Pardo inicia una gira de trabajo por el estado este viernes 24 y sábado 25 de abril; supervisará el avance del Tren AIFA–Pachuca, el proyecto que cambiará la forma en que nos conectamos con la CDMX; visita al Centro de Alto Rendimiento y anuncio de nuevas unidades para el Tuzobús, además de la modernización del aeropuerto estatal con un nuevo FBO. La gira seguirá por Acaxochitlán y Tenango de Doria.</t>
  </si>
  <si>
    <t>Habitantes del municipio de Nopala de Villagrán solicitaron a las autoridades locales reforzar la regulación en el uso de motocicletas, especialmente en lo referente al uso obligatorio de casco de seguridad y la circulación de unidades con escapes modificados que generan ruido excesivo. De acuerdo a la información brindada por parte de Protección Civil Municipal, esta petición surge ante la preocupación ciudadana por el incremento de incidentes viales que involucran motocicletas y las constantes molestias ocasionadas por las aletaraciones a las mismas. Ante la demanda ciudadana las autoridades prevén realizar revisiones y recorridos preventivos para verificar que los conductores cumplan con las medidas básicas de seguridad, así como identificar motocicletas que presenten modificaciones irregulares en sus sistemas de escape. De igual forma, habitantes solicitaron a las autoridades prestar especial atención a los jóvenes estudiantes que se trasladan en motocicleta, pues señalaron que en muchos casos circulan a exceso de velocidad y sin casco, situación que representa un riesgo tanto para ellos como para otros usuarios de la vía.</t>
  </si>
  <si>
    <t>Prevención de accidentes</t>
  </si>
  <si>
    <t>El Congreso del Estado Libre y Soberano de Hidalgo participó en el segundo Encuentro Metropolitano Hacendario, con el objetivo de construir las bases técnicas, normativas y financieras para la integración progresiva de los sistemas catastrales metropolitanos, fortaleciendo su coordinación con el ámbito registral y estableciendo las condiciones para avanzar, de manera gradual, hacia un modelo que garantice certeza patrimonial, reduzca desigualdades territoriales y promueva la sostenibilidad fiscal. El presidente de la Junta de Gobierno, diputado Andrés Velázquez Vázquez se congratuló con esta reunión entre funcionarios federales, estatales, del Congreso y los municipios “para que podamos tener una misma línea de trabajo “.</t>
  </si>
  <si>
    <t>Boletín 1638: Convoca UTVM a cursar la Maestría en Desarrollo Turístico y Gastronómico Sustentable</t>
  </si>
  <si>
    <t>Autoridades educativas, cuerpos de seguridad y padres de familia del CBTIS No. 83 implementaron un operativo de vigilancia y revisión de mochilas la mañana de este viernes, luego de que ayer fuera localizado un mensaje en los sanitarios del plantel que advertía sobre un presunto tiroteo. A pesar de la alerta, la institución determinó mantener las actividades escolares de manera regular, aunque bajo un estricto protocolo de prevención. El despliegue de seguridad contó con la participación de elementos de la Policía Municipal, la Policía Estatal y la Guardia Nacional, quienes custodiaron el ingreso de los alumnos en las inmediaciones del centro educativo. De manera paralela, integrantes del Comité de Padres de Familia realizaron el operativo mochila, revisando las pertenencias de los estudiantes con el fin de detectar cualquier objeto de riesgo. Las autoridades escolares enfatizaron que estas acciones se ejecutaron de forma voluntaria y coordinada para brindar tranquilidad a los docentes, personal administrativo y a la propia comunidad estudiantil.</t>
  </si>
  <si>
    <t>Amenazas en escuela</t>
  </si>
  <si>
    <t>Boletín 29: Analizan programas de vialidad en la zona de Tula</t>
  </si>
  <si>
    <t>Ordenamiento vial</t>
  </si>
  <si>
    <t>Boletín 108: Refuerzan vigilancia epidemiológica y vacunación en Hidalgo</t>
  </si>
  <si>
    <t>Vigilancia Epidemiológica</t>
  </si>
  <si>
    <t>Boletín 26: SEGOBH fomenta Plan de Acción Municipal para la Prevención del Embarazo en Adolescentes</t>
  </si>
  <si>
    <t>Boletín 33: Apoyos económicos agropecuarios fortalecen al campo hidalguense en 11 municipios</t>
  </si>
  <si>
    <t>Boletín 017: Fortalece control interno con capacitación estratégica</t>
  </si>
  <si>
    <t>Boletín 34: Entregan 70 mil crías de trucha en la Comarca Minera y Otomí-Tepehua (AUDIO NGP):</t>
  </si>
  <si>
    <t>Acuicultura</t>
  </si>
  <si>
    <t>Boletín 924: “Voces pequeñas, raíces grandes”: niñas, niños y adolescentes del programa PILARES alzan la voz por sus comunidades en Hidalgo</t>
  </si>
  <si>
    <t>Boletín 60: Fortalece Icathi vinculación internacional y participación del sector productivo</t>
  </si>
  <si>
    <t>Misión SES</t>
  </si>
  <si>
    <t>Boletín: Continúa la promoción de convocatorias del Gobierno de Hidalgo en las instituciones de educación superior</t>
  </si>
  <si>
    <t>El presidente municipal de Cuautepec realizó un publicación en donde avisó que la carretera Cuautepec-Tulancingo estará abierta hasta el próximo viernes, ya que la carretera estatal está a un 98 por ciento, es decir, no se terminó de colocar todo el concreto hidráulico, por lo cual, hay que esperar unos días más.</t>
  </si>
  <si>
    <t>Más de cinco horas se llevaron los trabajos de recolocación de un segmento del puente peatonal ubicado sobre la carretera México-Tuxpan, a la altura del Hospital General de Tulancingo, que hace unas semanas había sido derribado por la pluma de una grúa, la cual no bajaron por descuido. En esta labor trabajaron de manera conjunta los gobiernos municipales de Tulancingo y Santiago Tulantepec, quienes hicieron previamente el anuncio de la recolocación, para que la ciudadanía y los automovilistas tuvieran conocimiento. Los estudios para determinar los daños al puente peatonal los realizó la Secretaría de Infraestructura, Comunicaciones y Transportes federal; no obstante, los daños fueron solo en la base de concreto de dicho puente, no así en sus columnas estructurales. Para la recolocación de este puente peatonal, se contrató una empresa privada. Además, el flujo vehicular se sedujo a un solo carril, pasando por la lateral, que al mismo tiempo es acceso al Centro de Rehabilitación Integral, que se encuentra a un costado del Hospital General de Tulancingo. En su momento, el secretario de Obras Públicas de Tulancingo, Armando Alcíbar, explicó que el daño principal se concentró en la losa, mientras que las vigas permanecieron intactas. Precisó que una de las vigas se encontraba únicamente apoyada por lo que, tras la colisión, cayó y provocó el deterioro de la losa, sin comprometer la estabilidad general del puente. Además, se realizó la revisión de la estructura, reforzamiento a las juntas, montaje y verificación del mismo. Cabe recordar que fue el pasado 26 de marzo de este año, cuando la pluma de una grúa, que continuaba levantada, golpeó el puente peatonal provocando su desplazamiento y posterior caída; pero afortunadamente no hubo daños a vehículos ni personas lesionadas.</t>
  </si>
  <si>
    <t>Colapso de puente</t>
  </si>
  <si>
    <t>Boletín 718: La experiencia del programa “Ciudad Policía” impulsa la cultura de la prevención en infancias de Mineral del Chico</t>
  </si>
  <si>
    <t>Prevención del delito</t>
  </si>
  <si>
    <t>Bajo la consigna “Soy papá, no criminal”, un grupo de manifestantes e integrantes de diversas familias se movilizaron la mañana de este viernes en las principales vialidades de Pachuca, con el objetivo de denunciar procesos judiciales que consideran injustos y exigir un alto a las denuncias falsas.El contingente partió de las instalaciones del Centro de Justicia para las Mujeres con destino a la Procuraduría General de Justicia del Estado de Hidalgo (PGJEH). Durante el recorrido, los participantes señalaron que su movimiento representa “la voz de muchas familias que han sido ignoradas” y el eco de historias que, hasta ahora, no habían tenido un espacio para ser escuchadas.</t>
  </si>
  <si>
    <t>Queja padres de familia</t>
  </si>
  <si>
    <t>Radioescucha señor Eugenio Flores, visitó las instalaciones de la estación de radio y se queja de la recolección de la basura en Tula. AUDIO APOYO.</t>
  </si>
  <si>
    <t>Sobre la noticia del diputado Marco Antonio Mendoza Bustamante presentó una iniciativa para proteger la fiesta brava y las peleas de gallos considerándolas como como parte del patrimonio intangible de la entidad, comento : “ Se viene una andanada de protestas por parte de animalistas, defensores de animales, porque si esto se aprueba, si de nueva cuenta se pone sobre la mesa que los toros, la fiesta brava, sea patrimonio intangible de la entidad, pues estaríamos aceptando la violencia contra esos animales. Es un tema muy delicado”</t>
  </si>
  <si>
    <t>Aunque el Congreso del Estado no ha definido el destino de la propuesta del diputado Avelino Tovar Iglesias para prohibir las corridas de toros en el estado, este día, el diputado Marco Antonio Mendoza Bustamante presentó una iniciativa para proteger la fiesta brava y las peleas de gallos considerándolas como como parte del patrimonio intangible de la entidad.</t>
  </si>
  <si>
    <t>El Gobierno Municipal de Atitalaquia, encabezado por la Presidenta Municipal Claudia Sandoval, te invita a vivir una tarde inolvidable en el Gran Festival del Día del Niño, hoy 24 de abril a las 3:30 en la Unidad Deportiva</t>
  </si>
  <si>
    <t>El Gobierno Municipal Tepetitlán 2024-2027 presentó la ruta oficial de la Primera Carrera Atlética 6K “Juntos por un Nuevo Comienzo”, que se realizará el 26 de abril a las 7:00 de la mañana.La carrera iniciará en la Parada de Santa María Daxtho y concluirá en la Presidencia Municipal de Tepetitlán, recorriendo diversos puntos del municipio. Habrá categorías Infantil, Juvenil, Libre, Máster y Veteranos, en ramas femenil y varonil, para que corredores de todas las edades puedan participar.</t>
  </si>
  <si>
    <t>Carrera atlética</t>
  </si>
  <si>
    <t>El gobierno municipal de Tula de Allende, encabezado por el alcalde Cristhian Martínez Reséndiz, realizó la entrega y supervisión de una obra de electrificación en la colonia El Recinto, dentro del Ejido de Pueblo Nuevo, AUDIO APOYO</t>
  </si>
  <si>
    <t>Supervisión de obra</t>
  </si>
  <si>
    <t>Como parte de la estrategia del Gobierno de México para garantizar los derechos sociales, la presidenta Claudia Sheinbaum Pardo realizará una gira de trabajo por Hidalgo los próximos 24 y 25 de abril, donde supervisará el avance de los Programas para el Bienestar en distintos municipios.Durante su visita, la mandataria recorrerá Singuilucan, Tenango de Doria y Acaxochitlán, con el objetivo de mantener contacto directo con la población y evaluar la implementación de apoyos dirigidos a estudiantes, personas adultas mayores y mujeres.La agenda contempla actividades en instituciones educativas y espacios públicos: 24 de abril Singuilucan: Encuentro con la comunidad educativa en el CECyTEH a las 16:00 horas, 25 de abril Tenango de Doria: Visita a la Universidad Intercultural a las 11:00 horas Acaxochitlán: Evento público en el CECyTEH a las 16:00 horas, AUDIO APOYO</t>
  </si>
  <si>
    <t>Vía telefónica Josefina Bravo Rangel, titular de la Unidad Coordinadora de Proyectos Prioritarios, Vinculación Social y Derechos Humanos de Semarnat Federal, con el tema: Restauración ecológica de la Presa Endhó. Comentó que se están realizando unas asambleas. El pasado 26 de septiembre del 2024, se emitió un decreto en donde se está declarando un programa de restauración ecológica de la presa Endhó. Este programa está a cargo de la Dirección General de Restauración Ambiental, que depende de la Semarnat. Este fue emitido a partir de un estudio técnico muy importante, en el cual se identificó una serie de problemas ambientales que se viven en esa región en materia de agua, aire, suelo y biodiversidad. Este programa comprende acciones diversas en 36 mil hectáreas, en las cuales se comprenden 8 municipios del estado de Hidalgo. Tiene como objetivo llevar a cabo las acciones necesarias para poder regenerar, recuperar y restablecer las condiciones de los procesos naturales de los ecosistemas de esa región. Dentro de este decreto, compete a la Semarnat como autoridad responsable, formular y ejecutar el programa de restauración ecológica; es por ello que se llevaron a cabo desde el año pasado reuniones con las comunidades indígenas que se encuentran alrededor de la presa Endhó. En este momento nos encontramos en las asambleas informativas en cada comunidad, de las cuales llevamos 11 por el momento y nos faltan 7.</t>
  </si>
  <si>
    <t>Restauración Ecológica</t>
  </si>
  <si>
    <t>Vía telefónica cantautor hidalguense Fausto Villagrán será reconocido el próximo 24 de abril en Ciudad Juárez, Chihuahua, con la presea Aída Cuevas, un logro destacado en su trayectoria artística. Durante una entrevista telefónica en Enfoque Regional Primera Emisión, el artista agradeció el espacio y compartió su emoción por este importante reconocimiento.</t>
  </si>
  <si>
    <t>En el municipio de Tlaxcoapan se celebra una de las festividades más importantes de la región, estamos hablando de la solemne vigilia procesión de las espigas que se va a realizar pues este fin de semana, mañana sábado, es una celebración usted que nos escucha en el Estado de México, Ciudad de México o en otros municipios del Estado de Hidalgo.</t>
  </si>
  <si>
    <t>Promoción turística</t>
  </si>
  <si>
    <t>El señor Ernesto Fuentes de aquí, Fuente de aquí de Tula, nos hace un comentario interesante sobre este tema de las escuelas y esta tendencia que se está dando en redes sociales sobre el tiroteo, los tiroteos que amanecen amenazas a través de redes sociales o ya está en los propios institutos públicos, que no es un tema solamente de nuestro estado.</t>
  </si>
  <si>
    <t>El caso detectado en la Sierra Otomi – Tepehua es un llamado a reforzar medidas de atención en heridas, sobre todo en sectores vulnerables, así lo indicó Erick José Canales Vargas, coordinador del programa estatal de la Secretaría de Salud Estatal. AUDIO DE APOYO.</t>
  </si>
  <si>
    <t>La Administración Municipal de Actopan emitió un comunicado urgente a través de la Dirección de Desarrollo Agropecuario donde se informó sobre la detección de un posible caso de gusano barrenador en la comunidad del Daxthá lo que pues ha encendido las alarmas en la región. Hasta ahora Hidalgo registra 340 casos acumulados de gusano barrenador en 46 de sus 84 municipios, más de la mitad del estado ya cuenta con casos activos, además suman 87 casos en 32 municipios lo que lo coloca en el octavo lugar nacional en total activo, son 62 en bovinos, 13 en caninos y 3 en equinos.</t>
  </si>
  <si>
    <t>Autoridades de Hidalgo activaron protocolos de seguridad en planteles educativos luego de la alerta por la difusión de un falso trend, una tendencia en redes sociales que simula amenazas de tiroteos en escuelas. Ante ello se exhorta a madres y padres de familia a supervisar el uso de redes sociales, fomentar la comunicación con sus hijos y verificar cualquier información a través de fuentes oficiales para evitar desinformación y alarma innecesaria. Los padres de familia señalan que son mensajes que no deben tomarse a la ligera. Yo no veo un operativo como tal, creo que a lo mejor está minimizando los hechos y si será conveniente que no sea fuera el cuidado, porque creo que el riesgo está adentro…. Los padres y madres de familia tenemos la responsabilidad de revisar no solamente la mochila de nuestros hijos, sus redes sociales, con quién se junta y tener un diálogo abierto con ellos para conocer cuáles son sus necesidades, inquietudes, qué es lo que están viviendo en la escuela, en la calle… AUDIOS PADRES DE FAMILIA.</t>
  </si>
  <si>
    <t>La presidenta de México, Claudia Sheinbaum, realizará una gira de trabajo en Hidalgo los días 24 y 25 de abril, con actividades en distintos municipios. Iniciará en Villa de Tezontepec con la supervisión del tren AIFA-Pachuca y continuará en Singuilucan con un evento oficial. Al día siguiente, visitará Pachuca para inaugurar un centro de alto rendimiento junto al gobernador Julio Menchaca Salazar, y cerrará su recorrido en Acaxochitlán y Tenango de Doria. Durante la gira, se destacó el proyecto del tren suburbano “Felipe Ángeles”, que conectará la Ciudad de México con el Aeropuerto Internacional Felipe Ángeles y posteriormente con Pachuca. Este sistema será operado por el gobierno federal, dejando atrás el esquema privado, con el objetivo de mejorar la movilidad en la zona centro del país.Las tarifas se mantendrán en 11.50 pesos para tramos cortos y 26.50 para largos, con una promoción inicial de 45 pesos hasta el AIFA. El proyecto busca facilitar el traslado diario de miles de personas entre Hidalgo y la zona metropolitana, ofreciendo una alternativa más económica y eficiente de transporte. AUDIOS APOYO MAÑANERA</t>
  </si>
  <si>
    <t>Radioescucha Sr. Paredes reporta que no funciona la lámpara que está en la esquina del callejón de Quintana Roo y Plaza de Patoni</t>
  </si>
  <si>
    <t>Radioescucha reporta una colectiva con la matrícula A55012K que iba manejando y hablando con el celular desde Mercado Morelos a Trigueros.</t>
  </si>
  <si>
    <t>Radioescucha reporta que la página para sacar la cita de la verificación no está funcionando bien.</t>
  </si>
  <si>
    <t>Radioescucha pregunta: "¿Hasta cuándo van a abrir la calle Melchor Ocampo, ya que no se ha terminado y ya empezaron con la Avenida Madero?"</t>
  </si>
  <si>
    <t>Radioescucha reporta que ya pagó su reconexión de agua y no han venido a quitar el sello, se supone que el miércoles pasarían y nada.</t>
  </si>
  <si>
    <t>Medidores de agua</t>
  </si>
  <si>
    <t>Radioescucha pregunta si pueden dar información del evento que se llevará a cabo en las instalaciones de la feria con motivo del Día del Niño. Comenta conductor que es este viernes 24 y sábado 25 de abril, de 11 de la mañana a 5 de la tarde.</t>
  </si>
  <si>
    <t>Elementos de la Secretaría de Seguridad Pública del estado, en coordinación con el H. Cuerpo de Bomberos, atendieron un reporte por presunto olor a gas en una institución educativa ubicada en la colonia San Cayetano, en Pachuca.El incidente se registró en la escuela primaria “Francisco I. Madero”, donde personal de emergencia acudió tras recibir el llamado a través de los canales de auxilio. De manera inmediata, los cuerpos de atención se trasladaron al plantel para verificar la situación y descartar cualquier posible riesgo para la comunidad escolar.</t>
  </si>
  <si>
    <t>Uno de los principales programas que ha fortalecido la presidenta del Patronato del Sistema Municipal DIF de Mineral de la Reforma, Samantha Esparza Hernández, es “Manos que Impulsan”, una iniciativa que mejora la calidad de vida de las niñas, niños y adolescentes, mediante la elaboración y entrega de prótesis de mano personalizadas con tecnología de impresión 3D.Gracias al apoyo del presidente municipal, Eduardo Medécigo Rubio, este programa, único en el estado de Hidalgo, ofrece apoyo y orientación especializada a quienes más lo necesitan, promoviendo su independencia, una mejor autoestima y bienestar.</t>
  </si>
  <si>
    <t>Entrega De Apoyos</t>
  </si>
  <si>
    <t>Boletín 108:Refuerzan vigilancia epidemiológica y vacunación en Hidalgo</t>
  </si>
  <si>
    <t>Vía telefónica, Olga compañera de ACIR, quien apoya en sus momentos libres a pequeños con cáncer y niños en orfandad. Ella platica la historia que es del albergue Ciudad de los Niños, comentó que se quedaron los niños que requieren más apoyo, lo único que pasó es que ya no están en resguardo de las religiosas, ya es particular.</t>
  </si>
  <si>
    <t>El Congreso del Estado de Hidalgo participó en el Segundo Encuentro Metropolitano Hacendario, donde autoridades federales, estatales y municipales analizaron estrategias para modernizar los sistemas catastrales y mejorar la coordinación con el registro público.Durante el evento, el presidente de la Junta de Gobierno, Andrés Velázquez Vázquez, destacó la importancia de alinear esfuerzos entre los distintos niveles de gobierno para avanzar en un modelo que brinde certeza patrimonial y fortalezca las finanzas públicas.</t>
  </si>
  <si>
    <t>En sesión ordinaria, diputadas y diputados integrantes de la LXVI Legislatura avalaron con 25 votos a favor, cero en contra y cero abstenciones, la minuta que reforma la Constitución Política de los Estados Unidos Mexicanos, en materia de feminicidio, enviada por la Cámara de Diputados del Congreso de la Unión.La legisladora Diana Rangel Zúñiga (Morena) indicó que esta reforma establece como mínimo los tipos penales y sanciones de feminicidio, secuestro, desaparición, extorsión, entre otros, en una ley general única.La diputada Johana Montcerrat Hernández Pérez (PRI) aseguró que mientras una mujer tenga que rogar por justicia en este país o en cualquier otro, cualquier ley será insuficiente. No estamos aquí para aplaudir, estamos aquí para responder por lo que todavía no hemos sido capaces de garantizar, la vida y la seguridad de las mujeres en México.La legisladora Karla Perales Arrieta (MC) respaldó esta reforma y exigió que las autoridades respondan “desde el primer inicio de violencia, golpe, amenaza y denuncia. Tenemos que hablar de quienes muchas veces quedan en el olvido: las víctimas indirectas, hijas e hijos de mujeres víctimas de feminicidio, las familias que quedan desintegradas, las infancias que crecen marcadas por la violencia”.</t>
  </si>
  <si>
    <t>Reforma De Ley</t>
  </si>
  <si>
    <t>La Comisión Nacional del Agua (Conagua), a través de la Dirección Local Hidalgo, concluyó los trabajos de limpieza y desazolve en el río Tula, en las inmediaciones del ejido San Mateo, a fin de contribuir a garantizar el flujo continuo del agua en el cauce y a proteger a los centros de población y sus bienes previo a la temporada de lluvias.A través de las brigadas Conagua, por medio de un camión plataforma y grúa articulada, se realizaron labores para retirar troncos, maleza y lodos que obstruían el cuerpo de agua, principalmente a causa de la gran cantidad de árboles caídos en el cauce aguas abajo del tanque amortiguador de la presa Endhó, abarcando una longitud de 2 km.</t>
  </si>
  <si>
    <t>Moderniza SIPDUS vialidad Alcholoya–San Bartolo para impulsar el desarrollo en Acatlán</t>
  </si>
  <si>
    <t>Vecinos del fraccionamiento Pedregal de Los Ángeles, retuvieron y golpearon a una mujer acusada de cometer actos delictivos en dicho lugar. La presunta ladrona fue amarrada y golpeada por los vecinos y posteriormente entregada a elementos de la policía municipal.</t>
  </si>
  <si>
    <t>Justicia Por Propia Mano</t>
  </si>
  <si>
    <t>Alumnos y personal docente de la escuela primaria “Francisco I. Madero” en la colonia San Cayetano en Pachuca, fueron evacuados de manera preventiva por un intenso olor a gas LP en el ambiente. La medida ocurrió luego que elementos del cuerpo de bomberos y protección civil ordenaron el desalojo del plantel educativo en tanto realizaban las acciones correspondientes para determinar el origen del olor a combustible. Luego de varios minutos de labores por parte de los cuerpos de emergencia, se determinó y comprobó que el olor provenía de una bodega contigua a la escuela, donde alguien manipulo un cilindro de gas vacío cuyos residuos fueron la causa de la emergencia.</t>
  </si>
  <si>
    <t>Por causas hasta el momento desconocidas y en plena central de autobuses de la ciudad de Pachuca, un hombre agredió a guardias de seguridad privada que vigilan el desarrollo de las actividades y después a policías, para finalmente acabar arrestado. De acuerdo con los testigos y datos preliminares dados, el accidente de violencia pasó por la mañana de este jueves 23 de abril en el área de taquillas de la terminal camionera, frente a clientes que esperaban la salida de su viaje, entre familias enteras, parejas, amigos y personas solitarias, quienes se alarmaron.</t>
  </si>
  <si>
    <t>Elementos de Seguridad Pública Municipal y del Ejército, desplegaron un operativo preventivo en la Escuela Secundaria General “Héroe Antonio Reyes” (ESGHAR), luego del hallazgo de un mensaje que advertía sobre un ataque armado en el plantel. Desde la mañana de este jueves 23 de abril, elementos de Seguridad Pública Municipal y del Ejército Mexicano implementaron protocolos de emergencia, tras el hallazgo del mensaje escrito en el baño de hombres que advertía sobre un posible tiroteo para este mismo día. La dirección escolar notificó de inmediato al Comité de Participación Social y a la Supervisión Escolar, además de solicitar la intervención del área de Prevención del Delito. Durante la jornada, fuerzas de seguridad realizaron recorridos al interior y en el perímetro de la institución. Sin embargo, el temor generado provocó una baja asistencia de alumnos. El plantel exhortó a madres y padres de familia a revisar mochilas y objetos personales, así como mantener comunicación constante con sus hijos para detectar conductas de riesgo. También pidió reportar cualquier información que ayude a identificar a los responsables.</t>
  </si>
  <si>
    <t>Desarrollan ITESHU y CBTA 179 proyectos para mejorar cultivos en el Valle del Mezquital.</t>
  </si>
  <si>
    <t>Investigación académica</t>
  </si>
  <si>
    <t>En los primeros 31 días del año se registraron casi 30 detenciones de extranjeros en territorio hidalguense, la mayoría de ellos fueron venezolanos, cubanos y colombianos; este número representó una disminución significativa con respecto a enero del 2025, cuando las detenciones rebasaron los 200 casos. De acuerdo con los datos de la Unidad de Política Migratoria, Registro e Identidad de Personas de la Secretaría de Gobernación federal, al corte de 31 de enero, 23 hombres y seis mujeres fueron interceptados por elementos del Instituto Nacional de Migración (INM) y no pudieron demostrar una estancia regular en el país, por lo que fueron asegurados. Entre estas 26 personas deportadas solamente se registraron a mayores de edad originarios de Venezuela, Colombia y Cuba, en su mayoría, según los datos del Centro Nacional de Monitoreo de Movilidad y Migración Internacional (CENAMMMI).</t>
  </si>
  <si>
    <t>Deportaciones</t>
  </si>
  <si>
    <t>Congreso - Junta de Gobierno - Pachuca - El Congreso del Estado Libre y Soberano de Hidalgo participó en el segundo Encuentro Metropolitano Hacendario, con el objetivo de construir las bases técnicas, normativas y financieras para la integración progresiva de los sistemas catastrales metropolitanos, fortaleciendo su coordinación con el ámbito registral y estableciendo las condiciones para avanzar, de manera gradual, hacia un modelo que garantice certeza patrimonial, reduzca desigualdades territoriales y promueva la sostenibilidad fiscal. El presidente de la Junta de Gobierno, diputado Andrés Velázquez Vázquez se congratuló con esta reunión entre funcionarios federales, estatales, del Congreso y los municipios “para que podamos tener una misma línea de trabajo “.</t>
  </si>
  <si>
    <t>Con el objetivo de procurar la correcta ejecución de la obra pública y consolidar un principio fundamental de todo buen gobierno, este miércoles se llevó a cabo la capacitación de nueve comités de Contraloría Social en Tulancingo, como parte del programa anual implementado por el orden estatal. La capacitación fue impartida por personal de la Dirección General de Vinculación y Contraloría Social de la Secretaría de Contraloría Estatal, quienes brindaron a los participantes los conocimientos necesarios para vigilar que las obras públicas se ejecuten conforme a las metas programadas. Las obras que serán supervisadas por los comités se ubican en distintos puntos estratégicos de la ciudad, entre ellos San José Caltengo, Napateco, Plan de Ayala y Alamoxtitla. En su intervención, el titular del Órgano Interno de Control, maestro Miguel Ángel Romero Mejía, destacó que estos comités constituyen un mecanismo clave para fortalecer la transparencia, la rendición de cuentas y la participación ciudadana en la vigilancia de la obra pública.</t>
  </si>
  <si>
    <t>Contraloría Social</t>
  </si>
  <si>
    <t>Daniel Martínes señala que las unidades del Tuzobús se están cayendo a cachitos y que los operadores hacen su mejor esfuerzo para que jalen. Tanto la troncal como las alimentadoras ya están de “mírame y no me toques”, aseveró. Asimismo, dijo que hay unidades que se tardan hasta 2 horas en completar el recorrido por la condiciones mecánicas y físicas que tienen.</t>
  </si>
  <si>
    <t>Deficiencias Tuzobús</t>
  </si>
  <si>
    <t>desde el 20 de abril comenzó la llegada de nuevos autobuses que serán incorporados al sistema Tuzobús, como parte de una estrategia para reforzar y ampliar el servicio de transporte público en la zona metropolitana de la capital. La incorporación de estas unidades responde a un análisis previo sobre las condiciones actuales del sistema, en el que se identificó la necesidad de incrementar la capacidad operativa, mejorar la cobertura de rutas y ofrecer mejores condiciones de traslado a los usuarios. Información de la Oficialía Mayor indica que, en una primera fase, se contempla la integración de 80 unidades mediante un esquema de arrendamiento. A este grupo se sumará posteriormente la contratación de 60 vehículos adicionales que también estarán destinados al funcionamiento del Tuzobús.</t>
  </si>
  <si>
    <t>Oficialía Mayor</t>
  </si>
  <si>
    <t>La falta de espacios de estacionamiento en el centro de Pachuca ha comenzado a impactar la actividad comercial, de acuerdo con empresarios de la zona, quienes plantearon la posibilidad de reactivar el sistema de parquímetros como una medida para ordenar la movilidad y facilitar la llegada de clientes. Según el representante de ProCentro, Ramiro Gutiérrez Barranco, actualmente algunos automovilistas ocupan los lugares de estacionamiento durante periodos prolongados, lo que reduce la disponibilidad para quienes acuden a realizar compras o contratar servicios. Señaló que esta situación ha sido expuesta en distintas ocasiones ante autoridades municipales, debido a que incide directamente en las ventas de los establecimientos formales. Gutiérrez Barranco indicó que, aunque se ha mencionado que existen impedimentos de carácter jurídico para reinstalar los parquímetros, hasta el momento no se ha presentado una alternativa concreta que permita resolver el problema.</t>
  </si>
  <si>
    <t>Parquímetros</t>
  </si>
  <si>
    <t>La Secretaría de Turismo en Hidalgo (Secturh) propondrá recorridos turísticos y gastronómicos hacia Tulancingo y otros municipios cercanos a este, a llevarse a cabo durante las fechas que se celebre el Mundial de Futbol. La propuesta fue presentada en reciente visita de trabajo a la región por parte Elizabeth Quintanar Gómez, la titular de la dependencia estatal, aprovechando que en la misma temporalidad se llevará a cabo una muestra turística, folklórica y gastronómica en Campo Marte, en la Ciudad de México. Señaló que todas las entidades federativas tendrán un espacio sin costo alguno para dar a conocer sus atractivos, asegurando que Tulancingo tendrá una presencia importante dentro del espacio que le corresponda al Estado de Hidalgo. La funcionaria estatal explicó que a los visitantes al stand hidalguense se les ofrecerá trasladarlos a la región Tulancingo para que conozcan sus atractivos y su patrimonio gastronómico. La eventual actividad se denominaría la Ruta de Quetzalcóatl, siendo desarrollada en forma coordinada entre el Gobierno de Hidalgo, los gobiernos municipales del Valle de Tulancingo junto con prestadores de servicios turísticos y gastronómicos.</t>
  </si>
  <si>
    <t>Mundial De Futbol</t>
  </si>
  <si>
    <t>La presidenta de México, Claudia Sheinbaum Pardo, llevará a cabo una gira de trabajo en el estado de Hidalgo durante los días 24 y 25 de abril, con actividades en distintos municipios enfocadas en infraestructura, educación y deporte. De acuerdo con la agenda oficial, el recorrido iniciará el viernes en Villa de Tezontepec a las 15:00 horas, donde la mandataria supervisará los avances del proyecto ferroviario que conectará el Aeropuerto Internacional Felipe Ángeles con Pachuca. Más tarde, a las 18:00 horas, se trasladará a Singuilucan para encabezar una conferencia en el Colegio de Estudios Científicos y Tecnológicos del Estado de Hidalgo (CECyTEH). Las actividades continuarán el sábado en Pachuca, donde visitará el Centro de Alto Rendimiento. En este punto se prevé que emita anuncios relacionados con el impulso al deporte en la entidad, aunque el horario aún no ha sido confirmado. Posteriormente, la gira se extenderá hacia la región oriente y la sierra hidalguense, con visitas programadas en Acaxochitlán y Tenango de Doria, donde se llevarán a cabo recorridos de supervisión.</t>
  </si>
  <si>
    <t>El inicio de la construcción del nuevo salón de plenos del Congreso de Hidalgo se encuentra detenida, pues en marzo pasado concluyeron la labores de demolición del antiguo edificio, y hasta la fecha no se ha emitido la licitación para la edificación. De acuerdo con datos del Poder Legislativo, para el nuevo edificio se contempla una inversión de 80 millones de pesos; sin embargo, el recurso puede variar dependiendo del proceso de licitación. A inicios de marzo concluyó la demolición del salón de plenos, que de acuerdo con la licitación pública EO-SIPDUS-N176-2025, tuvo un costo de 4 millones 984 mil 997.71 pesos y la empresa encargada fue Grupo Inelpro, que inició los trabajos en noviembre de 2025.</t>
  </si>
  <si>
    <t>Salón De Plenos</t>
  </si>
  <si>
    <t>El gobierno federal informó que la construcción del tren de pasajeros que conectará el Aeropuerto Internacional Felipe Ángeles con Pachuca avanza sin complicaciones, ya que se cuenta con la totalidad del derecho de vía, lo que permite dar continuidad a los trabajos con miras a su próxima conclusión. Durante la conferencia matutina de este jueves, el director del Banco Nacional de Obras y Servicios Públicos, Jorge Alberto Mendoza Sánchez, dio a conocer que se concretó la compra de acciones del tren suburbano que actualmente opera de Buenavista a Cuautitlán, en el Estado de México. Este sistema cuenta con un ramal en Lechería que llegará al AIFA, el cual será inaugurado este fin de semana por la presidenta Claudia Sheinbaum Pardo. El funcionario detalló que este servicio ferroviario pasará a denominarse “Felipe Ángeles” y estará bajo operación del Estado mexicano, al igual que las futuras conexiones hacia el aeropuerto y la zona metropolitana de Pachuca, en Hidalgo.</t>
  </si>
  <si>
    <t>Vía telefónica el reporte de Bombero y Protección Civil con Abner Yáñez informa que se atendieron 5 incendio de pasto seco, entre otras emergencias reportadas por la ciudadanía.</t>
  </si>
  <si>
    <t>El Gobierno de México invierte alrededor de 40 millones de pesos en la rehabilitación de siete calles del municipio de Tulancingo que presentaban fuerte deterioro en su cinta de rodamiento. Lo anterior fue informado por Armando Pérez Alcibar, secretario municipal de Desarrollo Urbano, Obras Públicas y Medio Ambiente. Señaló que la administración federal solicitó al gobierno de Tulancingo un listado acompañado de expedientes de cien calles del municipio, de las cuales fueron elegidas siete para ser intervenidas. Se trata de las calles Chapultepec, Martín Urrutia, Olmeca, Miguel Negrete, 20 de noviembre, 7 de febrero en dos secciones, todas ubicadas en el norte del casco urbano.</t>
  </si>
  <si>
    <t>Con el fin de fortalecer las estrategias de seguridad en el estado, en el Congreso de Hidalgo se presentó una iniciativa para tipificar como delito el halconeo y el sabotaje a las instituciones de seguridad pública en el Código Penal estatal con penas de 3 a 7 años y de 4 a 8 años de prisión, respectivamente. Durante sesión ordinaria, legisladores presentaron una iniciativa para reformar el Código Penal de Hidalgo que además de la penas en prisión por halconeo, se propone multa de 100 a 300 veces el valor diario de la Unidad de Medida y Actualización, es decir de 11 mil 731 a los 35 mil 193 pesos, a quien, sin autorización legal y con el propósito expreso de facilitar la comisión de un delito o de evadir la acción de la justicia realice esa actividad. La propuesta plantea sancionar como halconeo a quien transmita o difunda, mediante el uso de radiotransmisores, equipos de escaneo de frecuencias o cualquier dispositivo tecnológico, información táctica sobre las rutas, despliegues, posiciones o planes operativos de los elementos que integran las instituciones de seguridad pública, de administración o procuración de justicia del estado o de sus municipios, mientras dichas acciones se encuentren en fase de ejecución.</t>
  </si>
  <si>
    <t>Durante el primer trimestre del año, el Centro de Cultura Emocional de la Familia en Tulancingo atendió 129 casos de depresión y ansiedad en niñas, niños y adolescentes, informó la directora de la Unidad de Primer Contacto, Magdiel Camila. En entrevista con Ultra Noticias, junto con la presidenta del Patronato del DIF municipal, Jessica Garrido Cázares, detalló que estos casos fueron canalizados principalmente por la Subprocuraduría de Niñas, Niños y Adolescentes, con la que mantienen coordinación permanente. Precisó que la atención tiene alcance regional, ya que el centro recibe a menores provenientes de distintos municipios, y que la mayoría de los casos están vinculados a situaciones de violencia. Sobre el proceso de atención, explicó que en el caso de menores de edad se realiza inicialmente una entrevista con padres o tutores para conocer el entorno familiar.</t>
  </si>
  <si>
    <t>El Sistema DIF hidalgo ya inició lo festejos del Día del Niño y de la Niña, promoviendo actividades culturales y educativas en todo el estado.</t>
  </si>
  <si>
    <t>Milton Cortés</t>
  </si>
  <si>
    <t>Milton Cortés Informa que el regidor del ayuntamiento de Pachuca, Carlos García Monzalvo, anunció su renuncia al Partido Revolucionario Institucional, para declararse como “independiente”. Aseguró que su decisión responde a un acto de “congruencia” tras años de militancia y experiencia política, al señalar que el partido dejó de ser una herramienta al servicio de la ciudadanía. En su intervención, criticó a la dirigencia nacional del tricolor, a la que responsabilizó del debilitamiento del instituto político, acusándola de actuar con “soberbia”, de cerrar espacios a la militancia y de priorizar intereses personales sobre los de la ciudadanía.</t>
  </si>
  <si>
    <t>Renuncias PRI</t>
  </si>
  <si>
    <t>En sesión ordinaria, diputadas y diputados integrantes de la LXVI Legislatura avalaron con 25 votos a favor, cero en contra y cero abstenciones, la minuta que reforma la Constitución Política de los Estados Unidos Mexicanos, en materia de feminicidio, enviada por la Cámara de Diputados del Congreso de la Unión. La legisladora Diana Rangel Zúñiga (Morena) indicó que esta reforma establece como mínimo los tipos penales y sanciones de feminicidio, secuestro, desaparición, extorsión, entre otros, en una ley general única.</t>
  </si>
  <si>
    <t>Continúa la promoción de convocatorias del Gobierno de Hidalgo en las instituciones de educación superior</t>
  </si>
  <si>
    <t>La presidenta del DIFH, Edda Vite encabezará el arranque del programa Festejemos a las niñas y los Niños de Hidalgo en las instalaciones de la Feria de Pachuca.</t>
  </si>
  <si>
    <t>Hoy es el festejo del Día de la Educadora por parte de la SEPH y la Sección 15 del SNTE en un salón de fiestas conocido de Mineral de la Reforma y el gobernador Julio Menchaca acudirá junto con el secretario de la SEPH, Natividad Castrejón y el dirigente del SNTE, Said Vargas.</t>
  </si>
  <si>
    <t>André Torres anuncia que pronto en La Voz del Pueblo Hñahñú se contará con programación propia porque ya están por poner esta estación en marcha. Asimismo, recuerda que El Vocero Huasteco está fuera del aire por problemas técnicos de la estación.</t>
  </si>
  <si>
    <t>Radiodifusoras</t>
  </si>
  <si>
    <t>El día de hoy y mañana sábado hay gira presidencial, viene la presidenta Claudia Sheinbaum a Hidalgo y estará acompañada por el gobernador Julio Menchaca. El viernes 24 de abril a las 15:00 horas, la mandataria federal visitará el municipio de Villa de Tezontepec, donde supervisará los avances del Tren AIFA–Pachuca, más tarde estará en Singuilucan en un evento del IMSS Bienestar. Para el sábado 25 de abril, aún con horario por confirmar, Claudia Sheinbaum Pardo visitará Pachuca, específicamente el Centro de Alto Rendimiento, donde se contempla una jornada enfocada en el deporte y la juventud. Posteriormente, continuará su gira por los municipios de Acaxochitlán y Tenango de Doria, con actividades aún por detallar.</t>
  </si>
  <si>
    <t>En atención a los pobladores de Tenango de Doria, Hidalgo, la presidenta Claudia Sheinbaum Pardo supervisó el Centro de Salud del IMSS Bienestar del municipio donde encontró que hay un 80 por ciento de abasto de medicamentos gracias al programa Rutas de la Salud y el 20 por ciento faltante es atendido, ya que se registró una problemática con un proveedor, la cual será resuelta el lunes. “Hay el 80 por ciento de abasto, hay un 20 por ciento que no llegó en las últimas Rutas de la Salud. Pregunté al doctor Svarch (director general del IMSS Bienestar) y me dice que hay un problema con la empresa, que hay un problema con el proveedor de ciertos medicamentos. Entonces ya lo vamos a resolver el lunes”, informó en entrevista con medios luego de su recorrido. Puntualizó que también se trabaja en la contratación de más médicos y médicas especialistas para garantizar la atención en los Centros de Salud.</t>
  </si>
  <si>
    <t>Abasto De Medicamentos</t>
  </si>
  <si>
    <t>En un acto que refrenda la cooperación internacional y el intercambio cultural, la presidenta municipal de Tulancingo, Lorena García Cázares, recibió en Palacio Municipal a la delegación de Pleasanton, encabezada por Jorge y Sylvia Victoria, presidente y primera dama consejera del comité de Ciudades Hermanas.Durante el acto protocolario, la alcaldesa dio la bienvenida a los visitantes y destacó la relevancia de mantener viva esta tradición de intercambio anual, la cual fortalece los lazos de amistad y entendimiento entre ambas comunidades. Subrayó además el legado de Robert Athenour, impulsor de esta alianza que ha perdurado a lo largo del tiempo.</t>
  </si>
  <si>
    <t>Hermanamiento</t>
  </si>
  <si>
    <t>La Secretaría de Educación Pública de Hidalgo (SEPH), informó que hasta el momento se han contabilizado 13 registros de pintas y mensajes anónimos con presuntas amenazas en planteles educativos del estado, principalmente en secundarias y preparatorias. El titular de la dependencia, Natividad Castrejón Valdez, señaló que estos casos se han presentado en distintos municipios y forman parte de una tendencia viral detectada en redes sociales a nivel nacional. Ante esta situación, explicó que ya se activaron protocolos en todos los planteles educativos, los cuales contemplan informar de inmediato a madres y padres de familia, dar aviso a las autoridades municipales y mantener comunicación constante con el alumnado. Asimismo, llamó a las familias a involucrarse desde casa mediante la supervisión y diálogo con sus hijas e hijos, a fin de prevenir cualquier incidente de violencia. Castrejón Valdez subrayó que, si bien estos mensajes han generado inquietud, no se busca provocar alarma social, sino mantener vigilancia permanente en cada escuela para detectar posibles riesgos. En cuanto a los responsables, precisó que no han sido identificados, ya que se trata de pintas anónimas; sin embargo, en caso de detectar a algún estudiante involucrado, se levanta un acta, se cita a los padres y se establece un compromiso de no repetición.</t>
  </si>
  <si>
    <t>Boletín 295: Celebra DIF Hidalgo a la niñez hidalguense</t>
  </si>
  <si>
    <t>Boletín 575: Próxima a cerrar la convocatoria “Transformando Emprendedores 2026”</t>
  </si>
  <si>
    <t>Apoyo a emprendedores</t>
  </si>
  <si>
    <t>Boletín 719: Policía Estatal detiene en San Bartolo Tutotepec a narcomenudistas con más de 700 dosis de presunta droga</t>
  </si>
  <si>
    <t>Boletín 720: ENSU: reporta mejora en percepción de seguridad en Hidalgo</t>
  </si>
  <si>
    <t>Percepción de inseguridad</t>
  </si>
  <si>
    <t>Boletín 265: Hidalgo, invitado de honor en la FAMEX 2027</t>
  </si>
  <si>
    <t>Sedeco</t>
  </si>
  <si>
    <t>Feria Aeroespacial</t>
  </si>
  <si>
    <t>Boletín 1057: Sheinbaum y Menchaca ponen en marcha infraestructura deportiva que fortalece el tejido social en Pachuca</t>
  </si>
  <si>
    <t>Ciudad deportiva</t>
  </si>
  <si>
    <t>Boletín 1060: Julio Menchaca acompaña la inauguración del tren Buenavista–AIFA (AUDIO JMS)</t>
  </si>
  <si>
    <t>Locutor Jesús Riveros informa sobre la conferencia mañanera del Gobierno de Hidalgo y destaca la gira de trabajo de la presidenta Claudia Sheinbaum, uno de los eventos en los que estuvo presente, fue en la inauguración del tren que va a concertar el centro de la Ciudad de México con el AIFA, lo anterior, luego de cuatro años de construcción, en el acto inaugural la mandatario señaló “Misión cumplida, cumplimos con el pueblo de México”. En la ceremonia inaugural estuvieron convocados un selecto grupo de altos funcionarios del gobierno Federal, los gobernadores del Estado de México e Hidalgo, Delfina Gómez y Julio Menchaca respectivamente.</t>
  </si>
  <si>
    <t>Mañanera de Hidalgo</t>
  </si>
  <si>
    <t>Durante el protocolo de inauguración del tren AIFA, hubo personas querido acceder al evento para poder externar algunas situaciones con la presidenta Claudia Sheinbaum como lo hizo un grupo de personas en Tenango de Doria, donde incluso la presidenta cedió el micrófono a un par de asistentes, quienes le extornaron que en los Centros de Salud locales de la Otomí-Tepehua no había medicamentos, a lo que la presidenta se comprometió a atender.</t>
  </si>
  <si>
    <t>El Comando Unificado de la Coordinación Nacional de Protección Civil informó que fue localizado sin vida el cuarto y último trabajador atrapado en la mina Santa Fe, ubicada en el municipio de El Rosario, Sinaloa, tras 33 días de labores ininterrumpidas de búsqueda. El minero fue identificado como Leandro Isidro Beltrán Reséndiz, de 54 años, originario de Zimapán, Hidalgo. Su hallazgo se registró a las 2:15 horas del Pacífico, luego de un operativo sostenido desde el accidente ocurrido el pasado 25 de marzo en el yacimiento. El hallazgo se logró luego de 783 horas continuas de operación en las que participaron 389 elementos de distintas instituciones federales y estatales, así como personal de la propia mina.</t>
  </si>
  <si>
    <t>Localización de cuerpo</t>
  </si>
  <si>
    <t>Durante siete horas ininterrumpidas, la Feria de la Niñez en Tulancingo se desarrolló en un ambiente de sana convivencia familiar, superando la asistencia de más de 10 mil personas. La presidenta municipal, Lorena García, refirió que este evento salió avante gracias a la disposición y compromiso del equipo de trabajo del Gobierno Municipal, quienes, a través de cada secretaría, instalaron stands temáticos llenos de alegría y entusiasmo para las niñas y los niños. «Este acercamiento con la niñez permitió fortalecer la unión familiar como un acto de reconstrucción social; de convivencia y de amor » señaló la alcaldesa. En esta edición, las familias disfrutaron de diversas áreas temáticas como ciencia, medicina canina, dibujo y pintura, inflables, rodeo, juegos clásicos, acuatlón y spa, generando espacios recreativos e interactivos para todas las edades. En un ámbito de acercamiento institucional, elementos de Bomberos y Protección Civil realizaron dinámicas participativas entre padres e hijos, mientras que la Unidad K9 presentó demostraciones de las destrezas de los caninos en materia de seguridad. Durante la jornada, los pequeños y pequeñas recibieron juguetes, y disfrutaron de algodones de azúcar, palomitas y juegos mecánicos de manera gratuita. Asimismo, en la carrera atlética infantil se contó con la participación de 350 personas. Para amenizar el ambiente, se contó con la participación de DJ Armandito, de tan solo 11 años, quien puso ritmo y energía a esta gran celebración. La tarde de festejo concluyó con una función de lucha libre, deporte de gran tradición en el municipio, que llenó de emoción y entusiasmo a las familias asistentes.</t>
  </si>
  <si>
    <t>Integrantes del grupo Fandango Musical informaron que ya fueron liberados tras haber sido retenidos por habitantes de la localidad de Aquetzpalco, en el municipio de Huautla, luego de no llegar a tiempo a una presentación en la comunidad. A través de un mensaje difundido en video, los músicos señalaron que actualmente se encuentran en las instalaciones del Ministerio Público en Huejutla, donde presentaron una denuncia formal en contra del comité organizador del evento ocurrido el pasado 25 de abril. De acuerdo con su testimonio, tras 15 horas de retención salieron de la comunidad en condiciones de cansancio y deshidratación. Indicaron que, aunque ya se encuentran fuera de riesgo, los pobladores mantienen en su poder su unidad de transporte, instrumentos musicales, vestuario y objetos personales. Los integrantes del grupo señalaron que, hasta el momento, la única línea de investigación que se estaría atendiendo es la retención de sus bienes materiales, mientras que otros posibles delitos no habrían sido considerados bajo el argumento de usos y costumbres de la comunidad. Asimismo, expresaron su inconformidad por el proceso legal en curso y solicitaron el apoyo de la ciudadanía para dar visibilidad al caso, al señalar que requieren recuperar su equipo a la brevedad debido a compromisos laborales pendientes.</t>
  </si>
  <si>
    <t>Retención</t>
  </si>
  <si>
    <t>Juan Carlos Santamaría transmite en vivo desde la conferencia mañera, informando que, en su participación Carlos Henkel Escorza, secretario de Desarrollo Económico dio cuenta sobre 125 mil mdp de inversión; 163 mil nuevos empleos a través de 120 proyectos consolidados, el 62 de estos ya en operación con sectores como el ferroviario, textil, aeroespacial, energía limpia, entre otros. También habló sobre el polo de desarrollo en Zapotlán con 910 héctareas dedicadas a la instalación de empresas; en otro sentido, informó sobre la invitación a Hidalgo en la edición 2027 en la “Feria Aeroespacial”.</t>
  </si>
  <si>
    <t>Juan Carlos Santamaría transmite en vivo desde la conferencia mañera, informando que, en su participación el secretario de Bienestar e Inclusión Social, Ricardo Gómez Moreno, habló sobre la conectividad las personas y las familias, así como los avances que se han tenido en la entidad.</t>
  </si>
  <si>
    <t>Locutor Jesús Riveros informa sobre la conferencia mañanera del Gobierno de Hidalgo y destaca la gira de trabajo de la presidenta Claudia Sheinbaum, uno de los eventos en los que estuvo presente, fue en la inauguración del tren que va a conectar el centro de la Ciudad de México con el AIFA, lo anterior, luego de cuatro años de construcción, en el acto inaugural la mandatario señaló “Misión cumplida, cumplimos con el pueblo de México”. En la ceremonia inaugural estuvieron convocados un selecto grupo de altos funcionarios del gobierno Federal, los gobernadores del Estado de México e Hidalgo, Delfina Gómez y Julio Menchaca respectivamente.</t>
  </si>
  <si>
    <t>Juan Carlos Santamaría transmite en vivo desde la conferencia matutina de Gobierno de Hidalgo, el coordinador de Comunicaión Gubernamental, Edmundo Pineda da inicio a la conferencia con la gira de trabajo de la presidenta Claudia Sheinbaum que realizó durante dos días por diferentes regiones del Estado de Hidalgo. El día viernes, arribó al municipio de Villa de Tezontepec, acompañada por el gobernador Julio Menchaca Salazar supervisaron el avance en la construcción del tren Ciudad de México-AIFA-Pachuca; posteriormente, estuvieron en el municipio de Singuilucan. El día sábado, acudieron a la región Otomí-Tepehua, específicamente en el municipio de Tenango de Doria; por la tarde, arribaron al municipio de Acaxochitlán en donde sostuvieron encuentros muy importantes. El domingo por la mañana, el gobernador del Estado, acompañó en calidad de invitado a la presidenta de la república en el primer viaje del tren Ciudad de México-AIFA-Pachuca.</t>
  </si>
  <si>
    <t>CGCG</t>
  </si>
  <si>
    <t>Juan Carlos Santamaría transmite en vivo desde la conferencia matutina de Gobierno de Hidalgo,con la presentación de los participantes, entre ellos, Carlos Henkel Escorza, secretario de Desarrollo Económico; Ricardo Gómez Moreno, secretario de Bienestar e Inclusión Social; Pablo Octavio Sánchez Olvera, titular en el centro de la Secretaría de infraestructura, Comunicaciones y Transportes del Gobierno Federal en Hidalgo y para hablar de ora pública, el secretario de Infraestructura Pública y Desarrollo Urbano Sostenible, Alejandro Sánchez García.</t>
  </si>
  <si>
    <t>La población de Tenango de Doria, dañado en octubre del año pasado por torrenciales lluvias y deslaves, le reclamó a la presidenta de méxico, Claudia Sheinbaum la falta no sólo de caminos, sino de médicos y medicamentos. Los pobladores pidieron el micrófono para acusar falta de medicamentos y doctores.La presidenta llegó hasta la sierra norte de Hidalgo, todavía con caminos tapados de tierra deslavada por la vaguada del 6 al 9 de octubre que dejó 78 personas muertas en el país, 22 en hidalgo.Luego de los reclamos de falta de medicamentos en diversos centros de salud que la hizo cambiar de agenda, la mandataria federal acudió al centro de salud, y constantó que si hay falta de medicamento y acusó un problema con el proveedor.Tras unos 10 minutos adentro del hospital, donde también el personal expresó sus reclamos y pidió ayuda para que los atiendan. Audios de apoyo presidenta y habitantes reclamaron</t>
  </si>
  <si>
    <t>Durante la reciente visita de la presidenta Claudia Sheimbaum a Tenango de Doría, adultos mayores de la zona aprovecharon para alzar la voz con reclamos; denunciaron la falta de médicos y el desabasto de medicamentos en los centros de salud de la entidad. AUDIO APOYO</t>
  </si>
  <si>
    <t>Este lunes 27 de abril se registró un accidente fatal sobre el bulevar Minero, a la altura de la zona de Soriana Tutelar, en Pachuca, un taxi con placas A-399-FVD se impactó contra un árbol, dejando como saldo a una persona sin vida</t>
  </si>
  <si>
    <t>Accidente transporte público</t>
  </si>
  <si>
    <t>Radioescucha reporta que en calle Campo de Tiro en San Antonio, se reportaron 3 coladeras destapadas; arreglaron solo 1 los de Caasim, y las otras 2 pueden causar un accidente.</t>
  </si>
  <si>
    <t>Alcantarillado</t>
  </si>
  <si>
    <t>La Subsecretaría de Protección Civil y Gestión de Riesgos emitió un comunicado desde Pachuca de Soto para advertir que en los próximos días se registrará un ambiente caluroso en diversas regiones del estado, por lo que exhortó a la población a tomar medidas preventivas para evitar afectaciones a la salud. Ante el incremento de temperaturas, autoridades recomiendan evitar la exposición prolongada al sol, mantenerse hidratado y utilizar ropa ligera, así como gorra o sombrero y bloqueador solar. También se sugiere permanecer en lugares frescos y ventilados, evitar actividades físicas intensas bajo el sol y, especialmente, no dejar a niñas, niños, personas adultas mayores ni mascotas dentro de vehículos.</t>
  </si>
  <si>
    <t>Alerta Meteorológica</t>
  </si>
  <si>
    <t>En el marco de la gira de trabajo de la presidenta Claudia Sheinbaum Pardo por el Estado de Hidalgo, junto con el gobernador Julio Menchaca Salazar, se llevó a cabo la inauguración de la denominada ciudad deportiva de alto rendimiento en pachuca, proyecto que representa una inversión social superior a los 518 millones de pesos.Durante esta actividad, correspondiente al segundo día de trabajo en el estado, se constató la calidad de este complejo moderno e incluyente, diseñado para atender a atletas de alto rendimiento, deporte adaptado y a la población en general, con instalaciones especializadas, seguras y accesibles.Al respecto, la presidenta Claudia Sheinbaum calificó las instalaciones de la ciudad deportiva como dignas y extraordinarias, pues el complejo contempla más de 20 espacios deportivos, entre canchas especializadas y áreas multifuncionales, que permitirán la práctica y el desarrollo de más de 35 disciplinas.Por su parte, Menchaca Salazar subrayó que este espacio refleja el compromiso conjunto por impulsar el deporte, el esparcimiento y la recuperación de espacios públicos. Con audios de apoyo</t>
  </si>
  <si>
    <t>Elementos de la policía federal ministerial cumplimentaron una orden de reaprehensión en contra de Nadia "n", señalada por su probable responsabilidad en el delito contra la salud, en su modalidad de posesión simple de clorhidrato de metanfetamina.la detención se llevó a cabo en la colonia centro del municipio de progreso de obregón, por agentes adscritos a la subsede de tula de allende.de acuerdo con información oficial, la mujer contaba con un mandamiento judicial vigente, luego de incumplir con los beneficios sustitutivos de la pena que le habían sido otorgados previamente.tras su aseguramiento, nadia "n" fue puesta a disposición de la autoridad correspondiente, quien determinará su situación jurídica.</t>
  </si>
  <si>
    <t>Las 33 biznagas aseguradas por la profepa en el municipio de San Salvador son atendidas en el parque ecológico de cubitos, en pachuca.los especialistas contribuyen a su conservación por medio de poda de raíz, aplicación de cicatrizante y fertilización que permita su recuperación.enrique rojo garcía, subsecretario de sustentabilidad y cambio climático de semarnat hidalgo, habló al respecto: audio de apoyo</t>
  </si>
  <si>
    <t>Conservación Biodiversidad</t>
  </si>
  <si>
    <t>Boletín 295: Celebra DIF Hidalgo a la niñez hidalguense: Bajo el lema “Únete a la Reta”, el Sistema DIF Hidalgo (DIFH), dirigido por Edda Vite Ramos como presidenta del Patronato, llevó a cabo la 4ª edición de “Festejemos a las Niñas y los Niños de Hidalgo”, como una forma de reconocer a la infancia hidalguense, además de promover la práctica del deporte y la convivencia familiar, AUDIO APOYO</t>
  </si>
  <si>
    <t>Boletín 295: Celebra DIF Hidalgo a la niñez hidalguense: Bajo el lema “Únete a la Reta”, el Sistema DIF Hidalgo (DIFH), dirigido por Edda Vite Ramos como presidenta del Patronato, llevó a cabo la 4ª edición de “Festejemos a las Niñas y los Niños de Hidalgo”, como una forma de reconocer a la infancia hidalguense, además de promover la práctica del deporte y la convivencia familiar.</t>
  </si>
  <si>
    <t>El presidente municipal, Eduardo Medécigo Rubio, encabezó la entrega de maquinaria especializada que contribuirá a los trabajos de nivelación y emparejamiento de caminos y calles que aún se encuentran en condiciones rústicas en Mineral de la Reforma.En un acto enfocado al desarrollo y mantenimiento de los espacios públicos, el alcalde resaltó que, durante muchos años, estos lugares habían sido ignorados y no recibían la atención necesaria, lo que generaba problemas de imagen urbana, acumulación de basura y riesgos sanitarios para la población.</t>
  </si>
  <si>
    <t>Entrega de maquinaria</t>
  </si>
  <si>
    <t>Una explosión, presuntamente originada por una fuga de gas, sacudió este domingo al fraccionamiento Nuevo Tizayuca, dejando como saldo dos personas heridas y múltiples daños materiales. De acuerdo con reportes del cuerpo de Protección Civil y Bomberos, el incidente fue reportado a través de los números de emergencia al arribar al sitio, los cuerpos de rescate confirmaron que el estallido se produjo al interior de un domicilio, afectando de manera colateral a las viviendas vecinas debido a la magnitud de la onda expansiva.</t>
  </si>
  <si>
    <t>Explosión</t>
  </si>
  <si>
    <t>Radioescucha reporta nuevamente que sigue la fuga de agua en la banqueta de la calle Dorado en Valle del Palmar</t>
  </si>
  <si>
    <t>Radioescucha reporta en la calle San Marcos, en fraccionamento San Alfonso se sale el agua del drenaje</t>
  </si>
  <si>
    <t>Fuga De Drenaje</t>
  </si>
  <si>
    <t>El gobernador de Hidalgo, Julio Menchaca, dijo que la recuperación del inmueble que ocupa la fundación Arturo Herrera Cabañas no tiene ninguna relación con el tema de la revocación de mandato."en ningún caso es una cuestión personal, y tuve una plática muy cordial con la presidenta de la fundación, con la doctora irma eugenia, que merece todo mi respeto".el ejecutivo estatal resaltó que desde el inicio de su administración han sido recuperados 385 inmuebles, con un valor superior a los 1,200 millones de pesos.</t>
  </si>
  <si>
    <t>Fundación Herrera Cabañas</t>
  </si>
  <si>
    <t>Autoridades de salud en Hidalgo confirmaron el primer caso de miasis en una persona, provocado por el gusano barrenador. Se trata de un hombre de 57 años, originario del municipio de Tenango de Doria, quien ya recibe atención médica</t>
  </si>
  <si>
    <t>El secretario de Agricultura, Napoleón González, anunció la creación de un Comité Estatal para el combate al gusano barrenador del ganado, ante la llegada de la plaga a la entidad tras 15 meses de contención, AUDIO APOYO</t>
  </si>
  <si>
    <t>Hoy inicio la operaciones el hospital general de zona de Tula, perteneciente al Instituto Mexicano del Seguro Social (IMSS) y que se encuentra en lo que fue el fallido proyecto de refinería de Felipe Calderón, quien dejó una barda perimetral.Así lo adelantó la presidenta de México Claudia Sheinbaum en una pasada gira de trabajo que efectuó el viernes 22 de abril en el estado de Hidalgo, específicamente en lo que son las obras de construcción del tren México-Pachuca, ante lo cual aseveró a los asistentes que se trataba de una buena noticia.</t>
  </si>
  <si>
    <t>Hospital Tula</t>
  </si>
  <si>
    <t>Vía telefónica, Eduardo Medecigo presidente municipal de Mineral de la Reforma, habló de que en estos momentos se encuentra en Chavarría checando los últimos detalles de los nuevos complejos deportivos que se inaugurarán el próximo 30 de abril a partir de la 1 de la tarde y en la explanada principal tendremos un festejo por motivo del Día del Niño. Sobre la repavimentación de diferentes calles en el municipio con concreto hidráulico, pero este año realizaremos inversiones importantes en el Saucillo, Tuzos y otras calles.</t>
  </si>
  <si>
    <t>Obras De Infraestructura</t>
  </si>
  <si>
    <t>Derivado de las quejas de los campesinos, por el retraso en las obras del revestimiento del canal Tlamaco-Juandhó, Efraín Morales López, director general de la Comisión Nacional del Agua (Conagua) se reunió con los labriegos y se comprometió a que los trabajos quedarán listos a más tardar el 15 de mayo.En entrevista con medios de comunicación locales, el director general de la Conagua explicó que su visita derivó de las constantes quejas e inquietudes de los campesinos del distrito de riego 003 Tula, quienes habían solicitado que las obras se terminaran el 31 de marzo, sin embargo, por cuestión de contratos no se cumplió esa fecha. AUDIO APOYO</t>
  </si>
  <si>
    <t>En el marco de la Semana Nacional de Vacunación 2026, la cual se lleva a cabo del 25 de abril al 2 de mayo, con el Lema: “Vacunar es amar”, el Instituto Mexicano del Seguro Social (IMSS) en Hidalgo invita a la población derechohabiente y no derechohabiente a acudir a los módulos de inoculación en las Unidades de Medicina Familiar (UMF), para completar esquemas y prevenir enfermedades.Las acciones de vacunación por parte del Seguro Social en la entidad están dirigidas a niñas y niños desde recién nacidos hasta los 9 años, adolescentes de 10 a 19 años, mujeres y hombres de 20 a 59 años, personas adultas mayores de 60 años y más, niñas y niños de guarderías, además de personas gestantes o en periodo de lactancia, población de escuelas y empresas</t>
  </si>
  <si>
    <t>La Secretaría de Seguridad Pública de Hidalgo informó que mantiene presencia permanente en planteles educativos de todo el estado, a través de recorridos de vigilancia y acciones de prevención.El objetivo es que niñas, niños y jóvenes puedan desarrollar sus actividades académicas en un entorno seguro y con normalidad, como parte de la estrategia del Mando Coordinado.Las autoridades señalaron que, ante cualquier situación de riesgo, la ciudadanía puede acercarse a los elementos desplegados en las escuelas o comunicarse al número de emergencias 911 para recibir atención inmediata.</t>
  </si>
  <si>
    <t>Elementos de seguridad pública aseguraron a un sujeto que circulaba en una motocicleta con reporte de robo vigente desde el pasado 23 de marzo, durante recorridos preventivos en el municipio de Actopan.Al realizar una revisión, los agentes confirmaron en plataformas de seguridad que la unidad contaba con reporte activo, por lo que fue asegurada de inmediato.Además, entre las pertenencias del individuo se localizaron varias bolsas con una sustancia vegetal con características similares a la marihuana.</t>
  </si>
  <si>
    <t>Recuperación De Vehículos Robados</t>
  </si>
  <si>
    <t>Hoy lunes 27 de abril se celebra la votación de la Generación 2026 del Salón de la Fama del Futbol Internacional en el que se eligieron a 18 nuevas leyendas que serán inmortalizados el 10 de noviembre en la capital hidalguense.</t>
  </si>
  <si>
    <t>Salón de la Fama</t>
  </si>
  <si>
    <t>Radioescucha reporta que siguen sin arreglar los semaforos que estan rumbo a Tulipanes por Chedraui, no funcionan</t>
  </si>
  <si>
    <t>Boletín 1060 :Julio Menchaca acompaña la inauguración del tren Buenavista–AIFA, AUDIO APOYO</t>
  </si>
  <si>
    <t>Desde este domingo 26 de abril, inició operaciones el Tren Felipe Ángeles, que conecta la terminal Buenavista, en la Ciudad de México, con el Aeropuerto Internacional Felipe Ángeles, en el municipio de Zumpango, en un recorrido de menos de una hora.La presidenta de México, Claudia Sheinbaum Pardo, encabezó el viaje inaugural, en medio de muestras de apoyo por parte de habitantes de comunidades cercanas al trayecto y dijo que esa base de Zumpango tenga el nombre de Clara Krause.El gobernador de Hidalgo, Julio Menchaca Salazar, calificó esta como una obra estratégica que fortalece la movilidad en la Zona Metropolitana del Valle de México. Como parte de su apertura, se anunció una tarifa promocional: 45 pesos por el recorrido completo y 11.50 pesos para viajes entre estaciones intermedias, en una ruta de 23.7 kilómetros que contempla 14 paradas. (Con audios de apoyo).</t>
  </si>
  <si>
    <t>La presidenta Claudia Sheinbaum Pardo acompañada por el general Ricardo Vallejo, comandante del Agrupamiento de Ingenieros Militares Felipe Ángeles; el gobernador Julio Menchaca y otros integrantes del gobierno federal, la mandataria detalló que éste proyecto es parte de una red de rutas ferroviarias: México-Pachuca, México-Nuevo Laredo, y México-Guadalajara</t>
  </si>
  <si>
    <t>Los integrantes del grupo musical "Fandango Musical" acusaron este fin de semana que se encuentran retenidos por pobladores de la comunidad Aquetzpalco, en Cuautla, Hidalgo, tras haber llegado tarde a una presentación debido a un percance vial. Las nueve víctimas afirmaron que para obtener su libertad les exigen un pago de 250 mil pesos como multa por presunto incumplimiento del contrato, AUDIO APOYO</t>
  </si>
  <si>
    <t>Usos y costumbres</t>
  </si>
  <si>
    <t>La presidenta de méxico, Claudia Sheinbaum Pardo, concluyó su gira de trabajo en hidalgo junto al gobernador Julio Menchaca Salazar, en el municipio de Acaxochitlán, donde se entregaron tarjetas de los programas para el bienestar. Durante el evento, la mandataria federal informó sobre acciones en infraestructura carretera y reiteró la continuidad de los programas sociales impulsados desde la cuarta transformación.En su mensaje, el gobernador aseguró que la presidenta cuenta con aliados en hidalgo y destacó el respaldo del gobierno de méxico tras las afectaciones por la vaguada monzónica, que impactó a miles de familias en 28 municipios.El secretario de infraestructura, Jesús Antonio Esteva Medina, anunció una inversión de más de mil 200 millones de pesos para atender 322 kilómetros de carreteras en hidalgo. Con audios de apoyo</t>
  </si>
  <si>
    <t>Desde la Sierra Otomí-Tepehua, la presidenta de México, Claudia Sheinbaum Pardo, y el gobernador Julio Menchaca Salazar, reafirmaron el compromiso de atender a las familias damnificadas, con una inversión superior a los 8 mil millones de pesos para este 2026.El plan contempla la reconstrucción de infraestructura dañada, luego de las lluvias que impactaron 28 municipios de Hidalgo, así como otras entidades del país, informó el gobernador de Hidalgo. La Secretaría de Infraestructura, Comunicaciones y Transportes informó que, de mayo a diciembre, se rehabilitarán 50 puentes y se ejecutarán mil 295 acciones en más de 2 mil kilómetros de carreteras estatales y federales.Además, se mantienen en marcha proyectos estratégicos como carreteras, caminos artesanales y el Tren AIFA-Pachuca, como parte de una inversión federal total que supera los 41 mil millones de pesos en la entidad. (Con audios de apoyo).</t>
  </si>
  <si>
    <t>El presidente de la Suprema Corte, hugo aguilar, acusó que en méxico se han enquistado la corrupción y la deshonestidad, por lo que —dijo— se requieren tribunales que vigilen a quienes imparten justicia.al encabezar la ceremonia de instalación de la visitaduría regional del órgano de evaluación del desempeño judicial región Centro — Bajío, en Pachuca, Hidalgo, el presidente de la corte planteó que sería ideal que se trabajara sin órganos como el tribunal de disciplina judicial. Audios de apoyo</t>
  </si>
  <si>
    <t>Visitaduría Judicial</t>
  </si>
  <si>
    <t>Un hombre fue detenido en el municipio de Actopan tras ser sorprendido en posesión de una motocicleta con reporte de robo y presuntas sustancias ilícitas. Los hechos ocurrieron sobre la calle Cuauhtémoc, en la colonia Rojo Gómez, donde elementos de Seguridad Pública y Tránsito realizaban un recorrido de vigilancia.</t>
  </si>
  <si>
    <t>Durante la madrugada de este domingo 26 de abril, un vehículo fue reportado como volcado y aparentemente abandonado sobre la autopista México-Pachuca. Conductores que circulaban por la zona, informaron a los números de emergencia. Elementos de la Guardia Nacional División Carreteras se movilizaron hasta el kilómetro 51 de la autopista, en la zona del municipio de Tizayuca, en dirección a la capital hidalguense.</t>
  </si>
  <si>
    <t>Accidente Carretero</t>
  </si>
  <si>
    <t>Un automóvil con daños graves en su carrocería fue localizado a un costado de la carretera federal México – Laredo, a la altura de las curvas de Pastores en el municipio de Ixmiquilpan, sin presencia de personas en su interior. La unidad motora presentaba los principales daños en el cofre, así como signos de golpes y vidrios rotos en otras partes. Al sitio acudieron elementos policiacos a atender reporte al respecto; al momento de revisar la unidad no localizaron a persona alguna en su interior. Se hizo una revisión en los alrededores para verificar si existía alguna persona, incluso lesionada, pero sin ubicar a nadie.</t>
  </si>
  <si>
    <t>La noche de este viernes se registró un accidente sobre la carretera federal México–Laredo, a la altura de la comunidad de Lagunilla en el municipio de San Salvador, donde un camión de transporte público impactó a una motocicleta. De acuerdo con los primeros reportes, en el lugar fueron localizados dos menores lesionados, identificados por sus iniciales como E.S.M., de 16 años, y K.Y.S.C., de 15 años, quienes viajaban a bordo de una motocicleta Italika 250Z color verde con gris, sin placas de circulación.</t>
  </si>
  <si>
    <t>Dos automóviles estuvieron involucrados en un accidente vehicular ocurrido sobre la carretera Mixquiahuala–Tlahuelilpan, a la altura del sitio conocido como Los Hoyos. El accidente se registró durante la madrugada del sábado 25 de abril, estando involucrados un automóvil un Dodge Stratus y un Mazda en el que viajaban dos mujeres. De acuerdo con versiones preliminares, el conductor del Dodge Stratus habría salido sin precaución desde el bulevar que conecta hacia Tezontepec de Aldama, lo que provocó el impacto contra el otro vehículo que circulaba sobre la vía principal.</t>
  </si>
  <si>
    <t>Cinco personas fueron trasladadas para recibir atención médica, luego de que la camioneta donde viajaban chocara contra un árbol sobre el tramo carretero Tula–Tlahuelilpan, a la altura del punto conocido como Los Manantiales. Al sitio acudieron elementos policiacos luego de recibir reporte sobre el accidente, confirmando que la camioneta Toyota, de color rojo y con placas del estado de Chihuahua estaba chocada contra un árbol ubicado a un costado de la vialidad citada.</t>
  </si>
  <si>
    <t>La automovilista entró al Acceso C del parque, donde no está permitido el paso de vehículos automotores, por lo que al intentar salir, terminó volcando en el borde de la fuente citada. Debido a la estructura del sitio, que incluye un desnivel marcado por el cordón cuneta y jardineras, el automóvil quedó parcialmente suspendido, con una de sus llantas delanteras en el aire y el resto del vehículo detenido justo en el borde del agua. Elementos de seguridad acudieron para atender el incidente, realizando maniobras para estabilizar el vehículo y asegurar su posición, con el objetivo de prevenir una caída.</t>
  </si>
  <si>
    <t>Ben Gurión</t>
  </si>
  <si>
    <t>Boletín 1639: Realiza CECyTE Hidalgo concurso estatal de creatividad 2026</t>
  </si>
  <si>
    <t>Justa Académica</t>
  </si>
  <si>
    <t>Estructuras colocadas sobre viviendas en el municipio de Pachuca serán retiradas por el gobierno municipal debido a que representan un riesgo, además que están prohibidas, de acuerdo a lo establecido en la Ley de Imagen Urbana para el Estado de Hidalgo. Lo anterior fue informado por el alcalde Jorge Reyes Hernández, enfatizando que alguna fuerte racha de viento pueden provocar la caída de las estructuras, poniendo en riesgo la integridad de la población. Reyes Hernández señaló que únicamente se permiten estructuras que cumplen con especificaciones técnicas y cuentan con soporte fijo adecuado. Detalló que estas estructuras se han detectado principalmente en vialidades como Felipe Ángeles, bulevar Colosio y Everardo Márquez, donde ya comenzaron las notificaciones para que los propietarios retiren la publicidad.</t>
  </si>
  <si>
    <t>Imagen Urbana</t>
  </si>
  <si>
    <t>El diputado en el Congreso del Estado de Hidalgo, Marco Antonio Mendoza Bustamante, presentó iniciativa para reconocer a las corridas de toros como patrimonio cultural inmaterial, a la cual se sumaron algunos legisladores que anteriormente mostraron respaldo a prohibir dicha actividad. Al respecto, Mendoza Bustamante argumentó que en el transcurso de un año las y los legisladores tuvieron la oportunidad de “reflexionar” su voto. La propuesta busca reformar la Ley de Cultura y Derechos Culturales del Estado en materia de patrimonio inmaterial. El objetivo es incorporar de manera formal ocho expresiones culturales: el pulque, la barbacoa, el zacahuil, el ximbo, la fiesta brava, las peleas de gallos, los tianguis tradicionales y la medicina tradicional. De acuerdo con el planteamiento, la intención es salvaguardar tradiciones y conocimientos frente a procesos de globalización, fortalecer la identidad y cohesión social, así como garantizar la transmisión generacional de saberes.</t>
  </si>
  <si>
    <t>El paciente humano detectado con gusano barrenador en el Estado de Hidalgo ya fue dado de alta, confirmó la titular de la Secretaría de Salud en la entidad, Vanesa Escalante Arroyo. En días anteriores se confirmó el caso, que se presentó en el municipio de Tenango de Doria, ubicado en el Sierra Otomí Tepehua. “Está en seguimiento (el paciente), en atención, se refirió a la institución de IMSS Bienestar donde se dieron todas las atenciones, se le otorgó un tratamiento y donde él mismo solicitó el alta definitiva”, aseguró la funcionaria estatal. El paciente atendido, un hombre de 57 años de edad, contaba con una herida crónica, desde hace tiempo, lo que aprovechó el gusano barrenador para introducirse al cuerpo, provocando el caso.</t>
  </si>
  <si>
    <t>El gobernador de Hidalgo, Julio Menchaca Salazar, señaló que la rescisión del comodato del edificio ocupado por la Fundación Arturo Herrera Cañas (FAHC) no tiene tintes políticos, sino que responde a una obligación de poner orden administrativo. “Ya sea por fundaciones que no cumplieron con el objetivo. Mi obligación como gobernador, y es un compromiso, es ponerle orden precisamente a esto. Este es uno más”. En días recientes, el coordinador general jurídico del gobierno estatal, Raúl Serret Lara, señaló que el proceso de rescisión del comodato hacia la Fundación se inició tras detectar la operación de una cafetería sin permisos por parte del municipio al interior del edificio. Dicho espacio, ubicado en el centro de la ciudad de Pachuca, ha sido ocupado por la FAHC, a partir del comodato que recientemente se le está retirando.</t>
  </si>
  <si>
    <t>Daniel Martínez señala que continúa la molestia por parte de habitantes de la Zona de La Minera, pues no tienen señal telefónica a causa de los bloqueadores de señal que ponen las autoridades para inhibir la salida de llamadas desde el Cereso.</t>
  </si>
  <si>
    <t>Inhibidor de señal</t>
  </si>
  <si>
    <t>Pachuca se colocó entre las ciudades del país que registraron una disminución en la percepción de inseguridad durante el primer trimestre de 2026, de acuerdo con datos de la Encuesta Nacional de Seguridad Pública Urbana del INEGI. Entre diciembre de 2025 y marzo de 2026, la capital hidalguense pasó de 59.9 a 50.0 por ciento en este indicador, lo que representa una reducción cercana a los 10 puntos porcentuales y uno de los avances más notorios a nivel nacional en ese periodo. Con este resultado, la ciudad se ubica dentro del grupo de 15 zonas urbanas de un total de 91 evaluadas que lograron una mejora significativa en la percepción ciudadana sobre seguridad, en un contexto donde la mayoría no reportó cambios o incluso presentó incrementos. Sin embargo, al comparar con marzo de 2025, cuando el indicador se situó en 51.2 por ciento, la variación es mínima, lo que sugiere que la baja reciente podría responder más a un ajuste temporal que a una tendencia sostenida.</t>
  </si>
  <si>
    <t>Boletín 1054: Julio Menchaca acompaña instalación de la Visitaduría Regional del Órgano de Evaluación del Desempeño Judicial en Pachuca</t>
  </si>
  <si>
    <t>Daniel Martínez comenta que durante la visita de la presidenta, Claudia Sheinbaum a hidalgo se le acercó e interrogó si se vislumbran cambios en su gabinete después de la salida de la secretaria de las Mujeres, Citlali Hernández para integrarse a la dirigencia nacional de Morena; la salida de Luis María Alcalde como dirigente de este instituto político para integrarse ala Consejería jurídica y la posible llegada de la actual secretaria del Bienestar Ariadna Montiel a la dirigencia de Morena; pero la presidenta no contestó absolutamente nada y los silencios también hablan.</t>
  </si>
  <si>
    <t>Cambios En El Gabinete</t>
  </si>
  <si>
    <t>La construcción del Tren Ciudad de México-Pachuca registra un avance en su construcción del 30 por ciento, se informó durante la visita de inspección realizada por la Presidenta de México, Claudia Sheinbaum Pardo, al Estado de Hidalgo, este viernes 24 de abril. Recibida por el Gobernador Julio Menchaca Salazar en el municipio de Villa de Tezontepec, la titular del Poder Ejecutivo del Estado de Hidalgo tendrá una extensión de 58 kilómetros. En el recorrido se conectará la capital del Estado de Hidalgo con con el Aeropuerto Internacional Felipe Ángeles (AIFA) y será operado por el Fondo Nacional de Infraestructura, así como sucederá con el tramo que va del AIFA a Buenavista. Andrés Lajous Loaeza, titular de la Agencia de Trenes y Transporte Público Integrado, explicó que el tren de pasajeros atenderá alrededor de 107 mil personas, quienes podrán viajar en los 15 trenes eléctricos que contarán con 281 asientos fijos. Menchaca Salazar recordó que es la décima cuarta ocasión que Sheinbaum Pardo visita el Estado de Hidalgo, “usted está cumpliendo ese compromiso que hizo de saldar la deuda histórica que hay con nuestra entidad, y no solamente con ese sentimiento de solidaridad, sino con inversiones muy importantes”.</t>
  </si>
  <si>
    <t>42 millones de personas que viven en México son beneficiarios de alguno de los programas sociales a cargo del Gobierno de México, enfatizó la Presidenta Claudia Sheinbaum Pardo durante visita al municipio de Singuilucan, este viernes 24 de abril. Acompañada por el Gobernador Julio Menchaca Salazar y la alcaldesa Yazmín Dávila López, la titular del Poder Ejecutivo Federal hizo entrega simbólica de tarjetas de los Programas para el Bienestar para beneficiarios que viven en el municipio. Sheinbaum Pardo recapituló que los Programas del Bienestar a cargo del Gobierno de México benefician a sectores de la población como personas adultas mayores, estudiantes de todos los niveles, personas con discapacidad, productoras y productores del campo, por mencionar algunos de estos. El Gobernador Menchaca Salazar dijo que la administración a su cargo sigue el ejemplo de la Federación y destinará cerca de 5 mil millones de pesos en programas sociales durante el presente año. “En 2022, recibimos una administración que dirigía programas sociales por un poco más de mil millones. Para 2026, presidenta, siguiendo su ejemplo, en Hidalgo, en alrededor de 100 programas, vamos a destinar casi 5 mil millones de pesos para atender a todos los sectores de la entidad”, enfatizó. Menchaca Salazar reconoció además que la mandataria federal desarrolla seis de sus 100 compromisos en territorio hidalguense, a fin de saldar una deuda histórica y equilibrar la lejanía que tenía el estado con el resto del país, impactando la vida de millones de habitantes.</t>
  </si>
  <si>
    <t>Centrado en la protección de la niñez y el fortalecimiento del tejido social, el Gobierno de Tulancingo pondrá en marcha la segunda edición de la campaña “Te veo, te creo, te escucho”, una estrategia integral orientada a prevenir el abuso sexual infantil en el municipio. El arranque se realizará en la primaria Pedro María Anaya, en Napateco, marcando el inicio de una intervención que llegará a diez escuelas de nivel básico, consolidando acciones directas en espacios educativos donde se forman niñas y niños. Este esfuerzo es resultado de la coordinación entre la Secretaría Ejecutiva de SIPINNA Tulancingo y la Fundación CENDES, de la Ciudad de México, alineado a la visión de la presidenta municipal, Lorena García Cázares, de impulsar políticas públicas con enfoque de derechos y atención preventiva.</t>
  </si>
  <si>
    <t>Protección al menor</t>
  </si>
  <si>
    <t>Vía telefónica el reporte de Bombero y Protección Civil con Abner Yáñez informa que se atendieron 5 incendios de llantas, 12 de pasto seco y basura, entre otras emergencias reportadas por la ciudadanía.</t>
  </si>
  <si>
    <t>Debido a que la Comisión Nacional del Agua (Conagua) considera que es una zona de veda, no se ha podido construir y equipar un pozo de agua para servicio habitantes de 21 localidades ubicadas al poniente de Singuilucan. Habitantes de dicha zona se manifestaron durante la visita de la Presidenta de México, Claudia Sheinbaum Pardo, el pasado viernes 24 de abril para exigir que se lleve a cabo la obra hidráulica. La Regidora Elizabeth Ortiz Espinosa, quien acompañaba a los manifestantes, explicó que durante el año 2024, en una visita de trabajo al municipio, el Gobernador de Hidalgo, Julio Menchaca Salazar, comprometió la operación de dos pozos para surtido de agua potable. Uno de los pozos, ubicado en la localidad de Somorriel y que sirve para surtir a habitantes de la cabecera municipal, ya está en funcionamiento. Pero el otro, proyectado para construirse en la localidad de Matías Rodríguez; ya se cuenta con la donación del terreno donde se ubicaría, que de acuerdo a los estudios respectivos, cumple con las normativas para la extracción de agua para consumo humano.</t>
  </si>
  <si>
    <t>El Gobierno de México invertirá mil 233 millones de pesos para realizar el programa Megabachetón, anunció el secretario de Infraestructura, Comunicaciones y Transporte, Jesús Antonio Esteva Medina. Lo anterior durante la visita de trabajo al municipio de Acaxochitlán, encabezada por la Presidenta de México, Claudia Sheinbaum Pardo, este sábado 25 de abril. El funcionario federal afirmó que con la inversión citada serán atendidas entre otras, la carretera Huejutla-Tamazunchale, la autopista Tulancingo-Nueva Necaxa, así como se desarrollará el Programa Nacional de Conservación de Carreteras, junto con el Megabachetón. Esteva Medina indicó que avanza la construcción de la carretera Huejutla-Tamazunchale, que representa 3 mil 779 millones de pesos de inversión en el Estado de Hidalgo. El evento también fue oportunidad para realizar un recuento de las labores realizadas en cuanto al desarrollo de los Programas del Bienestar a cargo del Gobierno de México. Al respecto, Ariadna Montiel Reyes, secretaria de Bienestar del Gobierno Federal, señaló que cerca de mil brigadas con 5 mil Servidores de la Nación se desplegaron en territorio hidalguense durante la emergencia por las lluvias.</t>
  </si>
  <si>
    <t>Previo a la llegada de la Presidenta de México, Claudia Sheinbaum Pardo, a Tenango de Doria, varias personas exhibieron cartulinas solicitando acelerar los trabajos de rehabilitación de infraestructura social y vialidades afectadas por las torrenciales lluvias registradas en la Sierra Otomí Tepehua del Estado de Hidalgo, en octubre del año pasado. También solicitaron llevar a cabo la reubicación de viviendas afectadas por las mismas lluvias, o que se encuentran en zonas de riesgo. Durante el evento, Sheinbaum Pardo comprometió inversión conjunta con el Gobierno de Hidalgo para llevar a cabo tanto las obras de rehabilitación, como la reubicación de viviendas. En este sentido, el Gobernador de Hidalgo, Julio Menchaca Salazar confirmó que ya existen recursos autorizados para las obras de recuperación en las regiones afectadas. Otro reclamo por parte de la población durante el evento en Tenango de Doria, fue la falta de medicamentos suficientes, lo cual fue señalado por una adulta mayor, habitante del municipio de San Bartolo Tutotepec. Sheinbaum contestó que “eso no puede ser” y explicó que el gobierno federal implementó el programa “Rutas de la Salud”, con el objetivo de abastecer medicamentos en todo el país especialmente en las comunidades más alejadas, y dijo, que cada lunes encabeza reuniones para revisar que hospitales y centros de salud cuenten medicinas.</t>
  </si>
  <si>
    <t>Alberto González destaca la gira de la presidenta Claudia Sheinbaum porque se tomó el tiempo de escuchar las quejas la población, lo cual ve muy bien porque esto habla de la cercanía y preocupación e la mandataria con la población. Resalta la queja por desabasto de medicamentos y el actuar de la presidenta. Es necesario que los alcaldes estén a la altura de la presidenta y en concordancia con su discurso.</t>
  </si>
  <si>
    <t>Boletín 1053: Menchaca Salazar refrenda alianza con el magisterio para impulsar la transformación educativa</t>
  </si>
  <si>
    <t>Andrés Torres en respuesta a un radioescucha que pregunta qué día de mayo será cuándo lleguen las nuevas unidades del Tuzobús, señala que aún no se sabe la fecha exacta, pero se dice que podría acudir al presiden te Claudia Sheinbaum para poner en marcha este nuevo grupo de vehículos.</t>
  </si>
  <si>
    <t>Celebra DIF Hidalgo a la niñez hidalguense</t>
  </si>
  <si>
    <t>La Unidad de Rehabilitación de Fauna Silvestre de Pachuca recibió un ejemplar de tigrillo proveniente de la UMA Selva Teenek Ecopark, ubicada en Ciudad Valles, San Luis Potosí, consolidando una acción de colaboración interinstitucional entre centros de rescate del país. El felino, identificado como Itzan, es un macho de 4 meses de edad que nació en dicho centro y fue trasladado a la capital hidalguense para integrarse a un programa especializado de rehabilitación en biosimuladores, donde permanecerá aproximadamente cinco meses antes de ser liberado en su hábitat natural en la Huasteca potosina.</t>
  </si>
  <si>
    <t>Rescate de especies</t>
  </si>
  <si>
    <t>La tarde de este domingo se registró el fallecimiento de un joven en la comunidad de San Miguel Cerezo, luego de que ingresó a la presa conocida como El Jaramillo y ya no logró salir.</t>
  </si>
  <si>
    <t>Rescate de cuerpo</t>
  </si>
  <si>
    <t>Consolidan Sheinbaum y Menchaca obras y programas en Hidalgo. La presidenta de México, Claudia Sheinbaum Pardo, y el gobernador de Hidalgo, Julio Menchaca Salazar, encabezaron una gira de trabajo en la entidad con anuncios en materia de movilidad, programas sociales, deporte e infraestructura, con inversiones millonarias y proyectos de alto impacto regional. Durante el inicio de la gira, ambas autoridades supervisaron la construcción del tren de pasajeros Ciudad de México–Pachuca, que presenta un avance del 30 por ciento. El proyecto contempla un recorrido de más de 58 kilómetros y conectará la capital hidalguense con el Aeropuerto Internacional Felipe Ángeles (AIFA). El sistema contará con 15 trenes eléctricos, capacidad para más de 100 mil usuarios y una velocidad máxima de 130 kilómetros por hora. Autoridades federales informaron que el primer convoy llegará en septiembre. En el municipio de Singuilucan, se realizó la entrega de tarjetas de los Programas para el Bienestar. La presidenta destacó que estos apoyos benefician a millones de personas en todo el país. El gobernador anunció que Hidalgo destinará cerca de 5 mil millones de pesos en 2026 para programas sociales, lo que representa un incremento significativo respecto a años anteriores. Subrayó que el objetivo es atender a todos los sectores y reducir desigualdades (...)</t>
  </si>
  <si>
    <t>Boletín 1060: Hidalgo se conecta al futuro con la inauguración del tren Buenavista–AIFA</t>
  </si>
  <si>
    <t>Hidalgo abrió el medallero en la Olimpiada Nacional CONADE 2026, con el ciclismo, el cual le dio a la entidad sus primeras preseas. Se trata de: Jeencarlo Manuel Celaya Escarcega, campeón en contrarreloj cadete varonil; Valeria Quetzalí Domínguez, Oro en Jr. femenil, Emily Yamila Mendoza Martínez, con bronce en cadete femenil. Hablando precisamente de la Olimpiada Nacional CONADE 2026, así avanza el medallero donde el estado de Jalisco se mantiene en la cima con 196 medallas en total, 84 de oro, 58 de plata y 54 de bronce, en segundo lugar se posiciona Nuevo León con 11 preseas generales y Baja California Sur con 37 en el tercer lugar.</t>
  </si>
  <si>
    <t>El gobernador Julio Menchaca comparte en sus redes: Bienvenida a Hidalgo, presidenta Claudia Sheinbaum. Siempre es un gusto recibirla en esta tierra de trabajo, historia y transformación.</t>
  </si>
  <si>
    <t>La Secretaría de Seguridad Pública, Tránsito y Vialidad de Pachuca brindó atención a un ciudadano extranjero de 90 años de edad, quien acudió a las instalaciones de la corporación tras ser trasladado en un vehículo particular por un tercero.El masculino, identificado con las iniciales B.W.H. y de nacionalidad canadiense, solicitó apoyo al manifestar que presuntamente habría estado en una situación de restricción de su libertad en un domicilio ubicado en la zona de Carboneras, sin proporcionar mayores detalles. Asimismo, expresó su intención de regresar a su país de origen.Derivado de lo anterior, autoridades municipales establecieron contacto con la Embajada de Canadá y el Consulado en la Ciudad de México, quienes informaron que darían seguimiento al caso.</t>
  </si>
  <si>
    <t>Boletín 1637: Desarrollan ITESHU y CBTA 179 proyectos para mejorar cultivos en el Valle del Mezquital</t>
  </si>
  <si>
    <t>Estudiantes de CECyTEH se convierten en agentes de cambio con programa del IHM</t>
  </si>
  <si>
    <t>Erradicación Violencia De Género</t>
  </si>
  <si>
    <t>Con el objetivo de ampliar y fortalecer los servicios que se brindan a la población, esta semana, las unidades móviles gerontológicas del Instituto para la Atención de las y los Adultos Mayores del Estado visitaron los municipios de Tula de Allende y Tezontepec de Aldama. Durante estas jornadas, se llevaron a cabo valoraciones especializadas por parte del equipo de optometristas, quienes realizaron exámenes de la vista y entregaron lentes de manera gratuita a 150 personas mayores en ambos municipios. Al respecto, la titular Penélope Apodaca Cincel destacó que estas acciones contribuyen directamente a mejorar la calidad de vida de las y los beneficiarios al atender de manera oportuna sus necesidades visuales.</t>
  </si>
  <si>
    <t>Unidad móvil gerontológica</t>
  </si>
  <si>
    <t>Boletín 638: Más de mil libros fortalecen el acceso a la lectura entre juventudes hidalguense</t>
  </si>
  <si>
    <t>Cultura</t>
  </si>
  <si>
    <t>Fomento A La Lectura</t>
  </si>
  <si>
    <t>Boletín 1052: Enriquecen la actualización del Plan Estatal de Desarrollo en materia de Derechos Humanos</t>
  </si>
  <si>
    <t>Derechos Humanos</t>
  </si>
  <si>
    <t>El gobernador del estado de Hidalgo, Julio Menchaca Salazar, dio a conocer la visita de la presidenta Claudia Sheinbaum a Hidalgo este fin de semana, así como el respaldo del gobierno federal para impulsar acciones y programas en beneficio de la entidad.</t>
  </si>
  <si>
    <t>La mañana de este viernes se llevó a cabo la instalación de la Visitaduría Regional del Órgano de Evaluación del Desempeño Judicial Región Centro Bajío, con sede en Pachuca, Hidalgo, el acto contó con la presencia del gobernador del Estado, Julio Menchaca Salazar, así como del presidente de la Suprema Corte de Justicia, el ministro Hugo Aguilar Ortiz, además de autoridades del ámbito judicial, quienes destacaron la importancia de fortalecer los mecanismos de supervisión y evaluación dentro del sistema de justicia.</t>
  </si>
  <si>
    <t>La mañana de este viernes dieron inicio los festejos por el día del niño en Hidalgo, encabezados por la presidenta del patronato del sistema estatal, Edda Vite Ramos. Durante el arranque se llevaron a cabo diversas actividades recreativas dirigidas a niñas y niños en un ambiente familiar que buscó promover la convivencia y el bienestar de la niñez hidalguense.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</si>
</sst>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06" tableType="queryTable" totalsRowShown="0">
  <autoFilter ref="A1:M206" xr:uid="{717AF3FA-E95C-4D17-A1C9-B8D7CBE34EF0}"/>
  <sortState xmlns:xlrd2="http://schemas.microsoft.com/office/spreadsheetml/2017/richdata2" ref="A2:M206">
    <sortCondition ref="B1:B206"/>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06"/>
  <sheetViews>
    <sheetView tabSelected="1" topLeftCell="A97" workbookViewId="0">
      <selection activeCell="D206" sqref="D206"/>
    </sheetView>
  </sheetViews>
  <sheetFormatPr baseColWidth="10" defaultRowHeight="15" x14ac:dyDescent="0.25"/>
  <cols>
    <col min="1" max="1" width="10.42578125" bestFit="1" customWidth="1"/>
    <col min="2" max="2" width="11.42578125" bestFit="1" customWidth="1"/>
    <col min="3" max="3" width="27.28515625" bestFit="1" customWidth="1"/>
    <col min="4" max="4" width="29.4257812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61</v>
      </c>
      <c r="C1" t="s">
        <v>62</v>
      </c>
      <c r="D1" t="s">
        <v>63</v>
      </c>
      <c r="E1" t="s">
        <v>1</v>
      </c>
      <c r="F1" t="s">
        <v>2</v>
      </c>
      <c r="G1" t="s">
        <v>4</v>
      </c>
      <c r="H1" t="s">
        <v>3</v>
      </c>
      <c r="I1" t="s">
        <v>5</v>
      </c>
      <c r="J1" t="s">
        <v>64</v>
      </c>
      <c r="K1" t="s">
        <v>65</v>
      </c>
      <c r="L1" t="s">
        <v>66</v>
      </c>
      <c r="M1" t="s">
        <v>74</v>
      </c>
    </row>
    <row r="2" spans="1:13" x14ac:dyDescent="0.25">
      <c r="A2" s="1">
        <v>46139</v>
      </c>
      <c r="B2" s="1" t="str">
        <f ca="1">IF(Información1[[#This Row],[Fecha]]='Ajuste de fechas'!$A$2,"Día actual","Día anterior")</f>
        <v>Día actual</v>
      </c>
      <c r="C2" s="3" t="s">
        <v>48</v>
      </c>
      <c r="D2" t="s">
        <v>51</v>
      </c>
      <c r="E2" s="3" t="s">
        <v>228</v>
      </c>
      <c r="F2" s="3" t="s">
        <v>23</v>
      </c>
      <c r="G2" s="3" t="s">
        <v>229</v>
      </c>
      <c r="H2" s="3" t="s">
        <v>11</v>
      </c>
      <c r="I2" s="3" t="s">
        <v>7</v>
      </c>
      <c r="J2" s="3" t="s">
        <v>72</v>
      </c>
      <c r="K2" s="3" t="s">
        <v>49</v>
      </c>
      <c r="L2" s="3" t="s">
        <v>68</v>
      </c>
      <c r="M2">
        <v>1</v>
      </c>
    </row>
    <row r="3" spans="1:13" x14ac:dyDescent="0.25">
      <c r="A3" s="1">
        <v>46139</v>
      </c>
      <c r="B3" s="1" t="str">
        <f ca="1">IF(Información1[[#This Row],[Fecha]]='Ajuste de fechas'!$A$2,"Día actual","Día anterior")</f>
        <v>Día actual</v>
      </c>
      <c r="C3" s="3" t="s">
        <v>48</v>
      </c>
      <c r="D3" t="s">
        <v>51</v>
      </c>
      <c r="E3" s="3" t="s">
        <v>230</v>
      </c>
      <c r="F3" s="3" t="s">
        <v>19</v>
      </c>
      <c r="G3" s="3" t="s">
        <v>231</v>
      </c>
      <c r="H3" s="3" t="s">
        <v>11</v>
      </c>
      <c r="I3" s="3" t="s">
        <v>7</v>
      </c>
      <c r="J3" s="3" t="s">
        <v>71</v>
      </c>
      <c r="K3" s="3" t="s">
        <v>49</v>
      </c>
      <c r="L3" s="3" t="s">
        <v>68</v>
      </c>
      <c r="M3">
        <v>1</v>
      </c>
    </row>
    <row r="4" spans="1:13" x14ac:dyDescent="0.25">
      <c r="A4" s="1">
        <v>46139</v>
      </c>
      <c r="B4" s="1" t="str">
        <f ca="1">IF(Información1[[#This Row],[Fecha]]='Ajuste de fechas'!$A$2,"Día actual","Día anterior")</f>
        <v>Día actual</v>
      </c>
      <c r="C4" s="3" t="s">
        <v>48</v>
      </c>
      <c r="D4" t="s">
        <v>51</v>
      </c>
      <c r="E4" s="3" t="s">
        <v>232</v>
      </c>
      <c r="F4" s="3" t="s">
        <v>21</v>
      </c>
      <c r="G4" s="3" t="s">
        <v>132</v>
      </c>
      <c r="H4" s="3" t="s">
        <v>11</v>
      </c>
      <c r="I4" s="3" t="s">
        <v>7</v>
      </c>
      <c r="J4" s="3" t="s">
        <v>67</v>
      </c>
      <c r="K4" s="3" t="s">
        <v>49</v>
      </c>
      <c r="L4" s="3" t="s">
        <v>68</v>
      </c>
      <c r="M4">
        <v>1</v>
      </c>
    </row>
    <row r="5" spans="1:13" x14ac:dyDescent="0.25">
      <c r="A5" s="1">
        <v>46139</v>
      </c>
      <c r="B5" s="1" t="str">
        <f ca="1">IF(Información1[[#This Row],[Fecha]]='Ajuste de fechas'!$A$2,"Día actual","Día anterior")</f>
        <v>Día actual</v>
      </c>
      <c r="C5" s="3" t="s">
        <v>31</v>
      </c>
      <c r="D5" t="s">
        <v>33</v>
      </c>
      <c r="E5" s="3" t="s">
        <v>233</v>
      </c>
      <c r="F5" s="3" t="s">
        <v>87</v>
      </c>
      <c r="G5" s="3" t="s">
        <v>83</v>
      </c>
      <c r="H5" s="3" t="s">
        <v>11</v>
      </c>
      <c r="I5" s="3" t="s">
        <v>7</v>
      </c>
      <c r="J5" s="3" t="s">
        <v>67</v>
      </c>
      <c r="K5" s="3" t="s">
        <v>32</v>
      </c>
      <c r="L5" s="3" t="s">
        <v>70</v>
      </c>
      <c r="M5">
        <v>1</v>
      </c>
    </row>
    <row r="6" spans="1:13" x14ac:dyDescent="0.25">
      <c r="A6" s="1">
        <v>46139</v>
      </c>
      <c r="B6" s="1" t="str">
        <f ca="1">IF(Información1[[#This Row],[Fecha]]='Ajuste de fechas'!$A$2,"Día actual","Día anterior")</f>
        <v>Día actual</v>
      </c>
      <c r="C6" s="3" t="s">
        <v>31</v>
      </c>
      <c r="D6" t="s">
        <v>33</v>
      </c>
      <c r="E6" s="3" t="s">
        <v>234</v>
      </c>
      <c r="F6" s="3" t="s">
        <v>118</v>
      </c>
      <c r="G6" s="3" t="s">
        <v>235</v>
      </c>
      <c r="H6" s="3" t="s">
        <v>11</v>
      </c>
      <c r="I6" s="3" t="s">
        <v>7</v>
      </c>
      <c r="J6" s="3" t="s">
        <v>67</v>
      </c>
      <c r="K6" s="3" t="s">
        <v>32</v>
      </c>
      <c r="L6" s="3" t="s">
        <v>70</v>
      </c>
      <c r="M6">
        <v>1</v>
      </c>
    </row>
    <row r="7" spans="1:13" x14ac:dyDescent="0.25">
      <c r="A7" s="1">
        <v>46139</v>
      </c>
      <c r="B7" s="1" t="str">
        <f ca="1">IF(Información1[[#This Row],[Fecha]]='Ajuste de fechas'!$A$2,"Día actual","Día anterior")</f>
        <v>Día actual</v>
      </c>
      <c r="C7" s="3" t="s">
        <v>31</v>
      </c>
      <c r="D7" t="s">
        <v>33</v>
      </c>
      <c r="E7" s="3" t="s">
        <v>236</v>
      </c>
      <c r="F7" s="3" t="s">
        <v>24</v>
      </c>
      <c r="G7" s="3" t="s">
        <v>78</v>
      </c>
      <c r="H7" s="3" t="s">
        <v>11</v>
      </c>
      <c r="I7" s="3" t="s">
        <v>7</v>
      </c>
      <c r="J7" s="3" t="s">
        <v>67</v>
      </c>
      <c r="K7" s="3" t="s">
        <v>32</v>
      </c>
      <c r="L7" s="3" t="s">
        <v>70</v>
      </c>
      <c r="M7">
        <v>1</v>
      </c>
    </row>
    <row r="8" spans="1:13" x14ac:dyDescent="0.25">
      <c r="A8" s="1">
        <v>46139</v>
      </c>
      <c r="B8" s="1" t="str">
        <f ca="1">IF(Información1[[#This Row],[Fecha]]='Ajuste de fechas'!$A$2,"Día actual","Día anterior")</f>
        <v>Día actual</v>
      </c>
      <c r="C8" s="3" t="s">
        <v>31</v>
      </c>
      <c r="D8" t="s">
        <v>33</v>
      </c>
      <c r="E8" s="3" t="s">
        <v>237</v>
      </c>
      <c r="F8" s="3" t="s">
        <v>24</v>
      </c>
      <c r="G8" s="3" t="s">
        <v>238</v>
      </c>
      <c r="H8" s="3" t="s">
        <v>11</v>
      </c>
      <c r="I8" s="3" t="s">
        <v>7</v>
      </c>
      <c r="J8" s="3" t="s">
        <v>67</v>
      </c>
      <c r="K8" s="3" t="s">
        <v>32</v>
      </c>
      <c r="L8" s="3" t="s">
        <v>70</v>
      </c>
      <c r="M8">
        <v>1</v>
      </c>
    </row>
    <row r="9" spans="1:13" x14ac:dyDescent="0.25">
      <c r="A9" s="1">
        <v>46139</v>
      </c>
      <c r="B9" s="1" t="str">
        <f ca="1">IF(Información1[[#This Row],[Fecha]]='Ajuste de fechas'!$A$2,"Día actual","Día anterior")</f>
        <v>Día actual</v>
      </c>
      <c r="C9" s="3" t="s">
        <v>31</v>
      </c>
      <c r="D9" t="s">
        <v>33</v>
      </c>
      <c r="E9" s="3" t="s">
        <v>239</v>
      </c>
      <c r="F9" s="3" t="s">
        <v>240</v>
      </c>
      <c r="G9" s="3" t="s">
        <v>241</v>
      </c>
      <c r="H9" s="3" t="s">
        <v>11</v>
      </c>
      <c r="I9" s="3" t="s">
        <v>7</v>
      </c>
      <c r="J9" s="3" t="s">
        <v>67</v>
      </c>
      <c r="K9" s="3" t="s">
        <v>32</v>
      </c>
      <c r="L9" s="3" t="s">
        <v>70</v>
      </c>
      <c r="M9">
        <v>1</v>
      </c>
    </row>
    <row r="10" spans="1:13" x14ac:dyDescent="0.25">
      <c r="A10" s="1">
        <v>46139</v>
      </c>
      <c r="B10" s="1" t="str">
        <f ca="1">IF(Información1[[#This Row],[Fecha]]='Ajuste de fechas'!$A$2,"Día actual","Día anterior")</f>
        <v>Día actual</v>
      </c>
      <c r="C10" s="3" t="s">
        <v>31</v>
      </c>
      <c r="D10" t="s">
        <v>33</v>
      </c>
      <c r="E10" s="3" t="s">
        <v>242</v>
      </c>
      <c r="F10" s="3" t="s">
        <v>28</v>
      </c>
      <c r="G10" s="3" t="s">
        <v>243</v>
      </c>
      <c r="H10" s="3" t="s">
        <v>11</v>
      </c>
      <c r="I10" s="3" t="s">
        <v>7</v>
      </c>
      <c r="J10" s="3" t="s">
        <v>67</v>
      </c>
      <c r="K10" s="3" t="s">
        <v>32</v>
      </c>
      <c r="L10" s="3" t="s">
        <v>70</v>
      </c>
      <c r="M10">
        <v>1</v>
      </c>
    </row>
    <row r="11" spans="1:13" x14ac:dyDescent="0.25">
      <c r="A11" s="1">
        <v>46139</v>
      </c>
      <c r="B11" s="1" t="str">
        <f ca="1">IF(Información1[[#This Row],[Fecha]]='Ajuste de fechas'!$A$2,"Día actual","Día anterior")</f>
        <v>Día actual</v>
      </c>
      <c r="C11" s="3" t="s">
        <v>31</v>
      </c>
      <c r="D11" t="s">
        <v>33</v>
      </c>
      <c r="E11" s="3" t="s">
        <v>244</v>
      </c>
      <c r="F11" s="3" t="s">
        <v>28</v>
      </c>
      <c r="G11" s="3" t="s">
        <v>105</v>
      </c>
      <c r="H11" s="3" t="s">
        <v>11</v>
      </c>
      <c r="I11" s="3" t="s">
        <v>7</v>
      </c>
      <c r="J11" s="3" t="s">
        <v>67</v>
      </c>
      <c r="K11" s="3" t="s">
        <v>32</v>
      </c>
      <c r="L11" s="3" t="s">
        <v>70</v>
      </c>
      <c r="M11">
        <v>1</v>
      </c>
    </row>
    <row r="12" spans="1:13" x14ac:dyDescent="0.25">
      <c r="A12" s="1">
        <v>46139</v>
      </c>
      <c r="B12" s="1" t="str">
        <f ca="1">IF(Información1[[#This Row],[Fecha]]='Ajuste de fechas'!$A$2,"Día actual","Día anterior")</f>
        <v>Día actual</v>
      </c>
      <c r="C12" s="3" t="s">
        <v>48</v>
      </c>
      <c r="D12" t="s">
        <v>50</v>
      </c>
      <c r="E12" s="3" t="s">
        <v>245</v>
      </c>
      <c r="F12" s="3" t="s">
        <v>23</v>
      </c>
      <c r="G12" s="3" t="s">
        <v>246</v>
      </c>
      <c r="H12" s="3" t="s">
        <v>11</v>
      </c>
      <c r="I12" s="3" t="s">
        <v>7</v>
      </c>
      <c r="J12" s="3" t="s">
        <v>72</v>
      </c>
      <c r="K12" s="3" t="s">
        <v>49</v>
      </c>
      <c r="L12" s="3" t="s">
        <v>68</v>
      </c>
      <c r="M12">
        <v>1</v>
      </c>
    </row>
    <row r="13" spans="1:13" x14ac:dyDescent="0.25">
      <c r="A13" s="1">
        <v>46139</v>
      </c>
      <c r="B13" s="1" t="str">
        <f ca="1">IF(Información1[[#This Row],[Fecha]]='Ajuste de fechas'!$A$2,"Día actual","Día anterior")</f>
        <v>Día actual</v>
      </c>
      <c r="C13" s="3" t="s">
        <v>48</v>
      </c>
      <c r="D13" t="s">
        <v>50</v>
      </c>
      <c r="E13" s="3" t="s">
        <v>247</v>
      </c>
      <c r="F13" s="3" t="s">
        <v>23</v>
      </c>
      <c r="G13" s="3" t="s">
        <v>229</v>
      </c>
      <c r="H13" s="3" t="s">
        <v>11</v>
      </c>
      <c r="I13" s="3" t="s">
        <v>27</v>
      </c>
      <c r="J13" s="3" t="s">
        <v>72</v>
      </c>
      <c r="K13" s="3" t="s">
        <v>49</v>
      </c>
      <c r="L13" s="3" t="s">
        <v>68</v>
      </c>
      <c r="M13">
        <v>1</v>
      </c>
    </row>
    <row r="14" spans="1:13" x14ac:dyDescent="0.25">
      <c r="A14" s="1">
        <v>46139</v>
      </c>
      <c r="B14" s="1" t="str">
        <f ca="1">IF(Información1[[#This Row],[Fecha]]='Ajuste de fechas'!$A$2,"Día actual","Día anterior")</f>
        <v>Día actual</v>
      </c>
      <c r="C14" s="3" t="s">
        <v>48</v>
      </c>
      <c r="D14" t="s">
        <v>50</v>
      </c>
      <c r="E14" s="3" t="s">
        <v>248</v>
      </c>
      <c r="F14" s="3" t="s">
        <v>26</v>
      </c>
      <c r="G14" s="3" t="s">
        <v>249</v>
      </c>
      <c r="H14" s="3" t="s">
        <v>11</v>
      </c>
      <c r="I14" s="3" t="s">
        <v>7</v>
      </c>
      <c r="J14" s="3" t="s">
        <v>26</v>
      </c>
      <c r="K14" s="3" t="s">
        <v>49</v>
      </c>
      <c r="L14" s="3" t="s">
        <v>68</v>
      </c>
      <c r="M14">
        <v>1</v>
      </c>
    </row>
    <row r="15" spans="1:13" x14ac:dyDescent="0.25">
      <c r="A15" s="1">
        <v>46139</v>
      </c>
      <c r="B15" s="1" t="str">
        <f ca="1">IF(Información1[[#This Row],[Fecha]]='Ajuste de fechas'!$A$2,"Día actual","Día anterior")</f>
        <v>Día actual</v>
      </c>
      <c r="C15" s="3" t="s">
        <v>48</v>
      </c>
      <c r="D15" t="s">
        <v>50</v>
      </c>
      <c r="E15" s="3" t="s">
        <v>250</v>
      </c>
      <c r="F15" s="3" t="s">
        <v>19</v>
      </c>
      <c r="G15" s="3" t="s">
        <v>83</v>
      </c>
      <c r="H15" s="3" t="s">
        <v>11</v>
      </c>
      <c r="I15" s="3" t="s">
        <v>7</v>
      </c>
      <c r="J15" s="3" t="s">
        <v>71</v>
      </c>
      <c r="K15" s="3" t="s">
        <v>49</v>
      </c>
      <c r="L15" s="3" t="s">
        <v>68</v>
      </c>
      <c r="M15">
        <v>1</v>
      </c>
    </row>
    <row r="16" spans="1:13" x14ac:dyDescent="0.25">
      <c r="A16" s="1">
        <v>46139</v>
      </c>
      <c r="B16" s="1" t="str">
        <f ca="1">IF(Información1[[#This Row],[Fecha]]='Ajuste de fechas'!$A$2,"Día actual","Día anterior")</f>
        <v>Día actual</v>
      </c>
      <c r="C16" s="3" t="s">
        <v>48</v>
      </c>
      <c r="D16" t="s">
        <v>50</v>
      </c>
      <c r="E16" s="3" t="s">
        <v>251</v>
      </c>
      <c r="F16" s="3" t="s">
        <v>19</v>
      </c>
      <c r="G16" s="3" t="s">
        <v>252</v>
      </c>
      <c r="H16" s="3" t="s">
        <v>11</v>
      </c>
      <c r="I16" s="3" t="s">
        <v>27</v>
      </c>
      <c r="J16" s="3" t="s">
        <v>71</v>
      </c>
      <c r="K16" s="3" t="s">
        <v>49</v>
      </c>
      <c r="L16" s="3" t="s">
        <v>68</v>
      </c>
      <c r="M16">
        <v>1</v>
      </c>
    </row>
    <row r="17" spans="1:13" x14ac:dyDescent="0.25">
      <c r="A17" s="1">
        <v>46139</v>
      </c>
      <c r="B17" s="1" t="str">
        <f ca="1">IF(Información1[[#This Row],[Fecha]]='Ajuste de fechas'!$A$2,"Día actual","Día anterior")</f>
        <v>Día actual</v>
      </c>
      <c r="C17" s="3" t="s">
        <v>48</v>
      </c>
      <c r="D17" t="s">
        <v>50</v>
      </c>
      <c r="E17" s="3" t="s">
        <v>253</v>
      </c>
      <c r="F17" s="3" t="s">
        <v>240</v>
      </c>
      <c r="G17" s="3" t="s">
        <v>246</v>
      </c>
      <c r="H17" s="3" t="s">
        <v>11</v>
      </c>
      <c r="I17" s="3" t="s">
        <v>7</v>
      </c>
      <c r="J17" s="3" t="s">
        <v>67</v>
      </c>
      <c r="K17" s="3" t="s">
        <v>40</v>
      </c>
      <c r="L17" s="3" t="s">
        <v>68</v>
      </c>
      <c r="M17">
        <v>1</v>
      </c>
    </row>
    <row r="18" spans="1:13" x14ac:dyDescent="0.25">
      <c r="A18" s="1">
        <v>46139</v>
      </c>
      <c r="B18" s="1" t="str">
        <f ca="1">IF(Información1[[#This Row],[Fecha]]='Ajuste de fechas'!$A$2,"Día actual","Día anterior")</f>
        <v>Día actual</v>
      </c>
      <c r="C18" s="3" t="s">
        <v>48</v>
      </c>
      <c r="D18" t="s">
        <v>50</v>
      </c>
      <c r="E18" s="3" t="s">
        <v>254</v>
      </c>
      <c r="F18" s="3" t="s">
        <v>118</v>
      </c>
      <c r="G18" s="3" t="s">
        <v>246</v>
      </c>
      <c r="H18" s="3" t="s">
        <v>11</v>
      </c>
      <c r="I18" s="3" t="s">
        <v>7</v>
      </c>
      <c r="J18" s="3" t="s">
        <v>67</v>
      </c>
      <c r="K18" s="3" t="s">
        <v>40</v>
      </c>
      <c r="L18" s="3" t="s">
        <v>68</v>
      </c>
      <c r="M18">
        <v>1</v>
      </c>
    </row>
    <row r="19" spans="1:13" x14ac:dyDescent="0.25">
      <c r="A19" s="1">
        <v>46139</v>
      </c>
      <c r="B19" s="1" t="str">
        <f ca="1">IF(Información1[[#This Row],[Fecha]]='Ajuste de fechas'!$A$2,"Día actual","Día anterior")</f>
        <v>Día actual</v>
      </c>
      <c r="C19" s="3" t="s">
        <v>48</v>
      </c>
      <c r="D19" t="s">
        <v>50</v>
      </c>
      <c r="E19" s="3" t="s">
        <v>255</v>
      </c>
      <c r="F19" s="3" t="s">
        <v>28</v>
      </c>
      <c r="G19" s="3" t="s">
        <v>246</v>
      </c>
      <c r="H19" s="3" t="s">
        <v>11</v>
      </c>
      <c r="I19" s="3" t="s">
        <v>7</v>
      </c>
      <c r="J19" s="3" t="s">
        <v>67</v>
      </c>
      <c r="K19" s="3" t="s">
        <v>40</v>
      </c>
      <c r="L19" s="3" t="s">
        <v>68</v>
      </c>
      <c r="M19">
        <v>1</v>
      </c>
    </row>
    <row r="20" spans="1:13" x14ac:dyDescent="0.25">
      <c r="A20" s="1">
        <v>46139</v>
      </c>
      <c r="B20" s="1" t="str">
        <f ca="1">IF(Información1[[#This Row],[Fecha]]='Ajuste de fechas'!$A$2,"Día actual","Día anterior")</f>
        <v>Día actual</v>
      </c>
      <c r="C20" s="3" t="s">
        <v>48</v>
      </c>
      <c r="D20" t="s">
        <v>50</v>
      </c>
      <c r="E20" s="3" t="s">
        <v>256</v>
      </c>
      <c r="F20" s="3" t="s">
        <v>257</v>
      </c>
      <c r="G20" s="3" t="s">
        <v>246</v>
      </c>
      <c r="H20" s="3" t="s">
        <v>11</v>
      </c>
      <c r="I20" s="3" t="s">
        <v>7</v>
      </c>
      <c r="J20" s="3" t="s">
        <v>67</v>
      </c>
      <c r="K20" s="3" t="s">
        <v>40</v>
      </c>
      <c r="L20" s="3" t="s">
        <v>68</v>
      </c>
      <c r="M20">
        <v>1</v>
      </c>
    </row>
    <row r="21" spans="1:13" x14ac:dyDescent="0.25">
      <c r="A21" s="1">
        <v>46139</v>
      </c>
      <c r="B21" s="1" t="str">
        <f ca="1">IF(Información1[[#This Row],[Fecha]]='Ajuste de fechas'!$A$2,"Día actual","Día anterior")</f>
        <v>Día actual</v>
      </c>
      <c r="C21" s="3" t="s">
        <v>48</v>
      </c>
      <c r="D21" t="s">
        <v>50</v>
      </c>
      <c r="E21" s="3" t="s">
        <v>258</v>
      </c>
      <c r="F21" s="3" t="s">
        <v>257</v>
      </c>
      <c r="G21" s="3" t="s">
        <v>246</v>
      </c>
      <c r="H21" s="3" t="s">
        <v>11</v>
      </c>
      <c r="I21" s="3" t="s">
        <v>7</v>
      </c>
      <c r="J21" s="3" t="s">
        <v>67</v>
      </c>
      <c r="K21" s="3" t="s">
        <v>40</v>
      </c>
      <c r="L21" s="3" t="s">
        <v>68</v>
      </c>
      <c r="M21">
        <v>1</v>
      </c>
    </row>
    <row r="22" spans="1:13" x14ac:dyDescent="0.25">
      <c r="A22" s="1">
        <v>46139</v>
      </c>
      <c r="B22" s="1" t="str">
        <f ca="1">IF(Información1[[#This Row],[Fecha]]='Ajuste de fechas'!$A$2,"Día actual","Día anterior")</f>
        <v>Día actual</v>
      </c>
      <c r="C22" s="3" t="s">
        <v>48</v>
      </c>
      <c r="D22" t="s">
        <v>50</v>
      </c>
      <c r="E22" s="3" t="s">
        <v>237</v>
      </c>
      <c r="F22" s="3" t="s">
        <v>24</v>
      </c>
      <c r="G22" s="3" t="s">
        <v>238</v>
      </c>
      <c r="H22" s="3" t="s">
        <v>11</v>
      </c>
      <c r="I22" s="3" t="s">
        <v>7</v>
      </c>
      <c r="J22" s="3" t="s">
        <v>67</v>
      </c>
      <c r="K22" s="3" t="s">
        <v>40</v>
      </c>
      <c r="L22" s="3" t="s">
        <v>70</v>
      </c>
      <c r="M22">
        <v>1</v>
      </c>
    </row>
    <row r="23" spans="1:13" x14ac:dyDescent="0.25">
      <c r="A23" s="1">
        <v>46139</v>
      </c>
      <c r="B23" s="1" t="str">
        <f ca="1">IF(Información1[[#This Row],[Fecha]]='Ajuste de fechas'!$A$2,"Día actual","Día anterior")</f>
        <v>Día actual</v>
      </c>
      <c r="C23" s="3" t="s">
        <v>35</v>
      </c>
      <c r="D23" t="s">
        <v>38</v>
      </c>
      <c r="E23" s="3" t="s">
        <v>259</v>
      </c>
      <c r="F23" s="3" t="s">
        <v>23</v>
      </c>
      <c r="G23" s="3" t="s">
        <v>229</v>
      </c>
      <c r="H23" s="3" t="s">
        <v>11</v>
      </c>
      <c r="I23" s="3" t="s">
        <v>7</v>
      </c>
      <c r="J23" s="3" t="s">
        <v>72</v>
      </c>
      <c r="K23" s="3" t="s">
        <v>36</v>
      </c>
      <c r="L23" s="3" t="s">
        <v>68</v>
      </c>
      <c r="M23">
        <v>1</v>
      </c>
    </row>
    <row r="24" spans="1:13" x14ac:dyDescent="0.25">
      <c r="A24" s="1">
        <v>46139</v>
      </c>
      <c r="B24" s="1" t="str">
        <f ca="1">IF(Información1[[#This Row],[Fecha]]='Ajuste de fechas'!$A$2,"Día actual","Día anterior")</f>
        <v>Día actual</v>
      </c>
      <c r="C24" s="3" t="s">
        <v>8</v>
      </c>
      <c r="D24" t="s">
        <v>10</v>
      </c>
      <c r="E24" s="3" t="s">
        <v>260</v>
      </c>
      <c r="F24" s="3" t="s">
        <v>23</v>
      </c>
      <c r="G24" s="3" t="s">
        <v>229</v>
      </c>
      <c r="H24" s="3" t="s">
        <v>11</v>
      </c>
      <c r="I24" s="3" t="s">
        <v>27</v>
      </c>
      <c r="J24" s="3" t="s">
        <v>72</v>
      </c>
      <c r="K24" s="3" t="s">
        <v>14</v>
      </c>
      <c r="L24" s="3" t="s">
        <v>68</v>
      </c>
      <c r="M24">
        <v>1</v>
      </c>
    </row>
    <row r="25" spans="1:13" x14ac:dyDescent="0.25">
      <c r="A25" s="1">
        <v>46139</v>
      </c>
      <c r="B25" s="1" t="str">
        <f ca="1">IF(Información1[[#This Row],[Fecha]]='Ajuste de fechas'!$A$2,"Día actual","Día anterior")</f>
        <v>Día actual</v>
      </c>
      <c r="C25" s="3" t="s">
        <v>8</v>
      </c>
      <c r="D25" t="s">
        <v>10</v>
      </c>
      <c r="E25" s="3" t="s">
        <v>261</v>
      </c>
      <c r="F25" s="3" t="s">
        <v>17</v>
      </c>
      <c r="G25" s="3" t="s">
        <v>262</v>
      </c>
      <c r="H25" s="3" t="s">
        <v>11</v>
      </c>
      <c r="I25" s="3" t="s">
        <v>7</v>
      </c>
      <c r="J25" s="3" t="s">
        <v>67</v>
      </c>
      <c r="K25" s="3" t="s">
        <v>14</v>
      </c>
      <c r="L25" s="3" t="s">
        <v>68</v>
      </c>
      <c r="M25">
        <v>1</v>
      </c>
    </row>
    <row r="26" spans="1:13" x14ac:dyDescent="0.25">
      <c r="A26" s="1">
        <v>46139</v>
      </c>
      <c r="B26" s="1" t="str">
        <f ca="1">IF(Información1[[#This Row],[Fecha]]='Ajuste de fechas'!$A$2,"Día actual","Día anterior")</f>
        <v>Día actual</v>
      </c>
      <c r="C26" s="3" t="s">
        <v>8</v>
      </c>
      <c r="D26" t="s">
        <v>10</v>
      </c>
      <c r="E26" s="3" t="s">
        <v>263</v>
      </c>
      <c r="F26" s="3" t="s">
        <v>6</v>
      </c>
      <c r="G26" s="3" t="s">
        <v>264</v>
      </c>
      <c r="H26" s="3" t="s">
        <v>11</v>
      </c>
      <c r="I26" s="3" t="s">
        <v>27</v>
      </c>
      <c r="J26" s="3" t="s">
        <v>67</v>
      </c>
      <c r="K26" s="3" t="s">
        <v>14</v>
      </c>
      <c r="L26" s="3" t="s">
        <v>69</v>
      </c>
      <c r="M26">
        <v>1</v>
      </c>
    </row>
    <row r="27" spans="1:13" x14ac:dyDescent="0.25">
      <c r="A27" s="1">
        <v>46139</v>
      </c>
      <c r="B27" s="1" t="str">
        <f ca="1">IF(Información1[[#This Row],[Fecha]]='Ajuste de fechas'!$A$2,"Día actual","Día anterior")</f>
        <v>Día actual</v>
      </c>
      <c r="C27" s="3" t="s">
        <v>8</v>
      </c>
      <c r="D27" t="s">
        <v>10</v>
      </c>
      <c r="E27" s="3" t="s">
        <v>265</v>
      </c>
      <c r="F27" s="3" t="s">
        <v>15</v>
      </c>
      <c r="G27" s="3" t="s">
        <v>266</v>
      </c>
      <c r="H27" s="3" t="s">
        <v>11</v>
      </c>
      <c r="I27" s="3" t="s">
        <v>7</v>
      </c>
      <c r="J27" s="3" t="s">
        <v>67</v>
      </c>
      <c r="K27" s="3" t="s">
        <v>14</v>
      </c>
      <c r="L27" s="3" t="s">
        <v>68</v>
      </c>
      <c r="M27">
        <v>1</v>
      </c>
    </row>
    <row r="28" spans="1:13" x14ac:dyDescent="0.25">
      <c r="A28" s="1">
        <v>46139</v>
      </c>
      <c r="B28" s="1" t="str">
        <f ca="1">IF(Información1[[#This Row],[Fecha]]='Ajuste de fechas'!$A$2,"Día actual","Día anterior")</f>
        <v>Día actual</v>
      </c>
      <c r="C28" s="3" t="s">
        <v>8</v>
      </c>
      <c r="D28" t="s">
        <v>10</v>
      </c>
      <c r="E28" s="3" t="s">
        <v>20</v>
      </c>
      <c r="F28" s="3" t="s">
        <v>19</v>
      </c>
      <c r="G28" s="3" t="s">
        <v>58</v>
      </c>
      <c r="H28" s="3" t="s">
        <v>11</v>
      </c>
      <c r="I28" s="3" t="s">
        <v>12</v>
      </c>
      <c r="J28" s="3" t="s">
        <v>71</v>
      </c>
      <c r="K28" s="3" t="s">
        <v>14</v>
      </c>
      <c r="L28" s="3" t="s">
        <v>69</v>
      </c>
      <c r="M28">
        <v>1</v>
      </c>
    </row>
    <row r="29" spans="1:13" x14ac:dyDescent="0.25">
      <c r="A29" s="1">
        <v>46139</v>
      </c>
      <c r="B29" s="1" t="str">
        <f ca="1">IF(Información1[[#This Row],[Fecha]]='Ajuste de fechas'!$A$2,"Día actual","Día anterior")</f>
        <v>Día actual</v>
      </c>
      <c r="C29" s="3" t="s">
        <v>8</v>
      </c>
      <c r="D29" t="s">
        <v>10</v>
      </c>
      <c r="E29" s="3" t="s">
        <v>18</v>
      </c>
      <c r="F29" s="3" t="s">
        <v>19</v>
      </c>
      <c r="G29" s="3" t="s">
        <v>58</v>
      </c>
      <c r="H29" s="3" t="s">
        <v>11</v>
      </c>
      <c r="I29" s="3" t="s">
        <v>12</v>
      </c>
      <c r="J29" s="3" t="s">
        <v>71</v>
      </c>
      <c r="K29" s="3" t="s">
        <v>14</v>
      </c>
      <c r="L29" s="3" t="s">
        <v>69</v>
      </c>
      <c r="M29">
        <v>1</v>
      </c>
    </row>
    <row r="30" spans="1:13" x14ac:dyDescent="0.25">
      <c r="A30" s="1">
        <v>46139</v>
      </c>
      <c r="B30" s="1" t="str">
        <f ca="1">IF(Información1[[#This Row],[Fecha]]='Ajuste de fechas'!$A$2,"Día actual","Día anterior")</f>
        <v>Día actual</v>
      </c>
      <c r="C30" s="3" t="s">
        <v>8</v>
      </c>
      <c r="D30" t="s">
        <v>10</v>
      </c>
      <c r="E30" s="3" t="s">
        <v>56</v>
      </c>
      <c r="F30" s="3" t="s">
        <v>22</v>
      </c>
      <c r="G30" s="3" t="s">
        <v>58</v>
      </c>
      <c r="H30" s="3" t="s">
        <v>11</v>
      </c>
      <c r="I30" s="3" t="s">
        <v>12</v>
      </c>
      <c r="J30" s="3" t="s">
        <v>26</v>
      </c>
      <c r="K30" s="3" t="s">
        <v>14</v>
      </c>
      <c r="L30" s="3" t="s">
        <v>69</v>
      </c>
      <c r="M30">
        <v>1</v>
      </c>
    </row>
    <row r="31" spans="1:13" x14ac:dyDescent="0.25">
      <c r="A31" s="1">
        <v>46139</v>
      </c>
      <c r="B31" s="1" t="str">
        <f ca="1">IF(Información1[[#This Row],[Fecha]]='Ajuste de fechas'!$A$2,"Día actual","Día anterior")</f>
        <v>Día actual</v>
      </c>
      <c r="C31" s="3" t="s">
        <v>8</v>
      </c>
      <c r="D31" t="s">
        <v>10</v>
      </c>
      <c r="E31" s="3" t="s">
        <v>97</v>
      </c>
      <c r="F31" s="3" t="s">
        <v>21</v>
      </c>
      <c r="G31" s="3" t="s">
        <v>58</v>
      </c>
      <c r="H31" s="3" t="s">
        <v>11</v>
      </c>
      <c r="I31" s="3" t="s">
        <v>12</v>
      </c>
      <c r="J31" s="3" t="s">
        <v>67</v>
      </c>
      <c r="K31" s="3" t="s">
        <v>14</v>
      </c>
      <c r="L31" s="3" t="s">
        <v>69</v>
      </c>
      <c r="M31">
        <v>1</v>
      </c>
    </row>
    <row r="32" spans="1:13" x14ac:dyDescent="0.25">
      <c r="A32" s="1">
        <v>46139</v>
      </c>
      <c r="B32" s="1" t="str">
        <f ca="1">IF(Información1[[#This Row],[Fecha]]='Ajuste de fechas'!$A$2,"Día actual","Día anterior")</f>
        <v>Día actual</v>
      </c>
      <c r="C32" s="3" t="s">
        <v>8</v>
      </c>
      <c r="D32" t="s">
        <v>10</v>
      </c>
      <c r="E32" s="3" t="s">
        <v>13</v>
      </c>
      <c r="F32" s="3" t="s">
        <v>15</v>
      </c>
      <c r="G32" s="3" t="s">
        <v>58</v>
      </c>
      <c r="H32" s="3" t="s">
        <v>11</v>
      </c>
      <c r="I32" s="3" t="s">
        <v>12</v>
      </c>
      <c r="J32" s="3" t="s">
        <v>67</v>
      </c>
      <c r="K32" s="3" t="s">
        <v>14</v>
      </c>
      <c r="L32" s="3" t="s">
        <v>69</v>
      </c>
      <c r="M32">
        <v>1</v>
      </c>
    </row>
    <row r="33" spans="1:13" x14ac:dyDescent="0.25">
      <c r="A33" s="1">
        <v>46139</v>
      </c>
      <c r="B33" s="1" t="str">
        <f ca="1">IF(Información1[[#This Row],[Fecha]]='Ajuste de fechas'!$A$2,"Día actual","Día anterior")</f>
        <v>Día actual</v>
      </c>
      <c r="C33" s="3" t="s">
        <v>8</v>
      </c>
      <c r="D33" t="s">
        <v>10</v>
      </c>
      <c r="E33" s="3" t="s">
        <v>16</v>
      </c>
      <c r="F33" s="3" t="s">
        <v>17</v>
      </c>
      <c r="G33" s="3" t="s">
        <v>58</v>
      </c>
      <c r="H33" s="3" t="s">
        <v>11</v>
      </c>
      <c r="I33" s="3" t="s">
        <v>12</v>
      </c>
      <c r="J33" s="3" t="s">
        <v>67</v>
      </c>
      <c r="K33" s="3" t="s">
        <v>14</v>
      </c>
      <c r="L33" s="3" t="s">
        <v>69</v>
      </c>
      <c r="M33">
        <v>1</v>
      </c>
    </row>
    <row r="34" spans="1:13" x14ac:dyDescent="0.25">
      <c r="A34" s="1">
        <v>46139</v>
      </c>
      <c r="B34" s="1" t="str">
        <f ca="1">IF(Información1[[#This Row],[Fecha]]='Ajuste de fechas'!$A$2,"Día actual","Día anterior")</f>
        <v>Día actual</v>
      </c>
      <c r="C34" s="3" t="s">
        <v>8</v>
      </c>
      <c r="D34" t="s">
        <v>10</v>
      </c>
      <c r="E34" s="3" t="s">
        <v>60</v>
      </c>
      <c r="F34" s="3" t="s">
        <v>6</v>
      </c>
      <c r="G34" s="3" t="s">
        <v>58</v>
      </c>
      <c r="H34" s="3" t="s">
        <v>11</v>
      </c>
      <c r="I34" s="3" t="s">
        <v>12</v>
      </c>
      <c r="J34" s="3" t="s">
        <v>67</v>
      </c>
      <c r="K34" s="3" t="s">
        <v>14</v>
      </c>
      <c r="L34" s="3" t="s">
        <v>69</v>
      </c>
      <c r="M34">
        <v>1</v>
      </c>
    </row>
    <row r="35" spans="1:13" x14ac:dyDescent="0.25">
      <c r="A35" s="1">
        <v>46139</v>
      </c>
      <c r="B35" s="1" t="str">
        <f ca="1">IF(Información1[[#This Row],[Fecha]]='Ajuste de fechas'!$A$2,"Día actual","Día anterior")</f>
        <v>Día actual</v>
      </c>
      <c r="C35" s="3" t="s">
        <v>35</v>
      </c>
      <c r="D35" t="s">
        <v>38</v>
      </c>
      <c r="E35" s="3" t="s">
        <v>242</v>
      </c>
      <c r="F35" s="3" t="s">
        <v>28</v>
      </c>
      <c r="G35" s="3" t="s">
        <v>243</v>
      </c>
      <c r="H35" s="3" t="s">
        <v>11</v>
      </c>
      <c r="I35" s="3" t="s">
        <v>7</v>
      </c>
      <c r="J35" s="3" t="s">
        <v>67</v>
      </c>
      <c r="K35" s="3" t="s">
        <v>59</v>
      </c>
      <c r="L35" s="3" t="s">
        <v>70</v>
      </c>
      <c r="M35">
        <v>1</v>
      </c>
    </row>
    <row r="36" spans="1:13" x14ac:dyDescent="0.25">
      <c r="A36" s="1">
        <v>46139</v>
      </c>
      <c r="B36" s="1" t="str">
        <f ca="1">IF(Información1[[#This Row],[Fecha]]='Ajuste de fechas'!$A$2,"Día actual","Día anterior")</f>
        <v>Día actual</v>
      </c>
      <c r="C36" s="3" t="s">
        <v>35</v>
      </c>
      <c r="D36" t="s">
        <v>38</v>
      </c>
      <c r="E36" s="3" t="s">
        <v>267</v>
      </c>
      <c r="F36" s="3" t="s">
        <v>23</v>
      </c>
      <c r="G36" s="3" t="s">
        <v>243</v>
      </c>
      <c r="H36" s="3" t="s">
        <v>11</v>
      </c>
      <c r="I36" s="3" t="s">
        <v>7</v>
      </c>
      <c r="J36" s="3" t="s">
        <v>72</v>
      </c>
      <c r="K36" s="3" t="s">
        <v>36</v>
      </c>
      <c r="L36" s="3" t="s">
        <v>68</v>
      </c>
      <c r="M36">
        <v>1</v>
      </c>
    </row>
    <row r="37" spans="1:13" x14ac:dyDescent="0.25">
      <c r="A37" s="1">
        <v>46139</v>
      </c>
      <c r="B37" s="1" t="str">
        <f ca="1">IF(Información1[[#This Row],[Fecha]]='Ajuste de fechas'!$A$2,"Día actual","Día anterior")</f>
        <v>Día actual</v>
      </c>
      <c r="C37" s="3" t="s">
        <v>35</v>
      </c>
      <c r="D37" t="s">
        <v>38</v>
      </c>
      <c r="E37" s="3" t="s">
        <v>268</v>
      </c>
      <c r="F37" s="3" t="s">
        <v>23</v>
      </c>
      <c r="G37" s="3" t="s">
        <v>78</v>
      </c>
      <c r="H37" s="3" t="s">
        <v>11</v>
      </c>
      <c r="I37" s="3" t="s">
        <v>7</v>
      </c>
      <c r="J37" s="3" t="s">
        <v>72</v>
      </c>
      <c r="K37" s="3" t="s">
        <v>36</v>
      </c>
      <c r="L37" s="3" t="s">
        <v>68</v>
      </c>
      <c r="M37">
        <v>1</v>
      </c>
    </row>
    <row r="38" spans="1:13" x14ac:dyDescent="0.25">
      <c r="A38" s="1">
        <v>46139</v>
      </c>
      <c r="B38" s="1" t="str">
        <f ca="1">IF(Información1[[#This Row],[Fecha]]='Ajuste de fechas'!$A$2,"Día actual","Día anterior")</f>
        <v>Día actual</v>
      </c>
      <c r="C38" s="3" t="s">
        <v>35</v>
      </c>
      <c r="D38" t="s">
        <v>38</v>
      </c>
      <c r="E38" s="3" t="s">
        <v>236</v>
      </c>
      <c r="F38" s="3" t="s">
        <v>24</v>
      </c>
      <c r="G38" s="3" t="s">
        <v>78</v>
      </c>
      <c r="H38" s="3" t="s">
        <v>11</v>
      </c>
      <c r="I38" s="3" t="s">
        <v>7</v>
      </c>
      <c r="J38" s="3" t="s">
        <v>67</v>
      </c>
      <c r="K38" s="3" t="s">
        <v>36</v>
      </c>
      <c r="L38" s="3" t="s">
        <v>68</v>
      </c>
      <c r="M38">
        <v>1</v>
      </c>
    </row>
    <row r="39" spans="1:13" x14ac:dyDescent="0.25">
      <c r="A39" s="1">
        <v>46139</v>
      </c>
      <c r="B39" s="1" t="str">
        <f ca="1">IF(Información1[[#This Row],[Fecha]]='Ajuste de fechas'!$A$2,"Día actual","Día anterior")</f>
        <v>Día actual</v>
      </c>
      <c r="C39" s="3" t="s">
        <v>35</v>
      </c>
      <c r="D39" t="s">
        <v>38</v>
      </c>
      <c r="E39" s="3" t="s">
        <v>269</v>
      </c>
      <c r="F39" s="3" t="s">
        <v>47</v>
      </c>
      <c r="G39" s="3" t="s">
        <v>270</v>
      </c>
      <c r="H39" s="3" t="s">
        <v>11</v>
      </c>
      <c r="I39" s="3" t="s">
        <v>7</v>
      </c>
      <c r="J39" s="3" t="s">
        <v>67</v>
      </c>
      <c r="K39" s="3" t="s">
        <v>36</v>
      </c>
      <c r="L39" s="3" t="s">
        <v>68</v>
      </c>
      <c r="M39">
        <v>1</v>
      </c>
    </row>
    <row r="40" spans="1:13" x14ac:dyDescent="0.25">
      <c r="A40" s="1">
        <v>46139</v>
      </c>
      <c r="B40" s="1" t="str">
        <f ca="1">IF(Información1[[#This Row],[Fecha]]='Ajuste de fechas'!$A$2,"Día actual","Día anterior")</f>
        <v>Día actual</v>
      </c>
      <c r="C40" s="3" t="s">
        <v>35</v>
      </c>
      <c r="D40" t="s">
        <v>38</v>
      </c>
      <c r="E40" s="3" t="s">
        <v>271</v>
      </c>
      <c r="F40" s="3" t="s">
        <v>87</v>
      </c>
      <c r="G40" s="3" t="s">
        <v>83</v>
      </c>
      <c r="H40" s="3" t="s">
        <v>11</v>
      </c>
      <c r="I40" s="3" t="s">
        <v>7</v>
      </c>
      <c r="J40" s="3" t="s">
        <v>67</v>
      </c>
      <c r="K40" s="3" t="s">
        <v>59</v>
      </c>
      <c r="L40" s="3" t="s">
        <v>70</v>
      </c>
      <c r="M40">
        <v>1</v>
      </c>
    </row>
    <row r="41" spans="1:13" x14ac:dyDescent="0.25">
      <c r="A41" s="1">
        <v>46139</v>
      </c>
      <c r="B41" s="1" t="str">
        <f ca="1">IF(Información1[[#This Row],[Fecha]]='Ajuste de fechas'!$A$2,"Día actual","Día anterior")</f>
        <v>Día actual</v>
      </c>
      <c r="C41" s="3" t="s">
        <v>35</v>
      </c>
      <c r="D41" t="s">
        <v>38</v>
      </c>
      <c r="E41" s="3" t="s">
        <v>272</v>
      </c>
      <c r="F41" s="3" t="s">
        <v>87</v>
      </c>
      <c r="G41" s="3" t="s">
        <v>83</v>
      </c>
      <c r="H41" s="3" t="s">
        <v>11</v>
      </c>
      <c r="I41" s="3" t="s">
        <v>7</v>
      </c>
      <c r="J41" s="3" t="s">
        <v>67</v>
      </c>
      <c r="K41" s="3" t="s">
        <v>36</v>
      </c>
      <c r="L41" s="3" t="s">
        <v>70</v>
      </c>
      <c r="M41">
        <v>1</v>
      </c>
    </row>
    <row r="42" spans="1:13" x14ac:dyDescent="0.25">
      <c r="A42" s="1">
        <v>46139</v>
      </c>
      <c r="B42" s="1" t="str">
        <f ca="1">IF(Información1[[#This Row],[Fecha]]='Ajuste de fechas'!$A$2,"Día actual","Día anterior")</f>
        <v>Día actual</v>
      </c>
      <c r="C42" s="3" t="s">
        <v>8</v>
      </c>
      <c r="D42" t="s">
        <v>10</v>
      </c>
      <c r="E42" s="3" t="s">
        <v>273</v>
      </c>
      <c r="F42" s="3" t="s">
        <v>19</v>
      </c>
      <c r="G42" s="3" t="s">
        <v>274</v>
      </c>
      <c r="H42" s="3" t="s">
        <v>11</v>
      </c>
      <c r="I42" s="3" t="s">
        <v>7</v>
      </c>
      <c r="J42" s="3" t="s">
        <v>71</v>
      </c>
      <c r="K42" s="3" t="s">
        <v>14</v>
      </c>
      <c r="L42" s="3" t="s">
        <v>68</v>
      </c>
      <c r="M42">
        <v>1</v>
      </c>
    </row>
    <row r="43" spans="1:13" x14ac:dyDescent="0.25">
      <c r="A43" s="1">
        <v>46139</v>
      </c>
      <c r="B43" s="1" t="str">
        <f ca="1">IF(Información1[[#This Row],[Fecha]]='Ajuste de fechas'!$A$2,"Día actual","Día anterior")</f>
        <v>Día actual</v>
      </c>
      <c r="C43" s="3" t="s">
        <v>8</v>
      </c>
      <c r="D43" t="s">
        <v>10</v>
      </c>
      <c r="E43" s="3" t="s">
        <v>275</v>
      </c>
      <c r="F43" s="3" t="s">
        <v>19</v>
      </c>
      <c r="G43" s="3" t="s">
        <v>276</v>
      </c>
      <c r="H43" s="3" t="s">
        <v>11</v>
      </c>
      <c r="I43" s="3" t="s">
        <v>7</v>
      </c>
      <c r="J43" s="3" t="s">
        <v>71</v>
      </c>
      <c r="K43" s="3" t="s">
        <v>14</v>
      </c>
      <c r="L43" s="3" t="s">
        <v>68</v>
      </c>
      <c r="M43">
        <v>1</v>
      </c>
    </row>
    <row r="44" spans="1:13" x14ac:dyDescent="0.25">
      <c r="A44" s="1">
        <v>46139</v>
      </c>
      <c r="B44" s="1" t="str">
        <f ca="1">IF(Información1[[#This Row],[Fecha]]='Ajuste de fechas'!$A$2,"Día actual","Día anterior")</f>
        <v>Día actual</v>
      </c>
      <c r="C44" s="3" t="s">
        <v>8</v>
      </c>
      <c r="D44" t="s">
        <v>10</v>
      </c>
      <c r="E44" s="3" t="s">
        <v>277</v>
      </c>
      <c r="F44" s="3" t="s">
        <v>6</v>
      </c>
      <c r="G44" s="3" t="s">
        <v>84</v>
      </c>
      <c r="H44" s="3" t="s">
        <v>11</v>
      </c>
      <c r="I44" s="3" t="s">
        <v>27</v>
      </c>
      <c r="J44" s="3" t="s">
        <v>67</v>
      </c>
      <c r="K44" s="3" t="s">
        <v>14</v>
      </c>
      <c r="L44" s="3" t="s">
        <v>69</v>
      </c>
      <c r="M44">
        <v>1</v>
      </c>
    </row>
    <row r="45" spans="1:13" x14ac:dyDescent="0.25">
      <c r="A45" s="1">
        <v>46139</v>
      </c>
      <c r="B45" s="1" t="str">
        <f ca="1">IF(Información1[[#This Row],[Fecha]]='Ajuste de fechas'!$A$2,"Día actual","Día anterior")</f>
        <v>Día actual</v>
      </c>
      <c r="C45" s="3" t="s">
        <v>8</v>
      </c>
      <c r="D45" t="s">
        <v>10</v>
      </c>
      <c r="E45" s="3" t="s">
        <v>278</v>
      </c>
      <c r="F45" s="3" t="s">
        <v>6</v>
      </c>
      <c r="G45" s="3" t="s">
        <v>279</v>
      </c>
      <c r="H45" s="3" t="s">
        <v>11</v>
      </c>
      <c r="I45" s="3" t="s">
        <v>27</v>
      </c>
      <c r="J45" s="3" t="s">
        <v>67</v>
      </c>
      <c r="K45" s="3" t="s">
        <v>14</v>
      </c>
      <c r="L45" s="3" t="s">
        <v>69</v>
      </c>
      <c r="M45">
        <v>1</v>
      </c>
    </row>
    <row r="46" spans="1:13" x14ac:dyDescent="0.25">
      <c r="A46" s="1">
        <v>46139</v>
      </c>
      <c r="B46" s="1" t="str">
        <f ca="1">IF(Información1[[#This Row],[Fecha]]='Ajuste de fechas'!$A$2,"Día actual","Día anterior")</f>
        <v>Día actual</v>
      </c>
      <c r="C46" s="3" t="s">
        <v>35</v>
      </c>
      <c r="D46" t="s">
        <v>38</v>
      </c>
      <c r="E46" s="3" t="s">
        <v>280</v>
      </c>
      <c r="F46" s="3" t="s">
        <v>28</v>
      </c>
      <c r="G46" s="3" t="s">
        <v>281</v>
      </c>
      <c r="H46" s="3" t="s">
        <v>11</v>
      </c>
      <c r="I46" s="3" t="s">
        <v>7</v>
      </c>
      <c r="J46" s="3" t="s">
        <v>67</v>
      </c>
      <c r="K46" s="3" t="s">
        <v>36</v>
      </c>
      <c r="L46" s="3" t="s">
        <v>68</v>
      </c>
      <c r="M46">
        <v>1</v>
      </c>
    </row>
    <row r="47" spans="1:13" x14ac:dyDescent="0.25">
      <c r="A47" s="1">
        <v>46139</v>
      </c>
      <c r="B47" s="1" t="str">
        <f ca="1">IF(Información1[[#This Row],[Fecha]]='Ajuste de fechas'!$A$2,"Día actual","Día anterior")</f>
        <v>Día actual</v>
      </c>
      <c r="C47" s="3" t="s">
        <v>35</v>
      </c>
      <c r="D47" t="s">
        <v>38</v>
      </c>
      <c r="E47" s="3" t="s">
        <v>282</v>
      </c>
      <c r="F47" s="3" t="s">
        <v>25</v>
      </c>
      <c r="G47" s="3" t="s">
        <v>80</v>
      </c>
      <c r="H47" s="3" t="s">
        <v>11</v>
      </c>
      <c r="I47" s="3" t="s">
        <v>7</v>
      </c>
      <c r="J47" s="3" t="s">
        <v>67</v>
      </c>
      <c r="K47" s="3" t="s">
        <v>59</v>
      </c>
      <c r="L47" s="3" t="s">
        <v>68</v>
      </c>
      <c r="M47">
        <v>1</v>
      </c>
    </row>
    <row r="48" spans="1:13" x14ac:dyDescent="0.25">
      <c r="A48" s="1">
        <v>46139</v>
      </c>
      <c r="B48" s="1" t="str">
        <f ca="1">IF(Información1[[#This Row],[Fecha]]='Ajuste de fechas'!$A$2,"Día actual","Día anterior")</f>
        <v>Día actual</v>
      </c>
      <c r="C48" s="3" t="s">
        <v>35</v>
      </c>
      <c r="D48" t="s">
        <v>38</v>
      </c>
      <c r="E48" s="3" t="s">
        <v>283</v>
      </c>
      <c r="F48" s="3" t="s">
        <v>93</v>
      </c>
      <c r="G48" s="3" t="s">
        <v>80</v>
      </c>
      <c r="H48" s="3" t="s">
        <v>11</v>
      </c>
      <c r="I48" s="3" t="s">
        <v>7</v>
      </c>
      <c r="J48" s="3" t="s">
        <v>67</v>
      </c>
      <c r="K48" s="3" t="s">
        <v>59</v>
      </c>
      <c r="L48" s="3" t="s">
        <v>70</v>
      </c>
      <c r="M48">
        <v>1</v>
      </c>
    </row>
    <row r="49" spans="1:13" x14ac:dyDescent="0.25">
      <c r="A49" s="1">
        <v>46139</v>
      </c>
      <c r="B49" s="1" t="str">
        <f ca="1">IF(Información1[[#This Row],[Fecha]]='Ajuste de fechas'!$A$2,"Día actual","Día anterior")</f>
        <v>Día actual</v>
      </c>
      <c r="C49" s="3" t="s">
        <v>35</v>
      </c>
      <c r="D49" t="s">
        <v>38</v>
      </c>
      <c r="E49" s="3" t="s">
        <v>284</v>
      </c>
      <c r="F49" s="3" t="s">
        <v>23</v>
      </c>
      <c r="G49" s="3" t="s">
        <v>285</v>
      </c>
      <c r="H49" s="3" t="s">
        <v>11</v>
      </c>
      <c r="I49" s="3" t="s">
        <v>7</v>
      </c>
      <c r="J49" s="3" t="s">
        <v>72</v>
      </c>
      <c r="K49" s="3" t="s">
        <v>59</v>
      </c>
      <c r="L49" s="3" t="s">
        <v>68</v>
      </c>
      <c r="M49">
        <v>1</v>
      </c>
    </row>
    <row r="50" spans="1:13" x14ac:dyDescent="0.25">
      <c r="A50" s="1">
        <v>46139</v>
      </c>
      <c r="B50" s="1" t="str">
        <f ca="1">IF(Información1[[#This Row],[Fecha]]='Ajuste de fechas'!$A$2,"Día actual","Día anterior")</f>
        <v>Día actual</v>
      </c>
      <c r="C50" s="3" t="s">
        <v>35</v>
      </c>
      <c r="D50" t="s">
        <v>38</v>
      </c>
      <c r="E50" s="3" t="s">
        <v>248</v>
      </c>
      <c r="F50" s="3" t="s">
        <v>26</v>
      </c>
      <c r="G50" s="3" t="s">
        <v>249</v>
      </c>
      <c r="H50" s="3" t="s">
        <v>11</v>
      </c>
      <c r="I50" s="3" t="s">
        <v>7</v>
      </c>
      <c r="J50" s="3" t="s">
        <v>26</v>
      </c>
      <c r="K50" s="3" t="s">
        <v>59</v>
      </c>
      <c r="L50" s="3" t="s">
        <v>68</v>
      </c>
      <c r="M50">
        <v>1</v>
      </c>
    </row>
    <row r="51" spans="1:13" x14ac:dyDescent="0.25">
      <c r="A51" s="1">
        <v>46139</v>
      </c>
      <c r="B51" s="1" t="str">
        <f ca="1">IF(Información1[[#This Row],[Fecha]]='Ajuste de fechas'!$A$2,"Día actual","Día anterior")</f>
        <v>Día actual</v>
      </c>
      <c r="C51" s="3" t="s">
        <v>35</v>
      </c>
      <c r="D51" t="s">
        <v>38</v>
      </c>
      <c r="E51" s="3" t="s">
        <v>248</v>
      </c>
      <c r="F51" s="3" t="s">
        <v>26</v>
      </c>
      <c r="G51" s="3" t="s">
        <v>249</v>
      </c>
      <c r="H51" s="3" t="s">
        <v>11</v>
      </c>
      <c r="I51" s="3" t="s">
        <v>7</v>
      </c>
      <c r="J51" s="3" t="s">
        <v>26</v>
      </c>
      <c r="K51" s="3" t="s">
        <v>36</v>
      </c>
      <c r="L51" s="3" t="s">
        <v>68</v>
      </c>
      <c r="M51">
        <v>1</v>
      </c>
    </row>
    <row r="52" spans="1:13" x14ac:dyDescent="0.25">
      <c r="A52" s="1">
        <v>46139</v>
      </c>
      <c r="B52" s="1" t="str">
        <f ca="1">IF(Información1[[#This Row],[Fecha]]='Ajuste de fechas'!$A$2,"Día actual","Día anterior")</f>
        <v>Día actual</v>
      </c>
      <c r="C52" s="3" t="s">
        <v>8</v>
      </c>
      <c r="D52" t="s">
        <v>10</v>
      </c>
      <c r="E52" s="3" t="s">
        <v>286</v>
      </c>
      <c r="F52" s="3" t="s">
        <v>19</v>
      </c>
      <c r="G52" s="3" t="s">
        <v>287</v>
      </c>
      <c r="H52" s="3" t="s">
        <v>11</v>
      </c>
      <c r="I52" s="3" t="s">
        <v>7</v>
      </c>
      <c r="J52" s="3" t="s">
        <v>71</v>
      </c>
      <c r="K52" s="3" t="s">
        <v>14</v>
      </c>
      <c r="L52" s="3" t="s">
        <v>73</v>
      </c>
      <c r="M52">
        <v>1</v>
      </c>
    </row>
    <row r="53" spans="1:13" x14ac:dyDescent="0.25">
      <c r="A53" s="1">
        <v>46139</v>
      </c>
      <c r="B53" s="1" t="str">
        <f ca="1">IF(Información1[[#This Row],[Fecha]]='Ajuste de fechas'!$A$2,"Día actual","Día anterior")</f>
        <v>Día actual</v>
      </c>
      <c r="C53" s="3" t="s">
        <v>35</v>
      </c>
      <c r="D53" t="s">
        <v>38</v>
      </c>
      <c r="E53" s="3" t="s">
        <v>288</v>
      </c>
      <c r="F53" s="3" t="s">
        <v>23</v>
      </c>
      <c r="G53" s="3" t="s">
        <v>104</v>
      </c>
      <c r="H53" s="3" t="s">
        <v>11</v>
      </c>
      <c r="I53" s="3" t="s">
        <v>7</v>
      </c>
      <c r="J53" s="3" t="s">
        <v>72</v>
      </c>
      <c r="K53" s="3" t="s">
        <v>59</v>
      </c>
      <c r="L53" s="3" t="s">
        <v>68</v>
      </c>
      <c r="M53">
        <v>1</v>
      </c>
    </row>
    <row r="54" spans="1:13" x14ac:dyDescent="0.25">
      <c r="A54" s="1">
        <v>46139</v>
      </c>
      <c r="B54" s="1" t="str">
        <f ca="1">IF(Información1[[#This Row],[Fecha]]='Ajuste de fechas'!$A$2,"Día actual","Día anterior")</f>
        <v>Día actual</v>
      </c>
      <c r="C54" s="3" t="s">
        <v>8</v>
      </c>
      <c r="D54" t="s">
        <v>10</v>
      </c>
      <c r="E54" s="3" t="s">
        <v>289</v>
      </c>
      <c r="F54" s="3" t="s">
        <v>23</v>
      </c>
      <c r="G54" s="3" t="s">
        <v>112</v>
      </c>
      <c r="H54" s="3" t="s">
        <v>11</v>
      </c>
      <c r="I54" s="3" t="s">
        <v>7</v>
      </c>
      <c r="J54" s="3" t="s">
        <v>72</v>
      </c>
      <c r="K54" s="3" t="s">
        <v>14</v>
      </c>
      <c r="L54" s="3" t="s">
        <v>68</v>
      </c>
      <c r="M54">
        <v>1</v>
      </c>
    </row>
    <row r="55" spans="1:13" x14ac:dyDescent="0.25">
      <c r="A55" s="1">
        <v>46139</v>
      </c>
      <c r="B55" s="1" t="str">
        <f ca="1">IF(Información1[[#This Row],[Fecha]]='Ajuste de fechas'!$A$2,"Día actual","Día anterior")</f>
        <v>Día actual</v>
      </c>
      <c r="C55" s="3" t="s">
        <v>8</v>
      </c>
      <c r="D55" t="s">
        <v>10</v>
      </c>
      <c r="E55" s="3" t="s">
        <v>290</v>
      </c>
      <c r="F55" s="3" t="s">
        <v>24</v>
      </c>
      <c r="G55" s="3" t="s">
        <v>150</v>
      </c>
      <c r="H55" s="3" t="s">
        <v>11</v>
      </c>
      <c r="I55" s="3" t="s">
        <v>7</v>
      </c>
      <c r="J55" s="3" t="s">
        <v>67</v>
      </c>
      <c r="K55" s="3" t="s">
        <v>14</v>
      </c>
      <c r="L55" s="3" t="s">
        <v>68</v>
      </c>
      <c r="M55">
        <v>1</v>
      </c>
    </row>
    <row r="56" spans="1:13" x14ac:dyDescent="0.25">
      <c r="A56" s="1">
        <v>46139</v>
      </c>
      <c r="B56" s="1" t="str">
        <f ca="1">IF(Información1[[#This Row],[Fecha]]='Ajuste de fechas'!$A$2,"Día actual","Día anterior")</f>
        <v>Día actual</v>
      </c>
      <c r="C56" s="3" t="s">
        <v>35</v>
      </c>
      <c r="D56" t="s">
        <v>38</v>
      </c>
      <c r="E56" s="3" t="s">
        <v>291</v>
      </c>
      <c r="F56" s="3" t="s">
        <v>19</v>
      </c>
      <c r="G56" s="3" t="s">
        <v>292</v>
      </c>
      <c r="H56" s="3" t="s">
        <v>11</v>
      </c>
      <c r="I56" s="3" t="s">
        <v>7</v>
      </c>
      <c r="J56" s="3" t="s">
        <v>71</v>
      </c>
      <c r="K56" s="3" t="s">
        <v>36</v>
      </c>
      <c r="L56" s="3" t="s">
        <v>68</v>
      </c>
      <c r="M56">
        <v>1</v>
      </c>
    </row>
    <row r="57" spans="1:13" x14ac:dyDescent="0.25">
      <c r="A57" s="1">
        <v>46139</v>
      </c>
      <c r="B57" s="1" t="str">
        <f ca="1">IF(Información1[[#This Row],[Fecha]]='Ajuste de fechas'!$A$2,"Día actual","Día anterior")</f>
        <v>Día actual</v>
      </c>
      <c r="C57" s="3" t="s">
        <v>35</v>
      </c>
      <c r="D57" t="s">
        <v>38</v>
      </c>
      <c r="E57" s="3" t="s">
        <v>293</v>
      </c>
      <c r="F57" s="3" t="s">
        <v>26</v>
      </c>
      <c r="G57" s="3" t="s">
        <v>294</v>
      </c>
      <c r="H57" s="3" t="s">
        <v>11</v>
      </c>
      <c r="I57" s="3" t="s">
        <v>7</v>
      </c>
      <c r="J57" s="3" t="s">
        <v>26</v>
      </c>
      <c r="K57" s="3" t="s">
        <v>59</v>
      </c>
      <c r="L57" s="3" t="s">
        <v>68</v>
      </c>
      <c r="M57">
        <v>1</v>
      </c>
    </row>
    <row r="58" spans="1:13" x14ac:dyDescent="0.25">
      <c r="A58" s="1">
        <v>46139</v>
      </c>
      <c r="B58" s="1" t="str">
        <f ca="1">IF(Información1[[#This Row],[Fecha]]='Ajuste de fechas'!$A$2,"Día actual","Día anterior")</f>
        <v>Día actual</v>
      </c>
      <c r="C58" s="3" t="s">
        <v>8</v>
      </c>
      <c r="D58" t="s">
        <v>10</v>
      </c>
      <c r="E58" s="3" t="s">
        <v>295</v>
      </c>
      <c r="F58" s="3" t="s">
        <v>19</v>
      </c>
      <c r="G58" s="3" t="s">
        <v>90</v>
      </c>
      <c r="H58" s="3" t="s">
        <v>11</v>
      </c>
      <c r="I58" s="3" t="s">
        <v>27</v>
      </c>
      <c r="J58" s="3" t="s">
        <v>71</v>
      </c>
      <c r="K58" s="3" t="s">
        <v>14</v>
      </c>
      <c r="L58" s="3" t="s">
        <v>69</v>
      </c>
      <c r="M58">
        <v>1</v>
      </c>
    </row>
    <row r="59" spans="1:13" x14ac:dyDescent="0.25">
      <c r="A59" s="1">
        <v>46139</v>
      </c>
      <c r="B59" s="1" t="str">
        <f ca="1">IF(Información1[[#This Row],[Fecha]]='Ajuste de fechas'!$A$2,"Día actual","Día anterior")</f>
        <v>Día actual</v>
      </c>
      <c r="C59" s="3" t="s">
        <v>35</v>
      </c>
      <c r="D59" t="s">
        <v>38</v>
      </c>
      <c r="E59" s="3" t="s">
        <v>296</v>
      </c>
      <c r="F59" s="3" t="s">
        <v>28</v>
      </c>
      <c r="G59" s="3" t="s">
        <v>105</v>
      </c>
      <c r="H59" s="3" t="s">
        <v>11</v>
      </c>
      <c r="I59" s="3" t="s">
        <v>7</v>
      </c>
      <c r="J59" s="3" t="s">
        <v>67</v>
      </c>
      <c r="K59" s="3" t="s">
        <v>59</v>
      </c>
      <c r="L59" s="3" t="s">
        <v>70</v>
      </c>
      <c r="M59">
        <v>1</v>
      </c>
    </row>
    <row r="60" spans="1:13" x14ac:dyDescent="0.25">
      <c r="A60" s="1">
        <v>46139</v>
      </c>
      <c r="B60" s="1" t="str">
        <f ca="1">IF(Información1[[#This Row],[Fecha]]='Ajuste de fechas'!$A$2,"Día actual","Día anterior")</f>
        <v>Día actual</v>
      </c>
      <c r="C60" s="3" t="s">
        <v>35</v>
      </c>
      <c r="D60" t="s">
        <v>38</v>
      </c>
      <c r="E60" s="3" t="s">
        <v>297</v>
      </c>
      <c r="F60" s="3" t="s">
        <v>23</v>
      </c>
      <c r="G60" s="3" t="s">
        <v>105</v>
      </c>
      <c r="H60" s="3" t="s">
        <v>11</v>
      </c>
      <c r="I60" s="3" t="s">
        <v>7</v>
      </c>
      <c r="J60" s="3" t="s">
        <v>72</v>
      </c>
      <c r="K60" s="3" t="s">
        <v>36</v>
      </c>
      <c r="L60" s="3" t="s">
        <v>68</v>
      </c>
      <c r="M60">
        <v>1</v>
      </c>
    </row>
    <row r="61" spans="1:13" x14ac:dyDescent="0.25">
      <c r="A61" s="1">
        <v>46139</v>
      </c>
      <c r="B61" s="1" t="str">
        <f ca="1">IF(Información1[[#This Row],[Fecha]]='Ajuste de fechas'!$A$2,"Día actual","Día anterior")</f>
        <v>Día actual</v>
      </c>
      <c r="C61" s="3" t="s">
        <v>8</v>
      </c>
      <c r="D61" t="s">
        <v>10</v>
      </c>
      <c r="E61" s="3" t="s">
        <v>298</v>
      </c>
      <c r="F61" s="3" t="s">
        <v>23</v>
      </c>
      <c r="G61" s="3" t="s">
        <v>105</v>
      </c>
      <c r="H61" s="3" t="s">
        <v>11</v>
      </c>
      <c r="I61" s="3" t="s">
        <v>7</v>
      </c>
      <c r="J61" s="3" t="s">
        <v>72</v>
      </c>
      <c r="K61" s="3" t="s">
        <v>14</v>
      </c>
      <c r="L61" s="3" t="s">
        <v>68</v>
      </c>
      <c r="M61">
        <v>1</v>
      </c>
    </row>
    <row r="62" spans="1:13" x14ac:dyDescent="0.25">
      <c r="A62" s="1">
        <v>46139</v>
      </c>
      <c r="B62" s="1" t="str">
        <f ca="1">IF(Información1[[#This Row],[Fecha]]='Ajuste de fechas'!$A$2,"Día actual","Día anterior")</f>
        <v>Día actual</v>
      </c>
      <c r="C62" s="3" t="s">
        <v>35</v>
      </c>
      <c r="D62" t="s">
        <v>38</v>
      </c>
      <c r="E62" s="3" t="s">
        <v>299</v>
      </c>
      <c r="F62" s="3" t="s">
        <v>19</v>
      </c>
      <c r="G62" s="3" t="s">
        <v>300</v>
      </c>
      <c r="H62" s="3" t="s">
        <v>11</v>
      </c>
      <c r="I62" s="3" t="s">
        <v>7</v>
      </c>
      <c r="J62" s="3" t="s">
        <v>71</v>
      </c>
      <c r="K62" s="3" t="s">
        <v>59</v>
      </c>
      <c r="L62" s="3" t="s">
        <v>68</v>
      </c>
      <c r="M62">
        <v>1</v>
      </c>
    </row>
    <row r="63" spans="1:13" x14ac:dyDescent="0.25">
      <c r="A63" s="1">
        <v>46139</v>
      </c>
      <c r="B63" s="1" t="str">
        <f ca="1">IF(Información1[[#This Row],[Fecha]]='Ajuste de fechas'!$A$2,"Día actual","Día anterior")</f>
        <v>Día actual</v>
      </c>
      <c r="C63" s="3" t="s">
        <v>35</v>
      </c>
      <c r="D63" t="s">
        <v>38</v>
      </c>
      <c r="E63" s="3" t="s">
        <v>301</v>
      </c>
      <c r="F63" s="3" t="s">
        <v>23</v>
      </c>
      <c r="G63" s="3" t="s">
        <v>106</v>
      </c>
      <c r="H63" s="3" t="s">
        <v>11</v>
      </c>
      <c r="I63" s="3" t="s">
        <v>7</v>
      </c>
      <c r="J63" s="3" t="s">
        <v>72</v>
      </c>
      <c r="K63" s="3" t="s">
        <v>36</v>
      </c>
      <c r="L63" s="3" t="s">
        <v>68</v>
      </c>
      <c r="M63">
        <v>1</v>
      </c>
    </row>
    <row r="64" spans="1:13" x14ac:dyDescent="0.25">
      <c r="A64" s="1">
        <v>46139</v>
      </c>
      <c r="B64" s="1" t="str">
        <f ca="1">IF(Información1[[#This Row],[Fecha]]='Ajuste de fechas'!$A$2,"Día actual","Día anterior")</f>
        <v>Día actual</v>
      </c>
      <c r="C64" s="3" t="s">
        <v>35</v>
      </c>
      <c r="D64" t="s">
        <v>38</v>
      </c>
      <c r="E64" s="3" t="s">
        <v>302</v>
      </c>
      <c r="F64" s="3" t="s">
        <v>23</v>
      </c>
      <c r="G64" s="3" t="s">
        <v>106</v>
      </c>
      <c r="H64" s="3" t="s">
        <v>11</v>
      </c>
      <c r="I64" s="3" t="s">
        <v>7</v>
      </c>
      <c r="J64" s="3" t="s">
        <v>72</v>
      </c>
      <c r="K64" s="3" t="s">
        <v>36</v>
      </c>
      <c r="L64" s="3" t="s">
        <v>68</v>
      </c>
      <c r="M64">
        <v>1</v>
      </c>
    </row>
    <row r="65" spans="1:13" x14ac:dyDescent="0.25">
      <c r="A65" s="1">
        <v>46139</v>
      </c>
      <c r="B65" s="1" t="str">
        <f ca="1">IF(Información1[[#This Row],[Fecha]]='Ajuste de fechas'!$A$2,"Día actual","Día anterior")</f>
        <v>Día actual</v>
      </c>
      <c r="C65" s="3" t="s">
        <v>35</v>
      </c>
      <c r="D65" t="s">
        <v>38</v>
      </c>
      <c r="E65" s="3" t="s">
        <v>303</v>
      </c>
      <c r="F65" s="3" t="s">
        <v>23</v>
      </c>
      <c r="G65" s="3" t="s">
        <v>304</v>
      </c>
      <c r="H65" s="3" t="s">
        <v>11</v>
      </c>
      <c r="I65" s="3" t="s">
        <v>7</v>
      </c>
      <c r="J65" s="3" t="s">
        <v>72</v>
      </c>
      <c r="K65" s="3" t="s">
        <v>36</v>
      </c>
      <c r="L65" s="3" t="s">
        <v>68</v>
      </c>
      <c r="M65">
        <v>1</v>
      </c>
    </row>
    <row r="66" spans="1:13" x14ac:dyDescent="0.25">
      <c r="A66" s="1">
        <v>46139</v>
      </c>
      <c r="B66" s="1" t="str">
        <f ca="1">IF(Información1[[#This Row],[Fecha]]='Ajuste de fechas'!$A$2,"Día actual","Día anterior")</f>
        <v>Día actual</v>
      </c>
      <c r="C66" s="3" t="s">
        <v>53</v>
      </c>
      <c r="D66" t="s">
        <v>54</v>
      </c>
      <c r="E66" s="3" t="s">
        <v>305</v>
      </c>
      <c r="F66" s="3" t="s">
        <v>19</v>
      </c>
      <c r="G66" s="3" t="s">
        <v>82</v>
      </c>
      <c r="H66" s="3" t="s">
        <v>11</v>
      </c>
      <c r="I66" s="3" t="s">
        <v>7</v>
      </c>
      <c r="J66" s="3" t="s">
        <v>71</v>
      </c>
      <c r="K66" s="3" t="s">
        <v>55</v>
      </c>
      <c r="L66" s="3" t="s">
        <v>68</v>
      </c>
      <c r="M66">
        <v>1</v>
      </c>
    </row>
    <row r="67" spans="1:13" x14ac:dyDescent="0.25">
      <c r="A67" s="1">
        <v>46139</v>
      </c>
      <c r="B67" s="1" t="str">
        <f ca="1">IF(Información1[[#This Row],[Fecha]]='Ajuste de fechas'!$A$2,"Día actual","Día anterior")</f>
        <v>Día actual</v>
      </c>
      <c r="C67" s="3" t="s">
        <v>53</v>
      </c>
      <c r="D67" t="s">
        <v>54</v>
      </c>
      <c r="E67" s="3" t="s">
        <v>306</v>
      </c>
      <c r="F67" s="3" t="s">
        <v>23</v>
      </c>
      <c r="G67" s="3" t="s">
        <v>307</v>
      </c>
      <c r="H67" s="3" t="s">
        <v>11</v>
      </c>
      <c r="I67" s="3" t="s">
        <v>7</v>
      </c>
      <c r="J67" s="3" t="s">
        <v>72</v>
      </c>
      <c r="K67" s="3" t="s">
        <v>55</v>
      </c>
      <c r="L67" s="3" t="s">
        <v>68</v>
      </c>
      <c r="M67">
        <v>1</v>
      </c>
    </row>
    <row r="68" spans="1:13" x14ac:dyDescent="0.25">
      <c r="A68" s="1">
        <v>46139</v>
      </c>
      <c r="B68" s="1" t="str">
        <f ca="1">IF(Información1[[#This Row],[Fecha]]='Ajuste de fechas'!$A$2,"Día actual","Día anterior")</f>
        <v>Día actual</v>
      </c>
      <c r="C68" s="3" t="s">
        <v>53</v>
      </c>
      <c r="D68" t="s">
        <v>54</v>
      </c>
      <c r="E68" s="3" t="s">
        <v>308</v>
      </c>
      <c r="F68" s="3" t="s">
        <v>19</v>
      </c>
      <c r="G68" s="3" t="s">
        <v>307</v>
      </c>
      <c r="H68" s="3" t="s">
        <v>11</v>
      </c>
      <c r="I68" s="3" t="s">
        <v>7</v>
      </c>
      <c r="J68" s="3" t="s">
        <v>71</v>
      </c>
      <c r="K68" s="3" t="s">
        <v>55</v>
      </c>
      <c r="L68" s="3" t="s">
        <v>68</v>
      </c>
      <c r="M68">
        <v>1</v>
      </c>
    </row>
    <row r="69" spans="1:13" x14ac:dyDescent="0.25">
      <c r="A69" s="1">
        <v>46139</v>
      </c>
      <c r="B69" s="1" t="str">
        <f ca="1">IF(Información1[[#This Row],[Fecha]]='Ajuste de fechas'!$A$2,"Día actual","Día anterior")</f>
        <v>Día actual</v>
      </c>
      <c r="C69" s="3" t="s">
        <v>53</v>
      </c>
      <c r="D69" t="s">
        <v>54</v>
      </c>
      <c r="E69" s="3" t="s">
        <v>309</v>
      </c>
      <c r="F69" s="3" t="s">
        <v>19</v>
      </c>
      <c r="G69" s="3" t="s">
        <v>262</v>
      </c>
      <c r="H69" s="3" t="s">
        <v>11</v>
      </c>
      <c r="I69" s="3" t="s">
        <v>7</v>
      </c>
      <c r="J69" s="3" t="s">
        <v>71</v>
      </c>
      <c r="K69" s="3" t="s">
        <v>55</v>
      </c>
      <c r="L69" s="3" t="s">
        <v>68</v>
      </c>
      <c r="M69">
        <v>1</v>
      </c>
    </row>
    <row r="70" spans="1:13" x14ac:dyDescent="0.25">
      <c r="A70" s="1">
        <v>46139</v>
      </c>
      <c r="B70" s="1" t="str">
        <f ca="1">IF(Información1[[#This Row],[Fecha]]='Ajuste de fechas'!$A$2,"Día actual","Día anterior")</f>
        <v>Día actual</v>
      </c>
      <c r="C70" s="3" t="s">
        <v>53</v>
      </c>
      <c r="D70" t="s">
        <v>54</v>
      </c>
      <c r="E70" s="3" t="s">
        <v>310</v>
      </c>
      <c r="F70" s="3" t="s">
        <v>19</v>
      </c>
      <c r="G70" s="3" t="s">
        <v>307</v>
      </c>
      <c r="H70" s="3" t="s">
        <v>11</v>
      </c>
      <c r="I70" s="3" t="s">
        <v>7</v>
      </c>
      <c r="J70" s="3" t="s">
        <v>71</v>
      </c>
      <c r="K70" s="3" t="s">
        <v>55</v>
      </c>
      <c r="L70" s="3" t="s">
        <v>68</v>
      </c>
      <c r="M70">
        <v>1</v>
      </c>
    </row>
    <row r="71" spans="1:13" x14ac:dyDescent="0.25">
      <c r="A71" s="1">
        <v>46139</v>
      </c>
      <c r="B71" s="1" t="str">
        <f ca="1">IF(Información1[[#This Row],[Fecha]]='Ajuste de fechas'!$A$2,"Día actual","Día anterior")</f>
        <v>Día actual</v>
      </c>
      <c r="C71" s="3" t="s">
        <v>53</v>
      </c>
      <c r="D71" t="s">
        <v>54</v>
      </c>
      <c r="E71" s="3" t="s">
        <v>311</v>
      </c>
      <c r="F71" s="3" t="s">
        <v>19</v>
      </c>
      <c r="G71" s="3" t="s">
        <v>43</v>
      </c>
      <c r="H71" s="3" t="s">
        <v>11</v>
      </c>
      <c r="I71" s="3" t="s">
        <v>7</v>
      </c>
      <c r="J71" s="3" t="s">
        <v>71</v>
      </c>
      <c r="K71" s="3" t="s">
        <v>55</v>
      </c>
      <c r="L71" s="3" t="s">
        <v>68</v>
      </c>
      <c r="M71">
        <v>1</v>
      </c>
    </row>
    <row r="72" spans="1:13" x14ac:dyDescent="0.25">
      <c r="A72" s="1">
        <v>46139</v>
      </c>
      <c r="B72" s="1" t="str">
        <f ca="1">IF(Información1[[#This Row],[Fecha]]='Ajuste de fechas'!$A$2,"Día actual","Día anterior")</f>
        <v>Día actual</v>
      </c>
      <c r="C72" s="3" t="s">
        <v>53</v>
      </c>
      <c r="D72" t="s">
        <v>54</v>
      </c>
      <c r="E72" s="3" t="s">
        <v>312</v>
      </c>
      <c r="F72" s="3" t="s">
        <v>204</v>
      </c>
      <c r="G72" s="3" t="s">
        <v>313</v>
      </c>
      <c r="H72" s="3" t="s">
        <v>11</v>
      </c>
      <c r="I72" s="3" t="s">
        <v>7</v>
      </c>
      <c r="J72" s="3" t="s">
        <v>67</v>
      </c>
      <c r="K72" s="3" t="s">
        <v>55</v>
      </c>
      <c r="L72" s="3" t="s">
        <v>68</v>
      </c>
      <c r="M72">
        <v>1</v>
      </c>
    </row>
    <row r="73" spans="1:13" x14ac:dyDescent="0.25">
      <c r="A73" s="1">
        <v>46139</v>
      </c>
      <c r="B73" s="1" t="str">
        <f ca="1">IF(Información1[[#This Row],[Fecha]]='Ajuste de fechas'!$A$2,"Día actual","Día anterior")</f>
        <v>Día actual</v>
      </c>
      <c r="C73" s="3" t="s">
        <v>53</v>
      </c>
      <c r="D73" t="s">
        <v>54</v>
      </c>
      <c r="E73" s="3" t="s">
        <v>314</v>
      </c>
      <c r="F73" s="3" t="s">
        <v>21</v>
      </c>
      <c r="G73" s="3" t="s">
        <v>315</v>
      </c>
      <c r="H73" s="3" t="s">
        <v>11</v>
      </c>
      <c r="I73" s="3" t="s">
        <v>7</v>
      </c>
      <c r="J73" s="3" t="s">
        <v>67</v>
      </c>
      <c r="K73" s="3" t="s">
        <v>55</v>
      </c>
      <c r="L73" s="3" t="s">
        <v>70</v>
      </c>
      <c r="M73">
        <v>1</v>
      </c>
    </row>
    <row r="74" spans="1:13" x14ac:dyDescent="0.25">
      <c r="A74" s="1">
        <v>46139</v>
      </c>
      <c r="B74" s="1" t="str">
        <f ca="1">IF(Información1[[#This Row],[Fecha]]='Ajuste de fechas'!$A$2,"Día actual","Día anterior")</f>
        <v>Día actual</v>
      </c>
      <c r="C74" s="3" t="s">
        <v>53</v>
      </c>
      <c r="D74" t="s">
        <v>54</v>
      </c>
      <c r="E74" s="3" t="s">
        <v>316</v>
      </c>
      <c r="F74" s="3" t="s">
        <v>19</v>
      </c>
      <c r="G74" s="3" t="s">
        <v>317</v>
      </c>
      <c r="H74" s="3" t="s">
        <v>11</v>
      </c>
      <c r="I74" s="3" t="s">
        <v>7</v>
      </c>
      <c r="J74" s="3" t="s">
        <v>71</v>
      </c>
      <c r="K74" s="3" t="s">
        <v>55</v>
      </c>
      <c r="L74" s="3" t="s">
        <v>68</v>
      </c>
      <c r="M74">
        <v>1</v>
      </c>
    </row>
    <row r="75" spans="1:13" x14ac:dyDescent="0.25">
      <c r="A75" s="1">
        <v>46139</v>
      </c>
      <c r="B75" s="1" t="str">
        <f ca="1">IF(Información1[[#This Row],[Fecha]]='Ajuste de fechas'!$A$2,"Día actual","Día anterior")</f>
        <v>Día actual</v>
      </c>
      <c r="C75" s="3" t="s">
        <v>53</v>
      </c>
      <c r="D75" t="s">
        <v>54</v>
      </c>
      <c r="E75" s="3" t="s">
        <v>318</v>
      </c>
      <c r="F75" s="3" t="s">
        <v>22</v>
      </c>
      <c r="G75" s="3" t="s">
        <v>101</v>
      </c>
      <c r="H75" s="3" t="s">
        <v>11</v>
      </c>
      <c r="I75" s="3" t="s">
        <v>7</v>
      </c>
      <c r="J75" s="3" t="s">
        <v>26</v>
      </c>
      <c r="K75" s="3" t="s">
        <v>55</v>
      </c>
      <c r="L75" s="3" t="s">
        <v>68</v>
      </c>
      <c r="M75">
        <v>1</v>
      </c>
    </row>
    <row r="76" spans="1:13" x14ac:dyDescent="0.25">
      <c r="A76" s="1">
        <v>46139</v>
      </c>
      <c r="B76" s="1" t="str">
        <f ca="1">IF(Información1[[#This Row],[Fecha]]='Ajuste de fechas'!$A$2,"Día actual","Día anterior")</f>
        <v>Día actual</v>
      </c>
      <c r="C76" s="3" t="s">
        <v>53</v>
      </c>
      <c r="D76" t="s">
        <v>54</v>
      </c>
      <c r="E76" s="3" t="s">
        <v>319</v>
      </c>
      <c r="F76" s="3" t="s">
        <v>25</v>
      </c>
      <c r="G76" s="3" t="s">
        <v>80</v>
      </c>
      <c r="H76" s="3" t="s">
        <v>11</v>
      </c>
      <c r="I76" s="3" t="s">
        <v>7</v>
      </c>
      <c r="J76" s="3" t="s">
        <v>67</v>
      </c>
      <c r="K76" s="3" t="s">
        <v>55</v>
      </c>
      <c r="L76" s="3" t="s">
        <v>68</v>
      </c>
      <c r="M76">
        <v>1</v>
      </c>
    </row>
    <row r="77" spans="1:13" x14ac:dyDescent="0.25">
      <c r="A77" s="1">
        <v>46139</v>
      </c>
      <c r="B77" s="1" t="str">
        <f ca="1">IF(Información1[[#This Row],[Fecha]]='Ajuste de fechas'!$A$2,"Día actual","Día anterior")</f>
        <v>Día actual</v>
      </c>
      <c r="C77" s="3" t="s">
        <v>53</v>
      </c>
      <c r="D77" t="s">
        <v>54</v>
      </c>
      <c r="E77" s="3" t="s">
        <v>320</v>
      </c>
      <c r="F77" s="3" t="s">
        <v>28</v>
      </c>
      <c r="G77" s="3" t="s">
        <v>115</v>
      </c>
      <c r="H77" s="3" t="s">
        <v>11</v>
      </c>
      <c r="I77" s="3" t="s">
        <v>7</v>
      </c>
      <c r="J77" s="3" t="s">
        <v>67</v>
      </c>
      <c r="K77" s="3" t="s">
        <v>55</v>
      </c>
      <c r="L77" s="3" t="s">
        <v>68</v>
      </c>
      <c r="M77">
        <v>1</v>
      </c>
    </row>
    <row r="78" spans="1:13" x14ac:dyDescent="0.25">
      <c r="A78" s="1">
        <v>46139</v>
      </c>
      <c r="B78" s="1" t="str">
        <f ca="1">IF(Información1[[#This Row],[Fecha]]='Ajuste de fechas'!$A$2,"Día actual","Día anterior")</f>
        <v>Día actual</v>
      </c>
      <c r="C78" s="3" t="s">
        <v>53</v>
      </c>
      <c r="D78" t="s">
        <v>54</v>
      </c>
      <c r="E78" s="3" t="s">
        <v>321</v>
      </c>
      <c r="F78" s="3" t="s">
        <v>24</v>
      </c>
      <c r="G78" s="3" t="s">
        <v>322</v>
      </c>
      <c r="H78" s="3" t="s">
        <v>11</v>
      </c>
      <c r="I78" s="3" t="s">
        <v>27</v>
      </c>
      <c r="J78" s="3" t="s">
        <v>67</v>
      </c>
      <c r="K78" s="3" t="s">
        <v>55</v>
      </c>
      <c r="L78" s="3" t="s">
        <v>68</v>
      </c>
      <c r="M78">
        <v>1</v>
      </c>
    </row>
    <row r="79" spans="1:13" x14ac:dyDescent="0.25">
      <c r="A79" s="1">
        <v>46139</v>
      </c>
      <c r="B79" s="1" t="str">
        <f ca="1">IF(Información1[[#This Row],[Fecha]]='Ajuste de fechas'!$A$2,"Día actual","Día anterior")</f>
        <v>Día actual</v>
      </c>
      <c r="C79" s="3" t="s">
        <v>53</v>
      </c>
      <c r="D79" t="s">
        <v>54</v>
      </c>
      <c r="E79" s="3" t="s">
        <v>323</v>
      </c>
      <c r="F79" s="3" t="s">
        <v>24</v>
      </c>
      <c r="G79" s="3" t="s">
        <v>238</v>
      </c>
      <c r="H79" s="3" t="s">
        <v>11</v>
      </c>
      <c r="I79" s="3" t="s">
        <v>7</v>
      </c>
      <c r="J79" s="3" t="s">
        <v>67</v>
      </c>
      <c r="K79" s="3" t="s">
        <v>55</v>
      </c>
      <c r="L79" s="3" t="s">
        <v>68</v>
      </c>
      <c r="M79">
        <v>1</v>
      </c>
    </row>
    <row r="80" spans="1:13" x14ac:dyDescent="0.25">
      <c r="A80" s="1">
        <v>46139</v>
      </c>
      <c r="B80" s="1" t="str">
        <f ca="1">IF(Información1[[#This Row],[Fecha]]='Ajuste de fechas'!$A$2,"Día actual","Día anterior")</f>
        <v>Día actual</v>
      </c>
      <c r="C80" s="3" t="s">
        <v>53</v>
      </c>
      <c r="D80" t="s">
        <v>54</v>
      </c>
      <c r="E80" s="3" t="s">
        <v>324</v>
      </c>
      <c r="F80" s="3" t="s">
        <v>28</v>
      </c>
      <c r="G80" s="3" t="s">
        <v>304</v>
      </c>
      <c r="H80" s="3" t="s">
        <v>11</v>
      </c>
      <c r="I80" s="3" t="s">
        <v>7</v>
      </c>
      <c r="J80" s="3" t="s">
        <v>67</v>
      </c>
      <c r="K80" s="3" t="s">
        <v>55</v>
      </c>
      <c r="L80" s="3" t="s">
        <v>70</v>
      </c>
      <c r="M80">
        <v>1</v>
      </c>
    </row>
    <row r="81" spans="1:13" x14ac:dyDescent="0.25">
      <c r="A81" s="1">
        <v>46139</v>
      </c>
      <c r="B81" s="1" t="str">
        <f ca="1">IF(Información1[[#This Row],[Fecha]]='Ajuste de fechas'!$A$2,"Día actual","Día anterior")</f>
        <v>Día actual</v>
      </c>
      <c r="C81" s="3" t="s">
        <v>53</v>
      </c>
      <c r="D81" t="s">
        <v>54</v>
      </c>
      <c r="E81" s="3" t="s">
        <v>325</v>
      </c>
      <c r="F81" s="3" t="s">
        <v>23</v>
      </c>
      <c r="G81" s="3" t="s">
        <v>326</v>
      </c>
      <c r="H81" s="3" t="s">
        <v>11</v>
      </c>
      <c r="I81" s="3" t="s">
        <v>7</v>
      </c>
      <c r="J81" s="3" t="s">
        <v>72</v>
      </c>
      <c r="K81" s="3" t="s">
        <v>55</v>
      </c>
      <c r="L81" s="3" t="s">
        <v>69</v>
      </c>
      <c r="M81">
        <v>1</v>
      </c>
    </row>
    <row r="82" spans="1:13" x14ac:dyDescent="0.25">
      <c r="A82" s="1">
        <v>46139</v>
      </c>
      <c r="B82" s="1" t="str">
        <f ca="1">IF(Información1[[#This Row],[Fecha]]='Ajuste de fechas'!$A$2,"Día actual","Día anterior")</f>
        <v>Día actual</v>
      </c>
      <c r="C82" s="3" t="s">
        <v>53</v>
      </c>
      <c r="D82" t="s">
        <v>54</v>
      </c>
      <c r="E82" s="3" t="s">
        <v>327</v>
      </c>
      <c r="F82" s="3" t="s">
        <v>28</v>
      </c>
      <c r="G82" s="3" t="s">
        <v>105</v>
      </c>
      <c r="H82" s="3" t="s">
        <v>11</v>
      </c>
      <c r="I82" s="3" t="s">
        <v>7</v>
      </c>
      <c r="J82" s="3" t="s">
        <v>67</v>
      </c>
      <c r="K82" s="3" t="s">
        <v>55</v>
      </c>
      <c r="L82" s="3" t="s">
        <v>68</v>
      </c>
      <c r="M82">
        <v>1</v>
      </c>
    </row>
    <row r="83" spans="1:13" x14ac:dyDescent="0.25">
      <c r="A83" s="1">
        <v>46139</v>
      </c>
      <c r="B83" s="1" t="str">
        <f ca="1">IF(Información1[[#This Row],[Fecha]]='Ajuste de fechas'!$A$2,"Día actual","Día anterior")</f>
        <v>Día actual</v>
      </c>
      <c r="C83" s="3" t="s">
        <v>53</v>
      </c>
      <c r="D83" t="s">
        <v>54</v>
      </c>
      <c r="E83" s="3" t="s">
        <v>327</v>
      </c>
      <c r="F83" s="3" t="s">
        <v>23</v>
      </c>
      <c r="G83" s="3" t="s">
        <v>105</v>
      </c>
      <c r="H83" s="3" t="s">
        <v>11</v>
      </c>
      <c r="I83" s="3" t="s">
        <v>7</v>
      </c>
      <c r="J83" s="3" t="s">
        <v>72</v>
      </c>
      <c r="K83" s="3" t="s">
        <v>55</v>
      </c>
      <c r="L83" s="3" t="s">
        <v>68</v>
      </c>
      <c r="M83">
        <v>1</v>
      </c>
    </row>
    <row r="84" spans="1:13" x14ac:dyDescent="0.25">
      <c r="A84" s="1">
        <v>46139</v>
      </c>
      <c r="B84" s="1" t="str">
        <f ca="1">IF(Información1[[#This Row],[Fecha]]='Ajuste de fechas'!$A$2,"Día actual","Día anterior")</f>
        <v>Día actual</v>
      </c>
      <c r="C84" s="3" t="s">
        <v>53</v>
      </c>
      <c r="D84" t="s">
        <v>54</v>
      </c>
      <c r="E84" s="3" t="s">
        <v>328</v>
      </c>
      <c r="F84" s="3" t="s">
        <v>28</v>
      </c>
      <c r="G84" s="3" t="s">
        <v>106</v>
      </c>
      <c r="H84" s="3" t="s">
        <v>11</v>
      </c>
      <c r="I84" s="3" t="s">
        <v>7</v>
      </c>
      <c r="J84" s="3" t="s">
        <v>67</v>
      </c>
      <c r="K84" s="3" t="s">
        <v>55</v>
      </c>
      <c r="L84" s="3" t="s">
        <v>68</v>
      </c>
      <c r="M84">
        <v>1</v>
      </c>
    </row>
    <row r="85" spans="1:13" x14ac:dyDescent="0.25">
      <c r="A85" s="1">
        <v>46139</v>
      </c>
      <c r="B85" s="1" t="str">
        <f ca="1">IF(Información1[[#This Row],[Fecha]]='Ajuste de fechas'!$A$2,"Día actual","Día anterior")</f>
        <v>Día actual</v>
      </c>
      <c r="C85" s="3" t="s">
        <v>53</v>
      </c>
      <c r="D85" t="s">
        <v>54</v>
      </c>
      <c r="E85" s="3" t="s">
        <v>328</v>
      </c>
      <c r="F85" s="3" t="s">
        <v>23</v>
      </c>
      <c r="G85" s="3" t="s">
        <v>106</v>
      </c>
      <c r="H85" s="3" t="s">
        <v>11</v>
      </c>
      <c r="I85" s="3" t="s">
        <v>7</v>
      </c>
      <c r="J85" s="3" t="s">
        <v>72</v>
      </c>
      <c r="K85" s="3" t="s">
        <v>55</v>
      </c>
      <c r="L85" s="3" t="s">
        <v>68</v>
      </c>
      <c r="M85">
        <v>1</v>
      </c>
    </row>
    <row r="86" spans="1:13" x14ac:dyDescent="0.25">
      <c r="A86" s="1">
        <v>46139</v>
      </c>
      <c r="B86" s="1" t="str">
        <f ca="1">IF(Información1[[#This Row],[Fecha]]='Ajuste de fechas'!$A$2,"Día actual","Día anterior")</f>
        <v>Día actual</v>
      </c>
      <c r="C86" s="3" t="s">
        <v>53</v>
      </c>
      <c r="D86" t="s">
        <v>54</v>
      </c>
      <c r="E86" s="3" t="s">
        <v>329</v>
      </c>
      <c r="F86" s="3" t="s">
        <v>19</v>
      </c>
      <c r="G86" s="3" t="s">
        <v>330</v>
      </c>
      <c r="H86" s="3" t="s">
        <v>11</v>
      </c>
      <c r="I86" s="3" t="s">
        <v>7</v>
      </c>
      <c r="J86" s="3" t="s">
        <v>71</v>
      </c>
      <c r="K86" s="3" t="s">
        <v>55</v>
      </c>
      <c r="L86" s="3" t="s">
        <v>68</v>
      </c>
      <c r="M86">
        <v>1</v>
      </c>
    </row>
    <row r="87" spans="1:13" x14ac:dyDescent="0.25">
      <c r="A87" s="1">
        <v>46139</v>
      </c>
      <c r="B87" s="1" t="str">
        <f ca="1">IF(Información1[[#This Row],[Fecha]]='Ajuste de fechas'!$A$2,"Día actual","Día anterior")</f>
        <v>Día actual</v>
      </c>
      <c r="C87" s="3" t="s">
        <v>53</v>
      </c>
      <c r="D87" t="s">
        <v>54</v>
      </c>
      <c r="E87" s="3" t="s">
        <v>331</v>
      </c>
      <c r="F87" s="3" t="s">
        <v>19</v>
      </c>
      <c r="G87" s="3" t="s">
        <v>43</v>
      </c>
      <c r="H87" s="3" t="s">
        <v>11</v>
      </c>
      <c r="I87" s="3" t="s">
        <v>7</v>
      </c>
      <c r="J87" s="3" t="s">
        <v>71</v>
      </c>
      <c r="K87" s="3" t="s">
        <v>55</v>
      </c>
      <c r="L87" s="3" t="s">
        <v>68</v>
      </c>
      <c r="M87">
        <v>1</v>
      </c>
    </row>
    <row r="88" spans="1:13" x14ac:dyDescent="0.25">
      <c r="A88" s="1">
        <v>46139</v>
      </c>
      <c r="B88" s="1" t="str">
        <f ca="1">IF(Información1[[#This Row],[Fecha]]='Ajuste de fechas'!$A$2,"Día actual","Día anterior")</f>
        <v>Día actual</v>
      </c>
      <c r="C88" s="3" t="s">
        <v>53</v>
      </c>
      <c r="D88" t="s">
        <v>54</v>
      </c>
      <c r="E88" s="3" t="s">
        <v>332</v>
      </c>
      <c r="F88" s="3" t="s">
        <v>23</v>
      </c>
      <c r="G88" s="3" t="s">
        <v>110</v>
      </c>
      <c r="H88" s="3" t="s">
        <v>11</v>
      </c>
      <c r="I88" s="3" t="s">
        <v>27</v>
      </c>
      <c r="J88" s="3" t="s">
        <v>72</v>
      </c>
      <c r="K88" s="3" t="s">
        <v>55</v>
      </c>
      <c r="L88" s="3" t="s">
        <v>68</v>
      </c>
      <c r="M88">
        <v>1</v>
      </c>
    </row>
    <row r="89" spans="1:13" x14ac:dyDescent="0.25">
      <c r="A89" s="1">
        <v>46139</v>
      </c>
      <c r="B89" s="1" t="str">
        <f ca="1">IF(Información1[[#This Row],[Fecha]]='Ajuste de fechas'!$A$2,"Día actual","Día anterior")</f>
        <v>Día actual</v>
      </c>
      <c r="C89" s="3" t="s">
        <v>53</v>
      </c>
      <c r="D89" t="s">
        <v>54</v>
      </c>
      <c r="E89" s="3" t="s">
        <v>333</v>
      </c>
      <c r="F89" s="3" t="s">
        <v>23</v>
      </c>
      <c r="G89" s="3" t="s">
        <v>117</v>
      </c>
      <c r="H89" s="3" t="s">
        <v>11</v>
      </c>
      <c r="I89" s="3" t="s">
        <v>7</v>
      </c>
      <c r="J89" s="3" t="s">
        <v>72</v>
      </c>
      <c r="K89" s="3" t="s">
        <v>55</v>
      </c>
      <c r="L89" s="3" t="s">
        <v>68</v>
      </c>
      <c r="M89">
        <v>1</v>
      </c>
    </row>
    <row r="90" spans="1:13" x14ac:dyDescent="0.25">
      <c r="A90" s="1">
        <v>46139</v>
      </c>
      <c r="B90" s="1" t="str">
        <f ca="1">IF(Información1[[#This Row],[Fecha]]='Ajuste de fechas'!$A$2,"Día actual","Día anterior")</f>
        <v>Día actual</v>
      </c>
      <c r="C90" s="3" t="s">
        <v>53</v>
      </c>
      <c r="D90" t="s">
        <v>54</v>
      </c>
      <c r="E90" s="3" t="s">
        <v>334</v>
      </c>
      <c r="F90" s="3" t="s">
        <v>28</v>
      </c>
      <c r="G90" s="3" t="s">
        <v>86</v>
      </c>
      <c r="H90" s="3" t="s">
        <v>11</v>
      </c>
      <c r="I90" s="3" t="s">
        <v>7</v>
      </c>
      <c r="J90" s="3" t="s">
        <v>67</v>
      </c>
      <c r="K90" s="3" t="s">
        <v>55</v>
      </c>
      <c r="L90" s="3" t="s">
        <v>68</v>
      </c>
      <c r="M90">
        <v>1</v>
      </c>
    </row>
    <row r="91" spans="1:13" x14ac:dyDescent="0.25">
      <c r="A91" s="1">
        <v>46139</v>
      </c>
      <c r="B91" s="1" t="str">
        <f ca="1">IF(Información1[[#This Row],[Fecha]]='Ajuste de fechas'!$A$2,"Día actual","Día anterior")</f>
        <v>Día actual</v>
      </c>
      <c r="C91" s="3" t="s">
        <v>53</v>
      </c>
      <c r="D91" t="s">
        <v>54</v>
      </c>
      <c r="E91" s="3" t="s">
        <v>334</v>
      </c>
      <c r="F91" s="3" t="s">
        <v>23</v>
      </c>
      <c r="G91" s="3" t="s">
        <v>86</v>
      </c>
      <c r="H91" s="3" t="s">
        <v>11</v>
      </c>
      <c r="I91" s="3" t="s">
        <v>7</v>
      </c>
      <c r="J91" s="3" t="s">
        <v>72</v>
      </c>
      <c r="K91" s="3" t="s">
        <v>55</v>
      </c>
      <c r="L91" s="3" t="s">
        <v>68</v>
      </c>
      <c r="M91">
        <v>1</v>
      </c>
    </row>
    <row r="92" spans="1:13" x14ac:dyDescent="0.25">
      <c r="A92" s="1">
        <v>46139</v>
      </c>
      <c r="B92" s="1" t="str">
        <f ca="1">IF(Información1[[#This Row],[Fecha]]='Ajuste de fechas'!$A$2,"Día actual","Día anterior")</f>
        <v>Día actual</v>
      </c>
      <c r="C92" s="3" t="s">
        <v>45</v>
      </c>
      <c r="D92" t="s">
        <v>46</v>
      </c>
      <c r="E92" s="3" t="s">
        <v>335</v>
      </c>
      <c r="F92" s="3" t="s">
        <v>23</v>
      </c>
      <c r="G92" s="3" t="s">
        <v>106</v>
      </c>
      <c r="H92" s="3" t="s">
        <v>42</v>
      </c>
      <c r="I92" s="3" t="s">
        <v>7</v>
      </c>
      <c r="J92" s="3" t="s">
        <v>72</v>
      </c>
      <c r="K92" s="3" t="s">
        <v>30</v>
      </c>
      <c r="L92" s="3" t="s">
        <v>69</v>
      </c>
      <c r="M92">
        <v>1</v>
      </c>
    </row>
    <row r="93" spans="1:13" x14ac:dyDescent="0.25">
      <c r="A93" s="1">
        <v>46139</v>
      </c>
      <c r="B93" s="1" t="str">
        <f ca="1">IF(Información1[[#This Row],[Fecha]]='Ajuste de fechas'!$A$2,"Día actual","Día anterior")</f>
        <v>Día actual</v>
      </c>
      <c r="C93" s="3" t="s">
        <v>45</v>
      </c>
      <c r="D93" t="s">
        <v>46</v>
      </c>
      <c r="E93" s="3" t="s">
        <v>336</v>
      </c>
      <c r="F93" s="3" t="s">
        <v>28</v>
      </c>
      <c r="G93" s="3" t="s">
        <v>114</v>
      </c>
      <c r="H93" s="3" t="s">
        <v>42</v>
      </c>
      <c r="I93" s="3" t="s">
        <v>7</v>
      </c>
      <c r="J93" s="3" t="s">
        <v>67</v>
      </c>
      <c r="K93" s="3" t="s">
        <v>30</v>
      </c>
      <c r="L93" s="3" t="s">
        <v>70</v>
      </c>
      <c r="M93">
        <v>1</v>
      </c>
    </row>
    <row r="94" spans="1:13" x14ac:dyDescent="0.25">
      <c r="A94" s="1">
        <v>46139</v>
      </c>
      <c r="B94" s="1" t="str">
        <f ca="1">IF(Información1[[#This Row],[Fecha]]='Ajuste de fechas'!$A$2,"Día actual","Día anterior")</f>
        <v>Día actual</v>
      </c>
      <c r="C94" s="3" t="s">
        <v>45</v>
      </c>
      <c r="D94" t="s">
        <v>46</v>
      </c>
      <c r="E94" s="3" t="s">
        <v>337</v>
      </c>
      <c r="F94" s="3" t="s">
        <v>23</v>
      </c>
      <c r="G94" s="3" t="s">
        <v>103</v>
      </c>
      <c r="H94" s="3" t="s">
        <v>42</v>
      </c>
      <c r="I94" s="3" t="s">
        <v>7</v>
      </c>
      <c r="J94" s="3" t="s">
        <v>72</v>
      </c>
      <c r="K94" s="3" t="s">
        <v>30</v>
      </c>
      <c r="L94" s="3" t="s">
        <v>68</v>
      </c>
      <c r="M94">
        <v>1</v>
      </c>
    </row>
    <row r="95" spans="1:13" x14ac:dyDescent="0.25">
      <c r="A95" s="1">
        <v>46139</v>
      </c>
      <c r="B95" s="1" t="str">
        <f ca="1">IF(Información1[[#This Row],[Fecha]]='Ajuste de fechas'!$A$2,"Día actual","Día anterior")</f>
        <v>Día actual</v>
      </c>
      <c r="C95" s="3" t="s">
        <v>45</v>
      </c>
      <c r="D95" t="s">
        <v>46</v>
      </c>
      <c r="E95" s="3" t="s">
        <v>338</v>
      </c>
      <c r="F95" s="3" t="s">
        <v>87</v>
      </c>
      <c r="G95" s="3" t="s">
        <v>83</v>
      </c>
      <c r="H95" s="3" t="s">
        <v>42</v>
      </c>
      <c r="I95" s="3" t="s">
        <v>7</v>
      </c>
      <c r="J95" s="3" t="s">
        <v>67</v>
      </c>
      <c r="K95" s="3" t="s">
        <v>30</v>
      </c>
      <c r="L95" s="3" t="s">
        <v>70</v>
      </c>
      <c r="M95">
        <v>1</v>
      </c>
    </row>
    <row r="96" spans="1:13" x14ac:dyDescent="0.25">
      <c r="A96" s="1">
        <v>46139</v>
      </c>
      <c r="B96" s="1" t="str">
        <f ca="1">IF(Información1[[#This Row],[Fecha]]='Ajuste de fechas'!$A$2,"Día actual","Día anterior")</f>
        <v>Día actual</v>
      </c>
      <c r="C96" s="3" t="s">
        <v>45</v>
      </c>
      <c r="D96" t="s">
        <v>46</v>
      </c>
      <c r="E96" s="3" t="s">
        <v>339</v>
      </c>
      <c r="F96" s="3" t="s">
        <v>19</v>
      </c>
      <c r="G96" s="3" t="s">
        <v>340</v>
      </c>
      <c r="H96" s="3" t="s">
        <v>42</v>
      </c>
      <c r="I96" s="3" t="s">
        <v>7</v>
      </c>
      <c r="J96" s="3" t="s">
        <v>71</v>
      </c>
      <c r="K96" s="3" t="s">
        <v>30</v>
      </c>
      <c r="L96" s="3" t="s">
        <v>68</v>
      </c>
      <c r="M96">
        <v>1</v>
      </c>
    </row>
    <row r="97" spans="1:13" x14ac:dyDescent="0.25">
      <c r="A97" s="1">
        <v>46139</v>
      </c>
      <c r="B97" s="1" t="str">
        <f ca="1">IF(Información1[[#This Row],[Fecha]]='Ajuste de fechas'!$A$2,"Día actual","Día anterior")</f>
        <v>Día actual</v>
      </c>
      <c r="C97" s="3" t="s">
        <v>45</v>
      </c>
      <c r="D97" t="s">
        <v>46</v>
      </c>
      <c r="E97" s="3" t="s">
        <v>341</v>
      </c>
      <c r="F97" s="3" t="s">
        <v>24</v>
      </c>
      <c r="G97" s="3" t="s">
        <v>342</v>
      </c>
      <c r="H97" s="3" t="s">
        <v>42</v>
      </c>
      <c r="I97" s="3" t="s">
        <v>7</v>
      </c>
      <c r="J97" s="3" t="s">
        <v>67</v>
      </c>
      <c r="K97" s="3" t="s">
        <v>30</v>
      </c>
      <c r="L97" s="3" t="s">
        <v>68</v>
      </c>
      <c r="M97">
        <v>1</v>
      </c>
    </row>
    <row r="98" spans="1:13" x14ac:dyDescent="0.25">
      <c r="A98" s="1">
        <v>46139</v>
      </c>
      <c r="B98" s="1" t="str">
        <f ca="1">IF(Información1[[#This Row],[Fecha]]='Ajuste de fechas'!$A$2,"Día actual","Día anterior")</f>
        <v>Día actual</v>
      </c>
      <c r="C98" s="3" t="s">
        <v>45</v>
      </c>
      <c r="D98" t="s">
        <v>46</v>
      </c>
      <c r="E98" s="3" t="s">
        <v>275</v>
      </c>
      <c r="F98" s="3" t="s">
        <v>19</v>
      </c>
      <c r="G98" s="3" t="s">
        <v>276</v>
      </c>
      <c r="H98" s="3" t="s">
        <v>42</v>
      </c>
      <c r="I98" s="3" t="s">
        <v>7</v>
      </c>
      <c r="J98" s="3" t="s">
        <v>71</v>
      </c>
      <c r="K98" s="3" t="s">
        <v>30</v>
      </c>
      <c r="L98" s="3" t="s">
        <v>68</v>
      </c>
      <c r="M98">
        <v>1</v>
      </c>
    </row>
    <row r="99" spans="1:13" x14ac:dyDescent="0.25">
      <c r="A99" s="1">
        <v>46139</v>
      </c>
      <c r="B99" s="1" t="str">
        <f ca="1">IF(Información1[[#This Row],[Fecha]]='Ajuste de fechas'!$A$2,"Día actual","Día anterior")</f>
        <v>Día actual</v>
      </c>
      <c r="C99" s="3" t="s">
        <v>45</v>
      </c>
      <c r="D99" t="s">
        <v>46</v>
      </c>
      <c r="E99" s="3" t="s">
        <v>343</v>
      </c>
      <c r="F99" s="3" t="s">
        <v>23</v>
      </c>
      <c r="G99" s="3" t="s">
        <v>106</v>
      </c>
      <c r="H99" s="3" t="s">
        <v>42</v>
      </c>
      <c r="I99" s="3" t="s">
        <v>7</v>
      </c>
      <c r="J99" s="3" t="s">
        <v>72</v>
      </c>
      <c r="K99" s="3" t="s">
        <v>30</v>
      </c>
      <c r="L99" s="3" t="s">
        <v>68</v>
      </c>
      <c r="M99">
        <v>1</v>
      </c>
    </row>
    <row r="100" spans="1:13" x14ac:dyDescent="0.25">
      <c r="A100" s="1">
        <v>46139</v>
      </c>
      <c r="B100" s="1" t="str">
        <f ca="1">IF(Información1[[#This Row],[Fecha]]='Ajuste de fechas'!$A$2,"Día actual","Día anterior")</f>
        <v>Día actual</v>
      </c>
      <c r="C100" s="3" t="s">
        <v>45</v>
      </c>
      <c r="D100" t="s">
        <v>46</v>
      </c>
      <c r="E100" s="3" t="s">
        <v>344</v>
      </c>
      <c r="F100" s="3" t="s">
        <v>28</v>
      </c>
      <c r="G100" s="3" t="s">
        <v>105</v>
      </c>
      <c r="H100" s="3" t="s">
        <v>42</v>
      </c>
      <c r="I100" s="3" t="s">
        <v>7</v>
      </c>
      <c r="J100" s="3" t="s">
        <v>67</v>
      </c>
      <c r="K100" s="3" t="s">
        <v>30</v>
      </c>
      <c r="L100" s="3" t="s">
        <v>70</v>
      </c>
      <c r="M100">
        <v>1</v>
      </c>
    </row>
    <row r="101" spans="1:13" x14ac:dyDescent="0.25">
      <c r="A101" s="1">
        <v>46136</v>
      </c>
      <c r="B101" s="1" t="str">
        <f ca="1">IF(Información1[[#This Row],[Fecha]]='Ajuste de fechas'!$A$2,"Día actual","Día anterior")</f>
        <v>Día anterior</v>
      </c>
      <c r="C101" s="3" t="s">
        <v>48</v>
      </c>
      <c r="D101" t="s">
        <v>51</v>
      </c>
      <c r="E101" s="3" t="s">
        <v>119</v>
      </c>
      <c r="F101" s="3" t="s">
        <v>6</v>
      </c>
      <c r="G101" s="3" t="s">
        <v>120</v>
      </c>
      <c r="H101" s="3" t="s">
        <v>11</v>
      </c>
      <c r="I101" s="3" t="s">
        <v>27</v>
      </c>
      <c r="J101" s="3" t="s">
        <v>67</v>
      </c>
      <c r="K101" s="3" t="s">
        <v>9</v>
      </c>
      <c r="L101" s="3" t="s">
        <v>69</v>
      </c>
      <c r="M101">
        <v>1</v>
      </c>
    </row>
    <row r="102" spans="1:13" x14ac:dyDescent="0.25">
      <c r="A102" s="1">
        <v>46136</v>
      </c>
      <c r="B102" s="1" t="str">
        <f ca="1">IF(Información1[[#This Row],[Fecha]]='Ajuste de fechas'!$A$2,"Día actual","Día anterior")</f>
        <v>Día anterior</v>
      </c>
      <c r="C102" s="3" t="s">
        <v>48</v>
      </c>
      <c r="D102" t="s">
        <v>51</v>
      </c>
      <c r="E102" s="3" t="s">
        <v>121</v>
      </c>
      <c r="F102" s="3" t="s">
        <v>21</v>
      </c>
      <c r="G102" s="3" t="s">
        <v>113</v>
      </c>
      <c r="H102" s="3" t="s">
        <v>11</v>
      </c>
      <c r="I102" s="3" t="s">
        <v>12</v>
      </c>
      <c r="J102" s="3" t="s">
        <v>67</v>
      </c>
      <c r="K102" s="3" t="s">
        <v>49</v>
      </c>
      <c r="L102" s="3" t="s">
        <v>68</v>
      </c>
      <c r="M102">
        <v>1</v>
      </c>
    </row>
    <row r="103" spans="1:13" x14ac:dyDescent="0.25">
      <c r="A103" s="1">
        <v>46136</v>
      </c>
      <c r="B103" s="1" t="str">
        <f ca="1">IF(Información1[[#This Row],[Fecha]]='Ajuste de fechas'!$A$2,"Día actual","Día anterior")</f>
        <v>Día anterior</v>
      </c>
      <c r="C103" s="3" t="s">
        <v>48</v>
      </c>
      <c r="D103" t="s">
        <v>51</v>
      </c>
      <c r="E103" s="3" t="s">
        <v>122</v>
      </c>
      <c r="F103" s="3" t="s">
        <v>28</v>
      </c>
      <c r="G103" s="3" t="s">
        <v>114</v>
      </c>
      <c r="H103" s="3" t="s">
        <v>11</v>
      </c>
      <c r="I103" s="3" t="s">
        <v>7</v>
      </c>
      <c r="J103" s="3" t="s">
        <v>67</v>
      </c>
      <c r="K103" s="3" t="s">
        <v>49</v>
      </c>
      <c r="L103" s="3" t="s">
        <v>70</v>
      </c>
      <c r="M103">
        <v>1</v>
      </c>
    </row>
    <row r="104" spans="1:13" x14ac:dyDescent="0.25">
      <c r="A104" s="1">
        <v>46136</v>
      </c>
      <c r="B104" s="1" t="str">
        <f ca="1">IF(Información1[[#This Row],[Fecha]]='Ajuste de fechas'!$A$2,"Día actual","Día anterior")</f>
        <v>Día anterior</v>
      </c>
      <c r="C104" s="3" t="s">
        <v>31</v>
      </c>
      <c r="D104" t="s">
        <v>33</v>
      </c>
      <c r="E104" s="3" t="s">
        <v>123</v>
      </c>
      <c r="F104" s="3" t="s">
        <v>116</v>
      </c>
      <c r="G104" s="3" t="s">
        <v>124</v>
      </c>
      <c r="H104" s="3" t="s">
        <v>11</v>
      </c>
      <c r="I104" s="3" t="s">
        <v>27</v>
      </c>
      <c r="J104" s="3" t="s">
        <v>125</v>
      </c>
      <c r="K104" s="3" t="s">
        <v>32</v>
      </c>
      <c r="L104" s="3" t="s">
        <v>69</v>
      </c>
      <c r="M104">
        <v>1</v>
      </c>
    </row>
    <row r="105" spans="1:13" x14ac:dyDescent="0.25">
      <c r="A105" s="1">
        <v>46136</v>
      </c>
      <c r="B105" s="1" t="str">
        <f ca="1">IF(Información1[[#This Row],[Fecha]]='Ajuste de fechas'!$A$2,"Día actual","Día anterior")</f>
        <v>Día anterior</v>
      </c>
      <c r="C105" s="3" t="s">
        <v>31</v>
      </c>
      <c r="D105" t="s">
        <v>33</v>
      </c>
      <c r="E105" s="3" t="s">
        <v>126</v>
      </c>
      <c r="F105" s="3" t="s">
        <v>23</v>
      </c>
      <c r="G105" s="3" t="s">
        <v>106</v>
      </c>
      <c r="H105" s="3" t="s">
        <v>11</v>
      </c>
      <c r="I105" s="3" t="s">
        <v>7</v>
      </c>
      <c r="J105" s="3" t="s">
        <v>72</v>
      </c>
      <c r="K105" s="3" t="s">
        <v>32</v>
      </c>
      <c r="L105" s="3" t="s">
        <v>68</v>
      </c>
      <c r="M105">
        <v>1</v>
      </c>
    </row>
    <row r="106" spans="1:13" x14ac:dyDescent="0.25">
      <c r="A106" s="1">
        <v>46136</v>
      </c>
      <c r="B106" s="1" t="str">
        <f ca="1">IF(Información1[[#This Row],[Fecha]]='Ajuste de fechas'!$A$2,"Día actual","Día anterior")</f>
        <v>Día anterior</v>
      </c>
      <c r="C106" s="3" t="s">
        <v>31</v>
      </c>
      <c r="D106" t="s">
        <v>33</v>
      </c>
      <c r="E106" s="3" t="s">
        <v>127</v>
      </c>
      <c r="F106" s="3" t="s">
        <v>19</v>
      </c>
      <c r="G106" s="3" t="s">
        <v>128</v>
      </c>
      <c r="H106" s="3" t="s">
        <v>11</v>
      </c>
      <c r="I106" s="3" t="s">
        <v>7</v>
      </c>
      <c r="J106" s="3" t="s">
        <v>71</v>
      </c>
      <c r="K106" s="3" t="s">
        <v>32</v>
      </c>
      <c r="L106" s="3" t="s">
        <v>68</v>
      </c>
      <c r="M106">
        <v>1</v>
      </c>
    </row>
    <row r="107" spans="1:13" x14ac:dyDescent="0.25">
      <c r="A107" s="1">
        <v>46136</v>
      </c>
      <c r="B107" s="1" t="str">
        <f ca="1">IF(Información1[[#This Row],[Fecha]]='Ajuste de fechas'!$A$2,"Día actual","Día anterior")</f>
        <v>Día anterior</v>
      </c>
      <c r="C107" s="3" t="s">
        <v>31</v>
      </c>
      <c r="D107" t="s">
        <v>33</v>
      </c>
      <c r="E107" s="3" t="s">
        <v>129</v>
      </c>
      <c r="F107" s="3" t="s">
        <v>22</v>
      </c>
      <c r="G107" s="3" t="s">
        <v>111</v>
      </c>
      <c r="H107" s="3" t="s">
        <v>11</v>
      </c>
      <c r="I107" s="3" t="s">
        <v>7</v>
      </c>
      <c r="J107" s="3" t="s">
        <v>26</v>
      </c>
      <c r="K107" s="3" t="s">
        <v>32</v>
      </c>
      <c r="L107" s="3" t="s">
        <v>68</v>
      </c>
      <c r="M107">
        <v>1</v>
      </c>
    </row>
    <row r="108" spans="1:13" x14ac:dyDescent="0.25">
      <c r="A108" s="1">
        <v>46136</v>
      </c>
      <c r="B108" s="1" t="str">
        <f ca="1">IF(Información1[[#This Row],[Fecha]]='Ajuste de fechas'!$A$2,"Día actual","Día anterior")</f>
        <v>Día anterior</v>
      </c>
      <c r="C108" s="3" t="s">
        <v>31</v>
      </c>
      <c r="D108" t="s">
        <v>33</v>
      </c>
      <c r="E108" s="3" t="s">
        <v>130</v>
      </c>
      <c r="F108" s="3" t="s">
        <v>21</v>
      </c>
      <c r="G108" s="3" t="s">
        <v>96</v>
      </c>
      <c r="H108" s="3" t="s">
        <v>11</v>
      </c>
      <c r="I108" s="3" t="s">
        <v>7</v>
      </c>
      <c r="J108" s="3" t="s">
        <v>67</v>
      </c>
      <c r="K108" s="3" t="s">
        <v>32</v>
      </c>
      <c r="L108" s="3" t="s">
        <v>70</v>
      </c>
      <c r="M108">
        <v>1</v>
      </c>
    </row>
    <row r="109" spans="1:13" x14ac:dyDescent="0.25">
      <c r="A109" s="1">
        <v>46136</v>
      </c>
      <c r="B109" s="1" t="str">
        <f ca="1">IF(Información1[[#This Row],[Fecha]]='Ajuste de fechas'!$A$2,"Día actual","Día anterior")</f>
        <v>Día anterior</v>
      </c>
      <c r="C109" s="3" t="s">
        <v>31</v>
      </c>
      <c r="D109" t="s">
        <v>33</v>
      </c>
      <c r="E109" s="3" t="s">
        <v>131</v>
      </c>
      <c r="F109" s="3" t="s">
        <v>21</v>
      </c>
      <c r="G109" s="3" t="s">
        <v>132</v>
      </c>
      <c r="H109" s="3" t="s">
        <v>11</v>
      </c>
      <c r="I109" s="3" t="s">
        <v>7</v>
      </c>
      <c r="J109" s="3" t="s">
        <v>67</v>
      </c>
      <c r="K109" s="3" t="s">
        <v>32</v>
      </c>
      <c r="L109" s="3" t="s">
        <v>70</v>
      </c>
      <c r="M109">
        <v>1</v>
      </c>
    </row>
    <row r="110" spans="1:13" x14ac:dyDescent="0.25">
      <c r="A110" s="1">
        <v>46136</v>
      </c>
      <c r="B110" s="1" t="str">
        <f ca="1">IF(Información1[[#This Row],[Fecha]]='Ajuste de fechas'!$A$2,"Día actual","Día anterior")</f>
        <v>Día anterior</v>
      </c>
      <c r="C110" s="3" t="s">
        <v>31</v>
      </c>
      <c r="D110" t="s">
        <v>33</v>
      </c>
      <c r="E110" s="3" t="s">
        <v>133</v>
      </c>
      <c r="F110" s="3" t="s">
        <v>52</v>
      </c>
      <c r="G110" s="3" t="s">
        <v>134</v>
      </c>
      <c r="H110" s="3" t="s">
        <v>11</v>
      </c>
      <c r="I110" s="3" t="s">
        <v>7</v>
      </c>
      <c r="J110" s="3" t="s">
        <v>67</v>
      </c>
      <c r="K110" s="3" t="s">
        <v>32</v>
      </c>
      <c r="L110" s="3" t="s">
        <v>70</v>
      </c>
      <c r="M110">
        <v>1</v>
      </c>
    </row>
    <row r="111" spans="1:13" x14ac:dyDescent="0.25">
      <c r="A111" s="1">
        <v>46136</v>
      </c>
      <c r="B111" s="1" t="str">
        <f ca="1">IF(Información1[[#This Row],[Fecha]]='Ajuste de fechas'!$A$2,"Día actual","Día anterior")</f>
        <v>Día anterior</v>
      </c>
      <c r="C111" s="3" t="s">
        <v>31</v>
      </c>
      <c r="D111" t="s">
        <v>33</v>
      </c>
      <c r="E111" s="3" t="s">
        <v>135</v>
      </c>
      <c r="F111" s="3" t="s">
        <v>25</v>
      </c>
      <c r="G111" s="3" t="s">
        <v>136</v>
      </c>
      <c r="H111" s="3" t="s">
        <v>11</v>
      </c>
      <c r="I111" s="3" t="s">
        <v>7</v>
      </c>
      <c r="J111" s="3" t="s">
        <v>67</v>
      </c>
      <c r="K111" s="3" t="s">
        <v>32</v>
      </c>
      <c r="L111" s="3" t="s">
        <v>70</v>
      </c>
      <c r="M111">
        <v>1</v>
      </c>
    </row>
    <row r="112" spans="1:13" x14ac:dyDescent="0.25">
      <c r="A112" s="1">
        <v>46136</v>
      </c>
      <c r="B112" s="1" t="str">
        <f ca="1">IF(Información1[[#This Row],[Fecha]]='Ajuste de fechas'!$A$2,"Día actual","Día anterior")</f>
        <v>Día anterior</v>
      </c>
      <c r="C112" s="3" t="s">
        <v>31</v>
      </c>
      <c r="D112" t="s">
        <v>33</v>
      </c>
      <c r="E112" s="3" t="s">
        <v>137</v>
      </c>
      <c r="F112" s="3" t="s">
        <v>15</v>
      </c>
      <c r="G112" s="3" t="s">
        <v>107</v>
      </c>
      <c r="H112" s="3" t="s">
        <v>11</v>
      </c>
      <c r="I112" s="3" t="s">
        <v>7</v>
      </c>
      <c r="J112" s="3" t="s">
        <v>67</v>
      </c>
      <c r="K112" s="3" t="s">
        <v>32</v>
      </c>
      <c r="L112" s="3" t="s">
        <v>70</v>
      </c>
      <c r="M112">
        <v>1</v>
      </c>
    </row>
    <row r="113" spans="1:13" x14ac:dyDescent="0.25">
      <c r="A113" s="1">
        <v>46136</v>
      </c>
      <c r="B113" s="1" t="str">
        <f ca="1">IF(Información1[[#This Row],[Fecha]]='Ajuste de fechas'!$A$2,"Día actual","Día anterior")</f>
        <v>Día anterior</v>
      </c>
      <c r="C113" s="3" t="s">
        <v>31</v>
      </c>
      <c r="D113" t="s">
        <v>33</v>
      </c>
      <c r="E113" s="3" t="s">
        <v>138</v>
      </c>
      <c r="F113" s="3" t="s">
        <v>93</v>
      </c>
      <c r="G113" s="3" t="s">
        <v>109</v>
      </c>
      <c r="H113" s="3" t="s">
        <v>11</v>
      </c>
      <c r="I113" s="3" t="s">
        <v>7</v>
      </c>
      <c r="J113" s="3" t="s">
        <v>67</v>
      </c>
      <c r="K113" s="3" t="s">
        <v>32</v>
      </c>
      <c r="L113" s="3" t="s">
        <v>70</v>
      </c>
      <c r="M113">
        <v>1</v>
      </c>
    </row>
    <row r="114" spans="1:13" x14ac:dyDescent="0.25">
      <c r="A114" s="1">
        <v>46136</v>
      </c>
      <c r="B114" s="1" t="str">
        <f ca="1">IF(Información1[[#This Row],[Fecha]]='Ajuste de fechas'!$A$2,"Día actual","Día anterior")</f>
        <v>Día anterior</v>
      </c>
      <c r="C114" s="3" t="s">
        <v>31</v>
      </c>
      <c r="D114" t="s">
        <v>33</v>
      </c>
      <c r="E114" s="3" t="s">
        <v>139</v>
      </c>
      <c r="F114" s="3" t="s">
        <v>91</v>
      </c>
      <c r="G114" s="3" t="s">
        <v>85</v>
      </c>
      <c r="H114" s="3" t="s">
        <v>11</v>
      </c>
      <c r="I114" s="3" t="s">
        <v>7</v>
      </c>
      <c r="J114" s="3" t="s">
        <v>67</v>
      </c>
      <c r="K114" s="3" t="s">
        <v>32</v>
      </c>
      <c r="L114" s="3" t="s">
        <v>70</v>
      </c>
      <c r="M114">
        <v>1</v>
      </c>
    </row>
    <row r="115" spans="1:13" x14ac:dyDescent="0.25">
      <c r="A115" s="1">
        <v>46136</v>
      </c>
      <c r="B115" s="1" t="str">
        <f ca="1">IF(Información1[[#This Row],[Fecha]]='Ajuste de fechas'!$A$2,"Día actual","Día anterior")</f>
        <v>Día anterior</v>
      </c>
      <c r="C115" s="3" t="s">
        <v>31</v>
      </c>
      <c r="D115" t="s">
        <v>33</v>
      </c>
      <c r="E115" s="3" t="s">
        <v>140</v>
      </c>
      <c r="F115" s="3" t="s">
        <v>93</v>
      </c>
      <c r="G115" s="3" t="s">
        <v>141</v>
      </c>
      <c r="H115" s="3" t="s">
        <v>11</v>
      </c>
      <c r="I115" s="3" t="s">
        <v>7</v>
      </c>
      <c r="J115" s="3" t="s">
        <v>67</v>
      </c>
      <c r="K115" s="3" t="s">
        <v>32</v>
      </c>
      <c r="L115" s="3" t="s">
        <v>70</v>
      </c>
      <c r="M115">
        <v>1</v>
      </c>
    </row>
    <row r="116" spans="1:13" x14ac:dyDescent="0.25">
      <c r="A116" s="1">
        <v>46136</v>
      </c>
      <c r="B116" s="1" t="str">
        <f ca="1">IF(Información1[[#This Row],[Fecha]]='Ajuste de fechas'!$A$2,"Día actual","Día anterior")</f>
        <v>Día anterior</v>
      </c>
      <c r="C116" s="3" t="s">
        <v>31</v>
      </c>
      <c r="D116" t="s">
        <v>33</v>
      </c>
      <c r="E116" s="3" t="s">
        <v>142</v>
      </c>
      <c r="F116" s="3" t="s">
        <v>87</v>
      </c>
      <c r="G116" s="3" t="s">
        <v>108</v>
      </c>
      <c r="H116" s="3" t="s">
        <v>11</v>
      </c>
      <c r="I116" s="3" t="s">
        <v>7</v>
      </c>
      <c r="J116" s="3" t="s">
        <v>67</v>
      </c>
      <c r="K116" s="3" t="s">
        <v>32</v>
      </c>
      <c r="L116" s="3" t="s">
        <v>70</v>
      </c>
      <c r="M116">
        <v>1</v>
      </c>
    </row>
    <row r="117" spans="1:13" x14ac:dyDescent="0.25">
      <c r="A117" s="1">
        <v>46136</v>
      </c>
      <c r="B117" s="1" t="str">
        <f ca="1">IF(Información1[[#This Row],[Fecha]]='Ajuste de fechas'!$A$2,"Día actual","Día anterior")</f>
        <v>Día anterior</v>
      </c>
      <c r="C117" s="3" t="s">
        <v>31</v>
      </c>
      <c r="D117" t="s">
        <v>33</v>
      </c>
      <c r="E117" s="3" t="s">
        <v>143</v>
      </c>
      <c r="F117" s="3" t="s">
        <v>94</v>
      </c>
      <c r="G117" s="3" t="s">
        <v>144</v>
      </c>
      <c r="H117" s="3" t="s">
        <v>11</v>
      </c>
      <c r="I117" s="3" t="s">
        <v>7</v>
      </c>
      <c r="J117" s="3" t="s">
        <v>67</v>
      </c>
      <c r="K117" s="3" t="s">
        <v>32</v>
      </c>
      <c r="L117" s="3" t="s">
        <v>70</v>
      </c>
      <c r="M117">
        <v>1</v>
      </c>
    </row>
    <row r="118" spans="1:13" x14ac:dyDescent="0.25">
      <c r="A118" s="1">
        <v>46136</v>
      </c>
      <c r="B118" s="1" t="str">
        <f ca="1">IF(Información1[[#This Row],[Fecha]]='Ajuste de fechas'!$A$2,"Día actual","Día anterior")</f>
        <v>Día anterior</v>
      </c>
      <c r="C118" s="3" t="s">
        <v>31</v>
      </c>
      <c r="D118" t="s">
        <v>33</v>
      </c>
      <c r="E118" s="3" t="s">
        <v>145</v>
      </c>
      <c r="F118" s="3" t="s">
        <v>52</v>
      </c>
      <c r="G118" s="3" t="s">
        <v>81</v>
      </c>
      <c r="H118" s="3" t="s">
        <v>11</v>
      </c>
      <c r="I118" s="3" t="s">
        <v>7</v>
      </c>
      <c r="J118" s="3" t="s">
        <v>67</v>
      </c>
      <c r="K118" s="3" t="s">
        <v>32</v>
      </c>
      <c r="L118" s="3" t="s">
        <v>70</v>
      </c>
      <c r="M118">
        <v>1</v>
      </c>
    </row>
    <row r="119" spans="1:13" x14ac:dyDescent="0.25">
      <c r="A119" s="1">
        <v>46136</v>
      </c>
      <c r="B119" s="1" t="str">
        <f ca="1">IF(Información1[[#This Row],[Fecha]]='Ajuste de fechas'!$A$2,"Día actual","Día anterior")</f>
        <v>Día anterior</v>
      </c>
      <c r="C119" s="3" t="s">
        <v>48</v>
      </c>
      <c r="D119" t="s">
        <v>50</v>
      </c>
      <c r="E119" s="3" t="s">
        <v>146</v>
      </c>
      <c r="F119" s="3" t="s">
        <v>19</v>
      </c>
      <c r="G119" s="3" t="s">
        <v>117</v>
      </c>
      <c r="H119" s="3" t="s">
        <v>11</v>
      </c>
      <c r="I119" s="3" t="s">
        <v>7</v>
      </c>
      <c r="J119" s="3" t="s">
        <v>71</v>
      </c>
      <c r="K119" s="3" t="s">
        <v>49</v>
      </c>
      <c r="L119" s="3" t="s">
        <v>68</v>
      </c>
      <c r="M119">
        <v>1</v>
      </c>
    </row>
    <row r="120" spans="1:13" x14ac:dyDescent="0.25">
      <c r="A120" s="1">
        <v>46136</v>
      </c>
      <c r="B120" s="1" t="str">
        <f ca="1">IF(Información1[[#This Row],[Fecha]]='Ajuste de fechas'!$A$2,"Día actual","Día anterior")</f>
        <v>Día anterior</v>
      </c>
      <c r="C120" s="3" t="s">
        <v>48</v>
      </c>
      <c r="D120" t="s">
        <v>50</v>
      </c>
      <c r="E120" s="3" t="s">
        <v>147</v>
      </c>
      <c r="F120" s="3" t="s">
        <v>19</v>
      </c>
      <c r="G120" s="3" t="s">
        <v>148</v>
      </c>
      <c r="H120" s="3" t="s">
        <v>11</v>
      </c>
      <c r="I120" s="3" t="s">
        <v>7</v>
      </c>
      <c r="J120" s="3" t="s">
        <v>71</v>
      </c>
      <c r="K120" s="3" t="s">
        <v>49</v>
      </c>
      <c r="L120" s="3" t="s">
        <v>68</v>
      </c>
      <c r="M120">
        <v>1</v>
      </c>
    </row>
    <row r="121" spans="1:13" x14ac:dyDescent="0.25">
      <c r="A121" s="1">
        <v>46136</v>
      </c>
      <c r="B121" s="1" t="str">
        <f ca="1">IF(Información1[[#This Row],[Fecha]]='Ajuste de fechas'!$A$2,"Día actual","Día anterior")</f>
        <v>Día anterior</v>
      </c>
      <c r="C121" s="3" t="s">
        <v>48</v>
      </c>
      <c r="D121" t="s">
        <v>50</v>
      </c>
      <c r="E121" s="3" t="s">
        <v>135</v>
      </c>
      <c r="F121" s="3" t="s">
        <v>25</v>
      </c>
      <c r="G121" s="3" t="s">
        <v>136</v>
      </c>
      <c r="H121" s="3" t="s">
        <v>11</v>
      </c>
      <c r="I121" s="3" t="s">
        <v>7</v>
      </c>
      <c r="J121" s="3" t="s">
        <v>67</v>
      </c>
      <c r="K121" s="3" t="s">
        <v>40</v>
      </c>
      <c r="L121" s="3" t="s">
        <v>70</v>
      </c>
      <c r="M121">
        <v>1</v>
      </c>
    </row>
    <row r="122" spans="1:13" x14ac:dyDescent="0.25">
      <c r="A122" s="1">
        <v>46136</v>
      </c>
      <c r="B122" s="1" t="str">
        <f ca="1">IF(Información1[[#This Row],[Fecha]]='Ajuste de fechas'!$A$2,"Día actual","Día anterior")</f>
        <v>Día anterior</v>
      </c>
      <c r="C122" s="3" t="s">
        <v>48</v>
      </c>
      <c r="D122" t="s">
        <v>50</v>
      </c>
      <c r="E122" s="3" t="s">
        <v>145</v>
      </c>
      <c r="F122" s="3" t="s">
        <v>52</v>
      </c>
      <c r="G122" s="3" t="s">
        <v>81</v>
      </c>
      <c r="H122" s="3" t="s">
        <v>11</v>
      </c>
      <c r="I122" s="3" t="s">
        <v>7</v>
      </c>
      <c r="J122" s="3" t="s">
        <v>67</v>
      </c>
      <c r="K122" s="3" t="s">
        <v>40</v>
      </c>
      <c r="L122" s="3" t="s">
        <v>70</v>
      </c>
      <c r="M122">
        <v>1</v>
      </c>
    </row>
    <row r="123" spans="1:13" x14ac:dyDescent="0.25">
      <c r="A123" s="1">
        <v>46136</v>
      </c>
      <c r="B123" s="1" t="str">
        <f ca="1">IF(Información1[[#This Row],[Fecha]]='Ajuste de fechas'!$A$2,"Día actual","Día anterior")</f>
        <v>Día anterior</v>
      </c>
      <c r="C123" s="3" t="s">
        <v>48</v>
      </c>
      <c r="D123" t="s">
        <v>50</v>
      </c>
      <c r="E123" s="3" t="s">
        <v>149</v>
      </c>
      <c r="F123" s="3" t="s">
        <v>24</v>
      </c>
      <c r="G123" s="3" t="s">
        <v>150</v>
      </c>
      <c r="H123" s="3" t="s">
        <v>11</v>
      </c>
      <c r="I123" s="3" t="s">
        <v>7</v>
      </c>
      <c r="J123" s="3" t="s">
        <v>67</v>
      </c>
      <c r="K123" s="3" t="s">
        <v>40</v>
      </c>
      <c r="L123" s="3" t="s">
        <v>70</v>
      </c>
      <c r="M123">
        <v>1</v>
      </c>
    </row>
    <row r="124" spans="1:13" x14ac:dyDescent="0.25">
      <c r="A124" s="1">
        <v>46136</v>
      </c>
      <c r="B124" s="1" t="str">
        <f ca="1">IF(Información1[[#This Row],[Fecha]]='Ajuste de fechas'!$A$2,"Día actual","Día anterior")</f>
        <v>Día anterior</v>
      </c>
      <c r="C124" s="3" t="s">
        <v>35</v>
      </c>
      <c r="D124" t="s">
        <v>37</v>
      </c>
      <c r="E124" s="3" t="s">
        <v>151</v>
      </c>
      <c r="F124" s="3" t="s">
        <v>44</v>
      </c>
      <c r="G124" s="3" t="s">
        <v>152</v>
      </c>
      <c r="H124" s="3" t="s">
        <v>11</v>
      </c>
      <c r="I124" s="3" t="s">
        <v>27</v>
      </c>
      <c r="J124" s="3" t="s">
        <v>67</v>
      </c>
      <c r="K124" s="3" t="s">
        <v>59</v>
      </c>
      <c r="L124" s="3" t="s">
        <v>68</v>
      </c>
      <c r="M124">
        <v>1</v>
      </c>
    </row>
    <row r="125" spans="1:13" x14ac:dyDescent="0.25">
      <c r="A125" s="1">
        <v>46136</v>
      </c>
      <c r="B125" s="1" t="str">
        <f ca="1">IF(Información1[[#This Row],[Fecha]]='Ajuste de fechas'!$A$2,"Día actual","Día anterior")</f>
        <v>Día anterior</v>
      </c>
      <c r="C125" s="3" t="s">
        <v>35</v>
      </c>
      <c r="D125" t="s">
        <v>37</v>
      </c>
      <c r="E125" s="3" t="s">
        <v>153</v>
      </c>
      <c r="F125" s="3" t="s">
        <v>19</v>
      </c>
      <c r="G125" s="3" t="s">
        <v>88</v>
      </c>
      <c r="H125" s="3" t="s">
        <v>11</v>
      </c>
      <c r="I125" s="3" t="s">
        <v>7</v>
      </c>
      <c r="J125" s="3" t="s">
        <v>71</v>
      </c>
      <c r="K125" s="3" t="s">
        <v>9</v>
      </c>
      <c r="L125" s="3" t="s">
        <v>69</v>
      </c>
      <c r="M125">
        <v>1</v>
      </c>
    </row>
    <row r="126" spans="1:13" x14ac:dyDescent="0.25">
      <c r="A126" s="1">
        <v>46136</v>
      </c>
      <c r="B126" s="1" t="str">
        <f ca="1">IF(Información1[[#This Row],[Fecha]]='Ajuste de fechas'!$A$2,"Día actual","Día anterior")</f>
        <v>Día anterior</v>
      </c>
      <c r="C126" s="3" t="s">
        <v>35</v>
      </c>
      <c r="D126" t="s">
        <v>37</v>
      </c>
      <c r="E126" s="3" t="s">
        <v>154</v>
      </c>
      <c r="F126" s="3" t="s">
        <v>26</v>
      </c>
      <c r="G126" s="3" t="s">
        <v>101</v>
      </c>
      <c r="H126" s="3" t="s">
        <v>11</v>
      </c>
      <c r="I126" s="3" t="s">
        <v>7</v>
      </c>
      <c r="J126" s="3" t="s">
        <v>26</v>
      </c>
      <c r="K126" s="3" t="s">
        <v>59</v>
      </c>
      <c r="L126" s="3" t="s">
        <v>69</v>
      </c>
      <c r="M126">
        <v>1</v>
      </c>
    </row>
    <row r="127" spans="1:13" x14ac:dyDescent="0.25">
      <c r="A127" s="1">
        <v>46136</v>
      </c>
      <c r="B127" s="1" t="str">
        <f ca="1">IF(Información1[[#This Row],[Fecha]]='Ajuste de fechas'!$A$2,"Día actual","Día anterior")</f>
        <v>Día anterior</v>
      </c>
      <c r="C127" s="3" t="s">
        <v>35</v>
      </c>
      <c r="D127" t="s">
        <v>37</v>
      </c>
      <c r="E127" s="3" t="s">
        <v>155</v>
      </c>
      <c r="F127" s="3" t="s">
        <v>22</v>
      </c>
      <c r="G127" s="3" t="s">
        <v>101</v>
      </c>
      <c r="H127" s="3" t="s">
        <v>11</v>
      </c>
      <c r="I127" s="3" t="s">
        <v>7</v>
      </c>
      <c r="J127" s="3" t="s">
        <v>26</v>
      </c>
      <c r="K127" s="3" t="s">
        <v>59</v>
      </c>
      <c r="L127" s="3" t="s">
        <v>68</v>
      </c>
      <c r="M127">
        <v>1</v>
      </c>
    </row>
    <row r="128" spans="1:13" x14ac:dyDescent="0.25">
      <c r="A128" s="1">
        <v>46136</v>
      </c>
      <c r="B128" s="1" t="str">
        <f ca="1">IF(Información1[[#This Row],[Fecha]]='Ajuste de fechas'!$A$2,"Día actual","Día anterior")</f>
        <v>Día anterior</v>
      </c>
      <c r="C128" s="3" t="s">
        <v>35</v>
      </c>
      <c r="D128" t="s">
        <v>37</v>
      </c>
      <c r="E128" s="3" t="s">
        <v>156</v>
      </c>
      <c r="F128" s="3" t="s">
        <v>19</v>
      </c>
      <c r="G128" s="3" t="s">
        <v>83</v>
      </c>
      <c r="H128" s="3" t="s">
        <v>11</v>
      </c>
      <c r="I128" s="3" t="s">
        <v>7</v>
      </c>
      <c r="J128" s="3" t="s">
        <v>71</v>
      </c>
      <c r="K128" s="3" t="s">
        <v>59</v>
      </c>
      <c r="L128" s="3" t="s">
        <v>68</v>
      </c>
      <c r="M128">
        <v>1</v>
      </c>
    </row>
    <row r="129" spans="1:13" x14ac:dyDescent="0.25">
      <c r="A129" s="1">
        <v>46136</v>
      </c>
      <c r="B129" s="1" t="str">
        <f ca="1">IF(Información1[[#This Row],[Fecha]]='Ajuste de fechas'!$A$2,"Día actual","Día anterior")</f>
        <v>Día anterior</v>
      </c>
      <c r="C129" s="3" t="s">
        <v>35</v>
      </c>
      <c r="D129" t="s">
        <v>37</v>
      </c>
      <c r="E129" s="3" t="s">
        <v>157</v>
      </c>
      <c r="F129" s="3" t="s">
        <v>19</v>
      </c>
      <c r="G129" s="3" t="s">
        <v>158</v>
      </c>
      <c r="H129" s="3" t="s">
        <v>11</v>
      </c>
      <c r="I129" s="3" t="s">
        <v>7</v>
      </c>
      <c r="J129" s="3" t="s">
        <v>71</v>
      </c>
      <c r="K129" s="3" t="s">
        <v>59</v>
      </c>
      <c r="L129" s="3" t="s">
        <v>68</v>
      </c>
      <c r="M129">
        <v>1</v>
      </c>
    </row>
    <row r="130" spans="1:13" x14ac:dyDescent="0.25">
      <c r="A130" s="1">
        <v>46136</v>
      </c>
      <c r="B130" s="1" t="str">
        <f ca="1">IF(Información1[[#This Row],[Fecha]]='Ajuste de fechas'!$A$2,"Día actual","Día anterior")</f>
        <v>Día anterior</v>
      </c>
      <c r="C130" s="3" t="s">
        <v>35</v>
      </c>
      <c r="D130" t="s">
        <v>37</v>
      </c>
      <c r="E130" s="3" t="s">
        <v>159</v>
      </c>
      <c r="F130" s="3" t="s">
        <v>19</v>
      </c>
      <c r="G130" s="3" t="s">
        <v>160</v>
      </c>
      <c r="H130" s="3" t="s">
        <v>11</v>
      </c>
      <c r="I130" s="3" t="s">
        <v>7</v>
      </c>
      <c r="J130" s="3" t="s">
        <v>71</v>
      </c>
      <c r="K130" s="3" t="s">
        <v>59</v>
      </c>
      <c r="L130" s="3" t="s">
        <v>68</v>
      </c>
      <c r="M130">
        <v>1</v>
      </c>
    </row>
    <row r="131" spans="1:13" x14ac:dyDescent="0.25">
      <c r="A131" s="1">
        <v>46136</v>
      </c>
      <c r="B131" s="1" t="str">
        <f ca="1">IF(Información1[[#This Row],[Fecha]]='Ajuste de fechas'!$A$2,"Día actual","Día anterior")</f>
        <v>Día anterior</v>
      </c>
      <c r="C131" s="3" t="s">
        <v>35</v>
      </c>
      <c r="D131" t="s">
        <v>37</v>
      </c>
      <c r="E131" s="3" t="s">
        <v>161</v>
      </c>
      <c r="F131" s="3" t="s">
        <v>23</v>
      </c>
      <c r="G131" s="3" t="s">
        <v>106</v>
      </c>
      <c r="H131" s="3" t="s">
        <v>11</v>
      </c>
      <c r="I131" s="3" t="s">
        <v>7</v>
      </c>
      <c r="J131" s="3" t="s">
        <v>72</v>
      </c>
      <c r="K131" s="3" t="s">
        <v>59</v>
      </c>
      <c r="L131" s="3" t="s">
        <v>68</v>
      </c>
      <c r="M131">
        <v>1</v>
      </c>
    </row>
    <row r="132" spans="1:13" x14ac:dyDescent="0.25">
      <c r="A132" s="1">
        <v>46136</v>
      </c>
      <c r="B132" s="1" t="str">
        <f ca="1">IF(Información1[[#This Row],[Fecha]]='Ajuste de fechas'!$A$2,"Día actual","Día anterior")</f>
        <v>Día anterior</v>
      </c>
      <c r="C132" s="3" t="s">
        <v>35</v>
      </c>
      <c r="D132" t="s">
        <v>37</v>
      </c>
      <c r="E132" s="3" t="s">
        <v>162</v>
      </c>
      <c r="F132" s="3" t="s">
        <v>23</v>
      </c>
      <c r="G132" s="3" t="s">
        <v>163</v>
      </c>
      <c r="H132" s="3" t="s">
        <v>11</v>
      </c>
      <c r="I132" s="3" t="s">
        <v>7</v>
      </c>
      <c r="J132" s="3" t="s">
        <v>72</v>
      </c>
      <c r="K132" s="3" t="s">
        <v>59</v>
      </c>
      <c r="L132" s="3" t="s">
        <v>73</v>
      </c>
      <c r="M132">
        <v>1</v>
      </c>
    </row>
    <row r="133" spans="1:13" x14ac:dyDescent="0.25">
      <c r="A133" s="1">
        <v>46136</v>
      </c>
      <c r="B133" s="1" t="str">
        <f ca="1">IF(Información1[[#This Row],[Fecha]]='Ajuste de fechas'!$A$2,"Día actual","Día anterior")</f>
        <v>Día anterior</v>
      </c>
      <c r="C133" s="3" t="s">
        <v>35</v>
      </c>
      <c r="D133" t="s">
        <v>38</v>
      </c>
      <c r="E133" s="3" t="s">
        <v>164</v>
      </c>
      <c r="F133" s="3" t="s">
        <v>26</v>
      </c>
      <c r="G133" s="3" t="s">
        <v>95</v>
      </c>
      <c r="H133" s="3" t="s">
        <v>11</v>
      </c>
      <c r="I133" s="3" t="s">
        <v>7</v>
      </c>
      <c r="J133" s="3" t="s">
        <v>26</v>
      </c>
      <c r="K133" s="3" t="s">
        <v>36</v>
      </c>
      <c r="L133" s="3" t="s">
        <v>73</v>
      </c>
      <c r="M133">
        <v>1</v>
      </c>
    </row>
    <row r="134" spans="1:13" x14ac:dyDescent="0.25">
      <c r="A134" s="1">
        <v>46136</v>
      </c>
      <c r="B134" s="1" t="str">
        <f ca="1">IF(Información1[[#This Row],[Fecha]]='Ajuste de fechas'!$A$2,"Día actual","Día anterior")</f>
        <v>Día anterior</v>
      </c>
      <c r="C134" s="3" t="s">
        <v>35</v>
      </c>
      <c r="D134" t="s">
        <v>38</v>
      </c>
      <c r="E134" s="3" t="s">
        <v>165</v>
      </c>
      <c r="F134" s="3" t="s">
        <v>19</v>
      </c>
      <c r="G134" s="3" t="s">
        <v>166</v>
      </c>
      <c r="H134" s="3" t="s">
        <v>11</v>
      </c>
      <c r="I134" s="3" t="s">
        <v>7</v>
      </c>
      <c r="J134" s="3" t="s">
        <v>71</v>
      </c>
      <c r="K134" s="3" t="s">
        <v>36</v>
      </c>
      <c r="L134" s="3" t="s">
        <v>68</v>
      </c>
      <c r="M134">
        <v>1</v>
      </c>
    </row>
    <row r="135" spans="1:13" x14ac:dyDescent="0.25">
      <c r="A135" s="1">
        <v>46136</v>
      </c>
      <c r="B135" s="1" t="str">
        <f ca="1">IF(Información1[[#This Row],[Fecha]]='Ajuste de fechas'!$A$2,"Día actual","Día anterior")</f>
        <v>Día anterior</v>
      </c>
      <c r="C135" s="3" t="s">
        <v>35</v>
      </c>
      <c r="D135" t="s">
        <v>38</v>
      </c>
      <c r="E135" s="3" t="s">
        <v>167</v>
      </c>
      <c r="F135" s="3" t="s">
        <v>21</v>
      </c>
      <c r="G135" s="3" t="s">
        <v>132</v>
      </c>
      <c r="H135" s="3" t="s">
        <v>11</v>
      </c>
      <c r="I135" s="3" t="s">
        <v>7</v>
      </c>
      <c r="J135" s="3" t="s">
        <v>67</v>
      </c>
      <c r="K135" s="3" t="s">
        <v>36</v>
      </c>
      <c r="L135" s="3" t="s">
        <v>69</v>
      </c>
      <c r="M135">
        <v>1</v>
      </c>
    </row>
    <row r="136" spans="1:13" x14ac:dyDescent="0.25">
      <c r="A136" s="1">
        <v>46136</v>
      </c>
      <c r="B136" s="1" t="str">
        <f ca="1">IF(Información1[[#This Row],[Fecha]]='Ajuste de fechas'!$A$2,"Día actual","Día anterior")</f>
        <v>Día anterior</v>
      </c>
      <c r="C136" s="3" t="s">
        <v>35</v>
      </c>
      <c r="D136" t="s">
        <v>38</v>
      </c>
      <c r="E136" s="3" t="s">
        <v>133</v>
      </c>
      <c r="F136" s="3" t="s">
        <v>52</v>
      </c>
      <c r="G136" s="3" t="s">
        <v>134</v>
      </c>
      <c r="H136" s="3" t="s">
        <v>11</v>
      </c>
      <c r="I136" s="3" t="s">
        <v>7</v>
      </c>
      <c r="J136" s="3" t="s">
        <v>67</v>
      </c>
      <c r="K136" s="3" t="s">
        <v>36</v>
      </c>
      <c r="L136" s="3" t="s">
        <v>70</v>
      </c>
      <c r="M136">
        <v>1</v>
      </c>
    </row>
    <row r="137" spans="1:13" x14ac:dyDescent="0.25">
      <c r="A137" s="1">
        <v>46136</v>
      </c>
      <c r="B137" s="1" t="str">
        <f ca="1">IF(Información1[[#This Row],[Fecha]]='Ajuste de fechas'!$A$2,"Día actual","Día anterior")</f>
        <v>Día anterior</v>
      </c>
      <c r="C137" s="3" t="s">
        <v>35</v>
      </c>
      <c r="D137" t="s">
        <v>38</v>
      </c>
      <c r="E137" s="3" t="s">
        <v>135</v>
      </c>
      <c r="F137" s="3" t="s">
        <v>25</v>
      </c>
      <c r="G137" s="3" t="s">
        <v>136</v>
      </c>
      <c r="H137" s="3" t="s">
        <v>11</v>
      </c>
      <c r="I137" s="3" t="s">
        <v>7</v>
      </c>
      <c r="J137" s="3" t="s">
        <v>67</v>
      </c>
      <c r="K137" s="3" t="s">
        <v>36</v>
      </c>
      <c r="L137" s="3" t="s">
        <v>70</v>
      </c>
      <c r="M137">
        <v>1</v>
      </c>
    </row>
    <row r="138" spans="1:13" x14ac:dyDescent="0.25">
      <c r="A138" s="1">
        <v>46136</v>
      </c>
      <c r="B138" s="1" t="str">
        <f ca="1">IF(Información1[[#This Row],[Fecha]]='Ajuste de fechas'!$A$2,"Día actual","Día anterior")</f>
        <v>Día anterior</v>
      </c>
      <c r="C138" s="3" t="s">
        <v>35</v>
      </c>
      <c r="D138" t="s">
        <v>38</v>
      </c>
      <c r="E138" s="3" t="s">
        <v>168</v>
      </c>
      <c r="F138" s="3" t="s">
        <v>25</v>
      </c>
      <c r="G138" s="3" t="s">
        <v>80</v>
      </c>
      <c r="H138" s="3" t="s">
        <v>11</v>
      </c>
      <c r="I138" s="3" t="s">
        <v>7</v>
      </c>
      <c r="J138" s="3" t="s">
        <v>67</v>
      </c>
      <c r="K138" s="3" t="s">
        <v>36</v>
      </c>
      <c r="L138" s="3" t="s">
        <v>68</v>
      </c>
      <c r="M138">
        <v>1</v>
      </c>
    </row>
    <row r="139" spans="1:13" x14ac:dyDescent="0.25">
      <c r="A139" s="1">
        <v>46136</v>
      </c>
      <c r="B139" s="1" t="str">
        <f ca="1">IF(Información1[[#This Row],[Fecha]]='Ajuste de fechas'!$A$2,"Día actual","Día anterior")</f>
        <v>Día anterior</v>
      </c>
      <c r="C139" s="3" t="s">
        <v>35</v>
      </c>
      <c r="D139" t="s">
        <v>38</v>
      </c>
      <c r="E139" s="3" t="s">
        <v>169</v>
      </c>
      <c r="F139" s="3" t="s">
        <v>19</v>
      </c>
      <c r="G139" s="3" t="s">
        <v>80</v>
      </c>
      <c r="H139" s="3" t="s">
        <v>11</v>
      </c>
      <c r="I139" s="3" t="s">
        <v>7</v>
      </c>
      <c r="J139" s="3" t="s">
        <v>71</v>
      </c>
      <c r="K139" s="3" t="s">
        <v>36</v>
      </c>
      <c r="L139" s="3" t="s">
        <v>68</v>
      </c>
      <c r="M139">
        <v>1</v>
      </c>
    </row>
    <row r="140" spans="1:13" x14ac:dyDescent="0.25">
      <c r="A140" s="1">
        <v>46136</v>
      </c>
      <c r="B140" s="1" t="str">
        <f ca="1">IF(Información1[[#This Row],[Fecha]]='Ajuste de fechas'!$A$2,"Día actual","Día anterior")</f>
        <v>Día anterior</v>
      </c>
      <c r="C140" s="3" t="s">
        <v>35</v>
      </c>
      <c r="D140" t="s">
        <v>38</v>
      </c>
      <c r="E140" s="3" t="s">
        <v>170</v>
      </c>
      <c r="F140" s="3" t="s">
        <v>21</v>
      </c>
      <c r="G140" s="3" t="s">
        <v>132</v>
      </c>
      <c r="H140" s="3" t="s">
        <v>11</v>
      </c>
      <c r="I140" s="3" t="s">
        <v>7</v>
      </c>
      <c r="J140" s="3" t="s">
        <v>67</v>
      </c>
      <c r="K140" s="3" t="s">
        <v>36</v>
      </c>
      <c r="L140" s="3" t="s">
        <v>68</v>
      </c>
      <c r="M140">
        <v>1</v>
      </c>
    </row>
    <row r="141" spans="1:13" x14ac:dyDescent="0.25">
      <c r="A141" s="1">
        <v>46136</v>
      </c>
      <c r="B141" s="1" t="str">
        <f ca="1">IF(Información1[[#This Row],[Fecha]]='Ajuste de fechas'!$A$2,"Día actual","Día anterior")</f>
        <v>Día anterior</v>
      </c>
      <c r="C141" s="3" t="s">
        <v>35</v>
      </c>
      <c r="D141" t="s">
        <v>38</v>
      </c>
      <c r="E141" s="3" t="s">
        <v>171</v>
      </c>
      <c r="F141" s="3" t="s">
        <v>23</v>
      </c>
      <c r="G141" s="3" t="s">
        <v>106</v>
      </c>
      <c r="H141" s="3" t="s">
        <v>11</v>
      </c>
      <c r="I141" s="3" t="s">
        <v>7</v>
      </c>
      <c r="J141" s="3" t="s">
        <v>72</v>
      </c>
      <c r="K141" s="3" t="s">
        <v>36</v>
      </c>
      <c r="L141" s="3" t="s">
        <v>68</v>
      </c>
      <c r="M141">
        <v>1</v>
      </c>
    </row>
    <row r="142" spans="1:13" x14ac:dyDescent="0.25">
      <c r="A142" s="1">
        <v>46136</v>
      </c>
      <c r="B142" s="1" t="str">
        <f ca="1">IF(Información1[[#This Row],[Fecha]]='Ajuste de fechas'!$A$2,"Día actual","Día anterior")</f>
        <v>Día anterior</v>
      </c>
      <c r="C142" s="3" t="s">
        <v>8</v>
      </c>
      <c r="D142" t="s">
        <v>10</v>
      </c>
      <c r="E142" s="3" t="s">
        <v>172</v>
      </c>
      <c r="F142" s="3" t="s">
        <v>19</v>
      </c>
      <c r="G142" s="3" t="s">
        <v>29</v>
      </c>
      <c r="H142" s="3" t="s">
        <v>11</v>
      </c>
      <c r="I142" s="3" t="s">
        <v>27</v>
      </c>
      <c r="J142" s="3" t="s">
        <v>71</v>
      </c>
      <c r="K142" s="3" t="s">
        <v>14</v>
      </c>
      <c r="L142" s="3" t="s">
        <v>69</v>
      </c>
      <c r="M142">
        <v>1</v>
      </c>
    </row>
    <row r="143" spans="1:13" x14ac:dyDescent="0.25">
      <c r="A143" s="1">
        <v>46136</v>
      </c>
      <c r="B143" s="1" t="str">
        <f ca="1">IF(Información1[[#This Row],[Fecha]]='Ajuste de fechas'!$A$2,"Día actual","Día anterior")</f>
        <v>Día anterior</v>
      </c>
      <c r="C143" s="3" t="s">
        <v>8</v>
      </c>
      <c r="D143" t="s">
        <v>10</v>
      </c>
      <c r="E143" s="3" t="s">
        <v>89</v>
      </c>
      <c r="F143" s="3" t="s">
        <v>19</v>
      </c>
      <c r="G143" s="3" t="s">
        <v>90</v>
      </c>
      <c r="H143" s="3" t="s">
        <v>11</v>
      </c>
      <c r="I143" s="3" t="s">
        <v>27</v>
      </c>
      <c r="J143" s="3" t="s">
        <v>71</v>
      </c>
      <c r="K143" s="3" t="s">
        <v>14</v>
      </c>
      <c r="L143" s="3" t="s">
        <v>69</v>
      </c>
      <c r="M143">
        <v>1</v>
      </c>
    </row>
    <row r="144" spans="1:13" x14ac:dyDescent="0.25">
      <c r="A144" s="1">
        <v>46136</v>
      </c>
      <c r="B144" s="1" t="str">
        <f ca="1">IF(Información1[[#This Row],[Fecha]]='Ajuste de fechas'!$A$2,"Día actual","Día anterior")</f>
        <v>Día anterior</v>
      </c>
      <c r="C144" s="3" t="s">
        <v>8</v>
      </c>
      <c r="D144" t="s">
        <v>10</v>
      </c>
      <c r="E144" s="3" t="s">
        <v>173</v>
      </c>
      <c r="F144" s="3" t="s">
        <v>17</v>
      </c>
      <c r="G144" s="3" t="s">
        <v>100</v>
      </c>
      <c r="H144" s="3" t="s">
        <v>11</v>
      </c>
      <c r="I144" s="3" t="s">
        <v>27</v>
      </c>
      <c r="J144" s="3" t="s">
        <v>67</v>
      </c>
      <c r="K144" s="3" t="s">
        <v>14</v>
      </c>
      <c r="L144" s="3" t="s">
        <v>69</v>
      </c>
      <c r="M144">
        <v>1</v>
      </c>
    </row>
    <row r="145" spans="1:13" x14ac:dyDescent="0.25">
      <c r="A145" s="1">
        <v>46136</v>
      </c>
      <c r="B145" s="1" t="str">
        <f ca="1">IF(Información1[[#This Row],[Fecha]]='Ajuste de fechas'!$A$2,"Día actual","Día anterior")</f>
        <v>Día anterior</v>
      </c>
      <c r="C145" s="3" t="s">
        <v>8</v>
      </c>
      <c r="D145" t="s">
        <v>10</v>
      </c>
      <c r="E145" s="3" t="s">
        <v>174</v>
      </c>
      <c r="F145" s="3" t="s">
        <v>47</v>
      </c>
      <c r="G145" s="3" t="s">
        <v>102</v>
      </c>
      <c r="H145" s="3" t="s">
        <v>11</v>
      </c>
      <c r="I145" s="3" t="s">
        <v>27</v>
      </c>
      <c r="J145" s="3" t="s">
        <v>67</v>
      </c>
      <c r="K145" s="3" t="s">
        <v>14</v>
      </c>
      <c r="L145" s="3" t="s">
        <v>69</v>
      </c>
      <c r="M145">
        <v>1</v>
      </c>
    </row>
    <row r="146" spans="1:13" x14ac:dyDescent="0.25">
      <c r="A146" s="1">
        <v>46136</v>
      </c>
      <c r="B146" s="1" t="str">
        <f ca="1">IF(Información1[[#This Row],[Fecha]]='Ajuste de fechas'!$A$2,"Día actual","Día anterior")</f>
        <v>Día anterior</v>
      </c>
      <c r="C146" s="3" t="s">
        <v>8</v>
      </c>
      <c r="D146" t="s">
        <v>10</v>
      </c>
      <c r="E146" s="3" t="s">
        <v>175</v>
      </c>
      <c r="F146" s="3" t="s">
        <v>6</v>
      </c>
      <c r="G146" s="3" t="s">
        <v>79</v>
      </c>
      <c r="H146" s="3" t="s">
        <v>11</v>
      </c>
      <c r="I146" s="3" t="s">
        <v>27</v>
      </c>
      <c r="J146" s="3" t="s">
        <v>67</v>
      </c>
      <c r="K146" s="3" t="s">
        <v>14</v>
      </c>
      <c r="L146" s="3" t="s">
        <v>69</v>
      </c>
      <c r="M146">
        <v>1</v>
      </c>
    </row>
    <row r="147" spans="1:13" x14ac:dyDescent="0.25">
      <c r="A147" s="1">
        <v>46136</v>
      </c>
      <c r="B147" s="1" t="str">
        <f ca="1">IF(Información1[[#This Row],[Fecha]]='Ajuste de fechas'!$A$2,"Día actual","Día anterior")</f>
        <v>Día anterior</v>
      </c>
      <c r="C147" s="3" t="s">
        <v>8</v>
      </c>
      <c r="D147" t="s">
        <v>10</v>
      </c>
      <c r="E147" s="3" t="s">
        <v>176</v>
      </c>
      <c r="F147" s="3" t="s">
        <v>6</v>
      </c>
      <c r="G147" s="3" t="s">
        <v>177</v>
      </c>
      <c r="H147" s="3" t="s">
        <v>11</v>
      </c>
      <c r="I147" s="3" t="s">
        <v>27</v>
      </c>
      <c r="J147" s="3" t="s">
        <v>67</v>
      </c>
      <c r="K147" s="3" t="s">
        <v>14</v>
      </c>
      <c r="L147" s="3" t="s">
        <v>69</v>
      </c>
      <c r="M147">
        <v>1</v>
      </c>
    </row>
    <row r="148" spans="1:13" x14ac:dyDescent="0.25">
      <c r="A148" s="1">
        <v>46136</v>
      </c>
      <c r="B148" s="1" t="str">
        <f ca="1">IF(Información1[[#This Row],[Fecha]]='Ajuste de fechas'!$A$2,"Día actual","Día anterior")</f>
        <v>Día anterior</v>
      </c>
      <c r="C148" s="3" t="s">
        <v>8</v>
      </c>
      <c r="D148" t="s">
        <v>10</v>
      </c>
      <c r="E148" s="3" t="s">
        <v>178</v>
      </c>
      <c r="F148" s="3" t="s">
        <v>87</v>
      </c>
      <c r="G148" s="3" t="s">
        <v>83</v>
      </c>
      <c r="H148" s="3" t="s">
        <v>11</v>
      </c>
      <c r="I148" s="3" t="s">
        <v>7</v>
      </c>
      <c r="J148" s="3" t="s">
        <v>67</v>
      </c>
      <c r="K148" s="3" t="s">
        <v>14</v>
      </c>
      <c r="L148" s="3" t="s">
        <v>69</v>
      </c>
      <c r="M148">
        <v>1</v>
      </c>
    </row>
    <row r="149" spans="1:13" x14ac:dyDescent="0.25">
      <c r="A149" s="1">
        <v>46136</v>
      </c>
      <c r="B149" s="1" t="str">
        <f ca="1">IF(Información1[[#This Row],[Fecha]]='Ajuste de fechas'!$A$2,"Día actual","Día anterior")</f>
        <v>Día anterior</v>
      </c>
      <c r="C149" s="3" t="s">
        <v>8</v>
      </c>
      <c r="D149" t="s">
        <v>10</v>
      </c>
      <c r="E149" s="3" t="s">
        <v>179</v>
      </c>
      <c r="F149" s="3" t="s">
        <v>24</v>
      </c>
      <c r="G149" s="3" t="s">
        <v>77</v>
      </c>
      <c r="H149" s="3" t="s">
        <v>11</v>
      </c>
      <c r="I149" s="3" t="s">
        <v>7</v>
      </c>
      <c r="J149" s="3" t="s">
        <v>67</v>
      </c>
      <c r="K149" s="3" t="s">
        <v>14</v>
      </c>
      <c r="L149" s="3" t="s">
        <v>70</v>
      </c>
      <c r="M149">
        <v>1</v>
      </c>
    </row>
    <row r="150" spans="1:13" x14ac:dyDescent="0.25">
      <c r="A150" s="1">
        <v>46136</v>
      </c>
      <c r="B150" s="1" t="str">
        <f ca="1">IF(Información1[[#This Row],[Fecha]]='Ajuste de fechas'!$A$2,"Día actual","Día anterior")</f>
        <v>Día anterior</v>
      </c>
      <c r="C150" s="3" t="s">
        <v>8</v>
      </c>
      <c r="D150" t="s">
        <v>10</v>
      </c>
      <c r="E150" s="3" t="s">
        <v>180</v>
      </c>
      <c r="F150" s="3" t="s">
        <v>19</v>
      </c>
      <c r="G150" s="3" t="s">
        <v>181</v>
      </c>
      <c r="H150" s="3" t="s">
        <v>11</v>
      </c>
      <c r="I150" s="3" t="s">
        <v>7</v>
      </c>
      <c r="J150" s="3" t="s">
        <v>71</v>
      </c>
      <c r="K150" s="3" t="s">
        <v>14</v>
      </c>
      <c r="L150" s="3" t="s">
        <v>68</v>
      </c>
      <c r="M150">
        <v>1</v>
      </c>
    </row>
    <row r="151" spans="1:13" x14ac:dyDescent="0.25">
      <c r="A151" s="1">
        <v>46136</v>
      </c>
      <c r="B151" s="1" t="str">
        <f ca="1">IF(Información1[[#This Row],[Fecha]]='Ajuste de fechas'!$A$2,"Día actual","Día anterior")</f>
        <v>Día anterior</v>
      </c>
      <c r="C151" s="3" t="s">
        <v>8</v>
      </c>
      <c r="D151" t="s">
        <v>10</v>
      </c>
      <c r="E151" s="3" t="s">
        <v>182</v>
      </c>
      <c r="F151" s="3" t="s">
        <v>25</v>
      </c>
      <c r="G151" s="3" t="s">
        <v>136</v>
      </c>
      <c r="H151" s="3" t="s">
        <v>11</v>
      </c>
      <c r="I151" s="3" t="s">
        <v>7</v>
      </c>
      <c r="J151" s="3" t="s">
        <v>67</v>
      </c>
      <c r="K151" s="3" t="s">
        <v>14</v>
      </c>
      <c r="L151" s="3" t="s">
        <v>70</v>
      </c>
      <c r="M151">
        <v>1</v>
      </c>
    </row>
    <row r="152" spans="1:13" x14ac:dyDescent="0.25">
      <c r="A152" s="1">
        <v>46136</v>
      </c>
      <c r="B152" s="1" t="str">
        <f ca="1">IF(Información1[[#This Row],[Fecha]]='Ajuste de fechas'!$A$2,"Día actual","Día anterior")</f>
        <v>Día anterior</v>
      </c>
      <c r="C152" s="3" t="s">
        <v>8</v>
      </c>
      <c r="D152" t="s">
        <v>10</v>
      </c>
      <c r="E152" s="3" t="s">
        <v>183</v>
      </c>
      <c r="F152" s="3" t="s">
        <v>26</v>
      </c>
      <c r="G152" s="3" t="s">
        <v>98</v>
      </c>
      <c r="H152" s="3" t="s">
        <v>11</v>
      </c>
      <c r="I152" s="3" t="s">
        <v>7</v>
      </c>
      <c r="J152" s="3" t="s">
        <v>26</v>
      </c>
      <c r="K152" s="3" t="s">
        <v>14</v>
      </c>
      <c r="L152" s="3" t="s">
        <v>73</v>
      </c>
      <c r="M152">
        <v>1</v>
      </c>
    </row>
    <row r="153" spans="1:13" x14ac:dyDescent="0.25">
      <c r="A153" s="1">
        <v>46136</v>
      </c>
      <c r="B153" s="1" t="str">
        <f ca="1">IF(Información1[[#This Row],[Fecha]]='Ajuste de fechas'!$A$2,"Día actual","Día anterior")</f>
        <v>Día anterior</v>
      </c>
      <c r="C153" s="3" t="s">
        <v>8</v>
      </c>
      <c r="D153" t="s">
        <v>10</v>
      </c>
      <c r="E153" s="3" t="s">
        <v>184</v>
      </c>
      <c r="F153" s="3" t="s">
        <v>22</v>
      </c>
      <c r="G153" s="3" t="s">
        <v>111</v>
      </c>
      <c r="H153" s="3" t="s">
        <v>11</v>
      </c>
      <c r="I153" s="3" t="s">
        <v>7</v>
      </c>
      <c r="J153" s="3" t="s">
        <v>26</v>
      </c>
      <c r="K153" s="3" t="s">
        <v>14</v>
      </c>
      <c r="L153" s="3" t="s">
        <v>68</v>
      </c>
      <c r="M153">
        <v>1</v>
      </c>
    </row>
    <row r="154" spans="1:13" x14ac:dyDescent="0.25">
      <c r="A154" s="1">
        <v>46136</v>
      </c>
      <c r="B154" s="1" t="str">
        <f ca="1">IF(Información1[[#This Row],[Fecha]]='Ajuste de fechas'!$A$2,"Día actual","Día anterior")</f>
        <v>Día anterior</v>
      </c>
      <c r="C154" s="3" t="s">
        <v>8</v>
      </c>
      <c r="D154" t="s">
        <v>10</v>
      </c>
      <c r="E154" s="3" t="s">
        <v>185</v>
      </c>
      <c r="F154" s="3" t="s">
        <v>22</v>
      </c>
      <c r="G154" s="3" t="s">
        <v>186</v>
      </c>
      <c r="H154" s="3" t="s">
        <v>11</v>
      </c>
      <c r="I154" s="3" t="s">
        <v>7</v>
      </c>
      <c r="J154" s="3" t="s">
        <v>26</v>
      </c>
      <c r="K154" s="3" t="s">
        <v>14</v>
      </c>
      <c r="L154" s="3" t="s">
        <v>68</v>
      </c>
      <c r="M154">
        <v>1</v>
      </c>
    </row>
    <row r="155" spans="1:13" x14ac:dyDescent="0.25">
      <c r="A155" s="1">
        <v>46136</v>
      </c>
      <c r="B155" s="1" t="str">
        <f ca="1">IF(Información1[[#This Row],[Fecha]]='Ajuste de fechas'!$A$2,"Día actual","Día anterior")</f>
        <v>Día anterior</v>
      </c>
      <c r="C155" s="3" t="s">
        <v>8</v>
      </c>
      <c r="D155" t="s">
        <v>10</v>
      </c>
      <c r="E155" s="3" t="s">
        <v>187</v>
      </c>
      <c r="F155" s="3" t="s">
        <v>23</v>
      </c>
      <c r="G155" s="3" t="s">
        <v>99</v>
      </c>
      <c r="H155" s="3" t="s">
        <v>11</v>
      </c>
      <c r="I155" s="3" t="s">
        <v>7</v>
      </c>
      <c r="J155" s="3" t="s">
        <v>72</v>
      </c>
      <c r="K155" s="3" t="s">
        <v>14</v>
      </c>
      <c r="L155" s="3" t="s">
        <v>68</v>
      </c>
      <c r="M155">
        <v>1</v>
      </c>
    </row>
    <row r="156" spans="1:13" x14ac:dyDescent="0.25">
      <c r="A156" s="1">
        <v>46136</v>
      </c>
      <c r="B156" s="1" t="str">
        <f ca="1">IF(Información1[[#This Row],[Fecha]]='Ajuste de fechas'!$A$2,"Día actual","Día anterior")</f>
        <v>Día anterior</v>
      </c>
      <c r="C156" s="3" t="s">
        <v>8</v>
      </c>
      <c r="D156" t="s">
        <v>10</v>
      </c>
      <c r="E156" s="3" t="s">
        <v>20</v>
      </c>
      <c r="F156" s="3" t="s">
        <v>19</v>
      </c>
      <c r="G156" s="3" t="s">
        <v>58</v>
      </c>
      <c r="H156" s="3" t="s">
        <v>11</v>
      </c>
      <c r="I156" s="3" t="s">
        <v>12</v>
      </c>
      <c r="J156" s="3" t="s">
        <v>71</v>
      </c>
      <c r="K156" s="3" t="s">
        <v>14</v>
      </c>
      <c r="L156" s="3" t="s">
        <v>69</v>
      </c>
      <c r="M156">
        <v>1</v>
      </c>
    </row>
    <row r="157" spans="1:13" x14ac:dyDescent="0.25">
      <c r="A157" s="1">
        <v>46136</v>
      </c>
      <c r="B157" s="1" t="str">
        <f ca="1">IF(Información1[[#This Row],[Fecha]]='Ajuste de fechas'!$A$2,"Día actual","Día anterior")</f>
        <v>Día anterior</v>
      </c>
      <c r="C157" s="3" t="s">
        <v>8</v>
      </c>
      <c r="D157" t="s">
        <v>10</v>
      </c>
      <c r="E157" s="3" t="s">
        <v>18</v>
      </c>
      <c r="F157" s="3" t="s">
        <v>19</v>
      </c>
      <c r="G157" s="3" t="s">
        <v>58</v>
      </c>
      <c r="H157" s="3" t="s">
        <v>11</v>
      </c>
      <c r="I157" s="3" t="s">
        <v>12</v>
      </c>
      <c r="J157" s="3" t="s">
        <v>71</v>
      </c>
      <c r="K157" s="3" t="s">
        <v>14</v>
      </c>
      <c r="L157" s="3" t="s">
        <v>69</v>
      </c>
      <c r="M157">
        <v>1</v>
      </c>
    </row>
    <row r="158" spans="1:13" x14ac:dyDescent="0.25">
      <c r="A158" s="1">
        <v>46136</v>
      </c>
      <c r="B158" s="1" t="str">
        <f ca="1">IF(Información1[[#This Row],[Fecha]]='Ajuste de fechas'!$A$2,"Día actual","Día anterior")</f>
        <v>Día anterior</v>
      </c>
      <c r="C158" s="3" t="s">
        <v>8</v>
      </c>
      <c r="D158" t="s">
        <v>10</v>
      </c>
      <c r="E158" s="3" t="s">
        <v>97</v>
      </c>
      <c r="F158" s="3" t="s">
        <v>21</v>
      </c>
      <c r="G158" s="3" t="s">
        <v>58</v>
      </c>
      <c r="H158" s="3" t="s">
        <v>11</v>
      </c>
      <c r="I158" s="3" t="s">
        <v>12</v>
      </c>
      <c r="J158" s="3" t="s">
        <v>67</v>
      </c>
      <c r="K158" s="3" t="s">
        <v>14</v>
      </c>
      <c r="L158" s="3" t="s">
        <v>69</v>
      </c>
      <c r="M158">
        <v>1</v>
      </c>
    </row>
    <row r="159" spans="1:13" x14ac:dyDescent="0.25">
      <c r="A159" s="1">
        <v>46136</v>
      </c>
      <c r="B159" s="1" t="str">
        <f ca="1">IF(Información1[[#This Row],[Fecha]]='Ajuste de fechas'!$A$2,"Día actual","Día anterior")</f>
        <v>Día anterior</v>
      </c>
      <c r="C159" s="3" t="s">
        <v>8</v>
      </c>
      <c r="D159" t="s">
        <v>10</v>
      </c>
      <c r="E159" s="3" t="s">
        <v>56</v>
      </c>
      <c r="F159" s="3" t="s">
        <v>22</v>
      </c>
      <c r="G159" s="3" t="s">
        <v>58</v>
      </c>
      <c r="H159" s="3" t="s">
        <v>11</v>
      </c>
      <c r="I159" s="3" t="s">
        <v>12</v>
      </c>
      <c r="J159" s="3" t="s">
        <v>26</v>
      </c>
      <c r="K159" s="3" t="s">
        <v>14</v>
      </c>
      <c r="L159" s="3" t="s">
        <v>69</v>
      </c>
      <c r="M159">
        <v>1</v>
      </c>
    </row>
    <row r="160" spans="1:13" x14ac:dyDescent="0.25">
      <c r="A160" s="1">
        <v>46136</v>
      </c>
      <c r="B160" s="1" t="str">
        <f ca="1">IF(Información1[[#This Row],[Fecha]]='Ajuste de fechas'!$A$2,"Día actual","Día anterior")</f>
        <v>Día anterior</v>
      </c>
      <c r="C160" s="3" t="s">
        <v>8</v>
      </c>
      <c r="D160" t="s">
        <v>10</v>
      </c>
      <c r="E160" s="3" t="s">
        <v>13</v>
      </c>
      <c r="F160" s="3" t="s">
        <v>15</v>
      </c>
      <c r="G160" s="3" t="s">
        <v>58</v>
      </c>
      <c r="H160" s="3" t="s">
        <v>11</v>
      </c>
      <c r="I160" s="3" t="s">
        <v>12</v>
      </c>
      <c r="J160" s="3" t="s">
        <v>67</v>
      </c>
      <c r="K160" s="3" t="s">
        <v>14</v>
      </c>
      <c r="L160" s="3" t="s">
        <v>69</v>
      </c>
      <c r="M160">
        <v>1</v>
      </c>
    </row>
    <row r="161" spans="1:13" x14ac:dyDescent="0.25">
      <c r="A161" s="1">
        <v>46136</v>
      </c>
      <c r="B161" s="1" t="str">
        <f ca="1">IF(Información1[[#This Row],[Fecha]]='Ajuste de fechas'!$A$2,"Día actual","Día anterior")</f>
        <v>Día anterior</v>
      </c>
      <c r="C161" s="3" t="s">
        <v>8</v>
      </c>
      <c r="D161" t="s">
        <v>10</v>
      </c>
      <c r="E161" s="3" t="s">
        <v>16</v>
      </c>
      <c r="F161" s="3" t="s">
        <v>17</v>
      </c>
      <c r="G161" s="3" t="s">
        <v>58</v>
      </c>
      <c r="H161" s="3" t="s">
        <v>11</v>
      </c>
      <c r="I161" s="3" t="s">
        <v>12</v>
      </c>
      <c r="J161" s="3" t="s">
        <v>67</v>
      </c>
      <c r="K161" s="3" t="s">
        <v>14</v>
      </c>
      <c r="L161" s="3" t="s">
        <v>69</v>
      </c>
      <c r="M161">
        <v>1</v>
      </c>
    </row>
    <row r="162" spans="1:13" x14ac:dyDescent="0.25">
      <c r="A162" s="1">
        <v>46136</v>
      </c>
      <c r="B162" s="1" t="str">
        <f ca="1">IF(Información1[[#This Row],[Fecha]]='Ajuste de fechas'!$A$2,"Día actual","Día anterior")</f>
        <v>Día anterior</v>
      </c>
      <c r="C162" s="3" t="s">
        <v>8</v>
      </c>
      <c r="D162" t="s">
        <v>10</v>
      </c>
      <c r="E162" s="3" t="s">
        <v>60</v>
      </c>
      <c r="F162" s="3" t="s">
        <v>6</v>
      </c>
      <c r="G162" s="3" t="s">
        <v>58</v>
      </c>
      <c r="H162" s="3" t="s">
        <v>11</v>
      </c>
      <c r="I162" s="3" t="s">
        <v>12</v>
      </c>
      <c r="J162" s="3" t="s">
        <v>67</v>
      </c>
      <c r="K162" s="3" t="s">
        <v>14</v>
      </c>
      <c r="L162" s="3" t="s">
        <v>69</v>
      </c>
      <c r="M162">
        <v>1</v>
      </c>
    </row>
    <row r="163" spans="1:13" x14ac:dyDescent="0.25">
      <c r="A163" s="1">
        <v>46136</v>
      </c>
      <c r="B163" s="1" t="str">
        <f ca="1">IF(Información1[[#This Row],[Fecha]]='Ajuste de fechas'!$A$2,"Día actual","Día anterior")</f>
        <v>Día anterior</v>
      </c>
      <c r="C163" s="3" t="s">
        <v>53</v>
      </c>
      <c r="D163" t="s">
        <v>54</v>
      </c>
      <c r="E163" s="3" t="s">
        <v>189</v>
      </c>
      <c r="F163" s="3" t="s">
        <v>19</v>
      </c>
      <c r="G163" s="3" t="s">
        <v>190</v>
      </c>
      <c r="H163" s="3" t="s">
        <v>11</v>
      </c>
      <c r="I163" s="3" t="s">
        <v>7</v>
      </c>
      <c r="J163" s="3" t="s">
        <v>71</v>
      </c>
      <c r="K163" s="3" t="s">
        <v>55</v>
      </c>
      <c r="L163" s="3" t="s">
        <v>68</v>
      </c>
      <c r="M163">
        <v>1</v>
      </c>
    </row>
    <row r="164" spans="1:13" x14ac:dyDescent="0.25">
      <c r="A164" s="1">
        <v>46136</v>
      </c>
      <c r="B164" s="1" t="str">
        <f ca="1">IF(Información1[[#This Row],[Fecha]]='Ajuste de fechas'!$A$2,"Día actual","Día anterior")</f>
        <v>Día anterior</v>
      </c>
      <c r="C164" s="3" t="s">
        <v>53</v>
      </c>
      <c r="D164" t="s">
        <v>54</v>
      </c>
      <c r="E164" s="3" t="s">
        <v>191</v>
      </c>
      <c r="F164" s="3" t="s">
        <v>24</v>
      </c>
      <c r="G164" s="3" t="s">
        <v>77</v>
      </c>
      <c r="H164" s="3" t="s">
        <v>11</v>
      </c>
      <c r="I164" s="3" t="s">
        <v>7</v>
      </c>
      <c r="J164" s="3" t="s">
        <v>67</v>
      </c>
      <c r="K164" s="3" t="s">
        <v>55</v>
      </c>
      <c r="L164" s="3" t="s">
        <v>68</v>
      </c>
      <c r="M164">
        <v>1</v>
      </c>
    </row>
    <row r="165" spans="1:13" x14ac:dyDescent="0.25">
      <c r="A165" s="1">
        <v>46136</v>
      </c>
      <c r="B165" s="1" t="str">
        <f ca="1">IF(Información1[[#This Row],[Fecha]]='Ajuste de fechas'!$A$2,"Día actual","Día anterior")</f>
        <v>Día anterior</v>
      </c>
      <c r="C165" s="3" t="s">
        <v>53</v>
      </c>
      <c r="D165" t="s">
        <v>54</v>
      </c>
      <c r="E165" s="3" t="s">
        <v>192</v>
      </c>
      <c r="F165" s="3" t="s">
        <v>19</v>
      </c>
      <c r="G165" s="3" t="s">
        <v>82</v>
      </c>
      <c r="H165" s="3" t="s">
        <v>11</v>
      </c>
      <c r="I165" s="3" t="s">
        <v>7</v>
      </c>
      <c r="J165" s="3" t="s">
        <v>71</v>
      </c>
      <c r="K165" s="3" t="s">
        <v>55</v>
      </c>
      <c r="L165" s="3" t="s">
        <v>68</v>
      </c>
      <c r="M165">
        <v>1</v>
      </c>
    </row>
    <row r="166" spans="1:13" x14ac:dyDescent="0.25">
      <c r="A166" s="1">
        <v>46136</v>
      </c>
      <c r="B166" s="1" t="str">
        <f ca="1">IF(Información1[[#This Row],[Fecha]]='Ajuste de fechas'!$A$2,"Día actual","Día anterior")</f>
        <v>Día anterior</v>
      </c>
      <c r="C166" s="3" t="s">
        <v>53</v>
      </c>
      <c r="D166" t="s">
        <v>54</v>
      </c>
      <c r="E166" s="3" t="s">
        <v>193</v>
      </c>
      <c r="F166" s="3" t="s">
        <v>21</v>
      </c>
      <c r="G166" s="3" t="s">
        <v>132</v>
      </c>
      <c r="H166" s="3" t="s">
        <v>11</v>
      </c>
      <c r="I166" s="3" t="s">
        <v>7</v>
      </c>
      <c r="J166" s="3" t="s">
        <v>67</v>
      </c>
      <c r="K166" s="3" t="s">
        <v>55</v>
      </c>
      <c r="L166" s="3" t="s">
        <v>68</v>
      </c>
      <c r="M166">
        <v>1</v>
      </c>
    </row>
    <row r="167" spans="1:13" x14ac:dyDescent="0.25">
      <c r="A167" s="1">
        <v>46136</v>
      </c>
      <c r="B167" s="1" t="str">
        <f ca="1">IF(Información1[[#This Row],[Fecha]]='Ajuste de fechas'!$A$2,"Día actual","Día anterior")</f>
        <v>Día anterior</v>
      </c>
      <c r="C167" s="3" t="s">
        <v>53</v>
      </c>
      <c r="D167" t="s">
        <v>54</v>
      </c>
      <c r="E167" s="3" t="s">
        <v>193</v>
      </c>
      <c r="F167" s="3" t="s">
        <v>19</v>
      </c>
      <c r="G167" s="3" t="s">
        <v>132</v>
      </c>
      <c r="H167" s="3" t="s">
        <v>11</v>
      </c>
      <c r="I167" s="3" t="s">
        <v>7</v>
      </c>
      <c r="J167" s="3" t="s">
        <v>71</v>
      </c>
      <c r="K167" s="3" t="s">
        <v>55</v>
      </c>
      <c r="L167" s="3" t="s">
        <v>68</v>
      </c>
      <c r="M167">
        <v>1</v>
      </c>
    </row>
    <row r="168" spans="1:13" x14ac:dyDescent="0.25">
      <c r="A168" s="1">
        <v>46136</v>
      </c>
      <c r="B168" s="1" t="str">
        <f ca="1">IF(Información1[[#This Row],[Fecha]]='Ajuste de fechas'!$A$2,"Día actual","Día anterior")</f>
        <v>Día anterior</v>
      </c>
      <c r="C168" s="3" t="s">
        <v>53</v>
      </c>
      <c r="D168" t="s">
        <v>54</v>
      </c>
      <c r="E168" s="3" t="s">
        <v>194</v>
      </c>
      <c r="F168" s="3" t="s">
        <v>21</v>
      </c>
      <c r="G168" s="3" t="s">
        <v>195</v>
      </c>
      <c r="H168" s="3" t="s">
        <v>11</v>
      </c>
      <c r="I168" s="3" t="s">
        <v>7</v>
      </c>
      <c r="J168" s="3" t="s">
        <v>67</v>
      </c>
      <c r="K168" s="3" t="s">
        <v>55</v>
      </c>
      <c r="L168" s="3" t="s">
        <v>70</v>
      </c>
      <c r="M168">
        <v>1</v>
      </c>
    </row>
    <row r="169" spans="1:13" x14ac:dyDescent="0.25">
      <c r="A169" s="1">
        <v>46136</v>
      </c>
      <c r="B169" s="1" t="str">
        <f ca="1">IF(Información1[[#This Row],[Fecha]]='Ajuste de fechas'!$A$2,"Día actual","Día anterior")</f>
        <v>Día anterior</v>
      </c>
      <c r="C169" s="3" t="s">
        <v>53</v>
      </c>
      <c r="D169" t="s">
        <v>54</v>
      </c>
      <c r="E169" s="3" t="s">
        <v>196</v>
      </c>
      <c r="F169" s="3" t="s">
        <v>23</v>
      </c>
      <c r="G169" s="3" t="s">
        <v>197</v>
      </c>
      <c r="H169" s="3" t="s">
        <v>11</v>
      </c>
      <c r="I169" s="3" t="s">
        <v>7</v>
      </c>
      <c r="J169" s="3" t="s">
        <v>72</v>
      </c>
      <c r="K169" s="3" t="s">
        <v>55</v>
      </c>
      <c r="L169" s="3" t="s">
        <v>68</v>
      </c>
      <c r="M169">
        <v>1</v>
      </c>
    </row>
    <row r="170" spans="1:13" x14ac:dyDescent="0.25">
      <c r="A170" s="1">
        <v>46136</v>
      </c>
      <c r="B170" s="1" t="str">
        <f ca="1">IF(Información1[[#This Row],[Fecha]]='Ajuste de fechas'!$A$2,"Día actual","Día anterior")</f>
        <v>Día anterior</v>
      </c>
      <c r="C170" s="3" t="s">
        <v>53</v>
      </c>
      <c r="D170" t="s">
        <v>54</v>
      </c>
      <c r="E170" s="3" t="s">
        <v>198</v>
      </c>
      <c r="F170" s="3" t="s">
        <v>22</v>
      </c>
      <c r="G170" s="3" t="s">
        <v>111</v>
      </c>
      <c r="H170" s="3" t="s">
        <v>11</v>
      </c>
      <c r="I170" s="3" t="s">
        <v>7</v>
      </c>
      <c r="J170" s="3" t="s">
        <v>26</v>
      </c>
      <c r="K170" s="3" t="s">
        <v>55</v>
      </c>
      <c r="L170" s="3" t="s">
        <v>68</v>
      </c>
      <c r="M170">
        <v>1</v>
      </c>
    </row>
    <row r="171" spans="1:13" x14ac:dyDescent="0.25">
      <c r="A171" s="1">
        <v>46136</v>
      </c>
      <c r="B171" s="1" t="str">
        <f ca="1">IF(Información1[[#This Row],[Fecha]]='Ajuste de fechas'!$A$2,"Día actual","Día anterior")</f>
        <v>Día anterior</v>
      </c>
      <c r="C171" s="3" t="s">
        <v>53</v>
      </c>
      <c r="D171" t="s">
        <v>54</v>
      </c>
      <c r="E171" s="3" t="s">
        <v>199</v>
      </c>
      <c r="F171" s="3" t="s">
        <v>91</v>
      </c>
      <c r="G171" s="3" t="s">
        <v>200</v>
      </c>
      <c r="H171" s="3" t="s">
        <v>11</v>
      </c>
      <c r="I171" s="3" t="s">
        <v>7</v>
      </c>
      <c r="J171" s="3" t="s">
        <v>67</v>
      </c>
      <c r="K171" s="3" t="s">
        <v>55</v>
      </c>
      <c r="L171" s="3" t="s">
        <v>68</v>
      </c>
      <c r="M171">
        <v>1</v>
      </c>
    </row>
    <row r="172" spans="1:13" x14ac:dyDescent="0.25">
      <c r="A172" s="1">
        <v>46136</v>
      </c>
      <c r="B172" s="1" t="str">
        <f ca="1">IF(Información1[[#This Row],[Fecha]]='Ajuste de fechas'!$A$2,"Día actual","Día anterior")</f>
        <v>Día anterior</v>
      </c>
      <c r="C172" s="3" t="s">
        <v>53</v>
      </c>
      <c r="D172" t="s">
        <v>54</v>
      </c>
      <c r="E172" s="3" t="s">
        <v>201</v>
      </c>
      <c r="F172" s="3" t="s">
        <v>17</v>
      </c>
      <c r="G172" s="3" t="s">
        <v>202</v>
      </c>
      <c r="H172" s="3" t="s">
        <v>11</v>
      </c>
      <c r="I172" s="3" t="s">
        <v>27</v>
      </c>
      <c r="J172" s="3" t="s">
        <v>67</v>
      </c>
      <c r="K172" s="3" t="s">
        <v>55</v>
      </c>
      <c r="L172" s="3" t="s">
        <v>69</v>
      </c>
      <c r="M172">
        <v>1</v>
      </c>
    </row>
    <row r="173" spans="1:13" x14ac:dyDescent="0.25">
      <c r="A173" s="1">
        <v>46136</v>
      </c>
      <c r="B173" s="1" t="str">
        <f ca="1">IF(Información1[[#This Row],[Fecha]]='Ajuste de fechas'!$A$2,"Día actual","Día anterior")</f>
        <v>Día anterior</v>
      </c>
      <c r="C173" s="3" t="s">
        <v>53</v>
      </c>
      <c r="D173" t="s">
        <v>54</v>
      </c>
      <c r="E173" s="3" t="s">
        <v>203</v>
      </c>
      <c r="F173" s="3" t="s">
        <v>204</v>
      </c>
      <c r="G173" s="3" t="s">
        <v>103</v>
      </c>
      <c r="H173" s="3" t="s">
        <v>11</v>
      </c>
      <c r="I173" s="3" t="s">
        <v>7</v>
      </c>
      <c r="J173" s="3" t="s">
        <v>67</v>
      </c>
      <c r="K173" s="3" t="s">
        <v>55</v>
      </c>
      <c r="L173" s="3" t="s">
        <v>68</v>
      </c>
      <c r="M173">
        <v>1</v>
      </c>
    </row>
    <row r="174" spans="1:13" x14ac:dyDescent="0.25">
      <c r="A174" s="1">
        <v>46136</v>
      </c>
      <c r="B174" s="1" t="str">
        <f ca="1">IF(Información1[[#This Row],[Fecha]]='Ajuste de fechas'!$A$2,"Día actual","Día anterior")</f>
        <v>Día anterior</v>
      </c>
      <c r="C174" s="3" t="s">
        <v>53</v>
      </c>
      <c r="D174" t="s">
        <v>54</v>
      </c>
      <c r="E174" s="3" t="s">
        <v>205</v>
      </c>
      <c r="F174" s="3" t="s">
        <v>26</v>
      </c>
      <c r="G174" s="3" t="s">
        <v>206</v>
      </c>
      <c r="H174" s="3" t="s">
        <v>11</v>
      </c>
      <c r="I174" s="3" t="s">
        <v>7</v>
      </c>
      <c r="J174" s="3" t="s">
        <v>26</v>
      </c>
      <c r="K174" s="3" t="s">
        <v>55</v>
      </c>
      <c r="L174" s="3" t="s">
        <v>68</v>
      </c>
      <c r="M174">
        <v>1</v>
      </c>
    </row>
    <row r="175" spans="1:13" x14ac:dyDescent="0.25">
      <c r="A175" s="1">
        <v>46136</v>
      </c>
      <c r="B175" s="1" t="str">
        <f ca="1">IF(Información1[[#This Row],[Fecha]]='Ajuste de fechas'!$A$2,"Día actual","Día anterior")</f>
        <v>Día anterior</v>
      </c>
      <c r="C175" s="3" t="s">
        <v>53</v>
      </c>
      <c r="D175" t="s">
        <v>54</v>
      </c>
      <c r="E175" s="3" t="s">
        <v>207</v>
      </c>
      <c r="F175" s="3" t="s">
        <v>34</v>
      </c>
      <c r="G175" s="3" t="s">
        <v>208</v>
      </c>
      <c r="H175" s="3" t="s">
        <v>11</v>
      </c>
      <c r="I175" s="3" t="s">
        <v>7</v>
      </c>
      <c r="J175" s="3" t="s">
        <v>67</v>
      </c>
      <c r="K175" s="3" t="s">
        <v>55</v>
      </c>
      <c r="L175" s="3" t="s">
        <v>68</v>
      </c>
      <c r="M175">
        <v>1</v>
      </c>
    </row>
    <row r="176" spans="1:13" x14ac:dyDescent="0.25">
      <c r="A176" s="1">
        <v>46136</v>
      </c>
      <c r="B176" s="1" t="str">
        <f ca="1">IF(Información1[[#This Row],[Fecha]]='Ajuste de fechas'!$A$2,"Día actual","Día anterior")</f>
        <v>Día anterior</v>
      </c>
      <c r="C176" s="3" t="s">
        <v>53</v>
      </c>
      <c r="D176" t="s">
        <v>54</v>
      </c>
      <c r="E176" s="3" t="s">
        <v>209</v>
      </c>
      <c r="F176" s="3" t="s">
        <v>23</v>
      </c>
      <c r="G176" s="3" t="s">
        <v>106</v>
      </c>
      <c r="H176" s="3" t="s">
        <v>11</v>
      </c>
      <c r="I176" s="3" t="s">
        <v>7</v>
      </c>
      <c r="J176" s="3" t="s">
        <v>72</v>
      </c>
      <c r="K176" s="3" t="s">
        <v>55</v>
      </c>
      <c r="L176" s="3" t="s">
        <v>68</v>
      </c>
      <c r="M176">
        <v>1</v>
      </c>
    </row>
    <row r="177" spans="1:13" x14ac:dyDescent="0.25">
      <c r="A177" s="1">
        <v>46136</v>
      </c>
      <c r="B177" s="1" t="str">
        <f ca="1">IF(Información1[[#This Row],[Fecha]]='Ajuste de fechas'!$A$2,"Día actual","Día anterior")</f>
        <v>Día anterior</v>
      </c>
      <c r="C177" s="3" t="s">
        <v>53</v>
      </c>
      <c r="D177" t="s">
        <v>54</v>
      </c>
      <c r="E177" s="3" t="s">
        <v>210</v>
      </c>
      <c r="F177" s="3" t="s">
        <v>22</v>
      </c>
      <c r="G177" s="3" t="s">
        <v>211</v>
      </c>
      <c r="H177" s="3" t="s">
        <v>11</v>
      </c>
      <c r="I177" s="3" t="s">
        <v>7</v>
      </c>
      <c r="J177" s="3" t="s">
        <v>26</v>
      </c>
      <c r="K177" s="3" t="s">
        <v>55</v>
      </c>
      <c r="L177" s="3" t="s">
        <v>68</v>
      </c>
      <c r="M177">
        <v>1</v>
      </c>
    </row>
    <row r="178" spans="1:13" x14ac:dyDescent="0.25">
      <c r="A178" s="1">
        <v>46136</v>
      </c>
      <c r="B178" s="1" t="str">
        <f ca="1">IF(Información1[[#This Row],[Fecha]]='Ajuste de fechas'!$A$2,"Día actual","Día anterior")</f>
        <v>Día anterior</v>
      </c>
      <c r="C178" s="3" t="s">
        <v>53</v>
      </c>
      <c r="D178" t="s">
        <v>54</v>
      </c>
      <c r="E178" s="3" t="s">
        <v>212</v>
      </c>
      <c r="F178" s="3" t="s">
        <v>23</v>
      </c>
      <c r="G178" s="3" t="s">
        <v>105</v>
      </c>
      <c r="H178" s="3" t="s">
        <v>11</v>
      </c>
      <c r="I178" s="3" t="s">
        <v>7</v>
      </c>
      <c r="J178" s="3" t="s">
        <v>72</v>
      </c>
      <c r="K178" s="3" t="s">
        <v>55</v>
      </c>
      <c r="L178" s="3" t="s">
        <v>68</v>
      </c>
      <c r="M178">
        <v>1</v>
      </c>
    </row>
    <row r="179" spans="1:13" x14ac:dyDescent="0.25">
      <c r="A179" s="1">
        <v>46136</v>
      </c>
      <c r="B179" s="1" t="str">
        <f ca="1">IF(Información1[[#This Row],[Fecha]]='Ajuste de fechas'!$A$2,"Día actual","Día anterior")</f>
        <v>Día anterior</v>
      </c>
      <c r="C179" s="3" t="s">
        <v>53</v>
      </c>
      <c r="D179" t="s">
        <v>54</v>
      </c>
      <c r="E179" s="3" t="s">
        <v>188</v>
      </c>
      <c r="F179" s="3" t="s">
        <v>6</v>
      </c>
      <c r="G179" s="3" t="s">
        <v>79</v>
      </c>
      <c r="H179" s="3" t="s">
        <v>11</v>
      </c>
      <c r="I179" s="3" t="s">
        <v>7</v>
      </c>
      <c r="J179" s="3" t="s">
        <v>67</v>
      </c>
      <c r="K179" s="3" t="s">
        <v>55</v>
      </c>
      <c r="L179" s="3" t="s">
        <v>70</v>
      </c>
      <c r="M179">
        <v>1</v>
      </c>
    </row>
    <row r="180" spans="1:13" x14ac:dyDescent="0.25">
      <c r="A180" s="1">
        <v>46136</v>
      </c>
      <c r="B180" s="1" t="str">
        <f ca="1">IF(Información1[[#This Row],[Fecha]]='Ajuste de fechas'!$A$2,"Día actual","Día anterior")</f>
        <v>Día anterior</v>
      </c>
      <c r="C180" s="3" t="s">
        <v>53</v>
      </c>
      <c r="D180" t="s">
        <v>54</v>
      </c>
      <c r="E180" s="3" t="s">
        <v>213</v>
      </c>
      <c r="F180" s="3" t="s">
        <v>19</v>
      </c>
      <c r="G180" s="3" t="s">
        <v>43</v>
      </c>
      <c r="H180" s="3" t="s">
        <v>11</v>
      </c>
      <c r="I180" s="3" t="s">
        <v>7</v>
      </c>
      <c r="J180" s="3" t="s">
        <v>71</v>
      </c>
      <c r="K180" s="3" t="s">
        <v>55</v>
      </c>
      <c r="L180" s="3" t="s">
        <v>68</v>
      </c>
      <c r="M180">
        <v>1</v>
      </c>
    </row>
    <row r="181" spans="1:13" x14ac:dyDescent="0.25">
      <c r="A181" s="1">
        <v>46136</v>
      </c>
      <c r="B181" s="1" t="str">
        <f ca="1">IF(Información1[[#This Row],[Fecha]]='Ajuste de fechas'!$A$2,"Día actual","Día anterior")</f>
        <v>Día anterior</v>
      </c>
      <c r="C181" s="3" t="s">
        <v>53</v>
      </c>
      <c r="D181" t="s">
        <v>54</v>
      </c>
      <c r="E181" s="3" t="s">
        <v>214</v>
      </c>
      <c r="F181" s="3" t="s">
        <v>19</v>
      </c>
      <c r="G181" s="3" t="s">
        <v>79</v>
      </c>
      <c r="H181" s="3" t="s">
        <v>11</v>
      </c>
      <c r="I181" s="3" t="s">
        <v>7</v>
      </c>
      <c r="J181" s="3" t="s">
        <v>71</v>
      </c>
      <c r="K181" s="3" t="s">
        <v>55</v>
      </c>
      <c r="L181" s="3" t="s">
        <v>68</v>
      </c>
      <c r="M181">
        <v>1</v>
      </c>
    </row>
    <row r="182" spans="1:13" x14ac:dyDescent="0.25">
      <c r="A182" s="1">
        <v>46136</v>
      </c>
      <c r="B182" s="1" t="str">
        <f ca="1">IF(Información1[[#This Row],[Fecha]]='Ajuste de fechas'!$A$2,"Día actual","Día anterior")</f>
        <v>Día anterior</v>
      </c>
      <c r="C182" s="3" t="s">
        <v>53</v>
      </c>
      <c r="D182" t="s">
        <v>54</v>
      </c>
      <c r="E182" s="3" t="s">
        <v>215</v>
      </c>
      <c r="F182" s="3" t="s">
        <v>22</v>
      </c>
      <c r="G182" s="3" t="s">
        <v>57</v>
      </c>
      <c r="H182" s="3" t="s">
        <v>11</v>
      </c>
      <c r="I182" s="3" t="s">
        <v>7</v>
      </c>
      <c r="J182" s="3" t="s">
        <v>26</v>
      </c>
      <c r="K182" s="3" t="s">
        <v>55</v>
      </c>
      <c r="L182" s="3" t="s">
        <v>68</v>
      </c>
      <c r="M182">
        <v>1</v>
      </c>
    </row>
    <row r="183" spans="1:13" x14ac:dyDescent="0.25">
      <c r="A183" s="1">
        <v>46136</v>
      </c>
      <c r="B183" s="1" t="str">
        <f ca="1">IF(Información1[[#This Row],[Fecha]]='Ajuste de fechas'!$A$2,"Día actual","Día anterior")</f>
        <v>Día anterior</v>
      </c>
      <c r="C183" s="3" t="s">
        <v>53</v>
      </c>
      <c r="D183" t="s">
        <v>54</v>
      </c>
      <c r="E183" s="3" t="s">
        <v>216</v>
      </c>
      <c r="F183" s="3" t="s">
        <v>19</v>
      </c>
      <c r="G183" s="3" t="s">
        <v>92</v>
      </c>
      <c r="H183" s="3" t="s">
        <v>11</v>
      </c>
      <c r="I183" s="3" t="s">
        <v>7</v>
      </c>
      <c r="J183" s="3" t="s">
        <v>71</v>
      </c>
      <c r="K183" s="3" t="s">
        <v>55</v>
      </c>
      <c r="L183" s="3" t="s">
        <v>68</v>
      </c>
      <c r="M183">
        <v>1</v>
      </c>
    </row>
    <row r="184" spans="1:13" x14ac:dyDescent="0.25">
      <c r="A184" s="1">
        <v>46136</v>
      </c>
      <c r="B184" s="1" t="str">
        <f ca="1">IF(Información1[[#This Row],[Fecha]]='Ajuste de fechas'!$A$2,"Día actual","Día anterior")</f>
        <v>Día anterior</v>
      </c>
      <c r="C184" s="3" t="s">
        <v>45</v>
      </c>
      <c r="D184" t="s">
        <v>46</v>
      </c>
      <c r="E184" s="3" t="s">
        <v>217</v>
      </c>
      <c r="F184" s="3" t="s">
        <v>87</v>
      </c>
      <c r="G184" s="3" t="s">
        <v>83</v>
      </c>
      <c r="H184" s="3" t="s">
        <v>42</v>
      </c>
      <c r="I184" s="3" t="s">
        <v>7</v>
      </c>
      <c r="J184" s="3" t="s">
        <v>67</v>
      </c>
      <c r="K184" s="3" t="s">
        <v>218</v>
      </c>
      <c r="L184" s="3" t="s">
        <v>68</v>
      </c>
      <c r="M184">
        <v>1</v>
      </c>
    </row>
    <row r="185" spans="1:13" x14ac:dyDescent="0.25">
      <c r="A185" s="1">
        <v>46136</v>
      </c>
      <c r="B185" s="1" t="str">
        <f ca="1">IF(Información1[[#This Row],[Fecha]]='Ajuste de fechas'!$A$2,"Día actual","Día anterior")</f>
        <v>Día anterior</v>
      </c>
      <c r="C185" s="3" t="s">
        <v>45</v>
      </c>
      <c r="D185" t="s">
        <v>46</v>
      </c>
      <c r="E185" s="3" t="s">
        <v>219</v>
      </c>
      <c r="F185" s="3" t="s">
        <v>19</v>
      </c>
      <c r="G185" s="3" t="s">
        <v>220</v>
      </c>
      <c r="H185" s="3" t="s">
        <v>42</v>
      </c>
      <c r="I185" s="3" t="s">
        <v>7</v>
      </c>
      <c r="J185" s="3" t="s">
        <v>71</v>
      </c>
      <c r="K185" s="3" t="s">
        <v>218</v>
      </c>
      <c r="L185" s="3" t="s">
        <v>68</v>
      </c>
      <c r="M185">
        <v>1</v>
      </c>
    </row>
    <row r="186" spans="1:13" x14ac:dyDescent="0.25">
      <c r="A186" s="1">
        <v>46136</v>
      </c>
      <c r="B186" s="1" t="str">
        <f ca="1">IF(Información1[[#This Row],[Fecha]]='Ajuste de fechas'!$A$2,"Día actual","Día anterior")</f>
        <v>Día anterior</v>
      </c>
      <c r="C186" s="3" t="s">
        <v>45</v>
      </c>
      <c r="D186" t="s">
        <v>46</v>
      </c>
      <c r="E186" s="3" t="s">
        <v>221</v>
      </c>
      <c r="F186" s="3" t="s">
        <v>22</v>
      </c>
      <c r="G186" s="3" t="s">
        <v>186</v>
      </c>
      <c r="H186" s="3" t="s">
        <v>42</v>
      </c>
      <c r="I186" s="3" t="s">
        <v>7</v>
      </c>
      <c r="J186" s="3" t="s">
        <v>26</v>
      </c>
      <c r="K186" s="3" t="s">
        <v>30</v>
      </c>
      <c r="L186" s="3" t="s">
        <v>68</v>
      </c>
      <c r="M186">
        <v>1</v>
      </c>
    </row>
    <row r="187" spans="1:13" x14ac:dyDescent="0.25">
      <c r="A187" s="1">
        <v>46136</v>
      </c>
      <c r="B187" s="1" t="str">
        <f ca="1">IF(Información1[[#This Row],[Fecha]]='Ajuste de fechas'!$A$2,"Día actual","Día anterior")</f>
        <v>Día anterior</v>
      </c>
      <c r="C187" s="3" t="s">
        <v>45</v>
      </c>
      <c r="D187" t="s">
        <v>46</v>
      </c>
      <c r="E187" s="3" t="s">
        <v>222</v>
      </c>
      <c r="F187" s="3" t="s">
        <v>52</v>
      </c>
      <c r="G187" s="3" t="s">
        <v>81</v>
      </c>
      <c r="H187" s="3" t="s">
        <v>42</v>
      </c>
      <c r="I187" s="3" t="s">
        <v>7</v>
      </c>
      <c r="J187" s="3" t="s">
        <v>67</v>
      </c>
      <c r="K187" s="3" t="s">
        <v>30</v>
      </c>
      <c r="L187" s="3" t="s">
        <v>70</v>
      </c>
      <c r="M187">
        <v>1</v>
      </c>
    </row>
    <row r="188" spans="1:13" x14ac:dyDescent="0.25">
      <c r="A188" s="1">
        <v>46136</v>
      </c>
      <c r="B188" s="1" t="str">
        <f ca="1">IF(Información1[[#This Row],[Fecha]]='Ajuste de fechas'!$A$2,"Día actual","Día anterior")</f>
        <v>Día anterior</v>
      </c>
      <c r="C188" s="3" t="s">
        <v>45</v>
      </c>
      <c r="D188" t="s">
        <v>46</v>
      </c>
      <c r="E188" s="3" t="s">
        <v>129</v>
      </c>
      <c r="F188" s="3" t="s">
        <v>22</v>
      </c>
      <c r="G188" s="3" t="s">
        <v>111</v>
      </c>
      <c r="H188" s="3" t="s">
        <v>42</v>
      </c>
      <c r="I188" s="3" t="s">
        <v>7</v>
      </c>
      <c r="J188" s="3" t="s">
        <v>26</v>
      </c>
      <c r="K188" s="3" t="s">
        <v>30</v>
      </c>
      <c r="L188" s="3" t="s">
        <v>68</v>
      </c>
      <c r="M188">
        <v>1</v>
      </c>
    </row>
    <row r="189" spans="1:13" x14ac:dyDescent="0.25">
      <c r="A189" s="1">
        <v>46136</v>
      </c>
      <c r="B189" s="1" t="str">
        <f ca="1">IF(Información1[[#This Row],[Fecha]]='Ajuste de fechas'!$A$2,"Día actual","Día anterior")</f>
        <v>Día anterior</v>
      </c>
      <c r="C189" s="3" t="s">
        <v>45</v>
      </c>
      <c r="D189" t="s">
        <v>46</v>
      </c>
      <c r="E189" s="3" t="s">
        <v>223</v>
      </c>
      <c r="F189" s="3" t="s">
        <v>87</v>
      </c>
      <c r="G189" s="3" t="s">
        <v>83</v>
      </c>
      <c r="H189" s="3" t="s">
        <v>42</v>
      </c>
      <c r="I189" s="3" t="s">
        <v>7</v>
      </c>
      <c r="J189" s="3" t="s">
        <v>67</v>
      </c>
      <c r="K189" s="3" t="s">
        <v>30</v>
      </c>
      <c r="L189" s="3" t="s">
        <v>68</v>
      </c>
      <c r="M189">
        <v>1</v>
      </c>
    </row>
    <row r="190" spans="1:13" x14ac:dyDescent="0.25">
      <c r="A190" s="1">
        <v>46136</v>
      </c>
      <c r="B190" s="1" t="str">
        <f ca="1">IF(Información1[[#This Row],[Fecha]]='Ajuste de fechas'!$A$2,"Día actual","Día anterior")</f>
        <v>Día anterior</v>
      </c>
      <c r="C190" s="3" t="s">
        <v>45</v>
      </c>
      <c r="D190" t="s">
        <v>46</v>
      </c>
      <c r="E190" s="3" t="s">
        <v>224</v>
      </c>
      <c r="F190" s="3" t="s">
        <v>28</v>
      </c>
      <c r="G190" s="3" t="s">
        <v>114</v>
      </c>
      <c r="H190" s="3" t="s">
        <v>42</v>
      </c>
      <c r="I190" s="3" t="s">
        <v>7</v>
      </c>
      <c r="J190" s="3" t="s">
        <v>67</v>
      </c>
      <c r="K190" s="3" t="s">
        <v>30</v>
      </c>
      <c r="L190" s="3" t="s">
        <v>68</v>
      </c>
      <c r="M190">
        <v>1</v>
      </c>
    </row>
    <row r="191" spans="1:13" x14ac:dyDescent="0.25">
      <c r="A191" s="1">
        <v>46136</v>
      </c>
      <c r="B191" s="1" t="str">
        <f ca="1">IF(Información1[[#This Row],[Fecha]]='Ajuste de fechas'!$A$2,"Día actual","Día anterior")</f>
        <v>Día anterior</v>
      </c>
      <c r="C191" s="3" t="s">
        <v>45</v>
      </c>
      <c r="D191" t="s">
        <v>46</v>
      </c>
      <c r="E191" s="3" t="s">
        <v>225</v>
      </c>
      <c r="F191" s="3" t="s">
        <v>15</v>
      </c>
      <c r="G191" s="3" t="s">
        <v>226</v>
      </c>
      <c r="H191" s="3" t="s">
        <v>42</v>
      </c>
      <c r="I191" s="3" t="s">
        <v>7</v>
      </c>
      <c r="J191" s="3" t="s">
        <v>67</v>
      </c>
      <c r="K191" s="3" t="s">
        <v>30</v>
      </c>
      <c r="L191" s="3" t="s">
        <v>68</v>
      </c>
      <c r="M191">
        <v>1</v>
      </c>
    </row>
    <row r="192" spans="1:13" x14ac:dyDescent="0.25">
      <c r="A192" s="1">
        <v>46136</v>
      </c>
      <c r="B192" s="1" t="str">
        <f ca="1">IF(Información1[[#This Row],[Fecha]]='Ajuste de fechas'!$A$2,"Día actual","Día anterior")</f>
        <v>Día anterior</v>
      </c>
      <c r="C192" s="3" t="s">
        <v>45</v>
      </c>
      <c r="D192" t="s">
        <v>46</v>
      </c>
      <c r="E192" s="3" t="s">
        <v>227</v>
      </c>
      <c r="F192" s="3" t="s">
        <v>23</v>
      </c>
      <c r="G192" s="3" t="s">
        <v>106</v>
      </c>
      <c r="H192" s="3" t="s">
        <v>42</v>
      </c>
      <c r="I192" s="3" t="s">
        <v>7</v>
      </c>
      <c r="J192" s="3" t="s">
        <v>72</v>
      </c>
      <c r="K192" s="3" t="s">
        <v>30</v>
      </c>
      <c r="L192" s="3" t="s">
        <v>68</v>
      </c>
      <c r="M192">
        <v>1</v>
      </c>
    </row>
    <row r="193" spans="1:13" x14ac:dyDescent="0.25">
      <c r="A193" s="1">
        <v>46136</v>
      </c>
      <c r="B193" s="1" t="str">
        <f ca="1">IF(Información1[[#This Row],[Fecha]]='Ajuste de fechas'!$A$2,"Día actual","Día anterior")</f>
        <v>Día anterior</v>
      </c>
      <c r="C193" s="3" t="s">
        <v>39</v>
      </c>
      <c r="D193" t="s">
        <v>41</v>
      </c>
      <c r="E193" s="3" t="s">
        <v>345</v>
      </c>
      <c r="F193" s="3" t="s">
        <v>21</v>
      </c>
      <c r="G193" s="3" t="s">
        <v>113</v>
      </c>
      <c r="H193" s="3" t="s">
        <v>42</v>
      </c>
      <c r="I193" s="3" t="s">
        <v>7</v>
      </c>
      <c r="J193" s="3" t="s">
        <v>67</v>
      </c>
      <c r="K193" s="3" t="s">
        <v>40</v>
      </c>
      <c r="L193" s="3" t="s">
        <v>68</v>
      </c>
      <c r="M193">
        <v>1</v>
      </c>
    </row>
    <row r="194" spans="1:13" x14ac:dyDescent="0.25">
      <c r="A194" s="1">
        <v>46136</v>
      </c>
      <c r="B194" s="1" t="str">
        <f ca="1">IF(Información1[[#This Row],[Fecha]]='Ajuste de fechas'!$A$2,"Día actual","Día anterior")</f>
        <v>Día anterior</v>
      </c>
      <c r="C194" s="3" t="s">
        <v>39</v>
      </c>
      <c r="D194" t="s">
        <v>41</v>
      </c>
      <c r="E194" s="3" t="s">
        <v>346</v>
      </c>
      <c r="F194" s="3" t="s">
        <v>28</v>
      </c>
      <c r="G194" s="3" t="s">
        <v>106</v>
      </c>
      <c r="H194" s="3" t="s">
        <v>42</v>
      </c>
      <c r="I194" s="3" t="s">
        <v>7</v>
      </c>
      <c r="J194" s="3" t="s">
        <v>67</v>
      </c>
      <c r="K194" s="3" t="s">
        <v>40</v>
      </c>
      <c r="L194" s="3" t="s">
        <v>68</v>
      </c>
      <c r="M194">
        <v>1</v>
      </c>
    </row>
    <row r="195" spans="1:13" x14ac:dyDescent="0.25">
      <c r="A195" s="1">
        <v>46136</v>
      </c>
      <c r="B195" s="1" t="str">
        <f ca="1">IF(Información1[[#This Row],[Fecha]]='Ajuste de fechas'!$A$2,"Día actual","Día anterior")</f>
        <v>Día anterior</v>
      </c>
      <c r="C195" s="3" t="s">
        <v>39</v>
      </c>
      <c r="D195" t="s">
        <v>41</v>
      </c>
      <c r="E195" s="3" t="s">
        <v>347</v>
      </c>
      <c r="F195" s="3" t="s">
        <v>19</v>
      </c>
      <c r="G195" s="3" t="s">
        <v>43</v>
      </c>
      <c r="H195" s="3" t="s">
        <v>42</v>
      </c>
      <c r="I195" s="3" t="s">
        <v>7</v>
      </c>
      <c r="J195" s="3" t="s">
        <v>71</v>
      </c>
      <c r="K195" s="3" t="s">
        <v>40</v>
      </c>
      <c r="L195" s="3" t="s">
        <v>68</v>
      </c>
      <c r="M195">
        <v>1</v>
      </c>
    </row>
    <row r="196" spans="1:13" x14ac:dyDescent="0.25">
      <c r="A196" s="1">
        <v>46136</v>
      </c>
      <c r="B196" s="1" t="str">
        <f ca="1">IF(Información1[[#This Row],[Fecha]]='Ajuste de fechas'!$A$2,"Día actual","Día anterior")</f>
        <v>Día anterior</v>
      </c>
      <c r="C196" s="3" t="s">
        <v>39</v>
      </c>
      <c r="D196" t="s">
        <v>41</v>
      </c>
      <c r="E196" s="3" t="s">
        <v>149</v>
      </c>
      <c r="F196" s="3" t="s">
        <v>24</v>
      </c>
      <c r="G196" s="3" t="s">
        <v>150</v>
      </c>
      <c r="H196" s="3" t="s">
        <v>42</v>
      </c>
      <c r="I196" s="3" t="s">
        <v>7</v>
      </c>
      <c r="J196" s="3" t="s">
        <v>67</v>
      </c>
      <c r="K196" s="3" t="s">
        <v>40</v>
      </c>
      <c r="L196" s="3" t="s">
        <v>70</v>
      </c>
      <c r="M196">
        <v>1</v>
      </c>
    </row>
    <row r="197" spans="1:13" x14ac:dyDescent="0.25">
      <c r="A197" s="1">
        <v>46136</v>
      </c>
      <c r="B197" s="1" t="str">
        <f ca="1">IF(Información1[[#This Row],[Fecha]]='Ajuste de fechas'!$A$2,"Día actual","Día anterior")</f>
        <v>Día anterior</v>
      </c>
      <c r="C197" s="3" t="s">
        <v>39</v>
      </c>
      <c r="D197" t="s">
        <v>41</v>
      </c>
      <c r="E197" s="3" t="s">
        <v>133</v>
      </c>
      <c r="F197" s="3" t="s">
        <v>52</v>
      </c>
      <c r="G197" s="3" t="s">
        <v>134</v>
      </c>
      <c r="H197" s="3" t="s">
        <v>42</v>
      </c>
      <c r="I197" s="3" t="s">
        <v>7</v>
      </c>
      <c r="J197" s="3" t="s">
        <v>67</v>
      </c>
      <c r="K197" s="3" t="s">
        <v>40</v>
      </c>
      <c r="L197" s="3" t="s">
        <v>70</v>
      </c>
      <c r="M197">
        <v>1</v>
      </c>
    </row>
    <row r="198" spans="1:13" x14ac:dyDescent="0.25">
      <c r="A198" s="1">
        <v>46136</v>
      </c>
      <c r="B198" s="1" t="str">
        <f ca="1">IF(Información1[[#This Row],[Fecha]]='Ajuste de fechas'!$A$2,"Día actual","Día anterior")</f>
        <v>Día anterior</v>
      </c>
      <c r="C198" s="3" t="s">
        <v>39</v>
      </c>
      <c r="D198" t="s">
        <v>41</v>
      </c>
      <c r="E198" s="3" t="s">
        <v>348</v>
      </c>
      <c r="F198" s="3" t="s">
        <v>21</v>
      </c>
      <c r="G198" s="3" t="s">
        <v>195</v>
      </c>
      <c r="H198" s="3" t="s">
        <v>42</v>
      </c>
      <c r="I198" s="3" t="s">
        <v>7</v>
      </c>
      <c r="J198" s="3" t="s">
        <v>67</v>
      </c>
      <c r="K198" s="3" t="s">
        <v>40</v>
      </c>
      <c r="L198" s="3" t="s">
        <v>70</v>
      </c>
      <c r="M198">
        <v>1</v>
      </c>
    </row>
    <row r="199" spans="1:13" x14ac:dyDescent="0.25">
      <c r="A199" s="1">
        <v>46136</v>
      </c>
      <c r="B199" s="1" t="str">
        <f ca="1">IF(Información1[[#This Row],[Fecha]]='Ajuste de fechas'!$A$2,"Día actual","Día anterior")</f>
        <v>Día anterior</v>
      </c>
      <c r="C199" s="3" t="s">
        <v>39</v>
      </c>
      <c r="D199" t="s">
        <v>41</v>
      </c>
      <c r="E199" s="3" t="s">
        <v>349</v>
      </c>
      <c r="F199" s="3" t="s">
        <v>15</v>
      </c>
      <c r="G199" s="3" t="s">
        <v>350</v>
      </c>
      <c r="H199" s="3" t="s">
        <v>42</v>
      </c>
      <c r="I199" s="3" t="s">
        <v>7</v>
      </c>
      <c r="J199" s="3" t="s">
        <v>67</v>
      </c>
      <c r="K199" s="3" t="s">
        <v>40</v>
      </c>
      <c r="L199" s="3" t="s">
        <v>70</v>
      </c>
      <c r="M199">
        <v>1</v>
      </c>
    </row>
    <row r="200" spans="1:13" x14ac:dyDescent="0.25">
      <c r="A200" s="1">
        <v>46136</v>
      </c>
      <c r="B200" s="1" t="str">
        <f ca="1">IF(Información1[[#This Row],[Fecha]]='Ajuste de fechas'!$A$2,"Día actual","Día anterior")</f>
        <v>Día anterior</v>
      </c>
      <c r="C200" s="3" t="s">
        <v>39</v>
      </c>
      <c r="D200" t="s">
        <v>41</v>
      </c>
      <c r="E200" s="3" t="s">
        <v>351</v>
      </c>
      <c r="F200" s="3" t="s">
        <v>118</v>
      </c>
      <c r="G200" s="3" t="s">
        <v>352</v>
      </c>
      <c r="H200" s="3" t="s">
        <v>42</v>
      </c>
      <c r="I200" s="3" t="s">
        <v>7</v>
      </c>
      <c r="J200" s="3" t="s">
        <v>67</v>
      </c>
      <c r="K200" s="3" t="s">
        <v>40</v>
      </c>
      <c r="L200" s="3" t="s">
        <v>68</v>
      </c>
      <c r="M200">
        <v>1</v>
      </c>
    </row>
    <row r="201" spans="1:13" x14ac:dyDescent="0.25">
      <c r="A201" s="1">
        <v>46136</v>
      </c>
      <c r="B201" s="1" t="str">
        <f ca="1">IF(Información1[[#This Row],[Fecha]]='Ajuste de fechas'!$A$2,"Día actual","Día anterior")</f>
        <v>Día anterior</v>
      </c>
      <c r="C201" s="3" t="s">
        <v>39</v>
      </c>
      <c r="D201" t="s">
        <v>41</v>
      </c>
      <c r="E201" s="3" t="s">
        <v>353</v>
      </c>
      <c r="F201" s="3" t="s">
        <v>354</v>
      </c>
      <c r="G201" s="3" t="s">
        <v>355</v>
      </c>
      <c r="H201" s="3" t="s">
        <v>42</v>
      </c>
      <c r="I201" s="3" t="s">
        <v>7</v>
      </c>
      <c r="J201" s="3" t="s">
        <v>67</v>
      </c>
      <c r="K201" s="3" t="s">
        <v>40</v>
      </c>
      <c r="L201" s="3" t="s">
        <v>70</v>
      </c>
      <c r="M201">
        <v>1</v>
      </c>
    </row>
    <row r="202" spans="1:13" x14ac:dyDescent="0.25">
      <c r="A202" s="1">
        <v>46136</v>
      </c>
      <c r="B202" s="1" t="str">
        <f ca="1">IF(Información1[[#This Row],[Fecha]]='Ajuste de fechas'!$A$2,"Día actual","Día anterior")</f>
        <v>Día anterior</v>
      </c>
      <c r="C202" s="3" t="s">
        <v>39</v>
      </c>
      <c r="D202" t="s">
        <v>41</v>
      </c>
      <c r="E202" s="3" t="s">
        <v>356</v>
      </c>
      <c r="F202" s="3" t="s">
        <v>257</v>
      </c>
      <c r="G202" s="3" t="s">
        <v>357</v>
      </c>
      <c r="H202" s="3" t="s">
        <v>42</v>
      </c>
      <c r="I202" s="3" t="s">
        <v>7</v>
      </c>
      <c r="J202" s="3" t="s">
        <v>67</v>
      </c>
      <c r="K202" s="3" t="s">
        <v>40</v>
      </c>
      <c r="L202" s="3" t="s">
        <v>70</v>
      </c>
      <c r="M202">
        <v>1</v>
      </c>
    </row>
    <row r="203" spans="1:13" x14ac:dyDescent="0.25">
      <c r="A203" s="1">
        <v>46136</v>
      </c>
      <c r="B203" s="1" t="str">
        <f ca="1">IF(Información1[[#This Row],[Fecha]]='Ajuste de fechas'!$A$2,"Día actual","Día anterior")</f>
        <v>Día anterior</v>
      </c>
      <c r="C203" s="3" t="s">
        <v>39</v>
      </c>
      <c r="D203" t="s">
        <v>41</v>
      </c>
      <c r="E203" s="3" t="s">
        <v>135</v>
      </c>
      <c r="F203" s="3" t="s">
        <v>25</v>
      </c>
      <c r="G203" s="3" t="s">
        <v>136</v>
      </c>
      <c r="H203" s="3" t="s">
        <v>42</v>
      </c>
      <c r="I203" s="3" t="s">
        <v>7</v>
      </c>
      <c r="J203" s="3" t="s">
        <v>67</v>
      </c>
      <c r="K203" s="3" t="s">
        <v>40</v>
      </c>
      <c r="L203" s="3" t="s">
        <v>70</v>
      </c>
      <c r="M203">
        <v>1</v>
      </c>
    </row>
    <row r="204" spans="1:13" x14ac:dyDescent="0.25">
      <c r="A204" s="1">
        <v>46136</v>
      </c>
      <c r="B204" s="1" t="str">
        <f ca="1">IF(Información1[[#This Row],[Fecha]]='Ajuste de fechas'!$A$2,"Día actual","Día anterior")</f>
        <v>Día anterior</v>
      </c>
      <c r="C204" s="3" t="s">
        <v>39</v>
      </c>
      <c r="D204" t="s">
        <v>41</v>
      </c>
      <c r="E204" s="3" t="s">
        <v>358</v>
      </c>
      <c r="F204" s="3" t="s">
        <v>28</v>
      </c>
      <c r="G204" s="3" t="s">
        <v>106</v>
      </c>
      <c r="H204" s="3" t="s">
        <v>42</v>
      </c>
      <c r="I204" s="3" t="s">
        <v>7</v>
      </c>
      <c r="J204" s="3" t="s">
        <v>67</v>
      </c>
      <c r="K204" s="3" t="s">
        <v>40</v>
      </c>
      <c r="L204" s="3" t="s">
        <v>68</v>
      </c>
      <c r="M204">
        <v>1</v>
      </c>
    </row>
    <row r="205" spans="1:13" x14ac:dyDescent="0.25">
      <c r="A205" s="1">
        <v>46136</v>
      </c>
      <c r="B205" s="1" t="str">
        <f ca="1">IF(Información1[[#This Row],[Fecha]]='Ajuste de fechas'!$A$2,"Día actual","Día anterior")</f>
        <v>Día anterior</v>
      </c>
      <c r="C205" s="3" t="s">
        <v>39</v>
      </c>
      <c r="D205" t="s">
        <v>41</v>
      </c>
      <c r="E205" s="3" t="s">
        <v>359</v>
      </c>
      <c r="F205" s="3" t="s">
        <v>28</v>
      </c>
      <c r="G205" s="3" t="s">
        <v>304</v>
      </c>
      <c r="H205" s="3" t="s">
        <v>42</v>
      </c>
      <c r="I205" s="3" t="s">
        <v>7</v>
      </c>
      <c r="J205" s="3" t="s">
        <v>67</v>
      </c>
      <c r="K205" s="3" t="s">
        <v>40</v>
      </c>
      <c r="L205" s="3" t="s">
        <v>68</v>
      </c>
      <c r="M205">
        <v>1</v>
      </c>
    </row>
    <row r="206" spans="1:13" x14ac:dyDescent="0.25">
      <c r="A206" s="1">
        <v>46136</v>
      </c>
      <c r="B206" s="1" t="str">
        <f ca="1">IF(Información1[[#This Row],[Fecha]]='Ajuste de fechas'!$A$2,"Día actual","Día anterior")</f>
        <v>Día anterior</v>
      </c>
      <c r="C206" s="3" t="s">
        <v>39</v>
      </c>
      <c r="D206" t="s">
        <v>41</v>
      </c>
      <c r="E206" s="3" t="s">
        <v>360</v>
      </c>
      <c r="F206" s="3" t="s">
        <v>87</v>
      </c>
      <c r="G206" s="3" t="s">
        <v>83</v>
      </c>
      <c r="H206" s="3" t="s">
        <v>42</v>
      </c>
      <c r="I206" s="3" t="s">
        <v>7</v>
      </c>
      <c r="J206" s="3" t="s">
        <v>67</v>
      </c>
      <c r="K206" s="3" t="s">
        <v>40</v>
      </c>
      <c r="L206" s="3" t="s">
        <v>68</v>
      </c>
      <c r="M20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75</v>
      </c>
      <c r="B1" t="s">
        <v>76</v>
      </c>
    </row>
    <row r="2" spans="1:2" x14ac:dyDescent="0.25">
      <c r="A2" s="2">
        <f ca="1">TODAY()</f>
        <v>46139</v>
      </c>
      <c r="B2" s="2">
        <f ca="1">A2-1</f>
        <v>46138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2026-04-28T00:26:08Z</dcterms:modified>
</cp:coreProperties>
</file>