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sitorios GitHub\ReporteRadio\"/>
    </mc:Choice>
  </mc:AlternateContent>
  <xr:revisionPtr revIDLastSave="0" documentId="13_ncr:1_{3CA5AD59-AC53-4CD3-B7AF-E94AA61D798D}" xr6:coauthVersionLast="47" xr6:coauthVersionMax="47" xr10:uidLastSave="{00000000-0000-0000-0000-000000000000}"/>
  <bookViews>
    <workbookView xWindow="-110" yWindow="-110" windowWidth="19420" windowHeight="10300" xr2:uid="{5C0A4D95-2E1C-48C6-BF5D-23E5933B5009}"/>
  </bookViews>
  <sheets>
    <sheet name="Radio" sheetId="2" r:id="rId1"/>
    <sheet name="Ajuste de fechas" sheetId="1" r:id="rId2"/>
  </sheets>
  <definedNames>
    <definedName name="DatosExternos_1" localSheetId="0" hidden="1">Radio!$A$1:$M$166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s="1"/>
  <c r="B161" i="2" l="1"/>
  <c r="B105" i="2"/>
  <c r="B49" i="2"/>
  <c r="B152" i="2"/>
  <c r="B120" i="2"/>
  <c r="B112" i="2"/>
  <c r="B104" i="2"/>
  <c r="B96" i="2"/>
  <c r="B88" i="2"/>
  <c r="B80" i="2"/>
  <c r="B72" i="2"/>
  <c r="B64" i="2"/>
  <c r="B56" i="2"/>
  <c r="B48" i="2"/>
  <c r="B40" i="2"/>
  <c r="B32" i="2"/>
  <c r="B24" i="2"/>
  <c r="B16" i="2"/>
  <c r="B8" i="2"/>
  <c r="B159" i="2"/>
  <c r="B151" i="2"/>
  <c r="B143" i="2"/>
  <c r="B135" i="2"/>
  <c r="B127" i="2"/>
  <c r="B119" i="2"/>
  <c r="B111" i="2"/>
  <c r="B103" i="2"/>
  <c r="B95" i="2"/>
  <c r="B87" i="2"/>
  <c r="B79" i="2"/>
  <c r="B71" i="2"/>
  <c r="B63" i="2"/>
  <c r="B55" i="2"/>
  <c r="B47" i="2"/>
  <c r="B39" i="2"/>
  <c r="B31" i="2"/>
  <c r="B23" i="2"/>
  <c r="B15" i="2"/>
  <c r="B7" i="2"/>
  <c r="B153" i="2"/>
  <c r="B113" i="2"/>
  <c r="B57" i="2"/>
  <c r="B25" i="2"/>
  <c r="B128" i="2"/>
  <c r="B158" i="2"/>
  <c r="B150" i="2"/>
  <c r="B142" i="2"/>
  <c r="B134" i="2"/>
  <c r="B126" i="2"/>
  <c r="B118" i="2"/>
  <c r="B110" i="2"/>
  <c r="B102" i="2"/>
  <c r="B94" i="2"/>
  <c r="B86" i="2"/>
  <c r="B78" i="2"/>
  <c r="B70" i="2"/>
  <c r="B62" i="2"/>
  <c r="B54" i="2"/>
  <c r="B46" i="2"/>
  <c r="B38" i="2"/>
  <c r="B30" i="2"/>
  <c r="B22" i="2"/>
  <c r="B14" i="2"/>
  <c r="B6" i="2"/>
  <c r="B129" i="2"/>
  <c r="B81" i="2"/>
  <c r="B17" i="2"/>
  <c r="B160" i="2"/>
  <c r="B166" i="2"/>
  <c r="B165" i="2"/>
  <c r="B157" i="2"/>
  <c r="B149" i="2"/>
  <c r="B141" i="2"/>
  <c r="B133" i="2"/>
  <c r="B125" i="2"/>
  <c r="B117" i="2"/>
  <c r="B109" i="2"/>
  <c r="B101" i="2"/>
  <c r="B93" i="2"/>
  <c r="B85" i="2"/>
  <c r="B77" i="2"/>
  <c r="B69" i="2"/>
  <c r="B61" i="2"/>
  <c r="B53" i="2"/>
  <c r="B45" i="2"/>
  <c r="B37" i="2"/>
  <c r="B29" i="2"/>
  <c r="B21" i="2"/>
  <c r="B13" i="2"/>
  <c r="B5" i="2"/>
  <c r="B137" i="2"/>
  <c r="B89" i="2"/>
  <c r="B9" i="2"/>
  <c r="B164" i="2"/>
  <c r="B156" i="2"/>
  <c r="B148" i="2"/>
  <c r="B140" i="2"/>
  <c r="B132" i="2"/>
  <c r="B124" i="2"/>
  <c r="B116" i="2"/>
  <c r="B108" i="2"/>
  <c r="B100" i="2"/>
  <c r="B92" i="2"/>
  <c r="B84" i="2"/>
  <c r="B76" i="2"/>
  <c r="B68" i="2"/>
  <c r="B60" i="2"/>
  <c r="B52" i="2"/>
  <c r="B44" i="2"/>
  <c r="B36" i="2"/>
  <c r="B28" i="2"/>
  <c r="B20" i="2"/>
  <c r="B12" i="2"/>
  <c r="B4" i="2"/>
  <c r="B145" i="2"/>
  <c r="B97" i="2"/>
  <c r="B65" i="2"/>
  <c r="B33" i="2"/>
  <c r="B136" i="2"/>
  <c r="B163" i="2"/>
  <c r="B155" i="2"/>
  <c r="B147" i="2"/>
  <c r="B139" i="2"/>
  <c r="B131" i="2"/>
  <c r="B123" i="2"/>
  <c r="B115" i="2"/>
  <c r="B107" i="2"/>
  <c r="B99" i="2"/>
  <c r="B91" i="2"/>
  <c r="B83" i="2"/>
  <c r="B75" i="2"/>
  <c r="B67" i="2"/>
  <c r="B59" i="2"/>
  <c r="B51" i="2"/>
  <c r="B43" i="2"/>
  <c r="B35" i="2"/>
  <c r="B27" i="2"/>
  <c r="B19" i="2"/>
  <c r="B11" i="2"/>
  <c r="B3" i="2"/>
  <c r="B121" i="2"/>
  <c r="B73" i="2"/>
  <c r="B41" i="2"/>
  <c r="B144" i="2"/>
  <c r="B162" i="2"/>
  <c r="B154" i="2"/>
  <c r="B146" i="2"/>
  <c r="B138" i="2"/>
  <c r="B130" i="2"/>
  <c r="B122" i="2"/>
  <c r="B114" i="2"/>
  <c r="B106" i="2"/>
  <c r="B98" i="2"/>
  <c r="B90" i="2"/>
  <c r="B82" i="2"/>
  <c r="B74" i="2"/>
  <c r="B66" i="2"/>
  <c r="B58" i="2"/>
  <c r="B50" i="2"/>
  <c r="B42" i="2"/>
  <c r="B34" i="2"/>
  <c r="B26" i="2"/>
  <c r="B18" i="2"/>
  <c r="B1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<sst xmlns="http://schemas.openxmlformats.org/spreadsheetml/2006/main" count="1665" uniqueCount="297">
  <si>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</si>
  <si>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</si>
  <si>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</si>
  <si>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</si>
  <si>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</si>
  <si>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</si>
  <si>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</si>
  <si>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</si>
  <si>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</si>
  <si>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</si>
  <si>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</si>
  <si>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</si>
  <si>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</si>
  <si>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</si>
  <si>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</si>
  <si>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</si>
  <si>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</si>
  <si>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</si>
  <si>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</si>
  <si>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</si>
  <si>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</si>
  <si>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</si>
  <si>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</si>
  <si>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</si>
  <si>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</si>
  <si>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</si>
  <si>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</si>
  <si>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</si>
  <si>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</si>
  <si>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Canal del Pueblo</t>
  </si>
  <si>
    <t>Vocales Radio</t>
  </si>
  <si>
    <t>Planeación</t>
  </si>
  <si>
    <t>Atención Ciudadana</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</si>
  <si>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</si>
  <si>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</si>
  <si>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</si>
  <si>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</si>
  <si>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</si>
  <si>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</si>
  <si>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</si>
  <si>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</si>
  <si>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</si>
  <si>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</si>
  <si>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</si>
  <si>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</si>
  <si>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</si>
  <si>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</si>
  <si>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</si>
  <si>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PGJEH</t>
  </si>
  <si>
    <t>Juan Carlos Santamaria</t>
  </si>
  <si>
    <t>NQ 90.1 FM</t>
  </si>
  <si>
    <t>Jesús Riveros</t>
  </si>
  <si>
    <t>Enlace Hidalgo1</t>
  </si>
  <si>
    <t>Mundial De Futbol</t>
  </si>
  <si>
    <t>Eulalio Larrieta agradece a Edith Balderas de la Secretaria de Educación Pública.</t>
  </si>
  <si>
    <t>Eulalio Larrieta agradece Paola García y Lic. Sarahi Pineda, por estar atentas a los mensajes de la ciudadanía y por atenderlos.</t>
  </si>
  <si>
    <t>Congreso</t>
  </si>
  <si>
    <t>Enlace Hidalgo2</t>
  </si>
  <si>
    <t>Auxilio a la ciudadanía</t>
  </si>
  <si>
    <t>TV local</t>
  </si>
  <si>
    <t>Modernización Tuzobús</t>
  </si>
  <si>
    <t>Radiodifusoras</t>
  </si>
  <si>
    <t>DIFH</t>
  </si>
  <si>
    <t>Ultra 102.9 FM</t>
  </si>
  <si>
    <t>Ultra Noticias1</t>
  </si>
  <si>
    <t>Daniel Martínez</t>
  </si>
  <si>
    <t>Vía telefónica el reporte de Bombero y Protección Civil con Abner Yáñez informa de las diversas emergencias reportadas por la ciudadanía y que fueron atendidas.</t>
  </si>
  <si>
    <t>Ke Buena 106.7 FM</t>
  </si>
  <si>
    <t>Noticias 106.7</t>
  </si>
  <si>
    <t>David Cárdenas</t>
  </si>
  <si>
    <t>Enfoque Regional Meridiano</t>
  </si>
  <si>
    <t>Jesús González</t>
  </si>
  <si>
    <t>OCSAD</t>
  </si>
  <si>
    <t>Procuraduría Municipal del Menor</t>
  </si>
  <si>
    <t>Prevención De Riesgos</t>
  </si>
  <si>
    <t>Fuga De Agua</t>
  </si>
  <si>
    <t>Combate Al Narcomenudeo</t>
  </si>
  <si>
    <t>Eulalio Larrieta agradece a Carlos Gamiño por estar al pendiente de temas</t>
  </si>
  <si>
    <t>Bienestar</t>
  </si>
  <si>
    <t>TV Cable hidalguense Canal 6</t>
  </si>
  <si>
    <t>Contigo Noticias</t>
  </si>
  <si>
    <t>Localización de cuerpo</t>
  </si>
  <si>
    <t>Alerta Meteorológica</t>
  </si>
  <si>
    <t>Alcantarillado</t>
  </si>
  <si>
    <t>Gobierno</t>
  </si>
  <si>
    <t>Turismo</t>
  </si>
  <si>
    <t>Ataque Armado</t>
  </si>
  <si>
    <t>Queja transporte público</t>
  </si>
  <si>
    <t>Búsqueda de personas</t>
  </si>
  <si>
    <t>TSJEH</t>
  </si>
  <si>
    <t>La Poderosa Tuxpan 93.1 FM</t>
  </si>
  <si>
    <t>NN Nuestras Noticias Zona Norte</t>
  </si>
  <si>
    <t>Liz Argüelles</t>
  </si>
  <si>
    <t>Con el programa Raíces de Hidalgo, Sebiso impulsa el reencuentro de familias migrantes</t>
  </si>
  <si>
    <t>Apoyo A Migrantes</t>
  </si>
  <si>
    <t>Atención Afectaciones Por Lluvias</t>
  </si>
  <si>
    <t>Iniciativa</t>
  </si>
  <si>
    <t>Milton Cortés</t>
  </si>
  <si>
    <t>Anegamiento</t>
  </si>
  <si>
    <t>Saderh</t>
  </si>
  <si>
    <t>Apoyo Al Agro</t>
  </si>
  <si>
    <t>Vialidad En Mal Estado</t>
  </si>
  <si>
    <t>Irving Sánchez</t>
  </si>
  <si>
    <t>El IMSS e IMSS-Bienestar en Hidalgo han lanzado oficialmente su campaña de Jornadas de Vasectomía Sin Bisturí vigentes durante el mes de junio de 2026. Se trata de un procedimiento totalmente gratuito, rápido y ambulatorio dirigido tanto a derechohabientes como a la población en general que haya decidido culminar su etapa reproductiva. Las jornadas intensivas del IMSS se llevan a cabo de manera escalonada en diferentes municipios como: Pachuca, Tulancingo, Ciudad Sahagún, Mixquiahuala y Huejutla. Para conocer los días exactos por clínica, se debe acudir al área de Trabajo Social o Medicina Familiar local.</t>
  </si>
  <si>
    <t>Jornada de cirugías</t>
  </si>
  <si>
    <t>Locutor Jesús Riveros da lectura a comentario de radioescucha que reporta a un taxi que se estaciona frente a la entrada de su domicilio ubicado en Jardines de Napateco, señala que, ya hablaron con el chofer, pero. Al parecer, maneja bajo los influjos de alguna sustancia porque se pone muy grosero y prepotente.</t>
  </si>
  <si>
    <t>Locutor Jesús Riveros da lectura a comentario de radioescucha que reporta a una colectiva de la ruta Medias Tierras-Centro con número económico A53-363K, el conductor casi lo atropella por corretearse y ganarle el pasaje a la colectiva que venía detrás, pide a las autoridades la intervención correspondiente.</t>
  </si>
  <si>
    <t>Respecto al reporte de una colectiva de Tulancingo, locutor Jesús Responde que hay que reportarlo a la Semot y recuerda que el llamado que realizó la titular de la Semot en una entrevista en NQ, fue realizar las denuncias y reportes de manera formal a través de los medios de contacto oficiales.</t>
  </si>
  <si>
    <t>Las intensas lluvias registradas en los últimos días provocaron un incremento en el nivel del río que atraviesa el Parque Ecoturístico El Río ubicado en el municipio de Progreso de Obregón, situación que llevó a las autoridades municipales a determinar el cierre temporal de este espacio recreativo como medida preventiva. A través de un comunicado, el gobierno municipal informó que el parque permanecerá cerrado hasta nuevo aviso, en tanto se evalúan las condiciones de seguridad para los visitantes. Las autoridades señalaron que el aumento en el caudal del afluente se derivó de las precipitaciones que han tenido lugar recientemente, lo que representa un riesgo para quienes acuden al lugar, por lo que se decidió restringir el acceso con el objetivo de salvaguardar la integridad de los visitantes. En coordinación con personal de Protección Civil y Seguridad Pública, el ayuntamiento mantiene monitoreo permanente de la zona para detectar cualquier posible situación de riesgo. Asimismo, se exhortó a la ciudadanía a respetar las áreas restringidas, evitar acercarse a la ribera del río y abstenerse de cruzar corrientes de agua, ya que las condiciones pueden cambiar de manera repentina. Las autoridades reiteraron que el Parque Ecoturístico será reabierto una vez que disminuyan los niveles del afluente y se determine que no existe riesgo para los visitantes.</t>
  </si>
  <si>
    <t>El legislador Avelino Tovar Iglesias (PVEM) propuso la iniciativa que modifica el Código de Procedimientos Civiles del Estado de Hidalgo, la cual contempla la incorporación de plataformas digitales como medios alternativos para la realización de notificaciones en los procedimientos judiciales.</t>
  </si>
  <si>
    <t>En sesión ordinaria, diputadas y diputados integrantes de la LXVI Legislatura avalaron con 24 votos a favor, cero en contra y cero abstenciones, el dictamen que aprueba con modificaciones la iniciativa que reforma la Ley de los Derechos de las Personas Adultas Mayores del Estado de Hidalgo, en materia del principio de progresividad, promovido por el legislador Francisco Javier Téllez Sánchez (PT), emitido por la primera Comisión Permanente de Legislación y Puntos Constitucionales. El diputado José Luis Rodríguez Higareda (Morena) explicó que la incorporación del principio de progresividad en el catálogo rector de la ley tiene como finalidad consolidar una visión dinámica y evolutiva en la protección de los derechos de las personas adultas mayores, asegurando que la actuación del estado no se limite a preservar estándares mínimos, sino que se oriente a su mejora constante.</t>
  </si>
  <si>
    <t>Reforma De Ley</t>
  </si>
  <si>
    <t>Destaca IMCO a Hidalgo por su vanguardia en política industrial y alineación estratégica con el "Plan México"</t>
  </si>
  <si>
    <t>Sedeco</t>
  </si>
  <si>
    <t>Plan México</t>
  </si>
  <si>
    <t>ICATHI y Cultura fortalecen capacidades para proteger el legado cultural hidalguense (AUDIO OJGH)/(AUDIO JIACB)/(AUDIO NNB)</t>
  </si>
  <si>
    <t>STPSH</t>
  </si>
  <si>
    <t>Firma De Convenio</t>
  </si>
  <si>
    <t>Natividad Castrejón realiza gira de trabajo por escuelas de Tepeji del Río. (AUDIO NCV).</t>
  </si>
  <si>
    <t>Infraestructura escolar</t>
  </si>
  <si>
    <t>LSM abre camino hacia la inclusión en Hidalgo</t>
  </si>
  <si>
    <t>Lengua De Señas</t>
  </si>
  <si>
    <t>Hidalgo avanza en la simplificación de trámites para mejorar atención ciudadana. (AUDIO MATV)</t>
  </si>
  <si>
    <t>Simplificación de trámites</t>
  </si>
  <si>
    <t>Despacho del Gobernador consolida atención al pueblo mediante canales digitales</t>
  </si>
  <si>
    <t>Despacho</t>
  </si>
  <si>
    <t>Atención al pueblo</t>
  </si>
  <si>
    <t>Menchaca Salazar entrega nuevas instalaciones al Tribunal de Justicia Administrativa. (AUDIO JMS)/ (AUDIO EOAP)</t>
  </si>
  <si>
    <t>Entrega de instalaciones</t>
  </si>
  <si>
    <t>Locutor Jesús Riveros transmite audio de radioescucha en donde reporta las malas condiciones de la carretera estatal San Nicolas Cebolletas, no han recibido ayuda, nunca los han visto como pueblo señala.</t>
  </si>
  <si>
    <t>Carretera En Mal Estado</t>
  </si>
  <si>
    <t>Con inversión de 5.6 millones de pesos, Saderh beneficia a más de mil productores de 17 municipios</t>
  </si>
  <si>
    <t>Derivado de los efectos indirectos de la tormenta tropical Boris, la Subsecretaría de Protección Civil y Gestión de Riesgos del Gobierno del Estado de Hidalgo reportó incidencias por lluvias en cinco municipios, Nicolás Flores, Huautla, Tenango de Doria, Tepeji del Río y Tianguistengo.</t>
  </si>
  <si>
    <t>Refuerza gobierno de Hidalgo apoyo a familias de Tianguistengo ante estas lluvias.</t>
  </si>
  <si>
    <t>Menchaca Salazar entrega nuevas instalaciones al Tribunal de Justicia Administrativa</t>
  </si>
  <si>
    <t>Luego de que un infante de 10 meses de edad, fue secuestrado desde el pasado 2 de mayo del año en curso, en la colonia La Cañada del municipio de Huehuetoca, Estado de México, lo que generó el temor y la zozobra de sus afligidos padres, quienes sin medir el peligro iniciaron las indagatorias para descubrir el paradero de su hijo, finalmente lo localizaron en la comunidad de Tepetates del municipio de Tepeapulco y la policía procedió a su rescate. Fue un mes y seis días, de esta infame pesadilla para los familiares del bebé, en los cuales día a día mantenían la esperanza de recuperarlo, por fin fue en territorio hidalguense donde se logró hallarlo y gracias a la intervención policial se concretó su rescate. Nunca perdieron la esperanza, los padres del afectado refieren que desde el primer día ellos iniciaron su búsqueda y poco fueron encontrando la hebra de la madeja y finalmente lograron su ubicación en el municipio de Tepeapulco, Hidalgo. No obstante, ellos pasaron por muchas contrariedades, pues una de las más atemorizantes fue el haber recibido una llamada en la que les exigían una elevada cantidad de dinero para regresarlo, pero también tuvieron soportar la presión de haber sido amenazados de muerte, pero ellos mantuvieron su objetivo y nada de eso amainó su deseo de reencontrarse con su hijo. Se sabe que una vez que localizaron el paradero del infante pidieron apoyo a los gobiernos del Estado de México e Hidalgo, para recuperar al pequeño José. En su peregrinar también se enfrentaron a irregularidades pues a pesar de que la denuncia se presentó el día de los hechos, se reveló que la fiscalía general de Justicia del Estado de México, al inicio fue omisa en el cumplimiento de su responsabilidad. Este amargo relato refiere que luego de la localización del infante, los padres se trasladaron a Ciudad Sahagún donde se presentaron en la Agencia del Ministerio Público para denunciar que el menor se encontraba en un domicilio de la colonia Tepetates de Tepeapulco. Así mismo detallaron que iniciaron una carpeta de investigación en Cuautitlán, Estado de México, pero no tuvieron respuesta, por lo que ellos mismos trataron de localizar a su bebé al que detectaron en el domicilio de los secuestradores. No obstante, denunciaron que fueron amenazados por los plagiarios con armas de fuego y les pidieron una fuerte cantidad de dinero para recuperar al menor de 10 meses. Desesperados suplicaron en redes sociales el apoyo inmediato y refirieron; “Tenemos miedo de que huyan con el bebé y no lo podamos encontrar más por eso este clamor de justicia y de ayuda hacia ustedes es para que se haga viral porque necesitamos compartir el dolor que nos causa saber que se encuentra expuesto a un grave peligro”. Venturosamente la noche de este lunes, se implementó un operativo conjunto entre las policías de Hidalgo y del Estado de México, quienes lograron el rescate del niño sano y salvo. Posteriormente los oficiales y las autoridades de la Procuraduría General de Justicia de Hidalgo, notificaron a la Fiscalía del Estado de México y se realizó su traslado al municipio de Cuautitlán, donde el pequeño quedo bajo custodia del Ministerio Público de esa entidad. Así mismo se informó a los padres, quienes fueron testigos de las acciones que permitieron él rescate del niño y se procedió a realizar su entrega, para devolver la tranquilidad a los afectados. La mañana de este martes el abogado de los padres del niño, corroboró la recuperación del bebé y mediante un video que subió a las redes sociales destacó que este acierto fue producto de la presión que hemos ejercido a través de las redes sociales, trabajando desde ese momento para recuperación de un menor secuestrado y alejado de sus padres y agradeció la participación, el apoyo de las autoridades y de la ciudadanía en general.</t>
  </si>
  <si>
    <t>Rescate secuestro</t>
  </si>
  <si>
    <t>Tarjeta informativa acerca de señalamiento vial de “Carril Exclusivo Tuzobús”</t>
  </si>
  <si>
    <t>Señalética</t>
  </si>
  <si>
    <t>Daniel Martínez critica el hecho de que el alcalde de Mineral del Monte, Edmundo Méndez Tejeda designó el nombre de la presidenta Claudia Sheinbaum a una calle de la comunidad de Tezoantla el pasado 7 de marzo en el marco del Día Internacional de la Mujer. Pregunta si no hay más mujeres a quien se les pueda rendir homenaje y esto es más "un queda bien" por parte del alcalde.</t>
  </si>
  <si>
    <t>Nomenclaturas</t>
  </si>
  <si>
    <t>El alcalde de Mineral del Monte, Edmundo Méndez Tejeda designó el nombre de la presidenta Claudia Sheinbaum a una calle de la comunidad de Tezoantla el pasado 7 de marzo en el marco del Día Internacional de la Mujer. La medida fue aprobada por unanimidad en el Cabildo el 25 de febrero bajo la justificación de la asignación del nombre como una reconocimiento a figuras femeninas con participación en la historia social, cultural y política del país.</t>
  </si>
  <si>
    <t>Natividad Castrejón realiza gira de trabajo por escuelas de Tepeji del Río</t>
  </si>
  <si>
    <t>Elementos de la Policía Municipal de Tizayuca lograron frustrar un intento de extorsión telefónica y localizaron a dos menores de edad que habían sido engañados para mantenerse incomunicados con sus familiares. De acuerdo con el reporte, los menores recibieron llamadas telefónicas mediante las cuales fueron manipulados para cortar toda comunicación con sus familiares, una modalidad de engaño utilizada con frecuencia por delincuentes para generar temor y exigir dinero a las familias.</t>
  </si>
  <si>
    <t>Extosión</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</si>
  <si>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 Para garantizar su integridad física, la persona fue trasladada a las instalaciones de la corporación, donde recibió valoración médica y se determinó que se encontraba en buen estado de salud. Posteriormente, siguiendo los protocolos correspondientes, fue canalizada a la Subprocuraduría de Delitos de Género, Desaparición de Personas e Impacto Social, instancia que quedó a cargo de su resguardo y atención.</t>
  </si>
  <si>
    <t>Exigen localización de persona</t>
  </si>
  <si>
    <t>Un incendio registrado la mañana del 9 de junio movilizó a elementos de bomberos en el fraccionamiento Paseos de Chavarría, luego de que el fuego se originara dentro de una vivienda de dos pisos. Cuerpos de emergencia acudieron al lugar tras recibir el reporte al respecto, iniciando las labores para controlar las llamas y evitar que el fuego se extendiera a otras áreas del inmueble o a viviendas cercanas. No se reportaron personas lesionadas derivadas de la deflagración; hasta el momento no se conoce la causa que provocó la deflagración. Por lo que será a partir de la investigación respectiva como se establezcan las responsabilidades sobre la emergencia que finalmente fue atendida sin generarse una situación mayor.</t>
  </si>
  <si>
    <t>Control de incendios</t>
  </si>
  <si>
    <t>Dos hechos de tránsito registrados en el Corredor de la Montaña generaron movilización de cuerpos de emergencia en distintos puntos de esta vía, una de las rutas más transitadas entre Pachuca, Mineral del Monte y la zona turística de la montaña</t>
  </si>
  <si>
    <t>Familiares y amigos de José Roberto Palacios Velázquez, asesinado con un objeto punzocortante afuera de un bar donde trabajaba como guardia de seguridad, se manifestaron en las instalaciones de la Procuraduría General de Justicia de Hidalgo (PGJEH). Los familiares del hombre que falleció tras recibir 19 puñaladas, reprocharon que no ven avances en la investigación al caso, enfatizando que el presunto responsable del ataque mortal aún está en libertad. El ataque se registró la madrugada del 28 de febrero de este año; José Roberto falleció debido a una de las lesiones que recibió en el tórax y le perforó el pulmón izquierdo, pese a los esfuerzos médicos para salvarle la vida. El padre y la hermana de la víctima aseguraron durante la manifestación que con imágenes captadas por cámaras de videovigilancia instaladas en el bar, se pudo identificar al agresor, quien aún sigue en libertad. A poco más de tres meses del ataque, señalaron que no existe ningún avance en la investigación sobre la situación, además que consideraron que existen irregularidades, incluido que no se ha dado el registro del presunto responsable del fallecimiento de José Roberto. Jonathan Guadalupe Valdez Rodríguez, director general de la Unidad Especializada en la Investigación de Delitos de Homicidio Doloso y Narcomenudeo de la PGJEH, informó que hay una orden de aprehensión vigente. Señaló que el presunto responsable del ataque mortal “no está ubicado en Tlanalapa”, como lo refirieron los manifestantes. El funcionario agregó que el pasado 9 de junio se reunió con la hija de la víctima para informarle los avances de asunto.</t>
  </si>
  <si>
    <t>Exigen esclarecer homicidio</t>
  </si>
  <si>
    <t>La reubicación del Centro de Reinserción Social (Cereso) de Ixmiquilpan es una prioridad para el municipio, afirmó el presidente municipal Emanuel Hernández, quien informó que existen dos comunidades interesadas en que la nueva instalación se construya en su territorio y que actualmente se realizan los análisis correspondientes. El edil señaló que el proyecto es atendido directamente por la Secretaría de Seguridad Pública de Hidalgo y precisó que hasta el momento no ha sostenido diálogo con la dependencia sobre el tema. Recordó que el Cereso opera actualmente al interior de la presidencia municipal. De acuerdo con información que conoció durante una reunión reciente con el director del centro penitenciario, en el inmueble se encuentran 106 personas privadas de la libertad del sexo masculino y siete mujeres, en un espacio de 15 por 7 metros. Añadió que, debido a las condiciones de ocupación, se utilizan colchonetas para que algunas personas puedan dormir en el suelo, situación que, indicó, refuerza la necesidad de contar con una nueva sede. Hernández también recordó que el Cereso de Ixmiquilpan tiene carácter regional, por lo que alberga a personas privadas de la libertad provenientes de municipios como Chilcuautla, Cardonal, Tasquillo, Zimapán y otras localidades de la región de la Sierra Gorda. El alcalde reiteró que la salida del centro penitenciario de la presidencia municipal es una necesidad para el municipio, debido a que ha permanecido en ese lugar desde hace varios años.</t>
  </si>
  <si>
    <t>Construcción de Cereso</t>
  </si>
  <si>
    <t>La Comisión de Búsqueda de Personas del Estado de Hidalgo (CBPEH) inició un proceso de verificación tras el hallazgo en Sonora de una identificación oficial perteneciente a un ciudadano hidalguense, identificado como Emmanuel O. V., en una presunta fosa clandestina, fue enviado un mensaje a medios de información sobre esta persona donde afirma que se encuentra bien y con su familia.</t>
  </si>
  <si>
    <t>Durante el periodo vacacional de verano, la Comisión de Búsqueda de Personas del Estado de Hidalgo refuerza acciones preventivas para evitar un incremento en los reportes de desaparición de adolescentes y menores de edad, así lo informó su titular, Francisco García Reyes, durante una entrevista con medios de comunicación. El funcionario señaló que las temporadas vacacionales representan un periodo en el que pueden presentarse situaciones relacionadas con conflictos familiares, falta de comunicación o ausencias voluntarias de adolescentes, por lo que desde el inicio de este año se puso en marcha la campaña denominada “Que No Falte Nadie”. La estrategia, explicó, se ha desarrollado en diversos planteles educativos de la entidad con el propósito de fortalecer la comunicación entre estudiantes, padres de familia y docentes, además de difundir medidas preventivas que contribuyan a reducir los riesgos de desaparición. “En el próximo periodo vacacional esperamos que se mantenga y que se pueda reducir, no que incremente”, compartió que entre el 31 y 33 por ciento de los reportes de desaparición involucra a adolescentes y aclaró que algunos casos tienen relación con situaciones de sustracción derivadas de conflictos legales o disputas entre padres de familia. Respecto al número total de personas desaparecidas registradas en lo que va del 2026, mencionó que las cifras actualizadas serán presentadas durante la próxima sesión del Sistema Estatal correspondiente al cierre de mes, pero descartó un incremento en comparación con el año anterior.</t>
  </si>
  <si>
    <t>Con el fin de proteger de manera más amplia la identidad, privacidad, seguridad jurídica y patrimonio de la población, el Congreso de Hidalgo pretende actualizar en el Código Penal del estado nuevas formas de usurpación de identidad que utilizan las tecnologías de información y comunicación. En la reciente sesión de la 66 Legislatura, se presentó la iniciativa para reformar el artículo 370 del Código Penal para el Estado de Hidalgo, para actualizar el tipo penal de usurpación de identidad, a quien por cualquier medio y con fines ilícitos, se apodere, apropie, transfiera, utilice o disponga de datos personales.</t>
  </si>
  <si>
    <t>Habitantes de la comunidad indígena de San Ildefonso, en Tepeji del Río, acudieron este martes al Congreso de Hidalgo para denunciar una presunta intervención del gobierno municipal en la designación de su autoridad comunitaria y exigir la intervención de los legisladores para que se respete la decisión tomada en asamblea. Integrantes de distintos comités comunitarios se manifestaron en la sede legislativa y solicitaron ser atendidos por la Comisión de Pueblos y Comunidades Indígenas. Los inconformes acusaron al ayuntamiento, de intentar imponer como delegado indígena a Melitón Donís, pese a que, aseguran, la asamblea comunitaria determinó dar continuidad al encargo de Víctor Benítez Martínez. “Que la presidenta municipal deje de manipular a nuestra gente y reconozca la voluntad de la asamblea”, expresó Mateo Cruz Martínez, uno de los pobladores que participaron en la protesta. De acuerdo con los manifestantes, la asamblea comunitaria se llevó a cabo el pasado 24 de mayo y en ella se acordó mantener la continuidad de la autoridad indígena para concluir diversos proyectos pendientes. Sin embargo, señalaron que un día después el ayuntamiento reconoció a otra persona, lo que consideran una intromisión en decisiones que corresponden exclusivamente a la comunidad. Los habitantes sostuvieron que, conforme a sus usos y costumbres, únicamente la asamblea tiene facultades para reconocer a sus autoridades tradicionales, por lo que rechazaron cualquier nombramiento realizado desde instancias externas. Durante su visita al Congreso, los representantes comunitarios entregaron documentación relacionada con la asamblea y pidieron que tanto los diputados como la Comisión de Pueblos y Comunidades Indígenas intervengan para evitar conflictos internos y garantizar el respeto a la libre determinación de la comunidad indígena de San Ildefonso, que cuenta con aproximadamente 12 mil habitantes.</t>
  </si>
  <si>
    <t>Imposición de delegados</t>
  </si>
  <si>
    <t>Daniel Martínez comenta que "Al que la leche le quema hasta al jocoque le sopla", esto en relación a que después de los accidentes ha tenido el Tuzobús en las últimas dos semanas aproximadamente, incluso el día en que arrancó oficialmente el Sistema de transporte Metropolitano, a minutos tubo un accidente, pues ahora el SITMAH saca boletines informativos como ayer que un carro chocó una señal del Tuzobús e inmediatamente dijeron que no fue cosa de ellos y que el servicio estaba funcionando correctamente. Andan en el asunto de revisar que funcione bien el Tuzobús</t>
  </si>
  <si>
    <t>Comunicación gubernamental</t>
  </si>
  <si>
    <t>Las fallas e incidentes registrados durante los primeros días de operación de las nuevas unidades del Sistema de Transporte Metropolitano no representan una situación fuera de lo previsto, aseguró el gobernador de Hidalgo, Julio Menchaca Salazar, al referirse a la renovación del servicio de transporte masivo en Pachuca. A siete días de que comenzaron a circular los 80 nuevos autobuses, el mandatario estatal señaló que se trata de un proceso de transformación importante y que los problemas detectados serán corregidos conforme avance la operación del sistema. Indicó que también continúan los trabajos administrativos relacionados con la modernización del servicio, entre ellos las licitaciones para rehabilitar las estaciones de la ruta troncal y la terminal ubicada en Téllez. En cuanto a los señalamientos surgidos en redes sociales sobre un supuesto reciclaje de unidades, luego de que en algunas fotografías se apreciara color verde en la parte superior de los autobuses, Menchaca descartó esa versión y sostuvo que los vehículos incorporados son completamente nuevos. El gobernador pidió a los usuarios y a la población en general considerar que el sistema atraviesa una etapa de adaptación, además de recordar que la operación ya no se encuentra en manos de una empresa concesionaria, sino del propio Gobierno estatal.</t>
  </si>
  <si>
    <t>El Gobierno de Hidalgo exhortó formalmente a los 84 ayuntamientos de la entidad a evitar la transmisión pública de los partidos de la Copa Mundial de la FIFA 2026 sin contar con las licencias correspondientes. La advertencia surge ante el riesgo inminente de recibir sanciones económicas millonarias, ya que la difusión de contenido protegido en plazas o espacios abiertos sin derechos es ilegal.</t>
  </si>
  <si>
    <t>Más de 900 siniestros han movilizado a los cuerpos de Bomberos y Protección Civil de Tulancingo y Santiago Tulantepec durante los primeros meses de 2026. De acuerdo con información oficial de ambas corporaciones, en conjunto se han atendido 916 emergencias relacionadas principalmente con la quema de pastizales, basura y vegetación seca. Las cifras corresponden al periodo del 1 de enero al 8 de junio en Tulancingo y de enero a mayo en Santiago Tulantepec. Del total de incidentes reportados, la mayoría estuvieron relacionados con incendios de pastizales, hierba seca y vegetación, lo que confirma que este tipo de siniestros continúa siendo el principal reto para los cuerpos de emergencia de la región. En Tulancingo, el director de Bomberos y Protección Civil, Jesús García Ávila, informó que del 1 de enero al 8 de junio se atendieron 669 incendios de diversa índole, cifra que representa cerca del 73 por ciento de los casos registrados entre ambos municipios. Del total, 453 correspondieron a incendios de hierba seca y pasto, convirtiéndose en el tipo de emergencia más recurrente para la corporación. El reporte también contabiliza 99 incendios de basura, 52 de llantas, 24 de vehículos, 19 en casa habitación, cuatro en establecimientos comerciales y cuatro forestales. Además, se registraron incidentes relacionados con árboles, madera, desechos y equipamiento urbano. Por su parte, el director de Bomberos y Protección Civil de Santiago Tulantepec, Edmundo Hernández Chimal, reportó que entre enero y mayo fueron atendidos 247 incendios en el municipio. De acuerdo con el concentrado de reportes, los incendios de pastizal representaron la mayor parte de las emergencias registradas en Santiago Tulantepec, especialmente durante enero y febrero, meses en los que se presentó la mayor incidencia. Las cifras de ambos municipios reflejan que el fuego en terrenos baldíos, áreas con vegetación seca y sitios donde se acumulan residuos continúa siendo uno de los principales desafíos para las corporaciones de emergencia de la región.</t>
  </si>
  <si>
    <t>Daniel Martínez comenta que se solicitó una entrevista con directivos de la dirección municipal de Movilidad y Tránsito de Tulancingo para conocer las estadísticas de los operativos de revisión a motonetas y motocicletas, tanto del cumplimiento de las normativas, como de detección de vehículos con reporte de robo, pero no pudo realizarla porque en el área de Comunicación Social le dijeron que tenía que ser autorizada por la Secretaría de Seguridad Pública de Hidalgo, responsable del Mando Coordinado. Señala que no pedía infamación que pusiera en riesgo la estabilidad de la nación, sino solo datos, estadísticas y conocer si se reforzaría la revisión de motocicletas y motonetas, lo que no es nuevo y que dada la situación de inseguridad que se está viviendo en Tulancingo, estaría bien que la gente supiera cómo se están llevando las acciones y si se está fortaleciendo.</t>
  </si>
  <si>
    <t>Conductores de motonetas, motocicletas o vehículos similares tienen obligación de contar con la licencia respectiva, además que el vehículo deberá contar con su respectiva placa. Lo anterior se encuentra establecido en el artículo 82 del Reglamento municipal de Tránsito y Movilidad para Tulancingo, donde señala que existen multas así como la retención del vehículo al no contar con los requisitos señalados para circular en vehículos ligeros. El numeral XIV señala respecto a la obligación de la licencia para conducir moto, motocicleta o vehículos similares; mientras que el numeral XVI establece la obligación de contar con la placa de circulación en este tipo de unidades. En el mismo artículo se señala que ante la falta de licencia, placa, o ambos, se aplicarán sanciones entre 5 a 7 Unidades de Medida y Actualización, equivalentes a 586.55 a 821.17 pesos, además de la detención del vehículo. Desde hace por lo menos dos administraciones se han implementado operativos para verificar el cumplimiento de estas medidas, así como para el uso del casco de los ocupantes de este tipo de vehículos automotores. Entre finales de enero y principios de abril del año pasado, se reforzaron dichos operativos por parte de corporaciones de seguridad pública, a partir de una serie de hechos delictivos donde fueron usadas motonetas y motocicletas. En el recuento de robos a joyerías, se detectó que este tipo de vehículos han sido utilizados en los cuatro casos que se han registrado durante la actual administración municipal.</t>
  </si>
  <si>
    <t>Emplacamiento</t>
  </si>
  <si>
    <t>El Subsecretario de Protección Civil y Prevención de Riesgos, Román Bernal Díaz informó que continúan las evaluaciones técnicas en distintos municipios de predios afectados por las inundaciones y deslaves registrados el 9 de octubre del año pasado a fin de determinar cuáles son viables para construir viviendas. Son alrededor de 10 dictámenes técnicos los que se llevan realizados y que las evaluaciones se concentran principalmente en los municipios de Tianguistengo, Tenango de Doria, Huhuetla, Xochiatipan y San Bartolo Tutotepec considerados prioritarios tras la afectaciones por las lluvias.</t>
  </si>
  <si>
    <t>Reubicación de viviendas</t>
  </si>
  <si>
    <t>Las intensas lluvias que continúan registrándose en territorio hidalguense han generado diversas afectaciones en caminos y carreteras de al menos 12 municipios, donde autoridades estatales trabajan para restablecer la circulación y atender los daños provocados por los deslaves. La Secretaría de Infraestructura Pública y Desarrollo Urbano Sostenible (SIPDUS) informó que las precipitaciones ocasionaron el desprendimiento de aproximadamente mil 720 metros cúbicos de material sobre diferentes vialidades. De esa cantidad, poco más de 700 metros cúbicos ya fueron retirados mediante labores de limpieza y remoción. Actualmente se reportan 24 caminos con algún tipo de afectación derivada de las condiciones climatológicas. Además, nueve pasos provisionales en carreteras estatales y municipales permanecen bloqueados, aunque las autoridades aseguran que existen rutas alternas para mantener la comunicación con las localidades involucradas. El balance también incluye tres caminos con daños parciales y 12 más que ya fueron rehabilitados, permitiendo nuevamente el tránsito vehicular. Entre las afectaciones más relevantes se encuentra el aislamiento de siete comunidades, situación que continúa bajo seguimiento por parte de las autoridades estatales.</t>
  </si>
  <si>
    <t>La Secretaría de Educación Pública de Hidalgo comunicó que, con motivo de la ceremonia de inauguración del Mundial 2026, que se celebrará el jueves 11 de junio, los planteles en la entidad podrán decidir si suspenden o no las clases.</t>
  </si>
  <si>
    <t>Hoy el gobernador Julio Menchaca estará a las 10:45 de la mañana en el Campo deportivo del municipio de Santiago de Anaya con las Rutas de la Transformación y la Feria de Servicios.</t>
  </si>
  <si>
    <t>Ruta de la Transformación</t>
  </si>
  <si>
    <t>Hoy por la tarde en el el Teatro Bartolomé de Medina de Pachuca, el secretario de Gobierno, Guillermo Olivares va a firmar una solicitud de publicación de bandos de policía y buen gobierno</t>
  </si>
  <si>
    <t>Bando de policía y gobierno</t>
  </si>
  <si>
    <t>Elementos de la Secretaría de Seguridad Pública de Pachuca localizaron a una mujer que contaba con ficha de búsqueda vigente emitida por la Procuraduría General de Justicia del Estado de Hidalgo. Los hechos ocurrieron en el fraccionamiento Haciendas de Hidalgo, luego de que a través del C4 se reportara la presencia de una persona desorientada en una privada de la zona. Al arribar al lugar, los oficiales entrevistaron a la mujer y, tras verificar sus datos generales, confirmaron que contaba con una ficha de búsqueda vigente.</t>
  </si>
  <si>
    <t>Localización de persona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</si>
  <si>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t>
  </si>
  <si>
    <t>Refuerzo De Seguridad</t>
  </si>
  <si>
    <t>Hidalgo avanza en la simplificación de trámites para mejorar atención ciudadana</t>
  </si>
  <si>
    <t>El Congreso del Estado Libre y Soberano de Hidalgo y la Comisión de Derechos Humanos del Estado de Hidalgo (CDHEH) firmaron un convenio de colaboración con la finalidad de establecer las bases generales para el desarrollo de programas de capacitación, posgrados y trabajo colaborativo, dirigidos a la formación, actualización y profesionalización de las personas legisladoras, así como de las personas servidoras públicas de ambas partes. El diputado Andrés Velázquez Vázquez, presidente de la Junta de Gobierno, aseguró que los derechos humanos son fundamentales para la democracia, igualdad, inclusión y justicia social, por lo que la capacitación y profesionalización permanente de servidores públicos y legisladores representan una obligación institucional.</t>
  </si>
  <si>
    <t>Lluvias por Boris dejan afectaciones en cinco municipios de Hidalgo</t>
  </si>
  <si>
    <t>Refuerza gobierno de Hidalgo apoyo a familias de Tianguistengo ante estas lluvias</t>
  </si>
  <si>
    <t>Andrés Torres señala que ya es casi un mes de que el 1010 AM El Vocero Huasteco está fuera del aire.</t>
  </si>
  <si>
    <t>Gobierno de Hidalgo exhorta a municipios a prevenir transmisiones no autorizadas del Mundial 2026</t>
  </si>
  <si>
    <t>Radioescucha Pedro Nieto reporta coladera tapada en calle Venustiano Carranza por el merecado Benito Juarez</t>
  </si>
  <si>
    <t>Enlace clima Luis García de la Conagua en la Republica Mexicana e Hidalgo, zona huasteca máxima de 31 mínima de 20, para la Sierra 26 máxima mínima de 17, Altiplano máxima de 21 mínima de 9, para Pachuca y Tizayuca 22 mínima de 11, en la Zona Tepehua máxima de 27 mínima de 17, Valle de Tulancingo máxima de 18 mínima de 10 en el Valle del Mezquital máxima 26 mínimas de 13 , Huichapan y Tecozayutla máxima 21 y mínima de 12</t>
  </si>
  <si>
    <t>Radioescucha agradece que Caasim ya fue a reparar el encharcamiento; por la colonia Cuesco, está antes de llegar a Colegio Londres.</t>
  </si>
  <si>
    <t>Radioescucha manda audio, informa que la femenina que fue agredida por unos vecinos la semana pasada, ya fue atendida por parte de la PGJEH</t>
  </si>
  <si>
    <t>Atención A Víctimas</t>
  </si>
  <si>
    <t>Reporta SIPDUS incidencias por lluvias en 12 municipios</t>
  </si>
  <si>
    <t>Autoridades federales, estatales, municipales y representantes de las comunidades ribereñas afectadas por la proliferación del Mosco cúlex, alcanzaron este martes una serie de acuerdos para fortalecer las acciones de saneamiento de la Presa Endhó,entre ellos la incorporación de tres nuevas máquinas trituradoras de lirio acuático, AUDIO APOYO</t>
  </si>
  <si>
    <t>Control lirio acuático</t>
  </si>
  <si>
    <t>Radioescucha reporta que Caasim no termina la reparación de drenaje en el Barrio de las Lajas, ya tiene mucho tiempo que la están reparando y nada.</t>
  </si>
  <si>
    <t>Drenaje</t>
  </si>
  <si>
    <t>Menchaca Salazar entrega nuevas instalaciones al Tribunal de Justicia Administrativa, AUDIO APOYO</t>
  </si>
  <si>
    <t>ICATHI y Cultura fortalecen capacidades para proteger el legado cultural hidalguense</t>
  </si>
  <si>
    <t>Cultura</t>
  </si>
  <si>
    <t>Radioescucha reporta nuevamente que desde el viernes se reportó una fuga de agua en el Fraccionamiento Villas del Alamo; ya se reportó y nada que hace algo Caasim</t>
  </si>
  <si>
    <t>Radioescucha reporta que sigue fuga de agua en la calle principal de colonia Valle del Palmar, entre la barda del Fraccionamiento Esperanza II. Ya se reportó en otras ocasiones y se mandaron fotos, pero no hacen nada.</t>
  </si>
  <si>
    <t>El presidente municipal Cristhian Martínez realiza como cada 8 dias recorridos en todas las comunidades del municipio,para ver las necesidades y entegar diferentes obras, AUDIO APOYO</t>
  </si>
  <si>
    <t>Identificación de necesidades</t>
  </si>
  <si>
    <t>Integrantes de la LXVI Legislatura del Congreso de Hidalgo presentaron una iniciativa para reformar la Ley Federal del Trabajo, la Ley del Seguro Social y la Ley Federal de los Trabajadores al Servicio del Estado, con el propósito de ampliar las licencias de paternidad para trabajadores de los sectores público y privado.La propuesta fue presentada por la diputada Karla Perales Arrieta y el diputado Carlos Alejandro Alcántara Carbajal ante el Pleno del Congreso local, con el objetivo de fortalecer la corresponsabilidad familiar y la participación de los padres en el cuidado de hijas e hijos desde el nacimiento o la adopción.</t>
  </si>
  <si>
    <t>Elementos de la Secretaría de Seguridad Pública Tránsito y Vialidad de Pachuca localizaron a una mujer que contaba con ficha de búsqueda activa emitida por la PGJEH. El hallazgo ocurrió en el fraccionamiento Haciendas de Hidalgo, tras un reporte del C4 en el que se alertó sobre la presencia de una persona desorientada deambulando por una privada de la zona.Al llegar al lugar, los oficiales entrevistaron a la mujer y tras verificar sus datos generales, confirmaron que contaba con una ficha de búsqueda vigente.Las autoridades informaron que para garantizar la integridad física de la mujer, fue trasladada a las instalaciones de la coorporación, donde recibió valoración médica y se determinó que su estado que se encontraba con buen estado de salud.Dando seguimiento a los protocólos, la mujer fue canalizada a la Subprocuraduría de delitos de Género, Desaparición de Personas e Impacto Social, para su resguardo y atención.</t>
  </si>
  <si>
    <t>El zoológico de Tulancingo fue invitado por la Procuraduría Federal de Protección al Ambiente (PROFEPA), delegación Hidalgo, a formar parte de la campaña nacional “Anota un gol por el medio ambiente”.La invitación se da gracias a las acciones permanentes que desarrolla el zoológico en favor del cuidado de la fauna bajo resguardo, así como a sus programas de educación ambiental y participación ciudadana.Así mismo representa un reconocimiento al trabajo que realiza diariamente el personal del recinto, cuyo compromiso trasciende el cuidado de las especies para convertirse también en un promotor activo de la conciencia ambiental entre la población.Se informó que la campaña tiene como propósito fomentar el reuso de materiales plásticos y textiles, invitando a la población a participar de manera directa en acciones que contribuyan a reducir la generación de residuos y fortalecer hábitos de consumo responsables.En los próximos días, el zoológico dará a conocer la mecánica de participación para que las familias puedan donar envases plásticos y prendas de mezclilla que ya no utilicen.Estos materiales serán transformados en productos con una nueva vida útil: los envases plásticos se convertirán en escobas de uso cotidiano, mientras que la mezclilla será reutilizada para la elaboración de caminos de mesa y manteles individuales.</t>
  </si>
  <si>
    <t>Mitigación ambiental</t>
  </si>
  <si>
    <t>César Cravioto, secretario de Gobierno de la CDMX, asegura que los aficionados podrán ingresar sin problemas al Estadio Azteca durante la inauguración del Mundial 2026.</t>
  </si>
  <si>
    <t>Ya estamos a una horas de que empiece la a inauguración de la Copa Mundial de Futbol 2026</t>
  </si>
  <si>
    <t>Radioescucha pregunta: ¿Qué van a poner en donde era Poliforum? Comenta conductor que serán las nuevas instalaciones de Protección Civil y una nueva estación de bomberos.</t>
  </si>
  <si>
    <t>Polifórum</t>
  </si>
  <si>
    <t>Refuerza gobierno de Hidalgo apoyo a familias de Tianguistengo ante estas lluvias, AUDIO APOYO</t>
  </si>
  <si>
    <t>Radioescucha Jorge Quiroz reporta a una colectiva en Tilcuautla, que circula sin rotulación completa.</t>
  </si>
  <si>
    <t>Radioescucha reporta baches en calle Felipe Ángeles, por donde pone tianguis de los Tuzos; ojalá las autoridades de Mineral de la Reforma ya trabajen</t>
  </si>
  <si>
    <t>Radioescucha manda audio y pide que tapen los baches que se estan haciendo en la colonia Piracantos, y eso que tiene como 2 años que apenas arreglaron</t>
  </si>
  <si>
    <t>La muestra “El Juego de Pelota en Tula: El eco del movimiento divino” será inaugurada el próximo 12 de junio en el Museo de Sitio Jorge R. Acosta, dentro de la Zona Arqueológica de Tula.De acuerdo con el Centro INAH Hidalgo, la exposición busca mostrar el significado ritual, político y astronómico del tlachtli, considerado una de las ceremonias más importantes del México prehispánico.</t>
  </si>
  <si>
    <t>Zona Arqueológica</t>
  </si>
  <si>
    <t>El día de mañana comienza uno de los eventos más vistos que es la Copa del Mundo, y con ello habrá un total de 104 partidos que se desarrollarán en México, Estados Unidos y Canadá, pero en esta edición de la justa mundialista, los restaurantes y bares tendrán que hacer algunos ajustes, así como tener cuidado al momento de proyectar los encuentros de futbol a través de sus pantallas, ya que, si no cuentan con una señal legal autorizada para uso comercial, podrán ser acreedores a una sanción e incluso una multa económica, que podría llegar a las 250,000 UMAs, que son las unidades de media y actualización, una cantidad que ronda los $28 millones de pesos, al respecto, la Cámara Nacional de la Industria de Restaurantes y Alimentos Condimentados emitió una serie de lineamientos para los propietarios de establecimientos que deseen proyectar los partidos, de esa manera, compartió que las únicas señales lícitas autorizadas para negocios son las que proporcionan los servicios de IC Negocios, así como Sky Business,</t>
  </si>
  <si>
    <t>Hermilio Rangel, presidente municipal de Zimapán, hace la invitación en general para participar y para asistir a este torneo de pesca de orilla y de kayak.</t>
  </si>
  <si>
    <t>Justa Deportiva</t>
  </si>
  <si>
    <t>Este miércoles 10 de junio a las 11:00, la Secretaría de Turismo de Hidalgo llevó a cabo una rueda de prensa en el Hotel Vía Dorada Salón Cristal para presentar los detalles del primer torneo de pesca de orilla y kayak 2026, que se realizará en la presa Zimapán en la comunidad de Saucillo. La presentación estuvo encabezada por Hermilio Trejo Rangel, presidente municipal de Zimapán; el chef David Castillo Aceves, presidente de la Delegación de Pesca Deportiva del Estado de Hidalgo; Remedios Vega, directora de Turismo municipal de Zimapán; Enrique Barrera Barrera, presidente de la Unión de Cooperativas de la Presa de Zimapán; y Daniel Ramírez, organizador del torneo, quienes dieron a conocer la convocatoria.</t>
  </si>
  <si>
    <t>Natividad Castrejón escucha propuestas del Consejo Consultivo infantil y juvenil de Tepeji</t>
  </si>
  <si>
    <t>Consejo Consultivo infantil</t>
  </si>
  <si>
    <t>Autoridades estatales desplegaron un operativo de atención en el municipio de Tianguistengo tras las afectaciones ocasionadas por las intensas lluvias registradas en la región de la Sierra Alta de Hidalgo. Las acciones se concentran principalmente en la comunidad de Chapula, donde las condiciones meteorológicas han generado diversas complicaciones para la población. Como parte de la respuesta institucional, el Gobierno de Hidalgo, a través de la Subsecretaría de Protección Civil, envió personal y recursos para brindar asistencia a las familias afectadas y reducir los riesgos derivados de las precipitaciones. Además, fueron habilitados dos refugios temporales en la cabecera municipal para recibir a las personas que requieran resguardo. De acuerdo con las autoridades municipales, estos espacios cuentan con servicios de alojamiento, alimentación y atención médica. En la zona también se mantiene la presencia de elementos de la Guardia Nacional y de la Secretaría de Seguridad Pública, quienes participan en labores de apoyo, vigilancia y evacuación preventiva en caso de ser necesario. El subsecretario de Protección Civil, Román Bernal, exhortó a la ciudadanía a mantenerse informada únicamente a través de los canales oficiales y atender las recomendaciones emitidas por las autoridades para evitar situaciones de riesgo.</t>
  </si>
  <si>
    <t>La Procuraduría Federal de Protección al Ambiente (Profepa) clausuró de manera total y temporal diversas obras que se realizaban sin autorización dentro del Parque Nacional El Chico, en el municipio de Mineral del Chico, Hidalgo. Inspectores de la dependencia acudieron al sitio tras recibir denuncias ciudadanas y constataron la construcción de un salón de eventos, estacionamientos, un camino de piedra, una cabaña de concreto y una barda, además de movimientos de tierra. En conjunto, las obras afectaron una superficie de 2,547 m² de bosque de encino, parte del ecosistema protegido del parque. La Profepa determinó la clausura debido a que los responsables no contaban con permisos de cambio de uso de suelo forestal ni con autorización en materia de impacto ambiental emitidos por la Secretaría de Medio Ambiente y Recursos Naturales (Semarnat).</t>
  </si>
  <si>
    <t>Clausura de obra</t>
  </si>
  <si>
    <t>Julio Menchaca destinó más de 183 mdp para obra pública en Santiago de Anaya</t>
  </si>
  <si>
    <t>Como parte de la estrategia de seguridad impulsada por el alcalde de Pachuca, Jorge Reyes, la Secretaría de Seguridad Pública de Pachuca, en coordinación con la Guardia Nacional y el Ejército Mexicano, desplegó un operativo de vigilancia en Plaza Gran Patio, la Central de Abastos y Plaza Independencia. Durante los recorridos, las corporaciones realizaron labores de proximidad, supervisión y presencia preventiva en zonas de alta afluencia de personas, con el objetivo de inhibir conductas ilícitas y brindar tranquilidad a comerciantes, trabajadores y visitantes. Las acciones incluyeron recorridos a pie y motorizados en áreas comerciales, accesos principales y zonas de mayor concentración de personas, mediante un trabajo coordinado entre autoridades municipales y federales. Estos operativos forman parte de la estrategia permanente que se implementa en diferentes sectores de Pachuca para fortalecer la capacidad de respuesta institucional y mantener la presencia de las corporaciones de seguridad en espacios de alta concurrencia.</t>
  </si>
  <si>
    <t>SSPH realiza operativos simultáneos en Pachuca y Apan</t>
  </si>
  <si>
    <t>La noche de este martes, 9 de junio, un ataque armado en la colonia Tianguistengo La Romera, en Tepeji del Río, dejó como saldo una persona sin vida, lo que provocó una intensa movilización de corporaciones de seguridad y cuerpos de emergencia. Los hechos ocurrieron alrededor de las 20:00 horas en la esquina de las calles Francisco I. Madero y Juárez, donde vecinos reportaron detonaciones de arma de fuego y la presencia de una persona lesionada en la vía pública. Al lugar acudieron elementos de Seguridad Pública y paramédicos; sin embargo, tras valorar a la víctima confirmaron que ya no contaba con signos vitales. La zona fue acordonada por autoridades municipales para permitir el arribo de personal de la Procuraduría General de Justicia del Estado de Hidalgo, instancia encargada del procesamiento de la escena y del inicio de las investigaciones para esclarecer lo ocurrido.</t>
  </si>
  <si>
    <t>Un árbol cayó sobre una construcción de madera usada como local comercial, ubicada sobre la desviación carretera hacia Zacatlán, Puebla, dentro de la localidad de La Bóveda, dentro del municipio de Acaxochitlán. El incidente se registró durante la mañana del miércoles 10 de junio, sin registrarse personas lesionadas, pues en ese momento había poco movimiento en la zona. Al sitio acudieron elementos de Bomberos y Protección Civil municipal, quienes tras valorar la situación, encontraron algunos daños en la construcción, sobre todo en el techo y en parte del interior. Los elementos de atención a emergencias realizaron el retiro del árbol, realizando cortes controlados a la circulación vehicular para evitar una situación de mayor gravedad.</t>
  </si>
  <si>
    <t>Retiro de árbol</t>
  </si>
  <si>
    <t>En la comunidad de La Estancia perteneciente a Atotonilco el Grande un adulto mayor perdió la vida presuntamente por un ataque de abejas. El reporte de hallazgo de adulto mayor se realizó a autoridades de Atotonilco el Grande que acudieron al lugar de los hechos. Se presume que al llegar elementos de seguridad y auxilio médico el cuerpo ya no contaba con signos vitales.</t>
  </si>
  <si>
    <t>Condena a pareja por intentar degollar a un hombre y enterrarlo en su patio. La sentencia ocurre a poco más de tres años de los hechos que ocurrieron en el municipio de Mixquiahuala de Juárez. Vanesa y su novio intentaron degollar a Miguel, a quien después enterraron en una zanja que excavaron en el patio de una casa localizada en el municipio de Mixquiahuala de Juárez. Por estos hechos, permanecerán 32 años con ocho meses en prisión. La sentencia condenatoria deriva de un juicio oral que concluyó el 8 de junio pasado, es decir, a poco más de tres años de la detención de la pareja y su vinculación a proceso por homicidio doloso calificado. La víctima, quien era expareja de Vanesa y padre de los tres hijos que procrearon, asistió el 30 de diciembre de 2022 a un domicilio de la colonia La Reforma, desde entonces sus familiares alertaron sobre la desaparición.</t>
  </si>
  <si>
    <t>Sentencia</t>
  </si>
  <si>
    <t>A las 11 de la mañana iniciarán trabajos de mantenimiento vial en el carretera Tulancingo- Santiago Tulantepec a la altura de la Secundaria 1.</t>
  </si>
  <si>
    <t>Rehabilitación Vial</t>
  </si>
  <si>
    <t>Diversos ayuntamientos de Hidalgo comenzaron a cancelar actividades programadas para transmitir partidos del Mundial en espacios públicos, luego de recibir una recomendación emitida por la Secretaría de Gobierno estatal relacionada con los derechos de transmisión del torneo. A través de un oficio dirigido a las administraciones municipales, la dependencia encabezada por Guillermo Olivares Reyna exhortó a las autoridades locales a evitar la difusión pública de los encuentros mundialistas sin contar previamente con las autorizaciones y licencias correspondientes. La medida tiene como finalidad prevenir posibles sanciones derivadas del uso no autorizado de señales protegidas por derechos de transmisión y propiedad intelectual durante la justa deportiva, que se celebrará del 11 de junio al 19 de julio. Previo al inicio del torneo, varios municipios habían anunciado la instalación de pantallas gigantes en plazas y otros espacios públicos para que la ciudadanía pudiera seguir la ceremonia inaugural y los encuentros de la Selección Mexicana. No obstante, ante el riesgo de enfrentar consecuencias legales o económicas, algunas de estas actividades comenzaron a ser suspendidas en las últimas horas. La Secretaría de Gobierno precisó que el exhorto no representa una prohibición absoluta para proyectar los partidos, pero recordó que cualquier transmisión pública deberá realizarse conforme a la normatividad vigente y con los permisos necesarios para evitar infracciones.</t>
  </si>
  <si>
    <t>Certifican a 50 nuevos intérpretes de lenguas indígenas en Hidalgo</t>
  </si>
  <si>
    <t>Certificación de intérpretes</t>
  </si>
  <si>
    <t>El Tribunal Superior de Justicia del Estado de Hidalgo resolverá en los próximos días la viabilidad de la consulta ciudadana relacionada con la tauromaquia, procedimiento que actualmente se encuentra en análisis jurídico y cuyo plazo legal vence este jueves. La presidenta del Poder Judicial estatal, Rebeca Aladro Echeverría, informó que el expediente ya fue recibido y se encuentra bajo revisión para verificar si cumple con las disposiciones establecidas en la legislación correspondiente. La magistrada aseguró que la decisión se tomará con base exclusivamente en criterios legales y descartó que las posturas expresadas por distintos sectores de la sociedad o las discusiones generadas en redes sociales y espacios públicos influyan en la resolución. Explicó que el proceso contempla una revisión inicial sobre la competencia del tribunal para conocer el caso y, posteriormente, el estudio de los elementos jurídicos necesarios para determinar si la consulta procede o no. Una vez concluido el análisis, el asunto será sometido a consideración del pleno del tribunal, instancia que emitirá la resolución definitiva dentro de los tiempos establecidos por la ley. Aladro Echeverría también confirmó que el Poder Judicial recibió diversos escritos relacionados con el tema, los cuales serán incorporados y atendidos durante el procedimiento. Por otra parte, la presidenta de la Comisión de Derechos Humanos del Estado de Hidalgo, Ana Karen Parra Bonilla, indicó que el organismo dará seguimiento a la resolución para evaluar posibles acciones legales posteriores.</t>
  </si>
  <si>
    <t>Tauromaquia</t>
  </si>
  <si>
    <t>Legisladores del Congreso del Estado de Hidalgo presentaron propuesta para ampliar la licencia por paternidad de los cinco días que tiene actualmente a tres meses con goce de sueldo. Durante sesión ordinaria de la 66 Legislatura se presentó la iniciativa para reformar y adicionan diversas disposiciones de la Ley Federal del Trabajo, de la Ley del Seguro Social y de la Ley Federal de los Trabajadores al Servicio del Estado. Actualmente, el artículo 132, fracción XXVII Bis de la Ley Federal del Trabajo, señala cinco días de licencia por paternidad con goce de sueldo, contadas a partir del día del nacimiento de hijas o hijos, con objetivo de fortalecer el derecho al cuidado y a la corresponsabilidad familiar. La iniciativa modificaría normativas legales en el ámbito estatal, señalando que tres meses sería periodo suficiente para participar activamente en el cuidado, atención y crianza de hijas e hijos desde el nacimiento o a partir de su adopción.</t>
  </si>
  <si>
    <t>Licencia de paternidad</t>
  </si>
  <si>
    <t>Tulancingo participó en la XX edición de los Premios Escobas 2026, certamen internacional organizado en Madrid, España, por la Asociación Técnica para la Gestión de Residuos y Medio Ambiente, que reconoce iniciativas con impacto social, económico y ambiental en materia de gestión de residuos y sostenibilidad. A través de la Secretaría de Servicios Municipales, el municipio presentó un prototipo de proyecto basado en el aprovechamiento de residuos orgánicos para la producción de composta destinada a la nutrición de parques y jardines. Conforme avance su implementación, el programa contempla extender sus beneficios a escuelas y espacios comunitarios, fortaleciendo la participación ciudadana en el cuidado del medio ambiente. La propuesta surge a partir del Estudio de Generación de Residuos elaborado al inicio de la presente administración municipal bajo la metodología y acompañamiento de la Secretaría de Medio Ambiente y Recursos Naturales de Hidalgo (Semarnath). El diagnóstico reveló que el 31.18 por ciento de los residuos sólidos que se recolectan diariamente en Tulancingo corresponde a desechos alimenticios que pueden ser aprovechados mediante procesos de compostaje. Actualmente, el municipio genera entre 130 y 150 toneladas de residuos sólidos al día. De acuerdo con especialistas, si una parte importante de los residuos orgánicos recibiera tratamiento desde los hogares, podría reducirse significativamente el volumen de basura enviado a disposición final.</t>
  </si>
  <si>
    <t>De 150 árboles detectados con heno motita dentro del municipio de Tulancingo a mediados del año pasado, sólo quedan por atender ocho, todos ubicados en el jardín La Floresta, en la zona del monumento a Benito Juárez. El dato fue ofrecido por Neri García Flores, inspector adscrito a la dirección municipal de Medio Ambiente, señalando que en la mayoría de los árboles el retiro se realizó manualmente, en algunos casos al mismo tiempo que se realizaba mantenimiento a dichos ejemplares. Puntualizó que en la Calzada 5 de mayo se localizaron 70 árboles con heno motita, casi la mitad del total de los ejemplares que tenían presencia de la planta dentro del municipio; el retiro en esa zona también se hizo manualmente. Cabe recordar que el heno motita al desarrollarse y extenderse, provoca que el árbol afectado se vaya secando hasta que muere, debido a que va perdiendo nutrientes. Por ello se hicieron acciones de retiro de la planta en cuanto comenzó a detectarse, con objetivo de evitar su proliferación. García Flores enfatizó que para retirar el heno motita no se hizo uso alguno de insecticidas o fungicidas; en lugar de ello, además del retiro manual, se le aplicó a los árboles soluciones de agua con bicarbonato en los casos necesarios.</t>
  </si>
  <si>
    <t>Control de plagas</t>
  </si>
  <si>
    <t>Alrededor de 30 escuelas de educación básica ubicadas en municipios afectados por las lluvias registradas en días recientes, no tendrán actividades presenciales, informó la Secretaría de Educación Pública de Hidalgo (SEPH). La subsecretaría de Educación Básica de la dependencia estatal señaló que la medida se toma para salvaguardar la integridad de los estudiantes, así como el resto de las comunidades educativas ubicadas en las zonas afectadas. Por lo que las clases se realizarán a distancia, por medio de plataformas digitales por donde se impartirán las enseñanzas. Las regiones Otomí- Tepehua y Huasteca, son donde principalmente se ubican los planteles educativos donde las actividades se realizarán de forma virtual. En estos casos, los planteles activaron protocolos para continuar con clases a distancia, con el objetivo de mantener las actividades escolares sin exponer a la comunidad educativa. La decisión se tomó no solo por la presencia de lluvia y viento, sino también por las dificultades de acceso a algunas comunidades, debido a caminos que resultaron obstruidos desde el día de ayer. La dependencia estatal indicó que las medidas se aplican de acuerdo con la situación particular de cada plantel y región, por lo que las comunidades escolares deberán mantenerse atentas a los avisos emitidos por sus directivos.</t>
  </si>
  <si>
    <t>Suspensión De Clases</t>
  </si>
  <si>
    <t>Daniel Martínez comenta que mañana se cumple un año de que la presidenta Claudia Sheinbaum estuvo en visita de trabajo en Tulancingo para verificar las condiciones de salud y en esa visita dijo que se iba a revisar el tema para que el mastógrafo funcionara y no se sabe si ya hay un avance para que esto suceda.</t>
  </si>
  <si>
    <t>Equipamiento médico</t>
  </si>
  <si>
    <t>Mediante una denuncia ciudadana a través de WhatsApp a Ultra Noticias se enviaron imágenes en las que se puede ver presuntas condiciones de deterioro en distintas áreas del Hospital General de Tulancingo. Se puede ver camas, paredes, techo y piso con aparentes signos de desgaste, sin embargo no se ha confirmado la fecha en que se tomaron las fotografías ni el origen exacto del material difundido. quien envió este material fotográfico espera que el hospital o las instancias correspondientes de salud emitan un posicionamiento y que confirmen posibles acciones de mantenimiento en las áreas señaladas. Cabe recordar que este tipo de señalamientos no son nuevos, pues desde el 2022 hay quejas por falta de medicamento , insumos y personal médico por lo que los trabajadores se han manifestado.</t>
  </si>
  <si>
    <t>Infraestructura hospitalaria</t>
  </si>
  <si>
    <t>Izza Hernández</t>
  </si>
  <si>
    <t>Vía telefónica Milton Cortés informó que con el objetivo de fortalecer las acciones de prevención y vigilancia en la capital hidalguense, la Secretaría de Seguridad Pública, Tránsito y Vialidad de Pachuca, en coordinación con la Policía Estatal, la Secretaría de la Defensa Nacional y la Guardia Nacional, llevó a cabo el operativo “Colonia y Barrio Seguro” en diversos sectores del municipio. El despliegue se realizó en las colonias Renacimiento, Luz del Carmen, 20 de Noviembre, Europa, Faraona, Fraccionamiento La Cruz, Barrio La Cruz, San Bartolo, Vista Hermosa, Nueva Estrella, El Arbolito, Barrio La Alcantarilla, Barrio Mirador, Barrio Lobo, Barrio Anáhuac, Guadalupe, Buenos Aires, Fernández de Lizardi, Centro y Plaza del Valle.</t>
  </si>
  <si>
    <t>Radioescucha, Luis Manuel Gama: La carretera México-Laredo en el tramo de la Sierra Gorda hay muchos hoyos (socavones). Ojalá el gobierno del estado le invierta</t>
  </si>
  <si>
    <t>Fortalece Huasca de Ocampo la protección de la infancia</t>
  </si>
  <si>
    <t>Con más obras y apoyos para Cardonal, afirma Julio Menchaca</t>
  </si>
  <si>
    <t>SIPDUS realiza limpieza y retiro de caídos en carreteras afectadas de Hidalgo</t>
  </si>
  <si>
    <t>Tras lluvias, reabre gobierno de Hidalgo 18 caminos, para restablecer comunicación de 58 localidades</t>
  </si>
  <si>
    <t>Andrés Torres comenta que el 1010AM El Vocero Huasteco, por el puro capricho de alguien que no quiere comprar diesel sigue fuera de aire y no le importa que haya situaciones de riesgo con una tormenta tropical que afecta a más de 30 comunidades de la huasteca y no se puede llegar a ellos a través de su lengua natal. Califica de ignorante, mezquino y criminal a quien no quiere que funcione El vocero Huasteco.</t>
  </si>
  <si>
    <t>El Gobierno de Hidalgo exhorta a municipios a prevenir transmisiones no autorizadas del Mundial 2026</t>
  </si>
  <si>
    <t>El Día de hoy se anuncia una marcha para la 8 de la mañana sobre la Avenida Madero hacia el Reloj Monumental de Pachuca, por parte de integrantes de la CNTE</t>
  </si>
  <si>
    <t>Marcha CNTE</t>
  </si>
  <si>
    <t>El gusano barrenador del ganado mantiene afectaciones en la mayor parte de Hidalgo, luego de que autoridades federales confirmaron reportes en 74 de los 84 municipios del estado. De acuerdo con el corte más reciente del Servicio Nacional de Sanidad, Inocuidad y Calidad Agroalimentaria (Senasica), la entidad acumula 702 casos en el sector pecuario desde finales del año pasado. Esto significa que únicamente 10 municipios hidalguenses se mantienen sin registros oficiales de esta plaga. l reporte también señala que, de los casos acumulados en Hidalgo, actualmente 91 se mantienen activos dentro del sector pecuario. Las autoridades sanitarias mantienen el seguimiento para contener la dispersión del parásito y reducir riesgos en zonas con mayor incidencia. Entre los municipios con mayor número de casos acumulados destaca Huautla, con 77 reportes, lo que lo coloca como la demarcación con mayor incidencia dentro del estado. En segundo lugar aparece La Misión, con 64 casos. Ambos municipios forman parte de las zonas donde la presencia del gusano barrenador ha tenido mayor impacto en el sector ganadero, de acuerdo con los datos oficiales. n contraste, hay municipios con afectaciones más bajas. Pachuca, Tlaxcoapan, Zapotlán de Juárez y Zempoala registran apenas un caso cada uno, según el mismo corte. Aunque la diferencia entre municipios es amplia, el dato general muestra que el problema ya no se limita a una región específica, sino que se ha extendido prácticamente por todo el territorio hidalguense. Cabe recordar que el gusano barrenador es causado por una mosca parásita que deposita sus huevos en heridas abiertas o zonas húmedas de animales. Al eclosionar, las larvas se alimentan de tejido vivo, lo que puede provocar lesiones graves si no se atiende a tiempo. La afectación también alcanzó a personas. El último informe de la Secretaría de Salud federal confirmó 10 casos de gusano barrenador en seres humanos dentro de Hidalgo. En humanos, esta condición se conoce como miasis, una infestación causada por larvas que invaden tejido vivo. Aunque suele asociarse con animales, también puede presentarse en personas cuando existen heridas expuestas, falta de limpieza adecuada o condiciones que favorecen la presencia de la mosca. La transmisión ocurre cuando la mosca deposita huevos sobre heridas, raspaduras o zonas húmedas en animales. Los casos pueden presentarse en ganado, mascotas y otros animales expuestos al aire libre, especialmente en zonas rurales o cercanas a áreas ganaderas. Los perros que permanecen en patios, parcelas o espacios abiertos también pueden estar en riesgo si tienen heridas sin limpiar o lesiones no atendidas. Por ello, una de las medidas preventivas más importantes es revisar con frecuencia la piel y el pelaje de los animales, especialmente después de que hayan estado en contacto con lodo, maleza, ganado o zonas húmedas. También se recomienda mantener limpias las heridas, acudir al veterinario ante lesiones que no cicatrizan y evitar que animales con heridas permanezcan sin atención en exteriores. En Hidalgo, el avance de los reportes obliga a mantener atención tanto en unidades de producción ganadera como en animales domésticos, debido a que la detección temprana puede evitar complicaciones y reducir la propagación del gusano barrenador.</t>
  </si>
  <si>
    <t>Gusano barrenador</t>
  </si>
  <si>
    <t>Un aficionado alemán de 81 años se desvaneció en las inmediaciones del Estadio Ciudad de México (Estadio Azteca) minutos antes del partido inaugural del Mundial entre México y Sudáfrica. El hombre fue trasladado al Instituto Nacional de Cardiología, tras desvanecerse en las afueras del recinto deportivo.</t>
  </si>
  <si>
    <t>Tulancingo implementa la estrategia "Mundial Seguro: Protegiendo a la Niñez y Adolescencia". Impulsado por la actual administración municipal y el SIPINNA, este programa capacita a hoteles y restaurantes para identificar situaciones de riesgo como trata de personas, extravío o violencia, activando protocolos de atención inmediata mediante códigos QR y zonas seguras.</t>
  </si>
  <si>
    <t>En el marco de la Expo Feria Cuautepec 2026, el Gobierno Municipal invitó a la población a participar en las actividades religiosas, culturales y artísticas que se realizarán el próximo 13 de junio en honor a San Antonio de Padua. La jornada incluirá las tradicionales mañanitas, celebraciones eucarísticas, rosario, procesión por las principales calles de la cabecera municipal y la bendición de los puestos del mercado. Además, se presentarán los ballets folklóricos Papalotl, Luna e Hidalguense, así como un espectáculo de imitación a cargo de Roberto D’Alessio. Las actividades concluirán con la tradicional quema del castillo y un baile popular amenizado por el Grupo Internacional Carro Show.</t>
  </si>
  <si>
    <t>Feria Patronal</t>
  </si>
  <si>
    <t>Radio Lobo 96.7 FM</t>
  </si>
  <si>
    <t>Enlace Noticias</t>
  </si>
  <si>
    <t>Con más obras y apoyos para Cardonal, “Hidalgo es una potencia en marcha”, afirma Julio Menchaca (AUDIO JM).</t>
  </si>
  <si>
    <t>Gina Lorenzo</t>
  </si>
  <si>
    <t>Natividad Castrejón escucha propuestas del Consejo Consultivo infantil y juvenil de Tepeji (AUDIO NCV)</t>
  </si>
  <si>
    <t>Con más obras y apoyos para Cardonal, “Hidalgo es una potencia en marcha”, afirma Julio Menchaca (AUDIO JMS)</t>
  </si>
  <si>
    <t>Julio Menchaca destinó más de 183 mdp para obra pública en Santiago de Anaya (AUDIO JMS)</t>
  </si>
  <si>
    <t>Fortalece Huasca de Ocampo la protección de la infancia con la instalación de la Procuraduría Municipal de Protección de Niñas, Niños y Adolescentes. (AUDIO EVR).</t>
  </si>
  <si>
    <t>La iniciativa propone el acceso universal a internet como garantía obligatoria del Estado, facilitando la educación virtual, la telemedicina y el empleo a distancia en las zonas más vulnerables. Con el objetivo de reducir la brecha digital y garantizar que toda la población tenga acceso a las herramientas tecnológicas actuales, la diputada Claudia Luna, del Partido Acción Nacional (PAN), presentó una iniciativa de reforma ante el Congreso del Estado de Hidalgo. La propuesta busca modificar el artículo 4 Ter de la Constitución Política local para elevar a rango constitucional el derecho al acceso universal a internet y a las tecnologías de la información y comunicación (TIC). De esta manera, se busca actualizar un apartado históricamente enfocado en la libertad de imprenta para adaptarlo a las necesidades y derechos digitales de la sociedad actual. La propuesta busca instituir un mandato constitucional claro y progresivo que actúe como brújula para el diseño de futuras políticas públicas, programas y leyes secundarias en materia de alfabetización digital y conectividad en toda la geografía estatal. El sustento técnico de este proyecto radica en revertir las marcadas desigualdades sociales que imperan en la región. Según datos oficiales de la ENDUTIH, mientras el uso de internet alcanza niveles óptimos en los centros urbanos, en las zonas rurales e indígenas el rezago es alarmante, limitando el crecimiento de miles de personas. Al vincular la conectividad directamente con la libertad de expresión, la reforma asume que la red ya no es un simple servicio comercial, sino un habilitador indispensable para la vida moderna. La aprobación de esta iniciativa transformará profundamente la realidad social y legal de Hidalgo, permitiendo mejorar de forma sustancial los indicadores educativos mediante el uso interactivo de plataformas digitales y facilitando el acceso a servicios y trámites gubernamentales en línea. Asimismo, funcionará como un motor para impulsar la economía digital en el estado, robustecer la transparencia pública y proveer herramientas reales de inclusión para empoderar a los sectores más vulnerables de la población, tales como las comunidades indígenas, mujeres, jóvenes, adultos mayores y personas con discapacidad. Con esta iniciativa, el Congreso del Estado de Hidalgo tiene la oportunidad de sentar un precedente histórico en justicia social. Al armonizar la legislación local con las garantías que ya otorga la Constitución Federal y las tendencias globales, se busca que ninguna persona quede excluida del desarrollo por razones geográficas o socioeconómicas. La diputada Claudia Luna enfatizó que esta propuesta representa un paso estratégico y con visión de futuro, indispensable para construir un Hidalgo verdaderamente equitativo, conectado y preparado para los desafíos de la sociedad del conocimiento.</t>
  </si>
  <si>
    <t>Enfoque Regional Matutino</t>
  </si>
  <si>
    <t>Hoy va usted, la cuenta regresiva pues está llegando a su fin. Nos encontramos a menos de seis horas de que inicie el mundial de fútbol aquí en México, que hace historia al albergar tres copas del mundo. Escuchemos la reflexión de Nadim Ashane. Hace apenas unos días, el mundo volvió la mirada hacia México, el país que alguna vez vio coronarse a Pelé. El país donde Maradona escribió una de las páginas más memorables de la historia del fútbol. El único que ha tenido el privilegio de inaugurar tres copas del mundo. Y sin embargo, esta vez la historia llega acompañada de preguntas, porque mientras el balón está listo para rodar, México también enfrenta su propio partido. La Ciudad de México vive días de contrastes. Por un lado, la fiesta mundialista, por el otro, manifestaciones sociales, bloqueos y demandas que recuerdan que la realidad no se detiene porque llega la FIFA. En las calles del Centro Histórico, las protestas de maestros y colectivos han coincidido con los preparativos para la inauguración, obligando a reforzar operativos de seguridad y modificar planes logísticos. Las sedes mundialistas Ciudad de México, Guadalajara y Monterrey lucen renovadas, pero no han escapado a las críticas. Persisten señalamientos sobre retrasos en infraestructura, problemas de movilidad y obras que llegaron a la recta final bajo presión. En Monterrey, la polémica escaló cuando comenzaron a circular imágenes de muros, mallas y lonas instaladas en zonas visibles para los visitantes. Muchos interpretaron estas acciones como un intento por ocultar áreas de pobreza y mostrar únicamente la versión más fotogénica de la ciudad. En Guadalajara, las críticas fueron inmediatas. ¿Se puede maquillar una realidad social detrás de una lona? Y mientras tanto, en las redes sociales surgió un fenómeno peculiar. Miles de jóvenes compartieron videos bajo la frase: "parece que no estamos invitados al Mundial… “</t>
  </si>
  <si>
    <t>Rodolfo López</t>
  </si>
  <si>
    <t>Reportaje</t>
  </si>
  <si>
    <t>Amplio operativo encabezado por la Procuraduría General de Justicia del Estado de Hidalgo se desarrolló la noche del miércoles en el municipio de Ixmiquilpan, donde agentes ministeriales ejecutaron diversos cateos como parte de investigaciones relacionadas con presuntos delitos contra la salud en modalidad de narcomenudeo. Las diligencias se concentraron en inmuebles ubicados en los barrios de La Reforma y San Nicolás, donde se observó una importante movilización de unidades de seguridad y personal especializado. De manera preliminar, trascendió que las acciones forman parte de una estrategia de investigación más amplia que podría extenderse a otros municipios de la región del Valle del Mezquital. Se espera que en las próximas horas la Procuraduría Estatal dé a conocer los resultados de estos operativos y el avance de las investigaciones correspondientes.</t>
  </si>
  <si>
    <t>Cateo</t>
  </si>
  <si>
    <t>En las últimas horas ha circulado una información relacionada con el avistamiento de un puma en el ejido de El Xhiti en Tepetitlán. Eso sin duda, pues generó preocupación de algunas personas. Mire, es importante siempre verificar la información que se puede tener dentro de este tipo de situaciones para no generar alarma. Hay que decir que las autoridades municipales han precisado en las últimas horas: este reporte corresponde a un hecho ya registrado meses atrás y que fue atendido oportunamente por instancias ambientales y de protección de la fauna silvestre. Este tema pues generó mucha controversia y el gobierno municipal ha dicho: a ver, no hay ningún registro de puma en las últimas horas. No hay ningún avistamiento, no se ha tenido algún reporte de alguna presencia de un ejemplar de puma en el municipio, en la región. Así es que todos tranquilos, calmados. Cuando se generó un reporte hace unos meses, un par de meses, pues vinieron especialistas ambientalistas, vinieron autoridades de Semarnat, algunos voluntarios también que se dedican a este tipo de situaciones e hicieron un recorrido importante por todo el municipio para verificar este tipo de avistamientos que son aislados.</t>
  </si>
  <si>
    <t>Avistamiento De Especies</t>
  </si>
  <si>
    <t>Las comunidades ribereñas de la presa Endhó se han reunido con el gobierno federal para atender este tema, pero ¿cuál es la postura de los pobladores de estas comunidades tras las reuniones que han sostenido con personal tanto del gobierno federal como de Conagua? Lo logrado, por4 presiones de los delegados y las comunidades, los políticos sólo vienen por la foto. Nadime Axhane, en entrevista grabada con Valentín Lugo, comisariado ejidal de San Francisco Bojay, que nos tome esta llamada. El martes participaron en una reunión importante en las oficinas centrales de Conagua, esto en la Ciudad de México, junto con representantes de diversas comunidades afectadas por la proliferación del mosquito Culex, esto en la zona de la presa. Señor Valentín, queremos conocer qué resultados dejó este encuentro y cuáles son las expectativas que tienen ustedes como pobladores. ¿Cómo fue esta reunión? ¿Hubo resultados positivos? ¿Cómo lo describe usted? [Valentín Lugo]: Fuimos atendidos por gente de Conagua federal, estatal y gente de gobernación y efectivamente expusimos lo que ya saben las autoridades y la problemática que vimos aquí en las comunidades y pues sí, a lo mejor no era lo que esperábamos, verdad, pero ya tuvimos un acuerdo previo, un acuerdo a las necesidades que tenemos aquí con la afectación del mosco y el lirio. Nosotros íbamos con la firme convicción de que metieran las máquinas a la de voz de ya, o sea, que metieran las trituradoras a la de voz de ya, pero más bien en cambio no fue así, nos dieron una fecha para empezar los trabajos y bueno, pues vamos a esperar esa fecha. Nos comentaron que la primera máquina llega, ellos dicen que es muy moderna, en agosto, a finales de agosto llega la primera máquina, de las tres que van a llegar. Sí, comentar y decirle que todo esto que se está logrando es a través de la presión que los delegados y los comisariados de los pueblos ribereños y afectados se ha logrado. Sí, efectivamente, es por lo que los delegados hemos hecho y los comisariados y no los políticos, porque los políticos van y se sacan la foto y comentan. Pero la verdad, esto ha sido por la presión de los delegados y los comisariados.</t>
  </si>
  <si>
    <t>Presa Endhó</t>
  </si>
  <si>
    <t>Vamos con el tema de las lluvias, y es que las labores de atención a las afectaciones provocadas por las recientes lluvias continúan en distintas regiones de Hidalgo. El gobierno estatal informó que hasta este miércoles han sido reabiertos dieciocho caminos que resultaron afectados por derrumbes, deslaves y caída de material, lo que ha permitido restablecer la comunicación terrestre en cincuenta y ocho localidades. De acuerdo con el reporte oficial, once de las vialidades ya operan al cien por ciento, mientras que otras siete permanecen con apertura parcial, en tanto continúan los trabajos de rehabilitación. Para estas acciones se mantienen desplegadas maquinaria especializada en municipios de la sierra y la huasteca hidalguense, entre ellos Huehuetla, Tlanchinol, Molango, Huejutla, Tianguistengo, Juárez Hidalgo y Eloxochitlán, zonas donde las precipitaciones han generado mayores afectaciones durante los últimos días.</t>
  </si>
  <si>
    <t>Y con una inversión superior a los 2.8 millones de pesos, el gobierno municipal de Tula de Allende, encabezado por Cristian Martínez, puso en marcha y concluyó diversas obras de infraestructura básica en las comunidades de Michimaloya, Barrio Alto y Tultengo, con el objetivo de mejorar los servicios públicos y la movilidad de sus habitantes. Entre las acciones realizadas destaca la construcción de una red de drenaje sanitario en Michimaloya, así como la rehabilitación de pavimento hidráulico en dos vialidades de Barrio Alto, obras que buscan fortalecer la conectividad y las condiciones urbanas de la zona. Además, en la comunidad de Tultengo fue entregada una ampliación de la red de electrificación, con lo que se amplía la cobertura de este servicio para familias del sector. Las obras representan una inversión total de dos millones ochocientos ochocientos un mil pesos y forman parte de los proyectos de infraestructura que el ayuntamiento desarrolla en distintas localidades del municipio para atender necesidades prioritarias de la población.</t>
  </si>
  <si>
    <t>Obras De Infraestructura</t>
  </si>
  <si>
    <t>En una nueva jornada de las rutas de la transformación, el gobernador Julio Menchaca anunció inversiones para fortalecer la infraestructura carretera, los sistemas de agua potable, y el desarrollo del campo en Cardonal, uno de los municipios con mayor rezago histórico en la región del Valle del Mezquital. Durante esta gira también fueron entregados apoyos e insumos agrícolas a productores de Cardonal, Ixmiquilpan, y Nicolás Flores, mientras que autoridades estatales y federales informaron sobre nuevas obras que contemplan la rehabilitación de carreteras y caminos rurales, con una inversión conjunta superior a los cien millones de pesos. El mandatario destacó que de 2022 a la fecha, la inversión pública en Cardonal supera los doscientos cuarenta y seis millones de pesos en proyectos de infraestructura y servicios básicos. "Por eso me da muchísimo gusto estar en el Cardonal. Agradecer el esfuerzo de todos, desde cada trinchera, desde el aula, el consultorio, la patrulla, en el campo, en cualquier lugar en donde ejerzamos nuestras actividades, teniendo la seguridad de que estamos construyendo un mejor estado, de que Hidalgo es una potencia en marcha, y de que asumimos los compromisos, los supervisamos, y estamos trabajando con mucha fortaleza para demostrar de qué está hecha la gente en el estado de Hidalgo". (AUDIO JMS)</t>
  </si>
  <si>
    <t>Es un día importante, histórico, para el deporte en México. México se convierte en el país, en el único país en albergar tres copas del mundo. Mire, hay muchos problemas, hay muchas manifestaciones, hay muchas situaciones que atender en el país, eso hay que reconocerlo. Tal vez no estábamos preparados para una tercera copa del mundo. La situación social de seguridad, lo vemos, manifestaciones, madres buscadoras, profesores, estudiantes, manifestándose, pero hay que reconocer también que este es un hecho histórico, que en México se consume fútbol, que se vive esta pasión de manera muy particular en nuestro continente. Así que, sí, sí, está iniciando la Copa del Mundo, hoy jueves 11 de junio del 2026, ocho años han pasado después de que se anunciara por parte de la FIFA que México, Estados Unidos y así se vive el mundial. Ya muchos hoy, hoy por decreto presidencial, no trabajaron. Home office a distancia para también, pues usted lo sabe, la Ciudad de México es caótica. Hablando en cuestiones de tránsito, para dejar lo más posible liberadas las vías y que este mundial, sobre todo los que van a asistir al estadio, más de 80 mil personas puedan llegar sin ningún problema. Vamos a estar hablando del mundial, así que quédese con nosotros. Hay más información que presentarle en este día. Tómese un café conmigo, aquí abrimos la conversación. Teléfonos en cabina: siete siete tres setenta y tres dos veintiuno diecinueve y siete siete tres setenta y tres dos cuarenta y dos cincuenta y cinco. Quejas, opiniones, sugerencias, lo que usted desee externar. Enfoque Regional a través de Super Estéreo, cien punto cinco FM, donde su voz se escucha.</t>
  </si>
  <si>
    <t>El gobierno municipal de Tulancingo emitió un comunicado para recordar que la exhibición pública de los encuentros deportivos está sujeta a permisos, licencias y derechos de transmisión establecidos por la legislación vigente. De acuerdo con la Dirección de Reglamentos y Espectáculos, la medida aplica para la proyección o retransmisión de partidos en plazas públicas, auditorios, centros culturales, escuelas, hoteles, restaurantes, bares, centros comerciales, salones de eventos y cualquier espacio donde se concentren asistentes para seguir los encuentros. Las autoridades señalaron que cualquier establecimiento o persona que pretenda organizar eventos colectivos para transmitir partidos del Mundial deberá verificar que cuenta con las autorizaciones necesarias y con los derechos de transmisión correspondientes. El objetivo, indicaron, es evitar posibles infracciones legales derivadas del uso no autorizado de las señales y contenidos protegidos. Como parte de estas acciones preventivas, el municipio informó que realizará labores de supervisión, inspección y orientación dirigidas a establecimientos comerciales y organizadores de eventos. La autoridad municipal recordó que la responsabilidad por el uso indebido de los derechos de transmisión recae en quienes organicen o promuevan este tipo de eventos sin las autorizaciones correspondientes. Por ello, hizo un llamado a propietarios de negocios, administradores de espacios y organizadores a revisar previamente la situación legal de las transmisiones que pretendan realizar durante el Mundial 2026. Con estas medidas, el municipio busca prevenir conflictos relacionados con derechos de transmisión y garantizar que las actividades vinculadas con la máxima justa futbolística se desarrollen dentro del marco legal. El gobierno de Tulancingo aclaró que no cuenta con la facultad para sancionar la transmisión o retransmisión de partidos de la Copa Mundial de la FIFA, y señaló que únicamente informa sobre los derechos y licencias de autorización correspondientes. De acuerdo con la publicación oficial, la Dirección de Reglamentos y Espectáculos, así como Mercados y el Centro de Abastos, se limitarán a orientar y dar a conocer las disposiciones emitidas por las autoridades estatales, sin asumir responsabilidad alguna por posibles multas o sanciones relacionadas con el tema.</t>
  </si>
  <si>
    <t>En su colaboración semana Gustavo Rosales habló la carrera atlética denominada “activa tu potencial” de 10 km, la cual estará llegando a Ciudad Deportiva de Alto Rendimiento, las inscripciones están abiertas desde el primer minuto de este día y hasta las 23:59 horas del sábado 13 de junio, ingresando a las redes sociales de Gobierno del Estado y del INHIDE. La experiencia que se tiene con este tipo de carreras organizadas por el gobierno estatal es bastante positiva.</t>
  </si>
  <si>
    <t>Carrera atlética</t>
  </si>
  <si>
    <t>Derivado del monitoreo permanente de la red carretera estatal, la SIPDUS reporta lo siguiente: En el municipio de Tianguistengo ya fue retirado el derrumbe registrado a la altura de La Esperanza y del camino rural El Hormiguero.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</si>
</sst>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66" tableType="queryTable" totalsRowShown="0">
  <autoFilter ref="A1:M166"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66"/>
  <sheetViews>
    <sheetView tabSelected="1" workbookViewId="0"/>
  </sheetViews>
  <sheetFormatPr baseColWidth="10" defaultRowHeight="14.5" x14ac:dyDescent="0.35"/>
  <cols>
    <col min="1" max="1" width="8.1796875" bestFit="1" customWidth="1"/>
    <col min="2" max="2" width="10.26953125" bestFit="1" customWidth="1"/>
    <col min="3" max="3" width="24.6328125" bestFit="1" customWidth="1"/>
    <col min="4" max="4" width="27.6328125" bestFit="1" customWidth="1"/>
    <col min="5" max="5" width="80.7265625" bestFit="1" customWidth="1"/>
    <col min="6" max="6" width="14.26953125" bestFit="1" customWidth="1"/>
    <col min="7" max="7" width="28.26953125" bestFit="1" customWidth="1"/>
    <col min="8" max="8" width="9.6328125" bestFit="1" customWidth="1"/>
    <col min="9" max="9" width="9.90625" bestFit="1" customWidth="1"/>
    <col min="10" max="10" width="23.08984375" bestFit="1" customWidth="1"/>
    <col min="11" max="11" width="19.81640625" bestFit="1" customWidth="1"/>
    <col min="12" max="12" width="9.08984375" bestFit="1" customWidth="1"/>
    <col min="13" max="13" width="11.08984375" bestFit="1" customWidth="1"/>
    <col min="14" max="14" width="19.453125" bestFit="1" customWidth="1"/>
    <col min="15" max="15" width="20.54296875" bestFit="1" customWidth="1"/>
    <col min="16" max="16" width="80.7265625" bestFit="1" customWidth="1"/>
    <col min="17" max="17" width="9.81640625" bestFit="1" customWidth="1"/>
  </cols>
  <sheetData>
    <row r="1" spans="1:13" x14ac:dyDescent="0.35">
      <c r="A1" t="s">
        <v>0</v>
      </c>
      <c r="B1" t="s">
        <v>33</v>
      </c>
      <c r="C1" t="s">
        <v>34</v>
      </c>
      <c r="D1" t="s">
        <v>35</v>
      </c>
      <c r="E1" t="s">
        <v>1</v>
      </c>
      <c r="F1" t="s">
        <v>2</v>
      </c>
      <c r="G1" t="s">
        <v>4</v>
      </c>
      <c r="H1" t="s">
        <v>3</v>
      </c>
      <c r="I1" t="s">
        <v>5</v>
      </c>
      <c r="J1" t="s">
        <v>36</v>
      </c>
      <c r="K1" t="s">
        <v>37</v>
      </c>
      <c r="L1" t="s">
        <v>38</v>
      </c>
      <c r="M1" t="s">
        <v>45</v>
      </c>
    </row>
    <row r="2" spans="1:13" x14ac:dyDescent="0.35">
      <c r="A2" s="2">
        <v>46183</v>
      </c>
      <c r="B2" s="1" t="str">
        <f ca="1">IF(Información1[[#This Row],[Fecha]]='Ajuste de fechas'!$A$2,"Día actual","Día anterior")</f>
        <v>Día anterior</v>
      </c>
      <c r="C2" t="s">
        <v>50</v>
      </c>
      <c r="D2" t="s">
        <v>57</v>
      </c>
      <c r="E2" t="s">
        <v>103</v>
      </c>
      <c r="F2" t="s">
        <v>22</v>
      </c>
      <c r="G2" t="s">
        <v>104</v>
      </c>
      <c r="H2" t="s">
        <v>11</v>
      </c>
      <c r="I2" t="s">
        <v>7</v>
      </c>
      <c r="J2" t="s">
        <v>44</v>
      </c>
      <c r="K2" t="s">
        <v>51</v>
      </c>
      <c r="L2" t="s">
        <v>40</v>
      </c>
      <c r="M2">
        <v>1</v>
      </c>
    </row>
    <row r="3" spans="1:13" x14ac:dyDescent="0.35">
      <c r="A3" s="2">
        <v>46183</v>
      </c>
      <c r="B3" s="1" t="str">
        <f ca="1">IF(Información1[[#This Row],[Fecha]]='Ajuste de fechas'!$A$2,"Día actual","Día anterior")</f>
        <v>Día anterior</v>
      </c>
      <c r="C3" t="s">
        <v>50</v>
      </c>
      <c r="D3" t="s">
        <v>57</v>
      </c>
      <c r="E3" t="s">
        <v>105</v>
      </c>
      <c r="F3" t="s">
        <v>17</v>
      </c>
      <c r="G3" t="s">
        <v>87</v>
      </c>
      <c r="H3" t="s">
        <v>11</v>
      </c>
      <c r="I3" t="s">
        <v>25</v>
      </c>
      <c r="J3" t="s">
        <v>39</v>
      </c>
      <c r="K3" t="s">
        <v>9</v>
      </c>
      <c r="L3" t="s">
        <v>41</v>
      </c>
      <c r="M3">
        <v>1</v>
      </c>
    </row>
    <row r="4" spans="1:13" x14ac:dyDescent="0.35">
      <c r="A4" s="2">
        <v>46183</v>
      </c>
      <c r="B4" s="1" t="str">
        <f ca="1">IF(Información1[[#This Row],[Fecha]]='Ajuste de fechas'!$A$2,"Día actual","Día anterior")</f>
        <v>Día anterior</v>
      </c>
      <c r="C4" t="s">
        <v>50</v>
      </c>
      <c r="D4" t="s">
        <v>57</v>
      </c>
      <c r="E4" t="s">
        <v>106</v>
      </c>
      <c r="F4" t="s">
        <v>17</v>
      </c>
      <c r="G4" t="s">
        <v>87</v>
      </c>
      <c r="H4" t="s">
        <v>11</v>
      </c>
      <c r="I4" t="s">
        <v>25</v>
      </c>
      <c r="J4" t="s">
        <v>39</v>
      </c>
      <c r="K4" t="s">
        <v>9</v>
      </c>
      <c r="L4" t="s">
        <v>41</v>
      </c>
      <c r="M4">
        <v>1</v>
      </c>
    </row>
    <row r="5" spans="1:13" x14ac:dyDescent="0.35">
      <c r="A5" s="2">
        <v>46183</v>
      </c>
      <c r="B5" s="1" t="str">
        <f ca="1">IF(Información1[[#This Row],[Fecha]]='Ajuste de fechas'!$A$2,"Día actual","Día anterior")</f>
        <v>Día anterior</v>
      </c>
      <c r="C5" t="s">
        <v>50</v>
      </c>
      <c r="D5" t="s">
        <v>57</v>
      </c>
      <c r="E5" t="s">
        <v>107</v>
      </c>
      <c r="F5" t="s">
        <v>17</v>
      </c>
      <c r="G5" t="s">
        <v>87</v>
      </c>
      <c r="H5" t="s">
        <v>11</v>
      </c>
      <c r="I5" t="s">
        <v>7</v>
      </c>
      <c r="J5" t="s">
        <v>39</v>
      </c>
      <c r="K5" t="s">
        <v>51</v>
      </c>
      <c r="L5" t="s">
        <v>41</v>
      </c>
      <c r="M5">
        <v>1</v>
      </c>
    </row>
    <row r="6" spans="1:13" x14ac:dyDescent="0.35">
      <c r="A6" s="2">
        <v>46183</v>
      </c>
      <c r="B6" s="1" t="str">
        <f ca="1">IF(Información1[[#This Row],[Fecha]]='Ajuste de fechas'!$A$2,"Día actual","Día anterior")</f>
        <v>Día anterior</v>
      </c>
      <c r="C6" t="s">
        <v>67</v>
      </c>
      <c r="D6" t="s">
        <v>68</v>
      </c>
      <c r="E6" t="s">
        <v>108</v>
      </c>
      <c r="F6" t="s">
        <v>19</v>
      </c>
      <c r="G6" t="s">
        <v>74</v>
      </c>
      <c r="H6" t="s">
        <v>11</v>
      </c>
      <c r="I6" t="s">
        <v>7</v>
      </c>
      <c r="J6" t="s">
        <v>43</v>
      </c>
      <c r="K6" t="s">
        <v>69</v>
      </c>
      <c r="L6" t="s">
        <v>40</v>
      </c>
      <c r="M6">
        <v>1</v>
      </c>
    </row>
    <row r="7" spans="1:13" x14ac:dyDescent="0.35">
      <c r="A7" s="2">
        <v>46183</v>
      </c>
      <c r="B7" s="1" t="str">
        <f ca="1">IF(Información1[[#This Row],[Fecha]]='Ajuste de fechas'!$A$2,"Día actual","Día anterior")</f>
        <v>Día anterior</v>
      </c>
      <c r="C7" t="s">
        <v>67</v>
      </c>
      <c r="D7" t="s">
        <v>68</v>
      </c>
      <c r="E7" t="s">
        <v>109</v>
      </c>
      <c r="F7" t="s">
        <v>56</v>
      </c>
      <c r="G7" t="s">
        <v>96</v>
      </c>
      <c r="H7" t="s">
        <v>11</v>
      </c>
      <c r="I7" t="s">
        <v>7</v>
      </c>
      <c r="J7" t="s">
        <v>24</v>
      </c>
      <c r="K7" t="s">
        <v>69</v>
      </c>
      <c r="L7" t="s">
        <v>40</v>
      </c>
      <c r="M7">
        <v>1</v>
      </c>
    </row>
    <row r="8" spans="1:13" x14ac:dyDescent="0.35">
      <c r="A8" s="2">
        <v>46183</v>
      </c>
      <c r="B8" s="1" t="str">
        <f ca="1">IF(Información1[[#This Row],[Fecha]]='Ajuste de fechas'!$A$2,"Día actual","Día anterior")</f>
        <v>Día anterior</v>
      </c>
      <c r="C8" t="s">
        <v>67</v>
      </c>
      <c r="D8" t="s">
        <v>68</v>
      </c>
      <c r="E8" t="s">
        <v>110</v>
      </c>
      <c r="F8" t="s">
        <v>56</v>
      </c>
      <c r="G8" t="s">
        <v>111</v>
      </c>
      <c r="H8" t="s">
        <v>11</v>
      </c>
      <c r="I8" t="s">
        <v>7</v>
      </c>
      <c r="J8" t="s">
        <v>24</v>
      </c>
      <c r="K8" t="s">
        <v>69</v>
      </c>
      <c r="L8" t="s">
        <v>40</v>
      </c>
      <c r="M8">
        <v>1</v>
      </c>
    </row>
    <row r="9" spans="1:13" x14ac:dyDescent="0.35">
      <c r="A9" s="2">
        <v>46183</v>
      </c>
      <c r="B9" s="1" t="str">
        <f ca="1">IF(Información1[[#This Row],[Fecha]]='Ajuste de fechas'!$A$2,"Día actual","Día anterior")</f>
        <v>Día anterior</v>
      </c>
      <c r="C9" t="s">
        <v>67</v>
      </c>
      <c r="D9" t="s">
        <v>68</v>
      </c>
      <c r="E9" t="s">
        <v>112</v>
      </c>
      <c r="F9" t="s">
        <v>113</v>
      </c>
      <c r="G9" t="s">
        <v>114</v>
      </c>
      <c r="H9" t="s">
        <v>11</v>
      </c>
      <c r="I9" t="s">
        <v>7</v>
      </c>
      <c r="J9" t="s">
        <v>39</v>
      </c>
      <c r="K9" t="s">
        <v>69</v>
      </c>
      <c r="L9" t="s">
        <v>42</v>
      </c>
      <c r="M9">
        <v>1</v>
      </c>
    </row>
    <row r="10" spans="1:13" x14ac:dyDescent="0.35">
      <c r="A10" s="2">
        <v>46183</v>
      </c>
      <c r="B10" s="1" t="str">
        <f ca="1">IF(Información1[[#This Row],[Fecha]]='Ajuste de fechas'!$A$2,"Día actual","Día anterior")</f>
        <v>Día anterior</v>
      </c>
      <c r="C10" t="s">
        <v>67</v>
      </c>
      <c r="D10" t="s">
        <v>68</v>
      </c>
      <c r="E10" t="s">
        <v>115</v>
      </c>
      <c r="F10" t="s">
        <v>116</v>
      </c>
      <c r="G10" t="s">
        <v>117</v>
      </c>
      <c r="H10" t="s">
        <v>11</v>
      </c>
      <c r="I10" t="s">
        <v>7</v>
      </c>
      <c r="J10" t="s">
        <v>39</v>
      </c>
      <c r="K10" t="s">
        <v>69</v>
      </c>
      <c r="L10" t="s">
        <v>42</v>
      </c>
      <c r="M10">
        <v>1</v>
      </c>
    </row>
    <row r="11" spans="1:13" x14ac:dyDescent="0.35">
      <c r="A11" s="2">
        <v>46183</v>
      </c>
      <c r="B11" s="1" t="str">
        <f ca="1">IF(Información1[[#This Row],[Fecha]]='Ajuste de fechas'!$A$2,"Día actual","Día anterior")</f>
        <v>Día anterior</v>
      </c>
      <c r="C11" t="s">
        <v>67</v>
      </c>
      <c r="D11" t="s">
        <v>68</v>
      </c>
      <c r="E11" t="s">
        <v>118</v>
      </c>
      <c r="F11" t="s">
        <v>21</v>
      </c>
      <c r="G11" t="s">
        <v>119</v>
      </c>
      <c r="H11" t="s">
        <v>11</v>
      </c>
      <c r="I11" t="s">
        <v>7</v>
      </c>
      <c r="J11" t="s">
        <v>39</v>
      </c>
      <c r="K11" t="s">
        <v>69</v>
      </c>
      <c r="L11" t="s">
        <v>42</v>
      </c>
      <c r="M11">
        <v>1</v>
      </c>
    </row>
    <row r="12" spans="1:13" x14ac:dyDescent="0.35">
      <c r="A12" s="2">
        <v>46183</v>
      </c>
      <c r="B12" s="1" t="str">
        <f ca="1">IF(Información1[[#This Row],[Fecha]]='Ajuste de fechas'!$A$2,"Día actual","Día anterior")</f>
        <v>Día anterior</v>
      </c>
      <c r="C12" t="s">
        <v>67</v>
      </c>
      <c r="D12" t="s">
        <v>68</v>
      </c>
      <c r="E12" t="s">
        <v>120</v>
      </c>
      <c r="F12" t="s">
        <v>72</v>
      </c>
      <c r="G12" t="s">
        <v>121</v>
      </c>
      <c r="H12" t="s">
        <v>11</v>
      </c>
      <c r="I12" t="s">
        <v>7</v>
      </c>
      <c r="J12" t="s">
        <v>39</v>
      </c>
      <c r="K12" t="s">
        <v>69</v>
      </c>
      <c r="L12" t="s">
        <v>42</v>
      </c>
      <c r="M12">
        <v>1</v>
      </c>
    </row>
    <row r="13" spans="1:13" x14ac:dyDescent="0.35">
      <c r="A13" s="2">
        <v>46183</v>
      </c>
      <c r="B13" s="1" t="str">
        <f ca="1">IF(Información1[[#This Row],[Fecha]]='Ajuste de fechas'!$A$2,"Día actual","Día anterior")</f>
        <v>Día anterior</v>
      </c>
      <c r="C13" t="s">
        <v>67</v>
      </c>
      <c r="D13" t="s">
        <v>68</v>
      </c>
      <c r="E13" t="s">
        <v>122</v>
      </c>
      <c r="F13" t="s">
        <v>31</v>
      </c>
      <c r="G13" t="s">
        <v>123</v>
      </c>
      <c r="H13" t="s">
        <v>11</v>
      </c>
      <c r="I13" t="s">
        <v>7</v>
      </c>
      <c r="J13" t="s">
        <v>39</v>
      </c>
      <c r="K13" t="s">
        <v>69</v>
      </c>
      <c r="L13" t="s">
        <v>42</v>
      </c>
      <c r="M13">
        <v>1</v>
      </c>
    </row>
    <row r="14" spans="1:13" x14ac:dyDescent="0.35">
      <c r="A14" s="2">
        <v>46183</v>
      </c>
      <c r="B14" s="1" t="str">
        <f ca="1">IF(Información1[[#This Row],[Fecha]]='Ajuste de fechas'!$A$2,"Día actual","Día anterior")</f>
        <v>Día anterior</v>
      </c>
      <c r="C14" t="s">
        <v>67</v>
      </c>
      <c r="D14" t="s">
        <v>68</v>
      </c>
      <c r="E14" t="s">
        <v>124</v>
      </c>
      <c r="F14" t="s">
        <v>125</v>
      </c>
      <c r="G14" t="s">
        <v>126</v>
      </c>
      <c r="H14" t="s">
        <v>11</v>
      </c>
      <c r="I14" t="s">
        <v>7</v>
      </c>
      <c r="J14" t="s">
        <v>39</v>
      </c>
      <c r="K14" t="s">
        <v>69</v>
      </c>
      <c r="L14" t="s">
        <v>42</v>
      </c>
      <c r="M14">
        <v>1</v>
      </c>
    </row>
    <row r="15" spans="1:13" x14ac:dyDescent="0.35">
      <c r="A15" s="2">
        <v>46183</v>
      </c>
      <c r="B15" s="1" t="str">
        <f ca="1">IF(Información1[[#This Row],[Fecha]]='Ajuste de fechas'!$A$2,"Día actual","Día anterior")</f>
        <v>Día anterior</v>
      </c>
      <c r="C15" t="s">
        <v>67</v>
      </c>
      <c r="D15" t="s">
        <v>68</v>
      </c>
      <c r="E15" t="s">
        <v>127</v>
      </c>
      <c r="F15" t="s">
        <v>26</v>
      </c>
      <c r="G15" t="s">
        <v>128</v>
      </c>
      <c r="H15" t="s">
        <v>11</v>
      </c>
      <c r="I15" t="s">
        <v>7</v>
      </c>
      <c r="J15" t="s">
        <v>39</v>
      </c>
      <c r="K15" t="s">
        <v>69</v>
      </c>
      <c r="L15" t="s">
        <v>42</v>
      </c>
      <c r="M15">
        <v>1</v>
      </c>
    </row>
    <row r="16" spans="1:13" x14ac:dyDescent="0.35">
      <c r="A16" s="2">
        <v>46183</v>
      </c>
      <c r="B16" s="1" t="str">
        <f ca="1">IF(Información1[[#This Row],[Fecha]]='Ajuste de fechas'!$A$2,"Día actual","Día anterior")</f>
        <v>Día anterior</v>
      </c>
      <c r="C16" t="s">
        <v>50</v>
      </c>
      <c r="D16" t="s">
        <v>52</v>
      </c>
      <c r="E16" t="s">
        <v>129</v>
      </c>
      <c r="F16" t="s">
        <v>6</v>
      </c>
      <c r="G16" t="s">
        <v>130</v>
      </c>
      <c r="H16" t="s">
        <v>11</v>
      </c>
      <c r="I16" t="s">
        <v>25</v>
      </c>
      <c r="J16" t="s">
        <v>39</v>
      </c>
      <c r="K16" t="s">
        <v>9</v>
      </c>
      <c r="L16" t="s">
        <v>41</v>
      </c>
      <c r="M16">
        <v>1</v>
      </c>
    </row>
    <row r="17" spans="1:13" x14ac:dyDescent="0.35">
      <c r="A17" s="2">
        <v>46183</v>
      </c>
      <c r="B17" s="1" t="str">
        <f ca="1">IF(Información1[[#This Row],[Fecha]]='Ajuste de fechas'!$A$2,"Día actual","Día anterior")</f>
        <v>Día anterior</v>
      </c>
      <c r="C17" t="s">
        <v>50</v>
      </c>
      <c r="D17" t="s">
        <v>52</v>
      </c>
      <c r="E17" t="s">
        <v>131</v>
      </c>
      <c r="F17" t="s">
        <v>99</v>
      </c>
      <c r="G17" t="s">
        <v>100</v>
      </c>
      <c r="H17" t="s">
        <v>11</v>
      </c>
      <c r="I17" t="s">
        <v>7</v>
      </c>
      <c r="J17" t="s">
        <v>39</v>
      </c>
      <c r="K17" t="s">
        <v>49</v>
      </c>
      <c r="L17" t="s">
        <v>42</v>
      </c>
      <c r="M17">
        <v>1</v>
      </c>
    </row>
    <row r="18" spans="1:13" x14ac:dyDescent="0.35">
      <c r="A18" s="2">
        <v>46183</v>
      </c>
      <c r="B18" s="1" t="str">
        <f ca="1">IF(Información1[[#This Row],[Fecha]]='Ajuste de fechas'!$A$2,"Día actual","Día anterior")</f>
        <v>Día anterior</v>
      </c>
      <c r="C18" t="s">
        <v>50</v>
      </c>
      <c r="D18" t="s">
        <v>52</v>
      </c>
      <c r="E18" t="s">
        <v>132</v>
      </c>
      <c r="F18" t="s">
        <v>72</v>
      </c>
      <c r="G18" t="s">
        <v>95</v>
      </c>
      <c r="H18" t="s">
        <v>11</v>
      </c>
      <c r="I18" t="s">
        <v>7</v>
      </c>
      <c r="J18" t="s">
        <v>39</v>
      </c>
      <c r="K18" t="s">
        <v>49</v>
      </c>
      <c r="L18" t="s">
        <v>42</v>
      </c>
      <c r="M18">
        <v>1</v>
      </c>
    </row>
    <row r="19" spans="1:13" x14ac:dyDescent="0.35">
      <c r="A19" s="2">
        <v>46183</v>
      </c>
      <c r="B19" s="1" t="str">
        <f ca="1">IF(Información1[[#This Row],[Fecha]]='Ajuste de fechas'!$A$2,"Día actual","Día anterior")</f>
        <v>Día anterior</v>
      </c>
      <c r="C19" t="s">
        <v>50</v>
      </c>
      <c r="D19" t="s">
        <v>52</v>
      </c>
      <c r="E19" t="s">
        <v>133</v>
      </c>
      <c r="F19" t="s">
        <v>72</v>
      </c>
      <c r="G19" t="s">
        <v>74</v>
      </c>
      <c r="H19" t="s">
        <v>11</v>
      </c>
      <c r="I19" t="s">
        <v>7</v>
      </c>
      <c r="J19" t="s">
        <v>39</v>
      </c>
      <c r="K19" t="s">
        <v>49</v>
      </c>
      <c r="L19" t="s">
        <v>42</v>
      </c>
      <c r="M19">
        <v>1</v>
      </c>
    </row>
    <row r="20" spans="1:13" x14ac:dyDescent="0.35">
      <c r="A20" s="2">
        <v>46183</v>
      </c>
      <c r="B20" s="1" t="str">
        <f ca="1">IF(Información1[[#This Row],[Fecha]]='Ajuste de fechas'!$A$2,"Día actual","Día anterior")</f>
        <v>Día anterior</v>
      </c>
      <c r="C20" t="s">
        <v>50</v>
      </c>
      <c r="D20" t="s">
        <v>52</v>
      </c>
      <c r="E20" t="s">
        <v>134</v>
      </c>
      <c r="F20" t="s">
        <v>26</v>
      </c>
      <c r="G20" t="s">
        <v>128</v>
      </c>
      <c r="H20" t="s">
        <v>11</v>
      </c>
      <c r="I20" t="s">
        <v>7</v>
      </c>
      <c r="J20" t="s">
        <v>39</v>
      </c>
      <c r="K20" t="s">
        <v>49</v>
      </c>
      <c r="L20" t="s">
        <v>42</v>
      </c>
      <c r="M20">
        <v>1</v>
      </c>
    </row>
    <row r="21" spans="1:13" x14ac:dyDescent="0.35">
      <c r="A21" s="2">
        <v>46183</v>
      </c>
      <c r="B21" s="1" t="str">
        <f ca="1">IF(Información1[[#This Row],[Fecha]]='Ajuste de fechas'!$A$2,"Día actual","Día anterior")</f>
        <v>Día anterior</v>
      </c>
      <c r="C21" t="s">
        <v>50</v>
      </c>
      <c r="D21" t="s">
        <v>52</v>
      </c>
      <c r="E21" t="s">
        <v>135</v>
      </c>
      <c r="F21" t="s">
        <v>23</v>
      </c>
      <c r="G21" t="s">
        <v>136</v>
      </c>
      <c r="H21" t="s">
        <v>11</v>
      </c>
      <c r="I21" t="s">
        <v>7</v>
      </c>
      <c r="J21" t="s">
        <v>39</v>
      </c>
      <c r="K21" t="s">
        <v>51</v>
      </c>
      <c r="L21" t="s">
        <v>40</v>
      </c>
      <c r="M21">
        <v>1</v>
      </c>
    </row>
    <row r="22" spans="1:13" x14ac:dyDescent="0.35">
      <c r="A22" s="2">
        <v>46183</v>
      </c>
      <c r="B22" s="1" t="str">
        <f ca="1">IF(Información1[[#This Row],[Fecha]]='Ajuste de fechas'!$A$2,"Día actual","Día anterior")</f>
        <v>Día anterior</v>
      </c>
      <c r="C22" t="s">
        <v>50</v>
      </c>
      <c r="D22" t="s">
        <v>52</v>
      </c>
      <c r="E22" t="s">
        <v>137</v>
      </c>
      <c r="F22" t="s">
        <v>17</v>
      </c>
      <c r="G22" t="s">
        <v>138</v>
      </c>
      <c r="H22" t="s">
        <v>11</v>
      </c>
      <c r="I22" t="s">
        <v>7</v>
      </c>
      <c r="J22" t="s">
        <v>39</v>
      </c>
      <c r="K22" t="s">
        <v>49</v>
      </c>
      <c r="L22" t="s">
        <v>42</v>
      </c>
      <c r="M22">
        <v>1</v>
      </c>
    </row>
    <row r="23" spans="1:13" x14ac:dyDescent="0.35">
      <c r="A23" s="2">
        <v>46183</v>
      </c>
      <c r="B23" s="1" t="str">
        <f ca="1">IF(Información1[[#This Row],[Fecha]]='Ajuste de fechas'!$A$2,"Día actual","Día anterior")</f>
        <v>Día anterior</v>
      </c>
      <c r="C23" t="s">
        <v>63</v>
      </c>
      <c r="D23" t="s">
        <v>64</v>
      </c>
      <c r="E23" t="s">
        <v>139</v>
      </c>
      <c r="F23" t="s">
        <v>19</v>
      </c>
      <c r="G23" t="s">
        <v>140</v>
      </c>
      <c r="H23" t="s">
        <v>11</v>
      </c>
      <c r="I23" t="s">
        <v>25</v>
      </c>
      <c r="J23" t="s">
        <v>43</v>
      </c>
      <c r="K23" t="s">
        <v>65</v>
      </c>
      <c r="L23" t="s">
        <v>41</v>
      </c>
      <c r="M23">
        <v>1</v>
      </c>
    </row>
    <row r="24" spans="1:13" x14ac:dyDescent="0.35">
      <c r="A24" s="2">
        <v>46183</v>
      </c>
      <c r="B24" s="1" t="str">
        <f ca="1">IF(Información1[[#This Row],[Fecha]]='Ajuste de fechas'!$A$2,"Día actual","Día anterior")</f>
        <v>Día anterior</v>
      </c>
      <c r="C24" t="s">
        <v>63</v>
      </c>
      <c r="D24" t="s">
        <v>64</v>
      </c>
      <c r="E24" t="s">
        <v>141</v>
      </c>
      <c r="F24" t="s">
        <v>19</v>
      </c>
      <c r="G24" t="s">
        <v>140</v>
      </c>
      <c r="H24" t="s">
        <v>11</v>
      </c>
      <c r="I24" t="s">
        <v>7</v>
      </c>
      <c r="J24" t="s">
        <v>43</v>
      </c>
      <c r="K24" t="s">
        <v>65</v>
      </c>
      <c r="L24" t="s">
        <v>40</v>
      </c>
      <c r="M24">
        <v>1</v>
      </c>
    </row>
    <row r="25" spans="1:13" x14ac:dyDescent="0.35">
      <c r="A25" s="2">
        <v>46183</v>
      </c>
      <c r="B25" s="1" t="str">
        <f ca="1">IF(Información1[[#This Row],[Fecha]]='Ajuste de fechas'!$A$2,"Día actual","Día anterior")</f>
        <v>Día anterior</v>
      </c>
      <c r="C25" t="s">
        <v>63</v>
      </c>
      <c r="D25" t="s">
        <v>64</v>
      </c>
      <c r="E25" t="s">
        <v>142</v>
      </c>
      <c r="F25" t="s">
        <v>21</v>
      </c>
      <c r="G25" t="s">
        <v>119</v>
      </c>
      <c r="H25" t="s">
        <v>11</v>
      </c>
      <c r="I25" t="s">
        <v>7</v>
      </c>
      <c r="J25" t="s">
        <v>39</v>
      </c>
      <c r="K25" t="s">
        <v>65</v>
      </c>
      <c r="L25" t="s">
        <v>42</v>
      </c>
      <c r="M25">
        <v>1</v>
      </c>
    </row>
    <row r="26" spans="1:13" x14ac:dyDescent="0.35">
      <c r="A26" s="2">
        <v>46183</v>
      </c>
      <c r="B26" s="1" t="str">
        <f ca="1">IF(Información1[[#This Row],[Fecha]]='Ajuste de fechas'!$A$2,"Día actual","Día anterior")</f>
        <v>Día anterior</v>
      </c>
      <c r="C26" t="s">
        <v>63</v>
      </c>
      <c r="D26" t="s">
        <v>64</v>
      </c>
      <c r="E26" t="s">
        <v>143</v>
      </c>
      <c r="F26" t="s">
        <v>19</v>
      </c>
      <c r="G26" t="s">
        <v>144</v>
      </c>
      <c r="H26" t="s">
        <v>11</v>
      </c>
      <c r="I26" t="s">
        <v>7</v>
      </c>
      <c r="J26" t="s">
        <v>43</v>
      </c>
      <c r="K26" t="s">
        <v>65</v>
      </c>
      <c r="L26" t="s">
        <v>40</v>
      </c>
      <c r="M26">
        <v>1</v>
      </c>
    </row>
    <row r="27" spans="1:13" x14ac:dyDescent="0.35">
      <c r="A27" s="2">
        <v>46183</v>
      </c>
      <c r="B27" s="1" t="str">
        <f ca="1">IF(Información1[[#This Row],[Fecha]]='Ajuste de fechas'!$A$2,"Día actual","Día anterior")</f>
        <v>Día anterior</v>
      </c>
      <c r="C27" t="s">
        <v>63</v>
      </c>
      <c r="D27" t="s">
        <v>64</v>
      </c>
      <c r="E27" t="s">
        <v>145</v>
      </c>
      <c r="F27" t="s">
        <v>19</v>
      </c>
      <c r="G27" t="s">
        <v>146</v>
      </c>
      <c r="H27" t="s">
        <v>11</v>
      </c>
      <c r="I27" t="s">
        <v>7</v>
      </c>
      <c r="J27" t="s">
        <v>43</v>
      </c>
      <c r="K27" t="s">
        <v>65</v>
      </c>
      <c r="L27" t="s">
        <v>40</v>
      </c>
      <c r="M27">
        <v>1</v>
      </c>
    </row>
    <row r="28" spans="1:13" x14ac:dyDescent="0.35">
      <c r="A28" s="2">
        <v>46183</v>
      </c>
      <c r="B28" s="1" t="str">
        <f ca="1">IF(Información1[[#This Row],[Fecha]]='Ajuste de fechas'!$A$2,"Día actual","Día anterior")</f>
        <v>Día anterior</v>
      </c>
      <c r="C28" t="s">
        <v>63</v>
      </c>
      <c r="D28" t="s">
        <v>64</v>
      </c>
      <c r="E28" t="s">
        <v>147</v>
      </c>
      <c r="F28" t="s">
        <v>19</v>
      </c>
      <c r="G28" t="s">
        <v>148</v>
      </c>
      <c r="H28" t="s">
        <v>11</v>
      </c>
      <c r="I28" t="s">
        <v>7</v>
      </c>
      <c r="J28" t="s">
        <v>43</v>
      </c>
      <c r="K28" t="s">
        <v>65</v>
      </c>
      <c r="L28" t="s">
        <v>40</v>
      </c>
      <c r="M28">
        <v>1</v>
      </c>
    </row>
    <row r="29" spans="1:13" x14ac:dyDescent="0.35">
      <c r="A29" s="2">
        <v>46183</v>
      </c>
      <c r="B29" s="1" t="str">
        <f ca="1">IF(Información1[[#This Row],[Fecha]]='Ajuste de fechas'!$A$2,"Día actual","Día anterior")</f>
        <v>Día anterior</v>
      </c>
      <c r="C29" t="s">
        <v>63</v>
      </c>
      <c r="D29" t="s">
        <v>64</v>
      </c>
      <c r="E29" t="s">
        <v>149</v>
      </c>
      <c r="F29" t="s">
        <v>19</v>
      </c>
      <c r="G29" t="s">
        <v>58</v>
      </c>
      <c r="H29" t="s">
        <v>11</v>
      </c>
      <c r="I29" t="s">
        <v>7</v>
      </c>
      <c r="J29" t="s">
        <v>43</v>
      </c>
      <c r="K29" t="s">
        <v>65</v>
      </c>
      <c r="L29" t="s">
        <v>40</v>
      </c>
      <c r="M29">
        <v>1</v>
      </c>
    </row>
    <row r="30" spans="1:13" x14ac:dyDescent="0.35">
      <c r="A30" s="2">
        <v>46183</v>
      </c>
      <c r="B30" s="1" t="str">
        <f ca="1">IF(Información1[[#This Row],[Fecha]]='Ajuste de fechas'!$A$2,"Día actual","Día anterior")</f>
        <v>Día anterior</v>
      </c>
      <c r="C30" t="s">
        <v>63</v>
      </c>
      <c r="D30" t="s">
        <v>64</v>
      </c>
      <c r="E30" t="s">
        <v>150</v>
      </c>
      <c r="F30" t="s">
        <v>48</v>
      </c>
      <c r="G30" t="s">
        <v>151</v>
      </c>
      <c r="H30" t="s">
        <v>11</v>
      </c>
      <c r="I30" t="s">
        <v>25</v>
      </c>
      <c r="J30" t="s">
        <v>39</v>
      </c>
      <c r="K30" t="s">
        <v>65</v>
      </c>
      <c r="L30" t="s">
        <v>40</v>
      </c>
      <c r="M30">
        <v>1</v>
      </c>
    </row>
    <row r="31" spans="1:13" x14ac:dyDescent="0.35">
      <c r="A31" s="2">
        <v>46183</v>
      </c>
      <c r="B31" s="1" t="str">
        <f ca="1">IF(Información1[[#This Row],[Fecha]]='Ajuste de fechas'!$A$2,"Día actual","Día anterior")</f>
        <v>Día anterior</v>
      </c>
      <c r="C31" t="s">
        <v>63</v>
      </c>
      <c r="D31" t="s">
        <v>64</v>
      </c>
      <c r="E31" t="s">
        <v>152</v>
      </c>
      <c r="F31" t="s">
        <v>19</v>
      </c>
      <c r="G31" t="s">
        <v>153</v>
      </c>
      <c r="H31" t="s">
        <v>11</v>
      </c>
      <c r="I31" t="s">
        <v>7</v>
      </c>
      <c r="J31" t="s">
        <v>43</v>
      </c>
      <c r="K31" t="s">
        <v>65</v>
      </c>
      <c r="L31" t="s">
        <v>40</v>
      </c>
      <c r="M31">
        <v>1</v>
      </c>
    </row>
    <row r="32" spans="1:13" x14ac:dyDescent="0.35">
      <c r="A32" s="2">
        <v>46183</v>
      </c>
      <c r="B32" s="1" t="str">
        <f ca="1">IF(Información1[[#This Row],[Fecha]]='Ajuste de fechas'!$A$2,"Día actual","Día anterior")</f>
        <v>Día anterior</v>
      </c>
      <c r="C32" t="s">
        <v>63</v>
      </c>
      <c r="D32" t="s">
        <v>64</v>
      </c>
      <c r="E32" t="s">
        <v>124</v>
      </c>
      <c r="F32" t="s">
        <v>125</v>
      </c>
      <c r="G32" t="s">
        <v>126</v>
      </c>
      <c r="H32" t="s">
        <v>11</v>
      </c>
      <c r="I32" t="s">
        <v>7</v>
      </c>
      <c r="J32" t="s">
        <v>39</v>
      </c>
      <c r="K32" t="s">
        <v>65</v>
      </c>
      <c r="L32" t="s">
        <v>42</v>
      </c>
      <c r="M32">
        <v>1</v>
      </c>
    </row>
    <row r="33" spans="1:13" x14ac:dyDescent="0.35">
      <c r="A33" s="2">
        <v>46183</v>
      </c>
      <c r="B33" s="1" t="str">
        <f ca="1">IF(Información1[[#This Row],[Fecha]]='Ajuste de fechas'!$A$2,"Día actual","Día anterior")</f>
        <v>Día anterior</v>
      </c>
      <c r="C33" t="s">
        <v>63</v>
      </c>
      <c r="D33" t="s">
        <v>64</v>
      </c>
      <c r="E33" t="s">
        <v>154</v>
      </c>
      <c r="F33" t="s">
        <v>15</v>
      </c>
      <c r="G33" t="s">
        <v>88</v>
      </c>
      <c r="H33" t="s">
        <v>11</v>
      </c>
      <c r="I33" t="s">
        <v>7</v>
      </c>
      <c r="J33" t="s">
        <v>39</v>
      </c>
      <c r="K33" t="s">
        <v>65</v>
      </c>
      <c r="L33" t="s">
        <v>40</v>
      </c>
      <c r="M33">
        <v>1</v>
      </c>
    </row>
    <row r="34" spans="1:13" x14ac:dyDescent="0.35">
      <c r="A34" s="2">
        <v>46183</v>
      </c>
      <c r="B34" s="1" t="str">
        <f ca="1">IF(Información1[[#This Row],[Fecha]]='Ajuste de fechas'!$A$2,"Día actual","Día anterior")</f>
        <v>Día anterior</v>
      </c>
      <c r="C34" t="s">
        <v>63</v>
      </c>
      <c r="D34" t="s">
        <v>64</v>
      </c>
      <c r="E34" t="s">
        <v>155</v>
      </c>
      <c r="F34" t="s">
        <v>15</v>
      </c>
      <c r="G34" t="s">
        <v>88</v>
      </c>
      <c r="H34" t="s">
        <v>11</v>
      </c>
      <c r="I34" t="s">
        <v>7</v>
      </c>
      <c r="J34" t="s">
        <v>39</v>
      </c>
      <c r="K34" t="s">
        <v>65</v>
      </c>
      <c r="L34" t="s">
        <v>40</v>
      </c>
      <c r="M34">
        <v>1</v>
      </c>
    </row>
    <row r="35" spans="1:13" x14ac:dyDescent="0.35">
      <c r="A35" s="2">
        <v>46183</v>
      </c>
      <c r="B35" s="1" t="str">
        <f ca="1">IF(Información1[[#This Row],[Fecha]]='Ajuste de fechas'!$A$2,"Día actual","Día anterior")</f>
        <v>Día anterior</v>
      </c>
      <c r="C35" t="s">
        <v>63</v>
      </c>
      <c r="D35" t="s">
        <v>64</v>
      </c>
      <c r="E35" t="s">
        <v>156</v>
      </c>
      <c r="F35" t="s">
        <v>56</v>
      </c>
      <c r="G35" t="s">
        <v>96</v>
      </c>
      <c r="H35" t="s">
        <v>11</v>
      </c>
      <c r="I35" t="s">
        <v>7</v>
      </c>
      <c r="J35" t="s">
        <v>24</v>
      </c>
      <c r="K35" t="s">
        <v>65</v>
      </c>
      <c r="L35" t="s">
        <v>40</v>
      </c>
      <c r="M35">
        <v>1</v>
      </c>
    </row>
    <row r="36" spans="1:13" x14ac:dyDescent="0.35">
      <c r="A36" s="2">
        <v>46183</v>
      </c>
      <c r="B36" s="1" t="str">
        <f ca="1">IF(Información1[[#This Row],[Fecha]]='Ajuste de fechas'!$A$2,"Día actual","Día anterior")</f>
        <v>Día anterior</v>
      </c>
      <c r="C36" t="s">
        <v>63</v>
      </c>
      <c r="D36" t="s">
        <v>64</v>
      </c>
      <c r="E36" t="s">
        <v>157</v>
      </c>
      <c r="F36" t="s">
        <v>19</v>
      </c>
      <c r="G36" t="s">
        <v>158</v>
      </c>
      <c r="H36" t="s">
        <v>11</v>
      </c>
      <c r="I36" t="s">
        <v>7</v>
      </c>
      <c r="J36" t="s">
        <v>43</v>
      </c>
      <c r="K36" t="s">
        <v>65</v>
      </c>
      <c r="L36" t="s">
        <v>40</v>
      </c>
      <c r="M36">
        <v>1</v>
      </c>
    </row>
    <row r="37" spans="1:13" x14ac:dyDescent="0.35">
      <c r="A37" s="2">
        <v>46183</v>
      </c>
      <c r="B37" s="1" t="str">
        <f ca="1">IF(Información1[[#This Row],[Fecha]]='Ajuste de fechas'!$A$2,"Día actual","Día anterior")</f>
        <v>Día anterior</v>
      </c>
      <c r="C37" t="s">
        <v>63</v>
      </c>
      <c r="D37" t="s">
        <v>64</v>
      </c>
      <c r="E37" t="s">
        <v>159</v>
      </c>
      <c r="F37" t="s">
        <v>17</v>
      </c>
      <c r="G37" t="s">
        <v>160</v>
      </c>
      <c r="H37" t="s">
        <v>11</v>
      </c>
      <c r="I37" t="s">
        <v>25</v>
      </c>
      <c r="J37" t="s">
        <v>39</v>
      </c>
      <c r="K37" t="s">
        <v>65</v>
      </c>
      <c r="L37" t="s">
        <v>41</v>
      </c>
      <c r="M37">
        <v>1</v>
      </c>
    </row>
    <row r="38" spans="1:13" x14ac:dyDescent="0.35">
      <c r="A38" s="2">
        <v>46183</v>
      </c>
      <c r="B38" s="1" t="str">
        <f ca="1">IF(Información1[[#This Row],[Fecha]]='Ajuste de fechas'!$A$2,"Día actual","Día anterior")</f>
        <v>Día anterior</v>
      </c>
      <c r="C38" t="s">
        <v>63</v>
      </c>
      <c r="D38" t="s">
        <v>64</v>
      </c>
      <c r="E38" t="s">
        <v>161</v>
      </c>
      <c r="F38" t="s">
        <v>26</v>
      </c>
      <c r="G38" t="s">
        <v>60</v>
      </c>
      <c r="H38" t="s">
        <v>11</v>
      </c>
      <c r="I38" t="s">
        <v>7</v>
      </c>
      <c r="J38" t="s">
        <v>39</v>
      </c>
      <c r="K38" t="s">
        <v>65</v>
      </c>
      <c r="L38" t="s">
        <v>40</v>
      </c>
      <c r="M38">
        <v>1</v>
      </c>
    </row>
    <row r="39" spans="1:13" x14ac:dyDescent="0.35">
      <c r="A39" s="2">
        <v>46183</v>
      </c>
      <c r="B39" s="1" t="str">
        <f ca="1">IF(Información1[[#This Row],[Fecha]]='Ajuste de fechas'!$A$2,"Día actual","Día anterior")</f>
        <v>Día anterior</v>
      </c>
      <c r="C39" t="s">
        <v>63</v>
      </c>
      <c r="D39" t="s">
        <v>64</v>
      </c>
      <c r="E39" t="s">
        <v>162</v>
      </c>
      <c r="F39" t="s">
        <v>84</v>
      </c>
      <c r="G39" t="s">
        <v>53</v>
      </c>
      <c r="H39" t="s">
        <v>11</v>
      </c>
      <c r="I39" t="s">
        <v>7</v>
      </c>
      <c r="J39" t="s">
        <v>39</v>
      </c>
      <c r="K39" t="s">
        <v>65</v>
      </c>
      <c r="L39" t="s">
        <v>40</v>
      </c>
      <c r="M39">
        <v>1</v>
      </c>
    </row>
    <row r="40" spans="1:13" x14ac:dyDescent="0.35">
      <c r="A40" s="2">
        <v>46183</v>
      </c>
      <c r="B40" s="1" t="str">
        <f ca="1">IF(Información1[[#This Row],[Fecha]]='Ajuste de fechas'!$A$2,"Día actual","Día anterior")</f>
        <v>Día anterior</v>
      </c>
      <c r="C40" t="s">
        <v>63</v>
      </c>
      <c r="D40" t="s">
        <v>64</v>
      </c>
      <c r="E40" t="s">
        <v>163</v>
      </c>
      <c r="F40" t="s">
        <v>19</v>
      </c>
      <c r="G40" t="s">
        <v>148</v>
      </c>
      <c r="H40" t="s">
        <v>11</v>
      </c>
      <c r="I40" t="s">
        <v>7</v>
      </c>
      <c r="J40" t="s">
        <v>43</v>
      </c>
      <c r="K40" t="s">
        <v>65</v>
      </c>
      <c r="L40" t="s">
        <v>40</v>
      </c>
      <c r="M40">
        <v>1</v>
      </c>
    </row>
    <row r="41" spans="1:13" x14ac:dyDescent="0.35">
      <c r="A41" s="2">
        <v>46183</v>
      </c>
      <c r="B41" s="1" t="str">
        <f ca="1">IF(Información1[[#This Row],[Fecha]]='Ajuste de fechas'!$A$2,"Día actual","Día anterior")</f>
        <v>Día anterior</v>
      </c>
      <c r="C41" t="s">
        <v>63</v>
      </c>
      <c r="D41" t="s">
        <v>64</v>
      </c>
      <c r="E41" t="s">
        <v>164</v>
      </c>
      <c r="F41" t="s">
        <v>19</v>
      </c>
      <c r="G41" t="s">
        <v>160</v>
      </c>
      <c r="H41" t="s">
        <v>11</v>
      </c>
      <c r="I41" t="s">
        <v>25</v>
      </c>
      <c r="J41" t="s">
        <v>43</v>
      </c>
      <c r="K41" t="s">
        <v>65</v>
      </c>
      <c r="L41" t="s">
        <v>41</v>
      </c>
      <c r="M41">
        <v>1</v>
      </c>
    </row>
    <row r="42" spans="1:13" x14ac:dyDescent="0.35">
      <c r="A42" s="2">
        <v>46183</v>
      </c>
      <c r="B42" s="1" t="str">
        <f ca="1">IF(Información1[[#This Row],[Fecha]]='Ajuste de fechas'!$A$2,"Día actual","Día anterior")</f>
        <v>Día anterior</v>
      </c>
      <c r="C42" t="s">
        <v>63</v>
      </c>
      <c r="D42" t="s">
        <v>64</v>
      </c>
      <c r="E42" t="s">
        <v>165</v>
      </c>
      <c r="F42" t="s">
        <v>19</v>
      </c>
      <c r="G42" t="s">
        <v>166</v>
      </c>
      <c r="H42" t="s">
        <v>11</v>
      </c>
      <c r="I42" t="s">
        <v>7</v>
      </c>
      <c r="J42" t="s">
        <v>43</v>
      </c>
      <c r="K42" t="s">
        <v>65</v>
      </c>
      <c r="L42" t="s">
        <v>40</v>
      </c>
      <c r="M42">
        <v>1</v>
      </c>
    </row>
    <row r="43" spans="1:13" x14ac:dyDescent="0.35">
      <c r="A43" s="2">
        <v>46183</v>
      </c>
      <c r="B43" s="1" t="str">
        <f ca="1">IF(Información1[[#This Row],[Fecha]]='Ajuste de fechas'!$A$2,"Día actual","Día anterior")</f>
        <v>Día anterior</v>
      </c>
      <c r="C43" t="s">
        <v>63</v>
      </c>
      <c r="D43" t="s">
        <v>64</v>
      </c>
      <c r="E43" t="s">
        <v>167</v>
      </c>
      <c r="F43" t="s">
        <v>15</v>
      </c>
      <c r="G43" t="s">
        <v>168</v>
      </c>
      <c r="H43" t="s">
        <v>11</v>
      </c>
      <c r="I43" t="s">
        <v>7</v>
      </c>
      <c r="J43" t="s">
        <v>39</v>
      </c>
      <c r="K43" t="s">
        <v>65</v>
      </c>
      <c r="L43" t="s">
        <v>40</v>
      </c>
      <c r="M43">
        <v>1</v>
      </c>
    </row>
    <row r="44" spans="1:13" x14ac:dyDescent="0.35">
      <c r="A44" s="2">
        <v>46183</v>
      </c>
      <c r="B44" s="1" t="str">
        <f ca="1">IF(Información1[[#This Row],[Fecha]]='Ajuste de fechas'!$A$2,"Día actual","Día anterior")</f>
        <v>Día anterior</v>
      </c>
      <c r="C44" t="s">
        <v>63</v>
      </c>
      <c r="D44" t="s">
        <v>64</v>
      </c>
      <c r="E44" t="s">
        <v>132</v>
      </c>
      <c r="F44" t="s">
        <v>72</v>
      </c>
      <c r="G44" t="s">
        <v>95</v>
      </c>
      <c r="H44" t="s">
        <v>11</v>
      </c>
      <c r="I44" t="s">
        <v>7</v>
      </c>
      <c r="J44" t="s">
        <v>39</v>
      </c>
      <c r="K44" t="s">
        <v>65</v>
      </c>
      <c r="L44" t="s">
        <v>42</v>
      </c>
      <c r="M44">
        <v>1</v>
      </c>
    </row>
    <row r="45" spans="1:13" x14ac:dyDescent="0.35">
      <c r="A45" s="2">
        <v>46183</v>
      </c>
      <c r="B45" s="1" t="str">
        <f ca="1">IF(Información1[[#This Row],[Fecha]]='Ajuste de fechas'!$A$2,"Día actual","Día anterior")</f>
        <v>Día anterior</v>
      </c>
      <c r="C45" t="s">
        <v>63</v>
      </c>
      <c r="D45" t="s">
        <v>64</v>
      </c>
      <c r="E45" t="s">
        <v>169</v>
      </c>
      <c r="F45" t="s">
        <v>6</v>
      </c>
      <c r="G45" t="s">
        <v>95</v>
      </c>
      <c r="H45" t="s">
        <v>11</v>
      </c>
      <c r="I45" t="s">
        <v>7</v>
      </c>
      <c r="J45" t="s">
        <v>39</v>
      </c>
      <c r="K45" t="s">
        <v>65</v>
      </c>
      <c r="L45" t="s">
        <v>40</v>
      </c>
      <c r="M45">
        <v>1</v>
      </c>
    </row>
    <row r="46" spans="1:13" x14ac:dyDescent="0.35">
      <c r="A46" s="2">
        <v>46183</v>
      </c>
      <c r="B46" s="1" t="str">
        <f ca="1">IF(Información1[[#This Row],[Fecha]]='Ajuste de fechas'!$A$2,"Día actual","Día anterior")</f>
        <v>Día anterior</v>
      </c>
      <c r="C46" t="s">
        <v>29</v>
      </c>
      <c r="D46" t="s">
        <v>30</v>
      </c>
      <c r="E46" t="s">
        <v>170</v>
      </c>
      <c r="F46" t="s">
        <v>21</v>
      </c>
      <c r="G46" t="s">
        <v>53</v>
      </c>
      <c r="H46" t="s">
        <v>59</v>
      </c>
      <c r="I46" t="s">
        <v>7</v>
      </c>
      <c r="J46" t="s">
        <v>39</v>
      </c>
      <c r="K46" t="s">
        <v>27</v>
      </c>
      <c r="L46" t="s">
        <v>40</v>
      </c>
      <c r="M46">
        <v>1</v>
      </c>
    </row>
    <row r="47" spans="1:13" x14ac:dyDescent="0.35">
      <c r="A47" s="2">
        <v>46183</v>
      </c>
      <c r="B47" s="1" t="str">
        <f ca="1">IF(Información1[[#This Row],[Fecha]]='Ajuste de fechas'!$A$2,"Día actual","Día anterior")</f>
        <v>Día anterior</v>
      </c>
      <c r="C47" t="s">
        <v>29</v>
      </c>
      <c r="D47" t="s">
        <v>30</v>
      </c>
      <c r="E47" t="s">
        <v>131</v>
      </c>
      <c r="F47" t="s">
        <v>99</v>
      </c>
      <c r="G47" t="s">
        <v>100</v>
      </c>
      <c r="H47" t="s">
        <v>59</v>
      </c>
      <c r="I47" t="s">
        <v>7</v>
      </c>
      <c r="J47" t="s">
        <v>39</v>
      </c>
      <c r="K47" t="s">
        <v>27</v>
      </c>
      <c r="L47" t="s">
        <v>42</v>
      </c>
      <c r="M47">
        <v>1</v>
      </c>
    </row>
    <row r="48" spans="1:13" x14ac:dyDescent="0.35">
      <c r="A48" s="2">
        <v>46183</v>
      </c>
      <c r="B48" s="1" t="str">
        <f ca="1">IF(Información1[[#This Row],[Fecha]]='Ajuste de fechas'!$A$2,"Día actual","Día anterior")</f>
        <v>Día anterior</v>
      </c>
      <c r="C48" t="s">
        <v>29</v>
      </c>
      <c r="D48" t="s">
        <v>30</v>
      </c>
      <c r="E48" t="s">
        <v>142</v>
      </c>
      <c r="F48" t="s">
        <v>21</v>
      </c>
      <c r="G48" t="s">
        <v>119</v>
      </c>
      <c r="H48" t="s">
        <v>59</v>
      </c>
      <c r="I48" t="s">
        <v>7</v>
      </c>
      <c r="J48" t="s">
        <v>39</v>
      </c>
      <c r="K48" t="s">
        <v>27</v>
      </c>
      <c r="L48" t="s">
        <v>42</v>
      </c>
      <c r="M48">
        <v>1</v>
      </c>
    </row>
    <row r="49" spans="1:13" x14ac:dyDescent="0.35">
      <c r="A49" s="2">
        <v>46183</v>
      </c>
      <c r="B49" s="1" t="str">
        <f ca="1">IF(Información1[[#This Row],[Fecha]]='Ajuste de fechas'!$A$2,"Día actual","Día anterior")</f>
        <v>Día anterior</v>
      </c>
      <c r="C49" t="s">
        <v>29</v>
      </c>
      <c r="D49" t="s">
        <v>30</v>
      </c>
      <c r="E49" t="s">
        <v>171</v>
      </c>
      <c r="F49" t="s">
        <v>26</v>
      </c>
      <c r="G49" t="s">
        <v>172</v>
      </c>
      <c r="H49" t="s">
        <v>59</v>
      </c>
      <c r="I49" t="s">
        <v>7</v>
      </c>
      <c r="J49" t="s">
        <v>39</v>
      </c>
      <c r="K49" t="s">
        <v>27</v>
      </c>
      <c r="L49" t="s">
        <v>40</v>
      </c>
      <c r="M49">
        <v>1</v>
      </c>
    </row>
    <row r="50" spans="1:13" x14ac:dyDescent="0.35">
      <c r="A50" s="2">
        <v>46183</v>
      </c>
      <c r="B50" s="1" t="str">
        <f ca="1">IF(Información1[[#This Row],[Fecha]]='Ajuste de fechas'!$A$2,"Día actual","Día anterior")</f>
        <v>Día anterior</v>
      </c>
      <c r="C50" t="s">
        <v>29</v>
      </c>
      <c r="D50" t="s">
        <v>30</v>
      </c>
      <c r="E50" t="s">
        <v>173</v>
      </c>
      <c r="F50" t="s">
        <v>15</v>
      </c>
      <c r="G50" t="s">
        <v>174</v>
      </c>
      <c r="H50" t="s">
        <v>59</v>
      </c>
      <c r="I50" t="s">
        <v>7</v>
      </c>
      <c r="J50" t="s">
        <v>39</v>
      </c>
      <c r="K50" t="s">
        <v>27</v>
      </c>
      <c r="L50" t="s">
        <v>40</v>
      </c>
      <c r="M50">
        <v>1</v>
      </c>
    </row>
    <row r="51" spans="1:13" x14ac:dyDescent="0.35">
      <c r="A51" s="2">
        <v>46183</v>
      </c>
      <c r="B51" s="1" t="str">
        <f ca="1">IF(Información1[[#This Row],[Fecha]]='Ajuste de fechas'!$A$2,"Día actual","Día anterior")</f>
        <v>Día anterior</v>
      </c>
      <c r="C51" t="s">
        <v>29</v>
      </c>
      <c r="D51" t="s">
        <v>30</v>
      </c>
      <c r="E51" t="s">
        <v>175</v>
      </c>
      <c r="F51" t="s">
        <v>19</v>
      </c>
      <c r="G51" t="s">
        <v>176</v>
      </c>
      <c r="H51" t="s">
        <v>59</v>
      </c>
      <c r="I51" t="s">
        <v>7</v>
      </c>
      <c r="J51" t="s">
        <v>43</v>
      </c>
      <c r="K51" t="s">
        <v>27</v>
      </c>
      <c r="L51" t="s">
        <v>40</v>
      </c>
      <c r="M51">
        <v>1</v>
      </c>
    </row>
    <row r="52" spans="1:13" x14ac:dyDescent="0.35">
      <c r="A52" s="2">
        <v>46183</v>
      </c>
      <c r="B52" s="1" t="str">
        <f ca="1">IF(Información1[[#This Row],[Fecha]]='Ajuste de fechas'!$A$2,"Día actual","Día anterior")</f>
        <v>Día anterior</v>
      </c>
      <c r="C52" t="s">
        <v>29</v>
      </c>
      <c r="D52" t="s">
        <v>30</v>
      </c>
      <c r="E52" t="s">
        <v>177</v>
      </c>
      <c r="F52" t="s">
        <v>19</v>
      </c>
      <c r="G52" t="s">
        <v>178</v>
      </c>
      <c r="H52" t="s">
        <v>59</v>
      </c>
      <c r="I52" t="s">
        <v>7</v>
      </c>
      <c r="J52" t="s">
        <v>43</v>
      </c>
      <c r="K52" t="s">
        <v>27</v>
      </c>
      <c r="L52" t="s">
        <v>40</v>
      </c>
      <c r="M52">
        <v>1</v>
      </c>
    </row>
    <row r="53" spans="1:13" x14ac:dyDescent="0.35">
      <c r="A53" s="2">
        <v>46183</v>
      </c>
      <c r="B53" s="1" t="str">
        <f ca="1">IF(Información1[[#This Row],[Fecha]]='Ajuste de fechas'!$A$2,"Día actual","Día anterior")</f>
        <v>Día anterior</v>
      </c>
      <c r="C53" t="s">
        <v>29</v>
      </c>
      <c r="D53" t="s">
        <v>30</v>
      </c>
      <c r="E53" t="s">
        <v>179</v>
      </c>
      <c r="F53" t="s">
        <v>31</v>
      </c>
      <c r="G53" t="s">
        <v>123</v>
      </c>
      <c r="H53" t="s">
        <v>59</v>
      </c>
      <c r="I53" t="s">
        <v>7</v>
      </c>
      <c r="J53" t="s">
        <v>39</v>
      </c>
      <c r="K53" t="s">
        <v>27</v>
      </c>
      <c r="L53" t="s">
        <v>42</v>
      </c>
      <c r="M53">
        <v>1</v>
      </c>
    </row>
    <row r="54" spans="1:13" x14ac:dyDescent="0.35">
      <c r="A54" s="2">
        <v>46183</v>
      </c>
      <c r="B54" s="1" t="str">
        <f ca="1">IF(Información1[[#This Row],[Fecha]]='Ajuste de fechas'!$A$2,"Día actual","Día anterior")</f>
        <v>Día anterior</v>
      </c>
      <c r="C54" t="s">
        <v>29</v>
      </c>
      <c r="D54" t="s">
        <v>30</v>
      </c>
      <c r="E54" t="s">
        <v>180</v>
      </c>
      <c r="F54" t="s">
        <v>56</v>
      </c>
      <c r="G54" t="s">
        <v>117</v>
      </c>
      <c r="H54" t="s">
        <v>59</v>
      </c>
      <c r="I54" t="s">
        <v>7</v>
      </c>
      <c r="J54" t="s">
        <v>24</v>
      </c>
      <c r="K54" t="s">
        <v>27</v>
      </c>
      <c r="L54" t="s">
        <v>40</v>
      </c>
      <c r="M54">
        <v>1</v>
      </c>
    </row>
    <row r="55" spans="1:13" x14ac:dyDescent="0.35">
      <c r="A55" s="2">
        <v>46183</v>
      </c>
      <c r="B55" s="1" t="str">
        <f ca="1">IF(Información1[[#This Row],[Fecha]]='Ajuste de fechas'!$A$2,"Día actual","Día anterior")</f>
        <v>Día anterior</v>
      </c>
      <c r="C55" t="s">
        <v>29</v>
      </c>
      <c r="D55" t="s">
        <v>30</v>
      </c>
      <c r="E55" t="s">
        <v>134</v>
      </c>
      <c r="F55" t="s">
        <v>26</v>
      </c>
      <c r="G55" t="s">
        <v>128</v>
      </c>
      <c r="H55" t="s">
        <v>59</v>
      </c>
      <c r="I55" t="s">
        <v>7</v>
      </c>
      <c r="J55" t="s">
        <v>39</v>
      </c>
      <c r="K55" t="s">
        <v>27</v>
      </c>
      <c r="L55" t="s">
        <v>42</v>
      </c>
      <c r="M55">
        <v>1</v>
      </c>
    </row>
    <row r="56" spans="1:13" x14ac:dyDescent="0.35">
      <c r="A56" s="2">
        <v>46183</v>
      </c>
      <c r="B56" s="1" t="str">
        <f ca="1">IF(Información1[[#This Row],[Fecha]]='Ajuste de fechas'!$A$2,"Día actual","Día anterior")</f>
        <v>Día anterior</v>
      </c>
      <c r="C56" t="s">
        <v>29</v>
      </c>
      <c r="D56" t="s">
        <v>30</v>
      </c>
      <c r="E56" t="s">
        <v>181</v>
      </c>
      <c r="F56" t="s">
        <v>72</v>
      </c>
      <c r="G56" t="s">
        <v>95</v>
      </c>
      <c r="H56" t="s">
        <v>59</v>
      </c>
      <c r="I56" t="s">
        <v>7</v>
      </c>
      <c r="J56" t="s">
        <v>39</v>
      </c>
      <c r="K56" t="s">
        <v>27</v>
      </c>
      <c r="L56" t="s">
        <v>42</v>
      </c>
      <c r="M56">
        <v>1</v>
      </c>
    </row>
    <row r="57" spans="1:13" x14ac:dyDescent="0.35">
      <c r="A57" s="2">
        <v>46183</v>
      </c>
      <c r="B57" s="1" t="str">
        <f ca="1">IF(Información1[[#This Row],[Fecha]]='Ajuste de fechas'!$A$2,"Día actual","Día anterior")</f>
        <v>Día anterior</v>
      </c>
      <c r="C57" t="s">
        <v>29</v>
      </c>
      <c r="D57" t="s">
        <v>30</v>
      </c>
      <c r="E57" t="s">
        <v>182</v>
      </c>
      <c r="F57" t="s">
        <v>72</v>
      </c>
      <c r="G57" t="s">
        <v>74</v>
      </c>
      <c r="H57" t="s">
        <v>59</v>
      </c>
      <c r="I57" t="s">
        <v>7</v>
      </c>
      <c r="J57" t="s">
        <v>39</v>
      </c>
      <c r="K57" t="s">
        <v>27</v>
      </c>
      <c r="L57" t="s">
        <v>42</v>
      </c>
      <c r="M57">
        <v>1</v>
      </c>
    </row>
    <row r="58" spans="1:13" x14ac:dyDescent="0.35">
      <c r="A58" s="2">
        <v>46183</v>
      </c>
      <c r="B58" s="1" t="str">
        <f ca="1">IF(Información1[[#This Row],[Fecha]]='Ajuste de fechas'!$A$2,"Día actual","Día anterior")</f>
        <v>Día anterior</v>
      </c>
      <c r="C58" t="s">
        <v>29</v>
      </c>
      <c r="D58" t="s">
        <v>30</v>
      </c>
      <c r="E58" t="s">
        <v>183</v>
      </c>
      <c r="F58" t="s">
        <v>15</v>
      </c>
      <c r="G58" t="s">
        <v>61</v>
      </c>
      <c r="H58" t="s">
        <v>59</v>
      </c>
      <c r="I58" t="s">
        <v>7</v>
      </c>
      <c r="J58" t="s">
        <v>39</v>
      </c>
      <c r="K58" t="s">
        <v>27</v>
      </c>
      <c r="L58" t="s">
        <v>40</v>
      </c>
      <c r="M58">
        <v>1</v>
      </c>
    </row>
    <row r="59" spans="1:13" x14ac:dyDescent="0.35">
      <c r="A59" s="2">
        <v>46183</v>
      </c>
      <c r="B59" s="1" t="str">
        <f ca="1">IF(Información1[[#This Row],[Fecha]]='Ajuste de fechas'!$A$2,"Día actual","Día anterior")</f>
        <v>Día anterior</v>
      </c>
      <c r="C59" t="s">
        <v>29</v>
      </c>
      <c r="D59" t="s">
        <v>30</v>
      </c>
      <c r="E59" t="s">
        <v>184</v>
      </c>
      <c r="F59" t="s">
        <v>15</v>
      </c>
      <c r="G59" t="s">
        <v>53</v>
      </c>
      <c r="H59" t="s">
        <v>59</v>
      </c>
      <c r="I59" t="s">
        <v>7</v>
      </c>
      <c r="J59" t="s">
        <v>39</v>
      </c>
      <c r="K59" t="s">
        <v>27</v>
      </c>
      <c r="L59" t="s">
        <v>40</v>
      </c>
      <c r="M59">
        <v>1</v>
      </c>
    </row>
    <row r="60" spans="1:13" x14ac:dyDescent="0.35">
      <c r="A60" s="2">
        <v>46183</v>
      </c>
      <c r="B60" s="1" t="str">
        <f ca="1">IF(Información1[[#This Row],[Fecha]]='Ajuste de fechas'!$A$2,"Día actual","Día anterior")</f>
        <v>Día anterior</v>
      </c>
      <c r="C60" t="s">
        <v>8</v>
      </c>
      <c r="D60" t="s">
        <v>10</v>
      </c>
      <c r="E60" t="s">
        <v>185</v>
      </c>
      <c r="F60" t="s">
        <v>6</v>
      </c>
      <c r="G60" t="s">
        <v>83</v>
      </c>
      <c r="H60" t="s">
        <v>11</v>
      </c>
      <c r="I60" t="s">
        <v>25</v>
      </c>
      <c r="J60" t="s">
        <v>39</v>
      </c>
      <c r="K60" t="s">
        <v>9</v>
      </c>
      <c r="L60" t="s">
        <v>41</v>
      </c>
      <c r="M60">
        <v>1</v>
      </c>
    </row>
    <row r="61" spans="1:13" x14ac:dyDescent="0.35">
      <c r="A61" s="2">
        <v>46183</v>
      </c>
      <c r="B61" s="1" t="str">
        <f ca="1">IF(Información1[[#This Row],[Fecha]]='Ajuste de fechas'!$A$2,"Día actual","Día anterior")</f>
        <v>Día anterior</v>
      </c>
      <c r="C61" t="s">
        <v>28</v>
      </c>
      <c r="D61" t="s">
        <v>70</v>
      </c>
      <c r="E61" t="s">
        <v>186</v>
      </c>
      <c r="F61" t="s">
        <v>22</v>
      </c>
      <c r="G61" t="s">
        <v>82</v>
      </c>
      <c r="H61" t="s">
        <v>11</v>
      </c>
      <c r="I61" t="s">
        <v>7</v>
      </c>
      <c r="J61" t="s">
        <v>44</v>
      </c>
      <c r="K61" t="s">
        <v>71</v>
      </c>
      <c r="L61" t="s">
        <v>40</v>
      </c>
      <c r="M61">
        <v>1</v>
      </c>
    </row>
    <row r="62" spans="1:13" x14ac:dyDescent="0.35">
      <c r="A62" s="2">
        <v>46183</v>
      </c>
      <c r="B62" s="1" t="str">
        <f ca="1">IF(Información1[[#This Row],[Fecha]]='Ajuste de fechas'!$A$2,"Día actual","Día anterior")</f>
        <v>Día anterior</v>
      </c>
      <c r="C62" t="s">
        <v>8</v>
      </c>
      <c r="D62" t="s">
        <v>10</v>
      </c>
      <c r="E62" t="s">
        <v>187</v>
      </c>
      <c r="F62" t="s">
        <v>6</v>
      </c>
      <c r="G62" t="s">
        <v>98</v>
      </c>
      <c r="H62" t="s">
        <v>11</v>
      </c>
      <c r="I62" t="s">
        <v>12</v>
      </c>
      <c r="J62" t="s">
        <v>39</v>
      </c>
      <c r="K62" t="s">
        <v>9</v>
      </c>
      <c r="L62" t="s">
        <v>41</v>
      </c>
      <c r="M62">
        <v>1</v>
      </c>
    </row>
    <row r="63" spans="1:13" x14ac:dyDescent="0.35">
      <c r="A63" s="2">
        <v>46183</v>
      </c>
      <c r="B63" s="1" t="str">
        <f ca="1">IF(Información1[[#This Row],[Fecha]]='Ajuste de fechas'!$A$2,"Día actual","Día anterior")</f>
        <v>Día anterior</v>
      </c>
      <c r="C63" t="s">
        <v>8</v>
      </c>
      <c r="D63" t="s">
        <v>10</v>
      </c>
      <c r="E63" t="s">
        <v>93</v>
      </c>
      <c r="F63" t="s">
        <v>78</v>
      </c>
      <c r="G63" t="s">
        <v>94</v>
      </c>
      <c r="H63" t="s">
        <v>11</v>
      </c>
      <c r="I63" t="s">
        <v>7</v>
      </c>
      <c r="J63" t="s">
        <v>39</v>
      </c>
      <c r="K63" t="s">
        <v>14</v>
      </c>
      <c r="L63" t="s">
        <v>42</v>
      </c>
      <c r="M63">
        <v>1</v>
      </c>
    </row>
    <row r="64" spans="1:13" x14ac:dyDescent="0.35">
      <c r="A64" s="2">
        <v>46183</v>
      </c>
      <c r="B64" s="1" t="str">
        <f ca="1">IF(Información1[[#This Row],[Fecha]]='Ajuste de fechas'!$A$2,"Día actual","Día anterior")</f>
        <v>Día anterior</v>
      </c>
      <c r="C64" t="s">
        <v>8</v>
      </c>
      <c r="D64" t="s">
        <v>10</v>
      </c>
      <c r="E64" t="s">
        <v>188</v>
      </c>
      <c r="F64" t="s">
        <v>48</v>
      </c>
      <c r="G64" t="s">
        <v>189</v>
      </c>
      <c r="H64" t="s">
        <v>11</v>
      </c>
      <c r="I64" t="s">
        <v>12</v>
      </c>
      <c r="J64" t="s">
        <v>39</v>
      </c>
      <c r="K64" t="s">
        <v>9</v>
      </c>
      <c r="L64" t="s">
        <v>41</v>
      </c>
      <c r="M64">
        <v>1</v>
      </c>
    </row>
    <row r="65" spans="1:13" x14ac:dyDescent="0.35">
      <c r="A65" s="2">
        <v>46183</v>
      </c>
      <c r="B65" s="1" t="str">
        <f ca="1">IF(Información1[[#This Row],[Fecha]]='Ajuste de fechas'!$A$2,"Día actual","Día anterior")</f>
        <v>Día anterior</v>
      </c>
      <c r="C65" t="s">
        <v>8</v>
      </c>
      <c r="D65" t="s">
        <v>10</v>
      </c>
      <c r="E65" t="s">
        <v>190</v>
      </c>
      <c r="F65" t="s">
        <v>6</v>
      </c>
      <c r="G65" t="s">
        <v>95</v>
      </c>
      <c r="H65" t="s">
        <v>11</v>
      </c>
      <c r="I65" t="s">
        <v>7</v>
      </c>
      <c r="J65" t="s">
        <v>39</v>
      </c>
      <c r="K65" t="s">
        <v>14</v>
      </c>
      <c r="L65" t="s">
        <v>42</v>
      </c>
      <c r="M65">
        <v>1</v>
      </c>
    </row>
    <row r="66" spans="1:13" x14ac:dyDescent="0.35">
      <c r="A66" s="2">
        <v>46183</v>
      </c>
      <c r="B66" s="1" t="str">
        <f ca="1">IF(Información1[[#This Row],[Fecha]]='Ajuste de fechas'!$A$2,"Día actual","Día anterior")</f>
        <v>Día anterior</v>
      </c>
      <c r="C66" t="s">
        <v>8</v>
      </c>
      <c r="D66" t="s">
        <v>10</v>
      </c>
      <c r="E66" t="s">
        <v>20</v>
      </c>
      <c r="F66" t="s">
        <v>19</v>
      </c>
      <c r="G66" t="s">
        <v>32</v>
      </c>
      <c r="H66" t="s">
        <v>11</v>
      </c>
      <c r="I66" t="s">
        <v>12</v>
      </c>
      <c r="J66" t="s">
        <v>43</v>
      </c>
      <c r="K66" t="s">
        <v>14</v>
      </c>
      <c r="L66" t="s">
        <v>41</v>
      </c>
      <c r="M66">
        <v>1</v>
      </c>
    </row>
    <row r="67" spans="1:13" x14ac:dyDescent="0.35">
      <c r="A67" s="2">
        <v>46183</v>
      </c>
      <c r="B67" s="1" t="str">
        <f ca="1">IF(Información1[[#This Row],[Fecha]]='Ajuste de fechas'!$A$2,"Día actual","Día anterior")</f>
        <v>Día anterior</v>
      </c>
      <c r="C67" t="s">
        <v>8</v>
      </c>
      <c r="D67" t="s">
        <v>10</v>
      </c>
      <c r="E67" t="s">
        <v>18</v>
      </c>
      <c r="F67" t="s">
        <v>19</v>
      </c>
      <c r="G67" t="s">
        <v>32</v>
      </c>
      <c r="H67" t="s">
        <v>11</v>
      </c>
      <c r="I67" t="s">
        <v>12</v>
      </c>
      <c r="J67" t="s">
        <v>43</v>
      </c>
      <c r="K67" t="s">
        <v>14</v>
      </c>
      <c r="L67" t="s">
        <v>41</v>
      </c>
      <c r="M67">
        <v>1</v>
      </c>
    </row>
    <row r="68" spans="1:13" x14ac:dyDescent="0.35">
      <c r="A68" s="2">
        <v>46183</v>
      </c>
      <c r="B68" s="1" t="str">
        <f ca="1">IF(Información1[[#This Row],[Fecha]]='Ajuste de fechas'!$A$2,"Día actual","Día anterior")</f>
        <v>Día anterior</v>
      </c>
      <c r="C68" t="s">
        <v>8</v>
      </c>
      <c r="D68" t="s">
        <v>10</v>
      </c>
      <c r="E68" t="s">
        <v>54</v>
      </c>
      <c r="F68" t="s">
        <v>21</v>
      </c>
      <c r="G68" t="s">
        <v>32</v>
      </c>
      <c r="H68" t="s">
        <v>11</v>
      </c>
      <c r="I68" t="s">
        <v>12</v>
      </c>
      <c r="J68" t="s">
        <v>39</v>
      </c>
      <c r="K68" t="s">
        <v>14</v>
      </c>
      <c r="L68" t="s">
        <v>41</v>
      </c>
      <c r="M68">
        <v>1</v>
      </c>
    </row>
    <row r="69" spans="1:13" x14ac:dyDescent="0.35">
      <c r="A69" s="2">
        <v>46183</v>
      </c>
      <c r="B69" s="1" t="str">
        <f ca="1">IF(Información1[[#This Row],[Fecha]]='Ajuste de fechas'!$A$2,"Día actual","Día anterior")</f>
        <v>Día anterior</v>
      </c>
      <c r="C69" t="s">
        <v>8</v>
      </c>
      <c r="D69" t="s">
        <v>10</v>
      </c>
      <c r="E69" t="s">
        <v>77</v>
      </c>
      <c r="F69" t="s">
        <v>56</v>
      </c>
      <c r="G69" t="s">
        <v>32</v>
      </c>
      <c r="H69" t="s">
        <v>11</v>
      </c>
      <c r="I69" t="s">
        <v>12</v>
      </c>
      <c r="J69" t="s">
        <v>24</v>
      </c>
      <c r="K69" t="s">
        <v>14</v>
      </c>
      <c r="L69" t="s">
        <v>41</v>
      </c>
      <c r="M69">
        <v>1</v>
      </c>
    </row>
    <row r="70" spans="1:13" x14ac:dyDescent="0.35">
      <c r="A70" s="2">
        <v>46183</v>
      </c>
      <c r="B70" s="1" t="str">
        <f ca="1">IF(Información1[[#This Row],[Fecha]]='Ajuste de fechas'!$A$2,"Día actual","Día anterior")</f>
        <v>Día anterior</v>
      </c>
      <c r="C70" t="s">
        <v>8</v>
      </c>
      <c r="D70" t="s">
        <v>10</v>
      </c>
      <c r="E70" t="s">
        <v>13</v>
      </c>
      <c r="F70" t="s">
        <v>15</v>
      </c>
      <c r="G70" t="s">
        <v>32</v>
      </c>
      <c r="H70" t="s">
        <v>11</v>
      </c>
      <c r="I70" t="s">
        <v>12</v>
      </c>
      <c r="J70" t="s">
        <v>39</v>
      </c>
      <c r="K70" t="s">
        <v>14</v>
      </c>
      <c r="L70" t="s">
        <v>41</v>
      </c>
      <c r="M70">
        <v>1</v>
      </c>
    </row>
    <row r="71" spans="1:13" x14ac:dyDescent="0.35">
      <c r="A71" s="2">
        <v>46183</v>
      </c>
      <c r="B71" s="1" t="str">
        <f ca="1">IF(Información1[[#This Row],[Fecha]]='Ajuste de fechas'!$A$2,"Día actual","Día anterior")</f>
        <v>Día anterior</v>
      </c>
      <c r="C71" t="s">
        <v>8</v>
      </c>
      <c r="D71" t="s">
        <v>10</v>
      </c>
      <c r="E71" t="s">
        <v>16</v>
      </c>
      <c r="F71" t="s">
        <v>17</v>
      </c>
      <c r="G71" t="s">
        <v>32</v>
      </c>
      <c r="H71" t="s">
        <v>11</v>
      </c>
      <c r="I71" t="s">
        <v>12</v>
      </c>
      <c r="J71" t="s">
        <v>39</v>
      </c>
      <c r="K71" t="s">
        <v>14</v>
      </c>
      <c r="L71" t="s">
        <v>41</v>
      </c>
      <c r="M71">
        <v>1</v>
      </c>
    </row>
    <row r="72" spans="1:13" x14ac:dyDescent="0.35">
      <c r="A72" s="2">
        <v>46183</v>
      </c>
      <c r="B72" s="1" t="str">
        <f ca="1">IF(Información1[[#This Row],[Fecha]]='Ajuste de fechas'!$A$2,"Día actual","Día anterior")</f>
        <v>Día anterior</v>
      </c>
      <c r="C72" t="s">
        <v>8</v>
      </c>
      <c r="D72" t="s">
        <v>10</v>
      </c>
      <c r="E72" t="s">
        <v>55</v>
      </c>
      <c r="F72" t="s">
        <v>6</v>
      </c>
      <c r="G72" t="s">
        <v>32</v>
      </c>
      <c r="H72" t="s">
        <v>11</v>
      </c>
      <c r="I72" t="s">
        <v>12</v>
      </c>
      <c r="J72" t="s">
        <v>39</v>
      </c>
      <c r="K72" t="s">
        <v>14</v>
      </c>
      <c r="L72" t="s">
        <v>41</v>
      </c>
      <c r="M72">
        <v>1</v>
      </c>
    </row>
    <row r="73" spans="1:13" x14ac:dyDescent="0.35">
      <c r="A73" s="2">
        <v>46183</v>
      </c>
      <c r="B73" s="1" t="str">
        <f ca="1">IF(Información1[[#This Row],[Fecha]]='Ajuste de fechas'!$A$2,"Día actual","Día anterior")</f>
        <v>Día anterior</v>
      </c>
      <c r="C73" t="s">
        <v>28</v>
      </c>
      <c r="D73" t="s">
        <v>70</v>
      </c>
      <c r="E73" t="s">
        <v>191</v>
      </c>
      <c r="F73" t="s">
        <v>22</v>
      </c>
      <c r="G73" t="s">
        <v>192</v>
      </c>
      <c r="H73" t="s">
        <v>11</v>
      </c>
      <c r="I73" t="s">
        <v>7</v>
      </c>
      <c r="J73" t="s">
        <v>44</v>
      </c>
      <c r="K73" t="s">
        <v>71</v>
      </c>
      <c r="L73" t="s">
        <v>40</v>
      </c>
      <c r="M73">
        <v>1</v>
      </c>
    </row>
    <row r="74" spans="1:13" x14ac:dyDescent="0.35">
      <c r="A74" s="2">
        <v>46183</v>
      </c>
      <c r="B74" s="1" t="str">
        <f ca="1">IF(Información1[[#This Row],[Fecha]]='Ajuste de fechas'!$A$2,"Día actual","Día anterior")</f>
        <v>Día anterior</v>
      </c>
      <c r="C74" t="s">
        <v>8</v>
      </c>
      <c r="D74" t="s">
        <v>10</v>
      </c>
      <c r="E74" t="s">
        <v>193</v>
      </c>
      <c r="F74" t="s">
        <v>6</v>
      </c>
      <c r="G74" t="s">
        <v>194</v>
      </c>
      <c r="H74" t="s">
        <v>11</v>
      </c>
      <c r="I74" t="s">
        <v>25</v>
      </c>
      <c r="J74" t="s">
        <v>39</v>
      </c>
      <c r="K74" t="s">
        <v>9</v>
      </c>
      <c r="L74" t="s">
        <v>41</v>
      </c>
      <c r="M74">
        <v>1</v>
      </c>
    </row>
    <row r="75" spans="1:13" x14ac:dyDescent="0.35">
      <c r="A75" s="2">
        <v>46183</v>
      </c>
      <c r="B75" s="1" t="str">
        <f ca="1">IF(Información1[[#This Row],[Fecha]]='Ajuste de fechas'!$A$2,"Día actual","Día anterior")</f>
        <v>Día anterior</v>
      </c>
      <c r="C75" t="s">
        <v>90</v>
      </c>
      <c r="D75" t="s">
        <v>91</v>
      </c>
      <c r="E75" t="s">
        <v>195</v>
      </c>
      <c r="F75" t="s">
        <v>26</v>
      </c>
      <c r="G75" t="s">
        <v>128</v>
      </c>
      <c r="H75" t="s">
        <v>11</v>
      </c>
      <c r="I75" t="s">
        <v>7</v>
      </c>
      <c r="J75" t="s">
        <v>39</v>
      </c>
      <c r="K75" t="s">
        <v>92</v>
      </c>
      <c r="L75" t="s">
        <v>42</v>
      </c>
      <c r="M75">
        <v>1</v>
      </c>
    </row>
    <row r="76" spans="1:13" x14ac:dyDescent="0.35">
      <c r="A76" s="2">
        <v>46183</v>
      </c>
      <c r="B76" s="1" t="str">
        <f ca="1">IF(Información1[[#This Row],[Fecha]]='Ajuste de fechas'!$A$2,"Día actual","Día anterior")</f>
        <v>Día anterior</v>
      </c>
      <c r="C76" t="s">
        <v>28</v>
      </c>
      <c r="D76" t="s">
        <v>70</v>
      </c>
      <c r="E76" t="s">
        <v>195</v>
      </c>
      <c r="F76" t="s">
        <v>26</v>
      </c>
      <c r="G76" t="s">
        <v>128</v>
      </c>
      <c r="H76" t="s">
        <v>11</v>
      </c>
      <c r="I76" t="s">
        <v>7</v>
      </c>
      <c r="J76" t="s">
        <v>39</v>
      </c>
      <c r="K76" t="s">
        <v>71</v>
      </c>
      <c r="L76" t="s">
        <v>42</v>
      </c>
      <c r="M76">
        <v>1</v>
      </c>
    </row>
    <row r="77" spans="1:13" x14ac:dyDescent="0.35">
      <c r="A77" s="2">
        <v>46183</v>
      </c>
      <c r="B77" s="1" t="str">
        <f ca="1">IF(Información1[[#This Row],[Fecha]]='Ajuste de fechas'!$A$2,"Día actual","Día anterior")</f>
        <v>Día anterior</v>
      </c>
      <c r="C77" t="s">
        <v>8</v>
      </c>
      <c r="D77" t="s">
        <v>10</v>
      </c>
      <c r="E77" t="s">
        <v>196</v>
      </c>
      <c r="F77" t="s">
        <v>197</v>
      </c>
      <c r="G77" t="s">
        <v>117</v>
      </c>
      <c r="H77" t="s">
        <v>11</v>
      </c>
      <c r="I77" t="s">
        <v>7</v>
      </c>
      <c r="J77" t="s">
        <v>39</v>
      </c>
      <c r="K77" t="s">
        <v>14</v>
      </c>
      <c r="L77" t="s">
        <v>42</v>
      </c>
      <c r="M77">
        <v>1</v>
      </c>
    </row>
    <row r="78" spans="1:13" x14ac:dyDescent="0.35">
      <c r="A78" s="2">
        <v>46183</v>
      </c>
      <c r="B78" s="1" t="str">
        <f ca="1">IF(Información1[[#This Row],[Fecha]]='Ajuste de fechas'!$A$2,"Día actual","Día anterior")</f>
        <v>Día anterior</v>
      </c>
      <c r="C78" t="s">
        <v>8</v>
      </c>
      <c r="D78" t="s">
        <v>10</v>
      </c>
      <c r="E78" t="s">
        <v>196</v>
      </c>
      <c r="F78" t="s">
        <v>116</v>
      </c>
      <c r="G78" t="s">
        <v>117</v>
      </c>
      <c r="H78" t="s">
        <v>11</v>
      </c>
      <c r="I78" t="s">
        <v>7</v>
      </c>
      <c r="J78" t="s">
        <v>39</v>
      </c>
      <c r="K78" t="s">
        <v>14</v>
      </c>
      <c r="L78" t="s">
        <v>42</v>
      </c>
      <c r="M78">
        <v>1</v>
      </c>
    </row>
    <row r="79" spans="1:13" x14ac:dyDescent="0.35">
      <c r="A79" s="2">
        <v>46183</v>
      </c>
      <c r="B79" s="1" t="str">
        <f ca="1">IF(Información1[[#This Row],[Fecha]]='Ajuste de fechas'!$A$2,"Día actual","Día anterior")</f>
        <v>Día anterior</v>
      </c>
      <c r="C79" t="s">
        <v>8</v>
      </c>
      <c r="D79" t="s">
        <v>10</v>
      </c>
      <c r="E79" t="s">
        <v>198</v>
      </c>
      <c r="F79" t="s">
        <v>6</v>
      </c>
      <c r="G79" t="s">
        <v>75</v>
      </c>
      <c r="H79" t="s">
        <v>11</v>
      </c>
      <c r="I79" t="s">
        <v>25</v>
      </c>
      <c r="J79" t="s">
        <v>39</v>
      </c>
      <c r="K79" t="s">
        <v>9</v>
      </c>
      <c r="L79" t="s">
        <v>41</v>
      </c>
      <c r="M79">
        <v>1</v>
      </c>
    </row>
    <row r="80" spans="1:13" x14ac:dyDescent="0.35">
      <c r="A80" s="2">
        <v>46183</v>
      </c>
      <c r="B80" s="1" t="str">
        <f ca="1">IF(Información1[[#This Row],[Fecha]]='Ajuste de fechas'!$A$2,"Día actual","Día anterior")</f>
        <v>Día anterior</v>
      </c>
      <c r="C80" t="s">
        <v>8</v>
      </c>
      <c r="D80" t="s">
        <v>10</v>
      </c>
      <c r="E80" t="s">
        <v>199</v>
      </c>
      <c r="F80" t="s">
        <v>6</v>
      </c>
      <c r="G80" t="s">
        <v>75</v>
      </c>
      <c r="H80" t="s">
        <v>11</v>
      </c>
      <c r="I80" t="s">
        <v>25</v>
      </c>
      <c r="J80" t="s">
        <v>39</v>
      </c>
      <c r="K80" t="s">
        <v>9</v>
      </c>
      <c r="L80" t="s">
        <v>41</v>
      </c>
      <c r="M80">
        <v>1</v>
      </c>
    </row>
    <row r="81" spans="1:13" x14ac:dyDescent="0.35">
      <c r="A81" s="2">
        <v>46183</v>
      </c>
      <c r="B81" s="1" t="str">
        <f ca="1">IF(Información1[[#This Row],[Fecha]]='Ajuste de fechas'!$A$2,"Día actual","Día anterior")</f>
        <v>Día anterior</v>
      </c>
      <c r="C81" t="s">
        <v>28</v>
      </c>
      <c r="D81" t="s">
        <v>70</v>
      </c>
      <c r="E81" t="s">
        <v>200</v>
      </c>
      <c r="F81" t="s">
        <v>19</v>
      </c>
      <c r="G81" t="s">
        <v>201</v>
      </c>
      <c r="H81" t="s">
        <v>11</v>
      </c>
      <c r="I81" t="s">
        <v>7</v>
      </c>
      <c r="J81" t="s">
        <v>43</v>
      </c>
      <c r="K81" t="s">
        <v>71</v>
      </c>
      <c r="L81" t="s">
        <v>40</v>
      </c>
      <c r="M81">
        <v>1</v>
      </c>
    </row>
    <row r="82" spans="1:13" x14ac:dyDescent="0.35">
      <c r="A82" s="2">
        <v>46183</v>
      </c>
      <c r="B82" s="1" t="str">
        <f ca="1">IF(Información1[[#This Row],[Fecha]]='Ajuste de fechas'!$A$2,"Día actual","Día anterior")</f>
        <v>Día anterior</v>
      </c>
      <c r="C82" t="s">
        <v>90</v>
      </c>
      <c r="D82" t="s">
        <v>91</v>
      </c>
      <c r="E82" t="s">
        <v>142</v>
      </c>
      <c r="F82" t="s">
        <v>21</v>
      </c>
      <c r="G82" t="s">
        <v>119</v>
      </c>
      <c r="H82" t="s">
        <v>11</v>
      </c>
      <c r="I82" t="s">
        <v>7</v>
      </c>
      <c r="J82" t="s">
        <v>39</v>
      </c>
      <c r="K82" t="s">
        <v>92</v>
      </c>
      <c r="L82" t="s">
        <v>42</v>
      </c>
      <c r="M82">
        <v>1</v>
      </c>
    </row>
    <row r="83" spans="1:13" x14ac:dyDescent="0.35">
      <c r="A83" s="2">
        <v>46183</v>
      </c>
      <c r="B83" s="1" t="str">
        <f ca="1">IF(Información1[[#This Row],[Fecha]]='Ajuste de fechas'!$A$2,"Día actual","Día anterior")</f>
        <v>Día anterior</v>
      </c>
      <c r="C83" t="s">
        <v>8</v>
      </c>
      <c r="D83" t="s">
        <v>10</v>
      </c>
      <c r="E83" t="s">
        <v>202</v>
      </c>
      <c r="F83" t="s">
        <v>56</v>
      </c>
      <c r="G83" t="s">
        <v>96</v>
      </c>
      <c r="H83" t="s">
        <v>11</v>
      </c>
      <c r="I83" t="s">
        <v>7</v>
      </c>
      <c r="J83" t="s">
        <v>24</v>
      </c>
      <c r="K83" t="s">
        <v>14</v>
      </c>
      <c r="L83" t="s">
        <v>40</v>
      </c>
      <c r="M83">
        <v>1</v>
      </c>
    </row>
    <row r="84" spans="1:13" x14ac:dyDescent="0.35">
      <c r="A84" s="2">
        <v>46183</v>
      </c>
      <c r="B84" s="1" t="str">
        <f ca="1">IF(Información1[[#This Row],[Fecha]]='Ajuste de fechas'!$A$2,"Día actual","Día anterior")</f>
        <v>Día anterior</v>
      </c>
      <c r="C84" t="s">
        <v>8</v>
      </c>
      <c r="D84" t="s">
        <v>10</v>
      </c>
      <c r="E84" t="s">
        <v>203</v>
      </c>
      <c r="F84" t="s">
        <v>19</v>
      </c>
      <c r="G84" t="s">
        <v>176</v>
      </c>
      <c r="H84" t="s">
        <v>11</v>
      </c>
      <c r="I84" t="s">
        <v>7</v>
      </c>
      <c r="J84" t="s">
        <v>43</v>
      </c>
      <c r="K84" t="s">
        <v>14</v>
      </c>
      <c r="L84" t="s">
        <v>40</v>
      </c>
      <c r="M84">
        <v>1</v>
      </c>
    </row>
    <row r="85" spans="1:13" x14ac:dyDescent="0.35">
      <c r="A85" s="2">
        <v>46183</v>
      </c>
      <c r="B85" s="1" t="str">
        <f ca="1">IF(Información1[[#This Row],[Fecha]]='Ajuste de fechas'!$A$2,"Día actual","Día anterior")</f>
        <v>Día anterior</v>
      </c>
      <c r="C85" t="s">
        <v>8</v>
      </c>
      <c r="D85" t="s">
        <v>10</v>
      </c>
      <c r="E85" t="s">
        <v>204</v>
      </c>
      <c r="F85" t="s">
        <v>19</v>
      </c>
      <c r="G85" t="s">
        <v>205</v>
      </c>
      <c r="H85" t="s">
        <v>11</v>
      </c>
      <c r="I85" t="s">
        <v>7</v>
      </c>
      <c r="J85" t="s">
        <v>43</v>
      </c>
      <c r="K85" t="s">
        <v>14</v>
      </c>
      <c r="L85" t="s">
        <v>40</v>
      </c>
      <c r="M85">
        <v>1</v>
      </c>
    </row>
    <row r="86" spans="1:13" x14ac:dyDescent="0.35">
      <c r="A86" s="2">
        <v>46183</v>
      </c>
      <c r="B86" s="1" t="str">
        <f ca="1">IF(Información1[[#This Row],[Fecha]]='Ajuste de fechas'!$A$2,"Día actual","Día anterior")</f>
        <v>Día anterior</v>
      </c>
      <c r="C86" t="s">
        <v>8</v>
      </c>
      <c r="D86" t="s">
        <v>10</v>
      </c>
      <c r="E86" t="s">
        <v>206</v>
      </c>
      <c r="F86" t="s">
        <v>24</v>
      </c>
      <c r="G86" t="s">
        <v>53</v>
      </c>
      <c r="H86" t="s">
        <v>11</v>
      </c>
      <c r="I86" t="s">
        <v>7</v>
      </c>
      <c r="J86" t="s">
        <v>24</v>
      </c>
      <c r="K86" t="s">
        <v>14</v>
      </c>
      <c r="L86" t="s">
        <v>40</v>
      </c>
      <c r="M86">
        <v>1</v>
      </c>
    </row>
    <row r="87" spans="1:13" x14ac:dyDescent="0.35">
      <c r="A87" s="2">
        <v>46183</v>
      </c>
      <c r="B87" s="1" t="str">
        <f ca="1">IF(Información1[[#This Row],[Fecha]]='Ajuste de fechas'!$A$2,"Día actual","Día anterior")</f>
        <v>Día anterior</v>
      </c>
      <c r="C87" t="s">
        <v>28</v>
      </c>
      <c r="D87" t="s">
        <v>70</v>
      </c>
      <c r="E87" t="s">
        <v>207</v>
      </c>
      <c r="F87" t="s">
        <v>24</v>
      </c>
      <c r="G87" t="s">
        <v>53</v>
      </c>
      <c r="H87" t="s">
        <v>11</v>
      </c>
      <c r="I87" t="s">
        <v>7</v>
      </c>
      <c r="J87" t="s">
        <v>24</v>
      </c>
      <c r="K87" t="s">
        <v>71</v>
      </c>
      <c r="L87" t="s">
        <v>40</v>
      </c>
      <c r="M87">
        <v>1</v>
      </c>
    </row>
    <row r="88" spans="1:13" x14ac:dyDescent="0.35">
      <c r="A88" s="2">
        <v>46183</v>
      </c>
      <c r="B88" s="1" t="str">
        <f ca="1">IF(Información1[[#This Row],[Fecha]]='Ajuste de fechas'!$A$2,"Día actual","Día anterior")</f>
        <v>Día anterior</v>
      </c>
      <c r="C88" t="s">
        <v>28</v>
      </c>
      <c r="D88" t="s">
        <v>70</v>
      </c>
      <c r="E88" t="s">
        <v>162</v>
      </c>
      <c r="F88" t="s">
        <v>84</v>
      </c>
      <c r="G88" t="s">
        <v>53</v>
      </c>
      <c r="H88" t="s">
        <v>11</v>
      </c>
      <c r="I88" t="s">
        <v>7</v>
      </c>
      <c r="J88" t="s">
        <v>39</v>
      </c>
      <c r="K88" t="s">
        <v>71</v>
      </c>
      <c r="L88" t="s">
        <v>40</v>
      </c>
      <c r="M88">
        <v>1</v>
      </c>
    </row>
    <row r="89" spans="1:13" x14ac:dyDescent="0.35">
      <c r="A89" s="2">
        <v>46183</v>
      </c>
      <c r="B89" s="1" t="str">
        <f ca="1">IF(Información1[[#This Row],[Fecha]]='Ajuste de fechas'!$A$2,"Día actual","Día anterior")</f>
        <v>Día anterior</v>
      </c>
      <c r="C89" t="s">
        <v>8</v>
      </c>
      <c r="D89" t="s">
        <v>10</v>
      </c>
      <c r="E89" t="s">
        <v>208</v>
      </c>
      <c r="F89" t="s">
        <v>6</v>
      </c>
      <c r="G89" t="s">
        <v>209</v>
      </c>
      <c r="H89" t="s">
        <v>11</v>
      </c>
      <c r="I89" t="s">
        <v>7</v>
      </c>
      <c r="J89" t="s">
        <v>39</v>
      </c>
      <c r="K89" t="s">
        <v>9</v>
      </c>
      <c r="L89" t="s">
        <v>41</v>
      </c>
      <c r="M89">
        <v>1</v>
      </c>
    </row>
    <row r="90" spans="1:13" x14ac:dyDescent="0.35">
      <c r="A90" s="2">
        <v>46183</v>
      </c>
      <c r="B90" s="1" t="str">
        <f ca="1">IF(Información1[[#This Row],[Fecha]]='Ajuste de fechas'!$A$2,"Día actual","Día anterior")</f>
        <v>Día anterior</v>
      </c>
      <c r="C90" t="s">
        <v>28</v>
      </c>
      <c r="D90" t="s">
        <v>70</v>
      </c>
      <c r="E90" t="s">
        <v>210</v>
      </c>
      <c r="F90" t="s">
        <v>72</v>
      </c>
      <c r="G90" t="s">
        <v>74</v>
      </c>
      <c r="H90" t="s">
        <v>11</v>
      </c>
      <c r="I90" t="s">
        <v>7</v>
      </c>
      <c r="J90" t="s">
        <v>39</v>
      </c>
      <c r="K90" t="s">
        <v>71</v>
      </c>
      <c r="L90" t="s">
        <v>42</v>
      </c>
      <c r="M90">
        <v>1</v>
      </c>
    </row>
    <row r="91" spans="1:13" x14ac:dyDescent="0.35">
      <c r="A91" s="2">
        <v>46183</v>
      </c>
      <c r="B91" s="1" t="str">
        <f ca="1">IF(Información1[[#This Row],[Fecha]]='Ajuste de fechas'!$A$2,"Día actual","Día anterior")</f>
        <v>Día anterior</v>
      </c>
      <c r="C91" t="s">
        <v>8</v>
      </c>
      <c r="D91" t="s">
        <v>10</v>
      </c>
      <c r="E91" t="s">
        <v>211</v>
      </c>
      <c r="F91" t="s">
        <v>17</v>
      </c>
      <c r="G91" t="s">
        <v>87</v>
      </c>
      <c r="H91" t="s">
        <v>11</v>
      </c>
      <c r="I91" t="s">
        <v>25</v>
      </c>
      <c r="J91" t="s">
        <v>39</v>
      </c>
      <c r="K91" t="s">
        <v>9</v>
      </c>
      <c r="L91" t="s">
        <v>41</v>
      </c>
      <c r="M91">
        <v>1</v>
      </c>
    </row>
    <row r="92" spans="1:13" x14ac:dyDescent="0.35">
      <c r="A92" s="2">
        <v>46183</v>
      </c>
      <c r="B92" s="1" t="str">
        <f ca="1">IF(Información1[[#This Row],[Fecha]]='Ajuste de fechas'!$A$2,"Día actual","Día anterior")</f>
        <v>Día anterior</v>
      </c>
      <c r="C92" t="s">
        <v>8</v>
      </c>
      <c r="D92" t="s">
        <v>10</v>
      </c>
      <c r="E92" t="s">
        <v>212</v>
      </c>
      <c r="F92" t="s">
        <v>19</v>
      </c>
      <c r="G92" t="s">
        <v>101</v>
      </c>
      <c r="H92" t="s">
        <v>11</v>
      </c>
      <c r="I92" t="s">
        <v>25</v>
      </c>
      <c r="J92" t="s">
        <v>43</v>
      </c>
      <c r="K92" t="s">
        <v>9</v>
      </c>
      <c r="L92" t="s">
        <v>41</v>
      </c>
      <c r="M92">
        <v>1</v>
      </c>
    </row>
    <row r="93" spans="1:13" x14ac:dyDescent="0.35">
      <c r="A93" s="2">
        <v>46183</v>
      </c>
      <c r="B93" s="1" t="str">
        <f ca="1">IF(Información1[[#This Row],[Fecha]]='Ajuste de fechas'!$A$2,"Día actual","Día anterior")</f>
        <v>Día anterior</v>
      </c>
      <c r="C93" t="s">
        <v>8</v>
      </c>
      <c r="D93" t="s">
        <v>10</v>
      </c>
      <c r="E93" t="s">
        <v>213</v>
      </c>
      <c r="F93" t="s">
        <v>19</v>
      </c>
      <c r="G93" t="s">
        <v>101</v>
      </c>
      <c r="H93" t="s">
        <v>11</v>
      </c>
      <c r="I93" t="s">
        <v>25</v>
      </c>
      <c r="J93" t="s">
        <v>43</v>
      </c>
      <c r="K93" t="s">
        <v>9</v>
      </c>
      <c r="L93" t="s">
        <v>41</v>
      </c>
      <c r="M93">
        <v>1</v>
      </c>
    </row>
    <row r="94" spans="1:13" x14ac:dyDescent="0.35">
      <c r="A94" s="2">
        <v>46183</v>
      </c>
      <c r="B94" s="1" t="str">
        <f ca="1">IF(Información1[[#This Row],[Fecha]]='Ajuste de fechas'!$A$2,"Día actual","Día anterior")</f>
        <v>Día anterior</v>
      </c>
      <c r="C94" t="s">
        <v>28</v>
      </c>
      <c r="D94" t="s">
        <v>70</v>
      </c>
      <c r="E94" t="s">
        <v>214</v>
      </c>
      <c r="F94" t="s">
        <v>22</v>
      </c>
      <c r="G94" t="s">
        <v>215</v>
      </c>
      <c r="H94" t="s">
        <v>11</v>
      </c>
      <c r="I94" t="s">
        <v>7</v>
      </c>
      <c r="J94" t="s">
        <v>44</v>
      </c>
      <c r="K94" t="s">
        <v>71</v>
      </c>
      <c r="L94" t="s">
        <v>40</v>
      </c>
      <c r="M94">
        <v>1</v>
      </c>
    </row>
    <row r="95" spans="1:13" x14ac:dyDescent="0.35">
      <c r="A95" s="2">
        <v>46183</v>
      </c>
      <c r="B95" s="1" t="str">
        <f ca="1">IF(Información1[[#This Row],[Fecha]]='Ajuste de fechas'!$A$2,"Día actual","Día anterior")</f>
        <v>Día anterior</v>
      </c>
      <c r="C95" t="s">
        <v>79</v>
      </c>
      <c r="D95" t="s">
        <v>80</v>
      </c>
      <c r="E95" t="s">
        <v>182</v>
      </c>
      <c r="F95" t="s">
        <v>72</v>
      </c>
      <c r="G95" t="s">
        <v>74</v>
      </c>
      <c r="H95" t="s">
        <v>59</v>
      </c>
      <c r="I95" t="s">
        <v>7</v>
      </c>
      <c r="J95" t="s">
        <v>39</v>
      </c>
      <c r="K95" t="s">
        <v>49</v>
      </c>
      <c r="L95" t="s">
        <v>42</v>
      </c>
      <c r="M95">
        <v>1</v>
      </c>
    </row>
    <row r="96" spans="1:13" x14ac:dyDescent="0.35">
      <c r="A96" s="2">
        <v>46183</v>
      </c>
      <c r="B96" s="1" t="str">
        <f ca="1">IF(Información1[[#This Row],[Fecha]]='Ajuste de fechas'!$A$2,"Día actual","Día anterior")</f>
        <v>Día anterior</v>
      </c>
      <c r="C96" t="s">
        <v>79</v>
      </c>
      <c r="D96" t="s">
        <v>80</v>
      </c>
      <c r="E96" t="s">
        <v>132</v>
      </c>
      <c r="F96" t="s">
        <v>15</v>
      </c>
      <c r="G96" t="s">
        <v>95</v>
      </c>
      <c r="H96" t="s">
        <v>59</v>
      </c>
      <c r="I96" t="s">
        <v>7</v>
      </c>
      <c r="J96" t="s">
        <v>39</v>
      </c>
      <c r="K96" t="s">
        <v>49</v>
      </c>
      <c r="L96" t="s">
        <v>42</v>
      </c>
      <c r="M96">
        <v>1</v>
      </c>
    </row>
    <row r="97" spans="1:13" x14ac:dyDescent="0.35">
      <c r="A97" s="2">
        <v>46183</v>
      </c>
      <c r="B97" s="1" t="str">
        <f ca="1">IF(Información1[[#This Row],[Fecha]]='Ajuste de fechas'!$A$2,"Día actual","Día anterior")</f>
        <v>Día anterior</v>
      </c>
      <c r="C97" t="s">
        <v>79</v>
      </c>
      <c r="D97" t="s">
        <v>80</v>
      </c>
      <c r="E97" t="s">
        <v>190</v>
      </c>
      <c r="F97" t="s">
        <v>6</v>
      </c>
      <c r="G97" t="s">
        <v>95</v>
      </c>
      <c r="H97" t="s">
        <v>59</v>
      </c>
      <c r="I97" t="s">
        <v>7</v>
      </c>
      <c r="J97" t="s">
        <v>39</v>
      </c>
      <c r="K97" t="s">
        <v>49</v>
      </c>
      <c r="L97" t="s">
        <v>42</v>
      </c>
      <c r="M97">
        <v>1</v>
      </c>
    </row>
    <row r="98" spans="1:13" x14ac:dyDescent="0.35">
      <c r="A98" s="2">
        <v>46183</v>
      </c>
      <c r="B98" s="1" t="str">
        <f ca="1">IF(Información1[[#This Row],[Fecha]]='Ajuste de fechas'!$A$2,"Día actual","Día anterior")</f>
        <v>Día anterior</v>
      </c>
      <c r="C98" t="s">
        <v>79</v>
      </c>
      <c r="D98" t="s">
        <v>80</v>
      </c>
      <c r="E98" t="s">
        <v>131</v>
      </c>
      <c r="F98" t="s">
        <v>99</v>
      </c>
      <c r="G98" t="s">
        <v>100</v>
      </c>
      <c r="H98" t="s">
        <v>59</v>
      </c>
      <c r="I98" t="s">
        <v>7</v>
      </c>
      <c r="J98" t="s">
        <v>39</v>
      </c>
      <c r="K98" t="s">
        <v>49</v>
      </c>
      <c r="L98" t="s">
        <v>42</v>
      </c>
      <c r="M98">
        <v>1</v>
      </c>
    </row>
    <row r="99" spans="1:13" x14ac:dyDescent="0.35">
      <c r="A99" s="2">
        <v>46183</v>
      </c>
      <c r="B99" s="1" t="str">
        <f ca="1">IF(Información1[[#This Row],[Fecha]]='Ajuste de fechas'!$A$2,"Día actual","Día anterior")</f>
        <v>Día anterior</v>
      </c>
      <c r="C99" t="s">
        <v>79</v>
      </c>
      <c r="D99" t="s">
        <v>80</v>
      </c>
      <c r="E99" t="s">
        <v>142</v>
      </c>
      <c r="F99" t="s">
        <v>21</v>
      </c>
      <c r="G99" t="s">
        <v>119</v>
      </c>
      <c r="H99" t="s">
        <v>59</v>
      </c>
      <c r="I99" t="s">
        <v>7</v>
      </c>
      <c r="J99" t="s">
        <v>39</v>
      </c>
      <c r="K99" t="s">
        <v>49</v>
      </c>
      <c r="L99" t="s">
        <v>42</v>
      </c>
      <c r="M99">
        <v>1</v>
      </c>
    </row>
    <row r="100" spans="1:13" x14ac:dyDescent="0.35">
      <c r="A100" s="2">
        <v>46183</v>
      </c>
      <c r="B100" s="1" t="str">
        <f ca="1">IF(Información1[[#This Row],[Fecha]]='Ajuste de fechas'!$A$2,"Día actual","Día anterior")</f>
        <v>Día anterior</v>
      </c>
      <c r="C100" t="s">
        <v>79</v>
      </c>
      <c r="D100" t="s">
        <v>80</v>
      </c>
      <c r="E100" t="s">
        <v>216</v>
      </c>
      <c r="F100" t="s">
        <v>24</v>
      </c>
      <c r="G100" t="s">
        <v>53</v>
      </c>
      <c r="H100" t="s">
        <v>59</v>
      </c>
      <c r="I100" t="s">
        <v>7</v>
      </c>
      <c r="J100" t="s">
        <v>24</v>
      </c>
      <c r="K100" t="s">
        <v>49</v>
      </c>
      <c r="L100" t="s">
        <v>40</v>
      </c>
      <c r="M100">
        <v>1</v>
      </c>
    </row>
    <row r="101" spans="1:13" x14ac:dyDescent="0.35">
      <c r="A101" s="2">
        <v>46183</v>
      </c>
      <c r="B101" s="1" t="str">
        <f ca="1">IF(Información1[[#This Row],[Fecha]]='Ajuste de fechas'!$A$2,"Día actual","Día anterior")</f>
        <v>Día anterior</v>
      </c>
      <c r="C101" t="s">
        <v>79</v>
      </c>
      <c r="D101" t="s">
        <v>80</v>
      </c>
      <c r="E101" t="s">
        <v>124</v>
      </c>
      <c r="F101" t="s">
        <v>125</v>
      </c>
      <c r="G101" t="s">
        <v>126</v>
      </c>
      <c r="H101" t="s">
        <v>59</v>
      </c>
      <c r="I101" t="s">
        <v>7</v>
      </c>
      <c r="J101" t="s">
        <v>39</v>
      </c>
      <c r="K101" t="s">
        <v>49</v>
      </c>
      <c r="L101" t="s">
        <v>42</v>
      </c>
      <c r="M101">
        <v>1</v>
      </c>
    </row>
    <row r="102" spans="1:13" x14ac:dyDescent="0.35">
      <c r="A102" s="2">
        <v>46183</v>
      </c>
      <c r="B102" s="1" t="str">
        <f ca="1">IF(Información1[[#This Row],[Fecha]]='Ajuste de fechas'!$A$2,"Día actual","Día anterior")</f>
        <v>Día anterior</v>
      </c>
      <c r="C102" t="s">
        <v>79</v>
      </c>
      <c r="D102" t="s">
        <v>80</v>
      </c>
      <c r="E102" t="s">
        <v>217</v>
      </c>
      <c r="F102" t="s">
        <v>19</v>
      </c>
      <c r="G102" t="s">
        <v>218</v>
      </c>
      <c r="H102" t="s">
        <v>59</v>
      </c>
      <c r="I102" t="s">
        <v>7</v>
      </c>
      <c r="J102" t="s">
        <v>43</v>
      </c>
      <c r="K102" t="s">
        <v>49</v>
      </c>
      <c r="L102" t="s">
        <v>40</v>
      </c>
      <c r="M102">
        <v>1</v>
      </c>
    </row>
    <row r="103" spans="1:13" x14ac:dyDescent="0.35">
      <c r="A103" s="2">
        <v>46183</v>
      </c>
      <c r="B103" s="1" t="str">
        <f ca="1">IF(Información1[[#This Row],[Fecha]]='Ajuste de fechas'!$A$2,"Día actual","Día anterior")</f>
        <v>Día anterior</v>
      </c>
      <c r="C103" t="s">
        <v>79</v>
      </c>
      <c r="D103" t="s">
        <v>80</v>
      </c>
      <c r="E103" t="s">
        <v>219</v>
      </c>
      <c r="F103" t="s">
        <v>85</v>
      </c>
      <c r="G103" t="s">
        <v>218</v>
      </c>
      <c r="H103" t="s">
        <v>59</v>
      </c>
      <c r="I103" t="s">
        <v>7</v>
      </c>
      <c r="J103" t="s">
        <v>39</v>
      </c>
      <c r="K103" t="s">
        <v>49</v>
      </c>
      <c r="L103" t="s">
        <v>40</v>
      </c>
      <c r="M103">
        <v>1</v>
      </c>
    </row>
    <row r="104" spans="1:13" x14ac:dyDescent="0.35">
      <c r="A104" s="2">
        <v>46183</v>
      </c>
      <c r="B104" s="1" t="str">
        <f ca="1">IF(Información1[[#This Row],[Fecha]]='Ajuste de fechas'!$A$2,"Día actual","Día anterior")</f>
        <v>Día anterior</v>
      </c>
      <c r="C104" t="s">
        <v>79</v>
      </c>
      <c r="D104" t="s">
        <v>80</v>
      </c>
      <c r="E104" t="s">
        <v>134</v>
      </c>
      <c r="F104" t="s">
        <v>26</v>
      </c>
      <c r="G104" t="s">
        <v>128</v>
      </c>
      <c r="H104" t="s">
        <v>59</v>
      </c>
      <c r="I104" t="s">
        <v>7</v>
      </c>
      <c r="J104" t="s">
        <v>39</v>
      </c>
      <c r="K104" t="s">
        <v>49</v>
      </c>
      <c r="L104" t="s">
        <v>42</v>
      </c>
      <c r="M104">
        <v>1</v>
      </c>
    </row>
    <row r="105" spans="1:13" x14ac:dyDescent="0.35">
      <c r="A105" s="2">
        <v>46184</v>
      </c>
      <c r="B105" s="1" t="str">
        <f ca="1">IF(Información1[[#This Row],[Fecha]]='Ajuste de fechas'!$A$2,"Día actual","Día anterior")</f>
        <v>Día actual</v>
      </c>
      <c r="C105" t="s">
        <v>63</v>
      </c>
      <c r="D105" t="s">
        <v>64</v>
      </c>
      <c r="E105" t="s">
        <v>220</v>
      </c>
      <c r="F105" t="s">
        <v>21</v>
      </c>
      <c r="G105" t="s">
        <v>221</v>
      </c>
      <c r="H105" t="s">
        <v>11</v>
      </c>
      <c r="I105" t="s">
        <v>7</v>
      </c>
      <c r="J105" t="s">
        <v>39</v>
      </c>
      <c r="K105" t="s">
        <v>65</v>
      </c>
      <c r="L105" t="s">
        <v>42</v>
      </c>
      <c r="M105">
        <v>1</v>
      </c>
    </row>
    <row r="106" spans="1:13" x14ac:dyDescent="0.35">
      <c r="A106" s="2">
        <v>46184</v>
      </c>
      <c r="B106" s="1" t="str">
        <f ca="1">IF(Información1[[#This Row],[Fecha]]='Ajuste de fechas'!$A$2,"Día actual","Día anterior")</f>
        <v>Día actual</v>
      </c>
      <c r="C106" t="s">
        <v>63</v>
      </c>
      <c r="D106" t="s">
        <v>64</v>
      </c>
      <c r="E106" t="s">
        <v>222</v>
      </c>
      <c r="F106" t="s">
        <v>72</v>
      </c>
      <c r="G106" t="s">
        <v>74</v>
      </c>
      <c r="H106" t="s">
        <v>11</v>
      </c>
      <c r="I106" t="s">
        <v>7</v>
      </c>
      <c r="J106" t="s">
        <v>39</v>
      </c>
      <c r="K106" t="s">
        <v>65</v>
      </c>
      <c r="L106" t="s">
        <v>40</v>
      </c>
      <c r="M106">
        <v>1</v>
      </c>
    </row>
    <row r="107" spans="1:13" x14ac:dyDescent="0.35">
      <c r="A107" s="2">
        <v>46184</v>
      </c>
      <c r="B107" s="1" t="str">
        <f ca="1">IF(Información1[[#This Row],[Fecha]]='Ajuste de fechas'!$A$2,"Día actual","Día anterior")</f>
        <v>Día actual</v>
      </c>
      <c r="C107" t="s">
        <v>63</v>
      </c>
      <c r="D107" t="s">
        <v>64</v>
      </c>
      <c r="E107" t="s">
        <v>223</v>
      </c>
      <c r="F107" t="s">
        <v>22</v>
      </c>
      <c r="G107" t="s">
        <v>224</v>
      </c>
      <c r="H107" t="s">
        <v>11</v>
      </c>
      <c r="I107" t="s">
        <v>7</v>
      </c>
      <c r="J107" t="s">
        <v>44</v>
      </c>
      <c r="K107" t="s">
        <v>65</v>
      </c>
      <c r="L107" t="s">
        <v>40</v>
      </c>
      <c r="M107">
        <v>1</v>
      </c>
    </row>
    <row r="108" spans="1:13" x14ac:dyDescent="0.35">
      <c r="A108" s="2">
        <v>46184</v>
      </c>
      <c r="B108" s="1" t="str">
        <f ca="1">IF(Información1[[#This Row],[Fecha]]='Ajuste de fechas'!$A$2,"Día actual","Día anterior")</f>
        <v>Día actual</v>
      </c>
      <c r="C108" t="s">
        <v>63</v>
      </c>
      <c r="D108" t="s">
        <v>64</v>
      </c>
      <c r="E108" t="s">
        <v>225</v>
      </c>
      <c r="F108" t="s">
        <v>26</v>
      </c>
      <c r="G108" t="s">
        <v>172</v>
      </c>
      <c r="H108" t="s">
        <v>11</v>
      </c>
      <c r="I108" t="s">
        <v>7</v>
      </c>
      <c r="J108" t="s">
        <v>39</v>
      </c>
      <c r="K108" t="s">
        <v>65</v>
      </c>
      <c r="L108" t="s">
        <v>42</v>
      </c>
      <c r="M108">
        <v>1</v>
      </c>
    </row>
    <row r="109" spans="1:13" x14ac:dyDescent="0.35">
      <c r="A109" s="2">
        <v>46184</v>
      </c>
      <c r="B109" s="1" t="str">
        <f ca="1">IF(Información1[[#This Row],[Fecha]]='Ajuste de fechas'!$A$2,"Día actual","Día anterior")</f>
        <v>Día actual</v>
      </c>
      <c r="C109" t="s">
        <v>63</v>
      </c>
      <c r="D109" t="s">
        <v>64</v>
      </c>
      <c r="E109" t="s">
        <v>226</v>
      </c>
      <c r="F109" t="s">
        <v>19</v>
      </c>
      <c r="G109" t="s">
        <v>178</v>
      </c>
      <c r="H109" t="s">
        <v>11</v>
      </c>
      <c r="I109" t="s">
        <v>7</v>
      </c>
      <c r="J109" t="s">
        <v>43</v>
      </c>
      <c r="K109" t="s">
        <v>65</v>
      </c>
      <c r="L109" t="s">
        <v>40</v>
      </c>
      <c r="M109">
        <v>1</v>
      </c>
    </row>
    <row r="110" spans="1:13" x14ac:dyDescent="0.35">
      <c r="A110" s="2">
        <v>46184</v>
      </c>
      <c r="B110" s="1" t="str">
        <f ca="1">IF(Información1[[#This Row],[Fecha]]='Ajuste de fechas'!$A$2,"Día actual","Día anterior")</f>
        <v>Día actual</v>
      </c>
      <c r="C110" t="s">
        <v>63</v>
      </c>
      <c r="D110" t="s">
        <v>64</v>
      </c>
      <c r="E110" t="s">
        <v>227</v>
      </c>
      <c r="F110" t="s">
        <v>23</v>
      </c>
      <c r="G110" t="s">
        <v>76</v>
      </c>
      <c r="H110" t="s">
        <v>11</v>
      </c>
      <c r="I110" t="s">
        <v>7</v>
      </c>
      <c r="J110" t="s">
        <v>39</v>
      </c>
      <c r="K110" t="s">
        <v>65</v>
      </c>
      <c r="L110" t="s">
        <v>42</v>
      </c>
      <c r="M110">
        <v>1</v>
      </c>
    </row>
    <row r="111" spans="1:13" x14ac:dyDescent="0.35">
      <c r="A111" s="2">
        <v>46184</v>
      </c>
      <c r="B111" s="1" t="str">
        <f ca="1">IF(Información1[[#This Row],[Fecha]]='Ajuste de fechas'!$A$2,"Día actual","Día anterior")</f>
        <v>Día actual</v>
      </c>
      <c r="C111" t="s">
        <v>63</v>
      </c>
      <c r="D111" t="s">
        <v>64</v>
      </c>
      <c r="E111" t="s">
        <v>228</v>
      </c>
      <c r="F111" t="s">
        <v>48</v>
      </c>
      <c r="G111" t="s">
        <v>86</v>
      </c>
      <c r="H111" t="s">
        <v>11</v>
      </c>
      <c r="I111" t="s">
        <v>25</v>
      </c>
      <c r="J111" t="s">
        <v>39</v>
      </c>
      <c r="K111" t="s">
        <v>65</v>
      </c>
      <c r="L111" t="s">
        <v>40</v>
      </c>
      <c r="M111">
        <v>1</v>
      </c>
    </row>
    <row r="112" spans="1:13" x14ac:dyDescent="0.35">
      <c r="A112" s="2">
        <v>46184</v>
      </c>
      <c r="B112" s="1" t="str">
        <f ca="1">IF(Información1[[#This Row],[Fecha]]='Ajuste de fechas'!$A$2,"Día actual","Día anterior")</f>
        <v>Día actual</v>
      </c>
      <c r="C112" t="s">
        <v>63</v>
      </c>
      <c r="D112" t="s">
        <v>64</v>
      </c>
      <c r="E112" t="s">
        <v>229</v>
      </c>
      <c r="F112" t="s">
        <v>19</v>
      </c>
      <c r="G112" t="s">
        <v>230</v>
      </c>
      <c r="H112" t="s">
        <v>11</v>
      </c>
      <c r="I112" t="s">
        <v>7</v>
      </c>
      <c r="J112" t="s">
        <v>43</v>
      </c>
      <c r="K112" t="s">
        <v>65</v>
      </c>
      <c r="L112" t="s">
        <v>40</v>
      </c>
      <c r="M112">
        <v>1</v>
      </c>
    </row>
    <row r="113" spans="1:13" x14ac:dyDescent="0.35">
      <c r="A113" s="2">
        <v>46184</v>
      </c>
      <c r="B113" s="1" t="str">
        <f ca="1">IF(Información1[[#This Row],[Fecha]]='Ajuste de fechas'!$A$2,"Día actual","Día anterior")</f>
        <v>Día actual</v>
      </c>
      <c r="C113" t="s">
        <v>63</v>
      </c>
      <c r="D113" t="s">
        <v>64</v>
      </c>
      <c r="E113" t="s">
        <v>231</v>
      </c>
      <c r="F113" t="s">
        <v>19</v>
      </c>
      <c r="G113" t="s">
        <v>81</v>
      </c>
      <c r="H113" t="s">
        <v>11</v>
      </c>
      <c r="I113" t="s">
        <v>7</v>
      </c>
      <c r="J113" t="s">
        <v>43</v>
      </c>
      <c r="K113" t="s">
        <v>65</v>
      </c>
      <c r="L113" t="s">
        <v>40</v>
      </c>
      <c r="M113">
        <v>1</v>
      </c>
    </row>
    <row r="114" spans="1:13" x14ac:dyDescent="0.35">
      <c r="A114" s="2">
        <v>46184</v>
      </c>
      <c r="B114" s="1" t="str">
        <f ca="1">IF(Información1[[#This Row],[Fecha]]='Ajuste de fechas'!$A$2,"Día actual","Día anterior")</f>
        <v>Día actual</v>
      </c>
      <c r="C114" t="s">
        <v>63</v>
      </c>
      <c r="D114" t="s">
        <v>64</v>
      </c>
      <c r="E114" t="s">
        <v>232</v>
      </c>
      <c r="F114" t="s">
        <v>48</v>
      </c>
      <c r="G114" t="s">
        <v>233</v>
      </c>
      <c r="H114" t="s">
        <v>11</v>
      </c>
      <c r="I114" t="s">
        <v>7</v>
      </c>
      <c r="J114" t="s">
        <v>39</v>
      </c>
      <c r="K114" t="s">
        <v>65</v>
      </c>
      <c r="L114" t="s">
        <v>40</v>
      </c>
      <c r="M114">
        <v>1</v>
      </c>
    </row>
    <row r="115" spans="1:13" x14ac:dyDescent="0.35">
      <c r="A115" s="2">
        <v>46184</v>
      </c>
      <c r="B115" s="1" t="str">
        <f ca="1">IF(Información1[[#This Row],[Fecha]]='Ajuste de fechas'!$A$2,"Día actual","Día anterior")</f>
        <v>Día actual</v>
      </c>
      <c r="C115" t="s">
        <v>63</v>
      </c>
      <c r="D115" t="s">
        <v>64</v>
      </c>
      <c r="E115" t="s">
        <v>234</v>
      </c>
      <c r="F115" t="s">
        <v>19</v>
      </c>
      <c r="G115" t="s">
        <v>235</v>
      </c>
      <c r="H115" t="s">
        <v>11</v>
      </c>
      <c r="I115" t="s">
        <v>7</v>
      </c>
      <c r="J115" t="s">
        <v>43</v>
      </c>
      <c r="K115" t="s">
        <v>65</v>
      </c>
      <c r="L115" t="s">
        <v>40</v>
      </c>
      <c r="M115">
        <v>1</v>
      </c>
    </row>
    <row r="116" spans="1:13" x14ac:dyDescent="0.35">
      <c r="A116" s="2">
        <v>46184</v>
      </c>
      <c r="B116" s="1" t="str">
        <f ca="1">IF(Información1[[#This Row],[Fecha]]='Ajuste de fechas'!$A$2,"Día actual","Día anterior")</f>
        <v>Día actual</v>
      </c>
      <c r="C116" t="s">
        <v>63</v>
      </c>
      <c r="D116" t="s">
        <v>64</v>
      </c>
      <c r="E116" t="s">
        <v>236</v>
      </c>
      <c r="F116" t="s">
        <v>15</v>
      </c>
      <c r="G116" t="s">
        <v>53</v>
      </c>
      <c r="H116" t="s">
        <v>11</v>
      </c>
      <c r="I116" t="s">
        <v>7</v>
      </c>
      <c r="J116" t="s">
        <v>39</v>
      </c>
      <c r="K116" t="s">
        <v>65</v>
      </c>
      <c r="L116" t="s">
        <v>40</v>
      </c>
      <c r="M116">
        <v>1</v>
      </c>
    </row>
    <row r="117" spans="1:13" x14ac:dyDescent="0.35">
      <c r="A117" s="2">
        <v>46184</v>
      </c>
      <c r="B117" s="1" t="str">
        <f ca="1">IF(Información1[[#This Row],[Fecha]]='Ajuste de fechas'!$A$2,"Día actual","Día anterior")</f>
        <v>Día actual</v>
      </c>
      <c r="C117" t="s">
        <v>63</v>
      </c>
      <c r="D117" t="s">
        <v>64</v>
      </c>
      <c r="E117" t="s">
        <v>237</v>
      </c>
      <c r="F117" t="s">
        <v>31</v>
      </c>
      <c r="G117" t="s">
        <v>238</v>
      </c>
      <c r="H117" t="s">
        <v>11</v>
      </c>
      <c r="I117" t="s">
        <v>7</v>
      </c>
      <c r="J117" t="s">
        <v>39</v>
      </c>
      <c r="K117" t="s">
        <v>65</v>
      </c>
      <c r="L117" t="s">
        <v>42</v>
      </c>
      <c r="M117">
        <v>1</v>
      </c>
    </row>
    <row r="118" spans="1:13" x14ac:dyDescent="0.35">
      <c r="A118" s="2">
        <v>46184</v>
      </c>
      <c r="B118" s="1" t="str">
        <f ca="1">IF(Información1[[#This Row],[Fecha]]='Ajuste de fechas'!$A$2,"Día actual","Día anterior")</f>
        <v>Día actual</v>
      </c>
      <c r="C118" t="s">
        <v>63</v>
      </c>
      <c r="D118" t="s">
        <v>64</v>
      </c>
      <c r="E118" t="s">
        <v>239</v>
      </c>
      <c r="F118" t="s">
        <v>89</v>
      </c>
      <c r="G118" t="s">
        <v>240</v>
      </c>
      <c r="H118" t="s">
        <v>11</v>
      </c>
      <c r="I118" t="s">
        <v>7</v>
      </c>
      <c r="J118" t="s">
        <v>24</v>
      </c>
      <c r="K118" t="s">
        <v>65</v>
      </c>
      <c r="L118" t="s">
        <v>40</v>
      </c>
      <c r="M118">
        <v>1</v>
      </c>
    </row>
    <row r="119" spans="1:13" x14ac:dyDescent="0.35">
      <c r="A119" s="2">
        <v>46184</v>
      </c>
      <c r="B119" s="1" t="str">
        <f ca="1">IF(Información1[[#This Row],[Fecha]]='Ajuste de fechas'!$A$2,"Día actual","Día anterior")</f>
        <v>Día actual</v>
      </c>
      <c r="C119" t="s">
        <v>63</v>
      </c>
      <c r="D119" t="s">
        <v>64</v>
      </c>
      <c r="E119" t="s">
        <v>241</v>
      </c>
      <c r="F119" t="s">
        <v>56</v>
      </c>
      <c r="G119" t="s">
        <v>242</v>
      </c>
      <c r="H119" t="s">
        <v>11</v>
      </c>
      <c r="I119" t="s">
        <v>7</v>
      </c>
      <c r="J119" t="s">
        <v>24</v>
      </c>
      <c r="K119" t="s">
        <v>65</v>
      </c>
      <c r="L119" t="s">
        <v>40</v>
      </c>
      <c r="M119">
        <v>1</v>
      </c>
    </row>
    <row r="120" spans="1:13" x14ac:dyDescent="0.35">
      <c r="A120" s="2">
        <v>46184</v>
      </c>
      <c r="B120" s="1" t="str">
        <f ca="1">IF(Información1[[#This Row],[Fecha]]='Ajuste de fechas'!$A$2,"Día actual","Día anterior")</f>
        <v>Día actual</v>
      </c>
      <c r="C120" t="s">
        <v>63</v>
      </c>
      <c r="D120" t="s">
        <v>64</v>
      </c>
      <c r="E120" t="s">
        <v>243</v>
      </c>
      <c r="F120" t="s">
        <v>19</v>
      </c>
      <c r="G120" t="s">
        <v>205</v>
      </c>
      <c r="H120" t="s">
        <v>11</v>
      </c>
      <c r="I120" t="s">
        <v>7</v>
      </c>
      <c r="J120" t="s">
        <v>43</v>
      </c>
      <c r="K120" t="s">
        <v>65</v>
      </c>
      <c r="L120" t="s">
        <v>40</v>
      </c>
      <c r="M120">
        <v>1</v>
      </c>
    </row>
    <row r="121" spans="1:13" x14ac:dyDescent="0.35">
      <c r="A121" s="2">
        <v>46184</v>
      </c>
      <c r="B121" s="1" t="str">
        <f ca="1">IF(Información1[[#This Row],[Fecha]]='Ajuste de fechas'!$A$2,"Día actual","Día anterior")</f>
        <v>Día actual</v>
      </c>
      <c r="C121" t="s">
        <v>63</v>
      </c>
      <c r="D121" t="s">
        <v>64</v>
      </c>
      <c r="E121" t="s">
        <v>244</v>
      </c>
      <c r="F121" t="s">
        <v>19</v>
      </c>
      <c r="G121" t="s">
        <v>245</v>
      </c>
      <c r="H121" t="s">
        <v>11</v>
      </c>
      <c r="I121" t="s">
        <v>7</v>
      </c>
      <c r="J121" t="s">
        <v>43</v>
      </c>
      <c r="K121" t="s">
        <v>65</v>
      </c>
      <c r="L121" t="s">
        <v>40</v>
      </c>
      <c r="M121">
        <v>1</v>
      </c>
    </row>
    <row r="122" spans="1:13" x14ac:dyDescent="0.35">
      <c r="A122" s="2">
        <v>46184</v>
      </c>
      <c r="B122" s="1" t="str">
        <f ca="1">IF(Información1[[#This Row],[Fecha]]='Ajuste de fechas'!$A$2,"Día actual","Día anterior")</f>
        <v>Día actual</v>
      </c>
      <c r="C122" t="s">
        <v>63</v>
      </c>
      <c r="D122" t="s">
        <v>64</v>
      </c>
      <c r="E122" t="s">
        <v>66</v>
      </c>
      <c r="F122" t="s">
        <v>19</v>
      </c>
      <c r="G122" t="s">
        <v>58</v>
      </c>
      <c r="H122" t="s">
        <v>11</v>
      </c>
      <c r="I122" t="s">
        <v>7</v>
      </c>
      <c r="J122" t="s">
        <v>43</v>
      </c>
      <c r="K122" t="s">
        <v>65</v>
      </c>
      <c r="L122" t="s">
        <v>40</v>
      </c>
      <c r="M122">
        <v>1</v>
      </c>
    </row>
    <row r="123" spans="1:13" x14ac:dyDescent="0.35">
      <c r="A123" s="2">
        <v>46184</v>
      </c>
      <c r="B123" s="1" t="str">
        <f ca="1">IF(Información1[[#This Row],[Fecha]]='Ajuste de fechas'!$A$2,"Día actual","Día anterior")</f>
        <v>Día actual</v>
      </c>
      <c r="C123" t="s">
        <v>63</v>
      </c>
      <c r="D123" t="s">
        <v>64</v>
      </c>
      <c r="E123" t="s">
        <v>246</v>
      </c>
      <c r="F123" t="s">
        <v>21</v>
      </c>
      <c r="G123" t="s">
        <v>247</v>
      </c>
      <c r="H123" t="s">
        <v>11</v>
      </c>
      <c r="I123" t="s">
        <v>7</v>
      </c>
      <c r="J123" t="s">
        <v>39</v>
      </c>
      <c r="K123" t="s">
        <v>65</v>
      </c>
      <c r="L123" t="s">
        <v>40</v>
      </c>
      <c r="M123">
        <v>1</v>
      </c>
    </row>
    <row r="124" spans="1:13" x14ac:dyDescent="0.35">
      <c r="A124" s="2">
        <v>46184</v>
      </c>
      <c r="B124" s="1" t="str">
        <f ca="1">IF(Información1[[#This Row],[Fecha]]='Ajuste de fechas'!$A$2,"Día actual","Día anterior")</f>
        <v>Día actual</v>
      </c>
      <c r="C124" t="s">
        <v>63</v>
      </c>
      <c r="D124" t="s">
        <v>64</v>
      </c>
      <c r="E124" t="s">
        <v>248</v>
      </c>
      <c r="F124" t="s">
        <v>22</v>
      </c>
      <c r="G124" t="s">
        <v>249</v>
      </c>
      <c r="H124" t="s">
        <v>11</v>
      </c>
      <c r="I124" t="s">
        <v>25</v>
      </c>
      <c r="J124" t="s">
        <v>44</v>
      </c>
      <c r="K124" t="s">
        <v>65</v>
      </c>
      <c r="L124" t="s">
        <v>41</v>
      </c>
      <c r="M124">
        <v>1</v>
      </c>
    </row>
    <row r="125" spans="1:13" x14ac:dyDescent="0.35">
      <c r="A125" s="2">
        <v>46184</v>
      </c>
      <c r="B125" s="1" t="str">
        <f ca="1">IF(Información1[[#This Row],[Fecha]]='Ajuste de fechas'!$A$2,"Día actual","Día anterior")</f>
        <v>Día actual</v>
      </c>
      <c r="C125" t="s">
        <v>63</v>
      </c>
      <c r="D125" t="s">
        <v>64</v>
      </c>
      <c r="E125" t="s">
        <v>250</v>
      </c>
      <c r="F125" t="s">
        <v>22</v>
      </c>
      <c r="G125" t="s">
        <v>251</v>
      </c>
      <c r="H125" t="s">
        <v>11</v>
      </c>
      <c r="I125" t="s">
        <v>25</v>
      </c>
      <c r="J125" t="s">
        <v>44</v>
      </c>
      <c r="K125" t="s">
        <v>252</v>
      </c>
      <c r="L125" t="s">
        <v>40</v>
      </c>
      <c r="M125">
        <v>1</v>
      </c>
    </row>
    <row r="126" spans="1:13" x14ac:dyDescent="0.35">
      <c r="A126" s="2">
        <v>46184</v>
      </c>
      <c r="B126" s="1" t="str">
        <f ca="1">IF(Información1[[#This Row],[Fecha]]='Ajuste de fechas'!$A$2,"Día actual","Día anterior")</f>
        <v>Día actual</v>
      </c>
      <c r="C126" t="s">
        <v>29</v>
      </c>
      <c r="D126" t="s">
        <v>30</v>
      </c>
      <c r="E126" t="s">
        <v>253</v>
      </c>
      <c r="F126" t="s">
        <v>19</v>
      </c>
      <c r="G126" t="s">
        <v>178</v>
      </c>
      <c r="H126" t="s">
        <v>59</v>
      </c>
      <c r="I126" t="s">
        <v>7</v>
      </c>
      <c r="J126" t="s">
        <v>43</v>
      </c>
      <c r="K126" t="s">
        <v>97</v>
      </c>
      <c r="L126" t="s">
        <v>40</v>
      </c>
      <c r="M126">
        <v>1</v>
      </c>
    </row>
    <row r="127" spans="1:13" x14ac:dyDescent="0.35">
      <c r="A127" s="2">
        <v>46184</v>
      </c>
      <c r="B127" s="1" t="str">
        <f ca="1">IF(Información1[[#This Row],[Fecha]]='Ajuste de fechas'!$A$2,"Día actual","Día anterior")</f>
        <v>Día actual</v>
      </c>
      <c r="C127" t="s">
        <v>29</v>
      </c>
      <c r="D127" t="s">
        <v>30</v>
      </c>
      <c r="E127" t="s">
        <v>254</v>
      </c>
      <c r="F127" t="s">
        <v>6</v>
      </c>
      <c r="G127" t="s">
        <v>130</v>
      </c>
      <c r="H127" t="s">
        <v>59</v>
      </c>
      <c r="I127" t="s">
        <v>25</v>
      </c>
      <c r="J127" t="s">
        <v>39</v>
      </c>
      <c r="K127" t="s">
        <v>9</v>
      </c>
      <c r="L127" t="s">
        <v>41</v>
      </c>
      <c r="M127">
        <v>1</v>
      </c>
    </row>
    <row r="128" spans="1:13" x14ac:dyDescent="0.35">
      <c r="A128" s="2">
        <v>46184</v>
      </c>
      <c r="B128" s="1" t="str">
        <f ca="1">IF(Información1[[#This Row],[Fecha]]='Ajuste de fechas'!$A$2,"Día actual","Día anterior")</f>
        <v>Día actual</v>
      </c>
      <c r="C128" t="s">
        <v>29</v>
      </c>
      <c r="D128" t="s">
        <v>30</v>
      </c>
      <c r="E128" t="s">
        <v>220</v>
      </c>
      <c r="F128" t="s">
        <v>21</v>
      </c>
      <c r="G128" t="s">
        <v>221</v>
      </c>
      <c r="H128" t="s">
        <v>59</v>
      </c>
      <c r="I128" t="s">
        <v>7</v>
      </c>
      <c r="J128" t="s">
        <v>39</v>
      </c>
      <c r="K128" t="s">
        <v>27</v>
      </c>
      <c r="L128" t="s">
        <v>42</v>
      </c>
      <c r="M128">
        <v>1</v>
      </c>
    </row>
    <row r="129" spans="1:13" x14ac:dyDescent="0.35">
      <c r="A129" s="2">
        <v>46184</v>
      </c>
      <c r="B129" s="1" t="str">
        <f ca="1">IF(Información1[[#This Row],[Fecha]]='Ajuste de fechas'!$A$2,"Día actual","Día anterior")</f>
        <v>Día actual</v>
      </c>
      <c r="C129" t="s">
        <v>29</v>
      </c>
      <c r="D129" t="s">
        <v>30</v>
      </c>
      <c r="E129" t="s">
        <v>255</v>
      </c>
      <c r="F129" t="s">
        <v>62</v>
      </c>
      <c r="G129" t="s">
        <v>73</v>
      </c>
      <c r="H129" t="s">
        <v>59</v>
      </c>
      <c r="I129" t="s">
        <v>7</v>
      </c>
      <c r="J129" t="s">
        <v>39</v>
      </c>
      <c r="K129" t="s">
        <v>27</v>
      </c>
      <c r="L129" t="s">
        <v>42</v>
      </c>
      <c r="M129">
        <v>1</v>
      </c>
    </row>
    <row r="130" spans="1:13" x14ac:dyDescent="0.35">
      <c r="A130" s="2">
        <v>46184</v>
      </c>
      <c r="B130" s="1" t="str">
        <f ca="1">IF(Información1[[#This Row],[Fecha]]='Ajuste de fechas'!$A$2,"Día actual","Día anterior")</f>
        <v>Día actual</v>
      </c>
      <c r="C130" t="s">
        <v>29</v>
      </c>
      <c r="D130" t="s">
        <v>30</v>
      </c>
      <c r="E130" t="s">
        <v>225</v>
      </c>
      <c r="F130" t="s">
        <v>26</v>
      </c>
      <c r="G130" t="s">
        <v>172</v>
      </c>
      <c r="H130" t="s">
        <v>59</v>
      </c>
      <c r="I130" t="s">
        <v>7</v>
      </c>
      <c r="J130" t="s">
        <v>39</v>
      </c>
      <c r="K130" t="s">
        <v>27</v>
      </c>
      <c r="L130" t="s">
        <v>42</v>
      </c>
      <c r="M130">
        <v>1</v>
      </c>
    </row>
    <row r="131" spans="1:13" x14ac:dyDescent="0.35">
      <c r="A131" s="2">
        <v>46184</v>
      </c>
      <c r="B131" s="1" t="str">
        <f ca="1">IF(Información1[[#This Row],[Fecha]]='Ajuste de fechas'!$A$2,"Día actual","Día anterior")</f>
        <v>Día actual</v>
      </c>
      <c r="C131" t="s">
        <v>29</v>
      </c>
      <c r="D131" t="s">
        <v>30</v>
      </c>
      <c r="E131" t="s">
        <v>256</v>
      </c>
      <c r="F131" t="s">
        <v>26</v>
      </c>
      <c r="G131" t="s">
        <v>172</v>
      </c>
      <c r="H131" t="s">
        <v>59</v>
      </c>
      <c r="I131" t="s">
        <v>7</v>
      </c>
      <c r="J131" t="s">
        <v>39</v>
      </c>
      <c r="K131" t="s">
        <v>27</v>
      </c>
      <c r="L131" t="s">
        <v>42</v>
      </c>
      <c r="M131">
        <v>1</v>
      </c>
    </row>
    <row r="132" spans="1:13" x14ac:dyDescent="0.35">
      <c r="A132" s="2">
        <v>46184</v>
      </c>
      <c r="B132" s="1" t="str">
        <f ca="1">IF(Información1[[#This Row],[Fecha]]='Ajuste de fechas'!$A$2,"Día actual","Día anterior")</f>
        <v>Día actual</v>
      </c>
      <c r="C132" t="s">
        <v>29</v>
      </c>
      <c r="D132" t="s">
        <v>30</v>
      </c>
      <c r="E132" t="s">
        <v>257</v>
      </c>
      <c r="F132" t="s">
        <v>6</v>
      </c>
      <c r="G132" t="s">
        <v>95</v>
      </c>
      <c r="H132" t="s">
        <v>59</v>
      </c>
      <c r="I132" t="s">
        <v>7</v>
      </c>
      <c r="J132" t="s">
        <v>39</v>
      </c>
      <c r="K132" t="s">
        <v>27</v>
      </c>
      <c r="L132" t="s">
        <v>42</v>
      </c>
      <c r="M132">
        <v>1</v>
      </c>
    </row>
    <row r="133" spans="1:13" x14ac:dyDescent="0.35">
      <c r="A133" s="2">
        <v>46184</v>
      </c>
      <c r="B133" s="1" t="str">
        <f ca="1">IF(Información1[[#This Row],[Fecha]]='Ajuste de fechas'!$A$2,"Día actual","Día anterior")</f>
        <v>Día actual</v>
      </c>
      <c r="C133" t="s">
        <v>29</v>
      </c>
      <c r="D133" t="s">
        <v>30</v>
      </c>
      <c r="E133" t="s">
        <v>258</v>
      </c>
      <c r="F133" t="s">
        <v>6</v>
      </c>
      <c r="G133" t="s">
        <v>95</v>
      </c>
      <c r="H133" t="s">
        <v>59</v>
      </c>
      <c r="I133" t="s">
        <v>7</v>
      </c>
      <c r="J133" t="s">
        <v>39</v>
      </c>
      <c r="K133" t="s">
        <v>27</v>
      </c>
      <c r="L133" t="s">
        <v>42</v>
      </c>
      <c r="M133">
        <v>1</v>
      </c>
    </row>
    <row r="134" spans="1:13" x14ac:dyDescent="0.35">
      <c r="A134" s="2">
        <v>46184</v>
      </c>
      <c r="B134" s="1" t="str">
        <f ca="1">IF(Información1[[#This Row],[Fecha]]='Ajuste de fechas'!$A$2,"Día actual","Día anterior")</f>
        <v>Día actual</v>
      </c>
      <c r="C134" t="s">
        <v>29</v>
      </c>
      <c r="D134" t="s">
        <v>30</v>
      </c>
      <c r="E134" t="s">
        <v>259</v>
      </c>
      <c r="F134" t="s">
        <v>15</v>
      </c>
      <c r="G134" t="s">
        <v>61</v>
      </c>
      <c r="H134" t="s">
        <v>59</v>
      </c>
      <c r="I134" t="s">
        <v>25</v>
      </c>
      <c r="J134" t="s">
        <v>39</v>
      </c>
      <c r="K134" t="s">
        <v>27</v>
      </c>
      <c r="L134" t="s">
        <v>41</v>
      </c>
      <c r="M134">
        <v>1</v>
      </c>
    </row>
    <row r="135" spans="1:13" x14ac:dyDescent="0.35">
      <c r="A135" s="2">
        <v>46184</v>
      </c>
      <c r="B135" s="1" t="str">
        <f ca="1">IF(Información1[[#This Row],[Fecha]]='Ajuste de fechas'!$A$2,"Día actual","Día anterior")</f>
        <v>Día actual</v>
      </c>
      <c r="C135" t="s">
        <v>29</v>
      </c>
      <c r="D135" t="s">
        <v>30</v>
      </c>
      <c r="E135" t="s">
        <v>260</v>
      </c>
      <c r="F135" t="s">
        <v>15</v>
      </c>
      <c r="G135" t="s">
        <v>53</v>
      </c>
      <c r="H135" t="s">
        <v>59</v>
      </c>
      <c r="I135" t="s">
        <v>7</v>
      </c>
      <c r="J135" t="s">
        <v>39</v>
      </c>
      <c r="K135" t="s">
        <v>27</v>
      </c>
      <c r="L135" t="s">
        <v>40</v>
      </c>
      <c r="M135">
        <v>1</v>
      </c>
    </row>
    <row r="136" spans="1:13" x14ac:dyDescent="0.35">
      <c r="A136" s="2">
        <v>46184</v>
      </c>
      <c r="B136" s="1" t="str">
        <f ca="1">IF(Información1[[#This Row],[Fecha]]='Ajuste de fechas'!$A$2,"Día actual","Día anterior")</f>
        <v>Día actual</v>
      </c>
      <c r="C136" t="s">
        <v>29</v>
      </c>
      <c r="D136" t="s">
        <v>30</v>
      </c>
      <c r="E136" t="s">
        <v>261</v>
      </c>
      <c r="F136" t="s">
        <v>24</v>
      </c>
      <c r="G136" t="s">
        <v>262</v>
      </c>
      <c r="H136" t="s">
        <v>59</v>
      </c>
      <c r="I136" t="s">
        <v>7</v>
      </c>
      <c r="J136" t="s">
        <v>24</v>
      </c>
      <c r="K136" t="s">
        <v>27</v>
      </c>
      <c r="L136" t="s">
        <v>40</v>
      </c>
      <c r="M136">
        <v>1</v>
      </c>
    </row>
    <row r="137" spans="1:13" x14ac:dyDescent="0.35">
      <c r="A137" s="2">
        <v>46184</v>
      </c>
      <c r="B137" s="1" t="str">
        <f ca="1">IF(Información1[[#This Row],[Fecha]]='Ajuste de fechas'!$A$2,"Día actual","Día anterior")</f>
        <v>Día actual</v>
      </c>
      <c r="C137" t="s">
        <v>50</v>
      </c>
      <c r="D137" t="s">
        <v>57</v>
      </c>
      <c r="E137" t="s">
        <v>263</v>
      </c>
      <c r="F137" t="s">
        <v>22</v>
      </c>
      <c r="G137" t="s">
        <v>264</v>
      </c>
      <c r="H137" t="s">
        <v>11</v>
      </c>
      <c r="I137" t="s">
        <v>7</v>
      </c>
      <c r="J137" t="s">
        <v>44</v>
      </c>
      <c r="K137" t="s">
        <v>51</v>
      </c>
      <c r="L137" t="s">
        <v>40</v>
      </c>
      <c r="M137">
        <v>1</v>
      </c>
    </row>
    <row r="138" spans="1:13" x14ac:dyDescent="0.35">
      <c r="A138" s="2">
        <v>46184</v>
      </c>
      <c r="B138" s="1" t="str">
        <f ca="1">IF(Información1[[#This Row],[Fecha]]='Ajuste de fechas'!$A$2,"Día actual","Día anterior")</f>
        <v>Día actual</v>
      </c>
      <c r="C138" t="s">
        <v>50</v>
      </c>
      <c r="D138" t="s">
        <v>57</v>
      </c>
      <c r="E138" t="s">
        <v>265</v>
      </c>
      <c r="F138" t="s">
        <v>24</v>
      </c>
      <c r="G138" t="s">
        <v>53</v>
      </c>
      <c r="H138" t="s">
        <v>11</v>
      </c>
      <c r="I138" t="s">
        <v>7</v>
      </c>
      <c r="J138" t="s">
        <v>24</v>
      </c>
      <c r="K138" t="s">
        <v>102</v>
      </c>
      <c r="L138" t="s">
        <v>40</v>
      </c>
      <c r="M138">
        <v>1</v>
      </c>
    </row>
    <row r="139" spans="1:13" x14ac:dyDescent="0.35">
      <c r="A139" s="2">
        <v>46184</v>
      </c>
      <c r="B139" s="1" t="str">
        <f ca="1">IF(Información1[[#This Row],[Fecha]]='Ajuste de fechas'!$A$2,"Día actual","Día anterior")</f>
        <v>Día actual</v>
      </c>
      <c r="C139" t="s">
        <v>50</v>
      </c>
      <c r="D139" t="s">
        <v>57</v>
      </c>
      <c r="E139" t="s">
        <v>266</v>
      </c>
      <c r="F139" t="s">
        <v>19</v>
      </c>
      <c r="G139" t="s">
        <v>53</v>
      </c>
      <c r="H139" t="s">
        <v>11</v>
      </c>
      <c r="I139" t="s">
        <v>7</v>
      </c>
      <c r="J139" t="s">
        <v>43</v>
      </c>
      <c r="K139" t="s">
        <v>51</v>
      </c>
      <c r="L139" t="s">
        <v>40</v>
      </c>
      <c r="M139">
        <v>1</v>
      </c>
    </row>
    <row r="140" spans="1:13" x14ac:dyDescent="0.35">
      <c r="A140" s="2">
        <v>46184</v>
      </c>
      <c r="B140" s="1" t="str">
        <f ca="1">IF(Información1[[#This Row],[Fecha]]='Ajuste de fechas'!$A$2,"Día actual","Día anterior")</f>
        <v>Día actual</v>
      </c>
      <c r="C140" t="s">
        <v>50</v>
      </c>
      <c r="D140" t="s">
        <v>57</v>
      </c>
      <c r="E140" t="s">
        <v>267</v>
      </c>
      <c r="F140" t="s">
        <v>19</v>
      </c>
      <c r="G140" t="s">
        <v>268</v>
      </c>
      <c r="H140" t="s">
        <v>11</v>
      </c>
      <c r="I140" t="s">
        <v>7</v>
      </c>
      <c r="J140" t="s">
        <v>43</v>
      </c>
      <c r="K140" t="s">
        <v>51</v>
      </c>
      <c r="L140" t="s">
        <v>40</v>
      </c>
      <c r="M140">
        <v>1</v>
      </c>
    </row>
    <row r="141" spans="1:13" x14ac:dyDescent="0.35">
      <c r="A141" s="2">
        <v>46184</v>
      </c>
      <c r="B141" s="1" t="str">
        <f ca="1">IF(Información1[[#This Row],[Fecha]]='Ajuste de fechas'!$A$2,"Día actual","Día anterior")</f>
        <v>Día actual</v>
      </c>
      <c r="C141" t="s">
        <v>50</v>
      </c>
      <c r="D141" t="s">
        <v>57</v>
      </c>
      <c r="E141" t="s">
        <v>258</v>
      </c>
      <c r="F141" t="s">
        <v>72</v>
      </c>
      <c r="G141" t="s">
        <v>95</v>
      </c>
      <c r="H141" t="s">
        <v>11</v>
      </c>
      <c r="I141" t="s">
        <v>7</v>
      </c>
      <c r="J141" t="s">
        <v>39</v>
      </c>
      <c r="K141" t="s">
        <v>51</v>
      </c>
      <c r="L141" t="s">
        <v>42</v>
      </c>
      <c r="M141">
        <v>1</v>
      </c>
    </row>
    <row r="142" spans="1:13" x14ac:dyDescent="0.35">
      <c r="A142" s="2">
        <v>46184</v>
      </c>
      <c r="B142" s="1" t="str">
        <f ca="1">IF(Información1[[#This Row],[Fecha]]='Ajuste de fechas'!$A$2,"Día actual","Día anterior")</f>
        <v>Día actual</v>
      </c>
      <c r="C142" t="s">
        <v>269</v>
      </c>
      <c r="D142" t="s">
        <v>270</v>
      </c>
      <c r="E142" t="s">
        <v>271</v>
      </c>
      <c r="F142" t="s">
        <v>26</v>
      </c>
      <c r="G142" t="s">
        <v>172</v>
      </c>
      <c r="H142" t="s">
        <v>11</v>
      </c>
      <c r="I142" t="s">
        <v>7</v>
      </c>
      <c r="J142" t="s">
        <v>39</v>
      </c>
      <c r="K142" t="s">
        <v>272</v>
      </c>
      <c r="L142" t="s">
        <v>42</v>
      </c>
      <c r="M142">
        <v>1</v>
      </c>
    </row>
    <row r="143" spans="1:13" x14ac:dyDescent="0.35">
      <c r="A143" s="2">
        <v>46184</v>
      </c>
      <c r="B143" s="1" t="str">
        <f ca="1">IF(Información1[[#This Row],[Fecha]]='Ajuste de fechas'!$A$2,"Día actual","Día anterior")</f>
        <v>Día actual</v>
      </c>
      <c r="C143" t="s">
        <v>90</v>
      </c>
      <c r="D143" t="s">
        <v>91</v>
      </c>
      <c r="E143" t="s">
        <v>273</v>
      </c>
      <c r="F143" t="s">
        <v>21</v>
      </c>
      <c r="G143" t="s">
        <v>221</v>
      </c>
      <c r="H143" t="s">
        <v>11</v>
      </c>
      <c r="I143" t="s">
        <v>7</v>
      </c>
      <c r="J143" t="s">
        <v>39</v>
      </c>
      <c r="K143" t="s">
        <v>92</v>
      </c>
      <c r="L143" t="s">
        <v>42</v>
      </c>
      <c r="M143">
        <v>1</v>
      </c>
    </row>
    <row r="144" spans="1:13" x14ac:dyDescent="0.35">
      <c r="A144" s="2">
        <v>46184</v>
      </c>
      <c r="B144" s="1" t="str">
        <f ca="1">IF(Información1[[#This Row],[Fecha]]='Ajuste de fechas'!$A$2,"Día actual","Día anterior")</f>
        <v>Día actual</v>
      </c>
      <c r="C144" t="s">
        <v>90</v>
      </c>
      <c r="D144" t="s">
        <v>91</v>
      </c>
      <c r="E144" t="s">
        <v>258</v>
      </c>
      <c r="F144" t="s">
        <v>72</v>
      </c>
      <c r="G144" t="s">
        <v>95</v>
      </c>
      <c r="H144" t="s">
        <v>11</v>
      </c>
      <c r="I144" t="s">
        <v>7</v>
      </c>
      <c r="J144" t="s">
        <v>39</v>
      </c>
      <c r="K144" t="s">
        <v>92</v>
      </c>
      <c r="L144" t="s">
        <v>42</v>
      </c>
      <c r="M144">
        <v>1</v>
      </c>
    </row>
    <row r="145" spans="1:13" x14ac:dyDescent="0.35">
      <c r="A145" s="2">
        <v>46184</v>
      </c>
      <c r="B145" s="1" t="str">
        <f ca="1">IF(Información1[[#This Row],[Fecha]]='Ajuste de fechas'!$A$2,"Día actual","Día anterior")</f>
        <v>Día actual</v>
      </c>
      <c r="C145" t="s">
        <v>90</v>
      </c>
      <c r="D145" t="s">
        <v>91</v>
      </c>
      <c r="E145" t="s">
        <v>274</v>
      </c>
      <c r="F145" t="s">
        <v>26</v>
      </c>
      <c r="G145" t="s">
        <v>172</v>
      </c>
      <c r="H145" t="s">
        <v>11</v>
      </c>
      <c r="I145" t="s">
        <v>7</v>
      </c>
      <c r="J145" t="s">
        <v>39</v>
      </c>
      <c r="K145" t="s">
        <v>92</v>
      </c>
      <c r="L145" t="s">
        <v>42</v>
      </c>
      <c r="M145">
        <v>1</v>
      </c>
    </row>
    <row r="146" spans="1:13" x14ac:dyDescent="0.35">
      <c r="A146" s="2">
        <v>46184</v>
      </c>
      <c r="B146" s="1" t="str">
        <f ca="1">IF(Información1[[#This Row],[Fecha]]='Ajuste de fechas'!$A$2,"Día actual","Día anterior")</f>
        <v>Día actual</v>
      </c>
      <c r="C146" t="s">
        <v>90</v>
      </c>
      <c r="D146" t="s">
        <v>91</v>
      </c>
      <c r="E146" t="s">
        <v>275</v>
      </c>
      <c r="F146" t="s">
        <v>26</v>
      </c>
      <c r="G146" t="s">
        <v>172</v>
      </c>
      <c r="H146" t="s">
        <v>11</v>
      </c>
      <c r="I146" t="s">
        <v>7</v>
      </c>
      <c r="J146" t="s">
        <v>39</v>
      </c>
      <c r="K146" t="s">
        <v>92</v>
      </c>
      <c r="L146" t="s">
        <v>42</v>
      </c>
      <c r="M146">
        <v>1</v>
      </c>
    </row>
    <row r="147" spans="1:13" x14ac:dyDescent="0.35">
      <c r="A147" s="2">
        <v>46184</v>
      </c>
      <c r="B147" s="1" t="str">
        <f ca="1">IF(Información1[[#This Row],[Fecha]]='Ajuste de fechas'!$A$2,"Día actual","Día anterior")</f>
        <v>Día actual</v>
      </c>
      <c r="C147" t="s">
        <v>67</v>
      </c>
      <c r="D147" t="s">
        <v>68</v>
      </c>
      <c r="E147" t="s">
        <v>276</v>
      </c>
      <c r="F147" t="s">
        <v>62</v>
      </c>
      <c r="G147" t="s">
        <v>73</v>
      </c>
      <c r="H147" t="s">
        <v>11</v>
      </c>
      <c r="I147" t="s">
        <v>7</v>
      </c>
      <c r="J147" t="s">
        <v>39</v>
      </c>
      <c r="K147" t="s">
        <v>69</v>
      </c>
      <c r="L147" t="s">
        <v>42</v>
      </c>
      <c r="M147">
        <v>1</v>
      </c>
    </row>
    <row r="148" spans="1:13" x14ac:dyDescent="0.35">
      <c r="A148" s="2">
        <v>46184</v>
      </c>
      <c r="B148" s="1" t="str">
        <f ca="1">IF(Información1[[#This Row],[Fecha]]='Ajuste de fechas'!$A$2,"Día actual","Día anterior")</f>
        <v>Día actual</v>
      </c>
      <c r="C148" t="s">
        <v>67</v>
      </c>
      <c r="D148" t="s">
        <v>68</v>
      </c>
      <c r="E148" t="s">
        <v>277</v>
      </c>
      <c r="F148" t="s">
        <v>56</v>
      </c>
      <c r="G148" t="s">
        <v>96</v>
      </c>
      <c r="H148" t="s">
        <v>11</v>
      </c>
      <c r="I148" t="s">
        <v>7</v>
      </c>
      <c r="J148" t="s">
        <v>24</v>
      </c>
      <c r="K148" t="s">
        <v>69</v>
      </c>
      <c r="L148" t="s">
        <v>40</v>
      </c>
      <c r="M148">
        <v>1</v>
      </c>
    </row>
    <row r="149" spans="1:13" x14ac:dyDescent="0.35">
      <c r="A149" s="2">
        <v>46184</v>
      </c>
      <c r="B149" s="1" t="str">
        <f ca="1">IF(Información1[[#This Row],[Fecha]]='Ajuste de fechas'!$A$2,"Día actual","Día anterior")</f>
        <v>Día actual</v>
      </c>
      <c r="C149" t="s">
        <v>67</v>
      </c>
      <c r="D149" t="s">
        <v>68</v>
      </c>
      <c r="E149" t="s">
        <v>237</v>
      </c>
      <c r="F149" t="s">
        <v>31</v>
      </c>
      <c r="G149" t="s">
        <v>238</v>
      </c>
      <c r="H149" t="s">
        <v>11</v>
      </c>
      <c r="I149" t="s">
        <v>7</v>
      </c>
      <c r="J149" t="s">
        <v>39</v>
      </c>
      <c r="K149" t="s">
        <v>69</v>
      </c>
      <c r="L149" t="s">
        <v>42</v>
      </c>
      <c r="M149">
        <v>1</v>
      </c>
    </row>
    <row r="150" spans="1:13" x14ac:dyDescent="0.35">
      <c r="A150" s="2">
        <v>46184</v>
      </c>
      <c r="B150" s="1" t="str">
        <f ca="1">IF(Información1[[#This Row],[Fecha]]='Ajuste de fechas'!$A$2,"Día actual","Día anterior")</f>
        <v>Día actual</v>
      </c>
      <c r="C150" t="s">
        <v>67</v>
      </c>
      <c r="D150" t="s">
        <v>68</v>
      </c>
      <c r="E150" t="s">
        <v>274</v>
      </c>
      <c r="F150" t="s">
        <v>26</v>
      </c>
      <c r="G150" t="s">
        <v>172</v>
      </c>
      <c r="H150" t="s">
        <v>11</v>
      </c>
      <c r="I150" t="s">
        <v>7</v>
      </c>
      <c r="J150" t="s">
        <v>39</v>
      </c>
      <c r="K150" t="s">
        <v>69</v>
      </c>
      <c r="L150" t="s">
        <v>42</v>
      </c>
      <c r="M150">
        <v>1</v>
      </c>
    </row>
    <row r="151" spans="1:13" x14ac:dyDescent="0.35">
      <c r="A151" s="2">
        <v>46184</v>
      </c>
      <c r="B151" s="1" t="str">
        <f ca="1">IF(Información1[[#This Row],[Fecha]]='Ajuste de fechas'!$A$2,"Día actual","Día anterior")</f>
        <v>Día actual</v>
      </c>
      <c r="C151" t="s">
        <v>67</v>
      </c>
      <c r="D151" t="s">
        <v>68</v>
      </c>
      <c r="E151" t="s">
        <v>275</v>
      </c>
      <c r="F151" t="s">
        <v>26</v>
      </c>
      <c r="G151" t="s">
        <v>172</v>
      </c>
      <c r="H151" t="s">
        <v>11</v>
      </c>
      <c r="I151" t="s">
        <v>7</v>
      </c>
      <c r="J151" t="s">
        <v>39</v>
      </c>
      <c r="K151" t="s">
        <v>69</v>
      </c>
      <c r="L151" t="s">
        <v>42</v>
      </c>
      <c r="M151">
        <v>1</v>
      </c>
    </row>
    <row r="152" spans="1:13" x14ac:dyDescent="0.35">
      <c r="A152" s="2">
        <v>46184</v>
      </c>
      <c r="B152" s="1" t="str">
        <f ca="1">IF(Información1[[#This Row],[Fecha]]='Ajuste de fechas'!$A$2,"Día actual","Día anterior")</f>
        <v>Día actual</v>
      </c>
      <c r="C152" t="s">
        <v>28</v>
      </c>
      <c r="D152" t="s">
        <v>278</v>
      </c>
      <c r="E152" t="s">
        <v>279</v>
      </c>
      <c r="F152" t="s">
        <v>22</v>
      </c>
      <c r="G152" t="s">
        <v>53</v>
      </c>
      <c r="H152" t="s">
        <v>11</v>
      </c>
      <c r="I152" t="s">
        <v>25</v>
      </c>
      <c r="J152" t="s">
        <v>44</v>
      </c>
      <c r="K152" t="s">
        <v>280</v>
      </c>
      <c r="L152" t="s">
        <v>281</v>
      </c>
      <c r="M152">
        <v>1</v>
      </c>
    </row>
    <row r="153" spans="1:13" x14ac:dyDescent="0.35">
      <c r="A153" s="2">
        <v>46184</v>
      </c>
      <c r="B153" s="1" t="str">
        <f ca="1">IF(Información1[[#This Row],[Fecha]]='Ajuste de fechas'!$A$2,"Día actual","Día anterior")</f>
        <v>Día actual</v>
      </c>
      <c r="C153" t="s">
        <v>28</v>
      </c>
      <c r="D153" t="s">
        <v>278</v>
      </c>
      <c r="E153" t="s">
        <v>282</v>
      </c>
      <c r="F153" t="s">
        <v>48</v>
      </c>
      <c r="G153" t="s">
        <v>283</v>
      </c>
      <c r="H153" t="s">
        <v>11</v>
      </c>
      <c r="I153" t="s">
        <v>7</v>
      </c>
      <c r="J153" t="s">
        <v>39</v>
      </c>
      <c r="K153" t="s">
        <v>280</v>
      </c>
      <c r="L153" t="s">
        <v>40</v>
      </c>
      <c r="M153">
        <v>1</v>
      </c>
    </row>
    <row r="154" spans="1:13" x14ac:dyDescent="0.35">
      <c r="A154" s="2">
        <v>46184</v>
      </c>
      <c r="B154" s="1" t="str">
        <f ca="1">IF(Información1[[#This Row],[Fecha]]='Ajuste de fechas'!$A$2,"Día actual","Día anterior")</f>
        <v>Día actual</v>
      </c>
      <c r="C154" t="s">
        <v>28</v>
      </c>
      <c r="D154" t="s">
        <v>278</v>
      </c>
      <c r="E154" t="s">
        <v>284</v>
      </c>
      <c r="F154" t="s">
        <v>19</v>
      </c>
      <c r="G154" t="s">
        <v>285</v>
      </c>
      <c r="H154" t="s">
        <v>11</v>
      </c>
      <c r="I154" t="s">
        <v>7</v>
      </c>
      <c r="J154" t="s">
        <v>43</v>
      </c>
      <c r="K154" t="s">
        <v>280</v>
      </c>
      <c r="L154" t="s">
        <v>40</v>
      </c>
      <c r="M154">
        <v>1</v>
      </c>
    </row>
    <row r="155" spans="1:13" x14ac:dyDescent="0.35">
      <c r="A155" s="2">
        <v>46184</v>
      </c>
      <c r="B155" s="1" t="str">
        <f ca="1">IF(Información1[[#This Row],[Fecha]]='Ajuste de fechas'!$A$2,"Día actual","Día anterior")</f>
        <v>Día actual</v>
      </c>
      <c r="C155" t="s">
        <v>28</v>
      </c>
      <c r="D155" t="s">
        <v>278</v>
      </c>
      <c r="E155" t="s">
        <v>286</v>
      </c>
      <c r="F155" t="s">
        <v>22</v>
      </c>
      <c r="G155" t="s">
        <v>287</v>
      </c>
      <c r="H155" t="s">
        <v>11</v>
      </c>
      <c r="I155" t="s">
        <v>7</v>
      </c>
      <c r="J155" t="s">
        <v>44</v>
      </c>
      <c r="K155" t="s">
        <v>280</v>
      </c>
      <c r="L155" t="s">
        <v>40</v>
      </c>
      <c r="M155">
        <v>1</v>
      </c>
    </row>
    <row r="156" spans="1:13" x14ac:dyDescent="0.35">
      <c r="A156" s="2">
        <v>46184</v>
      </c>
      <c r="B156" s="1" t="str">
        <f ca="1">IF(Información1[[#This Row],[Fecha]]='Ajuste de fechas'!$A$2,"Día actual","Día anterior")</f>
        <v>Día actual</v>
      </c>
      <c r="C156" t="s">
        <v>28</v>
      </c>
      <c r="D156" t="s">
        <v>278</v>
      </c>
      <c r="E156" t="s">
        <v>288</v>
      </c>
      <c r="F156" t="s">
        <v>72</v>
      </c>
      <c r="G156" t="s">
        <v>95</v>
      </c>
      <c r="H156" t="s">
        <v>11</v>
      </c>
      <c r="I156" t="s">
        <v>7</v>
      </c>
      <c r="J156" t="s">
        <v>39</v>
      </c>
      <c r="K156" t="s">
        <v>280</v>
      </c>
      <c r="L156" t="s">
        <v>40</v>
      </c>
      <c r="M156">
        <v>1</v>
      </c>
    </row>
    <row r="157" spans="1:13" x14ac:dyDescent="0.35">
      <c r="A157" s="2">
        <v>46184</v>
      </c>
      <c r="B157" s="1" t="str">
        <f ca="1">IF(Información1[[#This Row],[Fecha]]='Ajuste de fechas'!$A$2,"Día actual","Día anterior")</f>
        <v>Día actual</v>
      </c>
      <c r="C157" t="s">
        <v>28</v>
      </c>
      <c r="D157" t="s">
        <v>278</v>
      </c>
      <c r="E157" t="s">
        <v>289</v>
      </c>
      <c r="F157" t="s">
        <v>19</v>
      </c>
      <c r="G157" t="s">
        <v>290</v>
      </c>
      <c r="H157" t="s">
        <v>11</v>
      </c>
      <c r="I157" t="s">
        <v>7</v>
      </c>
      <c r="J157" t="s">
        <v>43</v>
      </c>
      <c r="K157" t="s">
        <v>280</v>
      </c>
      <c r="L157" t="s">
        <v>40</v>
      </c>
      <c r="M157">
        <v>1</v>
      </c>
    </row>
    <row r="158" spans="1:13" x14ac:dyDescent="0.35">
      <c r="A158" s="2">
        <v>46184</v>
      </c>
      <c r="B158" s="1" t="str">
        <f ca="1">IF(Información1[[#This Row],[Fecha]]='Ajuste de fechas'!$A$2,"Día actual","Día anterior")</f>
        <v>Día actual</v>
      </c>
      <c r="C158" t="s">
        <v>28</v>
      </c>
      <c r="D158" t="s">
        <v>278</v>
      </c>
      <c r="E158" t="s">
        <v>291</v>
      </c>
      <c r="F158" t="s">
        <v>26</v>
      </c>
      <c r="G158" t="s">
        <v>172</v>
      </c>
      <c r="H158" t="s">
        <v>11</v>
      </c>
      <c r="I158" t="s">
        <v>7</v>
      </c>
      <c r="J158" t="s">
        <v>39</v>
      </c>
      <c r="K158" t="s">
        <v>280</v>
      </c>
      <c r="L158" t="s">
        <v>40</v>
      </c>
      <c r="M158">
        <v>1</v>
      </c>
    </row>
    <row r="159" spans="1:13" x14ac:dyDescent="0.35">
      <c r="A159" s="2">
        <v>46184</v>
      </c>
      <c r="B159" s="1" t="str">
        <f ca="1">IF(Información1[[#This Row],[Fecha]]='Ajuste de fechas'!$A$2,"Día actual","Día anterior")</f>
        <v>Día actual</v>
      </c>
      <c r="C159" t="s">
        <v>28</v>
      </c>
      <c r="D159" t="s">
        <v>278</v>
      </c>
      <c r="E159" t="s">
        <v>292</v>
      </c>
      <c r="F159" t="s">
        <v>22</v>
      </c>
      <c r="G159" t="s">
        <v>53</v>
      </c>
      <c r="H159" t="s">
        <v>11</v>
      </c>
      <c r="I159" t="s">
        <v>7</v>
      </c>
      <c r="J159" t="s">
        <v>44</v>
      </c>
      <c r="K159" t="s">
        <v>280</v>
      </c>
      <c r="L159" t="s">
        <v>41</v>
      </c>
      <c r="M159">
        <v>1</v>
      </c>
    </row>
    <row r="160" spans="1:13" x14ac:dyDescent="0.35">
      <c r="A160" s="2">
        <v>46184</v>
      </c>
      <c r="B160" s="1" t="str">
        <f ca="1">IF(Información1[[#This Row],[Fecha]]='Ajuste de fechas'!$A$2,"Día actual","Día anterior")</f>
        <v>Día actual</v>
      </c>
      <c r="C160" t="s">
        <v>50</v>
      </c>
      <c r="D160" t="s">
        <v>52</v>
      </c>
      <c r="E160" t="s">
        <v>293</v>
      </c>
      <c r="F160" t="s">
        <v>19</v>
      </c>
      <c r="G160" t="s">
        <v>53</v>
      </c>
      <c r="H160" t="s">
        <v>11</v>
      </c>
      <c r="I160" t="s">
        <v>7</v>
      </c>
      <c r="J160" t="s">
        <v>43</v>
      </c>
      <c r="K160" t="s">
        <v>51</v>
      </c>
      <c r="L160" t="s">
        <v>40</v>
      </c>
      <c r="M160">
        <v>1</v>
      </c>
    </row>
    <row r="161" spans="1:13" x14ac:dyDescent="0.35">
      <c r="A161" s="2">
        <v>46184</v>
      </c>
      <c r="B161" s="1" t="str">
        <f ca="1">IF(Información1[[#This Row],[Fecha]]='Ajuste de fechas'!$A$2,"Día actual","Día anterior")</f>
        <v>Día actual</v>
      </c>
      <c r="C161" t="s">
        <v>50</v>
      </c>
      <c r="D161" t="s">
        <v>52</v>
      </c>
      <c r="E161" t="s">
        <v>294</v>
      </c>
      <c r="F161" t="s">
        <v>21</v>
      </c>
      <c r="G161" t="s">
        <v>295</v>
      </c>
      <c r="H161" t="s">
        <v>11</v>
      </c>
      <c r="I161" t="s">
        <v>12</v>
      </c>
      <c r="J161" t="s">
        <v>39</v>
      </c>
      <c r="K161" t="s">
        <v>49</v>
      </c>
      <c r="L161" t="s">
        <v>40</v>
      </c>
      <c r="M161">
        <v>1</v>
      </c>
    </row>
    <row r="162" spans="1:13" x14ac:dyDescent="0.35">
      <c r="A162" s="2">
        <v>46184</v>
      </c>
      <c r="B162" s="1" t="str">
        <f ca="1">IF(Información1[[#This Row],[Fecha]]='Ajuste de fechas'!$A$2,"Día actual","Día anterior")</f>
        <v>Día actual</v>
      </c>
      <c r="C162" t="s">
        <v>50</v>
      </c>
      <c r="D162" t="s">
        <v>52</v>
      </c>
      <c r="E162" t="s">
        <v>296</v>
      </c>
      <c r="F162" t="s">
        <v>6</v>
      </c>
      <c r="G162" t="s">
        <v>95</v>
      </c>
      <c r="H162" t="s">
        <v>11</v>
      </c>
      <c r="I162" t="s">
        <v>7</v>
      </c>
      <c r="J162" t="s">
        <v>39</v>
      </c>
      <c r="K162" t="s">
        <v>49</v>
      </c>
      <c r="L162" t="s">
        <v>42</v>
      </c>
      <c r="M162">
        <v>1</v>
      </c>
    </row>
    <row r="163" spans="1:13" x14ac:dyDescent="0.35">
      <c r="A163" s="2">
        <v>46184</v>
      </c>
      <c r="B163" s="1" t="str">
        <f ca="1">IF(Información1[[#This Row],[Fecha]]='Ajuste de fechas'!$A$2,"Día actual","Día anterior")</f>
        <v>Día actual</v>
      </c>
      <c r="C163" t="s">
        <v>50</v>
      </c>
      <c r="D163" t="s">
        <v>52</v>
      </c>
      <c r="E163" t="s">
        <v>227</v>
      </c>
      <c r="F163" t="s">
        <v>23</v>
      </c>
      <c r="G163" t="s">
        <v>76</v>
      </c>
      <c r="H163" t="s">
        <v>11</v>
      </c>
      <c r="I163" t="s">
        <v>7</v>
      </c>
      <c r="J163" t="s">
        <v>39</v>
      </c>
      <c r="K163" t="s">
        <v>49</v>
      </c>
      <c r="L163" t="s">
        <v>42</v>
      </c>
      <c r="M163">
        <v>1</v>
      </c>
    </row>
    <row r="164" spans="1:13" x14ac:dyDescent="0.35">
      <c r="A164" s="2">
        <v>46184</v>
      </c>
      <c r="B164" s="1" t="str">
        <f ca="1">IF(Información1[[#This Row],[Fecha]]='Ajuste de fechas'!$A$2,"Día actual","Día anterior")</f>
        <v>Día actual</v>
      </c>
      <c r="C164" t="s">
        <v>50</v>
      </c>
      <c r="D164" t="s">
        <v>52</v>
      </c>
      <c r="E164" t="s">
        <v>258</v>
      </c>
      <c r="F164" t="s">
        <v>72</v>
      </c>
      <c r="G164" t="s">
        <v>95</v>
      </c>
      <c r="H164" t="s">
        <v>11</v>
      </c>
      <c r="I164" t="s">
        <v>7</v>
      </c>
      <c r="J164" t="s">
        <v>39</v>
      </c>
      <c r="K164" t="s">
        <v>49</v>
      </c>
      <c r="L164" t="s">
        <v>42</v>
      </c>
      <c r="M164">
        <v>1</v>
      </c>
    </row>
    <row r="165" spans="1:13" x14ac:dyDescent="0.35">
      <c r="A165" s="2">
        <v>46184</v>
      </c>
      <c r="B165" s="1" t="str">
        <f ca="1">IF(Información1[[#This Row],[Fecha]]='Ajuste de fechas'!$A$2,"Día actual","Día anterior")</f>
        <v>Día actual</v>
      </c>
      <c r="C165" t="s">
        <v>50</v>
      </c>
      <c r="D165" t="s">
        <v>52</v>
      </c>
      <c r="E165" t="s">
        <v>274</v>
      </c>
      <c r="F165" t="s">
        <v>26</v>
      </c>
      <c r="G165" t="s">
        <v>172</v>
      </c>
      <c r="H165" t="s">
        <v>11</v>
      </c>
      <c r="I165" t="s">
        <v>7</v>
      </c>
      <c r="J165" t="s">
        <v>39</v>
      </c>
      <c r="K165" t="s">
        <v>49</v>
      </c>
      <c r="L165" t="s">
        <v>42</v>
      </c>
      <c r="M165">
        <v>1</v>
      </c>
    </row>
    <row r="166" spans="1:13" x14ac:dyDescent="0.35">
      <c r="A166" s="2">
        <v>46184</v>
      </c>
      <c r="B166" s="1" t="str">
        <f ca="1">IF(Información1[[#This Row],[Fecha]]='Ajuste de fechas'!$A$2,"Día actual","Día anterior")</f>
        <v>Día actual</v>
      </c>
      <c r="C166" t="s">
        <v>50</v>
      </c>
      <c r="D166" t="s">
        <v>52</v>
      </c>
      <c r="E166" t="s">
        <v>275</v>
      </c>
      <c r="F166" t="s">
        <v>26</v>
      </c>
      <c r="G166" t="s">
        <v>172</v>
      </c>
      <c r="H166" t="s">
        <v>11</v>
      </c>
      <c r="I166" t="s">
        <v>7</v>
      </c>
      <c r="J166" t="s">
        <v>39</v>
      </c>
      <c r="K166" t="s">
        <v>49</v>
      </c>
      <c r="L166" t="s">
        <v>42</v>
      </c>
      <c r="M166">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4.5" x14ac:dyDescent="0.35"/>
  <sheetData>
    <row r="1" spans="1:2" x14ac:dyDescent="0.35">
      <c r="A1" t="s">
        <v>46</v>
      </c>
      <c r="B1" t="s">
        <v>47</v>
      </c>
    </row>
    <row r="2" spans="1:2" x14ac:dyDescent="0.35">
      <c r="A2" s="2">
        <f ca="1">TODAY()</f>
        <v>46184</v>
      </c>
      <c r="B2" s="2">
        <f ca="1">A2-1</f>
        <v>46183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2026-06-12T00:29:37Z</dcterms:modified>
</cp:coreProperties>
</file>