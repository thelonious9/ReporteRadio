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E0680ADC-C93D-4E1A-85C9-9EDE2D251ED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6" i="2" l="1"/>
  <c r="B17" i="2"/>
  <c r="B22" i="2"/>
  <c r="B18" i="2"/>
  <c r="B19" i="2"/>
  <c r="B21" i="2"/>
  <c r="B20" i="2"/>
  <c r="B23" i="2"/>
  <c r="B24" i="2"/>
  <c r="B25" i="2"/>
  <c r="B26" i="2"/>
  <c r="B27" i="2"/>
  <c r="B28" i="2"/>
  <c r="B29" i="2"/>
  <c r="B30" i="2"/>
  <c r="B31" i="2"/>
  <c r="B32" i="2"/>
  <c r="B2" i="2"/>
  <c r="B3" i="2"/>
  <c r="B4" i="2"/>
  <c r="B5" i="2"/>
  <c r="B6" i="2"/>
  <c r="B7" i="2"/>
  <c r="B8" i="2"/>
  <c r="B9" i="2"/>
  <c r="B10" i="2"/>
  <c r="B11" i="2"/>
  <c r="B12" i="2"/>
  <c r="B13" i="2"/>
  <c r="B14" i="2"/>
  <c r="B15" i="2"/>
  <c r="B33" i="2"/>
  <c r="B34" i="2"/>
  <c r="B35" i="2"/>
  <c r="B36" i="2"/>
  <c r="B37" i="2"/>
  <c r="B38" i="2"/>
  <c r="B39" i="2"/>
  <c r="B40" i="2"/>
  <c r="B41" i="2"/>
  <c r="B4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<sst xmlns="http://schemas.openxmlformats.org/spreadsheetml/2006/main" count="425" uniqueCount="116">
  <si>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</si>
  <si>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</si>
  <si>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</si>
  <si>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</si>
  <si>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</si>
  <si>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</si>
  <si>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</si>
  <si>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</si>
  <si>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</si>
  <si>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</si>
  <si>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</si>
  <si>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</si>
  <si>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</si>
  <si>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</si>
  <si>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</si>
  <si>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</si>
  <si>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</si>
  <si>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</si>
  <si>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</si>
  <si>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</si>
  <si>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</si>
  <si>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</si>
  <si>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</si>
  <si>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</si>
  <si>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</si>
  <si>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</si>
  <si>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</si>
  <si>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</si>
  <si>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</si>
  <si>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</si>
  <si>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</si>
  <si>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</si>
  <si>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</si>
  <si>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</si>
  <si>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</si>
  <si>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</si>
  <si>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</si>
  <si>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</si>
  <si>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</si>
  <si>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</si>
  <si>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</si>
  <si>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</si>
  <si>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Entrevista</t>
  </si>
  <si>
    <t>Turismo</t>
  </si>
  <si>
    <t>Eulalio Larrieta agradece a Carlos Gamiño por estar al pendiente de temas.</t>
  </si>
  <si>
    <t>Bienestar</t>
  </si>
  <si>
    <t>DIFH</t>
  </si>
  <si>
    <t>Testamento</t>
  </si>
  <si>
    <t>Eulalio Larrieta agradece a Edith Balderas de la Secretaria de Educación Pública.</t>
  </si>
  <si>
    <t>Segobh</t>
  </si>
  <si>
    <t>Eulalio Larrieta agradece a Jair Martínez de la SEGOBH, porque esta al pendiente de lo que se necesite y los reportes.</t>
  </si>
  <si>
    <t>Regreso A Clases</t>
  </si>
  <si>
    <t>Auxilio vial</t>
  </si>
  <si>
    <t>Atropellamiento</t>
  </si>
  <si>
    <t>Abasto de agua</t>
  </si>
  <si>
    <t>Atención Afectaciones Por Lluvias</t>
  </si>
  <si>
    <t>SSH</t>
  </si>
  <si>
    <t>Cultura</t>
  </si>
  <si>
    <t>Expo Artesanal</t>
  </si>
  <si>
    <t>Informe De Gobierno</t>
  </si>
  <si>
    <t>Se fortalecen a Pueblos Mágicos con estrategia de seguimiento y mejora continua</t>
  </si>
  <si>
    <t>Pueblos Mágicos</t>
  </si>
  <si>
    <t>Queja padres de familia</t>
  </si>
  <si>
    <t>Tráfico vial</t>
  </si>
  <si>
    <t>RADIO LOCAL</t>
  </si>
  <si>
    <t>Radioescucha hace un llamado a Movilidad y Transporte y al encargado de la ruta concesionaria de la ruta Pachuca-Santa María Tecajete «Muy mal servicio, una hora, de 8 a 9 de la noche tarda una Urvan». Por favor, ayúdenos. Hay que checar esto de Movilidad y Transporte, qué es lo que está pasando con estas unidades.</t>
  </si>
  <si>
    <t>Queja transporte público</t>
  </si>
  <si>
    <t>Radioescucha Lore comenta: “Que si de por sí pasaban muy pocas alimentadoras, ahora que se reanudaron las las clases, está peor, de plano debemos tomar otro transporte o de plano un taxi”</t>
  </si>
  <si>
    <t>Alimentadoras Tuzobús</t>
  </si>
  <si>
    <t>Radioescucha reporta que el transporte público concesionado, y el comentario es que esta colectiva que está en la foto es de un chofer que trae música obscena a todo volumen, no le importa, hay mujeres, niños y todo...</t>
  </si>
  <si>
    <t>Sobre el comentario del radioescucha sobre coladeras tapas, el conductor Eulali Larriea comenta : Que según arreglaron ahí en la Rojo Gómez el drenaje, ¿se acuerdan que se metía a las casas y todo eso? No, cada que llueve otra vez yo veo que pusieron muchos parches, pero se sale de las coladeras el agua impresionante. Y todo va a dar al dispensario médico, al centro de salud que está ahí de la de de de la Rojo Gómez, lamentablemente.</t>
  </si>
  <si>
    <t>Alcantarillado</t>
  </si>
  <si>
    <t>Radioescucha reporta las coladeras que quitaron en la calle de Actopan y Epazoyucan del Infonavit de Santa Julia</t>
  </si>
  <si>
    <t>Radioescucha reporta que todas las coladeras de G. Bonfil desde Aquiles Serdan hasta el Palmar estan taponeadas, se sale el agua del alcantarillado</t>
  </si>
  <si>
    <t>Radioescucha reporta falta de agua en Ferrocarril Central en Ampliación Santa Julia</t>
  </si>
  <si>
    <t>Comenta conductor sobre un reporte: Tengo un reporte de una escuela en la que no permitieron a los niños entrar porque no pagaron... ¿cómo se llama? La cuota. Sí, y pues dices: «¿De qué pasa esto, no? ¿Por qué lo hacen? ¿Por qué?». Si no... Si ya dijo el secretario de Educación Pública que no se debe de hacer eso, no está... Ahí le dice: «Para comentarle que en la escuela Gaudencio Morales, en el turno de la tarde, regresaron a unos niñitos porque no habían pagado la cuota... la cuota de inscripción. Cuando los citaron hoy... o sea, ayer, para pagar, la directora les dijo que estaba muy ocupada y que hasta el día de mañana iba a cobrarles».Ah... dice... dice: «Hasta mañana». Y no los dejó entrar. Cuando las mamás le dijeron que los dejara entrar, muy grosera y déspota no dejó entrar a los niños. ¡Híjole! Y los niños llorando, inclusive. ¡Qué...! Qué situaciones pasan. Bueno, pero ahí está. Es en la escuela Gaudencio Morales, turno vespertino. ¿En dónde está esta escuela? ¿Dónde está esta escuela para pasar el reporte a la licenciada Edurne Balderas? No está, pero bueno, ahorita lo pasamos. Se lo pasamos ahorita. Sí produce da coraje, ¿no? Es turno vespertino, pero no nos dijeron en dónde está la escuela, ese es el problema. Pero bueno...</t>
  </si>
  <si>
    <t>Cuotas escolares</t>
  </si>
  <si>
    <t>Radioescucha manda audio : ¡ Señor gobernador Julio Menchaca, ponga solución aquí al sur de la ciudad, ya que es un caos impresionante con los vehículos y se tarda uno una hora hasta hora y media, cuando antes se hacían 10 o 15 minutos. Se lo vamos a agradecer bastante</t>
  </si>
  <si>
    <t>Radioescucha : Agradezco muchísimo su valioso apoyo, sí llegaron las pipas a abastecer, gracias». ¿Esto en dónde fue? ¿Dónde fue? Ah, es que no nos dicen dónde... ¡En Los Arcos! Ah, sí llegaron, claro, sí llegaron. Qué bueno, qué bueno, eso es muy importante aquí para compartirle a Pao, porque a Pao no le compartieron la respuesta. Es lo que les digo, que alguien más no hace su chamba correctamente, no hay retroalimentación para con ellos y ellos no nos dan a nosotros, no no es culpa...</t>
  </si>
  <si>
    <t>Radioescuchas se quejan de mucho tráfico en ambos sentidos en Boulevard Felipe Ángeles</t>
  </si>
  <si>
    <t>Radioescucha solicita nuevamente que manden una patrulla en los horarios frente en en horas pico frente al IMSS de la de la Clínica Número 36 al ISSSTE. La gente se sigue estacionando hasta en tres filas</t>
  </si>
  <si>
    <t>Con el objetivo de garantizar un regreso a clases seguro y ordenado, la Secretaría de Seguridad Pública, Tránsito y Vialidad de Pachuca implementó el OperativoEspecial Regreso a Clases en 51 instituciones educativas públicas y privadas de distintos niveles.Durante el despliegue, realizado de 7:45 a 9:15 horas, elementos de la corporación brindaron vigilancia preventiva y apoyo a la circulación en las inmediaciones de los planteles, para facilitar el ingreso de estudiantes y contribuir a la fluidez del tránsito vehicular.En total, 17 mil 69 alumnas y alumnos fueron beneficiados con estas acciones, que también estuvieron dirigidas a brindar mayor seguridad a madres y padres de familia, docentes y personal administrativo durante el regreso a las actividades escolares.</t>
  </si>
  <si>
    <t>Vía telefónica comandante Óscar Sánchez Director General de Tránsito y Vialidad del Municipio de Pachuca con el tema: sobre el trafico y circulación en vialidades de Pachuca. Estamos circulando sobre Colosio y tenemos cargado, tenemos asentamiento de lo que es la el Trébol con dirección a Actopan, está esto totalmente cargado ocupando los cuatro carriles, luego eh en los puentes elevados nos vamos a dos, con un promedio de retraso aproximadamente está de de 15 a 20 minutos.Bulevar Felipe Ángeles también, eh lo que es eh desde la Clínica 36 hasta salida a Matilde. Ayer hubo unos aforos, unos estudios, igual se está mmm viendo con el dispositivo porque tenemos tenemos dispositivos desde lo que es la Clínica 36, lo que es igual el puente Colonias, lo que es eh puente de Las Torres y lo que es a la altura de Matilde, esto para darle continuidad, pero la misma carga que se que se nos ha generado y ya nada más es a dos carriles de este eh dirección Ciudad de México, es lo que nos ha generado un asentamiento pues sí grave, considerable, de más de más de una hora eh en este sentido.Recordemos que no tenemos el par vial ahorita todavía abierto de G. Bonfil y es lo que igual tenemos un aforo más de 20% que podrían ocupar esas vías alternas, pero ahorita todavía se mantienen cerradas. Ya en unos días esperamos tener buenas noticias para poder abrir y poder ir desahogando más e ir minimizando esas horas pico que se tienen sobre estos bulevares.Sobre Minero está circulando sin sin problemas, tenemos un promedio de 7 minutos desde lo que es este Barranca Blanca hasta lo que es la salida a Actopan eh fluyendo. En sentido central ahorita está igual totalmente controlada en en ese sector.</t>
  </si>
  <si>
    <t>Participación semanal de Mtro. Roberto Rico con el tema : Mes del testamento</t>
  </si>
  <si>
    <t>La SIPDUS informó que partir del miércoles 2 de septiembre, comenzarán los trabajos de rehabilitación con concreto hidráulico en la calle Jaime Nunó, por lo que habrá cierres a la circulación en los tramos señalados.</t>
  </si>
  <si>
    <t>Rehabilitación Vial</t>
  </si>
  <si>
    <t>Informa conductor Eulalio Larrieta : que una unidad del Tuzobús, no sé si es en dirección Centro o dirección Ciudad de México, se descompuso en su carril,¿Y ahora qué va a pasar? ¿Va a invadir el carril de los... de los... de los este "terrenales"? ¿O qué pasó? No le entendí ahí. No entendí ahí qué va a pasar y quién lo va a sancionar porque va a invadir el carril de de los "terrenales".Fíjense, buena pregunta, buena pregunta. Esto fue a la altura del Juan C. Doria. Por favor, tenga mucho cuidado al circular. La información sigue en desarrollo.</t>
  </si>
  <si>
    <t>Incidente Tuzobús</t>
  </si>
  <si>
    <t>Capacita SSH a 163 profesionales y estudiantes para la detección oportuna del cáncer de cuello uterino</t>
  </si>
  <si>
    <t>Capacitación médica</t>
  </si>
  <si>
    <t>Secretaría de Cultura lleva al Congreso del Estado la campaña #HidalgoNoRegatea</t>
  </si>
  <si>
    <t>En cuatro años, el gobierno de Hidalgo ha destinado 121 mil millones de pesos a la educación</t>
  </si>
  <si>
    <t>En el primer semestre del 2026 Hidalgo recibió más de 800 millones de dólares por remesas</t>
  </si>
  <si>
    <t>Remesas</t>
  </si>
  <si>
    <t>Reportan en este momento un atropellamiento de una mujer policía a fuera de las instalaciones del Hospital de Niño DIFH.</t>
  </si>
  <si>
    <t>NQ 90.1 FM</t>
  </si>
  <si>
    <t>Enlace Hidalgo1</t>
  </si>
  <si>
    <t>Locutor Jesús Riveros da lectura a comentario de radioescucha que manda reporte de audio: "Buenos días, buenos días, soy vecino de Santiago Tlapacoya, veo que andan por aquí los de Transporte del Estado, ojalá que pudieran quitarle a las colectivas y a los taxis todos esos focos que lastiman, estrobos y y luces que no son corteses y no dan cambio de luz en la noche. Ojalá que los los regulen. Gracias, buen día”. Jesús Riveros responde: Pues al parecer están pasando revista a las colectivas y pues bueno, también hemos tenido constantes reportes, ya sabe, que si aumentó el pasaje y las condiciones físicas, los malos tratos en algunas, no en todas, hay que subrayarlo, pues continúan”.</t>
  </si>
  <si>
    <t>Entrevista vía telefónica Pedro Luis Noble Monterrubio, residente del Colegio de Notarios del Estado de Hidalgo - Habló sobre el lanzamiento de la campaña "Mes del Testamento" en Hidalgo (septiembre-octubre) y difusión de tarifas preferenciales. La campaña incluye costos reducidos congelados desde hace 3 años: $950 pesos + IVA para adultos mayores de 60 años, $2,500 pesos + IVA para público general menor de 60 años y $500 pesos para cuerpos operativos de seguridad/bomberos. El Gobierno del Estado exenta el pago de derechos de aviso ante el Registro Nacional de Testamentos. La asesoría jurídica notarial es gratuita; la tarifa aplica exclusivamente a la elaboración del testamento básico (designación general de herederos, no legados específicos).</t>
  </si>
  <si>
    <t>Jesús Riveros</t>
  </si>
  <si>
    <t>Juan Carlos Santamaría</t>
  </si>
  <si>
    <t>DIFH adquiere tecnología robótica para rehabilitación</t>
  </si>
  <si>
    <t>Centros de Rehabilitación</t>
  </si>
  <si>
    <t>Síndicos y regidores entregan segundo informe de actividades Los dos síndicos y 19 regidoras y regidores del Ayuntamiento de Tulancingo entregaron su segundo informe anual de actividades, correspondiente al trabajo realizado en comisiones permanentes y especiales, así como a las gestiones y propuestas impulsadas durante el segundo año de ejercicio. La entrega se realizó este 31 de agosto, en la Sala de Expresidentes de la Presidencia Municipal, como un ejercicio de transparencia, rendición de cuentas y responsabilidad pública, previo al segundo informe de gobierno de la presidenta municipal Lorena García Cázares. Con esta acción, las y los integrantes del Cabildo informan sobre el cumplimiento de sus responsabilidades y ponen a disposición de la ciudadanía los resultados de su trabajo, fortaleciendo un Ayuntamiento abierto y participativo. La acción atiende lo establecido en la Ley Orgánica Municipal para el Estado de Hidalgo, que contempla entre las obligaciones de los integrantes del Ayuntamiento informar sobre el desempeño de sus funciones y rendir cuentas de su actuación pública, en el marco de los principios de transparencia y rendición de cuentas</t>
  </si>
  <si>
    <t>Informe de actividades</t>
  </si>
  <si>
    <t>Julio Menchaca consolida vinculación estratégica con el sector privado</t>
  </si>
  <si>
    <t>Atracción De Inversiones</t>
  </si>
  <si>
    <t>"En la Universidad Tecnológica de la Huasteca Hidalguense, bueno, hay protesta por parte del Sindicato, trabajadores del Sindicato Único de las Universidades Tecnológicas del Estado de Hidalgo, también ahí hay problemas."</t>
  </si>
  <si>
    <t>Trabajo bajo protesta</t>
  </si>
  <si>
    <t>Entrevista en cabina Mtro. Felipe Olimpo Durán Rocha, rector de la Universidad Politécnica de Tulancingo: Con un programa que abarca más de 20 actividades académicas, de vinculación, culturales y deportivas, la Universidad Politécnica de Tulancingo (UPT) celebrará su 24.° aniversario del 28 de septiembre al 4 de octubre de 2026. La institución, consolidada como la segunda universidad politécnica más antigua del subsistema tecnológico en México, busca con estos festejos estrechar lazos con el sector productivo, la comunidad académica y la sociedad en general. Las celebraciones darán inicio el lunes 28 de septiembre con la entrega de reconocimientos al personal docente y administrativo por trayectoria laboral, una exposición pictórica de la artista Guadalupe Romero y la inauguración de los nuevos laboratorios de la carrera de Psicología, los cuales incluirán cámara Gesell y espacios especializados en neuroanatomía y desarrollo Jean Piaget. A lo largo de la semana, la universidad será sede de importantes encuentro académicos e internacionales. El martes 29 de septiembre se llevará a cabo una reunión empresarial junto con el informe de resultados institucionales del rector, Mtro. Felipe Olimpo Durán Rocha, el foro "Innovación que transforma" —con líderes de Canacintra, Startup y el sector textilero— y una conferencia a cargo del embajador de la República Checa en México, Thomas Hart. Asimismo, la agenda contempla la participación de Fernando de la Peña, presidente de AEXA Espacial y colaborador de la NASA; la Dra. Anna Carbonelli, del Politécnico de Turín; y el Dr. Luis Armando González Placencia, secretario general de la ANUIES, quien ofrecerá una conferencia magistral el jueves 1 de octubre a la par de una muestra tecnológica estudiantil. El cierre del aniversario combinará el ámbito deportivo y el encuentro comunitario. El viernes 2 de octubre se desarrollarán competencias en laboratorios STEM (Ciencia, Tecnología, Ingeniería y Matemáticas) y una jornada de convivencia estudiantil. El sábado 3 tendrá lugar la bienvenida anual para egresados y el torneo de tenis profesional "UPT Open 2026". Finalmente, las actividades culminarán el domingo 4 de octubre con la tradicional carrera atlética "Ecorrún 2026" de 4 kilómetros. El rector destacó que la UPT llega a este aniversario tras posicionarse en el segundo lugar nacional del subsistema por contar con 36 investigadores incorporados al Sistema Nacional de Posgrados (SNP).</t>
  </si>
  <si>
    <t>Conmemoración Aniversario</t>
  </si>
  <si>
    <t>Padres de familia de la escuela primaria de la comunidad de La Lagunilla realizaron un plantón y bloqueo en las oficinas del sector educativo en Tulancingo (ubicadas junto a la primaria Miguel Hidalgo y La Fayuca). Los manifestantes exigen la asignación inmediata de dos docentes y un conserje, plazas que continúan vacantes desde el ciclo escolar anterior debido a la falta de renovación de contratos y promesas incumplidas por parte de las autoridades desde mayo. A pesar de que el encargado del área, el profesor René Reyes, ofreció que la solución del recurso llegaría entre jueves y viernes, los tutores rechazaron la propuesta por desconfianza y mantuvieron el cierre de las instalaciones, advirtiendo con un posible bloqueo en la carretera Pachuca-Tulancingo de no recibir una respuesta satisfactoria.</t>
  </si>
  <si>
    <t>Mediante enlace telefónico, el colaborador David Cárdenas conversó con el conductor Jesús sobre la suspensión de la conferencia mañanera debido a la presentación del informe de gobierno de la presidenta Claudia Sheinbaum Pardo en Palacio Nacional. David Cárdenas detalló que al evento acudirán aproximadamente 300 invitados y que el discurso abordará ejes prioritarios como salud, educación, seguridad, inversiones, desarrollo, atención a comunidades indígenas y afromexicanas, así como programas sociales.</t>
  </si>
  <si>
    <t>SSPH acercó a 818 niñas y niños a la policía estatal durante el periodo vacacional</t>
  </si>
  <si>
    <t>Prevención del delito</t>
  </si>
  <si>
    <t>Policía estatal mantiene vigilancia y auxilio ante lluvias en Hidalgo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</si>
</sst>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42" tableType="queryTable" totalsRowShown="0">
  <autoFilter ref="A1:M42"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42"/>
  <sheetViews>
    <sheetView tabSelected="1" topLeftCell="A7" workbookViewId="0">
      <selection activeCell="A42" sqref="A42"/>
    </sheetView>
  </sheetViews>
  <sheetFormatPr baseColWidth="10" defaultRowHeight="15" x14ac:dyDescent="0.25"/>
  <cols>
    <col min="1" max="1" width="8.5703125" bestFit="1" customWidth="1"/>
    <col min="2" max="2" width="10" bestFit="1" customWidth="1"/>
    <col min="3" max="3" width="15.85546875" bestFit="1" customWidth="1"/>
    <col min="4" max="4" width="29.42578125" bestFit="1" customWidth="1"/>
    <col min="5" max="5" width="81.140625" bestFit="1" customWidth="1"/>
    <col min="6" max="6" width="15.28515625" bestFit="1" customWidth="1"/>
    <col min="7" max="7" width="30.85546875" bestFit="1" customWidth="1"/>
    <col min="8" max="8" width="12.42578125"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25</v>
      </c>
      <c r="C1" t="s">
        <v>26</v>
      </c>
      <c r="D1" t="s">
        <v>27</v>
      </c>
      <c r="E1" t="s">
        <v>1</v>
      </c>
      <c r="F1" t="s">
        <v>2</v>
      </c>
      <c r="G1" t="s">
        <v>4</v>
      </c>
      <c r="H1" t="s">
        <v>3</v>
      </c>
      <c r="I1" t="s">
        <v>5</v>
      </c>
      <c r="J1" t="s">
        <v>28</v>
      </c>
      <c r="K1" t="s">
        <v>29</v>
      </c>
      <c r="L1" t="s">
        <v>30</v>
      </c>
      <c r="M1" t="s">
        <v>37</v>
      </c>
    </row>
    <row r="2" spans="1:13" x14ac:dyDescent="0.25">
      <c r="A2" s="2">
        <v>46266</v>
      </c>
      <c r="B2" s="1" t="str">
        <f ca="1">IF(Información1[[#This Row],[Fecha]]='Ajuste de fechas'!$A$2,"Día actual","Día anterior")</f>
        <v>Día actual</v>
      </c>
      <c r="C2" s="3" t="s">
        <v>8</v>
      </c>
      <c r="D2" t="s">
        <v>10</v>
      </c>
      <c r="E2" s="3" t="s">
        <v>65</v>
      </c>
      <c r="F2" s="3" t="s">
        <v>14</v>
      </c>
      <c r="G2" s="3" t="s">
        <v>66</v>
      </c>
      <c r="H2" s="3" t="s">
        <v>64</v>
      </c>
      <c r="I2" s="3" t="s">
        <v>22</v>
      </c>
      <c r="J2" s="3" t="s">
        <v>31</v>
      </c>
      <c r="K2" s="3" t="s">
        <v>9</v>
      </c>
      <c r="L2" s="3" t="s">
        <v>33</v>
      </c>
      <c r="M2">
        <v>1</v>
      </c>
    </row>
    <row r="3" spans="1:13" x14ac:dyDescent="0.25">
      <c r="A3" s="2">
        <v>46266</v>
      </c>
      <c r="B3" s="1" t="str">
        <f ca="1">IF(Información1[[#This Row],[Fecha]]='Ajuste de fechas'!$A$2,"Día actual","Día anterior")</f>
        <v>Día actual</v>
      </c>
      <c r="C3" s="3" t="s">
        <v>8</v>
      </c>
      <c r="D3" t="s">
        <v>10</v>
      </c>
      <c r="E3" s="3" t="s">
        <v>67</v>
      </c>
      <c r="F3" s="3" t="s">
        <v>14</v>
      </c>
      <c r="G3" s="3" t="s">
        <v>68</v>
      </c>
      <c r="H3" s="3" t="s">
        <v>64</v>
      </c>
      <c r="I3" s="3" t="s">
        <v>22</v>
      </c>
      <c r="J3" s="3" t="s">
        <v>31</v>
      </c>
      <c r="K3" s="3" t="s">
        <v>9</v>
      </c>
      <c r="L3" s="3" t="s">
        <v>33</v>
      </c>
      <c r="M3">
        <v>1</v>
      </c>
    </row>
    <row r="4" spans="1:13" x14ac:dyDescent="0.25">
      <c r="A4" s="2">
        <v>46266</v>
      </c>
      <c r="B4" s="1" t="str">
        <f ca="1">IF(Información1[[#This Row],[Fecha]]='Ajuste de fechas'!$A$2,"Día actual","Día anterior")</f>
        <v>Día actual</v>
      </c>
      <c r="C4" s="3" t="s">
        <v>8</v>
      </c>
      <c r="D4" t="s">
        <v>10</v>
      </c>
      <c r="E4" s="3" t="s">
        <v>69</v>
      </c>
      <c r="F4" s="3" t="s">
        <v>14</v>
      </c>
      <c r="G4" s="3" t="s">
        <v>66</v>
      </c>
      <c r="H4" s="3" t="s">
        <v>64</v>
      </c>
      <c r="I4" s="3" t="s">
        <v>22</v>
      </c>
      <c r="J4" s="3" t="s">
        <v>31</v>
      </c>
      <c r="K4" s="3" t="s">
        <v>9</v>
      </c>
      <c r="L4" s="3" t="s">
        <v>33</v>
      </c>
      <c r="M4">
        <v>1</v>
      </c>
    </row>
    <row r="5" spans="1:13" x14ac:dyDescent="0.25">
      <c r="A5" s="2">
        <v>46266</v>
      </c>
      <c r="B5" s="1" t="str">
        <f ca="1">IF(Información1[[#This Row],[Fecha]]='Ajuste de fechas'!$A$2,"Día actual","Día anterior")</f>
        <v>Día actual</v>
      </c>
      <c r="C5" s="3" t="s">
        <v>8</v>
      </c>
      <c r="D5" t="s">
        <v>10</v>
      </c>
      <c r="E5" s="3" t="s">
        <v>70</v>
      </c>
      <c r="F5" s="3" t="s">
        <v>6</v>
      </c>
      <c r="G5" s="3" t="s">
        <v>71</v>
      </c>
      <c r="H5" s="3" t="s">
        <v>64</v>
      </c>
      <c r="I5" s="3" t="s">
        <v>22</v>
      </c>
      <c r="J5" s="3" t="s">
        <v>31</v>
      </c>
      <c r="K5" s="3" t="s">
        <v>12</v>
      </c>
      <c r="L5" s="3" t="s">
        <v>33</v>
      </c>
      <c r="M5">
        <v>1</v>
      </c>
    </row>
    <row r="6" spans="1:13" x14ac:dyDescent="0.25">
      <c r="A6" s="2">
        <v>46266</v>
      </c>
      <c r="B6" s="1" t="str">
        <f ca="1">IF(Información1[[#This Row],[Fecha]]='Ajuste de fechas'!$A$2,"Día actual","Día anterior")</f>
        <v>Día actual</v>
      </c>
      <c r="C6" s="3" t="s">
        <v>8</v>
      </c>
      <c r="D6" t="s">
        <v>10</v>
      </c>
      <c r="E6" s="3" t="s">
        <v>72</v>
      </c>
      <c r="F6" s="3" t="s">
        <v>6</v>
      </c>
      <c r="G6" s="3" t="s">
        <v>71</v>
      </c>
      <c r="H6" s="3" t="s">
        <v>64</v>
      </c>
      <c r="I6" s="3" t="s">
        <v>22</v>
      </c>
      <c r="J6" s="3" t="s">
        <v>31</v>
      </c>
      <c r="K6" s="3" t="s">
        <v>9</v>
      </c>
      <c r="L6" s="3" t="s">
        <v>33</v>
      </c>
      <c r="M6">
        <v>1</v>
      </c>
    </row>
    <row r="7" spans="1:13" x14ac:dyDescent="0.25">
      <c r="A7" s="2">
        <v>46266</v>
      </c>
      <c r="B7" s="1" t="str">
        <f ca="1">IF(Información1[[#This Row],[Fecha]]='Ajuste de fechas'!$A$2,"Día actual","Día anterior")</f>
        <v>Día actual</v>
      </c>
      <c r="C7" s="3" t="s">
        <v>8</v>
      </c>
      <c r="D7" t="s">
        <v>10</v>
      </c>
      <c r="E7" s="3" t="s">
        <v>73</v>
      </c>
      <c r="F7" s="3" t="s">
        <v>6</v>
      </c>
      <c r="G7" s="3" t="s">
        <v>71</v>
      </c>
      <c r="H7" s="3" t="s">
        <v>64</v>
      </c>
      <c r="I7" s="3" t="s">
        <v>22</v>
      </c>
      <c r="J7" s="3" t="s">
        <v>31</v>
      </c>
      <c r="K7" s="3" t="s">
        <v>9</v>
      </c>
      <c r="L7" s="3" t="s">
        <v>33</v>
      </c>
      <c r="M7">
        <v>1</v>
      </c>
    </row>
    <row r="8" spans="1:13" x14ac:dyDescent="0.25">
      <c r="A8" s="2">
        <v>46266</v>
      </c>
      <c r="B8" s="1" t="str">
        <f ca="1">IF(Información1[[#This Row],[Fecha]]='Ajuste de fechas'!$A$2,"Día actual","Día anterior")</f>
        <v>Día actual</v>
      </c>
      <c r="C8" s="3" t="s">
        <v>8</v>
      </c>
      <c r="D8" t="s">
        <v>10</v>
      </c>
      <c r="E8" s="3" t="s">
        <v>74</v>
      </c>
      <c r="F8" s="3" t="s">
        <v>6</v>
      </c>
      <c r="G8" s="3" t="s">
        <v>54</v>
      </c>
      <c r="H8" s="3" t="s">
        <v>64</v>
      </c>
      <c r="I8" s="3" t="s">
        <v>22</v>
      </c>
      <c r="J8" s="3" t="s">
        <v>31</v>
      </c>
      <c r="K8" s="3" t="s">
        <v>9</v>
      </c>
      <c r="L8" s="3" t="s">
        <v>33</v>
      </c>
      <c r="M8">
        <v>1</v>
      </c>
    </row>
    <row r="9" spans="1:13" x14ac:dyDescent="0.25">
      <c r="A9" s="2">
        <v>46266</v>
      </c>
      <c r="B9" s="1" t="str">
        <f ca="1">IF(Información1[[#This Row],[Fecha]]='Ajuste de fechas'!$A$2,"Día actual","Día anterior")</f>
        <v>Día actual</v>
      </c>
      <c r="C9" s="3" t="s">
        <v>8</v>
      </c>
      <c r="D9" t="s">
        <v>10</v>
      </c>
      <c r="E9" s="3" t="s">
        <v>75</v>
      </c>
      <c r="F9" s="3" t="s">
        <v>18</v>
      </c>
      <c r="G9" s="3" t="s">
        <v>76</v>
      </c>
      <c r="H9" s="3" t="s">
        <v>64</v>
      </c>
      <c r="I9" s="3" t="s">
        <v>22</v>
      </c>
      <c r="J9" s="3" t="s">
        <v>31</v>
      </c>
      <c r="K9" s="3" t="s">
        <v>12</v>
      </c>
      <c r="L9" s="3" t="s">
        <v>32</v>
      </c>
      <c r="M9">
        <v>1</v>
      </c>
    </row>
    <row r="10" spans="1:13" x14ac:dyDescent="0.25">
      <c r="A10" s="2">
        <v>46266</v>
      </c>
      <c r="B10" s="1" t="str">
        <f ca="1">IF(Información1[[#This Row],[Fecha]]='Ajuste de fechas'!$A$2,"Día actual","Día anterior")</f>
        <v>Día actual</v>
      </c>
      <c r="C10" s="3" t="s">
        <v>8</v>
      </c>
      <c r="D10" t="s">
        <v>10</v>
      </c>
      <c r="E10" s="3" t="s">
        <v>77</v>
      </c>
      <c r="F10" s="3" t="s">
        <v>23</v>
      </c>
      <c r="G10" s="3" t="s">
        <v>63</v>
      </c>
      <c r="H10" s="3" t="s">
        <v>64</v>
      </c>
      <c r="I10" s="3" t="s">
        <v>22</v>
      </c>
      <c r="J10" s="3" t="s">
        <v>31</v>
      </c>
      <c r="K10" s="3" t="s">
        <v>9</v>
      </c>
      <c r="L10" s="3" t="s">
        <v>33</v>
      </c>
      <c r="M10">
        <v>1</v>
      </c>
    </row>
    <row r="11" spans="1:13" x14ac:dyDescent="0.25">
      <c r="A11" s="2">
        <v>46266</v>
      </c>
      <c r="B11" s="1" t="str">
        <f ca="1">IF(Información1[[#This Row],[Fecha]]='Ajuste de fechas'!$A$2,"Día actual","Día anterior")</f>
        <v>Día actual</v>
      </c>
      <c r="C11" s="3" t="s">
        <v>8</v>
      </c>
      <c r="D11" t="s">
        <v>10</v>
      </c>
      <c r="E11" s="3" t="s">
        <v>78</v>
      </c>
      <c r="F11" s="3" t="s">
        <v>6</v>
      </c>
      <c r="G11" s="3" t="s">
        <v>54</v>
      </c>
      <c r="H11" s="3" t="s">
        <v>64</v>
      </c>
      <c r="I11" s="3" t="s">
        <v>11</v>
      </c>
      <c r="J11" s="3" t="s">
        <v>31</v>
      </c>
      <c r="K11" s="3" t="s">
        <v>9</v>
      </c>
      <c r="L11" s="3" t="s">
        <v>33</v>
      </c>
      <c r="M11">
        <v>1</v>
      </c>
    </row>
    <row r="12" spans="1:13" x14ac:dyDescent="0.25">
      <c r="A12" s="2">
        <v>46266</v>
      </c>
      <c r="B12" s="1" t="str">
        <f ca="1">IF(Información1[[#This Row],[Fecha]]='Ajuste de fechas'!$A$2,"Día actual","Día anterior")</f>
        <v>Día actual</v>
      </c>
      <c r="C12" s="3" t="s">
        <v>8</v>
      </c>
      <c r="D12" t="s">
        <v>10</v>
      </c>
      <c r="E12" s="3" t="s">
        <v>79</v>
      </c>
      <c r="F12" s="3" t="s">
        <v>21</v>
      </c>
      <c r="G12" s="3" t="s">
        <v>63</v>
      </c>
      <c r="H12" s="3" t="s">
        <v>64</v>
      </c>
      <c r="I12" s="3" t="s">
        <v>22</v>
      </c>
      <c r="J12" s="3" t="s">
        <v>21</v>
      </c>
      <c r="K12" s="3" t="s">
        <v>9</v>
      </c>
      <c r="L12" s="3" t="s">
        <v>33</v>
      </c>
      <c r="M12">
        <v>1</v>
      </c>
    </row>
    <row r="13" spans="1:13" x14ac:dyDescent="0.25">
      <c r="A13" s="2">
        <v>46266</v>
      </c>
      <c r="B13" s="1" t="str">
        <f ca="1">IF(Información1[[#This Row],[Fecha]]='Ajuste de fechas'!$A$2,"Día actual","Día anterior")</f>
        <v>Día actual</v>
      </c>
      <c r="C13" s="3" t="s">
        <v>8</v>
      </c>
      <c r="D13" t="s">
        <v>10</v>
      </c>
      <c r="E13" s="3" t="s">
        <v>80</v>
      </c>
      <c r="F13" s="3" t="s">
        <v>16</v>
      </c>
      <c r="G13" s="3" t="s">
        <v>52</v>
      </c>
      <c r="H13" s="3" t="s">
        <v>64</v>
      </c>
      <c r="I13" s="3" t="s">
        <v>7</v>
      </c>
      <c r="J13" s="3" t="s">
        <v>35</v>
      </c>
      <c r="K13" s="3" t="s">
        <v>9</v>
      </c>
      <c r="L13" s="3" t="s">
        <v>33</v>
      </c>
      <c r="M13">
        <v>1</v>
      </c>
    </row>
    <row r="14" spans="1:13" x14ac:dyDescent="0.25">
      <c r="A14" s="2">
        <v>46266</v>
      </c>
      <c r="B14" s="1" t="str">
        <f ca="1">IF(Información1[[#This Row],[Fecha]]='Ajuste de fechas'!$A$2,"Día actual","Día anterior")</f>
        <v>Día actual</v>
      </c>
      <c r="C14" s="3" t="s">
        <v>8</v>
      </c>
      <c r="D14" t="s">
        <v>10</v>
      </c>
      <c r="E14" s="3" t="s">
        <v>81</v>
      </c>
      <c r="F14" s="3" t="s">
        <v>16</v>
      </c>
      <c r="G14" s="3" t="s">
        <v>51</v>
      </c>
      <c r="H14" s="3" t="s">
        <v>64</v>
      </c>
      <c r="I14" s="3" t="s">
        <v>7</v>
      </c>
      <c r="J14" s="3" t="s">
        <v>35</v>
      </c>
      <c r="K14" s="3" t="s">
        <v>12</v>
      </c>
      <c r="L14" s="3" t="s">
        <v>32</v>
      </c>
      <c r="M14">
        <v>1</v>
      </c>
    </row>
    <row r="15" spans="1:13" x14ac:dyDescent="0.25">
      <c r="A15" s="2">
        <v>46266</v>
      </c>
      <c r="B15" s="1" t="str">
        <f ca="1">IF(Información1[[#This Row],[Fecha]]='Ajuste de fechas'!$A$2,"Día actual","Día anterior")</f>
        <v>Día actual</v>
      </c>
      <c r="C15" s="3" t="s">
        <v>8</v>
      </c>
      <c r="D15" t="s">
        <v>10</v>
      </c>
      <c r="E15" s="3" t="s">
        <v>82</v>
      </c>
      <c r="F15" s="3" t="s">
        <v>16</v>
      </c>
      <c r="G15" s="3" t="s">
        <v>52</v>
      </c>
      <c r="H15" s="3" t="s">
        <v>64</v>
      </c>
      <c r="I15" s="3" t="s">
        <v>7</v>
      </c>
      <c r="J15" s="3" t="s">
        <v>35</v>
      </c>
      <c r="K15" s="3" t="s">
        <v>12</v>
      </c>
      <c r="L15" s="3" t="s">
        <v>42</v>
      </c>
      <c r="M15">
        <v>1</v>
      </c>
    </row>
    <row r="16" spans="1:13" x14ac:dyDescent="0.25">
      <c r="A16" s="2">
        <v>46266</v>
      </c>
      <c r="B16" s="1" t="str">
        <f ca="1">IF(Información1[[#This Row],[Fecha]]='Ajuste de fechas'!$A$2,"Día actual","Día anterior")</f>
        <v>Día actual</v>
      </c>
      <c r="C16" s="3" t="s">
        <v>8</v>
      </c>
      <c r="D16" t="s">
        <v>10</v>
      </c>
      <c r="E16" s="3" t="s">
        <v>83</v>
      </c>
      <c r="F16" s="3" t="s">
        <v>21</v>
      </c>
      <c r="G16" s="3" t="s">
        <v>47</v>
      </c>
      <c r="H16" s="3" t="s">
        <v>64</v>
      </c>
      <c r="I16" s="3" t="s">
        <v>7</v>
      </c>
      <c r="J16" s="3" t="s">
        <v>21</v>
      </c>
      <c r="K16" s="3" t="s">
        <v>12</v>
      </c>
      <c r="L16" s="3" t="s">
        <v>33</v>
      </c>
      <c r="M16">
        <v>1</v>
      </c>
    </row>
    <row r="17" spans="1:13" x14ac:dyDescent="0.25">
      <c r="A17" s="2">
        <v>46266</v>
      </c>
      <c r="B17" s="1" t="str">
        <f ca="1">IF(Información1[[#This Row],[Fecha]]='Ajuste de fechas'!$A$2,"Día actual","Día anterior")</f>
        <v>Día actual</v>
      </c>
      <c r="C17" s="3" t="s">
        <v>8</v>
      </c>
      <c r="D17" t="s">
        <v>10</v>
      </c>
      <c r="E17" s="3" t="s">
        <v>84</v>
      </c>
      <c r="F17" s="3" t="s">
        <v>6</v>
      </c>
      <c r="G17" s="3" t="s">
        <v>85</v>
      </c>
      <c r="H17" s="3" t="s">
        <v>64</v>
      </c>
      <c r="I17" s="3" t="s">
        <v>7</v>
      </c>
      <c r="J17" s="3" t="s">
        <v>31</v>
      </c>
      <c r="K17" s="3" t="s">
        <v>12</v>
      </c>
      <c r="L17" s="3" t="s">
        <v>32</v>
      </c>
      <c r="M17">
        <v>1</v>
      </c>
    </row>
    <row r="18" spans="1:13" x14ac:dyDescent="0.25">
      <c r="A18" s="2">
        <v>46266</v>
      </c>
      <c r="B18" s="1" t="str">
        <f ca="1">IF(Información1[[#This Row],[Fecha]]='Ajuste de fechas'!$A$2,"Día actual","Día anterior")</f>
        <v>Día actual</v>
      </c>
      <c r="C18" s="3" t="s">
        <v>8</v>
      </c>
      <c r="D18" t="s">
        <v>10</v>
      </c>
      <c r="E18" s="3" t="s">
        <v>86</v>
      </c>
      <c r="F18" s="3" t="s">
        <v>14</v>
      </c>
      <c r="G18" s="3" t="s">
        <v>87</v>
      </c>
      <c r="H18" s="3" t="s">
        <v>64</v>
      </c>
      <c r="I18" s="3" t="s">
        <v>7</v>
      </c>
      <c r="J18" s="3" t="s">
        <v>31</v>
      </c>
      <c r="K18" s="3" t="s">
        <v>12</v>
      </c>
      <c r="L18" s="3" t="s">
        <v>32</v>
      </c>
      <c r="M18">
        <v>1</v>
      </c>
    </row>
    <row r="19" spans="1:13" x14ac:dyDescent="0.25">
      <c r="A19" s="2">
        <v>46266</v>
      </c>
      <c r="B19" s="1" t="str">
        <f ca="1">IF(Información1[[#This Row],[Fecha]]='Ajuste de fechas'!$A$2,"Día actual","Día anterior")</f>
        <v>Día actual</v>
      </c>
      <c r="C19" s="3" t="s">
        <v>8</v>
      </c>
      <c r="D19" t="s">
        <v>10</v>
      </c>
      <c r="E19" s="3" t="s">
        <v>88</v>
      </c>
      <c r="F19" s="3" t="s">
        <v>56</v>
      </c>
      <c r="G19" s="3" t="s">
        <v>89</v>
      </c>
      <c r="H19" s="3" t="s">
        <v>64</v>
      </c>
      <c r="I19" s="3" t="s">
        <v>7</v>
      </c>
      <c r="J19" s="3" t="s">
        <v>31</v>
      </c>
      <c r="K19" s="3" t="s">
        <v>12</v>
      </c>
      <c r="L19" s="3" t="s">
        <v>34</v>
      </c>
      <c r="M19">
        <v>1</v>
      </c>
    </row>
    <row r="20" spans="1:13" x14ac:dyDescent="0.25">
      <c r="A20" s="2">
        <v>46266</v>
      </c>
      <c r="B20" s="1" t="str">
        <f ca="1">IF(Información1[[#This Row],[Fecha]]='Ajuste de fechas'!$A$2,"Día actual","Día anterior")</f>
        <v>Día actual</v>
      </c>
      <c r="C20" s="3" t="s">
        <v>8</v>
      </c>
      <c r="D20" t="s">
        <v>10</v>
      </c>
      <c r="E20" s="3" t="s">
        <v>90</v>
      </c>
      <c r="F20" s="3" t="s">
        <v>57</v>
      </c>
      <c r="G20" s="3" t="s">
        <v>58</v>
      </c>
      <c r="H20" s="3" t="s">
        <v>64</v>
      </c>
      <c r="I20" s="3" t="s">
        <v>7</v>
      </c>
      <c r="J20" s="3" t="s">
        <v>31</v>
      </c>
      <c r="K20" s="3" t="s">
        <v>12</v>
      </c>
      <c r="L20" s="3" t="s">
        <v>34</v>
      </c>
      <c r="M20">
        <v>1</v>
      </c>
    </row>
    <row r="21" spans="1:13" x14ac:dyDescent="0.25">
      <c r="A21" s="2">
        <v>46266</v>
      </c>
      <c r="B21" s="1" t="str">
        <f ca="1">IF(Información1[[#This Row],[Fecha]]='Ajuste de fechas'!$A$2,"Día actual","Día anterior")</f>
        <v>Día actual</v>
      </c>
      <c r="C21" s="3" t="s">
        <v>8</v>
      </c>
      <c r="D21" t="s">
        <v>10</v>
      </c>
      <c r="E21" s="3" t="s">
        <v>91</v>
      </c>
      <c r="F21" s="3" t="s">
        <v>23</v>
      </c>
      <c r="G21" s="3" t="s">
        <v>51</v>
      </c>
      <c r="H21" s="3" t="s">
        <v>64</v>
      </c>
      <c r="I21" s="3" t="s">
        <v>7</v>
      </c>
      <c r="J21" s="3" t="s">
        <v>31</v>
      </c>
      <c r="K21" s="3" t="s">
        <v>12</v>
      </c>
      <c r="L21" s="3" t="s">
        <v>34</v>
      </c>
      <c r="M21">
        <v>1</v>
      </c>
    </row>
    <row r="22" spans="1:13" x14ac:dyDescent="0.25">
      <c r="A22" s="2">
        <v>46266</v>
      </c>
      <c r="B22" s="1" t="str">
        <f ca="1">IF(Información1[[#This Row],[Fecha]]='Ajuste de fechas'!$A$2,"Día actual","Día anterior")</f>
        <v>Día actual</v>
      </c>
      <c r="C22" s="3" t="s">
        <v>8</v>
      </c>
      <c r="D22" t="s">
        <v>10</v>
      </c>
      <c r="E22" s="3" t="s">
        <v>92</v>
      </c>
      <c r="F22" s="3" t="s">
        <v>45</v>
      </c>
      <c r="G22" s="3" t="s">
        <v>93</v>
      </c>
      <c r="H22" s="3" t="s">
        <v>64</v>
      </c>
      <c r="I22" s="3" t="s">
        <v>7</v>
      </c>
      <c r="J22" s="3" t="s">
        <v>31</v>
      </c>
      <c r="K22" s="3" t="s">
        <v>12</v>
      </c>
      <c r="L22" s="3" t="s">
        <v>32</v>
      </c>
      <c r="M22">
        <v>1</v>
      </c>
    </row>
    <row r="23" spans="1:13" x14ac:dyDescent="0.25">
      <c r="A23" s="2">
        <v>46266</v>
      </c>
      <c r="B23" s="1" t="str">
        <f ca="1">IF(Información1[[#This Row],[Fecha]]='Ajuste de fechas'!$A$2,"Día actual","Día anterior")</f>
        <v>Día actual</v>
      </c>
      <c r="C23" s="3" t="s">
        <v>8</v>
      </c>
      <c r="D23" t="s">
        <v>10</v>
      </c>
      <c r="E23" s="3" t="s">
        <v>94</v>
      </c>
      <c r="F23" s="3" t="s">
        <v>16</v>
      </c>
      <c r="G23" s="3" t="s">
        <v>53</v>
      </c>
      <c r="H23" s="3" t="s">
        <v>64</v>
      </c>
      <c r="I23" s="3" t="s">
        <v>7</v>
      </c>
      <c r="J23" s="3" t="s">
        <v>35</v>
      </c>
      <c r="K23" s="3" t="s">
        <v>12</v>
      </c>
      <c r="L23" s="3" t="s">
        <v>32</v>
      </c>
      <c r="M23">
        <v>1</v>
      </c>
    </row>
    <row r="24" spans="1:13" x14ac:dyDescent="0.25">
      <c r="A24" s="2">
        <v>46266</v>
      </c>
      <c r="B24" s="1" t="str">
        <f ca="1">IF(Información1[[#This Row],[Fecha]]='Ajuste de fechas'!$A$2,"Día actual","Día anterior")</f>
        <v>Día actual</v>
      </c>
      <c r="C24" s="3" t="s">
        <v>8</v>
      </c>
      <c r="D24" t="s">
        <v>10</v>
      </c>
      <c r="E24" s="3" t="s">
        <v>17</v>
      </c>
      <c r="F24" s="3" t="s">
        <v>16</v>
      </c>
      <c r="G24" s="3" t="s">
        <v>24</v>
      </c>
      <c r="H24" s="3" t="s">
        <v>64</v>
      </c>
      <c r="I24" s="3" t="s">
        <v>11</v>
      </c>
      <c r="J24" s="3" t="s">
        <v>35</v>
      </c>
      <c r="K24" s="3" t="s">
        <v>12</v>
      </c>
      <c r="L24" s="3" t="s">
        <v>33</v>
      </c>
      <c r="M24">
        <v>1</v>
      </c>
    </row>
    <row r="25" spans="1:13" x14ac:dyDescent="0.25">
      <c r="A25" s="2">
        <v>46266</v>
      </c>
      <c r="B25" s="1" t="str">
        <f ca="1">IF(Información1[[#This Row],[Fecha]]='Ajuste de fechas'!$A$2,"Día actual","Día anterior")</f>
        <v>Día actual</v>
      </c>
      <c r="C25" s="3" t="s">
        <v>8</v>
      </c>
      <c r="D25" t="s">
        <v>10</v>
      </c>
      <c r="E25" s="3" t="s">
        <v>15</v>
      </c>
      <c r="F25" s="3" t="s">
        <v>16</v>
      </c>
      <c r="G25" s="3" t="s">
        <v>24</v>
      </c>
      <c r="H25" s="3" t="s">
        <v>64</v>
      </c>
      <c r="I25" s="3" t="s">
        <v>11</v>
      </c>
      <c r="J25" s="3" t="s">
        <v>35</v>
      </c>
      <c r="K25" s="3" t="s">
        <v>12</v>
      </c>
      <c r="L25" s="3" t="s">
        <v>33</v>
      </c>
      <c r="M25">
        <v>1</v>
      </c>
    </row>
    <row r="26" spans="1:13" x14ac:dyDescent="0.25">
      <c r="A26" s="2">
        <v>46266</v>
      </c>
      <c r="B26" s="1" t="str">
        <f ca="1">IF(Información1[[#This Row],[Fecha]]='Ajuste de fechas'!$A$2,"Día actual","Día anterior")</f>
        <v>Día actual</v>
      </c>
      <c r="C26" s="3" t="s">
        <v>8</v>
      </c>
      <c r="D26" t="s">
        <v>10</v>
      </c>
      <c r="E26" s="3" t="s">
        <v>44</v>
      </c>
      <c r="F26" s="3" t="s">
        <v>41</v>
      </c>
      <c r="G26" s="3" t="s">
        <v>24</v>
      </c>
      <c r="H26" s="3" t="s">
        <v>64</v>
      </c>
      <c r="I26" s="3" t="s">
        <v>11</v>
      </c>
      <c r="J26" s="3" t="s">
        <v>21</v>
      </c>
      <c r="K26" s="3" t="s">
        <v>12</v>
      </c>
      <c r="L26" s="3" t="s">
        <v>33</v>
      </c>
      <c r="M26">
        <v>1</v>
      </c>
    </row>
    <row r="27" spans="1:13" x14ac:dyDescent="0.25">
      <c r="A27" s="2">
        <v>46266</v>
      </c>
      <c r="B27" s="1" t="str">
        <f ca="1">IF(Información1[[#This Row],[Fecha]]='Ajuste de fechas'!$A$2,"Día actual","Día anterior")</f>
        <v>Día actual</v>
      </c>
      <c r="C27" s="3" t="s">
        <v>8</v>
      </c>
      <c r="D27" t="s">
        <v>10</v>
      </c>
      <c r="E27" s="3" t="s">
        <v>48</v>
      </c>
      <c r="F27" s="3" t="s">
        <v>18</v>
      </c>
      <c r="G27" s="3" t="s">
        <v>24</v>
      </c>
      <c r="H27" s="3" t="s">
        <v>64</v>
      </c>
      <c r="I27" s="3" t="s">
        <v>11</v>
      </c>
      <c r="J27" s="3" t="s">
        <v>31</v>
      </c>
      <c r="K27" s="3" t="s">
        <v>12</v>
      </c>
      <c r="L27" s="3" t="s">
        <v>33</v>
      </c>
      <c r="M27">
        <v>1</v>
      </c>
    </row>
    <row r="28" spans="1:13" x14ac:dyDescent="0.25">
      <c r="A28" s="2">
        <v>46266</v>
      </c>
      <c r="B28" s="1" t="str">
        <f ca="1">IF(Información1[[#This Row],[Fecha]]='Ajuste de fechas'!$A$2,"Día actual","Día anterior")</f>
        <v>Día actual</v>
      </c>
      <c r="C28" s="3" t="s">
        <v>8</v>
      </c>
      <c r="D28" t="s">
        <v>10</v>
      </c>
      <c r="E28" s="3" t="s">
        <v>50</v>
      </c>
      <c r="F28" s="3" t="s">
        <v>49</v>
      </c>
      <c r="G28" s="3" t="s">
        <v>24</v>
      </c>
      <c r="H28" s="3" t="s">
        <v>64</v>
      </c>
      <c r="I28" s="3" t="s">
        <v>11</v>
      </c>
      <c r="J28" s="3" t="s">
        <v>31</v>
      </c>
      <c r="K28" s="3" t="s">
        <v>12</v>
      </c>
      <c r="L28" s="3" t="s">
        <v>33</v>
      </c>
      <c r="M28">
        <v>1</v>
      </c>
    </row>
    <row r="29" spans="1:13" x14ac:dyDescent="0.25">
      <c r="A29" s="2">
        <v>46266</v>
      </c>
      <c r="B29" s="1" t="str">
        <f ca="1">IF(Información1[[#This Row],[Fecha]]='Ajuste de fechas'!$A$2,"Día actual","Día anterior")</f>
        <v>Día actual</v>
      </c>
      <c r="C29" s="3" t="s">
        <v>8</v>
      </c>
      <c r="D29" t="s">
        <v>10</v>
      </c>
      <c r="E29" s="3" t="s">
        <v>13</v>
      </c>
      <c r="F29" s="3" t="s">
        <v>14</v>
      </c>
      <c r="G29" s="3" t="s">
        <v>24</v>
      </c>
      <c r="H29" s="3" t="s">
        <v>64</v>
      </c>
      <c r="I29" s="3" t="s">
        <v>11</v>
      </c>
      <c r="J29" s="3" t="s">
        <v>31</v>
      </c>
      <c r="K29" s="3" t="s">
        <v>12</v>
      </c>
      <c r="L29" s="3" t="s">
        <v>33</v>
      </c>
      <c r="M29">
        <v>1</v>
      </c>
    </row>
    <row r="30" spans="1:13" x14ac:dyDescent="0.25">
      <c r="A30" s="2">
        <v>46266</v>
      </c>
      <c r="B30" s="1" t="str">
        <f ca="1">IF(Información1[[#This Row],[Fecha]]='Ajuste de fechas'!$A$2,"Día actual","Día anterior")</f>
        <v>Día actual</v>
      </c>
      <c r="C30" s="3" t="s">
        <v>8</v>
      </c>
      <c r="D30" t="s">
        <v>10</v>
      </c>
      <c r="E30" s="3" t="s">
        <v>40</v>
      </c>
      <c r="F30" s="3" t="s">
        <v>6</v>
      </c>
      <c r="G30" s="3" t="s">
        <v>24</v>
      </c>
      <c r="H30" s="3" t="s">
        <v>64</v>
      </c>
      <c r="I30" s="3" t="s">
        <v>11</v>
      </c>
      <c r="J30" s="3" t="s">
        <v>31</v>
      </c>
      <c r="K30" s="3" t="s">
        <v>12</v>
      </c>
      <c r="L30" s="3" t="s">
        <v>33</v>
      </c>
      <c r="M30">
        <v>1</v>
      </c>
    </row>
    <row r="31" spans="1:13" x14ac:dyDescent="0.25">
      <c r="A31" s="2">
        <v>46266</v>
      </c>
      <c r="B31" s="1" t="str">
        <f ca="1">IF(Información1[[#This Row],[Fecha]]='Ajuste de fechas'!$A$2,"Día actual","Día anterior")</f>
        <v>Día actual</v>
      </c>
      <c r="C31" s="3" t="s">
        <v>95</v>
      </c>
      <c r="D31" t="s">
        <v>96</v>
      </c>
      <c r="E31" s="3" t="s">
        <v>97</v>
      </c>
      <c r="F31" s="3" t="s">
        <v>14</v>
      </c>
      <c r="G31" s="3" t="s">
        <v>66</v>
      </c>
      <c r="H31" s="3" t="s">
        <v>64</v>
      </c>
      <c r="I31" s="3" t="s">
        <v>7</v>
      </c>
      <c r="J31" s="3" t="s">
        <v>31</v>
      </c>
      <c r="K31" s="3" t="s">
        <v>9</v>
      </c>
      <c r="L31" s="3" t="s">
        <v>33</v>
      </c>
      <c r="M31">
        <v>1</v>
      </c>
    </row>
    <row r="32" spans="1:13" x14ac:dyDescent="0.25">
      <c r="A32" s="2">
        <v>46266</v>
      </c>
      <c r="B32" s="1" t="str">
        <f ca="1">IF(Información1[[#This Row],[Fecha]]='Ajuste de fechas'!$A$2,"Día actual","Día anterior")</f>
        <v>Día actual</v>
      </c>
      <c r="C32" s="3" t="s">
        <v>95</v>
      </c>
      <c r="D32" t="s">
        <v>96</v>
      </c>
      <c r="E32" s="3" t="s">
        <v>98</v>
      </c>
      <c r="F32" s="3" t="s">
        <v>21</v>
      </c>
      <c r="G32" s="3" t="s">
        <v>47</v>
      </c>
      <c r="H32" s="3" t="s">
        <v>64</v>
      </c>
      <c r="I32" s="3" t="s">
        <v>7</v>
      </c>
      <c r="J32" s="3" t="s">
        <v>21</v>
      </c>
      <c r="K32" s="3" t="s">
        <v>99</v>
      </c>
      <c r="L32" s="3" t="s">
        <v>42</v>
      </c>
      <c r="M32">
        <v>1</v>
      </c>
    </row>
    <row r="33" spans="1:13" x14ac:dyDescent="0.25">
      <c r="A33" s="2">
        <v>46266</v>
      </c>
      <c r="B33" s="1" t="str">
        <f ca="1">IF(Información1[[#This Row],[Fecha]]='Ajuste de fechas'!$A$2,"Día actual","Día anterior")</f>
        <v>Día actual</v>
      </c>
      <c r="C33" s="3" t="s">
        <v>95</v>
      </c>
      <c r="D33" t="s">
        <v>96</v>
      </c>
      <c r="E33" s="3" t="s">
        <v>60</v>
      </c>
      <c r="F33" s="3" t="s">
        <v>43</v>
      </c>
      <c r="G33" s="3" t="s">
        <v>61</v>
      </c>
      <c r="H33" s="3" t="s">
        <v>64</v>
      </c>
      <c r="I33" s="3" t="s">
        <v>7</v>
      </c>
      <c r="J33" s="3" t="s">
        <v>31</v>
      </c>
      <c r="K33" s="3" t="s">
        <v>100</v>
      </c>
      <c r="L33" s="3" t="s">
        <v>34</v>
      </c>
      <c r="M33">
        <v>1</v>
      </c>
    </row>
    <row r="34" spans="1:13" x14ac:dyDescent="0.25">
      <c r="A34" s="2">
        <v>46266</v>
      </c>
      <c r="B34" s="1" t="str">
        <f ca="1">IF(Información1[[#This Row],[Fecha]]='Ajuste de fechas'!$A$2,"Día actual","Día anterior")</f>
        <v>Día actual</v>
      </c>
      <c r="C34" s="3" t="s">
        <v>95</v>
      </c>
      <c r="D34" t="s">
        <v>96</v>
      </c>
      <c r="E34" s="3" t="s">
        <v>101</v>
      </c>
      <c r="F34" s="3" t="s">
        <v>46</v>
      </c>
      <c r="G34" s="3" t="s">
        <v>102</v>
      </c>
      <c r="H34" s="3" t="s">
        <v>64</v>
      </c>
      <c r="I34" s="3" t="s">
        <v>7</v>
      </c>
      <c r="J34" s="3" t="s">
        <v>31</v>
      </c>
      <c r="K34" s="3" t="s">
        <v>100</v>
      </c>
      <c r="L34" s="3" t="s">
        <v>34</v>
      </c>
      <c r="M34">
        <v>1</v>
      </c>
    </row>
    <row r="35" spans="1:13" x14ac:dyDescent="0.25">
      <c r="A35" s="2">
        <v>46266</v>
      </c>
      <c r="B35" s="1" t="str">
        <f ca="1">IF(Información1[[#This Row],[Fecha]]='Ajuste de fechas'!$A$2,"Día actual","Día anterior")</f>
        <v>Día actual</v>
      </c>
      <c r="C35" s="3" t="s">
        <v>95</v>
      </c>
      <c r="D35" t="s">
        <v>96</v>
      </c>
      <c r="E35" s="3" t="s">
        <v>103</v>
      </c>
      <c r="F35" s="3" t="s">
        <v>16</v>
      </c>
      <c r="G35" s="3" t="s">
        <v>104</v>
      </c>
      <c r="H35" s="3" t="s">
        <v>64</v>
      </c>
      <c r="I35" s="3" t="s">
        <v>7</v>
      </c>
      <c r="J35" s="3" t="s">
        <v>35</v>
      </c>
      <c r="K35" s="3" t="s">
        <v>99</v>
      </c>
      <c r="L35" s="3" t="s">
        <v>32</v>
      </c>
      <c r="M35">
        <v>1</v>
      </c>
    </row>
    <row r="36" spans="1:13" x14ac:dyDescent="0.25">
      <c r="A36" s="2">
        <v>46266</v>
      </c>
      <c r="B36" s="1" t="str">
        <f ca="1">IF(Información1[[#This Row],[Fecha]]='Ajuste de fechas'!$A$2,"Día actual","Día anterior")</f>
        <v>Día actual</v>
      </c>
      <c r="C36" s="3" t="s">
        <v>95</v>
      </c>
      <c r="D36" t="s">
        <v>96</v>
      </c>
      <c r="E36" s="3" t="s">
        <v>105</v>
      </c>
      <c r="F36" s="3" t="s">
        <v>23</v>
      </c>
      <c r="G36" s="3" t="s">
        <v>106</v>
      </c>
      <c r="H36" s="3" t="s">
        <v>64</v>
      </c>
      <c r="I36" s="3" t="s">
        <v>7</v>
      </c>
      <c r="J36" s="3" t="s">
        <v>31</v>
      </c>
      <c r="K36" s="3" t="s">
        <v>100</v>
      </c>
      <c r="L36" s="3" t="s">
        <v>34</v>
      </c>
      <c r="M36">
        <v>1</v>
      </c>
    </row>
    <row r="37" spans="1:13" x14ac:dyDescent="0.25">
      <c r="A37" s="2">
        <v>46266</v>
      </c>
      <c r="B37" s="1" t="str">
        <f ca="1">IF(Información1[[#This Row],[Fecha]]='Ajuste de fechas'!$A$2,"Día actual","Día anterior")</f>
        <v>Día actual</v>
      </c>
      <c r="C37" s="3" t="s">
        <v>95</v>
      </c>
      <c r="D37" t="s">
        <v>96</v>
      </c>
      <c r="E37" s="3" t="s">
        <v>107</v>
      </c>
      <c r="F37" s="3" t="s">
        <v>18</v>
      </c>
      <c r="G37" s="3" t="s">
        <v>108</v>
      </c>
      <c r="H37" s="3" t="s">
        <v>64</v>
      </c>
      <c r="I37" s="3" t="s">
        <v>22</v>
      </c>
      <c r="J37" s="3" t="s">
        <v>31</v>
      </c>
      <c r="K37" s="3" t="s">
        <v>99</v>
      </c>
      <c r="L37" s="3" t="s">
        <v>32</v>
      </c>
      <c r="M37">
        <v>1</v>
      </c>
    </row>
    <row r="38" spans="1:13" x14ac:dyDescent="0.25">
      <c r="A38" s="2">
        <v>46266</v>
      </c>
      <c r="B38" s="1" t="str">
        <f ca="1">IF(Información1[[#This Row],[Fecha]]='Ajuste de fechas'!$A$2,"Día actual","Día anterior")</f>
        <v>Día actual</v>
      </c>
      <c r="C38" s="3" t="s">
        <v>95</v>
      </c>
      <c r="D38" t="s">
        <v>96</v>
      </c>
      <c r="E38" s="3" t="s">
        <v>109</v>
      </c>
      <c r="F38" s="3" t="s">
        <v>18</v>
      </c>
      <c r="G38" s="3" t="s">
        <v>110</v>
      </c>
      <c r="H38" s="3" t="s">
        <v>64</v>
      </c>
      <c r="I38" s="3" t="s">
        <v>7</v>
      </c>
      <c r="J38" s="3" t="s">
        <v>31</v>
      </c>
      <c r="K38" s="3" t="s">
        <v>100</v>
      </c>
      <c r="L38" s="3" t="s">
        <v>42</v>
      </c>
      <c r="M38">
        <v>1</v>
      </c>
    </row>
    <row r="39" spans="1:13" x14ac:dyDescent="0.25">
      <c r="A39" s="2">
        <v>46266</v>
      </c>
      <c r="B39" s="1" t="str">
        <f ca="1">IF(Información1[[#This Row],[Fecha]]='Ajuste de fechas'!$A$2,"Día actual","Día anterior")</f>
        <v>Día actual</v>
      </c>
      <c r="C39" s="3" t="s">
        <v>95</v>
      </c>
      <c r="D39" t="s">
        <v>96</v>
      </c>
      <c r="E39" s="3" t="s">
        <v>111</v>
      </c>
      <c r="F39" s="3" t="s">
        <v>18</v>
      </c>
      <c r="G39" s="3" t="s">
        <v>62</v>
      </c>
      <c r="H39" s="3" t="s">
        <v>64</v>
      </c>
      <c r="I39" s="3" t="s">
        <v>22</v>
      </c>
      <c r="J39" s="3" t="s">
        <v>31</v>
      </c>
      <c r="K39" s="3" t="s">
        <v>99</v>
      </c>
      <c r="L39" s="3" t="s">
        <v>32</v>
      </c>
      <c r="M39">
        <v>1</v>
      </c>
    </row>
    <row r="40" spans="1:13" x14ac:dyDescent="0.25">
      <c r="A40" s="2">
        <v>46266</v>
      </c>
      <c r="B40" s="1" t="str">
        <f ca="1">IF(Información1[[#This Row],[Fecha]]='Ajuste de fechas'!$A$2,"Día actual","Día anterior")</f>
        <v>Día actual</v>
      </c>
      <c r="C40" s="3" t="s">
        <v>95</v>
      </c>
      <c r="D40" t="s">
        <v>96</v>
      </c>
      <c r="E40" s="3" t="s">
        <v>112</v>
      </c>
      <c r="F40" s="3" t="s">
        <v>19</v>
      </c>
      <c r="G40" s="3" t="s">
        <v>59</v>
      </c>
      <c r="H40" s="3" t="s">
        <v>64</v>
      </c>
      <c r="I40" s="3" t="s">
        <v>7</v>
      </c>
      <c r="J40" s="3" t="s">
        <v>36</v>
      </c>
      <c r="K40" s="3" t="s">
        <v>99</v>
      </c>
      <c r="L40" s="3" t="s">
        <v>32</v>
      </c>
      <c r="M40">
        <v>1</v>
      </c>
    </row>
    <row r="41" spans="1:13" x14ac:dyDescent="0.25">
      <c r="A41" s="2">
        <v>46266</v>
      </c>
      <c r="B41" s="1" t="str">
        <f ca="1">IF(Información1[[#This Row],[Fecha]]='Ajuste de fechas'!$A$2,"Día actual","Día anterior")</f>
        <v>Día actual</v>
      </c>
      <c r="C41" s="3" t="s">
        <v>95</v>
      </c>
      <c r="D41" t="s">
        <v>96</v>
      </c>
      <c r="E41" s="3" t="s">
        <v>113</v>
      </c>
      <c r="F41" s="3" t="s">
        <v>20</v>
      </c>
      <c r="G41" s="3" t="s">
        <v>114</v>
      </c>
      <c r="H41" s="3" t="s">
        <v>64</v>
      </c>
      <c r="I41" s="3" t="s">
        <v>7</v>
      </c>
      <c r="J41" s="3" t="s">
        <v>31</v>
      </c>
      <c r="K41" s="3" t="s">
        <v>100</v>
      </c>
      <c r="L41" s="3" t="s">
        <v>34</v>
      </c>
      <c r="M41">
        <v>1</v>
      </c>
    </row>
    <row r="42" spans="1:13" x14ac:dyDescent="0.25">
      <c r="A42" s="2">
        <v>46266</v>
      </c>
      <c r="B42" s="1" t="str">
        <f ca="1">IF(Información1[[#This Row],[Fecha]]='Ajuste de fechas'!$A$2,"Día actual","Día anterior")</f>
        <v>Día actual</v>
      </c>
      <c r="C42" s="3" t="s">
        <v>95</v>
      </c>
      <c r="D42" t="s">
        <v>96</v>
      </c>
      <c r="E42" s="3" t="s">
        <v>115</v>
      </c>
      <c r="F42" s="3" t="s">
        <v>20</v>
      </c>
      <c r="G42" s="3" t="s">
        <v>55</v>
      </c>
      <c r="H42" s="3" t="s">
        <v>64</v>
      </c>
      <c r="I42" s="3" t="s">
        <v>7</v>
      </c>
      <c r="J42" s="3" t="s">
        <v>31</v>
      </c>
      <c r="K42" s="3" t="s">
        <v>100</v>
      </c>
      <c r="L42" s="3" t="s">
        <v>34</v>
      </c>
      <c r="M4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38</v>
      </c>
      <c r="B1" t="s">
        <v>39</v>
      </c>
    </row>
    <row r="2" spans="1:2" x14ac:dyDescent="0.25">
      <c r="A2" s="2">
        <f ca="1">TODAY()</f>
        <v>46266</v>
      </c>
      <c r="B2" s="2">
        <f ca="1">A2-1</f>
        <v>46265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2026-09-01T23:48:33Z</dcterms:modified>
</cp:coreProperties>
</file>