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FAD1E106-C5DB-43D1-BABA-60152EABAA46}"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99" i="2" l="1"/>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3" i="2"/>
  <c r="B15" i="2"/>
  <c r="B17" i="2"/>
  <c r="B19" i="2"/>
  <c r="B20" i="2"/>
  <c r="B22" i="2"/>
  <c r="B24" i="2"/>
  <c r="B26" i="2"/>
  <c r="B28" i="2"/>
  <c r="B30" i="2"/>
  <c r="B32" i="2"/>
  <c r="B34" i="2"/>
  <c r="B36" i="2"/>
  <c r="B38" i="2"/>
  <c r="B40" i="2"/>
  <c r="B41" i="2"/>
  <c r="B212" i="2"/>
  <c r="B45" i="2"/>
  <c r="B47" i="2"/>
  <c r="B48" i="2"/>
  <c r="B50" i="2"/>
  <c r="B52" i="2"/>
  <c r="B53" i="2"/>
  <c r="B54" i="2"/>
  <c r="B55" i="2"/>
  <c r="B56" i="2"/>
  <c r="B57" i="2"/>
  <c r="B58" i="2"/>
  <c r="B59" i="2"/>
  <c r="B213" i="2"/>
  <c r="B216" i="2"/>
  <c r="B218" i="2"/>
  <c r="B220" i="2"/>
  <c r="B222" i="2"/>
  <c r="B224" i="2"/>
  <c r="B226" i="2"/>
  <c r="B228" i="2"/>
  <c r="B66" i="2"/>
  <c r="B68" i="2"/>
  <c r="B70" i="2"/>
  <c r="B72" i="2"/>
  <c r="B74" i="2"/>
  <c r="B76" i="2"/>
  <c r="B78" i="2"/>
  <c r="B80" i="2"/>
  <c r="B82" i="2"/>
  <c r="B84" i="2"/>
  <c r="B86" i="2"/>
  <c r="B88" i="2"/>
  <c r="B90" i="2"/>
  <c r="B92" i="2"/>
  <c r="B94" i="2"/>
  <c r="B96" i="2"/>
  <c r="B98"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 i="2"/>
  <c r="B3" i="2"/>
  <c r="B4" i="2"/>
  <c r="B5" i="2"/>
  <c r="B6" i="2"/>
  <c r="B7" i="2"/>
  <c r="B8" i="2"/>
  <c r="B9" i="2"/>
  <c r="B10" i="2"/>
  <c r="B11" i="2"/>
  <c r="B12" i="2"/>
  <c r="B14" i="2"/>
  <c r="B16" i="2"/>
  <c r="B18" i="2"/>
  <c r="B211" i="2"/>
  <c r="B21" i="2"/>
  <c r="B23" i="2"/>
  <c r="B25" i="2"/>
  <c r="B27" i="2"/>
  <c r="B29" i="2"/>
  <c r="B31" i="2"/>
  <c r="B33" i="2"/>
  <c r="B35" i="2"/>
  <c r="B37" i="2"/>
  <c r="B39" i="2"/>
  <c r="B42" i="2"/>
  <c r="B43" i="2"/>
  <c r="B44" i="2"/>
  <c r="B46" i="2"/>
  <c r="B49" i="2"/>
  <c r="B51" i="2"/>
  <c r="B60" i="2"/>
  <c r="B61" i="2"/>
  <c r="B62" i="2"/>
  <c r="B63" i="2"/>
  <c r="B64" i="2"/>
  <c r="B65" i="2"/>
  <c r="B214" i="2"/>
  <c r="B215" i="2"/>
  <c r="B217" i="2"/>
  <c r="B219" i="2"/>
  <c r="B221" i="2"/>
  <c r="B223" i="2"/>
  <c r="B225" i="2"/>
  <c r="B227" i="2"/>
  <c r="B229" i="2"/>
  <c r="B67" i="2"/>
  <c r="B69" i="2"/>
  <c r="B71" i="2"/>
  <c r="B73" i="2"/>
  <c r="B75" i="2"/>
  <c r="B77" i="2"/>
  <c r="B79" i="2"/>
  <c r="B81" i="2"/>
  <c r="B83" i="2"/>
  <c r="B85" i="2"/>
  <c r="B87" i="2"/>
  <c r="B89" i="2"/>
  <c r="B91" i="2"/>
  <c r="B93" i="2"/>
  <c r="B95" i="2"/>
  <c r="B9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<sst xmlns="http://schemas.openxmlformats.org/spreadsheetml/2006/main" count="2295" uniqueCount="389">
  <si>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</si>
  <si>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</si>
  <si>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</si>
  <si>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</si>
  <si>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</si>
  <si>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</si>
  <si>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</si>
  <si>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</si>
  <si>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</si>
  <si>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</si>
  <si>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</si>
  <si>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</si>
  <si>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</si>
  <si>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</si>
  <si>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</si>
  <si>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</si>
  <si>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</si>
  <si>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</si>
  <si>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</si>
  <si>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</si>
  <si>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</si>
  <si>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</si>
  <si>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</si>
  <si>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</si>
  <si>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</si>
  <si>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</si>
  <si>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</si>
  <si>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</si>
  <si>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</si>
  <si>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</si>
  <si>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Andrés Torres</t>
  </si>
  <si>
    <t>Ke Buena 106.7 FM</t>
  </si>
  <si>
    <t>David Cárdenas</t>
  </si>
  <si>
    <t>Noticias 106.7</t>
  </si>
  <si>
    <t>La Poderosa Tuxpan 93.1 FM</t>
  </si>
  <si>
    <t>Liz Argüelles</t>
  </si>
  <si>
    <t>NN Nuestras Noticias Zona Norte</t>
  </si>
  <si>
    <t>Turismo</t>
  </si>
  <si>
    <t>Súper Stéreo 100.5 FM</t>
  </si>
  <si>
    <t>Rodolfo López</t>
  </si>
  <si>
    <t>Enfoque Regional Meridiano</t>
  </si>
  <si>
    <t>Enfoque Regional Matutino</t>
  </si>
  <si>
    <t>TV Cable hidalguense Canal 6</t>
  </si>
  <si>
    <t>Juan Carlos Santamaria</t>
  </si>
  <si>
    <t>Contigo Noticias</t>
  </si>
  <si>
    <t>TV local</t>
  </si>
  <si>
    <t>Auxilio a la ciudadanía</t>
  </si>
  <si>
    <t>PGJEH</t>
  </si>
  <si>
    <t>Canal del Pueblo</t>
  </si>
  <si>
    <t>Vocales Radio</t>
  </si>
  <si>
    <t>Semarnath</t>
  </si>
  <si>
    <t>NQ 90.1 FM</t>
  </si>
  <si>
    <t>Jesús Riveros</t>
  </si>
  <si>
    <t>Enlace Hidalgo1</t>
  </si>
  <si>
    <t>Enlace Hidalgo2</t>
  </si>
  <si>
    <t>Radio Lobo 96.7 FM</t>
  </si>
  <si>
    <t>Planeación</t>
  </si>
  <si>
    <t>Ultra 102.9 FM</t>
  </si>
  <si>
    <t>Ultra Noticias1</t>
  </si>
  <si>
    <t>Daniel Martínez</t>
  </si>
  <si>
    <t>Cultura</t>
  </si>
  <si>
    <t>Eulalio Larrieta agradece a Carlos Gamiño por estar al pendiente de temas</t>
  </si>
  <si>
    <t>Iniciativa</t>
  </si>
  <si>
    <t>Abasto De Agua</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</si>
  <si>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</si>
  <si>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</si>
  <si>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</si>
  <si>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</si>
  <si>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</si>
  <si>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</si>
  <si>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</si>
  <si>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</si>
  <si>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</si>
  <si>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</si>
  <si>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</si>
  <si>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</si>
  <si>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</si>
  <si>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</si>
  <si>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</si>
  <si>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</si>
  <si>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</si>
  <si>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</si>
  <si>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</si>
  <si>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Maltrato animal</t>
  </si>
  <si>
    <t>Prevención De Riesgos</t>
  </si>
  <si>
    <t>Sedeco</t>
  </si>
  <si>
    <t>Combate Al Narcomenudeo</t>
  </si>
  <si>
    <t>Rehabilitación Vial</t>
  </si>
  <si>
    <t>Aumento Tarifa De Transporte</t>
  </si>
  <si>
    <t>Exigen esclarecer homicidio</t>
  </si>
  <si>
    <t>Mundial De Futbol</t>
  </si>
  <si>
    <t>Nacionales Conade</t>
  </si>
  <si>
    <t>Gusano barrenador</t>
  </si>
  <si>
    <t>Vía telefónica el reporte de Bombero y Protección Civil con Abner Yáñez informa que se atendieron diversas emergencias.</t>
  </si>
  <si>
    <t>Bienestar</t>
  </si>
  <si>
    <t>Ambulantaje</t>
  </si>
  <si>
    <t>Accidente de patrulla</t>
  </si>
  <si>
    <t>Concierto Sinfónico</t>
  </si>
  <si>
    <t>Jornada por la paz</t>
  </si>
  <si>
    <t>Becas De Posgrado</t>
  </si>
  <si>
    <t>Boletín 635: OSEH abre audiciones para integrar nuevos talentos a su plantilla artística</t>
  </si>
  <si>
    <t>Orquesta Sinfónica</t>
  </si>
  <si>
    <t>Ayudas funcionales</t>
  </si>
  <si>
    <t>Supervisión sanitaria</t>
  </si>
  <si>
    <t>Accidente Carretero</t>
  </si>
  <si>
    <t>Alcantarillado</t>
  </si>
  <si>
    <t>Inclusión</t>
  </si>
  <si>
    <t>Carril confinado</t>
  </si>
  <si>
    <t>OSEH abre audiciones para integrar nuevos talentos a su plantilla artística</t>
  </si>
  <si>
    <t>Mosco Culex</t>
  </si>
  <si>
    <t>Caen 5 presuntos narcomenudistas en Pachuca, tras operativo de la SSPH</t>
  </si>
  <si>
    <t>Detención</t>
  </si>
  <si>
    <t>Asistencia de parto</t>
  </si>
  <si>
    <t>Investigación académica</t>
  </si>
  <si>
    <t>En operación nueva línea de alcantarillado sanitario en Pachuca</t>
  </si>
  <si>
    <t>Disparos al aire</t>
  </si>
  <si>
    <t>Apoya gobierno de Julio Menchaca a personas investigadoras a través del “Fondo Hidalgo, Ciencia y Tecnología”</t>
  </si>
  <si>
    <t>Mundial Social llega a Hidalgo con impulso a infraestructura deportiva comunitaria</t>
  </si>
  <si>
    <t>Radiodifusoras</t>
  </si>
  <si>
    <t>Locutor Jesús Riveros da lectura a comentario de radioescucha que reporta un caso de discriminación a su hijo autista en la Unidad Deportiva de Tulancingo.</t>
  </si>
  <si>
    <t>Discriminación</t>
  </si>
  <si>
    <t>En el marco del Día Internacional de la Propiedad Industrial, el Gobierno de Tulancingo llevará a cabo el próximo lunes 27 de abril una jornada especial para presentar a negocios y empresas que ya cuentan con su título de marca registrada, otorgado por el Instituto Mexicano de la Propiedad Industrial (IMPI). El evento se realizará en el Auditorio Benito Juárez de la Presidencia Municipal, en un horario de 11:00 a 15:00 horas. Durante la jornada, Claudia Yadira Ibarra Cea, representante del IMPI, impartirá la conferencia “Registro de Marca, una inversión inteligente”, con el objetivo de brindar herramientas que fortalezcan a los emprendimientos locales. Además, se llevará a cabo una exposición con la participación de 40 empresarios tulancinguenses que, con el apoyo de la Dirección de Fomento Industrial, adscrita a la Secretaría de Fomento Económico, lograron obtener su registro de marca con un descuento del 90 por ciento, consolidando así su identidad y abriendo nuevas oportunidades de mercado. Productores de alimentos, textiles y prestadores de servicios serán protagonistas de esta jornada, demostrando que, con asesoría y acompañamiento, es posible acceder al reconocimiento y protección legal de sus marcas. Asimismo, las y los interesados podrán recibir orientación para iniciar su trámite ante el IMPI, con acompañamiento durante todo el proceso. Cabe destacar que el registro de marca tiene una vigencia de 10 años y es renovable, lo que garantiza la protección continua del nombre e identidad del negocio. El costo habitual del trámite es de 3 mil 129 pesos; sin embargo, mediante esta campaña institucional se reduce a 312 pesos con 80 centavos.</t>
  </si>
  <si>
    <t>Registro de marca</t>
  </si>
  <si>
    <t>En tres años y medio, el gobierno de Hidalgo ha recuperado más de 385 inmuebles a su patrimonio mediante diferentes acciones, informó el Oficial Mayor del estado, Orlando Angeles Pérez. La estimación en recuperación de inmuebles asciende a mil 230 millones de pesos. El funcionario estatal indicó que la recuperación de inmuebles deriva de la estrategia integral para el fortalecimiento y la inscripción de nuevos bienes al patrimonio inmobiliario estatal, que tiene como objetivo darle certeza jurídica y corregir el rezago histórico, y sobre todo garantizar que se cumpla con una función social. En conferencia de prensa, el funcionario estatal detalló que en tres años siete meses de la administración, han incorporado y reincorporado al patrimonio estatal más de 385 inmuebles mediante acciones como revocación de decreto, reversión de donación, incorporación de bienes, o acciones jurídicas implementadas a través de la Coordinación General Jurídica y de la Secretaría de Gobierno. Además, dijo que, en coordinación con la Secretaría de Hacienda de Hidalgo, mediante el cumplimiento de obligaciones fiscales, les ha permitido un incremento al patrimonio estatal de aproximadamente mil 230 millones de pesos. Entre los inmuebles recuperados se encuentran predios en Tizayuca, en Apan y uno más en Mineral de la Reforma, así como en particular uno ubicado en Pachuca que será sede del Tribunal de Justicia Administrativa y fue en recuperación de cumplimientos de obligación fiscal.</t>
  </si>
  <si>
    <t>Oficialía Mayor</t>
  </si>
  <si>
    <t>Mañanera de Hidalgo</t>
  </si>
  <si>
    <t>La tarde de este domingo, dos mujeres, una de ellas menor de edad, resultaron lesionadas luego de ser embestidas por un tren, al intentar ganarle el paso en el municipio de Nopala de Villagrán. De acuerdo a la versión de la mujer, al momento de conducir su automóvil e intentar cruzar no se percató de la cercanía de la locomotora, lo que ocasionó que intentará pasar la vía y terminará alcanzada por la máquina. Paramédicos de Protección Civil Municipal atendieron el llamado, localizando con lesiones a la automovilista y a una menor de 10 años de edad, ambas tuvieron que ser trasladadas al nosocomio para su atención médica. Las autoridades insisten a los automovilistas respetar los señalamientos y los cruces ferroviarios para evitar accidentes de este tipo.</t>
  </si>
  <si>
    <t>Boletín: Promueven gobierno participativo en la Primera Sesión ordinaria del Copladem en Nopala</t>
  </si>
  <si>
    <t>COPLADEM</t>
  </si>
  <si>
    <t>Luego de que la noche de ayer, vecinos del barrio de San Antonio en el municipio de Ixmiquilpan reportaron detonaciones de arma de fuego que generaron alarma entre la población, el gobierno municipal emitió este día un comunicado en el que aclaró que no se trató de un ataque o hecho delictivo. De acuerdo con la versión oficial, las detonaciones correspondieron únicamente a disparos realizados al aire, situación que fue atendida por las autoridades para evitar mayores riesgos a la ciudadanía. Así tambien se descartó la existencia de personas lesionadas y la implementación en el área de un operativo de vigilancia por parte de Seguridad Pública Municipal. El gobierno local exhorto a la ciudadanía a no realizar este tipo de acciones, ante el riesgo que significan para la población.</t>
  </si>
  <si>
    <t>Boletín 1629: Estudiantes de UTVAM presentan revista literaria Aporía</t>
  </si>
  <si>
    <t>Presentación Editorial</t>
  </si>
  <si>
    <t>Boletín 716: SSPH desarticula bodega utilizada para almacenar autopartes y desmantelar vehículos robados en Cuautepec de Hinojosa</t>
  </si>
  <si>
    <t>Combate a la delincuencia</t>
  </si>
  <si>
    <t>Boletín: Biznagas aseguradas en San Salvador son trasladadas al Parque Ecológico Cubitos para su conservación</t>
  </si>
  <si>
    <t>Conservación Biodiversidad</t>
  </si>
  <si>
    <t>Boletín 028: Probable responsable de feminicidio en Veracruz fue aprehendido por la PGJEH</t>
  </si>
  <si>
    <t>Detención Feminicida</t>
  </si>
  <si>
    <t>Boletín 716: Hidalgo ratifica su posición entre los estados con mayor estabilidad en materia de seguridad</t>
  </si>
  <si>
    <t>Incidencia Delictiva</t>
  </si>
  <si>
    <t>Boletín 1048: Atención oportuna y gratuita, clave para contener al gusano barrenador del ganado</t>
  </si>
  <si>
    <t>CGCG</t>
  </si>
  <si>
    <t>Boletín: El Gobierno de Hidalgo anuncia la creación de un nuevo museo estatal en un inmueble emblemático recuperado en el Centro Histórico de Pachuca</t>
  </si>
  <si>
    <t>Museo de la Ciudad</t>
  </si>
  <si>
    <t>Entrevista en cabina Guadalupe Rodríguez Uribe, secretaria de Educación, Cultura y Deporte - Habló sobre la actividad que se realizarán en Tulancingo en conmemoración del “día de la niñez” con actividades como: carrera atlética, función de lucha libre, voleibol, parque temático de Alicia en el país de las maravillas, really de las guerreras K-pop, juegos mecánicos gratuitos, por mencionar algunas. Las actividades mencionadas se llevarán a cabo el próximo domingo 26 abril desde las 08:00 horas en la Unidad Deportiva.</t>
  </si>
  <si>
    <t>Día del Niño</t>
  </si>
  <si>
    <t>En vivo desde la conferencia mañanera, Juan Carlos Santamaría informó que, al inicio de esta actividad, se presentó un video sobre la presencia del gobernador, Julio Menchaca Salazar en los “Círculos de Diálogo”, en esta ocasión desde el municipio de Tepetitlán en donde en el marco de este mes de abril “mes de la niñez” se dio un encuentro con estudiantes de excelencia</t>
  </si>
  <si>
    <t>En vivo desde la conferencia mañanera, Juan Carlos Santamaría informa sobre la participación de la secretaria de Cultura, Neyda Naranjo, quien informó sobre la presencia de la Orquesta Sinfónica Infantil y Juvenil del Centro de las Artes en lo que será la presencia de Hidalgo en Los Pinos en próximo 9 y 10 de mayo, en compañía de personas artesanas, artistas de las comunidades de 43 municipios.</t>
  </si>
  <si>
    <t>Locutor Juan Carlos Santamaría transmite en vivo desde la conferencia mañanera, en donde informa sobre una manifestación que se realizó el fin de semana en el primer cuadro de la capital en defensa de la fundación “Arturo Herrera Cabañas” en ese sentido, durante la intervención de Raúl Serret Lara, Coordinador General Jurídico del Gobierno del Estado, ha fijado la postura de la autoridad estatal al respecto.</t>
  </si>
  <si>
    <t>En vivo desde la conferencia mañanera de Gobierno de Hidalgo, locutor Juan Carlos Santamaría, que será encabezada por la secretaria de Cultura, Neyda Naranjo Baltazar; el subsecretario de Protección Civil y Gestión de Riegos, Román Bernal Díaz y el presidente municipal de Pachuca, Jorge Reyes Hernández. Cabe destacar que, como parte de esta conferencia, en la parte de la planta baja, está en este momento la presencia de la Orquesta Sinfónica del Estado de Hidalgo, ya estarán informando del porqué de su presencia. El Coordinador General de Comunicación Gubernamental, Edmundo Pineda López da la bienvenida a los asistentes.</t>
  </si>
  <si>
    <t>Locutor Jesús Riveros da lectura a un comunicado que les hacen llegar a través de redes sociales, sobre el asesinato de una pareja en la comunidad de Santa María Asunción, ante la falta de respuesta por parte de las autoridades, convocan a una manifestación pacífica para exigir justicia, transparencia y acciones concretas que lleven a encontrar al responsable, la cita es el miércoles 22 e abril a las 08:00 horas en las casetas de San Alejo donde se realizará un cierre pacífico como medida de presión social.</t>
  </si>
  <si>
    <t>Respecto a la marcha pacífica realizada en calles de Tulancingo para exigir justicia por la muerte de Ximena Abigail, joven de 14 años que perdió la vida tras resultar gravemente herida en un incidente ocurrido el pasado 8 de abril, locutor Jesús Riveros comentó que, el pasado viernes 17 de abril, durante la realización de la “Jornada por la paz” que se realizó en el Jardín La Floresta y que estuvo encabezada por el secretario de Gobierno Guillermo Olivares y la presidenta de Tulancingo Lorena García, se comprometieron a brindarle el apoyo requerido al padre de Ximena.</t>
  </si>
  <si>
    <t>Muerte en tianguis</t>
  </si>
  <si>
    <t>Entre consignas, pancartas y un profundo sentimiento de indignación, familiares, amigos y habitantes de Tulancingo, Hidalgo, salieron a las calles este sábado para exigir justicia por la muerte de Ximena Abigail, joven de 14 años que perdió la vida tras resultar gravemente herida en un incidente ocurrido a inicios de abril. Los hechos ocurrieron el pasado 8 de abril, cuando la menor sufrió quemaduras severas luego de que le cayera encima aceite hirviendo en el mercado Solidaridad. El accidente se presentó cuando una camioneta, al maniobrar en reversa, impactó un puesto de papas fritas, provocando que el cazo con aceite se volcara y causara la tragedia. De acuerdo con testimonios de la familia, el conductor involucrado, identificado como Eric “N”, fue detenido tras el incidente; sin embargo, recuperó su libertad apenas 36 horas después, lo que ha generado molestia entre la comunidad. La movilización recorrió diversas vialidades del municipio y estuvo marcada por una consigna central: “No fue un accidente, fue una imprudencia”. Los manifestantes señalaron que el caso no debe quedar impune y demandaron una investigación a fondo sobre las circunstancias que rodearon el suceso.</t>
  </si>
  <si>
    <t>Radioescucha reporta que tiene 3 semanas sin agua en la Plutarco Elías Calles; no tenemos agua ni para el baño ni para nada</t>
  </si>
  <si>
    <t>-Un hombre perdió la vida en un accidente vehicular registrado la mañana de este lunes. La camioneta que conducía se impactó contra la parte trasera de un camión de carga.El percance ocurrió sobre la carretera Apan-Calpulalpan, a la altura del kilómetro 20 en la zona del municipio de Emiliano Zapata. De acuerdo con los primeros reportes, el conductor chocó contra la parte trasera de un camión de plataforma, quedando sin vida de manera instantánea y prensado el interior de la unidad tipo pick up.</t>
  </si>
  <si>
    <t>Boletín: Invita CEDSPI a donar al “Juguetón Indígena 2026”</t>
  </si>
  <si>
    <t>Acopio de juguetes</t>
  </si>
  <si>
    <t>Una gasolinera ubicada en Mineral de la Reforma, Hidalgo, está entre las siete del país que exhiben precios más altos de gasolina regular, superiores a los 24 pesos.Dicha estación de Oxxo Gas, ubicada en la carretera Pachuca-Ciudad Sahagún, kilómetro 12+450, oferta precios de 24.99 pesos, con un margen de 2.76 pesos, con cifras similares a otra de la misma marca en Aguascalientes, en avenida Siglo XXI.Igualmente, aparecen otras con precios entre los 24.39 y 24.94 pesos en Cancún, Quintana Roo; Culiacán, Sinaloa; Santiago Juxtlahuaca, Oaxaca; Gómez Palacio, Durango; y Monterrey, Nuevo León.El titular de la Procuraduría Federal del Consumidor (Profeco), César Iván Escalante Ruiz, recordó en la sección “Quién es quién en los combustibles” que la gasolina regular no debe costar más de 24 pesos y el diésel acercarse a los 28 pesos; por ello, continuarán con la colocación de lonas para exhibir estaciones con precios altos. Hasta ahora, de 44 visitas, se han instalado 14 avisos.</t>
  </si>
  <si>
    <t>Alerta al consumidor</t>
  </si>
  <si>
    <t>Radioescucha reporta que el taxi 0973 de Tuzo a la Aquiles Serdán quería cobrar $100.00 según porque ya todo subió; eran las 4 de la tarde</t>
  </si>
  <si>
    <t>Alteración tarifa de transporte</t>
  </si>
  <si>
    <t>Vía telefónica Carlos Martín Pérez Quijano, titular del Instituto Hidalguense de Competitividad Empresarial. EXPONE EL PROGRAMA: Emprendimiento Paso a Paso que a través del instituto que dirige otorga el gobierno del Estado de Hidalgo, que dirige Julio Menchaca Salazar. “La visión del Instituto Hidalguense de Competitividad el día de hoy es justamente enfocarnos en el apoyo a las microempresas. Y este programa, estamos ya por aperturar las convocatorias para la inscripción al programa. Es un programa en el que hay 760 hidalguenses en todo el estado y que para que el recurso quede disperso entre todo el estado, se han emitido cinco convocatorias por macroregión.Estas macroregiones las determina la unidad de planeación y cada macroregión tendrá un día para la inscripción.</t>
  </si>
  <si>
    <t>Apoyo a emprendedores</t>
  </si>
  <si>
    <t>La tarde del domingo 19 de abril, una mujer fue trasladada al hospital regional de Tula, luego de dar a luz a una bebé en el sanitario de la terminal de microbuses. Al parecer, ella no sabía que se encontraba embarazada.La bebé nació viva y sana, y junto con la madre fueron llevadas a ese nosocomio para recibir atención médica especializada</t>
  </si>
  <si>
    <t>Sobre el reporte de radioescucha de costo de servicio de taxi, comenta conductor: "Es el gran problema, si no ponemos orden en el tema de las tarifas, los taxistas estarán abusando".</t>
  </si>
  <si>
    <t>Boletín 570: Auxiliares funcionales mejoran la vida a personas mayores, audio de apoyo.</t>
  </si>
  <si>
    <t>Entrevista Alicia Sanchéz corista y Mayte Herrera soprano solista ,con la invitación a concierto “Misa de Coronación” (KV 317) de Wolfgang Amadeus Mozart, este 22 de abril a las 18:00 horas al evento que se llevara acabo en la Parroquia Basílica de Santa María de Guadalupe. El concierto será interpretado por la Orquesta Filarmónica de Pachuca, en conjunto con el Coro de Pachuca y el Coro del Estado de Hidalgo, reuniendo a más de 50 voces en escena, recordando igual que este recinto contará con acceso gratuito al público.</t>
  </si>
  <si>
    <t>Enlace Noticias</t>
  </si>
  <si>
    <t>Gina Lorenzo</t>
  </si>
  <si>
    <t>Boletín 28: Probable responsable de feminicidio en Veracruz fue aprehendido por la PGJEH</t>
  </si>
  <si>
    <t>Radioescucha reporta fuga de agua a un costado de la Aurrera de La Providencia; ya se había reportado anteriormente, pero siguen sin arreglarla</t>
  </si>
  <si>
    <t>Fuga De Agua</t>
  </si>
  <si>
    <t>Boletín 1048 : Atención oportuna y gratuita, clave para contener al gusano barrenador del ganador</t>
  </si>
  <si>
    <t>Con una inversión superior a los 400 millones de pesos en los últimos tres años, el gobierno de Hidalgo a cargo de Julio Menchaca Salazar consolida una nueva era para el deporte, fortaleciendo la infraestructura, el apoyo a atletas y la promoción de la actividad física en toda la entidad. Óscar Pérez Rojas, director general del Instituto Hidalguense del Deporte, dijo que aún no hay fecha para la inauguración del Centro Deportivo Hidalguense, pero está seguro de que será un espacio digno para todos los deportistas. AUDIO DE APOYO</t>
  </si>
  <si>
    <t>Impulso al deporte</t>
  </si>
  <si>
    <t>"NN Nuestras Noticias ""El Resumen"""</t>
  </si>
  <si>
    <t>Tomás Sosa</t>
  </si>
  <si>
    <t>La AC BIOFUTURA obtuco datos gubernamentales sobre denuncias de maltrato animal, de mil 681 casos , solo dos han procedido por parte de la Procuraduria Estatal de Protecciñon al Ambiente en Hidalgo, uno en 2025 y otro en 2019, AUDIO APOYO</t>
  </si>
  <si>
    <t>Desde la conferencia mañanera participó la secretaria de Cultura, Neyda Naranjo, quien informó sobre el proyecto del Museo de la Ciudad de Pachuca. Dejó en claro que estas acciones son un impulso para recuperar la infraestructura que durante años estuvo en abandono, como lo son las estaciones del ferrocarril, que gracias a la gestión coordinada con el Instituto de Devolver al Pueblo lo Robado, facilitó la donación de 10 espacios que se restauran para que sean recintos culturales en sus comunidades. "En este gobierno no se cierran espacios, se abren puertas y posibilidades para todas y todos"</t>
  </si>
  <si>
    <t>Durante la conferencia mañanera participo el Coordinador General Jurídico de la Secretaría de Gobierno del Estado de Hidalgo Raúl Serret Lara , informo sobre el proceso legal que vive el inmueble ocupado por la fundación “Arturo Herrera Cabañas”,AUDIO APOYO</t>
  </si>
  <si>
    <t>Durante la conferencia mañanera, se transmitió la cápsula de los círculos de dialogo encabezados por el gobernador Julio Menchaca Salazar hoy desde el municipio de Tepetitlán donde tuvo acercamiento con la ciudadanía, AUDIO APOYO</t>
  </si>
  <si>
    <t>Hoy se llevó a cabo la conferencia mañanera en la Sala del Pueblo</t>
  </si>
  <si>
    <t>“Investigar y castigar probables hechos de omisión y corrupción, imputados a personal de la PGJEH y del IMSS Bienestar”, fue la demanda del padre del adolescente Ximena Abigail, joven de 14 años que perdió la vida tras resultar gravemente herida en un incidente ,luego de que le cayó encima aceite en ebullición que contenía el caso de un puesto de venta de papas, impactado por una camioneta y movimiento dentro del tianguis que cada miércoles instala en la colonia Guadalupe, en Tulancingo. “Tenemos unas autoridades incompetentes, las autoridades llegaron al hecho y no lo quisieron detener y a las 36 horas fue libre, hoy mi niña no está y a pesar de lo que hagamos no va a regresar, pero queremos justicia”</t>
  </si>
  <si>
    <t>Hidalgo se alista rumbo al Copa Mundial de la FIFA 2026 con una fuerte inversión en infraestructura deportiva, a través del proyecto Mundial Social, impulsado por el gobierno federal.El director del Instituto Hidalguense del Deporte, Óscar Pérez Rojas, informó que se construirán o rehabilitarán espacios deportivos en 23 municipios, con la edificación de 25 canchas de fútbol y una inversión cercana a 50 millones de pesos, en beneficio de más de 100 mil habitantes.Destacó que Hidalgo fue de las primeras entidades en cumplir con los requisitos del programa, lo que permitió acelerar la planeación y ejecución de las obras, que se busca estén listas antes del arranque del Mundial.En el plano deportivo, el estado también será sede de la fase final de la Concacaf W Champions Cup que se disputará en el estadio Hidalgo en mayo de 2026, con la participación de equipos como Club América Femenil y las Tuzas. AUDIO DE APOYO</t>
  </si>
  <si>
    <t>Boletín 635: OSEH abre audiciones para integrar nuevos talentos a su plantilla artística:</t>
  </si>
  <si>
    <t>En el marco del día mundial de la hemofilia, el Instituto Mexicano del Seguro Social (IMSS) en Hidalgo, ofrece tratamientos multidisciplinarios de vanguardia para la atención de pacientes con Hemofilia.La hemofilia es una enfermedad hereditaria, poco frecuente que se caracteriza por presentar hemorragias constantes, debido a la falta de factores de coagulación y esta pasa de padres a hijos a través de los cromosomas. Existen dos variantes de la hemofilia, la de tipo “A” o clásica, que es causada por la falta o deficiencia del factor de coagulación tipo VIII y la de tipo “B” o enfermedad de Christmas, que es originada por la deficiencia del factor de coagulación tipo IX.La doctora Clareth Guadalupe Barrios Carballo, hematóloga adscrita al Hospital General de Zona con Medicina Familiar (HGZ/MF) No. 1 de Pachuca, señaló que es importante mantenerse atentos a las manifestaciones hemorragicas, ya que, aunque esta enfermedad se considera rara y poco frecuente, resulta fundamental reconocer las señales de alarma que puedan poner en riesgo la integridad del paciente.</t>
  </si>
  <si>
    <t>Promoción De La Salud</t>
  </si>
  <si>
    <t>Ejemplares de biznaga, especie protegida por la nom-059, fueron rescatados y trasladados al parque ecológico cubitos en pachuca, luego de ser asegurados por la profepa en coordinación con autoridades de san salvador.las plantas presentaban lesiones, por lo que brigadistas de la semarnath realizan trabajos especializados para su recuperación, como poda de raíz, aplicación de cicatrizantes y fertilización.la dependencia estatal informó que estas acciones forman parte de la estrategia para preservar la biodiversidad en hidalgo y garantizar la protección de especies en riesgo.autoridades reiteraron que el cumplimiento de la nom-059 es clave para evitar el deterioro de la flora silvestre y conservar el patrimonio natural del estado.</t>
  </si>
  <si>
    <t>Protección Biodiversidad</t>
  </si>
  <si>
    <t>Boletín 41: Gobierno de Hidalgo abre a la circulación la avenida el Tezontle en Pachuca</t>
  </si>
  <si>
    <t>Boletín: La SEPH lamenta profundamente el fallecimiento del estudiante A.I.B.T. de la escuela secundaria Eliza Acuña Rossetti, ubicada en Tizayuca, expresamos nuestras más sinceras condolencias para sus familiares y amigos (...)</t>
  </si>
  <si>
    <t>Suicidio Estudiante</t>
  </si>
  <si>
    <t>Boletín 1626: Entrega Natividad Castrejón 229 títulos a egresados de la UTVAM</t>
  </si>
  <si>
    <t>Titulación</t>
  </si>
  <si>
    <t>Boletín 1046:Junto a la CMIC, Julio Menchaca fortalece infraestructura de Hidalgo, AUDIO DE APOYO</t>
  </si>
  <si>
    <t>Toma de protesta</t>
  </si>
  <si>
    <t>El día de ayer en el Auditorio GNP de la ciudad de Puebla se llevó a cabo la inauguración de la Olimpiada Nacional CONADE 2026 donde asistieron delegaciones deportivas de todo el país. En cuanto a la actividad deportiva, las delegaciones hidalguenses de voleibol de sala, escalada y breaking ya se encuentran compitiendo en la olimpiada nacional, con un gran resultado para el breaking, donde el pasado jueves avanzaron al top 8 en la modalidad 2 contra 2, mientras tanto escalada y voleibol de sala continúan dando su máximo esfuerzo en fase de clasificación.</t>
  </si>
  <si>
    <t>Respuesta oportuna de la SSPH permite auxiliar a mujer embarazada en la México–Pachuca</t>
  </si>
  <si>
    <t>Impulsa Gobierno de Hidalgo espacios de inclusión a través del arte en Tulancingo</t>
  </si>
  <si>
    <t>Reconocen a investigador de la UTEC a nivel internacional|</t>
  </si>
  <si>
    <t>Vía telefónica Katia Moreno, informa que este fin de semana se puede acudir al municipio de Metepec al Gran Remate de Carnaval Festival de Ferrería.</t>
  </si>
  <si>
    <t>Feria Patronal</t>
  </si>
  <si>
    <t>Participación</t>
  </si>
  <si>
    <t>La Comisión de Derechos Humanos del Estado de Hidalgo (CDHEH) puso en marcha el programa “Por los Derechos de las Niñas, Niños y Adolescentes”, una estrategia de capacitación regional orientada a fortalecer el reconocimiento, promoción y protección de los derechos de niñas, niños y adolescentes. Este esfuerzo reúne a personas servidoras públicas de los municipios de Acaxochitlán, Acatlán, Cuautepec de Hinojosa, Santiago Tulantepec de Lugo Guerrero, Metepec, Agua Blanca de Iturbide y Tulancingo de Bravo, consolidando un trabajo coordinado que busca incidir en las políticas públicas con enfoque de derechos humanos.</t>
  </si>
  <si>
    <t>CDHEH</t>
  </si>
  <si>
    <t>Capacitación</t>
  </si>
  <si>
    <t>Auxiliares funcionales mejoran la vida a personas mayores</t>
  </si>
  <si>
    <t>Fortalecen medidas sanitarias rumbo a la Expo Feria La Ganadera Hidalgo 2026</t>
  </si>
  <si>
    <t>En el marco de la expo feria La Ganadera Hidalgo dos mil veintiséis el monumental lienzo charro de Pachuca será sede de la primera etapa de los charros de acero donde diversos escuadrones de alto rendimiento buscarán los primeros puntos de la temporada de la Copa Hidalgo. Este torneo se desarrollará del viernes 17 al domingo 19 de abril y representa el inicio de un nuevo ciclo competitivo tras los resultados de la edición 2025.</t>
  </si>
  <si>
    <t>Expo feria</t>
  </si>
  <si>
    <t>Probable responsable de feminicidio en Veracruz fue aprehendido por la PGJEH</t>
  </si>
  <si>
    <t>Aprehensión</t>
  </si>
  <si>
    <t>Este sábado se registró un aparatoso accidente en el poblado de San José del Oro, en el municipio de Zimapán, donde un automóvil terminó al fondo de un barranco tras perder el control mientras circulaba sobre la carretera México–Laredo. Tras el incidente, al sitio arribaron elementos de Seguridad Pública municipal, así como personal de la Guardia Nacional y de la Policía Estatal, quienes coordinaron las labores de auxilio y rescate.</t>
  </si>
  <si>
    <t>La mañana del domingo se reportó un accidente en la zona conocida como El Destello, en el municipio de Nopala de Villagrán. Un vehículo particular intentó ganar el paso, pero fue impactado y arrastrado por el tren. Oficiales de seguridad municipal acudieron al sitio para brindar apoyo y realizar las labores correspondientes, además de asegurar la zona para evitar mayores riesgos y percances mayores.</t>
  </si>
  <si>
    <t>Un camión de carga se estrelló contra al menos cuatro viviendas la tarde de este viernes en el fraccionamiento Saucillo, en la zona conocida como “Muro de Piedra”, en Mineral de la Reforma. De acuerdo con vecinos, la unidad transportaba material de construcción cuando perdió el control y terminó impactándose contra las casas, lo que provocó momentos de alarma entre los habitantes. Al lugar acudieron elementos de la Policía Estatal y de Protección Civil, quienes realizaron las diligencias correspondientes.</t>
  </si>
  <si>
    <t>La Secretaría de Seguridad Pública de Hidalgo encabezó un operativo en la colonia Francisco Villa, municipio de Cuautepec de Hinojosa, donde se logró el aseguramiento de dos hombres. Así como 120 piezas de autopartes robadas, 758 dosis de presunta droga y siete vehículos, varios de ellos con irregularidades y reporte de robo, tras la ubicación de cuatro inmuebles presuntamente vinculados con actividades delictivas. Como resultado de trabajos de inteligencia y recorridos operativos, elementos estatales, en coordinación con la Procuraduría General de Justicia del Estado de Hidalgo y la Secretaría de la Defensa Nacional, desplegaron un operativo simultáneo en distintos predios de la zona.</t>
  </si>
  <si>
    <t>En la central de microbuses de Tula registró un hecho inusual: una mujer dio a luz en los sanitarios del lugar. De acuerdo con el reporte de la autoridad y versión de los testigos, la mujer de 34 años de edad comenzó a sentir dolores de manera repentina y al ser muy fuertes se alarmó y solicitó ayuda.</t>
  </si>
  <si>
    <t>En cabina Guadalupe Rodríguez Uribe, titular de la Secretaría de Cultura, Educación, Deporte y Juventud en Tulancingo y Eneida Hernández Rosas, titular de Cultura Física informaron de las actividades que realizará el ayuntamiento en el marco del Día del Niño y la Niña.</t>
  </si>
  <si>
    <t>En el marco del Día Internacional de la Propiedad Industrial, el Gobierno de Tulancingo llevará a cabo el próximo lunes 27 de abril una jornada especial para presentar a negocios y empresas que ya cuentan con su título de marca registrada, otorgado por el Instituto Mexicano de la Propiedad Industrial (IMPI). El evento se realizará en el Auditorio Benito Juárez de la Presidencia Municipal, en un horario de 11:00 a 15:00 horas. Durante la jornada, Claudia Yadira Ibarra Cea, representante del IMPI, impartirá la conferencia “Registro de Marca, una inversión inteligente”, con el objetivo de brindar herramientas que fortalezcan a los emprendimientos locales.</t>
  </si>
  <si>
    <t>La Secretaría de Educación Pública de Hidalgo (SEPH) llevó a cabo el abanderamiento de la delegación que representará al estado en el Campeonato Mundial de Robótica VEX 2026, a celebrarse en San Luis, Misuri, Estados Unidos. Durante la ceremonia, en el auditorio de la Dirección General del Cobaeh, y en representación del secretario de Educación Pública de Hidalgo, Natividad Castrejón Valdez, el subsecretario de Educación Media Superior y Superior, Daniel Fragoso Torres subrayó que la delegación hidalguense es una de las más numerosas del país en esta competencia internacional, muestra del compromiso estatal con la formación científica y tecnológica de la juventud.</t>
  </si>
  <si>
    <t>Campeonato de robótica</t>
  </si>
  <si>
    <t>Tras el retiro de vendedores ambulantes de la Plaza Constitución, el titular del Centro INAH Hidalgo, Manuel Villarruel Vázquez, consideró que es el momento ideal para iniciar un proyecto integral de restauración que permita recuperar este espacio emblemático de Pachuca. “Es el lugar donde nació Pachuca realmente, ahí se generó la ciudad en el siglo XVI, es el corazón del centro histórico, lo ideal es que se pueda ir renovando con un proyecto de restauración”. El funcionario explicó que actualmente trabajan en coordinación con el ayuntamiento capitalino con asesoría en intervenciones específicas, como la herrería que protege el monumento a Miguel Hidalgo, ubicado en el centro de la plaza. “Los asesoramos de cómo se debe intervenir, obviamente tienen que ser colores muy formales, debido a la seriedad que reviste al prócer Miguel Hidalgo”.</t>
  </si>
  <si>
    <t>Tras el retiro de comerciantes ambulantes de la Plaza Constitución, en el centro de la ciudad de Pachuca, aún no se conoce la cantidad de estos que se reubicarán en uno nuevo espacio acondicionado para continuar con sus actividades comerciales. Lo anterior fue reconocido por el alcalde Jorge Reyes Hernández, asegurando que el proceso va en orden y coordinación con el apoyo de los representantes del gremio. “Se dejaron 120 preparaciones eléctricas, pero eso no quiere decir que el número sea exacto”, informó el alcalde. Por lo que el número de comerciantes que ocuparán el nuevo punto aún no puede determinar con exactitud, ya que algunos espacios serán compartidos y otros locatarios han decidido no instalarse. Ante cuestionamientos sobre la posibilidad de que el número de comerciantes exceda la capacidad del lugar, Reyes Hernández afirmó que prevalecerá el orden.</t>
  </si>
  <si>
    <t>Daniel Martínez sobre la recuperación del inmueble que utilizaba la Fundación Arturo Herrera Cabañas, dice que negar que esta fundación ha hecho un trabajo general para el tema de la cultura, las artes y los derechos humanos; es hacer como que no ha hecho nada y es fundamental su trabajo en estos tres rubros. Asimismo, dijo que le llama positivamente ver que la diputada Tania Meza perteneciente a Morena, también a alzado la voz en defensa de este espacio y que entiende que el edificio está deteriorado y por qué no mejor sentarse el gobierno con esta asociación civil para ver como se pude solucionar la situación o a menos que exista un asunto de fondo al respecto. Envía su reconocimiento a la Fundación Arturo Herrera Cabañas.</t>
  </si>
  <si>
    <t>El Gobierno de Hidalgo anuncia la creación de un nuevo museo estatal en un inmueble emblemático recuperado en el Centro Histórico de Pachuca</t>
  </si>
  <si>
    <t>Junto a la CMIC, Julio Menchaca fortalece infraestructura de Hidalgo</t>
  </si>
  <si>
    <t>Daniel Martínez sobre la detención de Roberto N, alias “El Bukanas” que se dio, luego de que su nombre fuera vinculado a diversos mensajes intimidatorios colocados en mantas semanas atrás en diversos puntos del municipio de Tepeapulco, comenta que recuerda que las autoridades en seguida salieron a decir que no había presencia de crimen organizado y con esta detención cómo decir que no.</t>
  </si>
  <si>
    <t>Crimen Organizado</t>
  </si>
  <si>
    <t>En la localidad de Tres Cabezas, Chignahuapan, Roberto N. alias El Bukanas, así como siete integrantes del grupo delincuencial denominado Los Bukanas, fueron detenidos así lo confirmó el Gobierno del Estado de Puebla. Mediante un operativo coordinado entre la Secretaría de Seguridad Pública, la Secretaría de Marina, Secretaría de la Defensa, Guardia Nacional y Fiscalía General del Estado se llevó a cabo la detención del objetivo prioritario y la célula delincuencial, especializada en robo de autotransportes. La detención de Roberto N. se dio, luego de que su nombre fuera vinculado a diversos mensajes intimidatorios colocados semanas atrás en diversos puntos del municipio de Tepeapulco.</t>
  </si>
  <si>
    <t>Por peculado agravado y uso ilícito de atribuciones y facultades, el ex alcalde de Yahualica, Elías San Juan Sánchez, recibió sentencia de 13 años y seis meses de prisión. Se trata de uno de los casos relacionados con el maxi proceso relacionado con el esquema de corrupción denominado como “La Estafa Siniestra”. Tras aproximadamente tres años a partir de su detención, el ex funcionario recibió la sentencia luego de aceptar un procedimiento abreviado. Fue así que los jueces Diana Villarreal Quintero, José Luis Crespo García y Miguel Ángel Galindo Nájera dictaron la sentencia señalada, que incluye el pago de una multa por 48 mil 110 pesos, una disculpa pública, el compromiso de no repetición, así como la suspensión de sus derechos políticos y civiles.</t>
  </si>
  <si>
    <t>Detención Estafa Siniestra</t>
  </si>
  <si>
    <t>Integrantes de la Asamblea de Cuautepec de Hinojosa, provenientes de varios partidos políticos, coincidieron en señalar falta de transparencia y rendición de cuentas de recursos públicos por parte del gobierno municipal. En rueda de prensa, los asambleístas municipales reclamaron que les parecía excesivo aplicar 2.1 millones de pesos para la adquisición de uniformes. Tampoco han sido informados sobre la aplicación de recursos para seguridad pública, provenientes del Fondo de Aportaciones para el Fortalecimiento de los Municipios y de las Demarcaciones Territoriales del Distrito Federal (Fortamun). Destacaron que el 20 por ciento de dicho presupuesto debe aplicarse para el rubro de seguridad pública, pero insistieron que hasta el momento no han recibido información alguna sobre la forma en que se aplicará el recurso público.</t>
  </si>
  <si>
    <t>Opacidad</t>
  </si>
  <si>
    <t>Vía telefónica el radioescucha Benjamín, reporta que en la zona de San José hay una jauría de 6 perros aproximadamente que agreden a las personas. Le ha tocado presenciar 2 ataques a un niño y un adulto mayor. además de otra mujer ha sido mordida, por lo que pide a las autoridades que hagan algo al respecto.</t>
  </si>
  <si>
    <t>Control animal</t>
  </si>
  <si>
    <t>La Procuraduría General de Justicia del Estado de Hidalgo ya está realizando la investigación respecto al fallecimiento de un alumno de la secundaria Eliza Acuña Rossetti, ubicada en el municipio de Tizayuca. Así lo señaló el titular de la Secretaría de Educación Pública en Hidalgo (SEPH), lamentado el fallecimiento del adolescente, al tiempo de descartar que existieran en su caso reporte previo sobre violencia escolar hacia el estudiante. “No hay ninguna evidencia de bullying, la Policía Investigadora tendrá que hacer su indagación e irán analizando todos los factores y los contextos en los que el niño se desenvolvía y puedan llegar a esclarecer el caso”, insistió el funcionario estatal. El secretario detalló que no había reportes previos por parte de docentes o personal escolar que alertaran sobre una posible ideación suicida en el estudiante.</t>
  </si>
  <si>
    <t>El padre de la adolescente que falleció tras caerle aceite hirviendo en el tianguis de la colonia Guadalupe, en Tulancingo, señaló negligencia por parte de servicios médicos públicos para atender a su hija, así como falta de atención por parte del Ministerio Público, señalando que el presunto responsable fue dejado en libertad. Los reclamos ocurrieron durante la Jornada por la Paz y Bienestar del Pueblo, llevada a cabo este viernes 17 de abril, en el parque La Floresta, encabezada por Guillermo Olivares Reyna, Secretario General de Gobierno estatal de Hidalgo. El pasado 8 de abril, la adolescente se acercó a un puesto para venta de papas fritas a realizar una compra; en ese momento, una camioneta que estaba estacionada en la zona al parecer se quedó sin frenos, golpeando el cazo, cayendo el aceite hirviendo que contenía sobre el cuerpo de la menor de edad. La adolescente falleció en el Hospital General de Pachuca el pasado 10 de abril, un par de días de sufrir el accidente, contando con lesiones en el 70 por ciento de su cuerpo.</t>
  </si>
  <si>
    <t>Andrés Torres y Alberto González comentan sobre la la recuperación legal e institucional del inmueble que alberga a la Fundación Arturo Herrera Cabañas, A.C., ubicado en el centro de la ciudad de Pachuca. Señalan que antes de que terminara el sexenio del exgobernador Omar Fayad el comodato del inmueble fue renovado por 30 años a esta institución y que después de que la presidencia de Pachuca realizara una revisión y se comprobara que vendían café fue que se les retiró esta propiedad. Ven con buenos ojos que esto sucediera y que no es el único recinto que debería de rescatarse con fines culturales. Andrés Torres señala que esta fundación antes fue financiada por el gobierno.</t>
  </si>
  <si>
    <t>Andrés Torres critica que en la reunión del pasado viernes del Secretario de Gobierno, Guillermo Olivares con dirigentes de partidos políticos de la entidad y dirigentes políticos, no estuvieron la dirigente del PRD, la de Nueva Alianza ni al presidente del Partido Verde Ecologista o a Marco Antonio Rico y por qué insisten en invitar a José Antonio Rojo que ni partido tiene. Quienes Sí estuvieron fue el Delegado de Bienestar, Abraham Zenteno; Héctor Chávez, ex presidente del PRD; Saíd Vargas, dirígete de la Sección 15 del SNTE; Avelino Tovar, ex dirigente del Partido Verde y José Antonio Rojo y se abordaron temas que tienen que ver con la disciplina, el honor y la importancia de retomar los valores que contribuyen a tener una mejor sociedad. A ver si en una de esas me invitan a una reunión de esas, pero yo sí haría preguntas y saldría a contar, aseveró Andrés Torres</t>
  </si>
  <si>
    <t>Reunión con partidos</t>
  </si>
  <si>
    <t>Andrés torres en respuesta a un radioescucha comenta que el nuevo Cereso se construirá en Mineral de la Reforma.</t>
  </si>
  <si>
    <t>Construcción de Cereso</t>
  </si>
  <si>
    <t>Radioescucha, Roberto Pérez Serrano: será en el mes de mayo cuando nuestro gobernador visite Mangas con las Rutas de la Transformación y su Feria de Servicios, para también inaugurar los proyectos de gran calidad y de mucho impacto social, la línea de la nueva red de agua potable y la gran cancha de basquetbol.</t>
  </si>
  <si>
    <t>Ruta de la transformación</t>
  </si>
  <si>
    <t>Estudiantes de la UPMH participan en foro nacional con propuestas sobre T-MEC</t>
  </si>
  <si>
    <t>Foro nacional</t>
  </si>
  <si>
    <t>Hidalgo se consolida entre los estados más seguros</t>
  </si>
  <si>
    <t>El gobernador hoy encabezará la mesa de seguridad acompañado por el Secretario de Gobierno y los titulares de Seguridad Pública y la Procuraduría.</t>
  </si>
  <si>
    <t>Reunión Gabinete De Seguridad</t>
  </si>
  <si>
    <t>Hoy a las 8:45 de la mañana se llevará a cabo la conferencia mañanera en la Sala del Pueblo.</t>
  </si>
  <si>
    <t>En Tepeji las cosas están adelantadas en cuanto al proceso electoral, pues hay mucha especulación y ataques en las redes sociales porque apenas se dio conocer que Miguel Ángel Tello, titular de Planeación figuraba entre los posibles aspirantes a la candidatura a una diputación federal por Tula. Hubo Hackeo a cuantas, ataque en redes y perfiles falsos.</t>
  </si>
  <si>
    <t>Aspirantes</t>
  </si>
  <si>
    <t>A partir de este lunes 20 de abril, se aplicarán nuevos cierres parciales y totales a la circulación derivados de los trabajos de reconstrucción y pavimentación en concreto hidráulico en la avenida Madero, tramo comprendido entre la avenida Juárez y el Viaducto Río de las Avenidas. La obra se ejecutará en las siguientes zonas: Tramo 1: De avenida Juárez a la Glorieta del Monumento a la Revolución. Tramo 2: De la Glorieta del Monumento a la Revolución al Viaducto Río de las Avenidas (cierre del carril izquierdo). Para mitigar el impacto en la movilidad de la zona, las autoridades han habilitado las rutas de circulación alternativas para los automovilistas:</t>
  </si>
  <si>
    <t>El Ayuntamiento de Singuilucan implementó el programa "Florece con Huevos" como una iniciativa para fortalecer la economía familiar y fomentar el autoconsumo mediante la entrega de aves de postura. De acuerdo con información del 14 de abril de 2026, la primera etapa del programa "Florece con Huevos" ha llegado a su meta y se encuentra cerrada hasta nuevo aviso. Se recomienda estar pendientes de las redes sociales del Municipio de Singuilucan para futuras etapas.</t>
  </si>
  <si>
    <t>Impulso al agro</t>
  </si>
  <si>
    <t>Boletín 26: Invitan a jóvenes a participar en las convocatorias de becas del Citnova</t>
  </si>
  <si>
    <t>El presidente municipal de Emanuel Hernández presentó el programa SeguriChat, una nueva estrategia de seguridad que busca establecer comunicación directa y en tiempo real entre la ciudadanía y la policía municipal, con el objetivo de reducir los tiempos de respuesta ante reportes y hechos delictivos. El esquema comenzará a implementarse a través de las delegaciones municipales y contempla la integración de jefes de calle, colonias y barrios, así como la incorporación progresiva de sectores como transportistas, operadores del transporte público y comerciantes establecidos, fomentando una participación activa y coordinada de la sociedad. De acuerdo con el edil, SeguriChat permitirá mejorar la coordinación entre autoridades y ciudadanos, al tiempo que facilitará la atención inmediata de cualquier situación de riesgo. El sistema operará desde el Centro de Control y Comando y estará vinculado directamente con los mandos de seguridad y personal operativo en campo. Como parte de esta estrategia, el secretario de Seguridad Pública municipal iniciará recorridos en las comunidades, priorizando aquellas con mayor incidencia delictiva, con el fin de supervisar la implementación del programa y fortalecer la proximidad social. Los grupos de comunicación serán organizados por delegados municipales, quienes definirán la integración de vecinos participantes. La autoridad destacó que el conocimiento que tienen los habitantes sobre su entorno será clave para detectar actividades sospechosas y canalizar la información de forma responsable, anónima y efectiva.</t>
  </si>
  <si>
    <t>Prevención del delito</t>
  </si>
  <si>
    <t>La Dirección de Seguridad Pública Municipal de Cardonal notificó esta mañana a la ciudadanía sobre diversas fallas técnicas en su línea telefónica oficial, advirtiendo que el origen de las irregularidades podría tratarse de un presnto hackeo al número de contacto de la corporación. Ante el riesgo que representa esta vulneración, las autoridades hicieron un llamado urgente a la población para extremar precauciones. A través de un comunicado oficial, la dependencia exhortó a los habitantes a no responder llamadas ni mensajes provenientes del número 772 189 3640, además de solicitar que cualquier intento de contacto desde dicha línea sea reportado de inmediato. La corporación enfatizó la importancia de no proporcionar información personal ni datos sensibles a través de este canal mientras se realizan las revisiones técnicas para restablecer el servicio. La Dirección de Seguridad Pública garantizó que se notificará oportunamente a través de los canales oficiales una vez que la comunicación sea segura y el servicio se encuentre operando con normalidad.</t>
  </si>
  <si>
    <t>Hackeo</t>
  </si>
  <si>
    <t>Habitantes de la localidad de El Aguate, en el municipio de Jacala de Ledezma, colocaron una manta en la entrada de su comunidad para denunciar la falta de atención por parte del gobierno municipal en la rehabilitación de un tramo carretero que resultó afectado por un deslave ocurrido hace casi un año. Los pobladores señalaron que los daños se originaron tras las intensas lluvias registradas en octubre de 2025, a consecuencia del huracán Priscila, y que hasta la fecha no se han realizado las obras necesarias para restablecer las condiciones de seguridad en la zona. Los inconformes indicaron que, pese a que en su momento las autoridades anunciaron que se atendería la problemática, los trabajos no se han concretado, lo que mantiene en riesgo a quienes transitan por el lugar. Además, expresaron su preocupación ante la cercanía de su feria tradicional, ya que temen que el mal estado del camino afecte la movilidad de visitantes y las actividades programadas, por lo que exigieron una respuesta inmediata por parte de las autoridades municipales.</t>
  </si>
  <si>
    <t>Huracán Priscilla</t>
  </si>
  <si>
    <t>Boletín 42: Invierte Gobierno de Hidalgo más de 14 millones de pesos en tramo del camino Zundhó–Sifón–San Agustín, en Alfajayucan</t>
  </si>
  <si>
    <t>Boletín: Secretaría de Salud de Hidalgo realiza dos traslados aéreos urgentes para atención especializada</t>
  </si>
  <si>
    <t>Puente aéreo</t>
  </si>
  <si>
    <t>Boletín: Combaten la violencia de género durante la Jornada por la Paz y Bienestar del Pueblo</t>
  </si>
  <si>
    <t>Boletín 1050: Gabinete de Seguridad de Hidalgo asegura más de 10 mil estupefacientes y detiene a 32 personas:</t>
  </si>
  <si>
    <t>Vecinos de Cuautepec se reunieron el último tramo de rehabilitación de la carretera Cuautepec-Tulancingo, con la finalidad de exigir la apertura de un carril para agilizar la vialidad, aseguran que la empresa a cargo lleva dos meses de retardo. En el punto de reunión, se dio cita el alcalde Jorge Hernández Arauz quien se comprometió a que esta semana concluya la obra de pavimentación hidráulica con una posible apertura entre el viernes 24 y lunes 27 de abril. Los ahí presentes, recordaron que la intención es abrir un carril que aliviane un poco el flujo vehicular, ya que, aseguran, no hay intenciones de terminar el último tramo, además de que, la autoridad encargada ha sido omisa, pues la empresa encargada de la obra lleva dos meses de retraso, incluso los trabajadores tuvieron que retener la maquinaria por falta de pago.</t>
  </si>
  <si>
    <t>Rehabilitación carretera</t>
  </si>
  <si>
    <t>Tulancingo se alista para una de sus celebraciones más esperadas: la Feria de la Niñez 2026 “Infancias de Ayer y Hoy”, que se llevará a cabo este 26 de abril en la Unidad Deportiva Javier Rojo Gómez, con actividades pensadas para que niñas, niños y familias completas disfruten de un día lleno de convivencia y diversión. La jornada arrancará desde las 8:00 de la mañana con una carrera atlética infantil y continuará con una amplia oferta de entretenimiento en un ambiente seguro e inclusivo, coordinado por la Secretaría de Cultura, Educación, Deporte y Juventud, en conjunto con distintas dependencias municipales, el DIF y la CAAMT. Uno de los principales atractivos será la dinámica de los 14 stands temáticos, donde las y los asistentes deberán reunir cinco boletos de distintos colores para poder acceder a juegos mecánicos y recibir palomitas y algodones de azúcar sin costo. El evento también contará con una función de lucha libre, actividades científicas en la “Ruta de la Ciencia y las Estrellas” —incluyendo observación solar con telescopios—, talleres, dinámicas culinarias y espacios interactivos como simulaciones de esterilización con caninos de juguete. Además, habrá juegos tradicionales que buscan fortalecer la convivencia entre generaciones, así como actividades relacionadas con la seguridad y el Mundial de futbol. La presencia de personajes como las Guerreras K-Pop y Toy Story promete sumar entusiasmo entre los más pequeños. Con esta feria, el gobierno municipal reafirma su compromiso con el bienestar de la niñez, promoviendo espacios de recreación, aprendizaje y unión familiar.</t>
  </si>
  <si>
    <t>La Secretaría de Seguridad Ciudadana de Mineral de la Reforma informó la detención de una persona que contaba con una orden de aprehensión vigente por el delito de feminicidio en el estado de Hidalgo. Tras ser detenido por alterar el orden público e ingresar a un domicilio sin autorización en Pachuquilla, elementos de esta corporación aseguraron a quien se identificó con las iniciales S. A. A. S., de 40 años de edad, quien fue trasladado al área de barandillas. En dicho lugar, se confirmó, a través de la Plataforma México, que estaba involucrado en una causa penal vigente; derivado de lo anterior, fue solicitada la intervención de la Procuraduría General de Justicia del Estado de Hidalgo (PGJEH), por lo que agentes de investigación acudieron a la Secretaría de Seguridad Ciudadana para hacerse cargo del detenido para su traslado y continuar con los procedimientos legales correspondientes.</t>
  </si>
  <si>
    <t>El subsecretario de Protección Civil y Gestión de Riesgos, Román Bernal Díaz, advirtió que posiblemente se prolongue la temporada de estiaje, esto, debido al fenómeno meteorológico del niño. “Estamos en un proceso donde el cambio climático ha elevado las temperaturas en la tierra, estamos en el proceso de transición del fenómeno de la niña al de niño y esto está provocando un sobrecalentamiento e inestabilidad atmosférica”, sostuvo. Sin embargo, el funcionario estatal mencionó que en territorio estatal sí habrá lluvias “más cortas, pero que serán más fuertes. Es un pronóstico que tenemos, no es una regla, puede disminuir o aumentar la presencia de las precipitaciones”. De acuerdo con el subsecretario de Protección Civil, este proceso de transición del fenómeno meteorológico del niño se va a extender todo lo que resta del 2026 e incluso, dijo, los primeros meses de 2027. Pese a que se atraviesa por la temporada de calor, entre enero y marzo de este año, Hidalgo no registró ninguna condición de sequía, de acuerdo con el Monitor de Sequía México, lo que ubicó al estado entre las 21 entidades del país sin esta condición. Al corte del 31 de marzo de este año Hidalgo no presentó ningún tipo de sequía, desde la moderada, severa, extrema, ni excepcional en sus 84 municipios, tampoco condiciones de anormalmente seco. Los estados sin sequía en los primeros tres meses de 2056 son: Aguascalientes, Baja California, Baja California Sur, Campeche, Colima, Chiapas, Ciudad de México, Durango, Guanajuato, Guerrero, Hidalgo, Jalisco, Estado de México, Morelos, Nayarit, Puebla, Querétaro, San Luis Potosí, Tabasco, Tlaxcala y Zacatecas.</t>
  </si>
  <si>
    <t>Sequía</t>
  </si>
  <si>
    <t>Entrevista vía telefónica Marco Antonio Pérez Escalante, director del CBTa No. 152 de Apan - Habló sobre la Jornada Estatal Deportiva DGETAyCM que se realiza este 21 y 22 abril en el CBTa No. 152 de Apan, evento que reunirá a estudiantes de todos los planteles del Estado.</t>
  </si>
  <si>
    <t>Justa Deportiva</t>
  </si>
  <si>
    <t>Boletín 636: OSEH y Banda Sinfónica presentan doble jornada musical en Hidalgo</t>
  </si>
  <si>
    <t>Boletín 1632: Estudiantes de la UPP crean sistema inteligente para reducir consumo eléctrico en hogares</t>
  </si>
  <si>
    <t>Boletín 1050: Gabinete de Seguridad de Hidalgo asegura más de 10 mil estupefacientes y detiene a 32 personas</t>
  </si>
  <si>
    <t>Radioescucha reporta una coladera tapada en la calle Monterrey a la altura de 121 en la colonia Azoyatla y eso ocasiona que el agua se meta a varios lados. Ya se reportó a Caasim, pero no mandan a su personal</t>
  </si>
  <si>
    <t>Radioescucha reporta que la alimentadora 361 del Tuzobús ruta 17, conducida por una dama, pasó fuera del horario.</t>
  </si>
  <si>
    <t>Alimentadoras Tuzobús</t>
  </si>
  <si>
    <t>Vía telefónica Manuel Aranda Montero, titular de la Dirección General de Atención al Migrante en Hidalgo, detalla un cambio de estrategia para proteger y servir a la comunidad hidalguense (donde el 97% reside en EE. UU.) Habla de Digitalización y Seguridad: La Nueva Plataforma, debido a que las políticas migratorias actuales hacen peligroso convocar a reuniones masivas de paisanos en EE. UU., el gobierno lanzó la plataforma migranteshidalguenses.hidalgo.mx.Permite acceder a todos los servicios de la oficina de manera remota y segura. Jornadas de Atención en Territorio, para quienes ya están en Hidalgo o son familiares de migrantes, la oficina se desplaza físicamente a los municipios, el 21 de abril en Tlahuelilpan, para abril y mayo: Visitarán Nicolás Flores, Pacula, Zimapán, Tetepango, Acatlán, Juárez Hidalgo, Huehuetla, San Bartolo y Tenango de Doria, se nan atendido a cerca de 700 personas en los primeros 7 municipios visitados</t>
  </si>
  <si>
    <t>Atención A Migrantes</t>
  </si>
  <si>
    <t>La mañana de este martes 21 de abril, elementos de la Dirección de Protección Civil y Bomberos de Tula de Allende atendieron de manera inmediata el reporte de un incendio de tráiler sobre la autopista ArcoNorte, con dirección a Puebla, a la altura de la comunidad de San Francisco Bojay.</t>
  </si>
  <si>
    <t>Radioescucha pregunta ¿Que dia es el evento de la Villita y la Orquesta? Comenta conductor que es el día de mañana 22 de abril a las 18:00 horas al evento que se llevara acabo en la Parroquia Basílica de Santa María de Guadalupe. El concierto será interpretado por la Orquesta Filarmónica de Pachuca, en conjunto con el Coro de Pachuca y el Coro del Estado de Hidalgo, es completamente gratuito</t>
  </si>
  <si>
    <t>El Cruz Azul volvió a Hidalgo, la máquina volvió a sonar tras varios años de ausencia. El equipo llegó ayer a la ciudad cooperativa Cruz Azul, donde se realizó una práctica en el histórico estadio 10 de diciembre. La visita sin duda despertó el interés de la afición local, que pudo ver de cerca al conjunto celeste en uno de los escenarios más emblemáticos de su historia, ahí en sus raíces.Andrés Gudiño, quien jugó en la cancha del 10 de diciembre con Cruz Azul Hidalgo, consideró que regresar a las raíces es algo bueno para la máquina, es muy bonito, es muy emotivo también el venir y ver el apoyo de la gente aquí en Cruz Azul. AUDIO DE APOYO.</t>
  </si>
  <si>
    <t>Cruz Azul</t>
  </si>
  <si>
    <t>Pobladores de la comunidad de Trancas en el municipio de Zimapán retuvieron a trabajadores del IMSS en la clínica rural número 92. Esto en protesta por la falta de personal médico.Los inconformes señalan que desde hace más de un año no cuentan con médico ni enfermera, ya que el doctor asignado únicamente acudió a firmar su acta de presentación y no volvió a brindar servicio. Los pobladores exigen atención inmediata a sus demandas de salud.</t>
  </si>
  <si>
    <t>Déficit De Personal</t>
  </si>
  <si>
    <t>Hablando de aseguramientos, capturan en los límites de Puebla e Hidalgo a Roberto N., alias "El Bucanas", objetivo prioritario con recompensa en Veracruz. Su historial incluye huachicol, robo a transporte y violencia en el Triángulo Rojo.Fundador de "Sangre Nueva Zeta", operó durante una década en Puebla, Tlaxcala, Hidalgo y Veracruz. Según el gobierno poblano, además del combustible, lideró extorsiones y disputas contra grupos rivales.Él viene de ser un policía municipal que estuvo trabajando en la zona de las cumbres, maltrata, de música maltrata, y empieza su carrera cuando se incorpora al grupo de los Zetas. Después de que los Zetas son prácticamente ahí sí desmantelados, surgen otras decisiones como la nueva Sangre Zeta y de ahí viene, de ahí viene esta persona. ¿Qué hacía Héctor? No se puede explicar cómo peligrosos para el transporte de mercancías y todo, que son los límites de Puebla y Veracruz.Se empezó a especular en las últimas horas que la detención de Roberto N., alias El Bucanas, está relacionado con los operativos que se realizaron ayer lunes aquí en la región de Tula, estos tres que le presentaba tanto en Tepeji, dos en Tepeji y una a Atitalaquia. Veremos qué es lo que resulta de este aseguramiento, sobre todo los efectos que pudiera tener en la cadena de mando de esta organización delincuencial y también pues de los aseguramientos que se realizaron aquí en la región de Tula.</t>
  </si>
  <si>
    <t>Vía telefónica, Edda Vite, presidenta del Patronato del Sistema Dif Hidalgo, con el tema Día de la Niña y del Niño, habló de que ya están a punto de iniciar los festejos del mes de las infancias este viernes 24 y sábado 25 de abril en las instalaciones de la feria de 11 de la mañana a 5 de la tarde, en donde se brindarán muchas actividades con respecto al mundial, una diversidad de 30 actividades y atracciones, este evento es para todo público; pueden asistir por sus boletos a los 4 puntos: Hospital del Niño, CRIH, Junta General de Asistencia Social y Sistema DIF Hidalgo</t>
  </si>
  <si>
    <t>DIFH</t>
  </si>
  <si>
    <t>Entrevista pautada</t>
  </si>
  <si>
    <t>Radioescucha reporta fuga de agua en la colonia Santa Julia, en la esquina de la calle Ignacio Allende</t>
  </si>
  <si>
    <t>Radioescucha reporta fuga de agua en la calle Valle Dorado esquina con Encanto en Valle del Pamar</t>
  </si>
  <si>
    <t>Boletín 1049 :La cultura es un derecho: Hidalgo recupera espacios para el acceso de todas y todos</t>
  </si>
  <si>
    <t>El gobierno de Hidalgo impulsa la recuperación de espacios públicos para destinarlos al uso cultural y social, al destacar que la cultura es un derecho y no un privilegio. Autoridades estatales informaron que más de 385 inmuebles han sido incorporados o reincorporados al patrimonio estatal con el objetivo de garantizar su aprovechamiento en beneficio de la población.En este contexto, se dio a conocer el proceso legal para recuperar un inmueble en Pachuca, actualmente en posesión de una asociación civil, al detectarse actividades comerciales sin autorización en un bien público. El espacio será rehabilitado y transformado en museo y centro comunitario con actividades culturales, talleres y programas permanentes. Además, Hidalgo participará los días 9 y 10 de mayo en el Complejo Cultural Los Pinos con 600 representantes de todas sus regiones como parte de la promoción cultural a nivel nacional. AUDIO DE APOYO DE NNB.</t>
  </si>
  <si>
    <t>El oficial mayor del Gobierno de Hidalgo, Edgar Orlando Ángeles Pérez, informó que será durante el mes de mayo cuando comiencen a operar las nuevas unidades del sistema de transporte Tuzobús, como parte del proceso de modernización anunciado por el Ejecutivo estatal.</t>
  </si>
  <si>
    <t>Raúl Serret Lara, coordinador general jurídico de la Secretaría de Gobierno, en conferencia de prensa explicó la situación jurídica de un inmueble actualmente en posesión de la Fundación Arturo Herrera Cabañas A. C., el cual forma parte del patrimonio del Poder Ejecutivo estatal, AUDIO APOYO</t>
  </si>
  <si>
    <t>Se encienden las alarmas en todas las comunidades o todos los pueblos ribeños de la Presa Endho, a pesar de los esfuerzos que han realizado los tres niveles de gobierno, si han hecho un esfuerzo bastante fuerte, no ha sido suficiente.De nueva cuenta, la gente de comunidades de Tula, Tepetitlán, Tezontepec de Aldama, se quejan porque ya en las tardes - noches, es insoportable el mosco, hacen de todo los pobladores y hoy se van a reunir en el centro de Michimaloya para buscar solicion a eesta problemática que es insoportable ,AUDIO APOYO</t>
  </si>
  <si>
    <t>El alcalde de Mineral de la Reforma, Eduardo Medécigo, entregó la pavimentación con concreto hidráulico y la renovación de la red de agua potable en calles del fraccionamiento El Saucillo, como parte del programa “En Concreto”. La obra incluyó mejoras en Jacaranda, Cipreses y Sauce, con el objetivo de elevar la calidad de vida de las familias y reforzar la infraestructura básica en la zona.Además de la pavimentación, se instalaron más de 800 metros de tubería, tomas domiciliarias y otras acciones complementarias que beneficiarán a cerca de mil habitantes. Autoridades adelantaron que habrá más trabajos en la zona, destacando que estas obras forman parte de una estrategia para optimizar recursos y ampliar los beneficios en el municipio.</t>
  </si>
  <si>
    <t>Pavimentación hidráulica</t>
  </si>
  <si>
    <t>El subsecretario de Protección Civil del Estado, Román Bernal, habló de las afectaciones de las lluvias en la Sierra Hidalguense. Dijo que el Comité de Emergencia se mantiene en la alerta permanente ante los fenómenos del niño y de la niña. AUDIO DE APOYO</t>
  </si>
  <si>
    <t>Hidalgo se prepara para estar presente en el Festival Gastronómico México de Mis Sabores, que se va a llevar a cabo en Campo Marte, a un costado del Auditorio Nacional en la Ciudad de México. La Secretaría de Turismo Estatal, Liz Quintanar, explicó la logística de este festival. Informo que se desarrollan rutas mundialistas con la finalidad de atrae turistas a diferentes municipios del estado de Hidalgo, AUDIO APOYO</t>
  </si>
  <si>
    <t>Promoción turística</t>
  </si>
  <si>
    <t>Señora Marta Godínez Pérez de aquí de Tula de Barrio Alto, pide a los ciudadanos que no saquen su basura a los días que no pasa el camión allá en Barrio Alto, ya que lo dejan en la esquina, dejan sus bolsas y luego ya por la tarde o minutos después, pues resulta que están regadas por la carretera, así que ahí está el llamado de la señora Marta Godínez Pérez</t>
  </si>
  <si>
    <t>Recolección De Basura</t>
  </si>
  <si>
    <t>Radiescucha comenta: Con bombos y platillos anunciaron la reapertura de los trabajos de reconstrucción de la avenida del Tezontle de la colonia Venta Prieta, en Pachuca y el día de ayer estaba cerrada la calle.</t>
  </si>
  <si>
    <t>El gobernador Julio Menchaca Salazar informó que en Cuatepec fueron desmantelados cuatro predios usados para desarmar autos robados, con dos detenidos y siete unidades recuperadas. Además, autoridades lograron recuperar tractocamiones robados con más de 134 mil litros de combustible y 35 toneladas de sorgo tras un robo en la carretera México-Tuxpan. En acciones recientes, también se localizó a 12 personas con ficha de búsqueda, mientras que el programa Ciudad Policía llegó a más de 1.300 estudiantes con acciones preventivas.Finalmente, cuerpos de auxilio atendieron a una mujer embarazada tras un accidente en Pachuca y rescataron a una senderista que estuvo en Omitlán lesionada.</t>
  </si>
  <si>
    <t>En la reunión semanal del gabinete de seguridad encabezada por el gobernador Julio Menchaca, se informó que en materia de Protección Civil, se notificó que el Comité de Emergencias se mantiene en sesión permanente para atender cualquier situación derivada de fenómenos climatológicos; por ello, Julio Menchaca invitó a la población a usar los números 911 y 089 para solicitar atención de los cuerpos de seguridad y emergencias.En ese sentido, se reportó que en los últimos siete días se atendió la caída de una barda y cinco árboles, además de encharcamientos y derrumbes en los municipios de Huejutla, Mineral de la Reforma, Pachuca, Tianguistengo, Tlanchinol, Tulancingo y Zapotlán. También se sofocaron cuatro incendios en el mismo número de municipios, sumando 329 siniestros controlados en lo que va del año.En la última semana se localizó a 12 personas que contaban con ficha de búsqueda y se presentó el programa “Ciudad Policía” en tres municipios, impartiendo temas como prevención de abusos, bullying, equidad, seguridad en redes sociales y acoso escolar, junto a activaciones físicas, logrando impactar a mil 391 niñas y niños.Finalmente, se informó que la Unidad de Rescate y Urgencias Médicas de la Secretaría de Seguridad Pública de Hidalgo atendió en Pachuca a una mujer embarazada involucrada en un accidente de tránsito; mientras que en Omitlán se rescató a un senderista que cayó y sufrió fracturas.</t>
  </si>
  <si>
    <t>Radioescucha reporta que los semaforos que estan rumbo a Tulipanes por Chedraui, no funcioanan y eso puede causar un accidente</t>
  </si>
  <si>
    <t>Semaforización</t>
  </si>
  <si>
    <t>La Conagua informó que las obras de tecnificación en los distritos de Riego 003 Tula, 100 Alfajayucan y 112 Aljacuba registraron un avance físico global, dice la Conagua, de 90.70%. De acuerdo con el organismo, los trabajos de la red principal se encuentran prácticamente concluidos en cuanto al revestimiento de canales, quedando pendientes únicamente labores complementarias como el colado de losas en estructuras de conexión, entre ellas puentes, transiciones y tomas.</t>
  </si>
  <si>
    <t>Tecnificación De Riego</t>
  </si>
  <si>
    <t>Comenta conductor : “Lo que sí yo veo es un retraso en algunas obras, todos los días viajo de Tula para Cruz Azul, y ahí en San Marcos, es un verdadero relajo en la zona del canal.Cada que llega maquinaria pesada, mínimo tardas ahí 20, 30 minutos para poder pasar,sí vemos que hay un retraso, al menos en esta zona de San Marcos, y habrá que revisar otras zonas más”</t>
  </si>
  <si>
    <t>La ejecución del revestimiento en el canal de riego agrícola de la región de Tepango y Francisco I.Madero, enfrenta cuestionamientos por retrasos que han impactado en la actividad agrícola local.El titular de la dirección en Hidalgo de la Comisión Nacional del Agua Félix Brambila Mendoza, informó que se evalúa la posibilidad de proceder legalmente contra las empresas responsables de la obra, en caso de que no cumplan con los plazos establecidos, AUDIO APOYO</t>
  </si>
  <si>
    <t>La titular de Turismo en Hidalgo, Liz Quintanar, en entrevista exclusiva, comentó que se invertirán 5 millones de pesos para la zona arqueológica de Tula</t>
  </si>
  <si>
    <t>Zona Arqueológica</t>
  </si>
  <si>
    <t>La central de autobuses de Pachuca activó un nuevo protocolo para detectar y evitar el tráfico de menores de edad.Por ese motivo, los adultos que viajen con niñas, niños o adolescentes deben acreditar el parentesco. Las medidas se implementaron luego de la desaparición y posterior localización de la adolescente de 14 años</t>
  </si>
  <si>
    <t>Protección del menor</t>
  </si>
  <si>
    <t>Señor Fernando Santiago que se comunica vía telefónica con nosotros, nos reporta humareda por la zona de Iturbe, ojalá que los equipos de Protección Civil estén atentos ante esta situación, sabemos que nos escuchan en la presidencia municipal de Tula y que pudieran atender este reporte ciudadano.</t>
  </si>
  <si>
    <t>En otra información, durante la madrugada y la mañana de lunes autoridades federales desplegaron un operativo importante en Hidalgo con la ejecución de cateos coordinados en distintos municipios en los que participaron elementos de la Fiscalía Especializada en Materia de Delincuencia Organizada y personal de la Secretaría de Marina. De acuerdo con la información disponible, dos de las intervenciones se realizaron en el municipio de Tepeji del Río, en la colonia San Mateo y en la comunidad de Santa Ana Azcapotzolantongo. Un tercer cateo se llevó a cabo en la comunidad de Tlalminulpa en el municipio de Atitalaquia donde también se reportó una importante movilización de unidades oficiales y personal armado.Hasta este momento no se ha informado de manera oficial sobre si hay personas detenidas, el aseguramiento de objetos automóviles o también del objetivo específico de estos tres operativos desplegados aquí en la región de Tula.</t>
  </si>
  <si>
    <t>Radioescucha Sr. Fidel comenta: “Estoy bien en el lema de Morena y dice que primero el pueblo, primero los pobres”; entonces, ¿Por qué un solo día bachean el camino de Real de la Plata y en los barrios bajos y altos ni se asoman?</t>
  </si>
  <si>
    <t>Morena</t>
  </si>
  <si>
    <t>Partidos</t>
  </si>
  <si>
    <t>Radioescucha ahora que ya restringieron el invadir el carril del Tuzobús, ¿No analizan quitar la estación de Felipe Ángeles frente a los edificios de Plaza 2000? Todos los días obstruyen el carril lateral</t>
  </si>
  <si>
    <t>Radioescucha reporta un liquido derramado por un vehículo de Tuzobús por el retorno frente a la central, y eso puede causar un accidente</t>
  </si>
  <si>
    <t>Deficiencias Tuzobús</t>
  </si>
  <si>
    <t>Radioescucha reporta que en el Hospital General murió un paciente en la parte de afuera, que no lo quisieron atender porque ya no tenían oxígeno.</t>
  </si>
  <si>
    <t>Abasto De Insumos Médicos</t>
  </si>
  <si>
    <t>La delegación hidalguense de Breaking se posicionó en cuarto lugar en la Olimpiada Nacional, en la modalidad de 2x2 Junior, con la destacada participación de Ariadna Quetzalli Cruz Hernández y David Yeray Ramírez.</t>
  </si>
  <si>
    <t>SSPH desarticula bodega utilizada para almacenar autopartes y desmantelar vehículos robados en Cuautepec de Hinojosa</t>
  </si>
  <si>
    <t>Invita CEDSPI a donar al “Juguetón Indígena 2026”</t>
  </si>
  <si>
    <t>Biznagas aseguradas en San Salvador son trasladadas al Parque Ecológico Cubitos para su conservación</t>
  </si>
  <si>
    <t>Atención oportuna y gratuita, clave para contener al gusano barrenador del ganado</t>
  </si>
  <si>
    <t>Como parte de las acciones del programa permanente en concreto, el presidente municipal de Mineral de la Reforma, Eduardo Medesigo Rubio, entregó la pavimentación con concreto hidráulico y la sustitución de la línea de agua potable en las calles Jacaranda, Cipreses y Sauce, en el fraccionamiento El Saucillo. En su mensaje, el alcalde aseguró que en comparación con administraciones anteriores, en ésta se dejó de gastar en exceso, lo que ha permitido ejecutar más obras, programas y acciones en el municipio, siempre en beneficio de las y los mineralreformenses.</t>
  </si>
  <si>
    <t>Pavimentación</t>
  </si>
  <si>
    <t>Abanderan a estudiantes de Hidalgo rumbo al Mundial de Robótica VEX</t>
  </si>
  <si>
    <t>Una persona sin vida y tres lesionados, fue el saldo que dejó un accidente vial en Apan. De acuerdo con la policía municipal, dicho percance se presentó en Apan-Calpulalpan, dónde una camioneta impactó la parte trasera de un camión. Horas más tarde, personal de la Procuraduría General de Justicia del Estado de Hidalgo (PGJEH), arribó a las zona para el levantamiento del cuerpo.</t>
  </si>
  <si>
    <t>Levantamiento De Cuerpo</t>
  </si>
  <si>
    <t>Tres elementos de la policía de Mineral de la Reforma, resultaron lesionados en un accidente vial que se presentó sobre el corredor de la Montaña. De acuerdo con la secretaría de seguridad pública estatal, dicho percance se presentó a la altura de San Guillermo la Reforma, dónde la unidad HG375A8, volcó. Por dicho hecho la oficial I. V. R., de 25 años y sus acompañantes F. C. V., L. E. L. L., resultaron lesionados por lo que fueron atendidos por paramédicos en el lugar.</t>
  </si>
  <si>
    <t>La madrugada de este domingo en Pachuca una camioneta color vino se impactó contra la fachada del restaurante Soy de Mar, ubicado en la zona de Valle de San Javier. La unidad fue retirada con a poyo de una grúa de la Secretaría de Seguridad Pública.</t>
  </si>
  <si>
    <t>Entrega Natividad Castrejón 229 títulos a egresados de la UTVAM</t>
  </si>
  <si>
    <t>La comunidad artística y organizaciones civiles se manifestaron en Pachuca en respaldo a la Fundación Arturo Herrera Cabañas, ante el proceso para retirarles el inmueble que ocupan desde hace más de dos décadas. Ante esta situación, el coordinador jurídico del gobierno estatal señaló que el proceso para la revocación del comodato se sustenta en elementos legales derivados del uso del inmueble, por lo que será a través de las instancias correspondientes como se defina su resolución. Por su parte la Secretaría de Cultura Neyda Naranjo indicó que el espacio será recuperado para convertirse en el museo de la ciudad, con el objetivo de garantizar su acceso público y fortalecer la oferta cultural en la entidad.</t>
  </si>
  <si>
    <t>El alcalde de Pachuca, Jorge Reyes, se pronunció respecto al tema de los comerciantes ambulantes, al informar sobre los operativos implementados para su retiro en distintos puntos de la ciudad, como parte de la aplicación de la ley de imagen urbana. Señaló que estas acciones buscan recuperar espacios públicos, ordenar la actividad comercial y mejorar la movilidad en zonas de alta afluencia.</t>
  </si>
  <si>
    <t>Este día se llevó a cabo la conferencia matutina del gobierno del estado de Hidalgo, donde se abordaron temas relacionados con el fortalecimiento del patrimonio estatal la política cultural y acciones de ordenamiento urbano en la capital hidalguense. Bajo este tenor, el coordinador jurídico del gobierno estatal, Raúl Serret, explicó los procesos legales que se implementan para garantizar el uso adecuado de los bienes públicos, destacando la importancia de que estos espacios se rijan bajo principios de legalidad y función social. En seguimiento, la Secretaría de Cultura, Neyda Naranjo, subrayó que los espacios culturales deben responder a una visión de acceso incluyente. Además de anunciar proyectos orientados a fortalecer la infraestructura cultural en la entidad. Por otro lado, el Oficial Mayor Orlando Ángeles señaló que estas acciones forman parte de una estrategia integral para optimizar el uso del patrimonio inmobiliario estatal.</t>
  </si>
  <si>
    <t>Las actividades en el Jardín de Niños “Emiliano Zapata”, ubicado en la colonia del mismo nombre, fueron suspendidas luego de que durante el fin de semana se registró el robo de cableado utilizado para el suministro de energía eléctrica del plantel. Este hecho ocurre semanas después de que se reportara un robo en la primaria de la misma colonia. Además, se han documentado casos similares en los fraccionamientos Villa Los Milagros, Haciendas de Tizayuca y Haciendas de Guadalupe. Padres de familia señalaron que, tras los robos registrados en ambos planteles, no hay personas detenidas ni se han implementado patrullajes en las escuelas para prevenir nuevos incidentes.</t>
  </si>
  <si>
    <t>Robo a escuela</t>
  </si>
  <si>
    <t>El operador de una unidad para transporte colectivo de pasajeros chocó contra la falda de un cerro, luego de que el vehículo que manejaba se saliera del camino, dejando como saldo dos personas lesionadas, una de ellas de gravedad. El accidente se registró sobre la carretera estatal Tepeapulco-Cuautepec, a la altura de la localidad de Los Cides. Policías estatales y municipales se hicieron cargo del hecho de tránsito y de la detención del chófer de la Urvan para deslindar su responsabilidad. Será a partir de las investigaciones respectivas como se determinen las responsabilidades en el accidente.</t>
  </si>
  <si>
    <t>Accidente transporte público</t>
  </si>
  <si>
    <t>Un hombre de 25 años murió hoy tras impactar la camioneta que conducía contra la parte posterior de un camión con plataforma en la carretera interestatal Apan – Calpulalpan, en los límites del municipio de Emiliano Zapata en Hidalgo y Calpulalpan Tlaxcala. En el lugar del choque policías municipales y estatales se hicieron cargo con el apoyo del ministerio público que realizó el rescate del occiso y levantamiento del cadaver.</t>
  </si>
  <si>
    <t>El presidente municipal de Ixmiquilpan, Emmanuel Hernández Pascual informó durante su conferencia mañanera que en días recientes fueron aseguradas 5 personas relacionadas con el robo en distintas modalidades en el municipio, de las cuales 4 son vecinos de la demarcacón y uno es de origen venezolano.</t>
  </si>
  <si>
    <t>Gabinete de Seguridad de Hidalgo asegura más de 10 mil estupefacientes y detiene a 32 personas</t>
  </si>
  <si>
    <t>Radioescucha: por qué si es una obra del estado (carretera Cuautepec- Tulancingo) es el alcalde de Cuautepec quien da la cara y da solución a la apertura debido a los retrasos, si el alcalde y su departamento técnico de Obras Públicas no tuvieron la capacidad de pedir que esos trabajos se hicieran de buena calidad, cómo van a encargarse de la apertura. Eso solo servirá para que la empresa se lave las manos a la hora de que salgan lo vicios ocultos de la obra tanto el trabajo que se trabaja actualmente como los terminados.</t>
  </si>
  <si>
    <t>Secretaría de Salud de Hidalgo realiza dos traslados aéreos urgentes para atención especializada</t>
  </si>
  <si>
    <t>El Ayuntamiento de Tulancingo aprobó, en el marco de la décima sexta sesión pública extraordinaria, que la presidenta, Lorena García Cázares, celebre un contrato de comodato con el Gobierno del Estado de Hidalgo. Gracias a este acuerdo, las bibliotecas municipales “Ingeniero Luis Alberto Roche Carrascosa”, en la colonia La Cañada; “Huapalcalco”; y “Licenciado Javier Rojo Gómez”, en Santa Ana Hueytlalpan, recibirán equipos de cómputo. Cabe recordar que, desde el año pasado, las autoridades estatales anunciaron que este equipamiento sería adquirido y asignado en comodato a través de la Red de Bibliotecas del Estado de Hidalgo.</t>
  </si>
  <si>
    <t>Comodato</t>
  </si>
  <si>
    <t>Aunque en 18 entidades del país ya se eliminó el examen de selección para ingresar a la educación media superior en el ciclo 2026-2027, Hidalgo continúa entre los 14 estados que aún conservan este mecanismo. Durante la conferencia matutina del Gobierno de México, la subsecretaria de Educación Superior, Tania Rodríguez Mora, presentó la plataforma “Mi derecho, mi lugar”, cuyo objetivo es garantizar espacios en bachillerato sin necesidad de examen de admisión, asignando planteles cercanos al domicilio de los estudiantes. De acuerdo con la funcionaria, en 2025 se registraron 272 mil 793 aspirantes en este esquema, de los cuales 89.5 por ciento obtuvo un lugar en su primera o segunda opción. Para este año, el registro cerró el 17 de abril y, solo en la zona metropolitana del Valle de México, se contabilizaron 307 mil 241 jóvenes inscritos. De ellos, 37 por ciento accedió con o sin examen, 15 por ciento eligió presentar la prueba, 40 por ciento obtuvo ingreso directo y 6 por ciento no definió modalidad.</t>
  </si>
  <si>
    <t>Examen de admisión</t>
  </si>
  <si>
    <t>Sin vigilancia ciudadana en obras públicas se detonan investigaciones</t>
  </si>
  <si>
    <t>Contraloría</t>
  </si>
  <si>
    <t>Contraloría Social</t>
  </si>
  <si>
    <t>Más de 385 inmuebles se han logrado incorporar y reincorporar al patrimonio de Hidalgo durante la actual administración estatal, informó el titular de la Oficialía Mayor del Gobierno de Hidalgo, Orlando Ángeles Pérez. Señaló que los inmuebles que forman parte del patrimonio estatal recuperados e incorporados al patrimonio estatal mediante diversas acciones que representan un incremento superior a mil 230 millones de pesos. El funcionario agregó que actualmente, se encuentran en proceso 25 procedimientos relacionados con 51 inmuebles, orientados a su regularización, recuperación y aprovechamiento. Ello con el objetivo de poner orden en bienes que durante años permanecieron en condiciones de incertidumbre o desaprovechamiento.</t>
  </si>
  <si>
    <t>Debido a la detección de una cafetería en su interior, actividad de carácter comercial que no cuenta con los permisos correspondientes, el Gobierno del Estado de Hidalgo decidió retirar el comodato del edificio actualmente en posesión de la Fundación Arturo Herrera Cabañas A. C. Lo anterior fue explicado por Raúl Serret Lara, coordinador general jurídico de la Secretaría de Gobierno, explicó la situación jurídica del inmueble, recordando que éste forma parte del patrimonio del Poder Ejecutivo estatal. Derivado de una inspección realizada en julio de 2025 por autoridades municipales y estatales en Pachuca, se detectó la operación de una cafetería dentro del inmueble, actividad de carácter comercial que no cuenta con los permisos correspondientes. Aunque la asociación civil promovió un amparo para evitar la clausura, en dicho recurso se reconoce la naturaleza mercantil de sus actividades. Ante ello, el 24 de marzo de 2026, el Poder Ejecutivo promovió la rescisión del contrato de comodato mediante la vía ordinaria civil, procedimiento radicado bajo el expediente 340/2026 en el Juzgado Primero Civil del distrito judicial de Pachuca.</t>
  </si>
  <si>
    <t>Estudiantes de la UPP crean sistema inteligente para reducir consumo eléctrico en hogares</t>
  </si>
  <si>
    <t>En menos de dos años, en Hidalgo al menos cuatro estudiantes se suicidaron; tres de secundaria y una de educación superior. Una maestra también intentó quitarse la vida al interior de una primaria. Al respecto, Natividad Castrejón Valdez, titular de la Secretaría de Educación Pública de Hidalgo (SEPH), indicó que la institución activa los protocolos y sigue trabajando en los temas de formación socioemocional que tanto se requieren actualmente. El pasado 17 de abril la SEPH confirmó la muerte de Angel Israel, alumno de la secundaria Eliza Acuña Rossetti de Tizayuca, quien presuntamente se quitó la vida. Las autoridades investigan si las causas están relacionadas con el bullying. Sin embargo, no es el único caso de estudiante se quita la vida, ya que el 28 de septiembre de 2025 se reportó el deceso de Perla Coral, alumna del Instituto de Ciencias y Estudios Superiores de Huejutla. Trascendió que fue víctima de hostigamiento digital.</t>
  </si>
  <si>
    <t>Atención Socioemocional</t>
  </si>
  <si>
    <t>El Congreso de Hidalgo pretende incrementar las penas hasta de 20 años de prisión a operadores del transporte público de pasajeros o escolares que derivado de accidentes causen la muerte a pasajeros, ya sea por omisiones o por falta en el deber de cuidado. De acuerdo con datos de la Secretaría de Salud de Hidalgo (SSH), durante en 2024 en el estado se registraron 255 muertes por accidentes de tránsito, lo que representa un incremento del 13.8 por ciento respecto a lo reportado durante 2023. Ante ese panorama, integrantes del grupo legislativo de Morena y Nueva Alianza Hidalgo presentaron la iniciativa que busca reformar el artículo 148 del Código Penal de Hidalgo, para que el homicidio culposo cometido por personal de transporte público de pasajeros o escolares sea considerado como un delito grave.</t>
  </si>
  <si>
    <t>En la zona nororiente de Tulancingo varias colonias se ven afectadas por la falta de agua, esto debido a que se realiza la reparación de una fuga en la red que viene de Hueyapan. No hay fecha para la reanudación del servicio.</t>
  </si>
  <si>
    <t>Reparación De Tubería</t>
  </si>
  <si>
    <t>Vecinos de los perímetros A y B del centro de la ciudad de Tulancingo solicitaron a las autoridades la colocación de luminarias, señalando que en semanas recientes se han registrado hechos delictivos, incluso robo de vehículos automotores aprovechando los delincuentes la falta de alumbrado público. La petición fue realizada durante la por una persona en nombre de vecinos de la zona citada, Jornada por la Paz y Bienestar del Pueblo, llevada a cabo este viernes 17 de abril, en el parque La Floresta, en el centro de la ciudad. En la petición presentada ante autoridades estatales y municipales, se señala que de acuerdo a recorridos realizados, se requieren por lo menos 70 luminarias públicas en el sector señalado. Al hacer uso de la palabra, la alcaldesa Lorena García Cázares reconoció la importancia y necesidad de contar con alumbrado público para garantizar la seguridad en las calles de Tulancingo.</t>
  </si>
  <si>
    <t>Vecinos de zonas como el Tepeyac, Pedregal y Tepantitla señalan que después de un año 7 meses del inicio de las obras de la segunda etapa de la rehabilitación de la carretera Tulancingo- Cuautepec , ya están molestos por los retrasos en la obra. De acuerdo a trabajadores de la obra los retrasos se deben a que la compañía no ha cubierto los pago en algunas ocasiones y por el clima. Ante la amenaza de los vecinos de ayer a las 6 de la tarde abrir por lo menos un carril para la circulación, acudió el alcalde Jorge Hernández acudió al lugar y se comprometió a que el jueves será abierta la carretera en por lo menos un carril.</t>
  </si>
  <si>
    <t>Personal de la Dirección municipal de Mercados y Centros de Abasto en Tulancingo, continuaron este fin de semana con avisos en tianguis para el retiro de materiales y líquidos calientes en puestos. También se incluye la revisión y en caso necesario, la reubicación adecuada de cilindros de gas usados en puestos donde se preparan alimentos para que no se encuentren cerca de fuentes de calor, que pueden provocar incluso una explosión. Los avisos se realizaron en los tianguis que se llevan a cabo en Napateco, en las colonias El Paraíso y Adolfo López Mateos, así como en el Tulantianguis y de la organización Flores Magón, cuyos puestos semifijos que operan en parque La Floresta. Los avisos iniciaron el pasado jueves 16 de abril a comerciantes que operan en el tianguis tradicional semanal que se realiza en el centro de la ciudad de Tulancingo.</t>
  </si>
  <si>
    <t>Prevención de accidentes</t>
  </si>
  <si>
    <t>Con el objetivo de evitar incidentes en establecimientos, especialmente tras un reciente accidente en el municipio, la dirección de Reglamentos y Espectáculos de Tulancingo ha intensificado los operativos de supervisión en distintos puntos de la ciudad. En entrevista, el titular del área, Oscar Javier Serrano Hernández, explicó que estas acciones se enfocan principalmente en negocios de alimentos, donde se utilizan cazos de carnitas, freidoras o recipientes con altas temperaturas, los cuales representan un riesgo si no se manejan adecuadamente. Destacó que, hasta el momento, los comerciantes han mostrado disposición para colaborar durante las revisiones. Los operativos se realizan de manera coordinada entre las áreas de Reglamentos, Protección Civil y Mercados, con la finalidad de verificar que se cumplan las medidas básicas de seguridad. Entre las irregularidades más comunes detectadas se encuentra la colocación de tanques de gas demasiado cerca de parrillas o zonas de calor, cuando deben mantenerse a una distancia mínima de tres metros.</t>
  </si>
  <si>
    <t>Invitan a jóvenes a participar en las convocatorias de becas del Citnova</t>
  </si>
  <si>
    <t>El día de ayer la Secretaria de Salud y la Secretaría de Seguridad Pública recibieron un reconocimiento por el tema de los helicópteros que están listo para los traslados aéreos en caso de emergencias. un reconocimiento para los pilotos, personal médico y de seguridad que participan en estos eventos.</t>
  </si>
  <si>
    <t>El Sistema DIF Mixquiahuala, en coordinación con la Biblioteca Central del Estado de Hidalgo Ricardo Garibay, invitan al Taller - Conferencia “Sensibilización y Acompañamiento a Personas con Discapacidad Visual”. Un espacio para aprender, sensibilizar y fomentar la inclusión el martes 21 de abril de 2026 a las 11:00 hrs, en la explanada del Jardín Municipal de Mixquiahuala</t>
  </si>
  <si>
    <t>El Congreso del Estado de Hidalgo fue sede de la clausura del Curso de Manejo para Trabajadores del Poder Legislativo, con el objetivo de reconocer la culminación exitosa de la capacitación teórica y práctica de 17 conductores institucionales, fortaleciendo la profesionalización y la seguridad en el servicio público, quienes recibieron un reconocimiento. La diputada Mónica Leanett Reyes Martínez, presidenta de la Comisión de Seguridad Ciudadana y Justicia, en representación del presidente de la Junta de Gobierno, diputado Andrés Velázquez Vázquez, reconoció la voluntad de capacitarse y asumir con seriedad una tarea que impacta en la seguridad de todas y todos. “Este curso impartido por la Secretaría de Seguridad Pública representa un esfuerzo valioso para fortalecer la cultura de la prevención, legalidad y respeto”.</t>
  </si>
  <si>
    <t>Curso de manejo</t>
  </si>
  <si>
    <t>Hasta el momento no se han presentado manifestaciones por parte de los comerciantes que fueron retirados de la Plaza Constitución en Pachuca y el espacio habilitado para su reubicación está abierto hasta para 150 comerciantes. sin embargo no se puede descartar alguna manifestación.</t>
  </si>
  <si>
    <t>Milton Cortés</t>
  </si>
  <si>
    <t>Milton Cortés informó que este fin de semana hubo una manifestación en protesta por el cierre de la Fundación Arturo Cabañas, pero esto ha sido a raíz de que espacios como estos han incumplido con las normas, así lo dio a cocnoer el alcalde Pachuca, Jorge Alberto Reyes.</t>
  </si>
  <si>
    <t>El alcalde de Pachuca, Jorge Alberto Reyes Hernández, informó que su administración destinará 20 millones de pesos para la rehabilitación de parques, con el objetivo de recuperar espacios públicos y fomentar la convivencia social; sin embargo, el anuncio generó inconformidad entre habitantes de distintas colonias que demandan que los recursos no se concentren únicamente en la zona centro. Durante la conferencia matutina de este lunes, el edil detalló que los trabajos arrancarán una vez concluidos los procesos administrativos en el primer semestre del año. Precisó que la intervención contempla espacios emblemáticos como el Parque Hidalgo, Parque Luis Pasteur, Jardín El Maestro y Parque de la Familia, además de algunos puntos adicionales como el parque de la colonia Morelos.</t>
  </si>
  <si>
    <t>Rehabilitación de espacios públicos</t>
  </si>
  <si>
    <t>Más de medio centenar de adultos mayores víctimas de fraude millonario cometido por una empleada de la sucursal del BBVA de este municipio de Zimapán, estado de Hidalgo, se aprestan a demandar a esta institución bancaria Los afectados, unidos entablarán demandas legales contra esta sucursal bancaria –por la presunta comisión del delito de fraude, además de abuso de confianza, uso ilegal de datos protegidos y lo que resulte– y la hoy exempleada, quien cuando estuvo en activo contó con todas las facilidades para tramitar préstamos a nombre de adultos mayores. Esos préstamos no se entregaron a los supuestos beneficiarios que hoy tienen deudas activas; se presume connivencia entre directivos y/o algunos empleados asociados a la defraudadora, por lo que los afectados emprenderán proceso legal contra BBVA; debe recordarse que, salvaguardar datos personales, es responsabilidad del banco. Las personas afectadas ya presentaron su denuncia ante el Ministerio Público y refieren falta de avance hasta el momento. Se iniciaron también procedimientos ante la Conducef.</t>
  </si>
  <si>
    <t>Fraude</t>
  </si>
  <si>
    <t>Andrés Torres informa que se quemó el transformador y no tienen electricidad, por lo que la señal del 1010 AM de El Vocero Huasteco está fuera del aire. Explica que por falta de recursos no se puede alimentar las plantas de energía y estarán fura del aire de manera indefinida, pero sí se escuchan en 92.7 FM. Son temas técnicos y administrativos que no tienen nada que ver con el personal.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</si>
</sst>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29" tableType="queryTable" totalsRowShown="0">
  <autoFilter ref="A1:M229" xr:uid="{717AF3FA-E95C-4D17-A1C9-B8D7CBE34EF0}"/>
  <sortState xmlns:xlrd2="http://schemas.microsoft.com/office/spreadsheetml/2017/richdata2" ref="A2:M229">
    <sortCondition ref="B1:B229"/>
  </sortState>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29"/>
  <sheetViews>
    <sheetView tabSelected="1" topLeftCell="A194" workbookViewId="0">
      <selection activeCell="B229" sqref="B229"/>
    </sheetView>
  </sheetViews>
  <sheetFormatPr baseColWidth="10" defaultRowHeight="15" x14ac:dyDescent="0.25"/>
  <cols>
    <col min="1" max="1" width="10.42578125" bestFit="1" customWidth="1"/>
    <col min="2" max="2" width="11.42578125" bestFit="1" customWidth="1"/>
    <col min="3" max="3" width="27.28515625" bestFit="1" customWidth="1"/>
    <col min="4" max="4" width="35.5703125" bestFit="1" customWidth="1"/>
    <col min="5" max="5" width="81.140625" bestFit="1" customWidth="1"/>
    <col min="6" max="6" width="15.28515625" bestFit="1" customWidth="1"/>
    <col min="7" max="7" width="33.57031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67</v>
      </c>
      <c r="C1" t="s">
        <v>68</v>
      </c>
      <c r="D1" t="s">
        <v>69</v>
      </c>
      <c r="E1" t="s">
        <v>1</v>
      </c>
      <c r="F1" t="s">
        <v>2</v>
      </c>
      <c r="G1" t="s">
        <v>4</v>
      </c>
      <c r="H1" t="s">
        <v>3</v>
      </c>
      <c r="I1" t="s">
        <v>5</v>
      </c>
      <c r="J1" t="s">
        <v>70</v>
      </c>
      <c r="K1" t="s">
        <v>71</v>
      </c>
      <c r="L1" t="s">
        <v>72</v>
      </c>
      <c r="M1" t="s">
        <v>80</v>
      </c>
    </row>
    <row r="2" spans="1:13" x14ac:dyDescent="0.25">
      <c r="A2" s="1">
        <v>46133</v>
      </c>
      <c r="B2" s="1" t="str">
        <f ca="1">IF(Información1[[#This Row],[Fecha]]='Ajuste de fechas'!$A$2,"Día actual","Día anterior")</f>
        <v>Día actual</v>
      </c>
      <c r="C2" s="3" t="s">
        <v>51</v>
      </c>
      <c r="D2" t="s">
        <v>54</v>
      </c>
      <c r="E2" s="3" t="s">
        <v>254</v>
      </c>
      <c r="F2" s="3" t="s">
        <v>19</v>
      </c>
      <c r="G2" s="3" t="s">
        <v>255</v>
      </c>
      <c r="H2" s="3" t="s">
        <v>11</v>
      </c>
      <c r="I2" s="3" t="s">
        <v>7</v>
      </c>
      <c r="J2" s="3" t="s">
        <v>77</v>
      </c>
      <c r="K2" s="3" t="s">
        <v>52</v>
      </c>
      <c r="L2" s="3" t="s">
        <v>74</v>
      </c>
      <c r="M2">
        <v>1</v>
      </c>
    </row>
    <row r="3" spans="1:13" x14ac:dyDescent="0.25">
      <c r="A3" s="1">
        <v>46133</v>
      </c>
      <c r="B3" s="1" t="str">
        <f ca="1">IF(Información1[[#This Row],[Fecha]]='Ajuste de fechas'!$A$2,"Día actual","Día anterior")</f>
        <v>Día actual</v>
      </c>
      <c r="C3" s="3" t="s">
        <v>51</v>
      </c>
      <c r="D3" t="s">
        <v>54</v>
      </c>
      <c r="E3" s="3" t="s">
        <v>256</v>
      </c>
      <c r="F3" s="3" t="s">
        <v>56</v>
      </c>
      <c r="G3" s="3" t="s">
        <v>99</v>
      </c>
      <c r="H3" s="3" t="s">
        <v>11</v>
      </c>
      <c r="I3" s="3" t="s">
        <v>7</v>
      </c>
      <c r="J3" s="3" t="s">
        <v>73</v>
      </c>
      <c r="K3" s="3" t="s">
        <v>52</v>
      </c>
      <c r="L3" s="3" t="s">
        <v>76</v>
      </c>
      <c r="M3">
        <v>1</v>
      </c>
    </row>
    <row r="4" spans="1:13" x14ac:dyDescent="0.25">
      <c r="A4" s="1">
        <v>46133</v>
      </c>
      <c r="B4" s="1" t="str">
        <f ca="1">IF(Información1[[#This Row],[Fecha]]='Ajuste de fechas'!$A$2,"Día actual","Día anterior")</f>
        <v>Día actual</v>
      </c>
      <c r="C4" s="3" t="s">
        <v>31</v>
      </c>
      <c r="D4" t="s">
        <v>33</v>
      </c>
      <c r="E4" s="3" t="s">
        <v>257</v>
      </c>
      <c r="F4" s="3" t="s">
        <v>19</v>
      </c>
      <c r="G4" s="3" t="s">
        <v>258</v>
      </c>
      <c r="H4" s="3" t="s">
        <v>11</v>
      </c>
      <c r="I4" s="3" t="s">
        <v>7</v>
      </c>
      <c r="J4" s="3" t="s">
        <v>77</v>
      </c>
      <c r="K4" s="3" t="s">
        <v>32</v>
      </c>
      <c r="L4" s="3" t="s">
        <v>74</v>
      </c>
      <c r="M4">
        <v>1</v>
      </c>
    </row>
    <row r="5" spans="1:13" x14ac:dyDescent="0.25">
      <c r="A5" s="1">
        <v>46133</v>
      </c>
      <c r="B5" s="1" t="str">
        <f ca="1">IF(Información1[[#This Row],[Fecha]]='Ajuste de fechas'!$A$2,"Día actual","Día anterior")</f>
        <v>Día actual</v>
      </c>
      <c r="C5" s="3" t="s">
        <v>31</v>
      </c>
      <c r="D5" t="s">
        <v>33</v>
      </c>
      <c r="E5" s="3" t="s">
        <v>259</v>
      </c>
      <c r="F5" s="3" t="s">
        <v>19</v>
      </c>
      <c r="G5" s="3" t="s">
        <v>260</v>
      </c>
      <c r="H5" s="3" t="s">
        <v>11</v>
      </c>
      <c r="I5" s="3" t="s">
        <v>7</v>
      </c>
      <c r="J5" s="3" t="s">
        <v>77</v>
      </c>
      <c r="K5" s="3" t="s">
        <v>32</v>
      </c>
      <c r="L5" s="3" t="s">
        <v>74</v>
      </c>
      <c r="M5">
        <v>1</v>
      </c>
    </row>
    <row r="6" spans="1:13" x14ac:dyDescent="0.25">
      <c r="A6" s="1">
        <v>46133</v>
      </c>
      <c r="B6" s="1" t="str">
        <f ca="1">IF(Información1[[#This Row],[Fecha]]='Ajuste de fechas'!$A$2,"Día actual","Día anterior")</f>
        <v>Día actual</v>
      </c>
      <c r="C6" s="3" t="s">
        <v>31</v>
      </c>
      <c r="D6" t="s">
        <v>33</v>
      </c>
      <c r="E6" s="3" t="s">
        <v>261</v>
      </c>
      <c r="F6" s="3" t="s">
        <v>19</v>
      </c>
      <c r="G6" s="3" t="s">
        <v>262</v>
      </c>
      <c r="H6" s="3" t="s">
        <v>11</v>
      </c>
      <c r="I6" s="3" t="s">
        <v>27</v>
      </c>
      <c r="J6" s="3" t="s">
        <v>77</v>
      </c>
      <c r="K6" s="3" t="s">
        <v>32</v>
      </c>
      <c r="L6" s="3" t="s">
        <v>74</v>
      </c>
      <c r="M6">
        <v>1</v>
      </c>
    </row>
    <row r="7" spans="1:13" x14ac:dyDescent="0.25">
      <c r="A7" s="1">
        <v>46133</v>
      </c>
      <c r="B7" s="1" t="str">
        <f ca="1">IF(Información1[[#This Row],[Fecha]]='Ajuste de fechas'!$A$2,"Día actual","Día anterior")</f>
        <v>Día actual</v>
      </c>
      <c r="C7" s="3" t="s">
        <v>31</v>
      </c>
      <c r="D7" t="s">
        <v>33</v>
      </c>
      <c r="E7" s="3" t="s">
        <v>263</v>
      </c>
      <c r="F7" s="3" t="s">
        <v>6</v>
      </c>
      <c r="G7" s="3" t="s">
        <v>87</v>
      </c>
      <c r="H7" s="3" t="s">
        <v>11</v>
      </c>
      <c r="I7" s="3" t="s">
        <v>7</v>
      </c>
      <c r="J7" s="3" t="s">
        <v>73</v>
      </c>
      <c r="K7" s="3" t="s">
        <v>32</v>
      </c>
      <c r="L7" s="3" t="s">
        <v>76</v>
      </c>
      <c r="M7">
        <v>1</v>
      </c>
    </row>
    <row r="8" spans="1:13" x14ac:dyDescent="0.25">
      <c r="A8" s="1">
        <v>46133</v>
      </c>
      <c r="B8" s="1" t="str">
        <f ca="1">IF(Información1[[#This Row],[Fecha]]='Ajuste de fechas'!$A$2,"Día actual","Día anterior")</f>
        <v>Día actual</v>
      </c>
      <c r="C8" s="3" t="s">
        <v>31</v>
      </c>
      <c r="D8" t="s">
        <v>33</v>
      </c>
      <c r="E8" s="3" t="s">
        <v>264</v>
      </c>
      <c r="F8" s="3" t="s">
        <v>25</v>
      </c>
      <c r="G8" s="3" t="s">
        <v>265</v>
      </c>
      <c r="H8" s="3" t="s">
        <v>11</v>
      </c>
      <c r="I8" s="3" t="s">
        <v>7</v>
      </c>
      <c r="J8" s="3" t="s">
        <v>73</v>
      </c>
      <c r="K8" s="3" t="s">
        <v>32</v>
      </c>
      <c r="L8" s="3" t="s">
        <v>76</v>
      </c>
      <c r="M8">
        <v>1</v>
      </c>
    </row>
    <row r="9" spans="1:13" x14ac:dyDescent="0.25">
      <c r="A9" s="1">
        <v>46133</v>
      </c>
      <c r="B9" s="1" t="str">
        <f ca="1">IF(Información1[[#This Row],[Fecha]]='Ajuste de fechas'!$A$2,"Día actual","Día anterior")</f>
        <v>Día actual</v>
      </c>
      <c r="C9" s="3" t="s">
        <v>31</v>
      </c>
      <c r="D9" t="s">
        <v>33</v>
      </c>
      <c r="E9" s="3" t="s">
        <v>266</v>
      </c>
      <c r="F9" s="3" t="s">
        <v>15</v>
      </c>
      <c r="G9" s="3" t="s">
        <v>98</v>
      </c>
      <c r="H9" s="3" t="s">
        <v>11</v>
      </c>
      <c r="I9" s="3" t="s">
        <v>7</v>
      </c>
      <c r="J9" s="3" t="s">
        <v>73</v>
      </c>
      <c r="K9" s="3" t="s">
        <v>32</v>
      </c>
      <c r="L9" s="3" t="s">
        <v>76</v>
      </c>
      <c r="M9">
        <v>1</v>
      </c>
    </row>
    <row r="10" spans="1:13" x14ac:dyDescent="0.25">
      <c r="A10" s="1">
        <v>46133</v>
      </c>
      <c r="B10" s="1" t="str">
        <f ca="1">IF(Información1[[#This Row],[Fecha]]='Ajuste de fechas'!$A$2,"Día actual","Día anterior")</f>
        <v>Día actual</v>
      </c>
      <c r="C10" s="3" t="s">
        <v>31</v>
      </c>
      <c r="D10" t="s">
        <v>33</v>
      </c>
      <c r="E10" s="3" t="s">
        <v>267</v>
      </c>
      <c r="F10" s="3" t="s">
        <v>28</v>
      </c>
      <c r="G10" s="3" t="s">
        <v>249</v>
      </c>
      <c r="H10" s="3" t="s">
        <v>11</v>
      </c>
      <c r="I10" s="3" t="s">
        <v>7</v>
      </c>
      <c r="J10" s="3" t="s">
        <v>73</v>
      </c>
      <c r="K10" s="3" t="s">
        <v>32</v>
      </c>
      <c r="L10" s="3" t="s">
        <v>76</v>
      </c>
      <c r="M10">
        <v>1</v>
      </c>
    </row>
    <row r="11" spans="1:13" x14ac:dyDescent="0.25">
      <c r="A11" s="1">
        <v>46133</v>
      </c>
      <c r="B11" s="1" t="str">
        <f ca="1">IF(Información1[[#This Row],[Fecha]]='Ajuste de fechas'!$A$2,"Día actual","Día anterior")</f>
        <v>Día actual</v>
      </c>
      <c r="C11" s="3" t="s">
        <v>51</v>
      </c>
      <c r="D11" t="s">
        <v>53</v>
      </c>
      <c r="E11" s="3" t="s">
        <v>268</v>
      </c>
      <c r="F11" s="3" t="s">
        <v>19</v>
      </c>
      <c r="G11" s="3" t="s">
        <v>269</v>
      </c>
      <c r="H11" s="3" t="s">
        <v>11</v>
      </c>
      <c r="I11" s="3" t="s">
        <v>7</v>
      </c>
      <c r="J11" s="3" t="s">
        <v>77</v>
      </c>
      <c r="K11" s="3" t="s">
        <v>52</v>
      </c>
      <c r="L11" s="3" t="s">
        <v>74</v>
      </c>
      <c r="M11">
        <v>1</v>
      </c>
    </row>
    <row r="12" spans="1:13" x14ac:dyDescent="0.25">
      <c r="A12" s="1">
        <v>46133</v>
      </c>
      <c r="B12" s="1" t="str">
        <f ca="1">IF(Información1[[#This Row],[Fecha]]='Ajuste de fechas'!$A$2,"Día actual","Día anterior")</f>
        <v>Día actual</v>
      </c>
      <c r="C12" s="3" t="s">
        <v>51</v>
      </c>
      <c r="D12" t="s">
        <v>53</v>
      </c>
      <c r="E12" s="3" t="s">
        <v>270</v>
      </c>
      <c r="F12" s="3" t="s">
        <v>19</v>
      </c>
      <c r="G12" s="3" t="s">
        <v>145</v>
      </c>
      <c r="H12" s="3" t="s">
        <v>11</v>
      </c>
      <c r="I12" s="3" t="s">
        <v>7</v>
      </c>
      <c r="J12" s="3" t="s">
        <v>77</v>
      </c>
      <c r="K12" s="3" t="s">
        <v>52</v>
      </c>
      <c r="L12" s="3" t="s">
        <v>74</v>
      </c>
      <c r="M12">
        <v>1</v>
      </c>
    </row>
    <row r="13" spans="1:13" x14ac:dyDescent="0.25">
      <c r="A13" s="1">
        <v>46133</v>
      </c>
      <c r="B13" s="1" t="str">
        <f ca="1">IF(Información1[[#This Row],[Fecha]]='Ajuste de fechas'!$A$2,"Día actual","Día anterior")</f>
        <v>Día actual</v>
      </c>
      <c r="C13" s="3" t="s">
        <v>51</v>
      </c>
      <c r="D13" t="s">
        <v>53</v>
      </c>
      <c r="E13" s="3" t="s">
        <v>271</v>
      </c>
      <c r="F13" s="3" t="s">
        <v>19</v>
      </c>
      <c r="G13" s="3" t="s">
        <v>137</v>
      </c>
      <c r="H13" s="3" t="s">
        <v>11</v>
      </c>
      <c r="I13" s="3" t="s">
        <v>7</v>
      </c>
      <c r="J13" s="3" t="s">
        <v>77</v>
      </c>
      <c r="K13" s="3" t="s">
        <v>43</v>
      </c>
      <c r="L13" s="3" t="s">
        <v>74</v>
      </c>
      <c r="M13">
        <v>1</v>
      </c>
    </row>
    <row r="14" spans="1:13" x14ac:dyDescent="0.25">
      <c r="A14" s="1">
        <v>46133</v>
      </c>
      <c r="B14" s="1" t="str">
        <f ca="1">IF(Información1[[#This Row],[Fecha]]='Ajuste de fechas'!$A$2,"Día actual","Día anterior")</f>
        <v>Día actual</v>
      </c>
      <c r="C14" s="3" t="s">
        <v>51</v>
      </c>
      <c r="D14" t="s">
        <v>53</v>
      </c>
      <c r="E14" s="3" t="s">
        <v>268</v>
      </c>
      <c r="F14" s="3" t="s">
        <v>6</v>
      </c>
      <c r="G14" s="3" t="s">
        <v>269</v>
      </c>
      <c r="H14" s="3" t="s">
        <v>11</v>
      </c>
      <c r="I14" s="3" t="s">
        <v>27</v>
      </c>
      <c r="J14" s="3" t="s">
        <v>73</v>
      </c>
      <c r="K14" s="3" t="s">
        <v>52</v>
      </c>
      <c r="L14" s="3" t="s">
        <v>74</v>
      </c>
      <c r="M14">
        <v>1</v>
      </c>
    </row>
    <row r="15" spans="1:13" x14ac:dyDescent="0.25">
      <c r="A15" s="1">
        <v>46133</v>
      </c>
      <c r="B15" s="1" t="str">
        <f ca="1">IF(Información1[[#This Row],[Fecha]]='Ajuste de fechas'!$A$2,"Día actual","Día anterior")</f>
        <v>Día actual</v>
      </c>
      <c r="C15" s="3" t="s">
        <v>51</v>
      </c>
      <c r="D15" t="s">
        <v>53</v>
      </c>
      <c r="E15" s="3" t="s">
        <v>272</v>
      </c>
      <c r="F15" s="3" t="s">
        <v>15</v>
      </c>
      <c r="G15" s="3" t="s">
        <v>273</v>
      </c>
      <c r="H15" s="3" t="s">
        <v>11</v>
      </c>
      <c r="I15" s="3" t="s">
        <v>7</v>
      </c>
      <c r="J15" s="3" t="s">
        <v>73</v>
      </c>
      <c r="K15" s="3" t="s">
        <v>52</v>
      </c>
      <c r="L15" s="3" t="s">
        <v>74</v>
      </c>
      <c r="M15">
        <v>1</v>
      </c>
    </row>
    <row r="16" spans="1:13" x14ac:dyDescent="0.25">
      <c r="A16" s="1">
        <v>46133</v>
      </c>
      <c r="B16" s="1" t="str">
        <f ca="1">IF(Información1[[#This Row],[Fecha]]='Ajuste de fechas'!$A$2,"Día actual","Día anterior")</f>
        <v>Día actual</v>
      </c>
      <c r="C16" s="3" t="s">
        <v>51</v>
      </c>
      <c r="D16" t="s">
        <v>53</v>
      </c>
      <c r="E16" s="3" t="s">
        <v>274</v>
      </c>
      <c r="F16" s="3" t="s">
        <v>21</v>
      </c>
      <c r="G16" s="3" t="s">
        <v>275</v>
      </c>
      <c r="H16" s="3" t="s">
        <v>11</v>
      </c>
      <c r="I16" s="3" t="s">
        <v>7</v>
      </c>
      <c r="J16" s="3" t="s">
        <v>73</v>
      </c>
      <c r="K16" s="3" t="s">
        <v>43</v>
      </c>
      <c r="L16" s="3" t="s">
        <v>79</v>
      </c>
      <c r="M16">
        <v>1</v>
      </c>
    </row>
    <row r="17" spans="1:13" x14ac:dyDescent="0.25">
      <c r="A17" s="1">
        <v>46133</v>
      </c>
      <c r="B17" s="1" t="str">
        <f ca="1">IF(Información1[[#This Row],[Fecha]]='Ajuste de fechas'!$A$2,"Día actual","Día anterior")</f>
        <v>Día actual</v>
      </c>
      <c r="C17" s="3" t="s">
        <v>51</v>
      </c>
      <c r="D17" t="s">
        <v>53</v>
      </c>
      <c r="E17" s="3" t="s">
        <v>276</v>
      </c>
      <c r="F17" s="3" t="s">
        <v>60</v>
      </c>
      <c r="G17" s="3" t="s">
        <v>97</v>
      </c>
      <c r="H17" s="3" t="s">
        <v>11</v>
      </c>
      <c r="I17" s="3" t="s">
        <v>7</v>
      </c>
      <c r="J17" s="3" t="s">
        <v>73</v>
      </c>
      <c r="K17" s="3" t="s">
        <v>43</v>
      </c>
      <c r="L17" s="3" t="s">
        <v>76</v>
      </c>
      <c r="M17">
        <v>1</v>
      </c>
    </row>
    <row r="18" spans="1:13" x14ac:dyDescent="0.25">
      <c r="A18" s="1">
        <v>46133</v>
      </c>
      <c r="B18" s="1" t="str">
        <f ca="1">IF(Información1[[#This Row],[Fecha]]='Ajuste de fechas'!$A$2,"Día actual","Día anterior")</f>
        <v>Día actual</v>
      </c>
      <c r="C18" s="3" t="s">
        <v>51</v>
      </c>
      <c r="D18" t="s">
        <v>53</v>
      </c>
      <c r="E18" s="3" t="s">
        <v>277</v>
      </c>
      <c r="F18" s="3" t="s">
        <v>21</v>
      </c>
      <c r="G18" s="3" t="s">
        <v>113</v>
      </c>
      <c r="H18" s="3" t="s">
        <v>11</v>
      </c>
      <c r="I18" s="3" t="s">
        <v>7</v>
      </c>
      <c r="J18" s="3" t="s">
        <v>73</v>
      </c>
      <c r="K18" s="3" t="s">
        <v>43</v>
      </c>
      <c r="L18" s="3" t="s">
        <v>76</v>
      </c>
      <c r="M18">
        <v>1</v>
      </c>
    </row>
    <row r="19" spans="1:13" x14ac:dyDescent="0.25">
      <c r="A19" s="1">
        <v>46133</v>
      </c>
      <c r="B19" s="1" t="str">
        <f ca="1">IF(Información1[[#This Row],[Fecha]]='Ajuste de fechas'!$A$2,"Día actual","Día anterior")</f>
        <v>Día actual</v>
      </c>
      <c r="C19" s="3" t="s">
        <v>51</v>
      </c>
      <c r="D19" t="s">
        <v>53</v>
      </c>
      <c r="E19" s="3" t="s">
        <v>278</v>
      </c>
      <c r="F19" s="3" t="s">
        <v>28</v>
      </c>
      <c r="G19" s="3" t="s">
        <v>249</v>
      </c>
      <c r="H19" s="3" t="s">
        <v>11</v>
      </c>
      <c r="I19" s="3" t="s">
        <v>7</v>
      </c>
      <c r="J19" s="3" t="s">
        <v>73</v>
      </c>
      <c r="K19" s="3" t="s">
        <v>43</v>
      </c>
      <c r="L19" s="3" t="s">
        <v>76</v>
      </c>
      <c r="M19">
        <v>1</v>
      </c>
    </row>
    <row r="20" spans="1:13" x14ac:dyDescent="0.25">
      <c r="A20" s="1">
        <v>46133</v>
      </c>
      <c r="B20" s="1" t="str">
        <f ca="1">IF(Información1[[#This Row],[Fecha]]='Ajuste de fechas'!$A$2,"Día actual","Día anterior")</f>
        <v>Día actual</v>
      </c>
      <c r="C20" s="3" t="s">
        <v>8</v>
      </c>
      <c r="D20" t="s">
        <v>10</v>
      </c>
      <c r="E20" s="3" t="s">
        <v>279</v>
      </c>
      <c r="F20" s="3" t="s">
        <v>6</v>
      </c>
      <c r="G20" s="3" t="s">
        <v>105</v>
      </c>
      <c r="H20" s="3" t="s">
        <v>11</v>
      </c>
      <c r="I20" s="3" t="s">
        <v>27</v>
      </c>
      <c r="J20" s="3" t="s">
        <v>73</v>
      </c>
      <c r="K20" s="3" t="s">
        <v>9</v>
      </c>
      <c r="L20" s="3" t="s">
        <v>75</v>
      </c>
      <c r="M20">
        <v>1</v>
      </c>
    </row>
    <row r="21" spans="1:13" x14ac:dyDescent="0.25">
      <c r="A21" s="1">
        <v>46133</v>
      </c>
      <c r="B21" s="1" t="str">
        <f ca="1">IF(Información1[[#This Row],[Fecha]]='Ajuste de fechas'!$A$2,"Día actual","Día anterior")</f>
        <v>Día actual</v>
      </c>
      <c r="C21" s="3" t="s">
        <v>8</v>
      </c>
      <c r="D21" t="s">
        <v>10</v>
      </c>
      <c r="E21" s="3" t="s">
        <v>280</v>
      </c>
      <c r="F21" s="3" t="s">
        <v>17</v>
      </c>
      <c r="G21" s="3" t="s">
        <v>281</v>
      </c>
      <c r="H21" s="3" t="s">
        <v>11</v>
      </c>
      <c r="I21" s="3" t="s">
        <v>27</v>
      </c>
      <c r="J21" s="3" t="s">
        <v>73</v>
      </c>
      <c r="K21" s="3" t="s">
        <v>9</v>
      </c>
      <c r="L21" s="3" t="s">
        <v>75</v>
      </c>
      <c r="M21">
        <v>1</v>
      </c>
    </row>
    <row r="22" spans="1:13" x14ac:dyDescent="0.25">
      <c r="A22" s="1">
        <v>46133</v>
      </c>
      <c r="B22" s="1" t="str">
        <f ca="1">IF(Información1[[#This Row],[Fecha]]='Ajuste de fechas'!$A$2,"Día actual","Día anterior")</f>
        <v>Día actual</v>
      </c>
      <c r="C22" s="3" t="s">
        <v>38</v>
      </c>
      <c r="D22" t="s">
        <v>41</v>
      </c>
      <c r="E22" s="3" t="s">
        <v>282</v>
      </c>
      <c r="F22" s="3" t="s">
        <v>94</v>
      </c>
      <c r="G22" s="3" t="s">
        <v>283</v>
      </c>
      <c r="H22" s="3" t="s">
        <v>11</v>
      </c>
      <c r="I22" s="3" t="s">
        <v>7</v>
      </c>
      <c r="J22" s="3" t="s">
        <v>73</v>
      </c>
      <c r="K22" s="3" t="s">
        <v>39</v>
      </c>
      <c r="L22" s="3" t="s">
        <v>79</v>
      </c>
      <c r="M22">
        <v>1</v>
      </c>
    </row>
    <row r="23" spans="1:13" x14ac:dyDescent="0.25">
      <c r="A23" s="1">
        <v>46133</v>
      </c>
      <c r="B23" s="1" t="str">
        <f ca="1">IF(Información1[[#This Row],[Fecha]]='Ajuste de fechas'!$A$2,"Día actual","Día anterior")</f>
        <v>Día actual</v>
      </c>
      <c r="C23" s="3" t="s">
        <v>8</v>
      </c>
      <c r="D23" t="s">
        <v>10</v>
      </c>
      <c r="E23" s="3" t="s">
        <v>20</v>
      </c>
      <c r="F23" s="3" t="s">
        <v>19</v>
      </c>
      <c r="G23" s="3" t="s">
        <v>64</v>
      </c>
      <c r="H23" s="3" t="s">
        <v>11</v>
      </c>
      <c r="I23" s="3" t="s">
        <v>12</v>
      </c>
      <c r="J23" s="3" t="s">
        <v>77</v>
      </c>
      <c r="K23" s="3" t="s">
        <v>14</v>
      </c>
      <c r="L23" s="3" t="s">
        <v>75</v>
      </c>
      <c r="M23">
        <v>1</v>
      </c>
    </row>
    <row r="24" spans="1:13" x14ac:dyDescent="0.25">
      <c r="A24" s="1">
        <v>46133</v>
      </c>
      <c r="B24" s="1" t="str">
        <f ca="1">IF(Información1[[#This Row],[Fecha]]='Ajuste de fechas'!$A$2,"Día actual","Día anterior")</f>
        <v>Día actual</v>
      </c>
      <c r="C24" s="3" t="s">
        <v>8</v>
      </c>
      <c r="D24" t="s">
        <v>10</v>
      </c>
      <c r="E24" s="3" t="s">
        <v>18</v>
      </c>
      <c r="F24" s="3" t="s">
        <v>19</v>
      </c>
      <c r="G24" s="3" t="s">
        <v>64</v>
      </c>
      <c r="H24" s="3" t="s">
        <v>11</v>
      </c>
      <c r="I24" s="3" t="s">
        <v>12</v>
      </c>
      <c r="J24" s="3" t="s">
        <v>77</v>
      </c>
      <c r="K24" s="3" t="s">
        <v>14</v>
      </c>
      <c r="L24" s="3" t="s">
        <v>75</v>
      </c>
      <c r="M24">
        <v>1</v>
      </c>
    </row>
    <row r="25" spans="1:13" x14ac:dyDescent="0.25">
      <c r="A25" s="1">
        <v>46133</v>
      </c>
      <c r="B25" s="1" t="str">
        <f ca="1">IF(Información1[[#This Row],[Fecha]]='Ajuste de fechas'!$A$2,"Día actual","Día anterior")</f>
        <v>Día actual</v>
      </c>
      <c r="C25" s="3" t="s">
        <v>8</v>
      </c>
      <c r="D25" t="s">
        <v>10</v>
      </c>
      <c r="E25" s="3" t="s">
        <v>61</v>
      </c>
      <c r="F25" s="3" t="s">
        <v>22</v>
      </c>
      <c r="G25" s="3" t="s">
        <v>64</v>
      </c>
      <c r="H25" s="3" t="s">
        <v>11</v>
      </c>
      <c r="I25" s="3" t="s">
        <v>12</v>
      </c>
      <c r="J25" s="3" t="s">
        <v>26</v>
      </c>
      <c r="K25" s="3" t="s">
        <v>14</v>
      </c>
      <c r="L25" s="3" t="s">
        <v>75</v>
      </c>
      <c r="M25">
        <v>1</v>
      </c>
    </row>
    <row r="26" spans="1:13" x14ac:dyDescent="0.25">
      <c r="A26" s="1">
        <v>46133</v>
      </c>
      <c r="B26" s="1" t="str">
        <f ca="1">IF(Información1[[#This Row],[Fecha]]='Ajuste de fechas'!$A$2,"Día actual","Día anterior")</f>
        <v>Día actual</v>
      </c>
      <c r="C26" s="3" t="s">
        <v>8</v>
      </c>
      <c r="D26" t="s">
        <v>10</v>
      </c>
      <c r="E26" s="3" t="s">
        <v>13</v>
      </c>
      <c r="F26" s="3" t="s">
        <v>15</v>
      </c>
      <c r="G26" s="3" t="s">
        <v>64</v>
      </c>
      <c r="H26" s="3" t="s">
        <v>11</v>
      </c>
      <c r="I26" s="3" t="s">
        <v>12</v>
      </c>
      <c r="J26" s="3" t="s">
        <v>73</v>
      </c>
      <c r="K26" s="3" t="s">
        <v>14</v>
      </c>
      <c r="L26" s="3" t="s">
        <v>75</v>
      </c>
      <c r="M26">
        <v>1</v>
      </c>
    </row>
    <row r="27" spans="1:13" x14ac:dyDescent="0.25">
      <c r="A27" s="1">
        <v>46133</v>
      </c>
      <c r="B27" s="1" t="str">
        <f ca="1">IF(Información1[[#This Row],[Fecha]]='Ajuste de fechas'!$A$2,"Día actual","Día anterior")</f>
        <v>Día actual</v>
      </c>
      <c r="C27" s="3" t="s">
        <v>8</v>
      </c>
      <c r="D27" t="s">
        <v>10</v>
      </c>
      <c r="E27" s="3" t="s">
        <v>16</v>
      </c>
      <c r="F27" s="3" t="s">
        <v>17</v>
      </c>
      <c r="G27" s="3" t="s">
        <v>64</v>
      </c>
      <c r="H27" s="3" t="s">
        <v>11</v>
      </c>
      <c r="I27" s="3" t="s">
        <v>12</v>
      </c>
      <c r="J27" s="3" t="s">
        <v>73</v>
      </c>
      <c r="K27" s="3" t="s">
        <v>14</v>
      </c>
      <c r="L27" s="3" t="s">
        <v>75</v>
      </c>
      <c r="M27">
        <v>1</v>
      </c>
    </row>
    <row r="28" spans="1:13" x14ac:dyDescent="0.25">
      <c r="A28" s="1">
        <v>46133</v>
      </c>
      <c r="B28" s="1" t="str">
        <f ca="1">IF(Información1[[#This Row],[Fecha]]='Ajuste de fechas'!$A$2,"Día actual","Día anterior")</f>
        <v>Día actual</v>
      </c>
      <c r="C28" s="3" t="s">
        <v>8</v>
      </c>
      <c r="D28" t="s">
        <v>10</v>
      </c>
      <c r="E28" s="3" t="s">
        <v>66</v>
      </c>
      <c r="F28" s="3" t="s">
        <v>6</v>
      </c>
      <c r="G28" s="3" t="s">
        <v>64</v>
      </c>
      <c r="H28" s="3" t="s">
        <v>11</v>
      </c>
      <c r="I28" s="3" t="s">
        <v>12</v>
      </c>
      <c r="J28" s="3" t="s">
        <v>73</v>
      </c>
      <c r="K28" s="3" t="s">
        <v>14</v>
      </c>
      <c r="L28" s="3" t="s">
        <v>75</v>
      </c>
      <c r="M28">
        <v>1</v>
      </c>
    </row>
    <row r="29" spans="1:13" x14ac:dyDescent="0.25">
      <c r="A29" s="1">
        <v>46133</v>
      </c>
      <c r="B29" s="1" t="str">
        <f ca="1">IF(Información1[[#This Row],[Fecha]]='Ajuste de fechas'!$A$2,"Día actual","Día anterior")</f>
        <v>Día actual</v>
      </c>
      <c r="C29" s="3" t="s">
        <v>38</v>
      </c>
      <c r="D29" t="s">
        <v>40</v>
      </c>
      <c r="E29" s="3" t="s">
        <v>284</v>
      </c>
      <c r="F29" s="3" t="s">
        <v>19</v>
      </c>
      <c r="G29" s="3" t="s">
        <v>46</v>
      </c>
      <c r="H29" s="3" t="s">
        <v>11</v>
      </c>
      <c r="I29" s="3" t="s">
        <v>7</v>
      </c>
      <c r="J29" s="3" t="s">
        <v>77</v>
      </c>
      <c r="K29" s="3" t="s">
        <v>65</v>
      </c>
      <c r="L29" s="3" t="s">
        <v>74</v>
      </c>
      <c r="M29">
        <v>1</v>
      </c>
    </row>
    <row r="30" spans="1:13" x14ac:dyDescent="0.25">
      <c r="A30" s="1">
        <v>46133</v>
      </c>
      <c r="B30" s="1" t="str">
        <f ca="1">IF(Información1[[#This Row],[Fecha]]='Ajuste de fechas'!$A$2,"Día actual","Día anterior")</f>
        <v>Día actual</v>
      </c>
      <c r="C30" s="3" t="s">
        <v>8</v>
      </c>
      <c r="D30" t="s">
        <v>10</v>
      </c>
      <c r="E30" s="3" t="s">
        <v>132</v>
      </c>
      <c r="F30" s="3" t="s">
        <v>24</v>
      </c>
      <c r="G30" s="3" t="s">
        <v>133</v>
      </c>
      <c r="H30" s="3" t="s">
        <v>11</v>
      </c>
      <c r="I30" s="3" t="s">
        <v>7</v>
      </c>
      <c r="J30" s="3" t="s">
        <v>73</v>
      </c>
      <c r="K30" s="3" t="s">
        <v>14</v>
      </c>
      <c r="L30" s="3" t="s">
        <v>76</v>
      </c>
      <c r="M30">
        <v>1</v>
      </c>
    </row>
    <row r="31" spans="1:13" x14ac:dyDescent="0.25">
      <c r="A31" s="1">
        <v>46133</v>
      </c>
      <c r="B31" s="1" t="str">
        <f ca="1">IF(Información1[[#This Row],[Fecha]]='Ajuste de fechas'!$A$2,"Día actual","Día anterior")</f>
        <v>Día actual</v>
      </c>
      <c r="C31" s="3" t="s">
        <v>8</v>
      </c>
      <c r="D31" t="s">
        <v>10</v>
      </c>
      <c r="E31" s="3" t="s">
        <v>285</v>
      </c>
      <c r="F31" s="3" t="s">
        <v>19</v>
      </c>
      <c r="G31" s="3" t="s">
        <v>97</v>
      </c>
      <c r="H31" s="3" t="s">
        <v>11</v>
      </c>
      <c r="I31" s="3" t="s">
        <v>7</v>
      </c>
      <c r="J31" s="3" t="s">
        <v>77</v>
      </c>
      <c r="K31" s="3" t="s">
        <v>9</v>
      </c>
      <c r="L31" s="3" t="s">
        <v>75</v>
      </c>
      <c r="M31">
        <v>1</v>
      </c>
    </row>
    <row r="32" spans="1:13" x14ac:dyDescent="0.25">
      <c r="A32" s="1">
        <v>46133</v>
      </c>
      <c r="B32" s="1" t="str">
        <f ca="1">IF(Información1[[#This Row],[Fecha]]='Ajuste de fechas'!$A$2,"Día actual","Día anterior")</f>
        <v>Día actual</v>
      </c>
      <c r="C32" s="3" t="s">
        <v>38</v>
      </c>
      <c r="D32" t="s">
        <v>40</v>
      </c>
      <c r="E32" s="3" t="s">
        <v>286</v>
      </c>
      <c r="F32" s="3" t="s">
        <v>26</v>
      </c>
      <c r="G32" s="3" t="s">
        <v>287</v>
      </c>
      <c r="H32" s="3" t="s">
        <v>11</v>
      </c>
      <c r="I32" s="3" t="s">
        <v>7</v>
      </c>
      <c r="J32" s="3" t="s">
        <v>26</v>
      </c>
      <c r="K32" s="3" t="s">
        <v>65</v>
      </c>
      <c r="L32" s="3" t="s">
        <v>74</v>
      </c>
      <c r="M32">
        <v>1</v>
      </c>
    </row>
    <row r="33" spans="1:13" x14ac:dyDescent="0.25">
      <c r="A33" s="1">
        <v>46133</v>
      </c>
      <c r="B33" s="1" t="str">
        <f ca="1">IF(Información1[[#This Row],[Fecha]]='Ajuste de fechas'!$A$2,"Día actual","Día anterior")</f>
        <v>Día actual</v>
      </c>
      <c r="C33" s="3" t="s">
        <v>38</v>
      </c>
      <c r="D33" t="s">
        <v>41</v>
      </c>
      <c r="E33" s="3" t="s">
        <v>286</v>
      </c>
      <c r="F33" s="3" t="s">
        <v>26</v>
      </c>
      <c r="G33" s="3" t="s">
        <v>287</v>
      </c>
      <c r="H33" s="3" t="s">
        <v>11</v>
      </c>
      <c r="I33" s="3" t="s">
        <v>7</v>
      </c>
      <c r="J33" s="3" t="s">
        <v>26</v>
      </c>
      <c r="K33" s="3" t="s">
        <v>39</v>
      </c>
      <c r="L33" s="3" t="s">
        <v>74</v>
      </c>
      <c r="M33">
        <v>1</v>
      </c>
    </row>
    <row r="34" spans="1:13" x14ac:dyDescent="0.25">
      <c r="A34" s="1">
        <v>46133</v>
      </c>
      <c r="B34" s="1" t="str">
        <f ca="1">IF(Información1[[#This Row],[Fecha]]='Ajuste de fechas'!$A$2,"Día actual","Día anterior")</f>
        <v>Día actual</v>
      </c>
      <c r="C34" s="3" t="s">
        <v>38</v>
      </c>
      <c r="D34" t="s">
        <v>41</v>
      </c>
      <c r="E34" s="3" t="s">
        <v>288</v>
      </c>
      <c r="F34" s="3" t="s">
        <v>23</v>
      </c>
      <c r="G34" s="3" t="s">
        <v>289</v>
      </c>
      <c r="H34" s="3" t="s">
        <v>11</v>
      </c>
      <c r="I34" s="3" t="s">
        <v>7</v>
      </c>
      <c r="J34" s="3" t="s">
        <v>78</v>
      </c>
      <c r="K34" s="3" t="s">
        <v>39</v>
      </c>
      <c r="L34" s="3" t="s">
        <v>74</v>
      </c>
      <c r="M34">
        <v>1</v>
      </c>
    </row>
    <row r="35" spans="1:13" x14ac:dyDescent="0.25">
      <c r="A35" s="1">
        <v>46133</v>
      </c>
      <c r="B35" s="1" t="str">
        <f ca="1">IF(Información1[[#This Row],[Fecha]]='Ajuste de fechas'!$A$2,"Día actual","Día anterior")</f>
        <v>Día actual</v>
      </c>
      <c r="C35" s="3" t="s">
        <v>38</v>
      </c>
      <c r="D35" t="s">
        <v>41</v>
      </c>
      <c r="E35" s="3" t="s">
        <v>290</v>
      </c>
      <c r="F35" s="3" t="s">
        <v>24</v>
      </c>
      <c r="G35" s="3" t="s">
        <v>111</v>
      </c>
      <c r="H35" s="3" t="s">
        <v>11</v>
      </c>
      <c r="I35" s="3" t="s">
        <v>7</v>
      </c>
      <c r="J35" s="3" t="s">
        <v>73</v>
      </c>
      <c r="K35" s="3" t="s">
        <v>39</v>
      </c>
      <c r="L35" s="3" t="s">
        <v>74</v>
      </c>
      <c r="M35">
        <v>1</v>
      </c>
    </row>
    <row r="36" spans="1:13" x14ac:dyDescent="0.25">
      <c r="A36" s="1">
        <v>46133</v>
      </c>
      <c r="B36" s="1" t="str">
        <f ca="1">IF(Información1[[#This Row],[Fecha]]='Ajuste de fechas'!$A$2,"Día actual","Día anterior")</f>
        <v>Día actual</v>
      </c>
      <c r="C36" s="3" t="s">
        <v>8</v>
      </c>
      <c r="D36" t="s">
        <v>10</v>
      </c>
      <c r="E36" s="3" t="s">
        <v>291</v>
      </c>
      <c r="F36" s="3" t="s">
        <v>292</v>
      </c>
      <c r="G36" s="3" t="s">
        <v>145</v>
      </c>
      <c r="H36" s="3" t="s">
        <v>11</v>
      </c>
      <c r="I36" s="3" t="s">
        <v>12</v>
      </c>
      <c r="J36" s="3" t="s">
        <v>73</v>
      </c>
      <c r="K36" s="3" t="s">
        <v>14</v>
      </c>
      <c r="L36" s="3" t="s">
        <v>293</v>
      </c>
      <c r="M36">
        <v>1</v>
      </c>
    </row>
    <row r="37" spans="1:13" x14ac:dyDescent="0.25">
      <c r="A37" s="1">
        <v>46133</v>
      </c>
      <c r="B37" s="1" t="str">
        <f ca="1">IF(Información1[[#This Row],[Fecha]]='Ajuste de fechas'!$A$2,"Día actual","Día anterior")</f>
        <v>Día actual</v>
      </c>
      <c r="C37" s="3" t="s">
        <v>8</v>
      </c>
      <c r="D37" t="s">
        <v>10</v>
      </c>
      <c r="E37" s="3" t="s">
        <v>294</v>
      </c>
      <c r="F37" s="3" t="s">
        <v>6</v>
      </c>
      <c r="G37" s="3" t="s">
        <v>172</v>
      </c>
      <c r="H37" s="3" t="s">
        <v>11</v>
      </c>
      <c r="I37" s="3" t="s">
        <v>27</v>
      </c>
      <c r="J37" s="3" t="s">
        <v>73</v>
      </c>
      <c r="K37" s="3" t="s">
        <v>9</v>
      </c>
      <c r="L37" s="3" t="s">
        <v>75</v>
      </c>
      <c r="M37">
        <v>1</v>
      </c>
    </row>
    <row r="38" spans="1:13" x14ac:dyDescent="0.25">
      <c r="A38" s="1">
        <v>46133</v>
      </c>
      <c r="B38" s="1" t="str">
        <f ca="1">IF(Información1[[#This Row],[Fecha]]='Ajuste de fechas'!$A$2,"Día actual","Día anterior")</f>
        <v>Día actual</v>
      </c>
      <c r="C38" s="3" t="s">
        <v>8</v>
      </c>
      <c r="D38" t="s">
        <v>10</v>
      </c>
      <c r="E38" s="3" t="s">
        <v>295</v>
      </c>
      <c r="F38" s="3" t="s">
        <v>6</v>
      </c>
      <c r="G38" s="3" t="s">
        <v>172</v>
      </c>
      <c r="H38" s="3" t="s">
        <v>11</v>
      </c>
      <c r="I38" s="3" t="s">
        <v>27</v>
      </c>
      <c r="J38" s="3" t="s">
        <v>73</v>
      </c>
      <c r="K38" s="3" t="s">
        <v>9</v>
      </c>
      <c r="L38" s="3" t="s">
        <v>75</v>
      </c>
      <c r="M38">
        <v>1</v>
      </c>
    </row>
    <row r="39" spans="1:13" x14ac:dyDescent="0.25">
      <c r="A39" s="1">
        <v>46133</v>
      </c>
      <c r="B39" s="1" t="str">
        <f ca="1">IF(Información1[[#This Row],[Fecha]]='Ajuste de fechas'!$A$2,"Día actual","Día anterior")</f>
        <v>Día actual</v>
      </c>
      <c r="C39" s="3" t="s">
        <v>55</v>
      </c>
      <c r="D39" t="s">
        <v>168</v>
      </c>
      <c r="E39" s="3" t="s">
        <v>296</v>
      </c>
      <c r="F39" s="3" t="s">
        <v>141</v>
      </c>
      <c r="G39" s="3" t="s">
        <v>125</v>
      </c>
      <c r="H39" s="3" t="s">
        <v>11</v>
      </c>
      <c r="I39" s="3" t="s">
        <v>7</v>
      </c>
      <c r="J39" s="3" t="s">
        <v>73</v>
      </c>
      <c r="K39" s="3" t="s">
        <v>141</v>
      </c>
      <c r="L39" s="3" t="s">
        <v>76</v>
      </c>
      <c r="M39">
        <v>1</v>
      </c>
    </row>
    <row r="40" spans="1:13" x14ac:dyDescent="0.25">
      <c r="A40" s="1">
        <v>46133</v>
      </c>
      <c r="B40" s="1" t="str">
        <f ca="1">IF(Información1[[#This Row],[Fecha]]='Ajuste de fechas'!$A$2,"Día actual","Día anterior")</f>
        <v>Día actual</v>
      </c>
      <c r="C40" s="3" t="s">
        <v>38</v>
      </c>
      <c r="D40" t="s">
        <v>41</v>
      </c>
      <c r="E40" s="3" t="s">
        <v>297</v>
      </c>
      <c r="F40" s="3" t="s">
        <v>60</v>
      </c>
      <c r="G40" s="3" t="s">
        <v>125</v>
      </c>
      <c r="H40" s="3" t="s">
        <v>11</v>
      </c>
      <c r="I40" s="3" t="s">
        <v>7</v>
      </c>
      <c r="J40" s="3" t="s">
        <v>73</v>
      </c>
      <c r="K40" s="3" t="s">
        <v>39</v>
      </c>
      <c r="L40" s="3" t="s">
        <v>74</v>
      </c>
      <c r="M40">
        <v>1</v>
      </c>
    </row>
    <row r="41" spans="1:13" x14ac:dyDescent="0.25">
      <c r="A41" s="1">
        <v>46133</v>
      </c>
      <c r="B41" s="1" t="str">
        <f ca="1">IF(Información1[[#This Row],[Fecha]]='Ajuste de fechas'!$A$2,"Día actual","Día anterior")</f>
        <v>Día actual</v>
      </c>
      <c r="C41" s="3" t="s">
        <v>8</v>
      </c>
      <c r="D41" t="s">
        <v>10</v>
      </c>
      <c r="E41" s="3" t="s">
        <v>298</v>
      </c>
      <c r="F41" s="3" t="s">
        <v>124</v>
      </c>
      <c r="G41" s="3" t="s">
        <v>125</v>
      </c>
      <c r="H41" s="3" t="s">
        <v>11</v>
      </c>
      <c r="I41" s="3" t="s">
        <v>7</v>
      </c>
      <c r="J41" s="3" t="s">
        <v>73</v>
      </c>
      <c r="K41" s="3" t="s">
        <v>14</v>
      </c>
      <c r="L41" s="3" t="s">
        <v>74</v>
      </c>
      <c r="M41">
        <v>1</v>
      </c>
    </row>
    <row r="42" spans="1:13" x14ac:dyDescent="0.25">
      <c r="A42" s="1">
        <v>46133</v>
      </c>
      <c r="B42" s="1" t="str">
        <f ca="1">IF(Información1[[#This Row],[Fecha]]='Ajuste de fechas'!$A$2,"Día actual","Día anterior")</f>
        <v>Día actual</v>
      </c>
      <c r="C42" s="3" t="s">
        <v>8</v>
      </c>
      <c r="D42" t="s">
        <v>10</v>
      </c>
      <c r="E42" s="3" t="s">
        <v>299</v>
      </c>
      <c r="F42" s="3" t="s">
        <v>15</v>
      </c>
      <c r="G42" s="3" t="s">
        <v>125</v>
      </c>
      <c r="H42" s="3" t="s">
        <v>11</v>
      </c>
      <c r="I42" s="3" t="s">
        <v>7</v>
      </c>
      <c r="J42" s="3" t="s">
        <v>73</v>
      </c>
      <c r="K42" s="3" t="s">
        <v>14</v>
      </c>
      <c r="L42" s="3" t="s">
        <v>74</v>
      </c>
      <c r="M42">
        <v>1</v>
      </c>
    </row>
    <row r="43" spans="1:13" x14ac:dyDescent="0.25">
      <c r="A43" s="1">
        <v>46133</v>
      </c>
      <c r="B43" s="1" t="str">
        <f ca="1">IF(Información1[[#This Row],[Fecha]]='Ajuste de fechas'!$A$2,"Día actual","Día anterior")</f>
        <v>Día actual</v>
      </c>
      <c r="C43" s="3" t="s">
        <v>38</v>
      </c>
      <c r="D43" t="s">
        <v>40</v>
      </c>
      <c r="E43" s="3" t="s">
        <v>300</v>
      </c>
      <c r="F43" s="3" t="s">
        <v>26</v>
      </c>
      <c r="G43" s="3" t="s">
        <v>109</v>
      </c>
      <c r="H43" s="3" t="s">
        <v>11</v>
      </c>
      <c r="I43" s="3" t="s">
        <v>7</v>
      </c>
      <c r="J43" s="3" t="s">
        <v>26</v>
      </c>
      <c r="K43" s="3" t="s">
        <v>65</v>
      </c>
      <c r="L43" s="3" t="s">
        <v>74</v>
      </c>
      <c r="M43">
        <v>1</v>
      </c>
    </row>
    <row r="44" spans="1:13" x14ac:dyDescent="0.25">
      <c r="A44" s="1">
        <v>46133</v>
      </c>
      <c r="B44" s="1" t="str">
        <f ca="1">IF(Información1[[#This Row],[Fecha]]='Ajuste de fechas'!$A$2,"Día actual","Día anterior")</f>
        <v>Día actual</v>
      </c>
      <c r="C44" s="3" t="s">
        <v>8</v>
      </c>
      <c r="D44" t="s">
        <v>10</v>
      </c>
      <c r="E44" s="3" t="s">
        <v>142</v>
      </c>
      <c r="F44" s="3" t="s">
        <v>141</v>
      </c>
      <c r="G44" s="3" t="s">
        <v>143</v>
      </c>
      <c r="H44" s="3" t="s">
        <v>11</v>
      </c>
      <c r="I44" s="3" t="s">
        <v>7</v>
      </c>
      <c r="J44" s="3" t="s">
        <v>73</v>
      </c>
      <c r="K44" s="3" t="s">
        <v>14</v>
      </c>
      <c r="L44" s="3" t="s">
        <v>76</v>
      </c>
      <c r="M44">
        <v>1</v>
      </c>
    </row>
    <row r="45" spans="1:13" x14ac:dyDescent="0.25">
      <c r="A45" s="1">
        <v>46133</v>
      </c>
      <c r="B45" s="1" t="str">
        <f ca="1">IF(Información1[[#This Row],[Fecha]]='Ajuste de fechas'!$A$2,"Día actual","Día anterior")</f>
        <v>Día actual</v>
      </c>
      <c r="C45" s="3" t="s">
        <v>8</v>
      </c>
      <c r="D45" t="s">
        <v>10</v>
      </c>
      <c r="E45" s="3" t="s">
        <v>301</v>
      </c>
      <c r="F45" s="3" t="s">
        <v>19</v>
      </c>
      <c r="G45" s="3" t="s">
        <v>302</v>
      </c>
      <c r="H45" s="3" t="s">
        <v>11</v>
      </c>
      <c r="I45" s="3" t="s">
        <v>7</v>
      </c>
      <c r="J45" s="3" t="s">
        <v>77</v>
      </c>
      <c r="K45" s="3" t="s">
        <v>14</v>
      </c>
      <c r="L45" s="3" t="s">
        <v>74</v>
      </c>
      <c r="M45">
        <v>1</v>
      </c>
    </row>
    <row r="46" spans="1:13" x14ac:dyDescent="0.25">
      <c r="A46" s="1">
        <v>46133</v>
      </c>
      <c r="B46" s="1" t="str">
        <f ca="1">IF(Información1[[#This Row],[Fecha]]='Ajuste de fechas'!$A$2,"Día actual","Día anterior")</f>
        <v>Día actual</v>
      </c>
      <c r="C46" s="3" t="s">
        <v>38</v>
      </c>
      <c r="D46" t="s">
        <v>41</v>
      </c>
      <c r="E46" s="3" t="s">
        <v>303</v>
      </c>
      <c r="F46" s="3" t="s">
        <v>15</v>
      </c>
      <c r="G46" s="3" t="s">
        <v>84</v>
      </c>
      <c r="H46" s="3" t="s">
        <v>11</v>
      </c>
      <c r="I46" s="3" t="s">
        <v>7</v>
      </c>
      <c r="J46" s="3" t="s">
        <v>73</v>
      </c>
      <c r="K46" s="3" t="s">
        <v>39</v>
      </c>
      <c r="L46" s="3" t="s">
        <v>74</v>
      </c>
      <c r="M46">
        <v>1</v>
      </c>
    </row>
    <row r="47" spans="1:13" x14ac:dyDescent="0.25">
      <c r="A47" s="1">
        <v>46133</v>
      </c>
      <c r="B47" s="1" t="str">
        <f ca="1">IF(Información1[[#This Row],[Fecha]]='Ajuste de fechas'!$A$2,"Día actual","Día anterior")</f>
        <v>Día actual</v>
      </c>
      <c r="C47" s="3" t="s">
        <v>38</v>
      </c>
      <c r="D47" t="s">
        <v>40</v>
      </c>
      <c r="E47" s="3" t="s">
        <v>304</v>
      </c>
      <c r="F47" s="3" t="s">
        <v>37</v>
      </c>
      <c r="G47" s="3" t="s">
        <v>305</v>
      </c>
      <c r="H47" s="3" t="s">
        <v>11</v>
      </c>
      <c r="I47" s="3" t="s">
        <v>7</v>
      </c>
      <c r="J47" s="3" t="s">
        <v>73</v>
      </c>
      <c r="K47" s="3" t="s">
        <v>65</v>
      </c>
      <c r="L47" s="3" t="s">
        <v>74</v>
      </c>
      <c r="M47">
        <v>1</v>
      </c>
    </row>
    <row r="48" spans="1:13" x14ac:dyDescent="0.25">
      <c r="A48" s="1">
        <v>46133</v>
      </c>
      <c r="B48" s="1" t="str">
        <f ca="1">IF(Información1[[#This Row],[Fecha]]='Ajuste de fechas'!$A$2,"Día actual","Día anterior")</f>
        <v>Día actual</v>
      </c>
      <c r="C48" s="3" t="s">
        <v>38</v>
      </c>
      <c r="D48" t="s">
        <v>40</v>
      </c>
      <c r="E48" s="3" t="s">
        <v>264</v>
      </c>
      <c r="F48" s="3" t="s">
        <v>25</v>
      </c>
      <c r="G48" s="3" t="s">
        <v>265</v>
      </c>
      <c r="H48" s="3" t="s">
        <v>11</v>
      </c>
      <c r="I48" s="3" t="s">
        <v>7</v>
      </c>
      <c r="J48" s="3" t="s">
        <v>73</v>
      </c>
      <c r="K48" s="3" t="s">
        <v>65</v>
      </c>
      <c r="L48" s="3" t="s">
        <v>76</v>
      </c>
      <c r="M48">
        <v>1</v>
      </c>
    </row>
    <row r="49" spans="1:13" x14ac:dyDescent="0.25">
      <c r="A49" s="1">
        <v>46133</v>
      </c>
      <c r="B49" s="1" t="str">
        <f ca="1">IF(Información1[[#This Row],[Fecha]]='Ajuste de fechas'!$A$2,"Día actual","Día anterior")</f>
        <v>Día actual</v>
      </c>
      <c r="C49" s="3" t="s">
        <v>38</v>
      </c>
      <c r="D49" t="s">
        <v>41</v>
      </c>
      <c r="E49" s="3" t="s">
        <v>306</v>
      </c>
      <c r="F49" s="3" t="s">
        <v>19</v>
      </c>
      <c r="G49" s="3" t="s">
        <v>307</v>
      </c>
      <c r="H49" s="3" t="s">
        <v>11</v>
      </c>
      <c r="I49" s="3" t="s">
        <v>7</v>
      </c>
      <c r="J49" s="3" t="s">
        <v>77</v>
      </c>
      <c r="K49" s="3" t="s">
        <v>39</v>
      </c>
      <c r="L49" s="3" t="s">
        <v>75</v>
      </c>
      <c r="M49">
        <v>1</v>
      </c>
    </row>
    <row r="50" spans="1:13" x14ac:dyDescent="0.25">
      <c r="A50" s="1">
        <v>46133</v>
      </c>
      <c r="B50" s="1" t="str">
        <f ca="1">IF(Información1[[#This Row],[Fecha]]='Ajuste de fechas'!$A$2,"Día actual","Día anterior")</f>
        <v>Día actual</v>
      </c>
      <c r="C50" s="3" t="s">
        <v>8</v>
      </c>
      <c r="D50" t="s">
        <v>10</v>
      </c>
      <c r="E50" s="3" t="s">
        <v>308</v>
      </c>
      <c r="F50" s="3" t="s">
        <v>6</v>
      </c>
      <c r="G50" s="3" t="s">
        <v>87</v>
      </c>
      <c r="H50" s="3" t="s">
        <v>11</v>
      </c>
      <c r="I50" s="3" t="s">
        <v>27</v>
      </c>
      <c r="J50" s="3" t="s">
        <v>73</v>
      </c>
      <c r="K50" s="3" t="s">
        <v>9</v>
      </c>
      <c r="L50" s="3" t="s">
        <v>75</v>
      </c>
      <c r="M50">
        <v>1</v>
      </c>
    </row>
    <row r="51" spans="1:13" x14ac:dyDescent="0.25">
      <c r="A51" s="1">
        <v>46133</v>
      </c>
      <c r="B51" s="1" t="str">
        <f ca="1">IF(Información1[[#This Row],[Fecha]]='Ajuste de fechas'!$A$2,"Día actual","Día anterior")</f>
        <v>Día actual</v>
      </c>
      <c r="C51" s="3" t="s">
        <v>38</v>
      </c>
      <c r="D51" t="s">
        <v>40</v>
      </c>
      <c r="E51" s="3" t="s">
        <v>278</v>
      </c>
      <c r="F51" s="3" t="s">
        <v>28</v>
      </c>
      <c r="G51" s="3" t="s">
        <v>249</v>
      </c>
      <c r="H51" s="3" t="s">
        <v>11</v>
      </c>
      <c r="I51" s="3" t="s">
        <v>7</v>
      </c>
      <c r="J51" s="3" t="s">
        <v>73</v>
      </c>
      <c r="K51" s="3" t="s">
        <v>65</v>
      </c>
      <c r="L51" s="3" t="s">
        <v>76</v>
      </c>
      <c r="M51">
        <v>1</v>
      </c>
    </row>
    <row r="52" spans="1:13" x14ac:dyDescent="0.25">
      <c r="A52" s="1">
        <v>46133</v>
      </c>
      <c r="B52" s="1" t="str">
        <f ca="1">IF(Información1[[#This Row],[Fecha]]='Ajuste de fechas'!$A$2,"Día actual","Día anterior")</f>
        <v>Día actual</v>
      </c>
      <c r="C52" s="3" t="s">
        <v>38</v>
      </c>
      <c r="D52" t="s">
        <v>41</v>
      </c>
      <c r="E52" s="3" t="s">
        <v>309</v>
      </c>
      <c r="F52" s="3" t="s">
        <v>28</v>
      </c>
      <c r="G52" s="3" t="s">
        <v>249</v>
      </c>
      <c r="H52" s="3" t="s">
        <v>11</v>
      </c>
      <c r="I52" s="3" t="s">
        <v>7</v>
      </c>
      <c r="J52" s="3" t="s">
        <v>73</v>
      </c>
      <c r="K52" s="3" t="s">
        <v>39</v>
      </c>
      <c r="L52" s="3" t="s">
        <v>74</v>
      </c>
      <c r="M52">
        <v>1</v>
      </c>
    </row>
    <row r="53" spans="1:13" x14ac:dyDescent="0.25">
      <c r="A53" s="1">
        <v>46133</v>
      </c>
      <c r="B53" s="1" t="str">
        <f ca="1">IF(Información1[[#This Row],[Fecha]]='Ajuste de fechas'!$A$2,"Día actual","Día anterior")</f>
        <v>Día actual</v>
      </c>
      <c r="C53" s="3" t="s">
        <v>8</v>
      </c>
      <c r="D53" t="s">
        <v>10</v>
      </c>
      <c r="E53" s="3" t="s">
        <v>310</v>
      </c>
      <c r="F53" s="3" t="s">
        <v>28</v>
      </c>
      <c r="G53" s="3" t="s">
        <v>249</v>
      </c>
      <c r="H53" s="3" t="s">
        <v>11</v>
      </c>
      <c r="I53" s="3" t="s">
        <v>7</v>
      </c>
      <c r="J53" s="3" t="s">
        <v>73</v>
      </c>
      <c r="K53" s="3" t="s">
        <v>14</v>
      </c>
      <c r="L53" s="3" t="s">
        <v>74</v>
      </c>
      <c r="M53">
        <v>1</v>
      </c>
    </row>
    <row r="54" spans="1:13" x14ac:dyDescent="0.25">
      <c r="A54" s="1">
        <v>46133</v>
      </c>
      <c r="B54" s="1" t="str">
        <f ca="1">IF(Información1[[#This Row],[Fecha]]='Ajuste de fechas'!$A$2,"Día actual","Día anterior")</f>
        <v>Día actual</v>
      </c>
      <c r="C54" s="3" t="s">
        <v>8</v>
      </c>
      <c r="D54" t="s">
        <v>10</v>
      </c>
      <c r="E54" s="3" t="s">
        <v>311</v>
      </c>
      <c r="F54" s="3" t="s">
        <v>19</v>
      </c>
      <c r="G54" s="3" t="s">
        <v>312</v>
      </c>
      <c r="H54" s="3" t="s">
        <v>11</v>
      </c>
      <c r="I54" s="3" t="s">
        <v>27</v>
      </c>
      <c r="J54" s="3" t="s">
        <v>77</v>
      </c>
      <c r="K54" s="3" t="s">
        <v>9</v>
      </c>
      <c r="L54" s="3" t="s">
        <v>75</v>
      </c>
      <c r="M54">
        <v>1</v>
      </c>
    </row>
    <row r="55" spans="1:13" x14ac:dyDescent="0.25">
      <c r="A55" s="1">
        <v>46133</v>
      </c>
      <c r="B55" s="1" t="str">
        <f ca="1">IF(Información1[[#This Row],[Fecha]]='Ajuste de fechas'!$A$2,"Día actual","Día anterior")</f>
        <v>Día actual</v>
      </c>
      <c r="C55" s="3" t="s">
        <v>38</v>
      </c>
      <c r="D55" t="s">
        <v>40</v>
      </c>
      <c r="E55" s="3" t="s">
        <v>313</v>
      </c>
      <c r="F55" s="3" t="s">
        <v>23</v>
      </c>
      <c r="G55" s="3" t="s">
        <v>314</v>
      </c>
      <c r="H55" s="3" t="s">
        <v>11</v>
      </c>
      <c r="I55" s="3" t="s">
        <v>7</v>
      </c>
      <c r="J55" s="3" t="s">
        <v>78</v>
      </c>
      <c r="K55" s="3" t="s">
        <v>65</v>
      </c>
      <c r="L55" s="3" t="s">
        <v>74</v>
      </c>
      <c r="M55">
        <v>1</v>
      </c>
    </row>
    <row r="56" spans="1:13" x14ac:dyDescent="0.25">
      <c r="A56" s="1">
        <v>46133</v>
      </c>
      <c r="B56" s="1" t="str">
        <f ca="1">IF(Información1[[#This Row],[Fecha]]='Ajuste de fechas'!$A$2,"Día actual","Día anterior")</f>
        <v>Día actual</v>
      </c>
      <c r="C56" s="3" t="s">
        <v>38</v>
      </c>
      <c r="D56" t="s">
        <v>40</v>
      </c>
      <c r="E56" s="3" t="s">
        <v>315</v>
      </c>
      <c r="F56" s="3" t="s">
        <v>23</v>
      </c>
      <c r="G56" s="3" t="s">
        <v>314</v>
      </c>
      <c r="H56" s="3" t="s">
        <v>11</v>
      </c>
      <c r="I56" s="3" t="s">
        <v>7</v>
      </c>
      <c r="J56" s="3" t="s">
        <v>78</v>
      </c>
      <c r="K56" s="3" t="s">
        <v>65</v>
      </c>
      <c r="L56" s="3" t="s">
        <v>75</v>
      </c>
      <c r="M56">
        <v>1</v>
      </c>
    </row>
    <row r="57" spans="1:13" x14ac:dyDescent="0.25">
      <c r="A57" s="1">
        <v>46133</v>
      </c>
      <c r="B57" s="1" t="str">
        <f ca="1">IF(Información1[[#This Row],[Fecha]]='Ajuste de fechas'!$A$2,"Día actual","Día anterior")</f>
        <v>Día actual</v>
      </c>
      <c r="C57" s="3" t="s">
        <v>38</v>
      </c>
      <c r="D57" t="s">
        <v>40</v>
      </c>
      <c r="E57" s="3" t="s">
        <v>316</v>
      </c>
      <c r="F57" s="3" t="s">
        <v>23</v>
      </c>
      <c r="G57" s="3" t="s">
        <v>314</v>
      </c>
      <c r="H57" s="3" t="s">
        <v>11</v>
      </c>
      <c r="I57" s="3" t="s">
        <v>7</v>
      </c>
      <c r="J57" s="3" t="s">
        <v>78</v>
      </c>
      <c r="K57" s="3" t="s">
        <v>65</v>
      </c>
      <c r="L57" s="3" t="s">
        <v>74</v>
      </c>
      <c r="M57">
        <v>1</v>
      </c>
    </row>
    <row r="58" spans="1:13" x14ac:dyDescent="0.25">
      <c r="A58" s="1">
        <v>46133</v>
      </c>
      <c r="B58" s="1" t="str">
        <f ca="1">IF(Información1[[#This Row],[Fecha]]='Ajuste de fechas'!$A$2,"Día actual","Día anterior")</f>
        <v>Día actual</v>
      </c>
      <c r="C58" s="3" t="s">
        <v>38</v>
      </c>
      <c r="D58" t="s">
        <v>40</v>
      </c>
      <c r="E58" s="3" t="s">
        <v>317</v>
      </c>
      <c r="F58" s="3" t="s">
        <v>37</v>
      </c>
      <c r="G58" s="3" t="s">
        <v>318</v>
      </c>
      <c r="H58" s="3" t="s">
        <v>11</v>
      </c>
      <c r="I58" s="3" t="s">
        <v>7</v>
      </c>
      <c r="J58" s="3" t="s">
        <v>73</v>
      </c>
      <c r="K58" s="3" t="s">
        <v>65</v>
      </c>
      <c r="L58" s="3" t="s">
        <v>74</v>
      </c>
      <c r="M58">
        <v>1</v>
      </c>
    </row>
    <row r="59" spans="1:13" x14ac:dyDescent="0.25">
      <c r="A59" s="1">
        <v>46133</v>
      </c>
      <c r="B59" s="1" t="str">
        <f ca="1">IF(Información1[[#This Row],[Fecha]]='Ajuste de fechas'!$A$2,"Día actual","Día anterior")</f>
        <v>Día actual</v>
      </c>
      <c r="C59" s="3" t="s">
        <v>38</v>
      </c>
      <c r="D59" t="s">
        <v>40</v>
      </c>
      <c r="E59" s="3" t="s">
        <v>319</v>
      </c>
      <c r="F59" s="3" t="s">
        <v>26</v>
      </c>
      <c r="G59" s="3" t="s">
        <v>320</v>
      </c>
      <c r="H59" s="3" t="s">
        <v>11</v>
      </c>
      <c r="I59" s="3" t="s">
        <v>7</v>
      </c>
      <c r="J59" s="3" t="s">
        <v>26</v>
      </c>
      <c r="K59" s="3" t="s">
        <v>65</v>
      </c>
      <c r="L59" s="3" t="s">
        <v>74</v>
      </c>
      <c r="M59">
        <v>1</v>
      </c>
    </row>
    <row r="60" spans="1:13" x14ac:dyDescent="0.25">
      <c r="A60" s="1">
        <v>46133</v>
      </c>
      <c r="B60" s="1" t="str">
        <f ca="1">IF(Información1[[#This Row],[Fecha]]='Ajuste de fechas'!$A$2,"Día actual","Día anterior")</f>
        <v>Día actual</v>
      </c>
      <c r="C60" s="3" t="s">
        <v>38</v>
      </c>
      <c r="D60" t="s">
        <v>41</v>
      </c>
      <c r="E60" s="3" t="s">
        <v>321</v>
      </c>
      <c r="F60" s="3" t="s">
        <v>19</v>
      </c>
      <c r="G60" s="3" t="s">
        <v>84</v>
      </c>
      <c r="H60" s="3" t="s">
        <v>11</v>
      </c>
      <c r="I60" s="3" t="s">
        <v>7</v>
      </c>
      <c r="J60" s="3" t="s">
        <v>77</v>
      </c>
      <c r="K60" s="3" t="s">
        <v>39</v>
      </c>
      <c r="L60" s="3" t="s">
        <v>75</v>
      </c>
      <c r="M60">
        <v>1</v>
      </c>
    </row>
    <row r="61" spans="1:13" x14ac:dyDescent="0.25">
      <c r="A61" s="1">
        <v>46133</v>
      </c>
      <c r="B61" s="1" t="str">
        <f ca="1">IF(Información1[[#This Row],[Fecha]]='Ajuste de fechas'!$A$2,"Día actual","Día anterior")</f>
        <v>Día actual</v>
      </c>
      <c r="C61" s="3" t="s">
        <v>38</v>
      </c>
      <c r="D61" t="s">
        <v>41</v>
      </c>
      <c r="E61" s="3" t="s">
        <v>322</v>
      </c>
      <c r="F61" s="3" t="s">
        <v>23</v>
      </c>
      <c r="G61" s="3" t="s">
        <v>133</v>
      </c>
      <c r="H61" s="3" t="s">
        <v>11</v>
      </c>
      <c r="I61" s="3" t="s">
        <v>7</v>
      </c>
      <c r="J61" s="3" t="s">
        <v>78</v>
      </c>
      <c r="K61" s="3" t="s">
        <v>39</v>
      </c>
      <c r="L61" s="3" t="s">
        <v>74</v>
      </c>
      <c r="M61">
        <v>1</v>
      </c>
    </row>
    <row r="62" spans="1:13" x14ac:dyDescent="0.25">
      <c r="A62" s="1">
        <v>46133</v>
      </c>
      <c r="B62" s="1" t="str">
        <f ca="1">IF(Información1[[#This Row],[Fecha]]='Ajuste de fechas'!$A$2,"Día actual","Día anterior")</f>
        <v>Día actual</v>
      </c>
      <c r="C62" s="3" t="s">
        <v>8</v>
      </c>
      <c r="D62" t="s">
        <v>10</v>
      </c>
      <c r="E62" s="3" t="s">
        <v>323</v>
      </c>
      <c r="F62" s="3" t="s">
        <v>324</v>
      </c>
      <c r="G62" s="3" t="s">
        <v>87</v>
      </c>
      <c r="H62" s="3" t="s">
        <v>11</v>
      </c>
      <c r="I62" s="3" t="s">
        <v>27</v>
      </c>
      <c r="J62" s="3" t="s">
        <v>325</v>
      </c>
      <c r="K62" s="3" t="s">
        <v>9</v>
      </c>
      <c r="L62" s="3" t="s">
        <v>75</v>
      </c>
      <c r="M62">
        <v>1</v>
      </c>
    </row>
    <row r="63" spans="1:13" x14ac:dyDescent="0.25">
      <c r="A63" s="1">
        <v>46133</v>
      </c>
      <c r="B63" s="1" t="str">
        <f ca="1">IF(Información1[[#This Row],[Fecha]]='Ajuste de fechas'!$A$2,"Día actual","Día anterior")</f>
        <v>Día actual</v>
      </c>
      <c r="C63" s="3" t="s">
        <v>8</v>
      </c>
      <c r="D63" t="s">
        <v>10</v>
      </c>
      <c r="E63" s="3" t="s">
        <v>326</v>
      </c>
      <c r="F63" s="3" t="s">
        <v>17</v>
      </c>
      <c r="G63" s="3" t="s">
        <v>107</v>
      </c>
      <c r="H63" s="3" t="s">
        <v>11</v>
      </c>
      <c r="I63" s="3" t="s">
        <v>27</v>
      </c>
      <c r="J63" s="3" t="s">
        <v>73</v>
      </c>
      <c r="K63" s="3" t="s">
        <v>9</v>
      </c>
      <c r="L63" s="3" t="s">
        <v>75</v>
      </c>
      <c r="M63">
        <v>1</v>
      </c>
    </row>
    <row r="64" spans="1:13" x14ac:dyDescent="0.25">
      <c r="A64" s="1">
        <v>46133</v>
      </c>
      <c r="B64" s="1" t="str">
        <f ca="1">IF(Información1[[#This Row],[Fecha]]='Ajuste de fechas'!$A$2,"Día actual","Día anterior")</f>
        <v>Día actual</v>
      </c>
      <c r="C64" s="3" t="s">
        <v>8</v>
      </c>
      <c r="D64" t="s">
        <v>10</v>
      </c>
      <c r="E64" s="3" t="s">
        <v>327</v>
      </c>
      <c r="F64" s="3" t="s">
        <v>17</v>
      </c>
      <c r="G64" s="3" t="s">
        <v>328</v>
      </c>
      <c r="H64" s="3" t="s">
        <v>11</v>
      </c>
      <c r="I64" s="3" t="s">
        <v>27</v>
      </c>
      <c r="J64" s="3" t="s">
        <v>73</v>
      </c>
      <c r="K64" s="3" t="s">
        <v>9</v>
      </c>
      <c r="L64" s="3" t="s">
        <v>75</v>
      </c>
      <c r="M64">
        <v>1</v>
      </c>
    </row>
    <row r="65" spans="1:13" x14ac:dyDescent="0.25">
      <c r="A65" s="1">
        <v>46133</v>
      </c>
      <c r="B65" s="1" t="str">
        <f ca="1">IF(Información1[[#This Row],[Fecha]]='Ajuste de fechas'!$A$2,"Día actual","Día anterior")</f>
        <v>Día actual</v>
      </c>
      <c r="C65" s="3" t="s">
        <v>8</v>
      </c>
      <c r="D65" t="s">
        <v>10</v>
      </c>
      <c r="E65" s="3" t="s">
        <v>329</v>
      </c>
      <c r="F65" s="3" t="s">
        <v>25</v>
      </c>
      <c r="G65" s="3" t="s">
        <v>330</v>
      </c>
      <c r="H65" s="3" t="s">
        <v>11</v>
      </c>
      <c r="I65" s="3" t="s">
        <v>27</v>
      </c>
      <c r="J65" s="3" t="s">
        <v>73</v>
      </c>
      <c r="K65" s="3" t="s">
        <v>9</v>
      </c>
      <c r="L65" s="3" t="s">
        <v>75</v>
      </c>
      <c r="M65">
        <v>1</v>
      </c>
    </row>
    <row r="66" spans="1:13" x14ac:dyDescent="0.25">
      <c r="A66" s="1">
        <v>46133</v>
      </c>
      <c r="B66" s="1" t="str">
        <f ca="1">IF(Información1[[#This Row],[Fecha]]='Ajuste de fechas'!$A$2,"Día actual","Día anterior")</f>
        <v>Día actual</v>
      </c>
      <c r="C66" s="3" t="s">
        <v>57</v>
      </c>
      <c r="D66" t="s">
        <v>58</v>
      </c>
      <c r="E66" s="3" t="s">
        <v>347</v>
      </c>
      <c r="F66" s="3" t="s">
        <v>21</v>
      </c>
      <c r="G66" s="3" t="s">
        <v>348</v>
      </c>
      <c r="H66" s="3" t="s">
        <v>11</v>
      </c>
      <c r="I66" s="3" t="s">
        <v>27</v>
      </c>
      <c r="J66" s="3" t="s">
        <v>73</v>
      </c>
      <c r="K66" s="3" t="s">
        <v>59</v>
      </c>
      <c r="L66" s="3" t="s">
        <v>74</v>
      </c>
      <c r="M66">
        <v>1</v>
      </c>
    </row>
    <row r="67" spans="1:13" x14ac:dyDescent="0.25">
      <c r="A67" s="1">
        <v>46133</v>
      </c>
      <c r="B67" s="1" t="str">
        <f ca="1">IF(Información1[[#This Row],[Fecha]]='Ajuste de fechas'!$A$2,"Día actual","Día anterior")</f>
        <v>Día actual</v>
      </c>
      <c r="C67" s="3" t="s">
        <v>57</v>
      </c>
      <c r="D67" t="s">
        <v>58</v>
      </c>
      <c r="E67" s="3" t="s">
        <v>349</v>
      </c>
      <c r="F67" s="3" t="s">
        <v>24</v>
      </c>
      <c r="G67" s="3" t="s">
        <v>350</v>
      </c>
      <c r="H67" s="3" t="s">
        <v>11</v>
      </c>
      <c r="I67" s="3" t="s">
        <v>7</v>
      </c>
      <c r="J67" s="3" t="s">
        <v>73</v>
      </c>
      <c r="K67" s="3" t="s">
        <v>59</v>
      </c>
      <c r="L67" s="3" t="s">
        <v>74</v>
      </c>
      <c r="M67">
        <v>1</v>
      </c>
    </row>
    <row r="68" spans="1:13" x14ac:dyDescent="0.25">
      <c r="A68" s="1">
        <v>46133</v>
      </c>
      <c r="B68" s="1" t="str">
        <f ca="1">IF(Información1[[#This Row],[Fecha]]='Ajuste de fechas'!$A$2,"Día actual","Día anterior")</f>
        <v>Día actual</v>
      </c>
      <c r="C68" s="3" t="s">
        <v>57</v>
      </c>
      <c r="D68" t="s">
        <v>58</v>
      </c>
      <c r="E68" s="3" t="s">
        <v>351</v>
      </c>
      <c r="F68" s="3" t="s">
        <v>24</v>
      </c>
      <c r="G68" s="3" t="s">
        <v>46</v>
      </c>
      <c r="H68" s="3" t="s">
        <v>11</v>
      </c>
      <c r="I68" s="3" t="s">
        <v>7</v>
      </c>
      <c r="J68" s="3" t="s">
        <v>73</v>
      </c>
      <c r="K68" s="3" t="s">
        <v>59</v>
      </c>
      <c r="L68" s="3" t="s">
        <v>74</v>
      </c>
      <c r="M68">
        <v>1</v>
      </c>
    </row>
    <row r="69" spans="1:13" x14ac:dyDescent="0.25">
      <c r="A69" s="1">
        <v>46133</v>
      </c>
      <c r="B69" s="1" t="str">
        <f ca="1">IF(Información1[[#This Row],[Fecha]]='Ajuste de fechas'!$A$2,"Día actual","Día anterior")</f>
        <v>Día actual</v>
      </c>
      <c r="C69" s="3" t="s">
        <v>57</v>
      </c>
      <c r="D69" t="s">
        <v>58</v>
      </c>
      <c r="E69" s="3" t="s">
        <v>352</v>
      </c>
      <c r="F69" s="3" t="s">
        <v>19</v>
      </c>
      <c r="G69" s="3" t="s">
        <v>133</v>
      </c>
      <c r="H69" s="3" t="s">
        <v>11</v>
      </c>
      <c r="I69" s="3" t="s">
        <v>7</v>
      </c>
      <c r="J69" s="3" t="s">
        <v>77</v>
      </c>
      <c r="K69" s="3" t="s">
        <v>59</v>
      </c>
      <c r="L69" s="3" t="s">
        <v>74</v>
      </c>
      <c r="M69">
        <v>1</v>
      </c>
    </row>
    <row r="70" spans="1:13" x14ac:dyDescent="0.25">
      <c r="A70" s="1">
        <v>46133</v>
      </c>
      <c r="B70" s="1" t="str">
        <f ca="1">IF(Información1[[#This Row],[Fecha]]='Ajuste de fechas'!$A$2,"Día actual","Día anterior")</f>
        <v>Día actual</v>
      </c>
      <c r="C70" s="3" t="s">
        <v>57</v>
      </c>
      <c r="D70" t="s">
        <v>58</v>
      </c>
      <c r="E70" s="3" t="s">
        <v>353</v>
      </c>
      <c r="F70" s="3" t="s">
        <v>28</v>
      </c>
      <c r="G70" s="3" t="s">
        <v>249</v>
      </c>
      <c r="H70" s="3" t="s">
        <v>11</v>
      </c>
      <c r="I70" s="3" t="s">
        <v>7</v>
      </c>
      <c r="J70" s="3" t="s">
        <v>73</v>
      </c>
      <c r="K70" s="3" t="s">
        <v>59</v>
      </c>
      <c r="L70" s="3" t="s">
        <v>76</v>
      </c>
      <c r="M70">
        <v>1</v>
      </c>
    </row>
    <row r="71" spans="1:13" x14ac:dyDescent="0.25">
      <c r="A71" s="1">
        <v>46133</v>
      </c>
      <c r="B71" s="1" t="str">
        <f ca="1">IF(Información1[[#This Row],[Fecha]]='Ajuste de fechas'!$A$2,"Día actual","Día anterior")</f>
        <v>Día actual</v>
      </c>
      <c r="C71" s="3" t="s">
        <v>57</v>
      </c>
      <c r="D71" t="s">
        <v>58</v>
      </c>
      <c r="E71" s="3" t="s">
        <v>354</v>
      </c>
      <c r="F71" s="3" t="s">
        <v>6</v>
      </c>
      <c r="G71" s="3" t="s">
        <v>269</v>
      </c>
      <c r="H71" s="3" t="s">
        <v>11</v>
      </c>
      <c r="I71" s="3" t="s">
        <v>27</v>
      </c>
      <c r="J71" s="3" t="s">
        <v>73</v>
      </c>
      <c r="K71" s="3" t="s">
        <v>9</v>
      </c>
      <c r="L71" s="3" t="s">
        <v>75</v>
      </c>
      <c r="M71">
        <v>1</v>
      </c>
    </row>
    <row r="72" spans="1:13" x14ac:dyDescent="0.25">
      <c r="A72" s="1">
        <v>46133</v>
      </c>
      <c r="B72" s="1" t="str">
        <f ca="1">IF(Información1[[#This Row],[Fecha]]='Ajuste de fechas'!$A$2,"Día actual","Día anterior")</f>
        <v>Día actual</v>
      </c>
      <c r="C72" s="3" t="s">
        <v>57</v>
      </c>
      <c r="D72" t="s">
        <v>58</v>
      </c>
      <c r="E72" s="3" t="s">
        <v>355</v>
      </c>
      <c r="F72" s="3" t="s">
        <v>25</v>
      </c>
      <c r="G72" s="3" t="s">
        <v>265</v>
      </c>
      <c r="H72" s="3" t="s">
        <v>11</v>
      </c>
      <c r="I72" s="3" t="s">
        <v>7</v>
      </c>
      <c r="J72" s="3" t="s">
        <v>73</v>
      </c>
      <c r="K72" s="3" t="s">
        <v>59</v>
      </c>
      <c r="L72" s="3" t="s">
        <v>76</v>
      </c>
      <c r="M72">
        <v>1</v>
      </c>
    </row>
    <row r="73" spans="1:13" x14ac:dyDescent="0.25">
      <c r="A73" s="1">
        <v>46133</v>
      </c>
      <c r="B73" s="1" t="str">
        <f ca="1">IF(Información1[[#This Row],[Fecha]]='Ajuste de fechas'!$A$2,"Día actual","Día anterior")</f>
        <v>Día actual</v>
      </c>
      <c r="C73" s="3" t="s">
        <v>57</v>
      </c>
      <c r="D73" t="s">
        <v>58</v>
      </c>
      <c r="E73" s="3" t="s">
        <v>356</v>
      </c>
      <c r="F73" s="3" t="s">
        <v>19</v>
      </c>
      <c r="G73" s="3" t="s">
        <v>357</v>
      </c>
      <c r="H73" s="3" t="s">
        <v>11</v>
      </c>
      <c r="I73" s="3" t="s">
        <v>7</v>
      </c>
      <c r="J73" s="3" t="s">
        <v>77</v>
      </c>
      <c r="K73" s="3" t="s">
        <v>59</v>
      </c>
      <c r="L73" s="3" t="s">
        <v>74</v>
      </c>
      <c r="M73">
        <v>1</v>
      </c>
    </row>
    <row r="74" spans="1:13" x14ac:dyDescent="0.25">
      <c r="A74" s="1">
        <v>46133</v>
      </c>
      <c r="B74" s="1" t="str">
        <f ca="1">IF(Información1[[#This Row],[Fecha]]='Ajuste de fechas'!$A$2,"Día actual","Día anterior")</f>
        <v>Día actual</v>
      </c>
      <c r="C74" s="3" t="s">
        <v>57</v>
      </c>
      <c r="D74" t="s">
        <v>58</v>
      </c>
      <c r="E74" s="3" t="s">
        <v>358</v>
      </c>
      <c r="F74" s="3" t="s">
        <v>23</v>
      </c>
      <c r="G74" s="3" t="s">
        <v>359</v>
      </c>
      <c r="H74" s="3" t="s">
        <v>11</v>
      </c>
      <c r="I74" s="3" t="s">
        <v>7</v>
      </c>
      <c r="J74" s="3" t="s">
        <v>78</v>
      </c>
      <c r="K74" s="3" t="s">
        <v>59</v>
      </c>
      <c r="L74" s="3" t="s">
        <v>74</v>
      </c>
      <c r="M74">
        <v>1</v>
      </c>
    </row>
    <row r="75" spans="1:13" x14ac:dyDescent="0.25">
      <c r="A75" s="1">
        <v>46133</v>
      </c>
      <c r="B75" s="1" t="str">
        <f ca="1">IF(Información1[[#This Row],[Fecha]]='Ajuste de fechas'!$A$2,"Día actual","Día anterior")</f>
        <v>Día actual</v>
      </c>
      <c r="C75" s="3" t="s">
        <v>57</v>
      </c>
      <c r="D75" t="s">
        <v>58</v>
      </c>
      <c r="E75" s="3" t="s">
        <v>360</v>
      </c>
      <c r="F75" s="3" t="s">
        <v>361</v>
      </c>
      <c r="G75" s="3" t="s">
        <v>362</v>
      </c>
      <c r="H75" s="3" t="s">
        <v>11</v>
      </c>
      <c r="I75" s="3" t="s">
        <v>7</v>
      </c>
      <c r="J75" s="3" t="s">
        <v>73</v>
      </c>
      <c r="K75" s="3" t="s">
        <v>59</v>
      </c>
      <c r="L75" s="3" t="s">
        <v>76</v>
      </c>
      <c r="M75">
        <v>1</v>
      </c>
    </row>
    <row r="76" spans="1:13" x14ac:dyDescent="0.25">
      <c r="A76" s="1">
        <v>46133</v>
      </c>
      <c r="B76" s="1" t="str">
        <f ca="1">IF(Información1[[#This Row],[Fecha]]='Ajuste de fechas'!$A$2,"Día actual","Día anterior")</f>
        <v>Día actual</v>
      </c>
      <c r="C76" s="3" t="s">
        <v>57</v>
      </c>
      <c r="D76" t="s">
        <v>58</v>
      </c>
      <c r="E76" s="3" t="s">
        <v>363</v>
      </c>
      <c r="F76" s="3" t="s">
        <v>124</v>
      </c>
      <c r="G76" s="3" t="s">
        <v>125</v>
      </c>
      <c r="H76" s="3" t="s">
        <v>11</v>
      </c>
      <c r="I76" s="3" t="s">
        <v>7</v>
      </c>
      <c r="J76" s="3" t="s">
        <v>73</v>
      </c>
      <c r="K76" s="3" t="s">
        <v>59</v>
      </c>
      <c r="L76" s="3" t="s">
        <v>74</v>
      </c>
      <c r="M76">
        <v>1</v>
      </c>
    </row>
    <row r="77" spans="1:13" x14ac:dyDescent="0.25">
      <c r="A77" s="1">
        <v>46133</v>
      </c>
      <c r="B77" s="1" t="str">
        <f ca="1">IF(Información1[[#This Row],[Fecha]]='Ajuste de fechas'!$A$2,"Día actual","Día anterior")</f>
        <v>Día actual</v>
      </c>
      <c r="C77" s="3" t="s">
        <v>57</v>
      </c>
      <c r="D77" t="s">
        <v>58</v>
      </c>
      <c r="E77" s="3" t="s">
        <v>364</v>
      </c>
      <c r="F77" s="3" t="s">
        <v>15</v>
      </c>
      <c r="G77" s="3" t="s">
        <v>143</v>
      </c>
      <c r="H77" s="3" t="s">
        <v>11</v>
      </c>
      <c r="I77" s="3" t="s">
        <v>7</v>
      </c>
      <c r="J77" s="3" t="s">
        <v>73</v>
      </c>
      <c r="K77" s="3" t="s">
        <v>59</v>
      </c>
      <c r="L77" s="3" t="s">
        <v>74</v>
      </c>
      <c r="M77">
        <v>1</v>
      </c>
    </row>
    <row r="78" spans="1:13" x14ac:dyDescent="0.25">
      <c r="A78" s="1">
        <v>46133</v>
      </c>
      <c r="B78" s="1" t="str">
        <f ca="1">IF(Información1[[#This Row],[Fecha]]='Ajuste de fechas'!$A$2,"Día actual","Día anterior")</f>
        <v>Día actual</v>
      </c>
      <c r="C78" s="3" t="s">
        <v>57</v>
      </c>
      <c r="D78" t="s">
        <v>58</v>
      </c>
      <c r="E78" s="3" t="s">
        <v>365</v>
      </c>
      <c r="F78" s="3" t="s">
        <v>21</v>
      </c>
      <c r="G78" s="3" t="s">
        <v>113</v>
      </c>
      <c r="H78" s="3" t="s">
        <v>11</v>
      </c>
      <c r="I78" s="3" t="s">
        <v>7</v>
      </c>
      <c r="J78" s="3" t="s">
        <v>73</v>
      </c>
      <c r="K78" s="3" t="s">
        <v>59</v>
      </c>
      <c r="L78" s="3" t="s">
        <v>76</v>
      </c>
      <c r="M78">
        <v>1</v>
      </c>
    </row>
    <row r="79" spans="1:13" x14ac:dyDescent="0.25">
      <c r="A79" s="1">
        <v>46133</v>
      </c>
      <c r="B79" s="1" t="str">
        <f ca="1">IF(Información1[[#This Row],[Fecha]]='Ajuste de fechas'!$A$2,"Día actual","Día anterior")</f>
        <v>Día actual</v>
      </c>
      <c r="C79" s="3" t="s">
        <v>57</v>
      </c>
      <c r="D79" t="s">
        <v>58</v>
      </c>
      <c r="E79" s="3" t="s">
        <v>366</v>
      </c>
      <c r="F79" s="3" t="s">
        <v>21</v>
      </c>
      <c r="G79" s="3" t="s">
        <v>367</v>
      </c>
      <c r="H79" s="3" t="s">
        <v>11</v>
      </c>
      <c r="I79" s="3" t="s">
        <v>7</v>
      </c>
      <c r="J79" s="3" t="s">
        <v>73</v>
      </c>
      <c r="K79" s="3" t="s">
        <v>59</v>
      </c>
      <c r="L79" s="3" t="s">
        <v>74</v>
      </c>
      <c r="M79">
        <v>1</v>
      </c>
    </row>
    <row r="80" spans="1:13" x14ac:dyDescent="0.25">
      <c r="A80" s="1">
        <v>46133</v>
      </c>
      <c r="B80" s="1" t="str">
        <f ca="1">IF(Información1[[#This Row],[Fecha]]='Ajuste de fechas'!$A$2,"Día actual","Día anterior")</f>
        <v>Día actual</v>
      </c>
      <c r="C80" s="3" t="s">
        <v>57</v>
      </c>
      <c r="D80" t="s">
        <v>58</v>
      </c>
      <c r="E80" s="3" t="s">
        <v>368</v>
      </c>
      <c r="F80" s="3" t="s">
        <v>22</v>
      </c>
      <c r="G80" s="3" t="s">
        <v>62</v>
      </c>
      <c r="H80" s="3" t="s">
        <v>11</v>
      </c>
      <c r="I80" s="3" t="s">
        <v>7</v>
      </c>
      <c r="J80" s="3" t="s">
        <v>26</v>
      </c>
      <c r="K80" s="3" t="s">
        <v>59</v>
      </c>
      <c r="L80" s="3" t="s">
        <v>74</v>
      </c>
      <c r="M80">
        <v>1</v>
      </c>
    </row>
    <row r="81" spans="1:13" x14ac:dyDescent="0.25">
      <c r="A81" s="1">
        <v>46133</v>
      </c>
      <c r="B81" s="1" t="str">
        <f ca="1">IF(Información1[[#This Row],[Fecha]]='Ajuste de fechas'!$A$2,"Día actual","Día anterior")</f>
        <v>Día actual</v>
      </c>
      <c r="C81" s="3" t="s">
        <v>57</v>
      </c>
      <c r="D81" t="s">
        <v>58</v>
      </c>
      <c r="E81" s="3" t="s">
        <v>369</v>
      </c>
      <c r="F81" s="3" t="s">
        <v>19</v>
      </c>
      <c r="G81" s="3" t="s">
        <v>370</v>
      </c>
      <c r="H81" s="3" t="s">
        <v>11</v>
      </c>
      <c r="I81" s="3" t="s">
        <v>7</v>
      </c>
      <c r="J81" s="3" t="s">
        <v>77</v>
      </c>
      <c r="K81" s="3" t="s">
        <v>59</v>
      </c>
      <c r="L81" s="3" t="s">
        <v>74</v>
      </c>
      <c r="M81">
        <v>1</v>
      </c>
    </row>
    <row r="82" spans="1:13" x14ac:dyDescent="0.25">
      <c r="A82" s="1">
        <v>46133</v>
      </c>
      <c r="B82" s="1" t="str">
        <f ca="1">IF(Información1[[#This Row],[Fecha]]='Ajuste de fechas'!$A$2,"Día actual","Día anterior")</f>
        <v>Día actual</v>
      </c>
      <c r="C82" s="3" t="s">
        <v>57</v>
      </c>
      <c r="D82" t="s">
        <v>58</v>
      </c>
      <c r="E82" s="3" t="s">
        <v>93</v>
      </c>
      <c r="F82" s="3" t="s">
        <v>19</v>
      </c>
      <c r="G82" s="3" t="s">
        <v>46</v>
      </c>
      <c r="H82" s="3" t="s">
        <v>11</v>
      </c>
      <c r="I82" s="3" t="s">
        <v>7</v>
      </c>
      <c r="J82" s="3" t="s">
        <v>77</v>
      </c>
      <c r="K82" s="3" t="s">
        <v>59</v>
      </c>
      <c r="L82" s="3" t="s">
        <v>74</v>
      </c>
      <c r="M82">
        <v>1</v>
      </c>
    </row>
    <row r="83" spans="1:13" x14ac:dyDescent="0.25">
      <c r="A83" s="1">
        <v>46133</v>
      </c>
      <c r="B83" s="1" t="str">
        <f ca="1">IF(Información1[[#This Row],[Fecha]]='Ajuste de fechas'!$A$2,"Día actual","Día anterior")</f>
        <v>Día actual</v>
      </c>
      <c r="C83" s="3" t="s">
        <v>57</v>
      </c>
      <c r="D83" t="s">
        <v>58</v>
      </c>
      <c r="E83" s="3" t="s">
        <v>371</v>
      </c>
      <c r="F83" s="3" t="s">
        <v>19</v>
      </c>
      <c r="G83" s="3" t="s">
        <v>29</v>
      </c>
      <c r="H83" s="3" t="s">
        <v>11</v>
      </c>
      <c r="I83" s="3" t="s">
        <v>7</v>
      </c>
      <c r="J83" s="3" t="s">
        <v>77</v>
      </c>
      <c r="K83" s="3" t="s">
        <v>59</v>
      </c>
      <c r="L83" s="3" t="s">
        <v>74</v>
      </c>
      <c r="M83">
        <v>1</v>
      </c>
    </row>
    <row r="84" spans="1:13" x14ac:dyDescent="0.25">
      <c r="A84" s="1">
        <v>46133</v>
      </c>
      <c r="B84" s="1" t="str">
        <f ca="1">IF(Información1[[#This Row],[Fecha]]='Ajuste de fechas'!$A$2,"Día actual","Día anterior")</f>
        <v>Día actual</v>
      </c>
      <c r="C84" s="3" t="s">
        <v>57</v>
      </c>
      <c r="D84" t="s">
        <v>58</v>
      </c>
      <c r="E84" s="3" t="s">
        <v>372</v>
      </c>
      <c r="F84" s="3" t="s">
        <v>19</v>
      </c>
      <c r="G84" s="3" t="s">
        <v>269</v>
      </c>
      <c r="H84" s="3" t="s">
        <v>11</v>
      </c>
      <c r="I84" s="3" t="s">
        <v>7</v>
      </c>
      <c r="J84" s="3" t="s">
        <v>77</v>
      </c>
      <c r="K84" s="3" t="s">
        <v>59</v>
      </c>
      <c r="L84" s="3" t="s">
        <v>74</v>
      </c>
      <c r="M84">
        <v>1</v>
      </c>
    </row>
    <row r="85" spans="1:13" x14ac:dyDescent="0.25">
      <c r="A85" s="1">
        <v>46133</v>
      </c>
      <c r="B85" s="1" t="str">
        <f ca="1">IF(Información1[[#This Row],[Fecha]]='Ajuste de fechas'!$A$2,"Día actual","Día anterior")</f>
        <v>Día actual</v>
      </c>
      <c r="C85" s="3" t="s">
        <v>57</v>
      </c>
      <c r="D85" t="s">
        <v>58</v>
      </c>
      <c r="E85" s="3" t="s">
        <v>373</v>
      </c>
      <c r="F85" s="3" t="s">
        <v>19</v>
      </c>
      <c r="G85" s="3" t="s">
        <v>374</v>
      </c>
      <c r="H85" s="3" t="s">
        <v>11</v>
      </c>
      <c r="I85" s="3" t="s">
        <v>7</v>
      </c>
      <c r="J85" s="3" t="s">
        <v>77</v>
      </c>
      <c r="K85" s="3" t="s">
        <v>59</v>
      </c>
      <c r="L85" s="3" t="s">
        <v>74</v>
      </c>
      <c r="M85">
        <v>1</v>
      </c>
    </row>
    <row r="86" spans="1:13" x14ac:dyDescent="0.25">
      <c r="A86" s="1">
        <v>46133</v>
      </c>
      <c r="B86" s="1" t="str">
        <f ca="1">IF(Información1[[#This Row],[Fecha]]='Ajuste de fechas'!$A$2,"Día actual","Día anterior")</f>
        <v>Día actual</v>
      </c>
      <c r="C86" s="3" t="s">
        <v>57</v>
      </c>
      <c r="D86" t="s">
        <v>58</v>
      </c>
      <c r="E86" s="3" t="s">
        <v>375</v>
      </c>
      <c r="F86" s="3" t="s">
        <v>19</v>
      </c>
      <c r="G86" s="3" t="s">
        <v>374</v>
      </c>
      <c r="H86" s="3" t="s">
        <v>11</v>
      </c>
      <c r="I86" s="3" t="s">
        <v>7</v>
      </c>
      <c r="J86" s="3" t="s">
        <v>77</v>
      </c>
      <c r="K86" s="3" t="s">
        <v>59</v>
      </c>
      <c r="L86" s="3" t="s">
        <v>74</v>
      </c>
      <c r="M86">
        <v>1</v>
      </c>
    </row>
    <row r="87" spans="1:13" x14ac:dyDescent="0.25">
      <c r="A87" s="1">
        <v>46133</v>
      </c>
      <c r="B87" s="1" t="str">
        <f ca="1">IF(Información1[[#This Row],[Fecha]]='Ajuste de fechas'!$A$2,"Día actual","Día anterior")</f>
        <v>Día actual</v>
      </c>
      <c r="C87" s="3" t="s">
        <v>48</v>
      </c>
      <c r="D87" t="s">
        <v>49</v>
      </c>
      <c r="E87" s="3" t="s">
        <v>376</v>
      </c>
      <c r="F87" s="3" t="s">
        <v>56</v>
      </c>
      <c r="G87" s="3" t="s">
        <v>99</v>
      </c>
      <c r="H87" s="3" t="s">
        <v>45</v>
      </c>
      <c r="I87" s="3" t="s">
        <v>7</v>
      </c>
      <c r="J87" s="3" t="s">
        <v>73</v>
      </c>
      <c r="K87" s="3" t="s">
        <v>30</v>
      </c>
      <c r="L87" s="3" t="s">
        <v>76</v>
      </c>
      <c r="M87">
        <v>1</v>
      </c>
    </row>
    <row r="88" spans="1:13" x14ac:dyDescent="0.25">
      <c r="A88" s="1">
        <v>46133</v>
      </c>
      <c r="B88" s="1" t="str">
        <f ca="1">IF(Información1[[#This Row],[Fecha]]='Ajuste de fechas'!$A$2,"Día actual","Día anterior")</f>
        <v>Día actual</v>
      </c>
      <c r="C88" s="3" t="s">
        <v>48</v>
      </c>
      <c r="D88" t="s">
        <v>49</v>
      </c>
      <c r="E88" s="3" t="s">
        <v>377</v>
      </c>
      <c r="F88" s="3" t="s">
        <v>24</v>
      </c>
      <c r="G88" s="3" t="s">
        <v>265</v>
      </c>
      <c r="H88" s="3" t="s">
        <v>45</v>
      </c>
      <c r="I88" s="3" t="s">
        <v>12</v>
      </c>
      <c r="J88" s="3" t="s">
        <v>73</v>
      </c>
      <c r="K88" s="3" t="s">
        <v>30</v>
      </c>
      <c r="L88" s="3" t="s">
        <v>74</v>
      </c>
      <c r="M88">
        <v>1</v>
      </c>
    </row>
    <row r="89" spans="1:13" x14ac:dyDescent="0.25">
      <c r="A89" s="1">
        <v>46133</v>
      </c>
      <c r="B89" s="1" t="str">
        <f ca="1">IF(Información1[[#This Row],[Fecha]]='Ajuste de fechas'!$A$2,"Día actual","Día anterior")</f>
        <v>Día actual</v>
      </c>
      <c r="C89" s="3" t="s">
        <v>48</v>
      </c>
      <c r="D89" t="s">
        <v>49</v>
      </c>
      <c r="E89" s="3" t="s">
        <v>377</v>
      </c>
      <c r="F89" s="3" t="s">
        <v>25</v>
      </c>
      <c r="G89" s="3" t="s">
        <v>265</v>
      </c>
      <c r="H89" s="3" t="s">
        <v>45</v>
      </c>
      <c r="I89" s="3" t="s">
        <v>12</v>
      </c>
      <c r="J89" s="3" t="s">
        <v>73</v>
      </c>
      <c r="K89" s="3" t="s">
        <v>30</v>
      </c>
      <c r="L89" s="3" t="s">
        <v>74</v>
      </c>
      <c r="M89">
        <v>1</v>
      </c>
    </row>
    <row r="90" spans="1:13" x14ac:dyDescent="0.25">
      <c r="A90" s="1">
        <v>46133</v>
      </c>
      <c r="B90" s="1" t="str">
        <f ca="1">IF(Información1[[#This Row],[Fecha]]='Ajuste de fechas'!$A$2,"Día actual","Día anterior")</f>
        <v>Día actual</v>
      </c>
      <c r="C90" s="3" t="s">
        <v>48</v>
      </c>
      <c r="D90" t="s">
        <v>49</v>
      </c>
      <c r="E90" s="3" t="s">
        <v>378</v>
      </c>
      <c r="F90" s="3" t="s">
        <v>19</v>
      </c>
      <c r="G90" s="3" t="s">
        <v>106</v>
      </c>
      <c r="H90" s="3" t="s">
        <v>45</v>
      </c>
      <c r="I90" s="3" t="s">
        <v>7</v>
      </c>
      <c r="J90" s="3" t="s">
        <v>77</v>
      </c>
      <c r="K90" s="3" t="s">
        <v>30</v>
      </c>
      <c r="L90" s="3" t="s">
        <v>74</v>
      </c>
      <c r="M90">
        <v>1</v>
      </c>
    </row>
    <row r="91" spans="1:13" x14ac:dyDescent="0.25">
      <c r="A91" s="1">
        <v>46133</v>
      </c>
      <c r="B91" s="1" t="str">
        <f ca="1">IF(Información1[[#This Row],[Fecha]]='Ajuste de fechas'!$A$2,"Día actual","Día anterior")</f>
        <v>Día actual</v>
      </c>
      <c r="C91" s="3" t="s">
        <v>48</v>
      </c>
      <c r="D91" t="s">
        <v>49</v>
      </c>
      <c r="E91" s="3" t="s">
        <v>365</v>
      </c>
      <c r="F91" s="3" t="s">
        <v>21</v>
      </c>
      <c r="G91" s="3" t="s">
        <v>113</v>
      </c>
      <c r="H91" s="3" t="s">
        <v>45</v>
      </c>
      <c r="I91" s="3" t="s">
        <v>7</v>
      </c>
      <c r="J91" s="3" t="s">
        <v>73</v>
      </c>
      <c r="K91" s="3" t="s">
        <v>30</v>
      </c>
      <c r="L91" s="3" t="s">
        <v>76</v>
      </c>
      <c r="M91">
        <v>1</v>
      </c>
    </row>
    <row r="92" spans="1:13" x14ac:dyDescent="0.25">
      <c r="A92" s="1">
        <v>46133</v>
      </c>
      <c r="B92" s="1" t="str">
        <f ca="1">IF(Información1[[#This Row],[Fecha]]='Ajuste de fechas'!$A$2,"Día actual","Día anterior")</f>
        <v>Día actual</v>
      </c>
      <c r="C92" s="3" t="s">
        <v>48</v>
      </c>
      <c r="D92" t="s">
        <v>49</v>
      </c>
      <c r="E92" s="3" t="s">
        <v>379</v>
      </c>
      <c r="F92" s="3" t="s">
        <v>22</v>
      </c>
      <c r="G92" s="3" t="s">
        <v>380</v>
      </c>
      <c r="H92" s="3" t="s">
        <v>45</v>
      </c>
      <c r="I92" s="3" t="s">
        <v>7</v>
      </c>
      <c r="J92" s="3" t="s">
        <v>26</v>
      </c>
      <c r="K92" s="3" t="s">
        <v>30</v>
      </c>
      <c r="L92" s="3" t="s">
        <v>74</v>
      </c>
      <c r="M92">
        <v>1</v>
      </c>
    </row>
    <row r="93" spans="1:13" x14ac:dyDescent="0.25">
      <c r="A93" s="1">
        <v>46133</v>
      </c>
      <c r="B93" s="1" t="str">
        <f ca="1">IF(Información1[[#This Row],[Fecha]]='Ajuste de fechas'!$A$2,"Día actual","Día anterior")</f>
        <v>Día actual</v>
      </c>
      <c r="C93" s="3" t="s">
        <v>48</v>
      </c>
      <c r="D93" t="s">
        <v>49</v>
      </c>
      <c r="E93" s="3" t="s">
        <v>381</v>
      </c>
      <c r="F93" s="3" t="s">
        <v>19</v>
      </c>
      <c r="G93" s="3" t="s">
        <v>95</v>
      </c>
      <c r="H93" s="3" t="s">
        <v>45</v>
      </c>
      <c r="I93" s="3" t="s">
        <v>7</v>
      </c>
      <c r="J93" s="3" t="s">
        <v>77</v>
      </c>
      <c r="K93" s="3" t="s">
        <v>382</v>
      </c>
      <c r="L93" s="3" t="s">
        <v>74</v>
      </c>
      <c r="M93">
        <v>1</v>
      </c>
    </row>
    <row r="94" spans="1:13" x14ac:dyDescent="0.25">
      <c r="A94" s="1">
        <v>46133</v>
      </c>
      <c r="B94" s="1" t="str">
        <f ca="1">IF(Información1[[#This Row],[Fecha]]='Ajuste de fechas'!$A$2,"Día actual","Día anterior")</f>
        <v>Día actual</v>
      </c>
      <c r="C94" s="3" t="s">
        <v>48</v>
      </c>
      <c r="D94" t="s">
        <v>49</v>
      </c>
      <c r="E94" s="3" t="s">
        <v>383</v>
      </c>
      <c r="F94" s="3" t="s">
        <v>19</v>
      </c>
      <c r="G94" s="3" t="s">
        <v>143</v>
      </c>
      <c r="H94" s="3" t="s">
        <v>45</v>
      </c>
      <c r="I94" s="3" t="s">
        <v>7</v>
      </c>
      <c r="J94" s="3" t="s">
        <v>77</v>
      </c>
      <c r="K94" s="3" t="s">
        <v>382</v>
      </c>
      <c r="L94" s="3" t="s">
        <v>74</v>
      </c>
      <c r="M94">
        <v>1</v>
      </c>
    </row>
    <row r="95" spans="1:13" x14ac:dyDescent="0.25">
      <c r="A95" s="1">
        <v>46133</v>
      </c>
      <c r="B95" s="1" t="str">
        <f ca="1">IF(Información1[[#This Row],[Fecha]]='Ajuste de fechas'!$A$2,"Día actual","Día anterior")</f>
        <v>Día actual</v>
      </c>
      <c r="C95" s="3" t="s">
        <v>48</v>
      </c>
      <c r="D95" t="s">
        <v>49</v>
      </c>
      <c r="E95" s="3" t="s">
        <v>384</v>
      </c>
      <c r="F95" s="3" t="s">
        <v>19</v>
      </c>
      <c r="G95" s="3" t="s">
        <v>385</v>
      </c>
      <c r="H95" s="3" t="s">
        <v>45</v>
      </c>
      <c r="I95" s="3" t="s">
        <v>7</v>
      </c>
      <c r="J95" s="3" t="s">
        <v>77</v>
      </c>
      <c r="K95" s="3" t="s">
        <v>382</v>
      </c>
      <c r="L95" s="3" t="s">
        <v>74</v>
      </c>
      <c r="M95">
        <v>1</v>
      </c>
    </row>
    <row r="96" spans="1:13" x14ac:dyDescent="0.25">
      <c r="A96" s="1">
        <v>46133</v>
      </c>
      <c r="B96" s="1" t="str">
        <f ca="1">IF(Información1[[#This Row],[Fecha]]='Ajuste de fechas'!$A$2,"Día actual","Día anterior")</f>
        <v>Día actual</v>
      </c>
      <c r="C96" s="3" t="s">
        <v>48</v>
      </c>
      <c r="D96" t="s">
        <v>49</v>
      </c>
      <c r="E96" s="3" t="s">
        <v>386</v>
      </c>
      <c r="F96" s="3" t="s">
        <v>47</v>
      </c>
      <c r="G96" s="3" t="s">
        <v>387</v>
      </c>
      <c r="H96" s="3" t="s">
        <v>45</v>
      </c>
      <c r="I96" s="3" t="s">
        <v>7</v>
      </c>
      <c r="J96" s="3" t="s">
        <v>73</v>
      </c>
      <c r="K96" s="3" t="s">
        <v>30</v>
      </c>
      <c r="L96" s="3" t="s">
        <v>74</v>
      </c>
      <c r="M96">
        <v>1</v>
      </c>
    </row>
    <row r="97" spans="1:13" x14ac:dyDescent="0.25">
      <c r="A97" s="1">
        <v>46133</v>
      </c>
      <c r="B97" s="1" t="str">
        <f ca="1">IF(Información1[[#This Row],[Fecha]]='Ajuste de fechas'!$A$2,"Día actual","Día anterior")</f>
        <v>Día actual</v>
      </c>
      <c r="C97" s="3" t="s">
        <v>48</v>
      </c>
      <c r="D97" t="s">
        <v>49</v>
      </c>
      <c r="E97" s="3" t="s">
        <v>388</v>
      </c>
      <c r="F97" s="3" t="s">
        <v>15</v>
      </c>
      <c r="G97" s="3" t="s">
        <v>118</v>
      </c>
      <c r="H97" s="3" t="s">
        <v>45</v>
      </c>
      <c r="I97" s="3" t="s">
        <v>7</v>
      </c>
      <c r="J97" s="3" t="s">
        <v>73</v>
      </c>
      <c r="K97" s="3" t="s">
        <v>30</v>
      </c>
      <c r="L97" s="3" t="s">
        <v>74</v>
      </c>
      <c r="M97">
        <v>1</v>
      </c>
    </row>
    <row r="98" spans="1:13" x14ac:dyDescent="0.25">
      <c r="A98" s="1">
        <v>46133</v>
      </c>
      <c r="B98" s="1" t="str">
        <f ca="1">IF(Información1[[#This Row],[Fecha]]='Ajuste de fechas'!$A$2,"Día actual","Día anterior")</f>
        <v>Día actual</v>
      </c>
      <c r="C98" s="3" t="s">
        <v>48</v>
      </c>
      <c r="D98" t="s">
        <v>49</v>
      </c>
      <c r="E98" s="3" t="s">
        <v>353</v>
      </c>
      <c r="F98" s="3" t="s">
        <v>28</v>
      </c>
      <c r="G98" s="3" t="s">
        <v>249</v>
      </c>
      <c r="H98" s="3" t="s">
        <v>45</v>
      </c>
      <c r="I98" s="3" t="s">
        <v>7</v>
      </c>
      <c r="J98" s="3" t="s">
        <v>73</v>
      </c>
      <c r="K98" s="3" t="s">
        <v>30</v>
      </c>
      <c r="L98" s="3" t="s">
        <v>76</v>
      </c>
      <c r="M98">
        <v>1</v>
      </c>
    </row>
    <row r="99" spans="1:13" x14ac:dyDescent="0.25">
      <c r="A99" s="1">
        <v>46132</v>
      </c>
      <c r="B99" s="1" t="str">
        <f ca="1">IF(Información1[[#This Row],[Fecha]]='Ajuste de fechas'!$A$2,"Día actual","Día anterior")</f>
        <v>Día anterior</v>
      </c>
      <c r="C99" s="3" t="s">
        <v>51</v>
      </c>
      <c r="D99" t="s">
        <v>54</v>
      </c>
      <c r="E99" s="3" t="s">
        <v>119</v>
      </c>
      <c r="F99" s="3" t="s">
        <v>19</v>
      </c>
      <c r="G99" s="3" t="s">
        <v>120</v>
      </c>
      <c r="H99" s="3" t="s">
        <v>11</v>
      </c>
      <c r="I99" s="3" t="s">
        <v>27</v>
      </c>
      <c r="J99" s="3" t="s">
        <v>77</v>
      </c>
      <c r="K99" s="3" t="s">
        <v>52</v>
      </c>
      <c r="L99" s="3" t="s">
        <v>75</v>
      </c>
      <c r="M99">
        <v>1</v>
      </c>
    </row>
    <row r="100" spans="1:13" x14ac:dyDescent="0.25">
      <c r="A100" s="1">
        <v>46132</v>
      </c>
      <c r="B100" s="1" t="str">
        <f ca="1">IF(Información1[[#This Row],[Fecha]]='Ajuste de fechas'!$A$2,"Día actual","Día anterior")</f>
        <v>Día anterior</v>
      </c>
      <c r="C100" s="3" t="s">
        <v>51</v>
      </c>
      <c r="D100" t="s">
        <v>54</v>
      </c>
      <c r="E100" s="3" t="s">
        <v>121</v>
      </c>
      <c r="F100" s="3" t="s">
        <v>19</v>
      </c>
      <c r="G100" s="3" t="s">
        <v>122</v>
      </c>
      <c r="H100" s="3" t="s">
        <v>11</v>
      </c>
      <c r="I100" s="3" t="s">
        <v>7</v>
      </c>
      <c r="J100" s="3" t="s">
        <v>77</v>
      </c>
      <c r="K100" s="3" t="s">
        <v>52</v>
      </c>
      <c r="L100" s="3" t="s">
        <v>74</v>
      </c>
      <c r="M100">
        <v>1</v>
      </c>
    </row>
    <row r="101" spans="1:13" x14ac:dyDescent="0.25">
      <c r="A101" s="1">
        <v>46132</v>
      </c>
      <c r="B101" s="1" t="str">
        <f ca="1">IF(Información1[[#This Row],[Fecha]]='Ajuste de fechas'!$A$2,"Día actual","Día anterior")</f>
        <v>Día anterior</v>
      </c>
      <c r="C101" s="3" t="s">
        <v>51</v>
      </c>
      <c r="D101" t="s">
        <v>54</v>
      </c>
      <c r="E101" s="3" t="s">
        <v>123</v>
      </c>
      <c r="F101" s="3" t="s">
        <v>124</v>
      </c>
      <c r="G101" s="3" t="s">
        <v>125</v>
      </c>
      <c r="H101" s="3" t="s">
        <v>11</v>
      </c>
      <c r="I101" s="3" t="s">
        <v>7</v>
      </c>
      <c r="J101" s="3" t="s">
        <v>73</v>
      </c>
      <c r="K101" s="3" t="s">
        <v>52</v>
      </c>
      <c r="L101" s="3" t="s">
        <v>75</v>
      </c>
      <c r="M101">
        <v>1</v>
      </c>
    </row>
    <row r="102" spans="1:13" x14ac:dyDescent="0.25">
      <c r="A102" s="1">
        <v>46132</v>
      </c>
      <c r="B102" s="1" t="str">
        <f ca="1">IF(Información1[[#This Row],[Fecha]]='Ajuste de fechas'!$A$2,"Día actual","Día anterior")</f>
        <v>Día anterior</v>
      </c>
      <c r="C102" s="3" t="s">
        <v>31</v>
      </c>
      <c r="D102" t="s">
        <v>33</v>
      </c>
      <c r="E102" s="3" t="s">
        <v>126</v>
      </c>
      <c r="F102" s="3" t="s">
        <v>19</v>
      </c>
      <c r="G102" s="3" t="s">
        <v>46</v>
      </c>
      <c r="H102" s="3" t="s">
        <v>11</v>
      </c>
      <c r="I102" s="3" t="s">
        <v>7</v>
      </c>
      <c r="J102" s="3" t="s">
        <v>77</v>
      </c>
      <c r="K102" s="3" t="s">
        <v>32</v>
      </c>
      <c r="L102" s="3" t="s">
        <v>74</v>
      </c>
      <c r="M102">
        <v>1</v>
      </c>
    </row>
    <row r="103" spans="1:13" x14ac:dyDescent="0.25">
      <c r="A103" s="1">
        <v>46132</v>
      </c>
      <c r="B103" s="1" t="str">
        <f ca="1">IF(Información1[[#This Row],[Fecha]]='Ajuste de fechas'!$A$2,"Día actual","Día anterior")</f>
        <v>Día anterior</v>
      </c>
      <c r="C103" s="3" t="s">
        <v>31</v>
      </c>
      <c r="D103" t="s">
        <v>33</v>
      </c>
      <c r="E103" s="3" t="s">
        <v>127</v>
      </c>
      <c r="F103" s="3" t="s">
        <v>56</v>
      </c>
      <c r="G103" s="3" t="s">
        <v>128</v>
      </c>
      <c r="H103" s="3" t="s">
        <v>11</v>
      </c>
      <c r="I103" s="3" t="s">
        <v>7</v>
      </c>
      <c r="J103" s="3" t="s">
        <v>73</v>
      </c>
      <c r="K103" s="3" t="s">
        <v>32</v>
      </c>
      <c r="L103" s="3" t="s">
        <v>76</v>
      </c>
      <c r="M103">
        <v>1</v>
      </c>
    </row>
    <row r="104" spans="1:13" x14ac:dyDescent="0.25">
      <c r="A104" s="1">
        <v>46132</v>
      </c>
      <c r="B104" s="1" t="str">
        <f ca="1">IF(Información1[[#This Row],[Fecha]]='Ajuste de fechas'!$A$2,"Día actual","Día anterior")</f>
        <v>Día anterior</v>
      </c>
      <c r="C104" s="3" t="s">
        <v>31</v>
      </c>
      <c r="D104" t="s">
        <v>33</v>
      </c>
      <c r="E104" s="3" t="s">
        <v>129</v>
      </c>
      <c r="F104" s="3" t="s">
        <v>19</v>
      </c>
      <c r="G104" s="3" t="s">
        <v>115</v>
      </c>
      <c r="H104" s="3" t="s">
        <v>11</v>
      </c>
      <c r="I104" s="3" t="s">
        <v>7</v>
      </c>
      <c r="J104" s="3" t="s">
        <v>77</v>
      </c>
      <c r="K104" s="3" t="s">
        <v>32</v>
      </c>
      <c r="L104" s="3" t="s">
        <v>74</v>
      </c>
      <c r="M104">
        <v>1</v>
      </c>
    </row>
    <row r="105" spans="1:13" x14ac:dyDescent="0.25">
      <c r="A105" s="1">
        <v>46132</v>
      </c>
      <c r="B105" s="1" t="str">
        <f ca="1">IF(Información1[[#This Row],[Fecha]]='Ajuste de fechas'!$A$2,"Día actual","Día anterior")</f>
        <v>Día anterior</v>
      </c>
      <c r="C105" s="3" t="s">
        <v>31</v>
      </c>
      <c r="D105" t="s">
        <v>33</v>
      </c>
      <c r="E105" s="3" t="s">
        <v>100</v>
      </c>
      <c r="F105" s="3" t="s">
        <v>60</v>
      </c>
      <c r="G105" s="3" t="s">
        <v>101</v>
      </c>
      <c r="H105" s="3" t="s">
        <v>11</v>
      </c>
      <c r="I105" s="3" t="s">
        <v>7</v>
      </c>
      <c r="J105" s="3" t="s">
        <v>73</v>
      </c>
      <c r="K105" s="3" t="s">
        <v>32</v>
      </c>
      <c r="L105" s="3" t="s">
        <v>76</v>
      </c>
      <c r="M105">
        <v>1</v>
      </c>
    </row>
    <row r="106" spans="1:13" x14ac:dyDescent="0.25">
      <c r="A106" s="1">
        <v>46132</v>
      </c>
      <c r="B106" s="1" t="str">
        <f ca="1">IF(Información1[[#This Row],[Fecha]]='Ajuste de fechas'!$A$2,"Día actual","Día anterior")</f>
        <v>Día anterior</v>
      </c>
      <c r="C106" s="3" t="s">
        <v>31</v>
      </c>
      <c r="D106" t="s">
        <v>33</v>
      </c>
      <c r="E106" s="3" t="s">
        <v>130</v>
      </c>
      <c r="F106" s="3" t="s">
        <v>21</v>
      </c>
      <c r="G106" s="3" t="s">
        <v>131</v>
      </c>
      <c r="H106" s="3" t="s">
        <v>11</v>
      </c>
      <c r="I106" s="3" t="s">
        <v>7</v>
      </c>
      <c r="J106" s="3" t="s">
        <v>73</v>
      </c>
      <c r="K106" s="3" t="s">
        <v>32</v>
      </c>
      <c r="L106" s="3" t="s">
        <v>76</v>
      </c>
      <c r="M106">
        <v>1</v>
      </c>
    </row>
    <row r="107" spans="1:13" x14ac:dyDescent="0.25">
      <c r="A107" s="1">
        <v>46132</v>
      </c>
      <c r="B107" s="1" t="str">
        <f ca="1">IF(Información1[[#This Row],[Fecha]]='Ajuste de fechas'!$A$2,"Día actual","Día anterior")</f>
        <v>Día anterior</v>
      </c>
      <c r="C107" s="3" t="s">
        <v>31</v>
      </c>
      <c r="D107" t="s">
        <v>33</v>
      </c>
      <c r="E107" s="3" t="s">
        <v>132</v>
      </c>
      <c r="F107" s="3" t="s">
        <v>24</v>
      </c>
      <c r="G107" s="3" t="s">
        <v>133</v>
      </c>
      <c r="H107" s="3" t="s">
        <v>11</v>
      </c>
      <c r="I107" s="3" t="s">
        <v>7</v>
      </c>
      <c r="J107" s="3" t="s">
        <v>73</v>
      </c>
      <c r="K107" s="3" t="s">
        <v>32</v>
      </c>
      <c r="L107" s="3" t="s">
        <v>76</v>
      </c>
      <c r="M107">
        <v>1</v>
      </c>
    </row>
    <row r="108" spans="1:13" x14ac:dyDescent="0.25">
      <c r="A108" s="1">
        <v>46132</v>
      </c>
      <c r="B108" s="1" t="str">
        <f ca="1">IF(Información1[[#This Row],[Fecha]]='Ajuste de fechas'!$A$2,"Día actual","Día anterior")</f>
        <v>Día anterior</v>
      </c>
      <c r="C108" s="3" t="s">
        <v>31</v>
      </c>
      <c r="D108" t="s">
        <v>33</v>
      </c>
      <c r="E108" s="3" t="s">
        <v>134</v>
      </c>
      <c r="F108" s="3" t="s">
        <v>50</v>
      </c>
      <c r="G108" s="3" t="s">
        <v>135</v>
      </c>
      <c r="H108" s="3" t="s">
        <v>11</v>
      </c>
      <c r="I108" s="3" t="s">
        <v>7</v>
      </c>
      <c r="J108" s="3" t="s">
        <v>73</v>
      </c>
      <c r="K108" s="3" t="s">
        <v>32</v>
      </c>
      <c r="L108" s="3" t="s">
        <v>76</v>
      </c>
      <c r="M108">
        <v>1</v>
      </c>
    </row>
    <row r="109" spans="1:13" x14ac:dyDescent="0.25">
      <c r="A109" s="1">
        <v>46132</v>
      </c>
      <c r="B109" s="1" t="str">
        <f ca="1">IF(Información1[[#This Row],[Fecha]]='Ajuste de fechas'!$A$2,"Día actual","Día anterior")</f>
        <v>Día anterior</v>
      </c>
      <c r="C109" s="3" t="s">
        <v>31</v>
      </c>
      <c r="D109" t="s">
        <v>33</v>
      </c>
      <c r="E109" s="3" t="s">
        <v>136</v>
      </c>
      <c r="F109" s="3" t="s">
        <v>47</v>
      </c>
      <c r="G109" s="3" t="s">
        <v>137</v>
      </c>
      <c r="H109" s="3" t="s">
        <v>11</v>
      </c>
      <c r="I109" s="3" t="s">
        <v>7</v>
      </c>
      <c r="J109" s="3" t="s">
        <v>73</v>
      </c>
      <c r="K109" s="3" t="s">
        <v>32</v>
      </c>
      <c r="L109" s="3" t="s">
        <v>76</v>
      </c>
      <c r="M109">
        <v>1</v>
      </c>
    </row>
    <row r="110" spans="1:13" x14ac:dyDescent="0.25">
      <c r="A110" s="1">
        <v>46132</v>
      </c>
      <c r="B110" s="1" t="str">
        <f ca="1">IF(Información1[[#This Row],[Fecha]]='Ajuste de fechas'!$A$2,"Día actual","Día anterior")</f>
        <v>Día anterior</v>
      </c>
      <c r="C110" s="3" t="s">
        <v>31</v>
      </c>
      <c r="D110" t="s">
        <v>33</v>
      </c>
      <c r="E110" s="3" t="s">
        <v>138</v>
      </c>
      <c r="F110" s="3" t="s">
        <v>24</v>
      </c>
      <c r="G110" s="3" t="s">
        <v>139</v>
      </c>
      <c r="H110" s="3" t="s">
        <v>11</v>
      </c>
      <c r="I110" s="3" t="s">
        <v>7</v>
      </c>
      <c r="J110" s="3" t="s">
        <v>73</v>
      </c>
      <c r="K110" s="3" t="s">
        <v>32</v>
      </c>
      <c r="L110" s="3" t="s">
        <v>76</v>
      </c>
      <c r="M110">
        <v>1</v>
      </c>
    </row>
    <row r="111" spans="1:13" x14ac:dyDescent="0.25">
      <c r="A111" s="1">
        <v>46132</v>
      </c>
      <c r="B111" s="1" t="str">
        <f ca="1">IF(Información1[[#This Row],[Fecha]]='Ajuste de fechas'!$A$2,"Día actual","Día anterior")</f>
        <v>Día anterior</v>
      </c>
      <c r="C111" s="3" t="s">
        <v>31</v>
      </c>
      <c r="D111" t="s">
        <v>33</v>
      </c>
      <c r="E111" s="3" t="s">
        <v>140</v>
      </c>
      <c r="F111" s="3" t="s">
        <v>141</v>
      </c>
      <c r="G111" s="3" t="s">
        <v>92</v>
      </c>
      <c r="H111" s="3" t="s">
        <v>11</v>
      </c>
      <c r="I111" s="3" t="s">
        <v>7</v>
      </c>
      <c r="J111" s="3" t="s">
        <v>73</v>
      </c>
      <c r="K111" s="3" t="s">
        <v>32</v>
      </c>
      <c r="L111" s="3" t="s">
        <v>76</v>
      </c>
      <c r="M111">
        <v>1</v>
      </c>
    </row>
    <row r="112" spans="1:13" x14ac:dyDescent="0.25">
      <c r="A112" s="1">
        <v>46132</v>
      </c>
      <c r="B112" s="1" t="str">
        <f ca="1">IF(Información1[[#This Row],[Fecha]]='Ajuste de fechas'!$A$2,"Día actual","Día anterior")</f>
        <v>Día anterior</v>
      </c>
      <c r="C112" s="3" t="s">
        <v>31</v>
      </c>
      <c r="D112" t="s">
        <v>33</v>
      </c>
      <c r="E112" s="3" t="s">
        <v>142</v>
      </c>
      <c r="F112" s="3" t="s">
        <v>141</v>
      </c>
      <c r="G112" s="3" t="s">
        <v>143</v>
      </c>
      <c r="H112" s="3" t="s">
        <v>11</v>
      </c>
      <c r="I112" s="3" t="s">
        <v>7</v>
      </c>
      <c r="J112" s="3" t="s">
        <v>73</v>
      </c>
      <c r="K112" s="3" t="s">
        <v>32</v>
      </c>
      <c r="L112" s="3" t="s">
        <v>76</v>
      </c>
      <c r="M112">
        <v>1</v>
      </c>
    </row>
    <row r="113" spans="1:13" x14ac:dyDescent="0.25">
      <c r="A113" s="1">
        <v>46132</v>
      </c>
      <c r="B113" s="1" t="str">
        <f ca="1">IF(Información1[[#This Row],[Fecha]]='Ajuste de fechas'!$A$2,"Día actual","Día anterior")</f>
        <v>Día anterior</v>
      </c>
      <c r="C113" s="3" t="s">
        <v>51</v>
      </c>
      <c r="D113" t="s">
        <v>53</v>
      </c>
      <c r="E113" s="3" t="s">
        <v>144</v>
      </c>
      <c r="F113" s="3" t="s">
        <v>19</v>
      </c>
      <c r="G113" s="3" t="s">
        <v>145</v>
      </c>
      <c r="H113" s="3" t="s">
        <v>11</v>
      </c>
      <c r="I113" s="3" t="s">
        <v>7</v>
      </c>
      <c r="J113" s="3" t="s">
        <v>77</v>
      </c>
      <c r="K113" s="3" t="s">
        <v>52</v>
      </c>
      <c r="L113" s="3" t="s">
        <v>74</v>
      </c>
      <c r="M113">
        <v>1</v>
      </c>
    </row>
    <row r="114" spans="1:13" x14ac:dyDescent="0.25">
      <c r="A114" s="1">
        <v>46132</v>
      </c>
      <c r="B114" s="1" t="str">
        <f ca="1">IF(Información1[[#This Row],[Fecha]]='Ajuste de fechas'!$A$2,"Día actual","Día anterior")</f>
        <v>Día anterior</v>
      </c>
      <c r="C114" s="3" t="s">
        <v>51</v>
      </c>
      <c r="D114" t="s">
        <v>53</v>
      </c>
      <c r="E114" s="3" t="s">
        <v>146</v>
      </c>
      <c r="F114" s="3" t="s">
        <v>28</v>
      </c>
      <c r="G114" s="3" t="s">
        <v>125</v>
      </c>
      <c r="H114" s="3" t="s">
        <v>11</v>
      </c>
      <c r="I114" s="3" t="s">
        <v>7</v>
      </c>
      <c r="J114" s="3" t="s">
        <v>73</v>
      </c>
      <c r="K114" s="3" t="s">
        <v>43</v>
      </c>
      <c r="L114" s="3" t="s">
        <v>74</v>
      </c>
      <c r="M114">
        <v>1</v>
      </c>
    </row>
    <row r="115" spans="1:13" x14ac:dyDescent="0.25">
      <c r="A115" s="1">
        <v>46132</v>
      </c>
      <c r="B115" s="1" t="str">
        <f ca="1">IF(Información1[[#This Row],[Fecha]]='Ajuste de fechas'!$A$2,"Día actual","Día anterior")</f>
        <v>Día anterior</v>
      </c>
      <c r="C115" s="3" t="s">
        <v>51</v>
      </c>
      <c r="D115" t="s">
        <v>53</v>
      </c>
      <c r="E115" s="3" t="s">
        <v>147</v>
      </c>
      <c r="F115" s="3" t="s">
        <v>60</v>
      </c>
      <c r="G115" s="3" t="s">
        <v>125</v>
      </c>
      <c r="H115" s="3" t="s">
        <v>11</v>
      </c>
      <c r="I115" s="3" t="s">
        <v>7</v>
      </c>
      <c r="J115" s="3" t="s">
        <v>73</v>
      </c>
      <c r="K115" s="3" t="s">
        <v>43</v>
      </c>
      <c r="L115" s="3" t="s">
        <v>74</v>
      </c>
      <c r="M115">
        <v>1</v>
      </c>
    </row>
    <row r="116" spans="1:13" x14ac:dyDescent="0.25">
      <c r="A116" s="1">
        <v>46132</v>
      </c>
      <c r="B116" s="1" t="str">
        <f ca="1">IF(Información1[[#This Row],[Fecha]]='Ajuste de fechas'!$A$2,"Día actual","Día anterior")</f>
        <v>Día anterior</v>
      </c>
      <c r="C116" s="3" t="s">
        <v>51</v>
      </c>
      <c r="D116" t="s">
        <v>53</v>
      </c>
      <c r="E116" s="3" t="s">
        <v>148</v>
      </c>
      <c r="F116" s="3" t="s">
        <v>15</v>
      </c>
      <c r="G116" s="3" t="s">
        <v>125</v>
      </c>
      <c r="H116" s="3" t="s">
        <v>11</v>
      </c>
      <c r="I116" s="3" t="s">
        <v>7</v>
      </c>
      <c r="J116" s="3" t="s">
        <v>73</v>
      </c>
      <c r="K116" s="3" t="s">
        <v>43</v>
      </c>
      <c r="L116" s="3" t="s">
        <v>74</v>
      </c>
      <c r="M116">
        <v>1</v>
      </c>
    </row>
    <row r="117" spans="1:13" x14ac:dyDescent="0.25">
      <c r="A117" s="1">
        <v>46132</v>
      </c>
      <c r="B117" s="1" t="str">
        <f ca="1">IF(Información1[[#This Row],[Fecha]]='Ajuste de fechas'!$A$2,"Día actual","Día anterior")</f>
        <v>Día anterior</v>
      </c>
      <c r="C117" s="3" t="s">
        <v>51</v>
      </c>
      <c r="D117" t="s">
        <v>53</v>
      </c>
      <c r="E117" s="3" t="s">
        <v>149</v>
      </c>
      <c r="F117" s="3" t="s">
        <v>141</v>
      </c>
      <c r="G117" s="3" t="s">
        <v>125</v>
      </c>
      <c r="H117" s="3" t="s">
        <v>11</v>
      </c>
      <c r="I117" s="3" t="s">
        <v>7</v>
      </c>
      <c r="J117" s="3" t="s">
        <v>73</v>
      </c>
      <c r="K117" s="3" t="s">
        <v>43</v>
      </c>
      <c r="L117" s="3" t="s">
        <v>74</v>
      </c>
      <c r="M117">
        <v>1</v>
      </c>
    </row>
    <row r="118" spans="1:13" x14ac:dyDescent="0.25">
      <c r="A118" s="1">
        <v>46132</v>
      </c>
      <c r="B118" s="1" t="str">
        <f ca="1">IF(Información1[[#This Row],[Fecha]]='Ajuste de fechas'!$A$2,"Día actual","Día anterior")</f>
        <v>Día anterior</v>
      </c>
      <c r="C118" s="3" t="s">
        <v>51</v>
      </c>
      <c r="D118" t="s">
        <v>53</v>
      </c>
      <c r="E118" s="3" t="s">
        <v>150</v>
      </c>
      <c r="F118" s="3" t="s">
        <v>47</v>
      </c>
      <c r="G118" s="3" t="s">
        <v>89</v>
      </c>
      <c r="H118" s="3" t="s">
        <v>11</v>
      </c>
      <c r="I118" s="3" t="s">
        <v>7</v>
      </c>
      <c r="J118" s="3" t="s">
        <v>73</v>
      </c>
      <c r="K118" s="3" t="s">
        <v>52</v>
      </c>
      <c r="L118" s="3" t="s">
        <v>74</v>
      </c>
      <c r="M118">
        <v>1</v>
      </c>
    </row>
    <row r="119" spans="1:13" x14ac:dyDescent="0.25">
      <c r="A119" s="1">
        <v>46132</v>
      </c>
      <c r="B119" s="1" t="str">
        <f ca="1">IF(Información1[[#This Row],[Fecha]]='Ajuste de fechas'!$A$2,"Día actual","Día anterior")</f>
        <v>Día anterior</v>
      </c>
      <c r="C119" s="3" t="s">
        <v>51</v>
      </c>
      <c r="D119" t="s">
        <v>53</v>
      </c>
      <c r="E119" s="3" t="s">
        <v>151</v>
      </c>
      <c r="F119" s="3" t="s">
        <v>15</v>
      </c>
      <c r="G119" s="3" t="s">
        <v>152</v>
      </c>
      <c r="H119" s="3" t="s">
        <v>11</v>
      </c>
      <c r="I119" s="3" t="s">
        <v>7</v>
      </c>
      <c r="J119" s="3" t="s">
        <v>73</v>
      </c>
      <c r="K119" s="3" t="s">
        <v>52</v>
      </c>
      <c r="L119" s="3" t="s">
        <v>74</v>
      </c>
      <c r="M119">
        <v>1</v>
      </c>
    </row>
    <row r="120" spans="1:13" x14ac:dyDescent="0.25">
      <c r="A120" s="1">
        <v>46132</v>
      </c>
      <c r="B120" s="1" t="str">
        <f ca="1">IF(Información1[[#This Row],[Fecha]]='Ajuste de fechas'!$A$2,"Día actual","Día anterior")</f>
        <v>Día anterior</v>
      </c>
      <c r="C120" s="3" t="s">
        <v>51</v>
      </c>
      <c r="D120" t="s">
        <v>53</v>
      </c>
      <c r="E120" s="3" t="s">
        <v>153</v>
      </c>
      <c r="F120" s="3" t="s">
        <v>47</v>
      </c>
      <c r="G120" s="3" t="s">
        <v>152</v>
      </c>
      <c r="H120" s="3" t="s">
        <v>11</v>
      </c>
      <c r="I120" s="3" t="s">
        <v>7</v>
      </c>
      <c r="J120" s="3" t="s">
        <v>73</v>
      </c>
      <c r="K120" s="3" t="s">
        <v>52</v>
      </c>
      <c r="L120" s="3" t="s">
        <v>74</v>
      </c>
      <c r="M120">
        <v>1</v>
      </c>
    </row>
    <row r="121" spans="1:13" x14ac:dyDescent="0.25">
      <c r="A121" s="1">
        <v>46132</v>
      </c>
      <c r="B121" s="1" t="str">
        <f ca="1">IF(Información1[[#This Row],[Fecha]]='Ajuste de fechas'!$A$2,"Día actual","Día anterior")</f>
        <v>Día anterior</v>
      </c>
      <c r="C121" s="3" t="s">
        <v>51</v>
      </c>
      <c r="D121" t="s">
        <v>53</v>
      </c>
      <c r="E121" s="3" t="s">
        <v>134</v>
      </c>
      <c r="F121" s="3" t="s">
        <v>50</v>
      </c>
      <c r="G121" s="3" t="s">
        <v>135</v>
      </c>
      <c r="H121" s="3" t="s">
        <v>11</v>
      </c>
      <c r="I121" s="3" t="s">
        <v>7</v>
      </c>
      <c r="J121" s="3" t="s">
        <v>73</v>
      </c>
      <c r="K121" s="3" t="s">
        <v>43</v>
      </c>
      <c r="L121" s="3" t="s">
        <v>76</v>
      </c>
      <c r="M121">
        <v>1</v>
      </c>
    </row>
    <row r="122" spans="1:13" x14ac:dyDescent="0.25">
      <c r="A122" s="1">
        <v>46132</v>
      </c>
      <c r="B122" s="1" t="str">
        <f ca="1">IF(Información1[[#This Row],[Fecha]]='Ajuste de fechas'!$A$2,"Día actual","Día anterior")</f>
        <v>Día anterior</v>
      </c>
      <c r="C122" s="3" t="s">
        <v>51</v>
      </c>
      <c r="D122" t="s">
        <v>53</v>
      </c>
      <c r="E122" s="3" t="s">
        <v>136</v>
      </c>
      <c r="F122" s="3" t="s">
        <v>47</v>
      </c>
      <c r="G122" s="3" t="s">
        <v>137</v>
      </c>
      <c r="H122" s="3" t="s">
        <v>11</v>
      </c>
      <c r="I122" s="3" t="s">
        <v>7</v>
      </c>
      <c r="J122" s="3" t="s">
        <v>73</v>
      </c>
      <c r="K122" s="3" t="s">
        <v>43</v>
      </c>
      <c r="L122" s="3" t="s">
        <v>74</v>
      </c>
      <c r="M122">
        <v>1</v>
      </c>
    </row>
    <row r="123" spans="1:13" x14ac:dyDescent="0.25">
      <c r="A123" s="1">
        <v>46132</v>
      </c>
      <c r="B123" s="1" t="str">
        <f ca="1">IF(Información1[[#This Row],[Fecha]]='Ajuste de fechas'!$A$2,"Día actual","Día anterior")</f>
        <v>Día anterior</v>
      </c>
      <c r="C123" s="3" t="s">
        <v>8</v>
      </c>
      <c r="D123" t="s">
        <v>10</v>
      </c>
      <c r="E123" s="3" t="s">
        <v>154</v>
      </c>
      <c r="F123" s="3" t="s">
        <v>6</v>
      </c>
      <c r="G123" s="3" t="s">
        <v>63</v>
      </c>
      <c r="H123" s="3" t="s">
        <v>11</v>
      </c>
      <c r="I123" s="3" t="s">
        <v>27</v>
      </c>
      <c r="J123" s="3" t="s">
        <v>73</v>
      </c>
      <c r="K123" s="3" t="s">
        <v>9</v>
      </c>
      <c r="L123" s="3" t="s">
        <v>75</v>
      </c>
      <c r="M123">
        <v>1</v>
      </c>
    </row>
    <row r="124" spans="1:13" x14ac:dyDescent="0.25">
      <c r="A124" s="1">
        <v>46132</v>
      </c>
      <c r="B124" s="1" t="str">
        <f ca="1">IF(Información1[[#This Row],[Fecha]]='Ajuste de fechas'!$A$2,"Día actual","Día anterior")</f>
        <v>Día anterior</v>
      </c>
      <c r="C124" s="3" t="s">
        <v>38</v>
      </c>
      <c r="D124" t="s">
        <v>40</v>
      </c>
      <c r="E124" s="3" t="s">
        <v>155</v>
      </c>
      <c r="F124" s="3" t="s">
        <v>26</v>
      </c>
      <c r="G124" s="3" t="s">
        <v>104</v>
      </c>
      <c r="H124" s="3" t="s">
        <v>11</v>
      </c>
      <c r="I124" s="3" t="s">
        <v>7</v>
      </c>
      <c r="J124" s="3" t="s">
        <v>26</v>
      </c>
      <c r="K124" s="3" t="s">
        <v>65</v>
      </c>
      <c r="L124" s="3" t="s">
        <v>74</v>
      </c>
      <c r="M124">
        <v>1</v>
      </c>
    </row>
    <row r="125" spans="1:13" x14ac:dyDescent="0.25">
      <c r="A125" s="1">
        <v>46132</v>
      </c>
      <c r="B125" s="1" t="str">
        <f ca="1">IF(Información1[[#This Row],[Fecha]]='Ajuste de fechas'!$A$2,"Día actual","Día anterior")</f>
        <v>Día anterior</v>
      </c>
      <c r="C125" s="3" t="s">
        <v>8</v>
      </c>
      <c r="D125" t="s">
        <v>10</v>
      </c>
      <c r="E125" s="3" t="s">
        <v>156</v>
      </c>
      <c r="F125" s="3" t="s">
        <v>56</v>
      </c>
      <c r="G125" s="3" t="s">
        <v>157</v>
      </c>
      <c r="H125" s="3" t="s">
        <v>11</v>
      </c>
      <c r="I125" s="3" t="s">
        <v>7</v>
      </c>
      <c r="J125" s="3" t="s">
        <v>73</v>
      </c>
      <c r="K125" s="3" t="s">
        <v>14</v>
      </c>
      <c r="L125" s="3" t="s">
        <v>76</v>
      </c>
      <c r="M125">
        <v>1</v>
      </c>
    </row>
    <row r="126" spans="1:13" x14ac:dyDescent="0.25">
      <c r="A126" s="1">
        <v>46132</v>
      </c>
      <c r="B126" s="1" t="str">
        <f ca="1">IF(Información1[[#This Row],[Fecha]]='Ajuste de fechas'!$A$2,"Día actual","Día anterior")</f>
        <v>Día anterior</v>
      </c>
      <c r="C126" s="3" t="s">
        <v>38</v>
      </c>
      <c r="D126" t="s">
        <v>40</v>
      </c>
      <c r="E126" s="3" t="s">
        <v>158</v>
      </c>
      <c r="F126" s="3" t="s">
        <v>23</v>
      </c>
      <c r="G126" s="3" t="s">
        <v>159</v>
      </c>
      <c r="H126" s="3" t="s">
        <v>11</v>
      </c>
      <c r="I126" s="3" t="s">
        <v>7</v>
      </c>
      <c r="J126" s="3" t="s">
        <v>78</v>
      </c>
      <c r="K126" s="3" t="s">
        <v>65</v>
      </c>
      <c r="L126" s="3" t="s">
        <v>74</v>
      </c>
      <c r="M126">
        <v>1</v>
      </c>
    </row>
    <row r="127" spans="1:13" x14ac:dyDescent="0.25">
      <c r="A127" s="1">
        <v>46132</v>
      </c>
      <c r="B127" s="1" t="str">
        <f ca="1">IF(Información1[[#This Row],[Fecha]]='Ajuste de fechas'!$A$2,"Día actual","Día anterior")</f>
        <v>Día anterior</v>
      </c>
      <c r="C127" s="3" t="s">
        <v>8</v>
      </c>
      <c r="D127" t="s">
        <v>10</v>
      </c>
      <c r="E127" s="3" t="s">
        <v>160</v>
      </c>
      <c r="F127" s="3" t="s">
        <v>17</v>
      </c>
      <c r="G127" s="3" t="s">
        <v>161</v>
      </c>
      <c r="H127" s="3" t="s">
        <v>11</v>
      </c>
      <c r="I127" s="3" t="s">
        <v>27</v>
      </c>
      <c r="J127" s="3" t="s">
        <v>73</v>
      </c>
      <c r="K127" s="3" t="s">
        <v>9</v>
      </c>
      <c r="L127" s="3" t="s">
        <v>75</v>
      </c>
      <c r="M127">
        <v>1</v>
      </c>
    </row>
    <row r="128" spans="1:13" x14ac:dyDescent="0.25">
      <c r="A128" s="1">
        <v>46132</v>
      </c>
      <c r="B128" s="1" t="str">
        <f ca="1">IF(Información1[[#This Row],[Fecha]]='Ajuste de fechas'!$A$2,"Día actual","Día anterior")</f>
        <v>Día anterior</v>
      </c>
      <c r="C128" s="3" t="s">
        <v>38</v>
      </c>
      <c r="D128" t="s">
        <v>41</v>
      </c>
      <c r="E128" s="3" t="s">
        <v>162</v>
      </c>
      <c r="F128" s="3" t="s">
        <v>85</v>
      </c>
      <c r="G128" s="3" t="s">
        <v>163</v>
      </c>
      <c r="H128" s="3" t="s">
        <v>11</v>
      </c>
      <c r="I128" s="3" t="s">
        <v>7</v>
      </c>
      <c r="J128" s="3" t="s">
        <v>73</v>
      </c>
      <c r="K128" s="3" t="s">
        <v>39</v>
      </c>
      <c r="L128" s="3" t="s">
        <v>79</v>
      </c>
      <c r="M128">
        <v>1</v>
      </c>
    </row>
    <row r="129" spans="1:13" x14ac:dyDescent="0.25">
      <c r="A129" s="1">
        <v>46132</v>
      </c>
      <c r="B129" s="1" t="str">
        <f ca="1">IF(Información1[[#This Row],[Fecha]]='Ajuste de fechas'!$A$2,"Día actual","Día anterior")</f>
        <v>Día anterior</v>
      </c>
      <c r="C129" s="3" t="s">
        <v>38</v>
      </c>
      <c r="D129" t="s">
        <v>40</v>
      </c>
      <c r="E129" s="3" t="s">
        <v>164</v>
      </c>
      <c r="F129" s="3" t="s">
        <v>19</v>
      </c>
      <c r="G129" s="3" t="s">
        <v>112</v>
      </c>
      <c r="H129" s="3" t="s">
        <v>11</v>
      </c>
      <c r="I129" s="3" t="s">
        <v>7</v>
      </c>
      <c r="J129" s="3" t="s">
        <v>77</v>
      </c>
      <c r="K129" s="3" t="s">
        <v>65</v>
      </c>
      <c r="L129" s="3" t="s">
        <v>74</v>
      </c>
      <c r="M129">
        <v>1</v>
      </c>
    </row>
    <row r="130" spans="1:13" x14ac:dyDescent="0.25">
      <c r="A130" s="1">
        <v>46132</v>
      </c>
      <c r="B130" s="1" t="str">
        <f ca="1">IF(Información1[[#This Row],[Fecha]]='Ajuste de fechas'!$A$2,"Día actual","Día anterior")</f>
        <v>Día anterior</v>
      </c>
      <c r="C130" s="3" t="s">
        <v>8</v>
      </c>
      <c r="D130" t="s">
        <v>10</v>
      </c>
      <c r="E130" s="3" t="s">
        <v>20</v>
      </c>
      <c r="F130" s="3" t="s">
        <v>19</v>
      </c>
      <c r="G130" s="3" t="s">
        <v>64</v>
      </c>
      <c r="H130" s="3" t="s">
        <v>11</v>
      </c>
      <c r="I130" s="3" t="s">
        <v>12</v>
      </c>
      <c r="J130" s="3" t="s">
        <v>77</v>
      </c>
      <c r="K130" s="3" t="s">
        <v>14</v>
      </c>
      <c r="L130" s="3" t="s">
        <v>75</v>
      </c>
      <c r="M130">
        <v>1</v>
      </c>
    </row>
    <row r="131" spans="1:13" x14ac:dyDescent="0.25">
      <c r="A131" s="1">
        <v>46132</v>
      </c>
      <c r="B131" s="1" t="str">
        <f ca="1">IF(Información1[[#This Row],[Fecha]]='Ajuste de fechas'!$A$2,"Día actual","Día anterior")</f>
        <v>Día anterior</v>
      </c>
      <c r="C131" s="3" t="s">
        <v>8</v>
      </c>
      <c r="D131" t="s">
        <v>10</v>
      </c>
      <c r="E131" s="3" t="s">
        <v>18</v>
      </c>
      <c r="F131" s="3" t="s">
        <v>19</v>
      </c>
      <c r="G131" s="3" t="s">
        <v>64</v>
      </c>
      <c r="H131" s="3" t="s">
        <v>11</v>
      </c>
      <c r="I131" s="3" t="s">
        <v>12</v>
      </c>
      <c r="J131" s="3" t="s">
        <v>77</v>
      </c>
      <c r="K131" s="3" t="s">
        <v>14</v>
      </c>
      <c r="L131" s="3" t="s">
        <v>75</v>
      </c>
      <c r="M131">
        <v>1</v>
      </c>
    </row>
    <row r="132" spans="1:13" x14ac:dyDescent="0.25">
      <c r="A132" s="1">
        <v>46132</v>
      </c>
      <c r="B132" s="1" t="str">
        <f ca="1">IF(Información1[[#This Row],[Fecha]]='Ajuste de fechas'!$A$2,"Día actual","Día anterior")</f>
        <v>Día anterior</v>
      </c>
      <c r="C132" s="3" t="s">
        <v>8</v>
      </c>
      <c r="D132" t="s">
        <v>10</v>
      </c>
      <c r="E132" s="3" t="s">
        <v>61</v>
      </c>
      <c r="F132" s="3" t="s">
        <v>22</v>
      </c>
      <c r="G132" s="3" t="s">
        <v>64</v>
      </c>
      <c r="H132" s="3" t="s">
        <v>11</v>
      </c>
      <c r="I132" s="3" t="s">
        <v>12</v>
      </c>
      <c r="J132" s="3" t="s">
        <v>26</v>
      </c>
      <c r="K132" s="3" t="s">
        <v>14</v>
      </c>
      <c r="L132" s="3" t="s">
        <v>75</v>
      </c>
      <c r="M132">
        <v>1</v>
      </c>
    </row>
    <row r="133" spans="1:13" x14ac:dyDescent="0.25">
      <c r="A133" s="1">
        <v>46132</v>
      </c>
      <c r="B133" s="1" t="str">
        <f ca="1">IF(Información1[[#This Row],[Fecha]]='Ajuste de fechas'!$A$2,"Día actual","Día anterior")</f>
        <v>Día anterior</v>
      </c>
      <c r="C133" s="3" t="s">
        <v>8</v>
      </c>
      <c r="D133" t="s">
        <v>10</v>
      </c>
      <c r="E133" s="3" t="s">
        <v>13</v>
      </c>
      <c r="F133" s="3" t="s">
        <v>15</v>
      </c>
      <c r="G133" s="3" t="s">
        <v>64</v>
      </c>
      <c r="H133" s="3" t="s">
        <v>11</v>
      </c>
      <c r="I133" s="3" t="s">
        <v>12</v>
      </c>
      <c r="J133" s="3" t="s">
        <v>73</v>
      </c>
      <c r="K133" s="3" t="s">
        <v>14</v>
      </c>
      <c r="L133" s="3" t="s">
        <v>75</v>
      </c>
      <c r="M133">
        <v>1</v>
      </c>
    </row>
    <row r="134" spans="1:13" x14ac:dyDescent="0.25">
      <c r="A134" s="1">
        <v>46132</v>
      </c>
      <c r="B134" s="1" t="str">
        <f ca="1">IF(Información1[[#This Row],[Fecha]]='Ajuste de fechas'!$A$2,"Día actual","Día anterior")</f>
        <v>Día anterior</v>
      </c>
      <c r="C134" s="3" t="s">
        <v>8</v>
      </c>
      <c r="D134" t="s">
        <v>10</v>
      </c>
      <c r="E134" s="3" t="s">
        <v>16</v>
      </c>
      <c r="F134" s="3" t="s">
        <v>17</v>
      </c>
      <c r="G134" s="3" t="s">
        <v>64</v>
      </c>
      <c r="H134" s="3" t="s">
        <v>11</v>
      </c>
      <c r="I134" s="3" t="s">
        <v>12</v>
      </c>
      <c r="J134" s="3" t="s">
        <v>73</v>
      </c>
      <c r="K134" s="3" t="s">
        <v>14</v>
      </c>
      <c r="L134" s="3" t="s">
        <v>75</v>
      </c>
      <c r="M134">
        <v>1</v>
      </c>
    </row>
    <row r="135" spans="1:13" x14ac:dyDescent="0.25">
      <c r="A135" s="1">
        <v>46132</v>
      </c>
      <c r="B135" s="1" t="str">
        <f ca="1">IF(Información1[[#This Row],[Fecha]]='Ajuste de fechas'!$A$2,"Día actual","Día anterior")</f>
        <v>Día anterior</v>
      </c>
      <c r="C135" s="3" t="s">
        <v>8</v>
      </c>
      <c r="D135" t="s">
        <v>10</v>
      </c>
      <c r="E135" s="3" t="s">
        <v>66</v>
      </c>
      <c r="F135" s="3" t="s">
        <v>6</v>
      </c>
      <c r="G135" s="3" t="s">
        <v>64</v>
      </c>
      <c r="H135" s="3" t="s">
        <v>11</v>
      </c>
      <c r="I135" s="3" t="s">
        <v>12</v>
      </c>
      <c r="J135" s="3" t="s">
        <v>73</v>
      </c>
      <c r="K135" s="3" t="s">
        <v>14</v>
      </c>
      <c r="L135" s="3" t="s">
        <v>75</v>
      </c>
      <c r="M135">
        <v>1</v>
      </c>
    </row>
    <row r="136" spans="1:13" x14ac:dyDescent="0.25">
      <c r="A136" s="1">
        <v>46132</v>
      </c>
      <c r="B136" s="1" t="str">
        <f ca="1">IF(Información1[[#This Row],[Fecha]]='Ajuste de fechas'!$A$2,"Día actual","Día anterior")</f>
        <v>Día anterior</v>
      </c>
      <c r="C136" s="3" t="s">
        <v>8</v>
      </c>
      <c r="D136" t="s">
        <v>10</v>
      </c>
      <c r="E136" s="3" t="s">
        <v>165</v>
      </c>
      <c r="F136" s="3" t="s">
        <v>17</v>
      </c>
      <c r="G136" s="3" t="s">
        <v>88</v>
      </c>
      <c r="H136" s="3" t="s">
        <v>11</v>
      </c>
      <c r="I136" s="3" t="s">
        <v>27</v>
      </c>
      <c r="J136" s="3" t="s">
        <v>73</v>
      </c>
      <c r="K136" s="3" t="s">
        <v>9</v>
      </c>
      <c r="L136" s="3" t="s">
        <v>75</v>
      </c>
      <c r="M136">
        <v>1</v>
      </c>
    </row>
    <row r="137" spans="1:13" x14ac:dyDescent="0.25">
      <c r="A137" s="1">
        <v>46132</v>
      </c>
      <c r="B137" s="1" t="str">
        <f ca="1">IF(Información1[[#This Row],[Fecha]]='Ajuste de fechas'!$A$2,"Día actual","Día anterior")</f>
        <v>Día anterior</v>
      </c>
      <c r="C137" s="3" t="s">
        <v>38</v>
      </c>
      <c r="D137" t="s">
        <v>41</v>
      </c>
      <c r="E137" s="3" t="s">
        <v>166</v>
      </c>
      <c r="F137" s="3" t="s">
        <v>94</v>
      </c>
      <c r="G137" s="3" t="s">
        <v>102</v>
      </c>
      <c r="H137" s="3" t="s">
        <v>11</v>
      </c>
      <c r="I137" s="3" t="s">
        <v>7</v>
      </c>
      <c r="J137" s="3" t="s">
        <v>73</v>
      </c>
      <c r="K137" s="3" t="s">
        <v>39</v>
      </c>
      <c r="L137" s="3" t="s">
        <v>76</v>
      </c>
      <c r="M137">
        <v>1</v>
      </c>
    </row>
    <row r="138" spans="1:13" x14ac:dyDescent="0.25">
      <c r="A138" s="1">
        <v>46132</v>
      </c>
      <c r="B138" s="1" t="str">
        <f ca="1">IF(Información1[[#This Row],[Fecha]]='Ajuste de fechas'!$A$2,"Día actual","Día anterior")</f>
        <v>Día anterior</v>
      </c>
      <c r="C138" s="3" t="s">
        <v>38</v>
      </c>
      <c r="D138" t="s">
        <v>41</v>
      </c>
      <c r="E138" s="3" t="s">
        <v>132</v>
      </c>
      <c r="F138" s="3" t="s">
        <v>24</v>
      </c>
      <c r="G138" s="3" t="s">
        <v>133</v>
      </c>
      <c r="H138" s="3" t="s">
        <v>11</v>
      </c>
      <c r="I138" s="3" t="s">
        <v>7</v>
      </c>
      <c r="J138" s="3" t="s">
        <v>73</v>
      </c>
      <c r="K138" s="3" t="s">
        <v>39</v>
      </c>
      <c r="L138" s="3" t="s">
        <v>76</v>
      </c>
      <c r="M138">
        <v>1</v>
      </c>
    </row>
    <row r="139" spans="1:13" x14ac:dyDescent="0.25">
      <c r="A139" s="1">
        <v>46132</v>
      </c>
      <c r="B139" s="1" t="str">
        <f ca="1">IF(Información1[[#This Row],[Fecha]]='Ajuste de fechas'!$A$2,"Día actual","Día anterior")</f>
        <v>Día anterior</v>
      </c>
      <c r="C139" s="3" t="s">
        <v>8</v>
      </c>
      <c r="D139" t="s">
        <v>10</v>
      </c>
      <c r="E139" s="3" t="s">
        <v>167</v>
      </c>
      <c r="F139" s="3" t="s">
        <v>19</v>
      </c>
      <c r="G139" s="3" t="s">
        <v>97</v>
      </c>
      <c r="H139" s="3" t="s">
        <v>11</v>
      </c>
      <c r="I139" s="3" t="s">
        <v>7</v>
      </c>
      <c r="J139" s="3" t="s">
        <v>77</v>
      </c>
      <c r="K139" s="3" t="s">
        <v>14</v>
      </c>
      <c r="L139" s="3" t="s">
        <v>79</v>
      </c>
      <c r="M139">
        <v>1</v>
      </c>
    </row>
    <row r="140" spans="1:13" x14ac:dyDescent="0.25">
      <c r="A140" s="1">
        <v>46132</v>
      </c>
      <c r="B140" s="1" t="str">
        <f ca="1">IF(Información1[[#This Row],[Fecha]]='Ajuste de fechas'!$A$2,"Día actual","Día anterior")</f>
        <v>Día anterior</v>
      </c>
      <c r="C140" s="3" t="s">
        <v>55</v>
      </c>
      <c r="D140" t="s">
        <v>168</v>
      </c>
      <c r="E140" s="3" t="s">
        <v>134</v>
      </c>
      <c r="F140" s="3" t="s">
        <v>50</v>
      </c>
      <c r="G140" s="3" t="s">
        <v>135</v>
      </c>
      <c r="H140" s="3" t="s">
        <v>11</v>
      </c>
      <c r="I140" s="3" t="s">
        <v>7</v>
      </c>
      <c r="J140" s="3" t="s">
        <v>73</v>
      </c>
      <c r="K140" s="3" t="s">
        <v>169</v>
      </c>
      <c r="L140" s="3" t="s">
        <v>76</v>
      </c>
      <c r="M140">
        <v>1</v>
      </c>
    </row>
    <row r="141" spans="1:13" x14ac:dyDescent="0.25">
      <c r="A141" s="1">
        <v>46132</v>
      </c>
      <c r="B141" s="1" t="str">
        <f ca="1">IF(Información1[[#This Row],[Fecha]]='Ajuste de fechas'!$A$2,"Día actual","Día anterior")</f>
        <v>Día anterior</v>
      </c>
      <c r="C141" s="3" t="s">
        <v>38</v>
      </c>
      <c r="D141" t="s">
        <v>41</v>
      </c>
      <c r="E141" s="3" t="s">
        <v>170</v>
      </c>
      <c r="F141" s="3" t="s">
        <v>47</v>
      </c>
      <c r="G141" s="3" t="s">
        <v>137</v>
      </c>
      <c r="H141" s="3" t="s">
        <v>11</v>
      </c>
      <c r="I141" s="3" t="s">
        <v>7</v>
      </c>
      <c r="J141" s="3" t="s">
        <v>73</v>
      </c>
      <c r="K141" s="3" t="s">
        <v>39</v>
      </c>
      <c r="L141" s="3" t="s">
        <v>76</v>
      </c>
      <c r="M141">
        <v>1</v>
      </c>
    </row>
    <row r="142" spans="1:13" x14ac:dyDescent="0.25">
      <c r="A142" s="1">
        <v>46132</v>
      </c>
      <c r="B142" s="1" t="str">
        <f ca="1">IF(Información1[[#This Row],[Fecha]]='Ajuste de fechas'!$A$2,"Día actual","Día anterior")</f>
        <v>Día anterior</v>
      </c>
      <c r="C142" s="3" t="s">
        <v>8</v>
      </c>
      <c r="D142" t="s">
        <v>10</v>
      </c>
      <c r="E142" s="3" t="s">
        <v>171</v>
      </c>
      <c r="F142" s="3" t="s">
        <v>6</v>
      </c>
      <c r="G142" s="3" t="s">
        <v>172</v>
      </c>
      <c r="H142" s="3" t="s">
        <v>11</v>
      </c>
      <c r="I142" s="3" t="s">
        <v>27</v>
      </c>
      <c r="J142" s="3" t="s">
        <v>73</v>
      </c>
      <c r="K142" s="3" t="s">
        <v>9</v>
      </c>
      <c r="L142" s="3" t="s">
        <v>75</v>
      </c>
      <c r="M142">
        <v>1</v>
      </c>
    </row>
    <row r="143" spans="1:13" x14ac:dyDescent="0.25">
      <c r="A143" s="1">
        <v>46132</v>
      </c>
      <c r="B143" s="1" t="str">
        <f ca="1">IF(Información1[[#This Row],[Fecha]]='Ajuste de fechas'!$A$2,"Día actual","Día anterior")</f>
        <v>Día anterior</v>
      </c>
      <c r="C143" s="3" t="s">
        <v>38</v>
      </c>
      <c r="D143" t="s">
        <v>41</v>
      </c>
      <c r="E143" s="3" t="s">
        <v>173</v>
      </c>
      <c r="F143" s="3" t="s">
        <v>141</v>
      </c>
      <c r="G143" s="3" t="s">
        <v>92</v>
      </c>
      <c r="H143" s="3" t="s">
        <v>11</v>
      </c>
      <c r="I143" s="3" t="s">
        <v>7</v>
      </c>
      <c r="J143" s="3" t="s">
        <v>73</v>
      </c>
      <c r="K143" s="3" t="s">
        <v>39</v>
      </c>
      <c r="L143" s="3" t="s">
        <v>76</v>
      </c>
      <c r="M143">
        <v>1</v>
      </c>
    </row>
    <row r="144" spans="1:13" x14ac:dyDescent="0.25">
      <c r="A144" s="1">
        <v>46132</v>
      </c>
      <c r="B144" s="1" t="str">
        <f ca="1">IF(Información1[[#This Row],[Fecha]]='Ajuste de fechas'!$A$2,"Día actual","Día anterior")</f>
        <v>Día anterior</v>
      </c>
      <c r="C144" s="3" t="s">
        <v>38</v>
      </c>
      <c r="D144" t="s">
        <v>41</v>
      </c>
      <c r="E144" s="3" t="s">
        <v>174</v>
      </c>
      <c r="F144" s="3" t="s">
        <v>21</v>
      </c>
      <c r="G144" s="3" t="s">
        <v>175</v>
      </c>
      <c r="H144" s="3" t="s">
        <v>11</v>
      </c>
      <c r="I144" s="3" t="s">
        <v>7</v>
      </c>
      <c r="J144" s="3" t="s">
        <v>73</v>
      </c>
      <c r="K144" s="3" t="s">
        <v>39</v>
      </c>
      <c r="L144" s="3" t="s">
        <v>74</v>
      </c>
      <c r="M144">
        <v>1</v>
      </c>
    </row>
    <row r="145" spans="1:13" x14ac:dyDescent="0.25">
      <c r="A145" s="1">
        <v>46132</v>
      </c>
      <c r="B145" s="1" t="str">
        <f ca="1">IF(Información1[[#This Row],[Fecha]]='Ajuste de fechas'!$A$2,"Día actual","Día anterior")</f>
        <v>Día anterior</v>
      </c>
      <c r="C145" s="3" t="s">
        <v>38</v>
      </c>
      <c r="D145" t="s">
        <v>41</v>
      </c>
      <c r="E145" s="3" t="s">
        <v>178</v>
      </c>
      <c r="F145" s="3" t="s">
        <v>50</v>
      </c>
      <c r="G145" s="3" t="s">
        <v>83</v>
      </c>
      <c r="H145" s="3" t="s">
        <v>11</v>
      </c>
      <c r="I145" s="3" t="s">
        <v>7</v>
      </c>
      <c r="J145" s="3" t="s">
        <v>73</v>
      </c>
      <c r="K145" s="3" t="s">
        <v>39</v>
      </c>
      <c r="L145" s="3" t="s">
        <v>74</v>
      </c>
      <c r="M145">
        <v>1</v>
      </c>
    </row>
    <row r="146" spans="1:13" x14ac:dyDescent="0.25">
      <c r="A146" s="1">
        <v>46132</v>
      </c>
      <c r="B146" s="1" t="str">
        <f ca="1">IF(Información1[[#This Row],[Fecha]]='Ajuste de fechas'!$A$2,"Día actual","Día anterior")</f>
        <v>Día anterior</v>
      </c>
      <c r="C146" s="3" t="s">
        <v>38</v>
      </c>
      <c r="D146" t="s">
        <v>40</v>
      </c>
      <c r="E146" s="3" t="s">
        <v>179</v>
      </c>
      <c r="F146" s="3" t="s">
        <v>60</v>
      </c>
      <c r="G146" s="3" t="s">
        <v>125</v>
      </c>
      <c r="H146" s="3" t="s">
        <v>11</v>
      </c>
      <c r="I146" s="3" t="s">
        <v>7</v>
      </c>
      <c r="J146" s="3" t="s">
        <v>73</v>
      </c>
      <c r="K146" s="3" t="s">
        <v>65</v>
      </c>
      <c r="L146" s="3" t="s">
        <v>74</v>
      </c>
      <c r="M146">
        <v>1</v>
      </c>
    </row>
    <row r="147" spans="1:13" x14ac:dyDescent="0.25">
      <c r="A147" s="1">
        <v>46132</v>
      </c>
      <c r="B147" s="1" t="str">
        <f ca="1">IF(Información1[[#This Row],[Fecha]]='Ajuste de fechas'!$A$2,"Día actual","Día anterior")</f>
        <v>Día anterior</v>
      </c>
      <c r="C147" s="3" t="s">
        <v>38</v>
      </c>
      <c r="D147" t="s">
        <v>40</v>
      </c>
      <c r="E147" s="3" t="s">
        <v>180</v>
      </c>
      <c r="F147" s="3" t="s">
        <v>15</v>
      </c>
      <c r="G147" s="3" t="s">
        <v>125</v>
      </c>
      <c r="H147" s="3" t="s">
        <v>11</v>
      </c>
      <c r="I147" s="3" t="s">
        <v>7</v>
      </c>
      <c r="J147" s="3" t="s">
        <v>73</v>
      </c>
      <c r="K147" s="3" t="s">
        <v>65</v>
      </c>
      <c r="L147" s="3" t="s">
        <v>74</v>
      </c>
      <c r="M147">
        <v>1</v>
      </c>
    </row>
    <row r="148" spans="1:13" x14ac:dyDescent="0.25">
      <c r="A148" s="1">
        <v>46132</v>
      </c>
      <c r="B148" s="1" t="str">
        <f ca="1">IF(Información1[[#This Row],[Fecha]]='Ajuste de fechas'!$A$2,"Día actual","Día anterior")</f>
        <v>Día anterior</v>
      </c>
      <c r="C148" s="3" t="s">
        <v>38</v>
      </c>
      <c r="D148" t="s">
        <v>40</v>
      </c>
      <c r="E148" s="3" t="s">
        <v>181</v>
      </c>
      <c r="F148" s="3" t="s">
        <v>28</v>
      </c>
      <c r="G148" s="3" t="s">
        <v>125</v>
      </c>
      <c r="H148" s="3" t="s">
        <v>11</v>
      </c>
      <c r="I148" s="3" t="s">
        <v>7</v>
      </c>
      <c r="J148" s="3" t="s">
        <v>73</v>
      </c>
      <c r="K148" s="3" t="s">
        <v>65</v>
      </c>
      <c r="L148" s="3" t="s">
        <v>74</v>
      </c>
      <c r="M148">
        <v>1</v>
      </c>
    </row>
    <row r="149" spans="1:13" x14ac:dyDescent="0.25">
      <c r="A149" s="1">
        <v>46132</v>
      </c>
      <c r="B149" s="1" t="str">
        <f ca="1">IF(Información1[[#This Row],[Fecha]]='Ajuste de fechas'!$A$2,"Día actual","Día anterior")</f>
        <v>Día anterior</v>
      </c>
      <c r="C149" s="3" t="s">
        <v>38</v>
      </c>
      <c r="D149" t="s">
        <v>40</v>
      </c>
      <c r="E149" s="3" t="s">
        <v>182</v>
      </c>
      <c r="F149" s="3" t="s">
        <v>141</v>
      </c>
      <c r="G149" s="3" t="s">
        <v>125</v>
      </c>
      <c r="H149" s="3" t="s">
        <v>11</v>
      </c>
      <c r="I149" s="3" t="s">
        <v>7</v>
      </c>
      <c r="J149" s="3" t="s">
        <v>73</v>
      </c>
      <c r="K149" s="3" t="s">
        <v>65</v>
      </c>
      <c r="L149" s="3" t="s">
        <v>74</v>
      </c>
      <c r="M149">
        <v>1</v>
      </c>
    </row>
    <row r="150" spans="1:13" x14ac:dyDescent="0.25">
      <c r="A150" s="1">
        <v>46132</v>
      </c>
      <c r="B150" s="1" t="str">
        <f ca="1">IF(Información1[[#This Row],[Fecha]]='Ajuste de fechas'!$A$2,"Día actual","Día anterior")</f>
        <v>Día anterior</v>
      </c>
      <c r="C150" s="3" t="s">
        <v>38</v>
      </c>
      <c r="D150" t="s">
        <v>40</v>
      </c>
      <c r="E150" s="3" t="s">
        <v>183</v>
      </c>
      <c r="F150" s="3" t="s">
        <v>23</v>
      </c>
      <c r="G150" s="3" t="s">
        <v>152</v>
      </c>
      <c r="H150" s="3" t="s">
        <v>11</v>
      </c>
      <c r="I150" s="3" t="s">
        <v>27</v>
      </c>
      <c r="J150" s="3" t="s">
        <v>78</v>
      </c>
      <c r="K150" s="3" t="s">
        <v>65</v>
      </c>
      <c r="L150" s="3" t="s">
        <v>74</v>
      </c>
      <c r="M150">
        <v>1</v>
      </c>
    </row>
    <row r="151" spans="1:13" x14ac:dyDescent="0.25">
      <c r="A151" s="1">
        <v>46132</v>
      </c>
      <c r="B151" s="1" t="str">
        <f ca="1">IF(Información1[[#This Row],[Fecha]]='Ajuste de fechas'!$A$2,"Día actual","Día anterior")</f>
        <v>Día anterior</v>
      </c>
      <c r="C151" s="3" t="s">
        <v>38</v>
      </c>
      <c r="D151" t="s">
        <v>40</v>
      </c>
      <c r="E151" s="3" t="s">
        <v>183</v>
      </c>
      <c r="F151" s="3" t="s">
        <v>47</v>
      </c>
      <c r="G151" s="3" t="s">
        <v>152</v>
      </c>
      <c r="H151" s="3" t="s">
        <v>11</v>
      </c>
      <c r="I151" s="3" t="s">
        <v>27</v>
      </c>
      <c r="J151" s="3" t="s">
        <v>73</v>
      </c>
      <c r="K151" s="3" t="s">
        <v>65</v>
      </c>
      <c r="L151" s="3" t="s">
        <v>74</v>
      </c>
      <c r="M151">
        <v>1</v>
      </c>
    </row>
    <row r="152" spans="1:13" x14ac:dyDescent="0.25">
      <c r="A152" s="1">
        <v>46132</v>
      </c>
      <c r="B152" s="1" t="str">
        <f ca="1">IF(Información1[[#This Row],[Fecha]]='Ajuste de fechas'!$A$2,"Día actual","Día anterior")</f>
        <v>Día anterior</v>
      </c>
      <c r="C152" s="3" t="s">
        <v>38</v>
      </c>
      <c r="D152" t="s">
        <v>41</v>
      </c>
      <c r="E152" s="3" t="s">
        <v>184</v>
      </c>
      <c r="F152" s="3" t="s">
        <v>21</v>
      </c>
      <c r="G152" s="3" t="s">
        <v>90</v>
      </c>
      <c r="H152" s="3" t="s">
        <v>11</v>
      </c>
      <c r="I152" s="3" t="s">
        <v>7</v>
      </c>
      <c r="J152" s="3" t="s">
        <v>73</v>
      </c>
      <c r="K152" s="3" t="s">
        <v>39</v>
      </c>
      <c r="L152" s="3" t="s">
        <v>74</v>
      </c>
      <c r="M152">
        <v>1</v>
      </c>
    </row>
    <row r="153" spans="1:13" x14ac:dyDescent="0.25">
      <c r="A153" s="1">
        <v>46132</v>
      </c>
      <c r="B153" s="1" t="str">
        <f ca="1">IF(Información1[[#This Row],[Fecha]]='Ajuste de fechas'!$A$2,"Día actual","Día anterior")</f>
        <v>Día anterior</v>
      </c>
      <c r="C153" s="3" t="s">
        <v>38</v>
      </c>
      <c r="D153" t="s">
        <v>41</v>
      </c>
      <c r="E153" s="3" t="s">
        <v>142</v>
      </c>
      <c r="F153" s="3" t="s">
        <v>141</v>
      </c>
      <c r="G153" s="3" t="s">
        <v>143</v>
      </c>
      <c r="H153" s="3" t="s">
        <v>11</v>
      </c>
      <c r="I153" s="3" t="s">
        <v>7</v>
      </c>
      <c r="J153" s="3" t="s">
        <v>73</v>
      </c>
      <c r="K153" s="3" t="s">
        <v>39</v>
      </c>
      <c r="L153" s="3" t="s">
        <v>76</v>
      </c>
      <c r="M153">
        <v>1</v>
      </c>
    </row>
    <row r="154" spans="1:13" x14ac:dyDescent="0.25">
      <c r="A154" s="1">
        <v>46132</v>
      </c>
      <c r="B154" s="1" t="str">
        <f ca="1">IF(Información1[[#This Row],[Fecha]]='Ajuste de fechas'!$A$2,"Día actual","Día anterior")</f>
        <v>Día anterior</v>
      </c>
      <c r="C154" s="3" t="s">
        <v>8</v>
      </c>
      <c r="D154" t="s">
        <v>10</v>
      </c>
      <c r="E154" s="3" t="s">
        <v>142</v>
      </c>
      <c r="F154" s="3" t="s">
        <v>141</v>
      </c>
      <c r="G154" s="3" t="s">
        <v>143</v>
      </c>
      <c r="H154" s="3" t="s">
        <v>11</v>
      </c>
      <c r="I154" s="3" t="s">
        <v>7</v>
      </c>
      <c r="J154" s="3" t="s">
        <v>73</v>
      </c>
      <c r="K154" s="3" t="s">
        <v>14</v>
      </c>
      <c r="L154" s="3" t="s">
        <v>76</v>
      </c>
      <c r="M154">
        <v>1</v>
      </c>
    </row>
    <row r="155" spans="1:13" x14ac:dyDescent="0.25">
      <c r="A155" s="1">
        <v>46132</v>
      </c>
      <c r="B155" s="1" t="str">
        <f ca="1">IF(Información1[[#This Row],[Fecha]]='Ajuste de fechas'!$A$2,"Día actual","Día anterior")</f>
        <v>Día anterior</v>
      </c>
      <c r="C155" s="3" t="s">
        <v>8</v>
      </c>
      <c r="D155" t="s">
        <v>10</v>
      </c>
      <c r="E155" s="3" t="s">
        <v>185</v>
      </c>
      <c r="F155" s="3" t="s">
        <v>60</v>
      </c>
      <c r="G155" s="3" t="s">
        <v>101</v>
      </c>
      <c r="H155" s="3" t="s">
        <v>11</v>
      </c>
      <c r="I155" s="3" t="s">
        <v>7</v>
      </c>
      <c r="J155" s="3" t="s">
        <v>73</v>
      </c>
      <c r="K155" s="3" t="s">
        <v>14</v>
      </c>
      <c r="L155" s="3" t="s">
        <v>76</v>
      </c>
      <c r="M155">
        <v>1</v>
      </c>
    </row>
    <row r="156" spans="1:13" x14ac:dyDescent="0.25">
      <c r="A156" s="1">
        <v>46132</v>
      </c>
      <c r="B156" s="1" t="str">
        <f ca="1">IF(Información1[[#This Row],[Fecha]]='Ajuste de fechas'!$A$2,"Día actual","Día anterior")</f>
        <v>Día anterior</v>
      </c>
      <c r="C156" s="3" t="s">
        <v>8</v>
      </c>
      <c r="D156" t="s">
        <v>10</v>
      </c>
      <c r="E156" s="3" t="s">
        <v>186</v>
      </c>
      <c r="F156" s="3" t="s">
        <v>23</v>
      </c>
      <c r="G156" s="3" t="s">
        <v>187</v>
      </c>
      <c r="H156" s="3" t="s">
        <v>11</v>
      </c>
      <c r="I156" s="3" t="s">
        <v>7</v>
      </c>
      <c r="J156" s="3" t="s">
        <v>78</v>
      </c>
      <c r="K156" s="3" t="s">
        <v>14</v>
      </c>
      <c r="L156" s="3" t="s">
        <v>74</v>
      </c>
      <c r="M156">
        <v>1</v>
      </c>
    </row>
    <row r="157" spans="1:13" x14ac:dyDescent="0.25">
      <c r="A157" s="1">
        <v>46132</v>
      </c>
      <c r="B157" s="1" t="str">
        <f ca="1">IF(Información1[[#This Row],[Fecha]]='Ajuste de fechas'!$A$2,"Día actual","Día anterior")</f>
        <v>Día anterior</v>
      </c>
      <c r="C157" s="3" t="s">
        <v>38</v>
      </c>
      <c r="D157" t="s">
        <v>41</v>
      </c>
      <c r="E157" s="3" t="s">
        <v>188</v>
      </c>
      <c r="F157" s="3" t="s">
        <v>50</v>
      </c>
      <c r="G157" s="3" t="s">
        <v>189</v>
      </c>
      <c r="H157" s="3" t="s">
        <v>11</v>
      </c>
      <c r="I157" s="3" t="s">
        <v>7</v>
      </c>
      <c r="J157" s="3" t="s">
        <v>73</v>
      </c>
      <c r="K157" s="3" t="s">
        <v>39</v>
      </c>
      <c r="L157" s="3" t="s">
        <v>74</v>
      </c>
      <c r="M157">
        <v>1</v>
      </c>
    </row>
    <row r="158" spans="1:13" x14ac:dyDescent="0.25">
      <c r="A158" s="1">
        <v>46132</v>
      </c>
      <c r="B158" s="1" t="str">
        <f ca="1">IF(Información1[[#This Row],[Fecha]]='Ajuste de fechas'!$A$2,"Día actual","Día anterior")</f>
        <v>Día anterior</v>
      </c>
      <c r="C158" s="3" t="s">
        <v>8</v>
      </c>
      <c r="D158" t="s">
        <v>10</v>
      </c>
      <c r="E158" s="3" t="s">
        <v>190</v>
      </c>
      <c r="F158" s="3" t="s">
        <v>6</v>
      </c>
      <c r="G158" s="3" t="s">
        <v>87</v>
      </c>
      <c r="H158" s="3" t="s">
        <v>11</v>
      </c>
      <c r="I158" s="3" t="s">
        <v>7</v>
      </c>
      <c r="J158" s="3" t="s">
        <v>73</v>
      </c>
      <c r="K158" s="3" t="s">
        <v>14</v>
      </c>
      <c r="L158" s="3" t="s">
        <v>76</v>
      </c>
      <c r="M158">
        <v>1</v>
      </c>
    </row>
    <row r="159" spans="1:13" x14ac:dyDescent="0.25">
      <c r="A159" s="1">
        <v>46132</v>
      </c>
      <c r="B159" s="1" t="str">
        <f ca="1">IF(Información1[[#This Row],[Fecha]]='Ajuste de fechas'!$A$2,"Día actual","Día anterior")</f>
        <v>Día anterior</v>
      </c>
      <c r="C159" s="3" t="s">
        <v>38</v>
      </c>
      <c r="D159" t="s">
        <v>40</v>
      </c>
      <c r="E159" s="3" t="s">
        <v>191</v>
      </c>
      <c r="F159" s="3" t="s">
        <v>21</v>
      </c>
      <c r="G159" s="3" t="s">
        <v>192</v>
      </c>
      <c r="H159" s="3" t="s">
        <v>11</v>
      </c>
      <c r="I159" s="3" t="s">
        <v>7</v>
      </c>
      <c r="J159" s="3" t="s">
        <v>73</v>
      </c>
      <c r="K159" s="3" t="s">
        <v>65</v>
      </c>
      <c r="L159" s="3" t="s">
        <v>76</v>
      </c>
      <c r="M159">
        <v>1</v>
      </c>
    </row>
    <row r="160" spans="1:13" x14ac:dyDescent="0.25">
      <c r="A160" s="1">
        <v>46132</v>
      </c>
      <c r="B160" s="1" t="str">
        <f ca="1">IF(Información1[[#This Row],[Fecha]]='Ajuste de fechas'!$A$2,"Día actual","Día anterior")</f>
        <v>Día anterior</v>
      </c>
      <c r="C160" s="3" t="s">
        <v>8</v>
      </c>
      <c r="D160" t="s">
        <v>10</v>
      </c>
      <c r="E160" s="3" t="s">
        <v>191</v>
      </c>
      <c r="F160" s="3" t="s">
        <v>21</v>
      </c>
      <c r="G160" s="3" t="s">
        <v>192</v>
      </c>
      <c r="H160" s="3" t="s">
        <v>11</v>
      </c>
      <c r="I160" s="3" t="s">
        <v>7</v>
      </c>
      <c r="J160" s="3" t="s">
        <v>73</v>
      </c>
      <c r="K160" s="3" t="s">
        <v>14</v>
      </c>
      <c r="L160" s="3" t="s">
        <v>76</v>
      </c>
      <c r="M160">
        <v>1</v>
      </c>
    </row>
    <row r="161" spans="1:13" x14ac:dyDescent="0.25">
      <c r="A161" s="1">
        <v>46132</v>
      </c>
      <c r="B161" s="1" t="str">
        <f ca="1">IF(Información1[[#This Row],[Fecha]]='Ajuste de fechas'!$A$2,"Día actual","Día anterior")</f>
        <v>Día anterior</v>
      </c>
      <c r="C161" s="3" t="s">
        <v>34</v>
      </c>
      <c r="D161" t="s">
        <v>36</v>
      </c>
      <c r="E161" s="3" t="s">
        <v>193</v>
      </c>
      <c r="F161" s="3" t="s">
        <v>21</v>
      </c>
      <c r="G161" s="3" t="s">
        <v>194</v>
      </c>
      <c r="H161" s="3" t="s">
        <v>11</v>
      </c>
      <c r="I161" s="3" t="s">
        <v>7</v>
      </c>
      <c r="J161" s="3" t="s">
        <v>73</v>
      </c>
      <c r="K161" s="3" t="s">
        <v>35</v>
      </c>
      <c r="L161" s="3" t="s">
        <v>76</v>
      </c>
      <c r="M161">
        <v>1</v>
      </c>
    </row>
    <row r="162" spans="1:13" x14ac:dyDescent="0.25">
      <c r="A162" s="1">
        <v>46132</v>
      </c>
      <c r="B162" s="1" t="str">
        <f ca="1">IF(Información1[[#This Row],[Fecha]]='Ajuste de fechas'!$A$2,"Día actual","Día anterior")</f>
        <v>Día anterior</v>
      </c>
      <c r="C162" s="3" t="s">
        <v>34</v>
      </c>
      <c r="D162" t="s">
        <v>36</v>
      </c>
      <c r="E162" s="3" t="s">
        <v>195</v>
      </c>
      <c r="F162" s="3" t="s">
        <v>28</v>
      </c>
      <c r="G162" s="3" t="s">
        <v>196</v>
      </c>
      <c r="H162" s="3" t="s">
        <v>11</v>
      </c>
      <c r="I162" s="3" t="s">
        <v>7</v>
      </c>
      <c r="J162" s="3" t="s">
        <v>73</v>
      </c>
      <c r="K162" s="3" t="s">
        <v>35</v>
      </c>
      <c r="L162" s="3" t="s">
        <v>76</v>
      </c>
      <c r="M162">
        <v>1</v>
      </c>
    </row>
    <row r="163" spans="1:13" x14ac:dyDescent="0.25">
      <c r="A163" s="1">
        <v>46132</v>
      </c>
      <c r="B163" s="1" t="str">
        <f ca="1">IF(Información1[[#This Row],[Fecha]]='Ajuste de fechas'!$A$2,"Día actual","Día anterior")</f>
        <v>Día anterior</v>
      </c>
      <c r="C163" s="3" t="s">
        <v>38</v>
      </c>
      <c r="D163" t="s">
        <v>41</v>
      </c>
      <c r="E163" s="3" t="s">
        <v>195</v>
      </c>
      <c r="F163" s="3" t="s">
        <v>28</v>
      </c>
      <c r="G163" s="3" t="s">
        <v>196</v>
      </c>
      <c r="H163" s="3" t="s">
        <v>11</v>
      </c>
      <c r="I163" s="3" t="s">
        <v>7</v>
      </c>
      <c r="J163" s="3" t="s">
        <v>73</v>
      </c>
      <c r="K163" s="3" t="s">
        <v>39</v>
      </c>
      <c r="L163" s="3" t="s">
        <v>76</v>
      </c>
      <c r="M163">
        <v>1</v>
      </c>
    </row>
    <row r="164" spans="1:13" x14ac:dyDescent="0.25">
      <c r="A164" s="1">
        <v>46132</v>
      </c>
      <c r="B164" s="1" t="str">
        <f ca="1">IF(Información1[[#This Row],[Fecha]]='Ajuste de fechas'!$A$2,"Día actual","Día anterior")</f>
        <v>Día anterior</v>
      </c>
      <c r="C164" s="3" t="s">
        <v>42</v>
      </c>
      <c r="D164" t="s">
        <v>44</v>
      </c>
      <c r="E164" s="3" t="s">
        <v>197</v>
      </c>
      <c r="F164" s="3" t="s">
        <v>21</v>
      </c>
      <c r="G164" s="3" t="s">
        <v>91</v>
      </c>
      <c r="H164" s="3" t="s">
        <v>45</v>
      </c>
      <c r="I164" s="3" t="s">
        <v>7</v>
      </c>
      <c r="J164" s="3" t="s">
        <v>73</v>
      </c>
      <c r="K164" s="3" t="s">
        <v>43</v>
      </c>
      <c r="L164" s="3" t="s">
        <v>74</v>
      </c>
      <c r="M164">
        <v>1</v>
      </c>
    </row>
    <row r="165" spans="1:13" x14ac:dyDescent="0.25">
      <c r="A165" s="1">
        <v>46132</v>
      </c>
      <c r="B165" s="1" t="str">
        <f ca="1">IF(Información1[[#This Row],[Fecha]]='Ajuste de fechas'!$A$2,"Día actual","Día anterior")</f>
        <v>Día anterior</v>
      </c>
      <c r="C165" s="3" t="s">
        <v>42</v>
      </c>
      <c r="D165" t="s">
        <v>44</v>
      </c>
      <c r="E165" s="3" t="s">
        <v>110</v>
      </c>
      <c r="F165" s="3" t="s">
        <v>24</v>
      </c>
      <c r="G165" s="3" t="s">
        <v>86</v>
      </c>
      <c r="H165" s="3" t="s">
        <v>45</v>
      </c>
      <c r="I165" s="3" t="s">
        <v>7</v>
      </c>
      <c r="J165" s="3" t="s">
        <v>73</v>
      </c>
      <c r="K165" s="3" t="s">
        <v>43</v>
      </c>
      <c r="L165" s="3" t="s">
        <v>76</v>
      </c>
      <c r="M165">
        <v>1</v>
      </c>
    </row>
    <row r="166" spans="1:13" x14ac:dyDescent="0.25">
      <c r="A166" s="1">
        <v>46132</v>
      </c>
      <c r="B166" s="1" t="str">
        <f ca="1">IF(Información1[[#This Row],[Fecha]]='Ajuste de fechas'!$A$2,"Día actual","Día anterior")</f>
        <v>Día anterior</v>
      </c>
      <c r="C166" s="3" t="s">
        <v>42</v>
      </c>
      <c r="D166" t="s">
        <v>44</v>
      </c>
      <c r="E166" s="3" t="s">
        <v>198</v>
      </c>
      <c r="F166" s="3" t="s">
        <v>24</v>
      </c>
      <c r="G166" s="3" t="s">
        <v>46</v>
      </c>
      <c r="H166" s="3" t="s">
        <v>45</v>
      </c>
      <c r="I166" s="3" t="s">
        <v>7</v>
      </c>
      <c r="J166" s="3" t="s">
        <v>73</v>
      </c>
      <c r="K166" s="3" t="s">
        <v>43</v>
      </c>
      <c r="L166" s="3" t="s">
        <v>76</v>
      </c>
      <c r="M166">
        <v>1</v>
      </c>
    </row>
    <row r="167" spans="1:13" x14ac:dyDescent="0.25">
      <c r="A167" s="1">
        <v>46132</v>
      </c>
      <c r="B167" s="1" t="str">
        <f ca="1">IF(Información1[[#This Row],[Fecha]]='Ajuste de fechas'!$A$2,"Día actual","Día anterior")</f>
        <v>Día anterior</v>
      </c>
      <c r="C167" s="3" t="s">
        <v>42</v>
      </c>
      <c r="D167" t="s">
        <v>44</v>
      </c>
      <c r="E167" s="3" t="s">
        <v>108</v>
      </c>
      <c r="F167" s="3" t="s">
        <v>60</v>
      </c>
      <c r="G167" s="3" t="s">
        <v>101</v>
      </c>
      <c r="H167" s="3" t="s">
        <v>45</v>
      </c>
      <c r="I167" s="3" t="s">
        <v>7</v>
      </c>
      <c r="J167" s="3" t="s">
        <v>73</v>
      </c>
      <c r="K167" s="3" t="s">
        <v>43</v>
      </c>
      <c r="L167" s="3" t="s">
        <v>76</v>
      </c>
      <c r="M167">
        <v>1</v>
      </c>
    </row>
    <row r="168" spans="1:13" x14ac:dyDescent="0.25">
      <c r="A168" s="1">
        <v>46132</v>
      </c>
      <c r="B168" s="1" t="str">
        <f ca="1">IF(Información1[[#This Row],[Fecha]]='Ajuste de fechas'!$A$2,"Día actual","Día anterior")</f>
        <v>Día anterior</v>
      </c>
      <c r="C168" s="3" t="s">
        <v>42</v>
      </c>
      <c r="D168" t="s">
        <v>44</v>
      </c>
      <c r="E168" s="3" t="s">
        <v>199</v>
      </c>
      <c r="F168" s="3" t="s">
        <v>94</v>
      </c>
      <c r="G168" s="3" t="s">
        <v>106</v>
      </c>
      <c r="H168" s="3" t="s">
        <v>45</v>
      </c>
      <c r="I168" s="3" t="s">
        <v>7</v>
      </c>
      <c r="J168" s="3" t="s">
        <v>73</v>
      </c>
      <c r="K168" s="3" t="s">
        <v>43</v>
      </c>
      <c r="L168" s="3" t="s">
        <v>76</v>
      </c>
      <c r="M168">
        <v>1</v>
      </c>
    </row>
    <row r="169" spans="1:13" x14ac:dyDescent="0.25">
      <c r="A169" s="1">
        <v>46132</v>
      </c>
      <c r="B169" s="1" t="str">
        <f ca="1">IF(Información1[[#This Row],[Fecha]]='Ajuste de fechas'!$A$2,"Día actual","Día anterior")</f>
        <v>Día anterior</v>
      </c>
      <c r="C169" s="3" t="s">
        <v>42</v>
      </c>
      <c r="D169" t="s">
        <v>44</v>
      </c>
      <c r="E169" s="3" t="s">
        <v>200</v>
      </c>
      <c r="F169" s="3" t="s">
        <v>21</v>
      </c>
      <c r="G169" s="3" t="s">
        <v>113</v>
      </c>
      <c r="H169" s="3" t="s">
        <v>45</v>
      </c>
      <c r="I169" s="3" t="s">
        <v>7</v>
      </c>
      <c r="J169" s="3" t="s">
        <v>73</v>
      </c>
      <c r="K169" s="3" t="s">
        <v>43</v>
      </c>
      <c r="L169" s="3" t="s">
        <v>76</v>
      </c>
      <c r="M169">
        <v>1</v>
      </c>
    </row>
    <row r="170" spans="1:13" x14ac:dyDescent="0.25">
      <c r="A170" s="1">
        <v>46132</v>
      </c>
      <c r="B170" s="1" t="str">
        <f ca="1">IF(Información1[[#This Row],[Fecha]]='Ajuste de fechas'!$A$2,"Día actual","Día anterior")</f>
        <v>Día anterior</v>
      </c>
      <c r="C170" s="3" t="s">
        <v>42</v>
      </c>
      <c r="D170" t="s">
        <v>44</v>
      </c>
      <c r="E170" s="3" t="s">
        <v>114</v>
      </c>
      <c r="F170" s="3" t="s">
        <v>6</v>
      </c>
      <c r="G170" s="3" t="s">
        <v>105</v>
      </c>
      <c r="H170" s="3" t="s">
        <v>45</v>
      </c>
      <c r="I170" s="3" t="s">
        <v>7</v>
      </c>
      <c r="J170" s="3" t="s">
        <v>73</v>
      </c>
      <c r="K170" s="3" t="s">
        <v>43</v>
      </c>
      <c r="L170" s="3" t="s">
        <v>76</v>
      </c>
      <c r="M170">
        <v>1</v>
      </c>
    </row>
    <row r="171" spans="1:13" x14ac:dyDescent="0.25">
      <c r="A171" s="1">
        <v>46132</v>
      </c>
      <c r="B171" s="1" t="str">
        <f ca="1">IF(Información1[[#This Row],[Fecha]]='Ajuste de fechas'!$A$2,"Día actual","Día anterior")</f>
        <v>Día anterior</v>
      </c>
      <c r="C171" s="3" t="s">
        <v>42</v>
      </c>
      <c r="D171" t="s">
        <v>44</v>
      </c>
      <c r="E171" s="3" t="s">
        <v>201</v>
      </c>
      <c r="F171" s="3" t="s">
        <v>26</v>
      </c>
      <c r="G171" s="3" t="s">
        <v>202</v>
      </c>
      <c r="H171" s="3" t="s">
        <v>45</v>
      </c>
      <c r="I171" s="3" t="s">
        <v>7</v>
      </c>
      <c r="J171" s="3" t="s">
        <v>26</v>
      </c>
      <c r="K171" s="3" t="s">
        <v>43</v>
      </c>
      <c r="L171" s="3" t="s">
        <v>203</v>
      </c>
      <c r="M171">
        <v>1</v>
      </c>
    </row>
    <row r="172" spans="1:13" x14ac:dyDescent="0.25">
      <c r="A172" s="1">
        <v>46132</v>
      </c>
      <c r="B172" s="1" t="str">
        <f ca="1">IF(Información1[[#This Row],[Fecha]]='Ajuste de fechas'!$A$2,"Día actual","Día anterior")</f>
        <v>Día anterior</v>
      </c>
      <c r="C172" s="3" t="s">
        <v>42</v>
      </c>
      <c r="D172" t="s">
        <v>44</v>
      </c>
      <c r="E172" s="3" t="s">
        <v>204</v>
      </c>
      <c r="F172" s="3" t="s">
        <v>205</v>
      </c>
      <c r="G172" s="3" t="s">
        <v>206</v>
      </c>
      <c r="H172" s="3" t="s">
        <v>45</v>
      </c>
      <c r="I172" s="3" t="s">
        <v>7</v>
      </c>
      <c r="J172" s="3" t="s">
        <v>26</v>
      </c>
      <c r="K172" s="3" t="s">
        <v>43</v>
      </c>
      <c r="L172" s="3" t="s">
        <v>74</v>
      </c>
      <c r="M172">
        <v>1</v>
      </c>
    </row>
    <row r="173" spans="1:13" x14ac:dyDescent="0.25">
      <c r="A173" s="1">
        <v>46132</v>
      </c>
      <c r="B173" s="1" t="str">
        <f ca="1">IF(Información1[[#This Row],[Fecha]]='Ajuste de fechas'!$A$2,"Día actual","Día anterior")</f>
        <v>Día anterior</v>
      </c>
      <c r="C173" s="3" t="s">
        <v>42</v>
      </c>
      <c r="D173" t="s">
        <v>44</v>
      </c>
      <c r="E173" s="3" t="s">
        <v>116</v>
      </c>
      <c r="F173" s="3" t="s">
        <v>56</v>
      </c>
      <c r="G173" s="3" t="s">
        <v>99</v>
      </c>
      <c r="H173" s="3" t="s">
        <v>45</v>
      </c>
      <c r="I173" s="3" t="s">
        <v>7</v>
      </c>
      <c r="J173" s="3" t="s">
        <v>73</v>
      </c>
      <c r="K173" s="3" t="s">
        <v>43</v>
      </c>
      <c r="L173" s="3" t="s">
        <v>76</v>
      </c>
      <c r="M173">
        <v>1</v>
      </c>
    </row>
    <row r="174" spans="1:13" x14ac:dyDescent="0.25">
      <c r="A174" s="1">
        <v>46132</v>
      </c>
      <c r="B174" s="1" t="str">
        <f ca="1">IF(Información1[[#This Row],[Fecha]]='Ajuste de fechas'!$A$2,"Día actual","Día anterior")</f>
        <v>Día anterior</v>
      </c>
      <c r="C174" s="3" t="s">
        <v>42</v>
      </c>
      <c r="D174" t="s">
        <v>44</v>
      </c>
      <c r="E174" s="3" t="s">
        <v>207</v>
      </c>
      <c r="F174" s="3" t="s">
        <v>94</v>
      </c>
      <c r="G174" s="3" t="s">
        <v>102</v>
      </c>
      <c r="H174" s="3" t="s">
        <v>45</v>
      </c>
      <c r="I174" s="3" t="s">
        <v>7</v>
      </c>
      <c r="J174" s="3" t="s">
        <v>73</v>
      </c>
      <c r="K174" s="3" t="s">
        <v>43</v>
      </c>
      <c r="L174" s="3" t="s">
        <v>76</v>
      </c>
      <c r="M174">
        <v>1</v>
      </c>
    </row>
    <row r="175" spans="1:13" x14ac:dyDescent="0.25">
      <c r="A175" s="1">
        <v>46132</v>
      </c>
      <c r="B175" s="1" t="str">
        <f ca="1">IF(Información1[[#This Row],[Fecha]]='Ajuste de fechas'!$A$2,"Día actual","Día anterior")</f>
        <v>Día anterior</v>
      </c>
      <c r="C175" s="3" t="s">
        <v>42</v>
      </c>
      <c r="D175" t="s">
        <v>44</v>
      </c>
      <c r="E175" s="3" t="s">
        <v>208</v>
      </c>
      <c r="F175" s="3" t="s">
        <v>25</v>
      </c>
      <c r="G175" s="3" t="s">
        <v>103</v>
      </c>
      <c r="H175" s="3" t="s">
        <v>45</v>
      </c>
      <c r="I175" s="3" t="s">
        <v>7</v>
      </c>
      <c r="J175" s="3" t="s">
        <v>73</v>
      </c>
      <c r="K175" s="3" t="s">
        <v>43</v>
      </c>
      <c r="L175" s="3" t="s">
        <v>76</v>
      </c>
      <c r="M175">
        <v>1</v>
      </c>
    </row>
    <row r="176" spans="1:13" x14ac:dyDescent="0.25">
      <c r="A176" s="1">
        <v>46132</v>
      </c>
      <c r="B176" s="1" t="str">
        <f ca="1">IF(Información1[[#This Row],[Fecha]]='Ajuste de fechas'!$A$2,"Día actual","Día anterior")</f>
        <v>Día anterior</v>
      </c>
      <c r="C176" s="3" t="s">
        <v>42</v>
      </c>
      <c r="D176" t="s">
        <v>44</v>
      </c>
      <c r="E176" s="3" t="s">
        <v>117</v>
      </c>
      <c r="F176" s="3" t="s">
        <v>21</v>
      </c>
      <c r="G176" s="3" t="s">
        <v>90</v>
      </c>
      <c r="H176" s="3" t="s">
        <v>45</v>
      </c>
      <c r="I176" s="3" t="s">
        <v>7</v>
      </c>
      <c r="J176" s="3" t="s">
        <v>73</v>
      </c>
      <c r="K176" s="3" t="s">
        <v>43</v>
      </c>
      <c r="L176" s="3" t="s">
        <v>76</v>
      </c>
      <c r="M176">
        <v>1</v>
      </c>
    </row>
    <row r="177" spans="1:13" x14ac:dyDescent="0.25">
      <c r="A177" s="1">
        <v>46132</v>
      </c>
      <c r="B177" s="1" t="str">
        <f ca="1">IF(Información1[[#This Row],[Fecha]]='Ajuste de fechas'!$A$2,"Día actual","Día anterior")</f>
        <v>Día anterior</v>
      </c>
      <c r="C177" s="3" t="s">
        <v>42</v>
      </c>
      <c r="D177" t="s">
        <v>44</v>
      </c>
      <c r="E177" s="3" t="s">
        <v>209</v>
      </c>
      <c r="F177" s="3" t="s">
        <v>37</v>
      </c>
      <c r="G177" s="3" t="s">
        <v>210</v>
      </c>
      <c r="H177" s="3" t="s">
        <v>45</v>
      </c>
      <c r="I177" s="3" t="s">
        <v>7</v>
      </c>
      <c r="J177" s="3" t="s">
        <v>73</v>
      </c>
      <c r="K177" s="3" t="s">
        <v>43</v>
      </c>
      <c r="L177" s="3" t="s">
        <v>74</v>
      </c>
      <c r="M177">
        <v>1</v>
      </c>
    </row>
    <row r="178" spans="1:13" x14ac:dyDescent="0.25">
      <c r="A178" s="1">
        <v>46132</v>
      </c>
      <c r="B178" s="1" t="str">
        <f ca="1">IF(Información1[[#This Row],[Fecha]]='Ajuste de fechas'!$A$2,"Día actual","Día anterior")</f>
        <v>Día anterior</v>
      </c>
      <c r="C178" s="3" t="s">
        <v>57</v>
      </c>
      <c r="D178" t="s">
        <v>58</v>
      </c>
      <c r="E178" s="3" t="s">
        <v>211</v>
      </c>
      <c r="F178" s="3" t="s">
        <v>47</v>
      </c>
      <c r="G178" s="3" t="s">
        <v>212</v>
      </c>
      <c r="H178" s="3" t="s">
        <v>11</v>
      </c>
      <c r="I178" s="3" t="s">
        <v>7</v>
      </c>
      <c r="J178" s="3" t="s">
        <v>73</v>
      </c>
      <c r="K178" s="3" t="s">
        <v>59</v>
      </c>
      <c r="L178" s="3" t="s">
        <v>76</v>
      </c>
      <c r="M178">
        <v>1</v>
      </c>
    </row>
    <row r="179" spans="1:13" x14ac:dyDescent="0.25">
      <c r="A179" s="1">
        <v>46132</v>
      </c>
      <c r="B179" s="1" t="str">
        <f ca="1">IF(Información1[[#This Row],[Fecha]]='Ajuste de fechas'!$A$2,"Día actual","Día anterior")</f>
        <v>Día anterior</v>
      </c>
      <c r="C179" s="3" t="s">
        <v>57</v>
      </c>
      <c r="D179" t="s">
        <v>58</v>
      </c>
      <c r="E179" s="3" t="s">
        <v>213</v>
      </c>
      <c r="F179" s="3" t="s">
        <v>19</v>
      </c>
      <c r="G179" s="3" t="s">
        <v>104</v>
      </c>
      <c r="H179" s="3" t="s">
        <v>11</v>
      </c>
      <c r="I179" s="3" t="s">
        <v>7</v>
      </c>
      <c r="J179" s="3" t="s">
        <v>77</v>
      </c>
      <c r="K179" s="3" t="s">
        <v>59</v>
      </c>
      <c r="L179" s="3" t="s">
        <v>74</v>
      </c>
      <c r="M179">
        <v>1</v>
      </c>
    </row>
    <row r="180" spans="1:13" x14ac:dyDescent="0.25">
      <c r="A180" s="1">
        <v>46132</v>
      </c>
      <c r="B180" s="1" t="str">
        <f ca="1">IF(Información1[[#This Row],[Fecha]]='Ajuste de fechas'!$A$2,"Día actual","Día anterior")</f>
        <v>Día anterior</v>
      </c>
      <c r="C180" s="3" t="s">
        <v>57</v>
      </c>
      <c r="D180" t="s">
        <v>58</v>
      </c>
      <c r="E180" s="3" t="s">
        <v>214</v>
      </c>
      <c r="F180" s="3" t="s">
        <v>19</v>
      </c>
      <c r="G180" s="3" t="s">
        <v>46</v>
      </c>
      <c r="H180" s="3" t="s">
        <v>11</v>
      </c>
      <c r="I180" s="3" t="s">
        <v>7</v>
      </c>
      <c r="J180" s="3" t="s">
        <v>77</v>
      </c>
      <c r="K180" s="3" t="s">
        <v>59</v>
      </c>
      <c r="L180" s="3" t="s">
        <v>74</v>
      </c>
      <c r="M180">
        <v>1</v>
      </c>
    </row>
    <row r="181" spans="1:13" x14ac:dyDescent="0.25">
      <c r="A181" s="1">
        <v>46132</v>
      </c>
      <c r="B181" s="1" t="str">
        <f ca="1">IF(Información1[[#This Row],[Fecha]]='Ajuste de fechas'!$A$2,"Día actual","Día anterior")</f>
        <v>Día anterior</v>
      </c>
      <c r="C181" s="3" t="s">
        <v>57</v>
      </c>
      <c r="D181" t="s">
        <v>58</v>
      </c>
      <c r="E181" s="3" t="s">
        <v>215</v>
      </c>
      <c r="F181" s="3" t="s">
        <v>24</v>
      </c>
      <c r="G181" s="3" t="s">
        <v>46</v>
      </c>
      <c r="H181" s="3" t="s">
        <v>11</v>
      </c>
      <c r="I181" s="3" t="s">
        <v>7</v>
      </c>
      <c r="J181" s="3" t="s">
        <v>73</v>
      </c>
      <c r="K181" s="3" t="s">
        <v>59</v>
      </c>
      <c r="L181" s="3" t="s">
        <v>74</v>
      </c>
      <c r="M181">
        <v>1</v>
      </c>
    </row>
    <row r="182" spans="1:13" x14ac:dyDescent="0.25">
      <c r="A182" s="1">
        <v>46132</v>
      </c>
      <c r="B182" s="1" t="str">
        <f ca="1">IF(Información1[[#This Row],[Fecha]]='Ajuste de fechas'!$A$2,"Día actual","Día anterior")</f>
        <v>Día anterior</v>
      </c>
      <c r="C182" s="3" t="s">
        <v>57</v>
      </c>
      <c r="D182" t="s">
        <v>58</v>
      </c>
      <c r="E182" s="3" t="s">
        <v>216</v>
      </c>
      <c r="F182" s="3" t="s">
        <v>24</v>
      </c>
      <c r="G182" s="3" t="s">
        <v>133</v>
      </c>
      <c r="H182" s="3" t="s">
        <v>11</v>
      </c>
      <c r="I182" s="3" t="s">
        <v>7</v>
      </c>
      <c r="J182" s="3" t="s">
        <v>73</v>
      </c>
      <c r="K182" s="3" t="s">
        <v>59</v>
      </c>
      <c r="L182" s="3" t="s">
        <v>74</v>
      </c>
      <c r="M182">
        <v>1</v>
      </c>
    </row>
    <row r="183" spans="1:13" x14ac:dyDescent="0.25">
      <c r="A183" s="1">
        <v>46132</v>
      </c>
      <c r="B183" s="1" t="str">
        <f ca="1">IF(Información1[[#This Row],[Fecha]]='Ajuste de fechas'!$A$2,"Día actual","Día anterior")</f>
        <v>Día anterior</v>
      </c>
      <c r="C183" s="3" t="s">
        <v>57</v>
      </c>
      <c r="D183" t="s">
        <v>58</v>
      </c>
      <c r="E183" s="3" t="s">
        <v>217</v>
      </c>
      <c r="F183" s="3" t="s">
        <v>19</v>
      </c>
      <c r="G183" s="3" t="s">
        <v>46</v>
      </c>
      <c r="H183" s="3" t="s">
        <v>11</v>
      </c>
      <c r="I183" s="3" t="s">
        <v>7</v>
      </c>
      <c r="J183" s="3" t="s">
        <v>77</v>
      </c>
      <c r="K183" s="3" t="s">
        <v>59</v>
      </c>
      <c r="L183" s="3" t="s">
        <v>74</v>
      </c>
      <c r="M183">
        <v>1</v>
      </c>
    </row>
    <row r="184" spans="1:13" x14ac:dyDescent="0.25">
      <c r="A184" s="1">
        <v>46132</v>
      </c>
      <c r="B184" s="1" t="str">
        <f ca="1">IF(Información1[[#This Row],[Fecha]]='Ajuste de fechas'!$A$2,"Día actual","Día anterior")</f>
        <v>Día anterior</v>
      </c>
      <c r="C184" s="3" t="s">
        <v>57</v>
      </c>
      <c r="D184" t="s">
        <v>58</v>
      </c>
      <c r="E184" s="3" t="s">
        <v>218</v>
      </c>
      <c r="F184" s="3" t="s">
        <v>19</v>
      </c>
      <c r="G184" s="3" t="s">
        <v>145</v>
      </c>
      <c r="H184" s="3" t="s">
        <v>11</v>
      </c>
      <c r="I184" s="3" t="s">
        <v>7</v>
      </c>
      <c r="J184" s="3" t="s">
        <v>77</v>
      </c>
      <c r="K184" s="3" t="s">
        <v>59</v>
      </c>
      <c r="L184" s="3" t="s">
        <v>79</v>
      </c>
      <c r="M184">
        <v>1</v>
      </c>
    </row>
    <row r="185" spans="1:13" x14ac:dyDescent="0.25">
      <c r="A185" s="1">
        <v>46132</v>
      </c>
      <c r="B185" s="1" t="str">
        <f ca="1">IF(Información1[[#This Row],[Fecha]]='Ajuste de fechas'!$A$2,"Día actual","Día anterior")</f>
        <v>Día anterior</v>
      </c>
      <c r="C185" s="3" t="s">
        <v>57</v>
      </c>
      <c r="D185" t="s">
        <v>58</v>
      </c>
      <c r="E185" s="3" t="s">
        <v>219</v>
      </c>
      <c r="F185" s="3" t="s">
        <v>19</v>
      </c>
      <c r="G185" s="3" t="s">
        <v>122</v>
      </c>
      <c r="H185" s="3" t="s">
        <v>11</v>
      </c>
      <c r="I185" s="3" t="s">
        <v>7</v>
      </c>
      <c r="J185" s="3" t="s">
        <v>77</v>
      </c>
      <c r="K185" s="3" t="s">
        <v>59</v>
      </c>
      <c r="L185" s="3" t="s">
        <v>74</v>
      </c>
      <c r="M185">
        <v>1</v>
      </c>
    </row>
    <row r="186" spans="1:13" x14ac:dyDescent="0.25">
      <c r="A186" s="1">
        <v>46132</v>
      </c>
      <c r="B186" s="1" t="str">
        <f ca="1">IF(Información1[[#This Row],[Fecha]]='Ajuste de fechas'!$A$2,"Día actual","Día anterior")</f>
        <v>Día anterior</v>
      </c>
      <c r="C186" s="3" t="s">
        <v>57</v>
      </c>
      <c r="D186" t="s">
        <v>58</v>
      </c>
      <c r="E186" s="3" t="s">
        <v>220</v>
      </c>
      <c r="F186" s="3" t="s">
        <v>21</v>
      </c>
      <c r="G186" s="3" t="s">
        <v>221</v>
      </c>
      <c r="H186" s="3" t="s">
        <v>11</v>
      </c>
      <c r="I186" s="3" t="s">
        <v>7</v>
      </c>
      <c r="J186" s="3" t="s">
        <v>73</v>
      </c>
      <c r="K186" s="3" t="s">
        <v>59</v>
      </c>
      <c r="L186" s="3" t="s">
        <v>74</v>
      </c>
      <c r="M186">
        <v>1</v>
      </c>
    </row>
    <row r="187" spans="1:13" x14ac:dyDescent="0.25">
      <c r="A187" s="1">
        <v>46132</v>
      </c>
      <c r="B187" s="1" t="str">
        <f ca="1">IF(Información1[[#This Row],[Fecha]]='Ajuste de fechas'!$A$2,"Día actual","Día anterior")</f>
        <v>Día anterior</v>
      </c>
      <c r="C187" s="3" t="s">
        <v>57</v>
      </c>
      <c r="D187" t="s">
        <v>58</v>
      </c>
      <c r="E187" s="3" t="s">
        <v>222</v>
      </c>
      <c r="F187" s="3" t="s">
        <v>23</v>
      </c>
      <c r="G187" s="3" t="s">
        <v>95</v>
      </c>
      <c r="H187" s="3" t="s">
        <v>11</v>
      </c>
      <c r="I187" s="3" t="s">
        <v>7</v>
      </c>
      <c r="J187" s="3" t="s">
        <v>78</v>
      </c>
      <c r="K187" s="3" t="s">
        <v>59</v>
      </c>
      <c r="L187" s="3" t="s">
        <v>74</v>
      </c>
      <c r="M187">
        <v>1</v>
      </c>
    </row>
    <row r="188" spans="1:13" x14ac:dyDescent="0.25">
      <c r="A188" s="1">
        <v>46132</v>
      </c>
      <c r="B188" s="1" t="str">
        <f ca="1">IF(Información1[[#This Row],[Fecha]]='Ajuste de fechas'!$A$2,"Día actual","Día anterior")</f>
        <v>Día anterior</v>
      </c>
      <c r="C188" s="3" t="s">
        <v>57</v>
      </c>
      <c r="D188" t="s">
        <v>58</v>
      </c>
      <c r="E188" s="3" t="s">
        <v>223</v>
      </c>
      <c r="F188" s="3" t="s">
        <v>19</v>
      </c>
      <c r="G188" s="3" t="s">
        <v>95</v>
      </c>
      <c r="H188" s="3" t="s">
        <v>11</v>
      </c>
      <c r="I188" s="3" t="s">
        <v>7</v>
      </c>
      <c r="J188" s="3" t="s">
        <v>77</v>
      </c>
      <c r="K188" s="3" t="s">
        <v>59</v>
      </c>
      <c r="L188" s="3" t="s">
        <v>74</v>
      </c>
      <c r="M188">
        <v>1</v>
      </c>
    </row>
    <row r="189" spans="1:13" x14ac:dyDescent="0.25">
      <c r="A189" s="1">
        <v>46132</v>
      </c>
      <c r="B189" s="1" t="str">
        <f ca="1">IF(Información1[[#This Row],[Fecha]]='Ajuste de fechas'!$A$2,"Día actual","Día anterior")</f>
        <v>Día anterior</v>
      </c>
      <c r="C189" s="3" t="s">
        <v>57</v>
      </c>
      <c r="D189" t="s">
        <v>58</v>
      </c>
      <c r="E189" s="3" t="s">
        <v>224</v>
      </c>
      <c r="F189" s="3" t="s">
        <v>141</v>
      </c>
      <c r="G189" s="3" t="s">
        <v>143</v>
      </c>
      <c r="H189" s="3" t="s">
        <v>11</v>
      </c>
      <c r="I189" s="3" t="s">
        <v>27</v>
      </c>
      <c r="J189" s="3" t="s">
        <v>73</v>
      </c>
      <c r="K189" s="3" t="s">
        <v>59</v>
      </c>
      <c r="L189" s="3" t="s">
        <v>75</v>
      </c>
      <c r="M189">
        <v>1</v>
      </c>
    </row>
    <row r="190" spans="1:13" x14ac:dyDescent="0.25">
      <c r="A190" s="1">
        <v>46132</v>
      </c>
      <c r="B190" s="1" t="str">
        <f ca="1">IF(Información1[[#This Row],[Fecha]]='Ajuste de fechas'!$A$2,"Día actual","Día anterior")</f>
        <v>Día anterior</v>
      </c>
      <c r="C190" s="3" t="s">
        <v>57</v>
      </c>
      <c r="D190" t="s">
        <v>58</v>
      </c>
      <c r="E190" s="3" t="s">
        <v>225</v>
      </c>
      <c r="F190" s="3" t="s">
        <v>141</v>
      </c>
      <c r="G190" s="3" t="s">
        <v>143</v>
      </c>
      <c r="H190" s="3" t="s">
        <v>11</v>
      </c>
      <c r="I190" s="3" t="s">
        <v>7</v>
      </c>
      <c r="J190" s="3" t="s">
        <v>73</v>
      </c>
      <c r="K190" s="3" t="s">
        <v>59</v>
      </c>
      <c r="L190" s="3" t="s">
        <v>76</v>
      </c>
      <c r="M190">
        <v>1</v>
      </c>
    </row>
    <row r="191" spans="1:13" x14ac:dyDescent="0.25">
      <c r="A191" s="1">
        <v>46132</v>
      </c>
      <c r="B191" s="1" t="str">
        <f ca="1">IF(Información1[[#This Row],[Fecha]]='Ajuste de fechas'!$A$2,"Día actual","Día anterior")</f>
        <v>Día anterior</v>
      </c>
      <c r="C191" s="3" t="s">
        <v>57</v>
      </c>
      <c r="D191" t="s">
        <v>58</v>
      </c>
      <c r="E191" s="3" t="s">
        <v>226</v>
      </c>
      <c r="F191" s="3" t="s">
        <v>28</v>
      </c>
      <c r="G191" s="3" t="s">
        <v>196</v>
      </c>
      <c r="H191" s="3" t="s">
        <v>11</v>
      </c>
      <c r="I191" s="3" t="s">
        <v>7</v>
      </c>
      <c r="J191" s="3" t="s">
        <v>73</v>
      </c>
      <c r="K191" s="3" t="s">
        <v>59</v>
      </c>
      <c r="L191" s="3" t="s">
        <v>76</v>
      </c>
      <c r="M191">
        <v>1</v>
      </c>
    </row>
    <row r="192" spans="1:13" x14ac:dyDescent="0.25">
      <c r="A192" s="1">
        <v>46132</v>
      </c>
      <c r="B192" s="1" t="str">
        <f ca="1">IF(Información1[[#This Row],[Fecha]]='Ajuste de fechas'!$A$2,"Día actual","Día anterior")</f>
        <v>Día anterior</v>
      </c>
      <c r="C192" s="3" t="s">
        <v>57</v>
      </c>
      <c r="D192" t="s">
        <v>58</v>
      </c>
      <c r="E192" s="3" t="s">
        <v>227</v>
      </c>
      <c r="F192" s="3" t="s">
        <v>24</v>
      </c>
      <c r="G192" s="3" t="s">
        <v>228</v>
      </c>
      <c r="H192" s="3" t="s">
        <v>11</v>
      </c>
      <c r="I192" s="3" t="s">
        <v>27</v>
      </c>
      <c r="J192" s="3" t="s">
        <v>73</v>
      </c>
      <c r="K192" s="3" t="s">
        <v>59</v>
      </c>
      <c r="L192" s="3" t="s">
        <v>75</v>
      </c>
      <c r="M192">
        <v>1</v>
      </c>
    </row>
    <row r="193" spans="1:13" x14ac:dyDescent="0.25">
      <c r="A193" s="1">
        <v>46132</v>
      </c>
      <c r="B193" s="1" t="str">
        <f ca="1">IF(Información1[[#This Row],[Fecha]]='Ajuste de fechas'!$A$2,"Día actual","Día anterior")</f>
        <v>Día anterior</v>
      </c>
      <c r="C193" s="3" t="s">
        <v>57</v>
      </c>
      <c r="D193" t="s">
        <v>58</v>
      </c>
      <c r="E193" s="3" t="s">
        <v>229</v>
      </c>
      <c r="F193" s="3" t="s">
        <v>26</v>
      </c>
      <c r="G193" s="3" t="s">
        <v>133</v>
      </c>
      <c r="H193" s="3" t="s">
        <v>11</v>
      </c>
      <c r="I193" s="3" t="s">
        <v>7</v>
      </c>
      <c r="J193" s="3" t="s">
        <v>26</v>
      </c>
      <c r="K193" s="3" t="s">
        <v>59</v>
      </c>
      <c r="L193" s="3" t="s">
        <v>74</v>
      </c>
      <c r="M193">
        <v>1</v>
      </c>
    </row>
    <row r="194" spans="1:13" x14ac:dyDescent="0.25">
      <c r="A194" s="1">
        <v>46132</v>
      </c>
      <c r="B194" s="1" t="str">
        <f ca="1">IF(Información1[[#This Row],[Fecha]]='Ajuste de fechas'!$A$2,"Día actual","Día anterior")</f>
        <v>Día anterior</v>
      </c>
      <c r="C194" s="3" t="s">
        <v>57</v>
      </c>
      <c r="D194" t="s">
        <v>58</v>
      </c>
      <c r="E194" s="3" t="s">
        <v>230</v>
      </c>
      <c r="F194" s="3" t="s">
        <v>47</v>
      </c>
      <c r="G194" s="3" t="s">
        <v>231</v>
      </c>
      <c r="H194" s="3" t="s">
        <v>11</v>
      </c>
      <c r="I194" s="3" t="s">
        <v>7</v>
      </c>
      <c r="J194" s="3" t="s">
        <v>73</v>
      </c>
      <c r="K194" s="3" t="s">
        <v>59</v>
      </c>
      <c r="L194" s="3" t="s">
        <v>74</v>
      </c>
      <c r="M194">
        <v>1</v>
      </c>
    </row>
    <row r="195" spans="1:13" x14ac:dyDescent="0.25">
      <c r="A195" s="1">
        <v>46132</v>
      </c>
      <c r="B195" s="1" t="str">
        <f ca="1">IF(Información1[[#This Row],[Fecha]]='Ajuste de fechas'!$A$2,"Día actual","Día anterior")</f>
        <v>Día anterior</v>
      </c>
      <c r="C195" s="3" t="s">
        <v>57</v>
      </c>
      <c r="D195" t="s">
        <v>58</v>
      </c>
      <c r="E195" s="3" t="s">
        <v>93</v>
      </c>
      <c r="F195" s="3" t="s">
        <v>19</v>
      </c>
      <c r="G195" s="3" t="s">
        <v>46</v>
      </c>
      <c r="H195" s="3" t="s">
        <v>11</v>
      </c>
      <c r="I195" s="3" t="s">
        <v>7</v>
      </c>
      <c r="J195" s="3" t="s">
        <v>77</v>
      </c>
      <c r="K195" s="3" t="s">
        <v>59</v>
      </c>
      <c r="L195" s="3" t="s">
        <v>74</v>
      </c>
      <c r="M195">
        <v>1</v>
      </c>
    </row>
    <row r="196" spans="1:13" x14ac:dyDescent="0.25">
      <c r="A196" s="1">
        <v>46132</v>
      </c>
      <c r="B196" s="1" t="str">
        <f ca="1">IF(Información1[[#This Row],[Fecha]]='Ajuste de fechas'!$A$2,"Día actual","Día anterior")</f>
        <v>Día anterior</v>
      </c>
      <c r="C196" s="3" t="s">
        <v>57</v>
      </c>
      <c r="D196" t="s">
        <v>58</v>
      </c>
      <c r="E196" s="3" t="s">
        <v>232</v>
      </c>
      <c r="F196" s="3" t="s">
        <v>19</v>
      </c>
      <c r="G196" s="3" t="s">
        <v>233</v>
      </c>
      <c r="H196" s="3" t="s">
        <v>11</v>
      </c>
      <c r="I196" s="3" t="s">
        <v>27</v>
      </c>
      <c r="J196" s="3" t="s">
        <v>77</v>
      </c>
      <c r="K196" s="3" t="s">
        <v>59</v>
      </c>
      <c r="L196" s="3" t="s">
        <v>74</v>
      </c>
      <c r="M196">
        <v>1</v>
      </c>
    </row>
    <row r="197" spans="1:13" x14ac:dyDescent="0.25">
      <c r="A197" s="1">
        <v>46132</v>
      </c>
      <c r="B197" s="1" t="str">
        <f ca="1">IF(Información1[[#This Row],[Fecha]]='Ajuste de fechas'!$A$2,"Día actual","Día anterior")</f>
        <v>Día anterior</v>
      </c>
      <c r="C197" s="3" t="s">
        <v>57</v>
      </c>
      <c r="D197" t="s">
        <v>58</v>
      </c>
      <c r="E197" s="3" t="s">
        <v>234</v>
      </c>
      <c r="F197" s="3" t="s">
        <v>19</v>
      </c>
      <c r="G197" s="3" t="s">
        <v>235</v>
      </c>
      <c r="H197" s="3" t="s">
        <v>11</v>
      </c>
      <c r="I197" s="3" t="s">
        <v>7</v>
      </c>
      <c r="J197" s="3" t="s">
        <v>77</v>
      </c>
      <c r="K197" s="3" t="s">
        <v>9</v>
      </c>
      <c r="L197" s="3" t="s">
        <v>74</v>
      </c>
      <c r="M197">
        <v>1</v>
      </c>
    </row>
    <row r="198" spans="1:13" x14ac:dyDescent="0.25">
      <c r="A198" s="1">
        <v>46132</v>
      </c>
      <c r="B198" s="1" t="str">
        <f ca="1">IF(Información1[[#This Row],[Fecha]]='Ajuste de fechas'!$A$2,"Día actual","Día anterior")</f>
        <v>Día anterior</v>
      </c>
      <c r="C198" s="3" t="s">
        <v>57</v>
      </c>
      <c r="D198" t="s">
        <v>58</v>
      </c>
      <c r="E198" s="3" t="s">
        <v>236</v>
      </c>
      <c r="F198" s="3" t="s">
        <v>21</v>
      </c>
      <c r="G198" s="3" t="s">
        <v>192</v>
      </c>
      <c r="H198" s="3" t="s">
        <v>11</v>
      </c>
      <c r="I198" s="3" t="s">
        <v>7</v>
      </c>
      <c r="J198" s="3" t="s">
        <v>73</v>
      </c>
      <c r="K198" s="3" t="s">
        <v>59</v>
      </c>
      <c r="L198" s="3" t="s">
        <v>74</v>
      </c>
      <c r="M198">
        <v>1</v>
      </c>
    </row>
    <row r="199" spans="1:13" x14ac:dyDescent="0.25">
      <c r="A199" s="1">
        <v>46132</v>
      </c>
      <c r="B199" s="1" t="str">
        <f ca="1">IF(Información1[[#This Row],[Fecha]]='Ajuste de fechas'!$A$2,"Día actual","Día anterior")</f>
        <v>Día anterior</v>
      </c>
      <c r="C199" s="3" t="s">
        <v>57</v>
      </c>
      <c r="D199" t="s">
        <v>58</v>
      </c>
      <c r="E199" s="3" t="s">
        <v>237</v>
      </c>
      <c r="F199" s="3" t="s">
        <v>47</v>
      </c>
      <c r="G199" s="3" t="s">
        <v>152</v>
      </c>
      <c r="H199" s="3" t="s">
        <v>11</v>
      </c>
      <c r="I199" s="3" t="s">
        <v>7</v>
      </c>
      <c r="J199" s="3" t="s">
        <v>73</v>
      </c>
      <c r="K199" s="3" t="s">
        <v>59</v>
      </c>
      <c r="L199" s="3" t="s">
        <v>74</v>
      </c>
      <c r="M199">
        <v>1</v>
      </c>
    </row>
    <row r="200" spans="1:13" x14ac:dyDescent="0.25">
      <c r="A200" s="1">
        <v>46132</v>
      </c>
      <c r="B200" s="1" t="str">
        <f ca="1">IF(Información1[[#This Row],[Fecha]]='Ajuste de fechas'!$A$2,"Día actual","Día anterior")</f>
        <v>Día anterior</v>
      </c>
      <c r="C200" s="3" t="s">
        <v>48</v>
      </c>
      <c r="D200" t="s">
        <v>49</v>
      </c>
      <c r="E200" s="3" t="s">
        <v>238</v>
      </c>
      <c r="F200" s="3" t="s">
        <v>141</v>
      </c>
      <c r="G200" s="3" t="s">
        <v>143</v>
      </c>
      <c r="H200" s="3" t="s">
        <v>45</v>
      </c>
      <c r="I200" s="3" t="s">
        <v>7</v>
      </c>
      <c r="J200" s="3" t="s">
        <v>73</v>
      </c>
      <c r="K200" s="3" t="s">
        <v>30</v>
      </c>
      <c r="L200" s="3" t="s">
        <v>75</v>
      </c>
      <c r="M200">
        <v>1</v>
      </c>
    </row>
    <row r="201" spans="1:13" x14ac:dyDescent="0.25">
      <c r="A201" s="1">
        <v>46132</v>
      </c>
      <c r="B201" s="1" t="str">
        <f ca="1">IF(Información1[[#This Row],[Fecha]]='Ajuste de fechas'!$A$2,"Día actual","Día anterior")</f>
        <v>Día anterior</v>
      </c>
      <c r="C201" s="3" t="s">
        <v>48</v>
      </c>
      <c r="D201" t="s">
        <v>49</v>
      </c>
      <c r="E201" s="3" t="s">
        <v>239</v>
      </c>
      <c r="F201" s="3" t="s">
        <v>15</v>
      </c>
      <c r="G201" s="3" t="s">
        <v>240</v>
      </c>
      <c r="H201" s="3" t="s">
        <v>45</v>
      </c>
      <c r="I201" s="3" t="s">
        <v>27</v>
      </c>
      <c r="J201" s="3" t="s">
        <v>73</v>
      </c>
      <c r="K201" s="3" t="s">
        <v>30</v>
      </c>
      <c r="L201" s="3" t="s">
        <v>75</v>
      </c>
      <c r="M201">
        <v>1</v>
      </c>
    </row>
    <row r="202" spans="1:13" x14ac:dyDescent="0.25">
      <c r="A202" s="1">
        <v>46132</v>
      </c>
      <c r="B202" s="1" t="str">
        <f ca="1">IF(Información1[[#This Row],[Fecha]]='Ajuste de fechas'!$A$2,"Día actual","Día anterior")</f>
        <v>Día anterior</v>
      </c>
      <c r="C202" s="3" t="s">
        <v>48</v>
      </c>
      <c r="D202" t="s">
        <v>49</v>
      </c>
      <c r="E202" s="3" t="s">
        <v>204</v>
      </c>
      <c r="F202" s="3" t="s">
        <v>205</v>
      </c>
      <c r="G202" s="3" t="s">
        <v>206</v>
      </c>
      <c r="H202" s="3" t="s">
        <v>45</v>
      </c>
      <c r="I202" s="3" t="s">
        <v>7</v>
      </c>
      <c r="J202" s="3" t="s">
        <v>26</v>
      </c>
      <c r="K202" s="3" t="s">
        <v>30</v>
      </c>
      <c r="L202" s="3" t="s">
        <v>74</v>
      </c>
      <c r="M202">
        <v>1</v>
      </c>
    </row>
    <row r="203" spans="1:13" x14ac:dyDescent="0.25">
      <c r="A203" s="1">
        <v>46132</v>
      </c>
      <c r="B203" s="1" t="str">
        <f ca="1">IF(Información1[[#This Row],[Fecha]]='Ajuste de fechas'!$A$2,"Día actual","Día anterior")</f>
        <v>Día anterior</v>
      </c>
      <c r="C203" s="3" t="s">
        <v>48</v>
      </c>
      <c r="D203" t="s">
        <v>49</v>
      </c>
      <c r="E203" s="3" t="s">
        <v>241</v>
      </c>
      <c r="F203" s="3" t="s">
        <v>24</v>
      </c>
      <c r="G203" s="3" t="s">
        <v>242</v>
      </c>
      <c r="H203" s="3" t="s">
        <v>45</v>
      </c>
      <c r="I203" s="3" t="s">
        <v>7</v>
      </c>
      <c r="J203" s="3" t="s">
        <v>73</v>
      </c>
      <c r="K203" s="3" t="s">
        <v>30</v>
      </c>
      <c r="L203" s="3" t="s">
        <v>74</v>
      </c>
      <c r="M203">
        <v>1</v>
      </c>
    </row>
    <row r="204" spans="1:13" x14ac:dyDescent="0.25">
      <c r="A204" s="1">
        <v>46132</v>
      </c>
      <c r="B204" s="1" t="str">
        <f ca="1">IF(Información1[[#This Row],[Fecha]]='Ajuste de fechas'!$A$2,"Día actual","Día anterior")</f>
        <v>Día anterior</v>
      </c>
      <c r="C204" s="3" t="s">
        <v>48</v>
      </c>
      <c r="D204" t="s">
        <v>49</v>
      </c>
      <c r="E204" s="3" t="s">
        <v>243</v>
      </c>
      <c r="F204" s="3" t="s">
        <v>28</v>
      </c>
      <c r="G204" s="3" t="s">
        <v>244</v>
      </c>
      <c r="H204" s="3" t="s">
        <v>45</v>
      </c>
      <c r="I204" s="3" t="s">
        <v>7</v>
      </c>
      <c r="J204" s="3" t="s">
        <v>73</v>
      </c>
      <c r="K204" s="3" t="s">
        <v>9</v>
      </c>
      <c r="L204" s="3" t="s">
        <v>74</v>
      </c>
      <c r="M204">
        <v>1</v>
      </c>
    </row>
    <row r="205" spans="1:13" x14ac:dyDescent="0.25">
      <c r="A205" s="1">
        <v>46132</v>
      </c>
      <c r="B205" s="1" t="str">
        <f ca="1">IF(Información1[[#This Row],[Fecha]]='Ajuste de fechas'!$A$2,"Día actual","Día anterior")</f>
        <v>Día anterior</v>
      </c>
      <c r="C205" s="3" t="s">
        <v>48</v>
      </c>
      <c r="D205" t="s">
        <v>49</v>
      </c>
      <c r="E205" s="3" t="s">
        <v>245</v>
      </c>
      <c r="F205" s="3" t="s">
        <v>21</v>
      </c>
      <c r="G205" s="3" t="s">
        <v>246</v>
      </c>
      <c r="H205" s="3" t="s">
        <v>45</v>
      </c>
      <c r="I205" s="3" t="s">
        <v>7</v>
      </c>
      <c r="J205" s="3" t="s">
        <v>73</v>
      </c>
      <c r="K205" s="3" t="s">
        <v>30</v>
      </c>
      <c r="L205" s="3" t="s">
        <v>76</v>
      </c>
      <c r="M205">
        <v>1</v>
      </c>
    </row>
    <row r="206" spans="1:13" x14ac:dyDescent="0.25">
      <c r="A206" s="1">
        <v>46132</v>
      </c>
      <c r="B206" s="1" t="str">
        <f ca="1">IF(Información1[[#This Row],[Fecha]]='Ajuste de fechas'!$A$2,"Día actual","Día anterior")</f>
        <v>Día anterior</v>
      </c>
      <c r="C206" s="3" t="s">
        <v>48</v>
      </c>
      <c r="D206" t="s">
        <v>49</v>
      </c>
      <c r="E206" s="3" t="s">
        <v>247</v>
      </c>
      <c r="F206" s="3" t="s">
        <v>24</v>
      </c>
      <c r="G206" s="3" t="s">
        <v>139</v>
      </c>
      <c r="H206" s="3" t="s">
        <v>45</v>
      </c>
      <c r="I206" s="3" t="s">
        <v>7</v>
      </c>
      <c r="J206" s="3" t="s">
        <v>73</v>
      </c>
      <c r="K206" s="3" t="s">
        <v>30</v>
      </c>
      <c r="L206" s="3" t="s">
        <v>76</v>
      </c>
      <c r="M206">
        <v>1</v>
      </c>
    </row>
    <row r="207" spans="1:13" x14ac:dyDescent="0.25">
      <c r="A207" s="1">
        <v>46132</v>
      </c>
      <c r="B207" s="1" t="str">
        <f ca="1">IF(Información1[[#This Row],[Fecha]]='Ajuste de fechas'!$A$2,"Día actual","Día anterior")</f>
        <v>Día anterior</v>
      </c>
      <c r="C207" s="3" t="s">
        <v>48</v>
      </c>
      <c r="D207" t="s">
        <v>49</v>
      </c>
      <c r="E207" s="3" t="s">
        <v>248</v>
      </c>
      <c r="F207" s="3" t="s">
        <v>28</v>
      </c>
      <c r="G207" s="3" t="s">
        <v>249</v>
      </c>
      <c r="H207" s="3" t="s">
        <v>45</v>
      </c>
      <c r="I207" s="3" t="s">
        <v>7</v>
      </c>
      <c r="J207" s="3" t="s">
        <v>73</v>
      </c>
      <c r="K207" s="3" t="s">
        <v>30</v>
      </c>
      <c r="L207" s="3" t="s">
        <v>74</v>
      </c>
      <c r="M207">
        <v>1</v>
      </c>
    </row>
    <row r="208" spans="1:13" x14ac:dyDescent="0.25">
      <c r="A208" s="1">
        <v>46132</v>
      </c>
      <c r="B208" s="1" t="str">
        <f ca="1">IF(Información1[[#This Row],[Fecha]]='Ajuste de fechas'!$A$2,"Día actual","Día anterior")</f>
        <v>Día anterior</v>
      </c>
      <c r="C208" s="3" t="s">
        <v>48</v>
      </c>
      <c r="D208" t="s">
        <v>49</v>
      </c>
      <c r="E208" s="3" t="s">
        <v>250</v>
      </c>
      <c r="F208" s="3" t="s">
        <v>141</v>
      </c>
      <c r="G208" s="3" t="s">
        <v>125</v>
      </c>
      <c r="H208" s="3" t="s">
        <v>45</v>
      </c>
      <c r="I208" s="3" t="s">
        <v>7</v>
      </c>
      <c r="J208" s="3" t="s">
        <v>73</v>
      </c>
      <c r="K208" s="3" t="s">
        <v>30</v>
      </c>
      <c r="L208" s="3" t="s">
        <v>74</v>
      </c>
      <c r="M208">
        <v>1</v>
      </c>
    </row>
    <row r="209" spans="1:13" x14ac:dyDescent="0.25">
      <c r="A209" s="1">
        <v>46132</v>
      </c>
      <c r="B209" s="1" t="str">
        <f ca="1">IF(Información1[[#This Row],[Fecha]]='Ajuste de fechas'!$A$2,"Día actual","Día anterior")</f>
        <v>Día anterior</v>
      </c>
      <c r="C209" s="3" t="s">
        <v>48</v>
      </c>
      <c r="D209" t="s">
        <v>49</v>
      </c>
      <c r="E209" s="3" t="s">
        <v>251</v>
      </c>
      <c r="F209" s="3" t="s">
        <v>56</v>
      </c>
      <c r="G209" s="3" t="s">
        <v>252</v>
      </c>
      <c r="H209" s="3" t="s">
        <v>45</v>
      </c>
      <c r="I209" s="3" t="s">
        <v>7</v>
      </c>
      <c r="J209" s="3" t="s">
        <v>73</v>
      </c>
      <c r="K209" s="3" t="s">
        <v>30</v>
      </c>
      <c r="L209" s="3" t="s">
        <v>74</v>
      </c>
      <c r="M209">
        <v>1</v>
      </c>
    </row>
    <row r="210" spans="1:13" x14ac:dyDescent="0.25">
      <c r="A210" s="1">
        <v>46132</v>
      </c>
      <c r="B210" s="1" t="str">
        <f ca="1">IF(Información1[[#This Row],[Fecha]]='Ajuste de fechas'!$A$2,"Día actual","Día anterior")</f>
        <v>Día anterior</v>
      </c>
      <c r="C210" s="3" t="s">
        <v>48</v>
      </c>
      <c r="D210" t="s">
        <v>49</v>
      </c>
      <c r="E210" s="3" t="s">
        <v>253</v>
      </c>
      <c r="F210" s="3" t="s">
        <v>6</v>
      </c>
      <c r="G210" s="3" t="s">
        <v>87</v>
      </c>
      <c r="H210" s="3" t="s">
        <v>45</v>
      </c>
      <c r="I210" s="3" t="s">
        <v>7</v>
      </c>
      <c r="J210" s="3" t="s">
        <v>73</v>
      </c>
      <c r="K210" s="3" t="s">
        <v>30</v>
      </c>
      <c r="L210" s="3" t="s">
        <v>74</v>
      </c>
      <c r="M210">
        <v>1</v>
      </c>
    </row>
    <row r="211" spans="1:13" x14ac:dyDescent="0.25">
      <c r="A211" s="1">
        <v>46132</v>
      </c>
      <c r="B211" s="1" t="str">
        <f ca="1">IF(Información1[[#This Row],[Fecha]]='Ajuste de fechas'!$A$2,"Día actual","Día anterior")</f>
        <v>Día anterior</v>
      </c>
      <c r="C211" s="3" t="s">
        <v>34</v>
      </c>
      <c r="D211" t="s">
        <v>176</v>
      </c>
      <c r="E211" s="3" t="s">
        <v>156</v>
      </c>
      <c r="F211" s="3" t="s">
        <v>56</v>
      </c>
      <c r="G211" s="3" t="s">
        <v>157</v>
      </c>
      <c r="H211" s="3" t="s">
        <v>11</v>
      </c>
      <c r="I211" s="3" t="s">
        <v>7</v>
      </c>
      <c r="J211" s="3" t="s">
        <v>73</v>
      </c>
      <c r="K211" s="3" t="s">
        <v>177</v>
      </c>
      <c r="L211" s="3" t="s">
        <v>76</v>
      </c>
      <c r="M211">
        <v>1</v>
      </c>
    </row>
    <row r="212" spans="1:13" x14ac:dyDescent="0.25">
      <c r="A212" s="1">
        <v>46132</v>
      </c>
      <c r="B212" s="1" t="str">
        <f ca="1">IF(Información1[[#This Row],[Fecha]]='Ajuste de fechas'!$A$2,"Día actual","Día anterior")</f>
        <v>Día anterior</v>
      </c>
      <c r="C212" s="3" t="s">
        <v>34</v>
      </c>
      <c r="D212" t="s">
        <v>176</v>
      </c>
      <c r="E212" s="3" t="s">
        <v>142</v>
      </c>
      <c r="F212" s="3" t="s">
        <v>141</v>
      </c>
      <c r="G212" s="3" t="s">
        <v>143</v>
      </c>
      <c r="H212" s="3" t="s">
        <v>11</v>
      </c>
      <c r="I212" s="3" t="s">
        <v>7</v>
      </c>
      <c r="J212" s="3" t="s">
        <v>73</v>
      </c>
      <c r="K212" s="3" t="s">
        <v>177</v>
      </c>
      <c r="L212" s="3" t="s">
        <v>76</v>
      </c>
      <c r="M212">
        <v>1</v>
      </c>
    </row>
    <row r="213" spans="1:13" x14ac:dyDescent="0.25">
      <c r="A213" s="1">
        <v>46132</v>
      </c>
      <c r="B213" s="1" t="str">
        <f ca="1">IF(Información1[[#This Row],[Fecha]]='Ajuste de fechas'!$A$2,"Día actual","Día anterior")</f>
        <v>Día anterior</v>
      </c>
      <c r="C213" s="3" t="s">
        <v>42</v>
      </c>
      <c r="D213" t="s">
        <v>44</v>
      </c>
      <c r="E213" s="3" t="s">
        <v>331</v>
      </c>
      <c r="F213" s="3" t="s">
        <v>21</v>
      </c>
      <c r="G213" s="3" t="s">
        <v>91</v>
      </c>
      <c r="H213" s="3" t="s">
        <v>45</v>
      </c>
      <c r="I213" s="3" t="s">
        <v>7</v>
      </c>
      <c r="J213" s="3" t="s">
        <v>73</v>
      </c>
      <c r="K213" s="3" t="s">
        <v>43</v>
      </c>
      <c r="L213" s="3" t="s">
        <v>74</v>
      </c>
      <c r="M213">
        <v>1</v>
      </c>
    </row>
    <row r="214" spans="1:13" x14ac:dyDescent="0.25">
      <c r="A214" s="1">
        <v>46132</v>
      </c>
      <c r="B214" s="1" t="str">
        <f ca="1">IF(Información1[[#This Row],[Fecha]]='Ajuste de fechas'!$A$2,"Día actual","Día anterior")</f>
        <v>Día anterior</v>
      </c>
      <c r="C214" s="3" t="s">
        <v>42</v>
      </c>
      <c r="D214" t="s">
        <v>44</v>
      </c>
      <c r="E214" s="3" t="s">
        <v>211</v>
      </c>
      <c r="F214" s="3" t="s">
        <v>47</v>
      </c>
      <c r="G214" s="3" t="s">
        <v>137</v>
      </c>
      <c r="H214" s="3" t="s">
        <v>45</v>
      </c>
      <c r="I214" s="3" t="s">
        <v>7</v>
      </c>
      <c r="J214" s="3" t="s">
        <v>73</v>
      </c>
      <c r="K214" s="3" t="s">
        <v>43</v>
      </c>
      <c r="L214" s="3" t="s">
        <v>76</v>
      </c>
      <c r="M214">
        <v>1</v>
      </c>
    </row>
    <row r="215" spans="1:13" x14ac:dyDescent="0.25">
      <c r="A215" s="1">
        <v>46132</v>
      </c>
      <c r="B215" s="1" t="str">
        <f ca="1">IF(Información1[[#This Row],[Fecha]]='Ajuste de fechas'!$A$2,"Día actual","Día anterior")</f>
        <v>Día anterior</v>
      </c>
      <c r="C215" s="3" t="s">
        <v>42</v>
      </c>
      <c r="D215" t="s">
        <v>44</v>
      </c>
      <c r="E215" s="3" t="s">
        <v>332</v>
      </c>
      <c r="F215" s="3" t="s">
        <v>24</v>
      </c>
      <c r="G215" s="3" t="s">
        <v>133</v>
      </c>
      <c r="H215" s="3" t="s">
        <v>45</v>
      </c>
      <c r="I215" s="3" t="s">
        <v>7</v>
      </c>
      <c r="J215" s="3" t="s">
        <v>73</v>
      </c>
      <c r="K215" s="3" t="s">
        <v>43</v>
      </c>
      <c r="L215" s="3" t="s">
        <v>76</v>
      </c>
      <c r="M215">
        <v>1</v>
      </c>
    </row>
    <row r="216" spans="1:13" x14ac:dyDescent="0.25">
      <c r="A216" s="1">
        <v>46132</v>
      </c>
      <c r="B216" s="1" t="str">
        <f ca="1">IF(Información1[[#This Row],[Fecha]]='Ajuste de fechas'!$A$2,"Día actual","Día anterior")</f>
        <v>Día anterior</v>
      </c>
      <c r="C216" s="3" t="s">
        <v>42</v>
      </c>
      <c r="D216" t="s">
        <v>44</v>
      </c>
      <c r="E216" s="3" t="s">
        <v>333</v>
      </c>
      <c r="F216" s="3" t="s">
        <v>56</v>
      </c>
      <c r="G216" s="3" t="s">
        <v>157</v>
      </c>
      <c r="H216" s="3" t="s">
        <v>45</v>
      </c>
      <c r="I216" s="3" t="s">
        <v>7</v>
      </c>
      <c r="J216" s="3" t="s">
        <v>73</v>
      </c>
      <c r="K216" s="3" t="s">
        <v>43</v>
      </c>
      <c r="L216" s="3" t="s">
        <v>76</v>
      </c>
      <c r="M216">
        <v>1</v>
      </c>
    </row>
    <row r="217" spans="1:13" x14ac:dyDescent="0.25">
      <c r="A217" s="1">
        <v>46132</v>
      </c>
      <c r="B217" s="1" t="str">
        <f ca="1">IF(Información1[[#This Row],[Fecha]]='Ajuste de fechas'!$A$2,"Día actual","Día anterior")</f>
        <v>Día anterior</v>
      </c>
      <c r="C217" s="3" t="s">
        <v>42</v>
      </c>
      <c r="D217" t="s">
        <v>44</v>
      </c>
      <c r="E217" s="3" t="s">
        <v>334</v>
      </c>
      <c r="F217" s="3" t="s">
        <v>50</v>
      </c>
      <c r="G217" s="3" t="s">
        <v>135</v>
      </c>
      <c r="H217" s="3" t="s">
        <v>45</v>
      </c>
      <c r="I217" s="3" t="s">
        <v>7</v>
      </c>
      <c r="J217" s="3" t="s">
        <v>73</v>
      </c>
      <c r="K217" s="3" t="s">
        <v>43</v>
      </c>
      <c r="L217" s="3" t="s">
        <v>76</v>
      </c>
      <c r="M217">
        <v>1</v>
      </c>
    </row>
    <row r="218" spans="1:13" x14ac:dyDescent="0.25">
      <c r="A218" s="1">
        <v>46132</v>
      </c>
      <c r="B218" s="1" t="str">
        <f ca="1">IF(Información1[[#This Row],[Fecha]]='Ajuste de fechas'!$A$2,"Día actual","Día anterior")</f>
        <v>Día anterior</v>
      </c>
      <c r="C218" s="3" t="s">
        <v>42</v>
      </c>
      <c r="D218" t="s">
        <v>44</v>
      </c>
      <c r="E218" s="3" t="s">
        <v>245</v>
      </c>
      <c r="F218" s="3" t="s">
        <v>21</v>
      </c>
      <c r="G218" s="3" t="s">
        <v>246</v>
      </c>
      <c r="H218" s="3" t="s">
        <v>45</v>
      </c>
      <c r="I218" s="3" t="s">
        <v>7</v>
      </c>
      <c r="J218" s="3" t="s">
        <v>73</v>
      </c>
      <c r="K218" s="3" t="s">
        <v>43</v>
      </c>
      <c r="L218" s="3" t="s">
        <v>76</v>
      </c>
      <c r="M218">
        <v>1</v>
      </c>
    </row>
    <row r="219" spans="1:13" x14ac:dyDescent="0.25">
      <c r="A219" s="1">
        <v>46132</v>
      </c>
      <c r="B219" s="1" t="str">
        <f ca="1">IF(Información1[[#This Row],[Fecha]]='Ajuste de fechas'!$A$2,"Día actual","Día anterior")</f>
        <v>Día anterior</v>
      </c>
      <c r="C219" s="3" t="s">
        <v>42</v>
      </c>
      <c r="D219" t="s">
        <v>44</v>
      </c>
      <c r="E219" s="3" t="s">
        <v>335</v>
      </c>
      <c r="F219" s="3" t="s">
        <v>141</v>
      </c>
      <c r="G219" s="3" t="s">
        <v>92</v>
      </c>
      <c r="H219" s="3" t="s">
        <v>45</v>
      </c>
      <c r="I219" s="3" t="s">
        <v>7</v>
      </c>
      <c r="J219" s="3" t="s">
        <v>73</v>
      </c>
      <c r="K219" s="3" t="s">
        <v>43</v>
      </c>
      <c r="L219" s="3" t="s">
        <v>76</v>
      </c>
      <c r="M219">
        <v>1</v>
      </c>
    </row>
    <row r="220" spans="1:13" x14ac:dyDescent="0.25">
      <c r="A220" s="1">
        <v>46132</v>
      </c>
      <c r="B220" s="1" t="str">
        <f ca="1">IF(Información1[[#This Row],[Fecha]]='Ajuste de fechas'!$A$2,"Día actual","Día anterior")</f>
        <v>Día anterior</v>
      </c>
      <c r="C220" s="3" t="s">
        <v>42</v>
      </c>
      <c r="D220" t="s">
        <v>44</v>
      </c>
      <c r="E220" s="3" t="s">
        <v>336</v>
      </c>
      <c r="F220" s="3" t="s">
        <v>19</v>
      </c>
      <c r="G220" s="3" t="s">
        <v>337</v>
      </c>
      <c r="H220" s="3" t="s">
        <v>45</v>
      </c>
      <c r="I220" s="3" t="s">
        <v>7</v>
      </c>
      <c r="J220" s="3" t="s">
        <v>77</v>
      </c>
      <c r="K220" s="3" t="s">
        <v>43</v>
      </c>
      <c r="L220" s="3" t="s">
        <v>74</v>
      </c>
      <c r="M220">
        <v>1</v>
      </c>
    </row>
    <row r="221" spans="1:13" x14ac:dyDescent="0.25">
      <c r="A221" s="1">
        <v>46132</v>
      </c>
      <c r="B221" s="1" t="str">
        <f ca="1">IF(Información1[[#This Row],[Fecha]]='Ajuste de fechas'!$A$2,"Día actual","Día anterior")</f>
        <v>Día anterior</v>
      </c>
      <c r="C221" s="3" t="s">
        <v>42</v>
      </c>
      <c r="D221" t="s">
        <v>44</v>
      </c>
      <c r="E221" s="3" t="s">
        <v>338</v>
      </c>
      <c r="F221" s="3" t="s">
        <v>21</v>
      </c>
      <c r="G221" s="3" t="s">
        <v>221</v>
      </c>
      <c r="H221" s="3" t="s">
        <v>45</v>
      </c>
      <c r="I221" s="3" t="s">
        <v>7</v>
      </c>
      <c r="J221" s="3" t="s">
        <v>73</v>
      </c>
      <c r="K221" s="3" t="s">
        <v>43</v>
      </c>
      <c r="L221" s="3" t="s">
        <v>76</v>
      </c>
      <c r="M221">
        <v>1</v>
      </c>
    </row>
    <row r="222" spans="1:13" x14ac:dyDescent="0.25">
      <c r="A222" s="1">
        <v>46132</v>
      </c>
      <c r="B222" s="1" t="str">
        <f ca="1">IF(Información1[[#This Row],[Fecha]]='Ajuste de fechas'!$A$2,"Día actual","Día anterior")</f>
        <v>Día anterior</v>
      </c>
      <c r="C222" s="3" t="s">
        <v>42</v>
      </c>
      <c r="D222" t="s">
        <v>44</v>
      </c>
      <c r="E222" s="3" t="s">
        <v>339</v>
      </c>
      <c r="F222" s="3" t="s">
        <v>47</v>
      </c>
      <c r="G222" s="3" t="s">
        <v>340</v>
      </c>
      <c r="H222" s="3" t="s">
        <v>45</v>
      </c>
      <c r="I222" s="3" t="s">
        <v>7</v>
      </c>
      <c r="J222" s="3" t="s">
        <v>73</v>
      </c>
      <c r="K222" s="3" t="s">
        <v>43</v>
      </c>
      <c r="L222" s="3" t="s">
        <v>74</v>
      </c>
      <c r="M222">
        <v>1</v>
      </c>
    </row>
    <row r="223" spans="1:13" x14ac:dyDescent="0.25">
      <c r="A223" s="1">
        <v>46132</v>
      </c>
      <c r="B223" s="1" t="str">
        <f ca="1">IF(Información1[[#This Row],[Fecha]]='Ajuste de fechas'!$A$2,"Día actual","Día anterior")</f>
        <v>Día anterior</v>
      </c>
      <c r="C223" s="3" t="s">
        <v>42</v>
      </c>
      <c r="D223" t="s">
        <v>44</v>
      </c>
      <c r="E223" s="3" t="s">
        <v>341</v>
      </c>
      <c r="F223" s="3" t="s">
        <v>19</v>
      </c>
      <c r="G223" s="3" t="s">
        <v>96</v>
      </c>
      <c r="H223" s="3" t="s">
        <v>45</v>
      </c>
      <c r="I223" s="3" t="s">
        <v>7</v>
      </c>
      <c r="J223" s="3" t="s">
        <v>77</v>
      </c>
      <c r="K223" s="3" t="s">
        <v>43</v>
      </c>
      <c r="L223" s="3" t="s">
        <v>74</v>
      </c>
      <c r="M223">
        <v>1</v>
      </c>
    </row>
    <row r="224" spans="1:13" x14ac:dyDescent="0.25">
      <c r="A224" s="1">
        <v>46132</v>
      </c>
      <c r="B224" s="1" t="str">
        <f ca="1">IF(Información1[[#This Row],[Fecha]]='Ajuste de fechas'!$A$2,"Día actual","Día anterior")</f>
        <v>Día anterior</v>
      </c>
      <c r="C224" s="3" t="s">
        <v>42</v>
      </c>
      <c r="D224" t="s">
        <v>44</v>
      </c>
      <c r="E224" s="3" t="s">
        <v>342</v>
      </c>
      <c r="F224" s="3" t="s">
        <v>24</v>
      </c>
      <c r="G224" s="3" t="s">
        <v>46</v>
      </c>
      <c r="H224" s="3" t="s">
        <v>45</v>
      </c>
      <c r="I224" s="3" t="s">
        <v>7</v>
      </c>
      <c r="J224" s="3" t="s">
        <v>73</v>
      </c>
      <c r="K224" s="3" t="s">
        <v>43</v>
      </c>
      <c r="L224" s="3" t="s">
        <v>74</v>
      </c>
      <c r="M224">
        <v>1</v>
      </c>
    </row>
    <row r="225" spans="1:13" x14ac:dyDescent="0.25">
      <c r="A225" s="1">
        <v>46132</v>
      </c>
      <c r="B225" s="1" t="str">
        <f ca="1">IF(Información1[[#This Row],[Fecha]]='Ajuste de fechas'!$A$2,"Día actual","Día anterior")</f>
        <v>Día anterior</v>
      </c>
      <c r="C225" s="3" t="s">
        <v>42</v>
      </c>
      <c r="D225" t="s">
        <v>44</v>
      </c>
      <c r="E225" s="3" t="s">
        <v>343</v>
      </c>
      <c r="F225" s="3" t="s">
        <v>21</v>
      </c>
      <c r="G225" s="3" t="s">
        <v>194</v>
      </c>
      <c r="H225" s="3" t="s">
        <v>45</v>
      </c>
      <c r="I225" s="3" t="s">
        <v>7</v>
      </c>
      <c r="J225" s="3" t="s">
        <v>73</v>
      </c>
      <c r="K225" s="3" t="s">
        <v>43</v>
      </c>
      <c r="L225" s="3" t="s">
        <v>76</v>
      </c>
      <c r="M225">
        <v>1</v>
      </c>
    </row>
    <row r="226" spans="1:13" x14ac:dyDescent="0.25">
      <c r="A226" s="1">
        <v>46132</v>
      </c>
      <c r="B226" s="1" t="str">
        <f ca="1">IF(Información1[[#This Row],[Fecha]]='Ajuste de fechas'!$A$2,"Día actual","Día anterior")</f>
        <v>Día anterior</v>
      </c>
      <c r="C226" s="3" t="s">
        <v>42</v>
      </c>
      <c r="D226" t="s">
        <v>44</v>
      </c>
      <c r="E226" s="3" t="s">
        <v>344</v>
      </c>
      <c r="F226" s="3" t="s">
        <v>141</v>
      </c>
      <c r="G226" s="3" t="s">
        <v>125</v>
      </c>
      <c r="H226" s="3" t="s">
        <v>45</v>
      </c>
      <c r="I226" s="3" t="s">
        <v>7</v>
      </c>
      <c r="J226" s="3" t="s">
        <v>73</v>
      </c>
      <c r="K226" s="3" t="s">
        <v>43</v>
      </c>
      <c r="L226" s="3" t="s">
        <v>74</v>
      </c>
      <c r="M226">
        <v>1</v>
      </c>
    </row>
    <row r="227" spans="1:13" x14ac:dyDescent="0.25">
      <c r="A227" s="1">
        <v>46132</v>
      </c>
      <c r="B227" s="1" t="str">
        <f ca="1">IF(Información1[[#This Row],[Fecha]]='Ajuste de fechas'!$A$2,"Día actual","Día anterior")</f>
        <v>Día anterior</v>
      </c>
      <c r="C227" s="3" t="s">
        <v>42</v>
      </c>
      <c r="D227" t="s">
        <v>44</v>
      </c>
      <c r="E227" s="3" t="s">
        <v>345</v>
      </c>
      <c r="F227" s="3" t="s">
        <v>19</v>
      </c>
      <c r="G227" s="3" t="s">
        <v>95</v>
      </c>
      <c r="H227" s="3" t="s">
        <v>45</v>
      </c>
      <c r="I227" s="3" t="s">
        <v>7</v>
      </c>
      <c r="J227" s="3" t="s">
        <v>77</v>
      </c>
      <c r="K227" s="3" t="s">
        <v>43</v>
      </c>
      <c r="L227" s="3" t="s">
        <v>74</v>
      </c>
      <c r="M227">
        <v>1</v>
      </c>
    </row>
    <row r="228" spans="1:13" x14ac:dyDescent="0.25">
      <c r="A228" s="1">
        <v>46132</v>
      </c>
      <c r="B228" s="1" t="str">
        <f ca="1">IF(Información1[[#This Row],[Fecha]]='Ajuste de fechas'!$A$2,"Día actual","Día anterior")</f>
        <v>Día anterior</v>
      </c>
      <c r="C228" s="3" t="s">
        <v>42</v>
      </c>
      <c r="D228" t="s">
        <v>44</v>
      </c>
      <c r="E228" s="3" t="s">
        <v>346</v>
      </c>
      <c r="F228" s="3" t="s">
        <v>141</v>
      </c>
      <c r="G228" s="3" t="s">
        <v>125</v>
      </c>
      <c r="H228" s="3" t="s">
        <v>45</v>
      </c>
      <c r="I228" s="3" t="s">
        <v>7</v>
      </c>
      <c r="J228" s="3" t="s">
        <v>73</v>
      </c>
      <c r="K228" s="3" t="s">
        <v>43</v>
      </c>
      <c r="L228" s="3" t="s">
        <v>74</v>
      </c>
      <c r="M228">
        <v>1</v>
      </c>
    </row>
    <row r="229" spans="1:13" x14ac:dyDescent="0.25">
      <c r="A229" s="1">
        <v>46132</v>
      </c>
      <c r="B229" s="1" t="str">
        <f ca="1">IF(Información1[[#This Row],[Fecha]]='Ajuste de fechas'!$A$2,"Día actual","Día anterior")</f>
        <v>Día anterior</v>
      </c>
      <c r="C229" s="3" t="s">
        <v>42</v>
      </c>
      <c r="D229" t="s">
        <v>44</v>
      </c>
      <c r="E229" s="3" t="s">
        <v>226</v>
      </c>
      <c r="F229" s="3" t="s">
        <v>28</v>
      </c>
      <c r="G229" s="3" t="s">
        <v>196</v>
      </c>
      <c r="H229" s="3" t="s">
        <v>45</v>
      </c>
      <c r="I229" s="3" t="s">
        <v>7</v>
      </c>
      <c r="J229" s="3" t="s">
        <v>73</v>
      </c>
      <c r="K229" s="3" t="s">
        <v>43</v>
      </c>
      <c r="L229" s="3" t="s">
        <v>76</v>
      </c>
      <c r="M22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81</v>
      </c>
      <c r="B1" t="s">
        <v>82</v>
      </c>
    </row>
    <row r="2" spans="1:2" x14ac:dyDescent="0.25">
      <c r="A2" s="2">
        <f ca="1">TODAY()</f>
        <v>46133</v>
      </c>
      <c r="B2" s="2">
        <f ca="1">A2-1</f>
        <v>46132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2026-04-22T00:17:03Z</dcterms:modified>
</cp:coreProperties>
</file>