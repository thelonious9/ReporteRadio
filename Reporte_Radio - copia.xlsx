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F9865F8D-36FE-47B4-8C99-8E30DD0AA8FD}"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Radio!$A$1:$M$139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70" i="2"/>
  <c r="B105" i="2"/>
  <c r="B110" i="2"/>
  <c r="B113" i="2"/>
  <c r="B116" i="2"/>
  <c r="B119" i="2"/>
  <c r="B122" i="2"/>
  <c r="B125" i="2"/>
  <c r="B128" i="2"/>
  <c r="B131" i="2"/>
  <c r="B134" i="2"/>
  <c r="B137" i="2"/>
  <c r="B139"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104" i="2"/>
  <c r="B107" i="2"/>
  <c r="B109" i="2"/>
  <c r="B112" i="2"/>
  <c r="B115" i="2"/>
  <c r="B118" i="2"/>
  <c r="B121" i="2"/>
  <c r="B123" i="2"/>
  <c r="B126" i="2"/>
  <c r="B129" i="2"/>
  <c r="B132" i="2"/>
  <c r="B135" i="2"/>
  <c r="B138"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6" i="2"/>
  <c r="B108" i="2"/>
  <c r="B111" i="2"/>
  <c r="B114" i="2"/>
  <c r="B117" i="2"/>
  <c r="B120" i="2"/>
  <c r="B124" i="2"/>
  <c r="B127" i="2"/>
  <c r="B130" i="2"/>
  <c r="B133" i="2"/>
  <c r="B136"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<sst xmlns="http://schemas.openxmlformats.org/spreadsheetml/2006/main" count="1395" uniqueCount="288">
  <si>
    <t>Fecha</t>
  </si>
  <si>
    <t>Titular</t>
  </si>
  <si>
    <t>Dependencia</t>
  </si>
  <si>
    <t>Canal</t>
  </si>
  <si>
    <t>Tema</t>
  </si>
  <si>
    <t>Estatus</t>
  </si>
  <si>
    <t>Sipdus</t>
  </si>
  <si>
    <t>Informativa</t>
  </si>
  <si>
    <t>Acir 92.5 FM</t>
  </si>
  <si>
    <t>Radioescucha</t>
  </si>
  <si>
    <t>Panorama Informativo Pachuca</t>
  </si>
  <si>
    <t>Positiva</t>
  </si>
  <si>
    <t>Eulalio Larrieta</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</si>
  <si>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</si>
  <si>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</si>
  <si>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</si>
  <si>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</si>
  <si>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</si>
  <si>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</si>
  <si>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</si>
  <si>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</si>
  <si>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</si>
  <si>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</si>
  <si>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</si>
  <si>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</si>
  <si>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</si>
  <si>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</si>
  <si>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</si>
  <si>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</si>
  <si>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</si>
  <si>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</si>
  <si>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</si>
  <si>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</si>
  <si>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</si>
  <si>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</si>
  <si>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</si>
  <si>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</si>
  <si>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</si>
  <si>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</si>
  <si>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</si>
  <si>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Eulalio Larrieta agradece Paola García y Lic. Sarahi Pineda, por estar atentas a los mensajes de la ciudadanía y por atenderlos.</t>
  </si>
  <si>
    <t>Congreso</t>
  </si>
  <si>
    <t>Entrevista</t>
  </si>
  <si>
    <t>Eulalio Larrieta agradece a Carlos Gamiño por estar al pendiente de temas.</t>
  </si>
  <si>
    <t>Bienestar</t>
  </si>
  <si>
    <t>DIFH</t>
  </si>
  <si>
    <t>Eulalio Larrieta agradece a Edith Balderas de la Secretaria de Educación Pública.</t>
  </si>
  <si>
    <t>Segobh</t>
  </si>
  <si>
    <t>Eulalio Larrieta agradece a Jair Martínez de la SEGOBH, porque esta al pendiente de lo que se necesite y los reportes.</t>
  </si>
  <si>
    <t>Abasto de agua</t>
  </si>
  <si>
    <t>SSH</t>
  </si>
  <si>
    <t>Cultura</t>
  </si>
  <si>
    <t>Informe De Gobierno</t>
  </si>
  <si>
    <t>RADIO LOCAL</t>
  </si>
  <si>
    <t>NQ 90.1 FM</t>
  </si>
  <si>
    <t>Enlace Hidalgo1</t>
  </si>
  <si>
    <t>Jesús Riveros</t>
  </si>
  <si>
    <t>Juan Carlos Santamaría</t>
  </si>
  <si>
    <t>Ultra 102.9 FM</t>
  </si>
  <si>
    <t>Ultra Noticias1</t>
  </si>
  <si>
    <t>Vialidad En Mal Estado</t>
  </si>
  <si>
    <t>TSJEH</t>
  </si>
  <si>
    <t>Aspirantes</t>
  </si>
  <si>
    <t>Daniel Martínez</t>
  </si>
  <si>
    <t>Canal del Pueblo</t>
  </si>
  <si>
    <t>Vocales Radio</t>
  </si>
  <si>
    <t>Saderh</t>
  </si>
  <si>
    <t>TV LOCAL</t>
  </si>
  <si>
    <t>Aldo Falcón</t>
  </si>
  <si>
    <t>Andrés Torres</t>
  </si>
  <si>
    <t>Planeación</t>
  </si>
  <si>
    <t>Reparto de Comisiones</t>
  </si>
  <si>
    <t>Sucesión gubernamental</t>
  </si>
  <si>
    <t>Jessenia Romero</t>
  </si>
  <si>
    <t>Vía telefónica el reporte de Bombero y Protección Civil con Abner Yáñez informa de las diversas emergencias reportadas por la ciudadanía y que fueron atendidas.</t>
  </si>
  <si>
    <t>Auxilio a la ciudadanía</t>
  </si>
  <si>
    <t>Abner Yáñez</t>
  </si>
  <si>
    <t>Participación</t>
  </si>
  <si>
    <t>Afectaciones Por Lluvias</t>
  </si>
  <si>
    <t>La Poderosa Tuxpan 93.1 FM</t>
  </si>
  <si>
    <t>Nn Nuestras Noticias Zona Norte</t>
  </si>
  <si>
    <t>Liz Argüelles</t>
  </si>
  <si>
    <t>Radio Lobo 96.7 FM</t>
  </si>
  <si>
    <t>Enlace Noticias</t>
  </si>
  <si>
    <t>Súper Stéreo 100.5 FM</t>
  </si>
  <si>
    <t>Enfoque Regional Matutino</t>
  </si>
  <si>
    <t>Rodolfo López</t>
  </si>
  <si>
    <t>PGJEH</t>
  </si>
  <si>
    <t>Muy negativo</t>
  </si>
  <si>
    <t>Carril confinado</t>
  </si>
  <si>
    <t>Enlace Hidalgo2</t>
  </si>
  <si>
    <t>Accidente Carretero</t>
  </si>
  <si>
    <t>Ke Buena 106.7 FM</t>
  </si>
  <si>
    <t>Noticias 106.7</t>
  </si>
  <si>
    <t>David Cárdenas</t>
  </si>
  <si>
    <t>Aprobación Gobernador</t>
  </si>
  <si>
    <t>OCSAD</t>
  </si>
  <si>
    <t>Localización de cuerpo</t>
  </si>
  <si>
    <t>Reconstrucción de escuela</t>
  </si>
  <si>
    <t>Proceso electoral</t>
  </si>
  <si>
    <t>Capacitación</t>
  </si>
  <si>
    <t>Sedeco</t>
  </si>
  <si>
    <t>STPSH</t>
  </si>
  <si>
    <t>Fuga De Agua</t>
  </si>
  <si>
    <t>Rehabilitación animal</t>
  </si>
  <si>
    <t>Comentario locutor 4to informe JMS : Las transmisiones en vivo en directo del cuarto informe de gobierno encabezado por el mandatario Julio Menchaca Salazar, en donde se han destacado los avances, lo que se está haciendo en este momento y también los nuevos proyectos. Desde luego, la infraestructura tiene mucho que ver en el desarrollo de las sociedades, de los municipios, de todos los sectores. Hidalgo es una potencia en marcha y se está invirtiendo en todos los rubros. Ya en esta semana comentaba Connie para usted, en materia de educación, la inversión que se lleva a cabo; en materia de infraestructura; la respuesta inmediata en torno a la vaguada amazónica de la cual habló también el gobernador Menchaca Salazar; la respuesta del gobierno federal, del gobierno estatal, gobiernos municipales, de los servidores públicos, funcionarios locales, estatales, municipales; la participación de Protección Civil; y desde luego también, la planeación que se lleva a cabo para nuevas y grandes obras.</t>
  </si>
  <si>
    <t>Enfoque Regional Meridiano</t>
  </si>
  <si>
    <t>Mensaje del gobernador Julio Menchaca Salazar durante su cuarto informe de gobierno. Hoy se llevó a cabo el cuarto informe de gobierno del gobernador Julio Menchaca Salazar desde el recinto ferial de Pachuca, donde a través de un video se compartieron los avances y resultados que mantienen a Hidalgo como potencia en marcha. A cuatro años del inicio de este gobierno, Hidalgo está cambiando. Pasamos de ser uno de los estados más pobres y abandonados del país para convertirnos en una potencia en marcha con bienestar social y crecimiento económico.</t>
  </si>
  <si>
    <t>Jesús González</t>
  </si>
  <si>
    <t>Y donde sí hay presupuesto y hasta se gastaron 80,000 pesos en la adquisición de 20 pants deportivos fue en el Ayuntamiento de Huichapan</t>
  </si>
  <si>
    <t>Sobrecosto</t>
  </si>
  <si>
    <t>En Calnali, vecinos y habitantes de la cabecera municipal expresaron su molestia ante la mala calidad de los adornos patrios colocados por la administración de la doctora Corina Jiménez, con motivo del mes de la patria, asegurando que en lugar de dar alegría, dan pena y vergüenza.</t>
  </si>
  <si>
    <t>Fiestas Patrias</t>
  </si>
  <si>
    <t>La que no se salvó fue la Paloma Morenista, quien invitó a una imitadora de la presidenta Sheinbaum para simular que asistió a su segundo informe. Ni cómo ayudarles en las jaladas de la política y remato diciendo que las niñas quieren parecerse a Claudia. ¡Ya hasta concurso van a hacer! Habrá una dinámica para las niñas que quieran eh participar a ser imitadora de la doctora Claudia Sheinbaum, primaria y secundaria</t>
  </si>
  <si>
    <t>Impericia</t>
  </si>
  <si>
    <t>Las Puntadas de la Semana: Oiga, y es viernes, y es viernes y el sastrerito llega con su desastre. Vamos con las puntadas de la semana.¡Las puntadas de la semana! ¡Aquí se cose y descose la información! Vino la aclaración de jefaturas, después de que llamó jefe al ex coordinador de Morena en el Senado, Adán Augusto López, el senador hidalguense Cuauhtémoc Ochoa, salió a aclarar que no hay confusión, su único jefe es su papá. ¿Quién es su jefe, Nacho Mier o Adán Augusto? Yo tengo mi papá, es mi jefe. Ajá. El pueblo es mi jefe. Pero políticamente es Adán Augusto o el senador Mier. El pueblo, el pueblo. Y sí le van a dar la comisión... No, ahora sí que eso es cuestión del grupo parlamentario. Sí, pero ellos son los que deciden.Esto luego de que Reforma publicara un mensaje de WhatsApp en el que Ochoa le pide autorización a Adán Augusto para encabezar la comisión de bienestar. Y cuando le insistieron sobre su jefe político, contestó, el pueblo, el pueblo. Así que ya quedó el organigrama, en Morena siempre manda el pueblo, en el Senado decide el grupo y en casa de Cuauhtémoc todo parece indicar que manda papá. Yo quiero ser como mi papá.</t>
  </si>
  <si>
    <t>El ensamble musical inclusivo Zempaki celebró su primer aniversario con una presentación en el Auditorio Ramón Noble Olivares, donde niñas, niños y adolescentes con discapacidad demostraron su talento mediante la interpretación de instrumentos prehispánicos. Escuche usted esta bella música.</t>
  </si>
  <si>
    <t>Inclusión</t>
  </si>
  <si>
    <t>El centro de conciliación laboral de Hidalgo realizó 150 audiencias relacionadas con personas adultas mayores entre 2025 y lo que va de este 2026. En ese total, 101 concluyeron mediante convenios, lo que representa el 67%</t>
  </si>
  <si>
    <t>Conciliación Laboral</t>
  </si>
  <si>
    <t>Bueno, en otra información, el gobierno de Hidalgo analiza conectar el sistema de transporte metropolitano con las dos estaciones del tren México-Pachuca ubicadas en la entidad.</t>
  </si>
  <si>
    <t>Tren AIFA</t>
  </si>
  <si>
    <t>Bueno, vamos con la información. Un estudiante falleció, lamentable, un estudiante falleció. Tres jóvenes resultaron lesionados tras volcar el automóvil en el que viajaban en la colonia de San Marcos, municipio de Tula de Allende. El accidente ocurrió la mañana de este jueves sobre la avenida Insurgentes a la altura del canal, donde un Dodge Charger gris modelo 2024 salió de la carretera y terminó volcado en un pastizal. Paramédicos atendieron a tres hombres quienes fueron trasladados al hospital general de Tula-Tepeji, en tanto una joven quedó atrapada entre los fierros del vehículo y al ser rescatada ya no contaba con signos vitales. Y al parecer esta joven menor de edad, 16 años, perdió la vida en el accidente.</t>
  </si>
  <si>
    <t>Muerte de estudiante</t>
  </si>
  <si>
    <t>Una nueva fuga en una tubería de Pemex provocó la inundación del tianguis de mayoreo de Tlahuelilpan durante la madrugada de ayer jueves. El agua ingresó a los locales y ocasionó daños en mercancía además de acumulación de lodo.</t>
  </si>
  <si>
    <t>Y un hombre de aproximadamente cuarenta años fue localizado sin vida la mañana de este jueves en la Ampliación de los Jales en Pachuca.</t>
  </si>
  <si>
    <t>Siete de la mañana ya con catorce minutos en otra información la Secretaría de Seguridad Pública de Hidalgo aseguró a cuatro personas presuntamente relacionadas con el robo a transporte de carga en carreteras federales.</t>
  </si>
  <si>
    <t>Combate a la delincuencia</t>
  </si>
  <si>
    <t>Y una intensa granizada sorprendió a la tarde de ayer jueves habitantes del municipio de Tezontepec de Aldama. La precipitación estuvo acompañada de lluvia y cubrió de hielo calles, patios, y algunas zonas del municipio generando asombro entre la población. Hasta el momento no se ha dado a conocer un reporte oficial de posibles afectaciones derivada de este temporal.</t>
  </si>
  <si>
    <t>Llegó, ya llegó, ya llegó, sí, ya está muy cerca el proceso electoral dos mil veintiséis, dos mil veintisiete. Estamos a seis días, sí, como usted lo escucha, el Instituto Nacional Electoral inició la cuenta regresiva para el proceso electoral dos mil veintiséis, dos mil veintisiete, que comenzará formalmente con ceremonia cívica el próximo diez de septiembre. El próximo jueves el calendario contempla más de quinientas actividades, entre ellas la instalación de los treinta y dos consejos locales y trescientos distritales previstas para el treinta de septiembre. En dos mil veintisiete las precampañas se realizarán de el cuatro de enero al doce de febrero.</t>
  </si>
  <si>
    <t>Vámonos a otros temas desde el primero de septiembre, opera en Pachuca el juzgado especializado en violencia familiar contra las mujeres, atender asuntos penales y familiares derivados de un mismo contexto de violencia con la intención de evitar que las víctimas tengan que acudir a distintos juzgados, colectivos feministas hablan sobre estos espacios.</t>
  </si>
  <si>
    <t>Violencia familiar</t>
  </si>
  <si>
    <t>El secretario de educación pública Natividad Castrejón habló sobre la reubicación de la escuela primaria Aquiles Serdán en Tulancingo</t>
  </si>
  <si>
    <t>Hidalgo es una potencia en marcha. Hidalgo se colocó entre los cinco destinos turísticos más atractivos de México para viajar, ¿De acuerdo? Con la plataforma global Booking dos mil veintiséis.</t>
  </si>
  <si>
    <t>Es hoy viernes cuatro de septiembre que el gobernador Julio Menchaca Salazar presentará su informe de gobierno, su cuarto informe de gobierno ante la ciudadanía hidalguense, será un acto público que se va a realizar en el domo de las instalaciones de la feria de Pachuca. En este ejercicio de rendición de cuentas, el mandatario estatal dará a conocer los avances y resultados de su cuarto año de administración, principalmente en materia de infraestructura, bienestar social, educación, salud, y seguridad</t>
  </si>
  <si>
    <t>Radioescucha reporta muchos baches en Plaza Vertice</t>
  </si>
  <si>
    <t>Radioescucha reporta vialidad en mal estado por Plaza Universidad</t>
  </si>
  <si>
    <t>Radioescucha : Buenos días, quisiera reportar que nuevamente no tenemos agua en Valle de las Estrellas,</t>
  </si>
  <si>
    <t>Radioescucha dice que en la calle Durazno, Ampliación Santa Julia, se han ido varias unidades porque se ha metido el drenaje por CAASIM y se ha tapado, La calle se sumió y se fue la plataforma con todo y los vehículos.</t>
  </si>
  <si>
    <t>Radioesucha : Buenos días, "Licenciado Larrieta, falta de agua en la calle de Trigueros y Covarrubias, no hemos podido bañarnos, sobre todo nuestros adultos mayores".</t>
  </si>
  <si>
    <t>Radioescucha 75 93, Dice: "Muy buenos días, licenciado Larrieta, bendiciones. Mi reporte es para los de CAASIM, nos engañan,</t>
  </si>
  <si>
    <t>Radioescucha 19 20, dice: "Buenos días, licenciado Larrieta. ¡Qué hipocresía del gobierno de Julio Menchaca! Hoy que es el informe de gobierno sí permiten la entrada al carril confinado del Tuzobús.</t>
  </si>
  <si>
    <t>Radioescucha : Lalo, buen día. ¿Qué pretenden algunos funcionarios o funcionarias al abrir el carril del Tuzobús hoy? Hoy es el informe del Gober. Yo creo que le quieren... quieren al Gober maquillar el tráfico. Excelente viernes</t>
  </si>
  <si>
    <t>Radioescucha manda audio :Buenos días, licenciado. Un fuerte abrazo para usted y su equipo. Mire nada más lo que son las injusticias para los jodidos, ¿no? Cómo sí dejan pasar ahorita por el Tuzobús hoy que va a ser el informe para darle fluidez a la circulación, y cuando es normal, no nos dejan pasar. Son unas incoherencias pero totales».</t>
  </si>
  <si>
    <t>Radioescucha : Buenos días, señor Larrieta, solo para comentarle que sí se va a poder ocupar el carril del Tuzobús</t>
  </si>
  <si>
    <t>Comenta Eulalio Larrieta sobre el audio de radioescucha: Ojalá que ya lo hagan así, que ya lo puedan abrir, que lo abran en horarios pico y que nos puedan ayudar para la circulación en esa zona.</t>
  </si>
  <si>
    <t>Con la finalidad de saldar una deuda institucional con la población, garantizar la prestación legal de servicios públicos, brindar certeza jurídica sobre el patrimonio familiar e impulsar un crecimiento urbano ordenado, la administración local concretó la regularización de fraccionamientos en Mineral de la Reforma impulsada por Eduardo Medécigo Rubio.</t>
  </si>
  <si>
    <t>Certeza jurídica</t>
  </si>
  <si>
    <t>Jornada Estatal de Cataratas 2026 devuelve la visión y autonomía a 399 hidalguenses.</t>
  </si>
  <si>
    <t>Jornada de cirugías</t>
  </si>
  <si>
    <t>A cuatro años del gobierno de Julio Menchaca Salazar, fortalece Contraloría la vigilancia de la obra pública</t>
  </si>
  <si>
    <t>Contraloría</t>
  </si>
  <si>
    <t>Pago de prestaciones, principal motivo por el que personas adultas mayores acuden al CCLEH</t>
  </si>
  <si>
    <t>Aprovechará Hidalgo impacto positivo en la zona metropolitana con la llegada del Tren México-Pachuca- Miguel Ángel Tello Vargas, titular de la Unidad de Planeación y Prospectiva de Hidalgo (Uplaph)</t>
  </si>
  <si>
    <t>SSPH asegura a cuatro personas por presunto robo a transporte de carga en carretera federal México–Pachuca</t>
  </si>
  <si>
    <t>Un total de 399 pacientes fueron beneficiados con cirugías gratuitas de cataratas durante una jornada realizada por el IMSS Bienestar en Hidalgo, en coordinación con el Sistema DIF Hidalgo, como parte del programa federal “Ver por México”. Las intervenciones, que consistieron en la extracción de catarata y colocación de lentes intraoculares, se llevaron a cabo en el Hospital General de Tulancingo, con la participación de 34 profesionales de la salud, entre médicos oftalmólogos, anestesiólogos, personal de enfermería e ingenieros biomédicos. De acuerdo con Alejandra Guadalupe Ramírez Reyes, titular de la Oficina de Atención Médica Especializada, la jornada se desarrolló en dos etapas, los días 18 y 19 de agosto, así como el 1 y 2 de septiembre, con el objetivo de acercar atención especializada a personas que enfrentan barreras económicas o geográficas para acceder a este tipo de procedimientos. Como parte de la estrategia, los pacientes recibieron de manera gratuita valoraciones de medicina interna, anestesiología y estudios preoperatorios en 11 hospitales generales y regionales de la red IMSS Bienestar en Hidalgo, ubicados en Pachuca, Tulancingo, Actopan, Apan, Huichapan, Huejutla, Ixmiquilpan, Jacala de Ledezma, Metztitlán, Tula y Tlanchinol. La funcionaria explicó que esta dinámica permitió que los beneficiarios realizaran los estudios necesarios en unidades cercanas a sus lugares de origen, evitando traslados hasta Tulancingo antes de la intervención. Para la realización de las cirugías, el Gobierno Federal, a través del programa “Ver por México”, proporcionó material e insumos quirúrgicos, incluidos los lentes intraoculares. En tanto, el IMSS Bienestar en Hidalgo aportó la infraestructura hospitalaria, quirófanos y áreas de recuperación, además de los insumos médicos y la coordinación del personal que participó en la jornada. Con estas acciones, ambas instituciones buscan ampliar el acceso gratuito y oportuno a servicios de salud especializados, particularmente para personas que enfrentan dificultades económicas o geográficas, contribuyendo a mejorar su calidad de vida y recuperar su capacidad visual.</t>
  </si>
  <si>
    <t>En Apan, Hidalgo, un adolescente perdió la vida luego de que cayera cuando la motocicleta en la que viajara derrapó. Un adolescente de 16 años perdió la vida la noche del miércoles tras sufrir un accidente de motocicleta sobre la carretera Apan–Lázaro Cárdenas, en el municipio de Apan, Hidalgo. El accidente ocurrió cerca de las 23:00 horas del 3 de septiembre, cuando el menor, vecino de la comunidad de Lázaro Cárdenas, circulaba a bordo de una motocicleta Pulsar color azul. De acuerdo con la información recabada en el lugar, el joven habría derrapado mientras circulaba por este tramo carretero, lo que provocó que cayera y sufriera un traumatismo. Tras el reporte, al sitio se movilizaron paramédicos de Protección Civil de Apan, quienes valoraron al motociclista y confirmaron que ya no presentaba signos vitales. También acudieron elementos de la Policía Municipal y Policía Estatal, quienes mantuvieron bajo resguardo la zona mientras se esperaba la llegada de las autoridades ministeriales. Posteriormente, personal de la Procuraduría General de Justicia del Estado de Hidalgo (PGJEH) y del Servicio Médico Forense (SEMEFO) acudió para realizar las diligencias correspondientes y el levantamiento del cuerpo.</t>
  </si>
  <si>
    <t>Una mujer dio a luz a una bebé este viernes 4 de septiembre en el Parque Hidalgo, donde ciudadanos que se encontraban en el lugar se acercaron para auxiliarla mientras llegaban los servicios de emergencia. De acuerdo con información policial, la madre es vecina de la colonia La Raza y comenzó con el trabajo de parto mientras se encontraba en este espacio público de Pachuca. La rapidez con la que ocurrió el nacimiento provocó que las personas presentes fueran las primeras en brindarle apoyo. Posteriormente arribó una ambulancia de la Policía Municipal y Protección Civil. El personal atendió a la mujer y a la recién nacida antes de trasladarlas al Hospital General, donde ambas quedaron bajo valoración. Los primeros reportes indican que la madre y su hija se encuentran estables. Permanecerán bajo atención hasta que el personal médico determine si existen condiciones para otorgarles el alta. Hasta ahora no se han proporcionado datos sobre la hora exacta del nacimiento, el peso de la bebé o las condiciones en las que se desarrolló el parto. Tampoco se ha informado cuánto tiempo llevaba la mujer con contracciones antes de llegar al parque. Después de difundirse el caso, usuarios de redes sociales comenzaron a cuestionar por qué el nacimiento ocurrió en el Parque Hidalgo, debido a la cercanía de este punto con unidades de atención médica. Entre los comentarios surgió la versión de que la mujer habría acudido previamente a recibir atención y que posiblemente le recomendaron caminar para favorecer la dilatación. Otra publicación sostuvo que presuntamente habría sido enviada a su domicilio al presentar dos centímetros de dilatación. Uno de los usuarios afirmó que esta explicación habría sido proporcionada por el esposo de la mujer. Según ese comentario, la pareja se dirigía a su vivienda y caminaba para encontrar transporte cuando el parto se adelantó en el parque. Sin embargo, ninguna de estas versiones ha sido confirmada por la familia, las autoridades de Salud o el hospital donde presuntamente habría sido valorada antes del nacimiento. Tampoco se ha presentado algún documento médico que permita comprobar si fue dada de alta, si recibió la recomendación de caminar o si acudió previamente a una unidad hospitalaria.</t>
  </si>
  <si>
    <t>Asistencia de parto</t>
  </si>
  <si>
    <t>La Dirección de Sanidad Municipal de Tulancingo realiza durante el mes de septiembre una campaña de esterilización y vacunación para perros y gatos, estas jornadas llegan a diferentes colonias y comunidades del municipio.</t>
  </si>
  <si>
    <t>Vacunación Antirrábica</t>
  </si>
  <si>
    <t>Hoy pues fue día de presentación del cuarto informe de gobierno de Julio Menchaca Salazar, gobernador del estado de Hidalgo, donde pues, al dar a conocer las cifras, resultados de lo alcanzado en este cuarto año de su administración aquí precisamente en nuestro estado, pues destacó en su discurso que Hidalgo es una potencia en marcha al destacar los proyectos federales y estatales que se desarrollarán en los próximos dos años de su administración." Entre los proyectos prioritarios pues se encuentra la intervención de la carretera Actopan-Atotonilco el Grande con una inversión de 900 millones de pesos para conectarla con las vías México-Laredo y México-Tampico, y así fortalecer la comunicación entre el Valle del Mezquital, la Sierra Alta y la Huasteca. También anunció la intervención del Río de las Avenidas desde La Paz hasta Las Torres con 2,000 millones de pesos como una vía alterna hacia pues la zona sur de Pachuca y su conexión con el bulevar Felipe Ángeles. El tercer proyecto contempla ampliar a ocho carriles la carretera Pachuca-México con una inversión de 3,200 millones de pesos; los trabajos comenzarán este año con un distribuidor vial en el entronque de Zapotlán. En su discurso, Menchaca sostuvo que Hidalgo vive una de las etapas de mayor dinamismo en su historia bajo la premisa de que cada decisión de gobierno debe atender al interés colectivo. "Afirmó que en lo que va de su administración se generaron 130 compromisos de inversión por más de 147,000 millones de pesos con la creación de 191,000 empleos directos e indirectos. Este año, agregó, la entidad alcanzó el primer lugar en crecimiento económico y el segundo en actividad industrial. Asimismo, señaló que la pobreza disminuyó de 41 a 35%, lo que representa 154,000 personas menos en esta condición." Durante los cuatro años de gobierno se destinaron más de 12,000 millones de pesos a 154 programas sociales y apoyos, además de 121 mil millones de pesos para fortalecer la educación. 'Recaudamos más', dijo, 'invertimos más y debemos menos', así lo dijo el gobernador al referirse a las finanzas estatales. Menchaca Salazar también recordó la emergencia provocada hace 11 meses, ya casi un año, por la llamada vaguada monzónica que afectó a 28 municipios y dejó pérdidas humanas y daños en miles de familias. En ese contexto, reconoció el respaldo de la presidenta Claudia Sheinbaum Pardo, así como la participación de voluntarios locales y de otras entidades. Anunció que en las próximas semanas la presidenta de la República entregará apoyos por 874 millones de pesos a 2,185 familias para la reconstrucción de su patrimonio, aunado a que visitará Hidalgo el 13 de septiembre próximo, lo que será su visita número 15 aquí en la entidad hidalguense. Bueno, pues así algunas de las de las cifras que dio a conocer el día de hoy. Sobre todo en su en su discurso, después de después de presentar un video, un video con de todos los logros, apoyos, alcances que ha tenido precisamente su administración en este cuarto año de de gobierno, su mensaje del gobernador, enseguida emitió su mensaje donde se dieron a conocer estas próximas inversiones. Menchaca Salazar ha explicado también que estas acciones pues buscan, sobre todo en el tema de vialidad de obra pública, agilizar agilizar el tema del traslado entre Hidalgo, el Estado de México, el Aeropuerto Internacional Felipe Ángeles y la capital del país, además de fortalecer la comunicación de la zona metropolitana de Pachuca, por lo que aseguró que, de manera paralela, continuará la obra pública en los 84 municipios. Finalmente dijo: 'Durante mucho tiempo nuestro estado fue marcado por lo que necesitaba superar; hoy puede definirse por aquello que está dispuesto a alcanzar'. Agregó que el reto es lograr que el avance se refleje en cada comunidad mediante mejores oportunidades, seguridad, educación, bienestar, servicios e infraestructura. Finalmente agradeció el acompañamiento del gobierno federal encabezado por la presidenta Claudia Sheinbaum y sostuvo que Hidalgo cuenta con visión de largo plazo y condiciones para mantener su transformación y generar bienestar regional. 'Hidalgo es potencia en marcha', así es como concluyó, también con un grito de '¡Que viva la transformación, que viva Hidalgo!'. Así concluyó su discurso el gobernador Julio Menchaca Salazar, que que prácticamente ocupó una una hora, ¿eh?, para trasladarse ahí desde desde prácticamente el pasillo, la entrada al recinto ferial, y hasta hasta la zona donde donde estaba ya colocado todo el estrado, el inmobiliario, toda la logística para recibirlo. Una hora pero por por saludar obviamente a la gente que lo esperaba, saludar también a los invitados especiales que estuvieron estuvieron por ahí con él. Fue por parte del gobierno federal, fue la secretaria de Cultura, Claudia Curiel, quien estuvo en representación de la presidenta Claudia Sheinbaum; también estuvo la maestra Rebeca Aladro, presidenta magistrada del Tribunal Superior de Justicia, y el diputado Andrés Velázquez Vázquez, diputado local, presidente de la Junta de Gobierno del Congreso del Estado. Pero sobre todo, y pues destaca a diferencia de lo que han hecho otros mandatarios en gobiernos anteriores, que estuvieron ahí con él en el estrado varias de las personas que han sido beneficiadas, es decir, la ciudadanía estuvo ahí en representación de quienes han sido beneficiados con acciones, obras, proyectos, etcétera, en esta a lo largo de estos cuatro años de gobierno de Julio Menchaca Salazar. Pero bueno, obviamente la mejor opinión por supuesto la tiene usted siempre, nosotros aquí cumplimos con informarle estas estas estadísticas que presentó hoy.</t>
  </si>
  <si>
    <t>El Gobierno Municipal de Tulancingo emitió una tarjeta informativa en relación con el conflicto generado durante la rendición de cuentas de la exdelegada Nubia Gicela Lorenzo en la comunidad de Santa Ana Hueytlalpan. Tras no alcanzarse un consenso ni concretarse el nombramiento de Miriam Morales de Jesús por desacuerdos entre la población, la administración local aclaró que actualmente no reconoce formalmente a ninguna persona como enlace vecinal, en tanto la propia comunidad resuelva la elección conforme a sus usos, costumbres y procesos internos. Asimismo, el Ayuntamiento aseguró que está vacante no condiciona la atención ciudadana ni la realización de trámites para los habitantes, ratificando su respeto a los derechos y autonomía de las comunidades indígenas.</t>
  </si>
  <si>
    <t>Jesús Riveros agradece al profesor Juan Carlos Santamaría quien pues ya va a buscar un lugar, un espacio por supuesto allá en el recinto ferial de Pachuca donde, como ya lo comentó, a partir de las 11 de la mañana se dará el mensaje por su cuarto informe de gobierno del gobernador Julio Menchaca Salazar, gobernador del estado de Hidalgo. Y pues bueno, estaremos al pendiente por supuesto llevándole los detalles también a través de estos micrófonos, señaló.</t>
  </si>
  <si>
    <t>Con un intenso despliegue operativo y el arribo masivo de contingentes provenientes de diversas regiones de la entidad, todo se encuentra listo en las instalaciones de la Feria de Pachuca para la rendición del Cuarto Informe de Gobierno del mandatario estatal, Julio Menchaca Salazar. Durante la cobertura previa al evento, se resaltó que uno de los ejes centrales del mensaje será la estrecha colaboración entre la administración estatal y el Gobierno de México, encabezado por la presidenta Claudia Sheinbaum. Entre los avances conjuntos destacan los operativos de seguridad coordinados entre la policía estatal, mandos municipales, la Guardia Nacional y el Ejército Mexicano. En el ámbito económico y de infraestructura, se contempla detallar las acciones para la instalación de un polo de desarrollo en el municipio de Zapotlán, así como la incorporación de Hidalgo al plan hídrico nacional, el cual contempla el saneamiento del río Tula y la tecnificación de los sistemas de riego para el campo hidalguense. Afectaciones viales en el sur de la capital Debido a la concentración de asistentes en las inmediaciones del recinto ferial, el fraccionamiento Juan C. Doria y la Plaza de Toros, las autoridades reportaron una fuerte carga vehicular sobre los bulevares Felipe Ángeles y Nuevo Hidalgo. Elementos de tránsito y cuerpos de emergencia mantienen un operativo permanente en la zona para agilizar la circulación y dar prioridad de paso a unidades de auxilio. Se recomienda a la población evitar la zona sur de Pachuca si no es estrictamente necesario.</t>
  </si>
  <si>
    <t>Con resultados que se viven en el territorio, todo está listo para el cuarto informe del gobernador Julio Menchaca</t>
  </si>
  <si>
    <t>En el marco de la reciente visita a México del presidente de Colombia, Gustavo Petro, y de las discusiones sobre la política energética e intervencionismo extranjero en América Latina, el representante del PRD en Hidalgo, Héctor Chávez Ruiz, fijó la postura del partido local al hacer un llamado a los gobiernos y fuerzas progresistas a consolidar alianzas permanentes para proteger la soberanía y autodeterminación de los pueblos. Durante un encuentro realizado en Mineral del Chico, Chávez Ruiz subrayó que la defensa de las instituciones no debe darse de forma reactiva o coyuntural, sino a través de una agenda continua que impida condicionamientos externos en las decisiones de la nación. Al respecto, el periodista David Cárdenas destacó la relevancia de que un instituto político de carácter local asuma un posicionamiento sobre temas torales de alcance internacional y nacional. Señaló que este planteamiento se alinea con las posturas asumidas por la presidenta de México, Claudia Sheinbaum, y el gobernador de Hidalgo, Julio Menchaca Salazar, quienes han reiterado de manera constante que la soberanía nacional y estatal no se negocia ni se entrega. Finalmente, el análisis transmitido en el noticiero subrayó que la autodeterminación y el rechazo al intervencionismo extranjero rebasan el plano gubernamental y deben constituir una postura ciudadana y social ante los desafíos políticos de la región.</t>
  </si>
  <si>
    <t>Intervención extranjer</t>
  </si>
  <si>
    <t>Una respuesta inmediata de la Secretaría de Seguridad Pública, Tránsito y Vialidad de Pachuca de Soto permitió rescatar a un perro que permanecía encerrado dentro de un vehículo durante varias horas, tras un reporte recibido a través del C4. Los hechos ocurrieron en la zona de Infonavit Santa Julia, sobre la antigua carretera México-Pachuca, donde elementos de Seguridad Pública acudieron de inmediato al sitio para verificar el reporte. Al arribar, los agentes localizaron al animal al interior de un vehículo Pontiac color rojo. De acuerdo con el propietario, identificado como F.E.P.M., el canino había permanecido en el vehículo tras varias horas. Ante esta situación, los elementos procedieron a la detención de la persona por su probable responsabilidad en el delito de maltrato animal. El perro fue puesto a salvo y quedó bajo resguardo del Centro de Atención Integral Veterinario de Pachuca, donde recibirá la atención correspondiente. La intervención refleja la capacidad de respuesta de la corporación municipal ante reportes ciudadanos y su compromiso con la protección y bienestar animal.</t>
  </si>
  <si>
    <t>Detención</t>
  </si>
  <si>
    <t>Elementos de la Secretaría de Seguridad Pública, Tránsito y Vialidad de Pachuca detuvieron a un hombre identificado con las iniciales F.Q.T., quien contaba con una orden de aprehensión vigente por el delito de narcomenudeo. El arresto se llevó a cabo tras un reporte recibido a través del C4 sobre la compra-venta de una motocicleta Italika 300 en el bulevar Ramón G. Bonfil, a la altura de la colonia Piracantos. Al verificar los datos de los involucrados en Plataforma México, el sistema arrojó que el sospechoso era requerido por la justicia por delitos contra la salud en el municipio de Tizayuca. Tras confirmarse el mandato judicial, los policías municipales lo pusieron a disposición de la Policía de Investigación de la Procuraduría General de Justicia del Estado de Hidalgo para determinar su situación legal.</t>
  </si>
  <si>
    <t>Elección de delegados</t>
  </si>
  <si>
    <t>Andrés Torres menciona que Miguel Tello, el Secretario de la Unidad de Planeación y Prospectiva, estuvo en Nicolás Flores en representación del Gobernador. Tello asistió al informe del Presidente Municipal y recorrió el área donde comenzarán los trabajos de un libramiento, un proyecto crucial que unirá el Valle del Mezquital con la Sierra, Pachuca y otras áreas. Este libramiento se puede considerar más importante que la ampliación de la carretera México-Pachuca por su impacto en la conectividad. Ha sido un proyecto antiguo que, gracias al Gobierno de Julio Menchaca, está finalmente aprobado por el Gobierno Federal. Este nuevo camino facilitará el transporte y potenciará el comercio y la economía en la región, evitando rutas largas actuales y mejorando el acceso entre localidades como Tasquillo y Metztitlán.</t>
  </si>
  <si>
    <t>Infraestructura vial</t>
  </si>
  <si>
    <t>El gobernador Julio Menchaca Salazar presentó su cuarto Informe de Gobierno, destacando los logros y avances durante sus primeros cuatro años en el cargo. Anunció proyectos importantes de infraestructura que comenzarán en el quinto año en Hidalgo, resaltando que el estado tiene el mayor crecimiento económico y en empleos formales a nivel nacional. Uno de los proyectos más relevantes es la ampliación de la carretera México-Pachuca a ocho carriles, que mejorará la conectividad en la zona metropolitana de la Ciudad de México, incluyendo localidades como Tizayuca y Tolcayuca. Otro anuncio significativo es el libramiento Actopan-Atotonilco, que unirá distintas regiones y facilitará el acceso para los habitantes de Zacualtipán y Molango a áreas como los balnearios en Ixmiquilpan. También se mencionó la ampliación del Río de las Avenidas en Pachuca, la cual es considerada vital para el desarrollo de la ciudad. El gobernador expresó su compromiso de que el crecimiento se vea reflejado en cada comunidad, mejorando las oportunidades de miles de familias en áreas como seguridad, educación y servicios. Afirmó que Hidalgo está siendo reconocido por sus condiciones favorables y está en camino de convertirse en una potencia en marcha. En cuanto a finanzas, el gobernador mencionó que el estado ha recaudado más y debe menos, alcanzando el primer lugar nacional en eficiencia recaudatoria. La agencia Fitch Ratings también otorgó a Hidalgo la calificación crediticia más alta, AAA, como resultado de una gestión financiera transparente y honesta, lo que favorece la atracción de inversiones. El informe indica un fuerte enfoque en el desarrollo y el bienestar de los hidalguenses, con anuncios importantes en infraestructura que reflejan el compromiso del gobernador Menchaca. Se concluirá el segmento con un anuncio comercial y se promete regresar con más información.</t>
  </si>
  <si>
    <t>Durante el cuarto informe de gobierno de Julio Menchaca Salazar, el magisterio de Hidalgo refrendó su disposición para mantener una coordinación cercana con la administración estatal, con el propósito de fortalecer el sector educativo y generar mejores condiciones para las y los trabajadores de la educación. En este ejercicio de rendición de cuentas y diálogo institucional participó Said Vargas Sáenz, secretario general de la Sección 15 del Sindicato Nacional de Trabajadores de la Educación (SNTE), acompañado por Jaime Rochín, representante del secretario general del SNTE, Alfonso Cepeda Salas. Desde el ámbito sindical se reconoció la voluntad del gobernador Julio Menchaca para mantener una relación de trabajo cercana con la organización magisterial, basada en el diálogo y la coordinación institucional. El encuentro permitió refrendar el compromiso de continuar impulsando acciones que contribuyan al bienestar de las y los trabajadores de la educación, así como al fortalecimiento de la educación pública en Hidalgo. El encuentro permitió refrendar el compromiso de continuar impulsando acciones que contribuyan al bienestar de las y los trabajadores de la educación, así como al fortalecimiento de la educación pública en Hidalgo.</t>
  </si>
  <si>
    <t>Gracias al trabajo de Julio Menchaca y Natividad Castrejón. El secretario de Educación Pública ha publicado en redes sociales los apoyos educativos que benefician a muchas familias. Estos apoyos hacen que los estudiantes se sientan más tranquilos y se enfoquen en aprender. El 44% del presupuesto del estado se destina a educación, lo que equivale a más de 121 mil millones de pesos en cuatro años. Bajo la dirección de Menchaca, la Secretaría de Educación Pública ha mejorado las condiciones de aprendizaje y ampliado las oportunidades educativas para todos los jóvenes en Hidalgo.</t>
  </si>
  <si>
    <t>Radioescucha, Roberto Pérez: desde Mangas dice: "...felicitación enorme al gobernador Julio Menchaca Salazar por los resultados de su gobierno en Tezontepec de Aldama. Las obras de calidad como la nueva red de agua potable y la rehabilitación de la cancha de básquetbol en Mangas. Muy buenos días, saludos".</t>
  </si>
  <si>
    <t>En respuesta a un radioescucha que se hace llamar "Bolsas" y que comunica que hoy se firman las condiciones generales de trabajo para los trabajadores de la Universidad Tecnológica de la Huasteca, Andrés Torres menciona que un tema importante de la semana pasada se resolvió satisfactoriamente, gracias a la intervención del subsecretario de Educación, Daniel Fragoso, y a los representantes de los maestros. Esto permitirá que la vida escolar vuelva a la normalidad en la Universidad Tecnológica de la Huasteca Hidalguense.</t>
  </si>
  <si>
    <t>Protesta sindical</t>
  </si>
  <si>
    <t>En cabina Alberto Gonzpalez y Andrés Torres comentan sobre el informe de gobierno del gobernador Julio Menchca y destacan que les parece bueno que en lo que va de la administración no se ha adquirido una deuda pública y por el contrario hubo una disminución del 44% en la deuda pública del estado de Hidalgo. Las finanzas actuales priorizan no adquirir nueva deuda para evitar el pago de elevadas tasas de interés. Se señaló la inversión estatal de $52.1 millones de pesos provenientes del impuesto vehicular para la compra de 71 patrullas distribuidas en municipios. En contraste, se cuestionó la gestión de recursos locales como en Actopan, donde un subsidio federal de $54 millones en 2025 rindió únicamente para entre 5 y 7 patrullas y un C2. en seste sentido, Andrés Torres aclaró que una patrulla equipada (con radiocomunicación, computadoras, torretas y adecuaciones mecánicas/de carrocería) puede alcanzar los $5 millones de pesos. Además, la falta de proveedores locales de blindaje o equipamiento obliga a trasladar las unidades a otros estados. Alberto González criticó la falta de personal calificado en los municipios para operar vehículos o tecnologías complejas. A diferencia de proveedores de maquinaria especializada (como camiones Váctor) que incluyen instrucción técnica, el uso de patrullas inteligentes y armamento requiere certificaciones estrictas e intermediación de la Secretaría de Seguridad Pública del Estado mediante el Mando Coordinado. Asimismo, González señaló la rotación de jefes policiales en Mixquiahuala y Actopan tras filtrarse audios y videos de presunta extorsión o manipulación de evidencias. Destacaron el anuncio de la ampliación de la carretera Actopan - Atotonilco El Grande, que recuerda fue planeada originalmente durante la gubernatura de Manuel Ángel Núñez Soto (1999), y que en el gobierno de Julio Menchca está por concretarse. No obstante, se subrayó la necesidad expresada por la Unidad de Planeación de socializar con tiempo los trazos viales, posibles indemnizaciones de predios y afectaciones. Sobre la ampliación de la carretera México - Pachuca (Tramo Téllez - Zapotlán), comentaron que la inversión actual es estatal debido a que, históricamente, las autoridades federales no consideraban rentable financieramente la ampliación a cuatro carriles de Téllez al AIFA por el flujo vehicular. Andrés Torres concluyó que la obra es prioritaria ante la integración oficial de municipios como Tizayuca, Tolcayuca y Zapotlán a la Zona Metropolitana del Valle de México, previendo un crecimiento demográfico y de tránsito local acelerado.</t>
  </si>
  <si>
    <t>Andrés Torres Y Alberto Gonzálezz</t>
  </si>
  <si>
    <t>Podría aumentar cantidad de lluvia este año en Hidalgo, comparado con 2025: PC estatal Ramón Bernal Díaz, titular de la subsecretaría de Protección Civil y Gestión de Riesgos del Estado de Hidalgo, señaló que se prevén lluvias por arriba de lo registrado el año pasado, durante los meses de septiembre y octubre del presente 2026. Señaló que las condiciones actuales requieren atención, particularmente ante la presencia del fenómeno de El Niño, donde las lluvias estarán presentes. “Recordemos que en la vaguada monzónica (del año pasado) no hubo ni registro de depresión, simplemente se formó una concentración de nubes que nos trajo esa cantidad de lluvias. Hay que estar alertas porque hay mucha humedad en el ambiente”, precisó. El funcionario estatal comentó que el efecto del monzón mexicano puede provocar lluvias muy fuertes en cualquier momento. Por lo que la dependencia a su cargo mantiene el monitoreo permanente en los lugares con más lluvias, además que los ríos están por debajo de los niveles de desbordamiento. “No hemos tenido el riesgo latente, el riesgo existe pero no lo tenemos de efecto inmediato, pero sí se han estado monitoreando, estamos con el alertamiento cada 3 horas a fin de que la población tenga el conocimiento de en qué momento debe de evacuar si es necesario”, puntualizó. Durante septiembre de 2025, las precipitaciones en la entidad rondaron entre 50 y 75 milímetros; posteriormente, en octubre, la presencia de la vaguada monzónica generó graves afectaciones en distintos puntos del estado. De acuerdo con los registros de la Comisión Nacional del Agua, las lluvias acumuladas al cierre de ese mes alcanzaron 173.2 milímetros. Agregó que las recientes lluvias en distintas partes del estado no han registrado daños mayores, sólo anegaciones y encharcamientos, pero sin afectaciones directas a la población. Sin embargo, señaló que alrededor de dos mil familias continúan en zonas de riesgo, que aunque ya recibieron la indicación de evacuar, muchas todavía se resisten a dejar sus viviendas. Ante esta situación, señaló que las familias deben permanecer atentas a los alertamientos que emita la Subsecretaría de Protección Civil a través de las direcciones municipales de Protección Civil. Respecto a los municipios del norte del estado que resultaron afectados durante la vaguada monzónica, informó que las autoridades continúan con el monitoreo. Añadió que los niveles de los ríos permanecen bajos y, hasta el momento, no representan algún tipo de riesgo.</t>
  </si>
  <si>
    <t>Prevención Meteorológica</t>
  </si>
  <si>
    <t>Iza Hernández</t>
  </si>
  <si>
    <t>Sin registro de atención a emergencias por tomas de hidrocarburo, por parte de PC de Santiago Tulantepec En lo que va del presente año, el cuerpo de Bomberos y Protección Civil de Santiago Tulantepec no ha atendido reportes relacionados con emergencias en ductos de hidrocarburo que están dentro del municipio.Al respecto, Edmundo Hernández Chimal, director de la corporación, consideró que la presencia más constante de personal de Seguridad Física de Petróleos Mexicanos (Pemex), ha disminuido la intervención de los bomberos municipales. Señaló que en casos más urgentes, son requeridos por la empresa paraestatal, tanto para las labores de contención a emergencias, como para aplicar protocolos a la población que podría estar en riesgo. La situación más complicada en la que apoyaron el cuerpo de Bomberos y Protección Civil de Santiago Tulantepec ocurrió el año pasado, cuando se registró una fuerte fuga de hidrocarburo en la zona de Paxtepec.En aquel momento fue necesario evacuar a parte de la población, por el fuerte olor a hidrocarburo que se dispersó en el aire, incluso a varios kilómetros de distancia. Hernández Chimal recordó que entre los años 2018 a 2021 se presentó la situación más complicada en cuanto a atención a emergencias en ductos de hidrocarburo a cargo de Pemex, que cruzan por el municipio. En aquel momento, los elementos de la corporación atendían un promedio de 3 a 4 emergencias por semana, muchas de ellas relacionadas con fuga de hidrocarburo. El mando recordó que en aquel momento, personal de Seguridad Física de Pemex tardaba hasta dos horas en arribar para atender las emergencias. Incluso, derivado de la necesidad de contar con más equipo para atención, se adquirió una pipa más, bajo la responsabilidad de Protección Civil de Santiago Tulantepec. Hernández Chimal señaló que actualmente el panorama es distinto, insistiendo que la presencia de personal de la paraestatal, con apoyo de oficiales de la Guardia Nacional, ha permitido una atención más pronta en este tipo de emergencias. Enfatizó que en caso necesario, los bomberos de Santiago Tulantepec apoyarán siempre que sean requeridos.</t>
  </si>
  <si>
    <t>Fuga de hidrocarburo</t>
  </si>
  <si>
    <t>Proteger a niñas, niños y adolescentes es una responsabilidad que requiere información, prevención y la participación de toda la sociedad. Por ello, el Gobierno Municipal de Tulancingo, a través del Sistema Municipal de Protección Integral de Niñas, Niños y Adolescentes (SIPINNA), se sumó a la Jornada Nacional de Concientización sobre la gravedad del abuso y maltrato infantil. Como parte de esta estrategia, este viernes la Secretaría Ejecutiva de SIPINNA Tulancingo impartió una capacitación a servidores públicos de distintas dependencias municipales, con el propósito de fortalecer sus herramientas para detectar, prevenir, acompañar y denunciar posibles casos de abuso sexual infantil. Durante la jornada, Emma San Agustín Lemus, titular de SIPINNA Tulancingo, informó que en 2025 se registraron 11 mil 122 denuncias por abuso sexual infantil a nivel nacional, cifra que también refleja una mayor información sobre este problema y un mayor conocimiento de los mecanismos para solicitar ayuda y denunciar. Ante esta realidad, SIPINNA Tulancingo busca generar un efecto multiplicador, fortaleciendo una red de personas servidoras públicas y ciudadanos comprometidos con la construcción de entornos seguros para la niñez y adolescencia. La estrategia continuará a partir del lunes 7 de septiembre en 10 centros educativos de nivel preescolar, primaria y secundaria, donde se realizarán acciones dirigidas a madres y padres de familia, docentes y alumnado, con información que permita reconocer señales de alerta, prevenir situaciones de riesgo y saber cómo actuar ante un posible caso de abuso. Con el respaldo decidido de la presidenta municipal Lorena García Cázares, Tulancingo desarrolla por segundo año consecutivo una estrategia de esta naturaleza, refrendando que la protección de niñas, niños y adolescentes es una prioridad y una responsabilidad compartida.</t>
  </si>
  <si>
    <t>Julio Menchaca consolida transformación educativa en Hidalgo</t>
  </si>
  <si>
    <t>399 personas, atendidas en jornada estatal de cataratas 399 personas provenientes de 64 municipios del Estado de Hidalgo fueron beneficiarias de la Jornada Estatal de Cirugías de Cataratas, realizada en las instalaciones del Hospital General IMSS Bienestar de Tulancingo. La jornada se desarrolló en dos etapas, los días 18 y 19 de agosto, así como 1 y 2 de septiembre, con el propósito de acercar servicios de salud a personas que enfrentan barreras económicas o geográﬁcas para acceder a una cirugía de cataratas, bajo criterios de oportunidad y equidad. El apoyo médico se realizó en coordinación con el Sistema DIF Hidalgo, para ubicar a las personas que requerían de las intervenciones quirúrgicas para mejorar su salud visual. Para hacer posible los procedimientos, el Gobierno Federal, a través del programa “Ver por México”, proporcionó material e insumos quirúrgicos, entre ellos los lentes intraoculares. Por su parte, el IMSS Bienestar en Hidalgo aportó la infraestructura hospitalaria, los quirófanos y las áreas de recuperación, además del suministro de insumos médicos y la coordinación del personal participante. Durante la clausura de la Jornada, Edda Vite Ramos, presidenta del Patronato del Sistema DIF Hidalgo, destacó que recuperar la visión también significa recuperar confianza, independencia y oportunidades. “Esta jornada representa más que un procedimiento médico. Recuperar la vista significa recuperar la confianza, la autonomía y la posibilidad de hacer muchas cosas que antes parecían imposibles”, expresó. En las intervenciones de extracción de catarata y colocación de lentes intraoculares, participaron 34 profesionales de la salud: seis médicos oftalmólogos, cuatro anestesiólogos, dos ingenieros biomédicos, ocho enfermeras instrumentistas y 14 enfermeras generales. Lo anterior fue informado por la doctora Alejandra Guadalupe Ramírez Reyes, titular de la Oﬁcina de Atención Médica Especializada. “Como parte de la estrategia, los pacientes recibieron sin costo valoraciones de medicina interna, anestesiología y estudios preoperatorios en 11 hospitales generales y regionales de la red IMSS Bienestar en Hidalgo: Pachuca, Tulancingo, Actopan, Apan, Huichapan, Huejutla, Ixmiquilpan, Jacala de Ledezma, Metztitlán, Tula y Tlanchinol”, indicó Ramírez Reyes. Explicó que esta dinámica permitió que las personas provenientes de distintas regiones del estado realizarán los estudios necesarios para su intervención en unidades cercanas a sus lugares de origen, sin necesidad de trasladarse hasta la sede de la jornada. Además del beneficio en la salud y la calidad de vida, esta acción representa un respaldo directo para la economía de las familias, ya que una cirugía de cataratas puede alcanzar un costo aproximado de 35 mil pesos, mientras que las personas beneficiarias recibieron el procedimiento de manera totalmente gratuita.</t>
  </si>
  <si>
    <t>Confirma Menchaca tres proyectos carreteros para el Estado de Hidalgo Tres proyectos viales, uno de ellos estatal, otro que conectará de forma más eficiente con la Zona Metropolitana del Valle de México, y otro más para Pachuca, fueron anunciados por el Gobernador del Estado de Hidalgo, Julio Menchaca Salazar. Lo anterior al realizar la lectura de su mensaje con motivo de su Cuarto Informe de Gobierno, ocurrido el viernes 4 de septiembre en las instalaciones de la Feria de Pachuca. Confirmó la construcción del eje transversal Actopan-Atotonilco el Grande que unirá las carreteras federales México-Laredo y México-Tampico con una inversión superior a los 900 millones de pesos. Menchaca Salazar también anunció la ampliación a ocho carriles de la carretera México-Pachuca, con más de 3 mil 200 mdp, partiendo del distribuidor vial de Téllez. Además, se continuará con la construcción del encauzamiento y terminación de vialidades en concreto hidráulico del Río de las Avenidas, desde la carretera Antigua La Paz hasta el bulevar Las Torres, con más de 2 mil millones de pesos. El titular del Poder Ejecutivo del Estado de Hidalgo dio a conocer en su mensaje que la Presidenta de México, Claudia Sheinbaum Pardo, visitará el Estado de Hidalgo el próximo 13 de septiembre. En dicha visita entregará un apoyo de 874 millones de pesos a 2 mil 185 familias para la reconstrucción de su patrimonio afectado por las torrenciales lluvias registradas en octubre del año pasado. Reconoció el respaldo de Claudia Sheinbaum Pardo, así como la participación de voluntarios locales y de otras entidades, para apoyar a las familias afectadas en 28 municipios, donde se registraron pérdidas humanas y daños en miles de familias. Menchaca Salazar señaló que durante la administración a su cargo, la población en algún grado de pobreza disminuyó de 41 a 35 por ciento, lo que representa 154 mil personas menos en esta condición. Señaló que durante los cuatro años de gobierno se destinaron más de 12 mil millones de pesos a 154 programas sociales y apoyos, además de 121 mil millones de pesos para fortalecer la educación. A ello se agrega la atracción de 130 proyectos productivos que representan una inversión de más de 147 mil millones de pesos y la generación de 191 mil empleos directos e indirectos. Este año, el estado es primer lugar nacional en crecimiento económico y el segundo en actividad industrial. Además, se redujo la deuda pública heredada en un 42 por ciento y la recaudación tuvo un crecimiento histórico del 96 por ciento. En materia de infraestructura pública, se han destinado 25 mil millones de pesos para ejecutar más de 4 mil 500 obras, de acuerdo a lo presentado en el Cuarto Informe de Gobierno. Se destaca que el Estado de Hidalgo se ubica entre los 10 estados más seguros del país, con una reducción del 71 y 24 por ciento en extorsión y homicidios, respectivamente; también se detuvo a 26 objetivos prioritarios de alta relevancia delictiva.</t>
  </si>
  <si>
    <t>Guillermo Olivares entrega al Congreso del Estado la glosa del Cuarto Informe de Gobierno</t>
  </si>
  <si>
    <t>Conversación por whatsapp con Adán Augusto “está sacada de contexto”: Cuauhtémoc Ochoa El Senador por el Estado de Hidalgo, Cuauhtémoc Ochoa Fernández, declaró que la fotografía publicada por el diario Reforma donde presuntamente se pone de acuerdo con el también Senador Adán Augusto López para el reparto de comisiones, “está sacada de contexto”. La imagen fue publicada por dicho medio de comunicación la semana pasada; se trata de un mensaje de whatsapp, presuntamente establecido por ambos legisladores. En este Ochoa Fernández habría solicitado autorización para presidir la Comisión de Bienestar y justificó su petición al señalar que Andrea Chávez será gobernadora de Chihuahua, según el contenido del mensaje difundido. El legislador también argumentó que encabezar dicha comisión podría ayudarle a posicionarse políticamente frente al gobernador de Hidalgo, Julio Menchaca. En la conversación, el Senador por el Estado de Hidalgo cuestionó si ese espacio sería entregado a la senadora Simey Olvera. El Senador Adán Augusto responde al respecto en el mismo mensaje “no mames. Simey ya me perdió”. “Está sacada de contexto, pregúntale a quien sacó la foto”, respondió a los reporteros que lo abordaron sobre el tema, durante su asistencia al Cuarto Informe del Gobernador de Hidalgo, Julio Menchaca Salazar. Respecto a su relación con el titular del Poder Ejecutivo del Estado de Hidalgo, respondió que “el gobernador es mi amigo y le tengo un enorme respeto”. Sobre el papel que podría desempeñar Adán Augusto López en la definición de candidaturas de Morena en Hidalgo, Ochoa se limitó a recordar su participación previa como delegado regional del partido. “El viene de delegado regional, cumpliendo el ejercicio del partido y es lo único que te puedo decir”. Respecto al Cuarto Informe de Gobierno de Julio Menchaca, Ochoa Fernández destacó los resultados que, desde su perspectiva, ha alcanzado la administración estatal durante sus primeros cuatro años. “Hoy es un gran día, el gobernador Julio Menchaca presenta su informe de resultados como lo ha hecho en sus cuatro años de gobierno y con una transformación importante para el estado de Hidalgo”, señaló el Senador por el Estado de Hidalgo.</t>
  </si>
  <si>
    <t>Siguen a la búsqueda de un niño desaparecido enLolotla. Híjole, el el año pasado, ya tiene más de un año, fue el 15 de abril del 2025 cuando se reportó la desaparición de Dorian Caleb Chiyo Arroyo, eh quien fue visto por última vez en el municipio de Lolotla. Eh estaba de visita en la casa de sus abuelos. Entiendo de que el último momento en que se le vio es cuando va a una de las eh de las habitaciones. De hecho, a la habitación de la abuela y no supieron más y de hecho, este pasado fin de semana se señaló que la búsqueda ya es a nivel internacional porque eh u- habría existido un avistamiento, no es un hecho, se está en la investigación correspondiente, habría existido un avistamiento de un niño con las características de Dorian Caleb Chiyo Arroyo en Bolivia, en Sudamérica. Esto lo señaló José Francisco García Reyes, titular de la Comisión de Búsqueda de Personas en el Estado de Hidalgo, quien confirmó justamente que en Bolivia se intensificó el operativo de búsqueda ya que presuntamente se observó a un niño con las mismas características que las del desaparecido Dorian Caleb. Aclaró que informa- que la información continúa en análisis, enfatizando que la conexión con otros países de Latinoamérica e incluso los Estados Unidos se realiza en coordinación con las embajadas con lo que se con la que se comparten los datos de la ficha de búsqueda. Además, recordó que la búsqueda se realiza a nivel nacional con las comisiones de los otros 31 estados del país que están dedicadas a eso, precisamente a la búsqueda de personas. Cito textual lo que dice el funcionario: "Hemos ido a campo con binomios caninos, con equipamiento de drones, con personal, se ha buscado a pie, se ha extendido no solamente en el contexto nacional, sino también en el contexto internacional, hasta el momento no lo hemos localizado". Señalando, insistiendo de que la búsqueda ya es eh incluso a nivel inter- internacional. Un avistamiento no significa una confirmación, significa una línea de investigación para poder dar con el paradero de del niño que, reitero, estaba de visita en la casa de los abuelos en la comunidad de Huitznopala, perdón, en Lolotla. Vestía playera color naranja, pants de color negro con manchas amarillas y tenis de color blanco. Dorian Caleb es originario del Estado de México y pues había viajado precisamente con sus padres a la casa de sus parientes en Semana Santa, el 15 de abril del año pasado específicamente, el último momento en que se le se le vio, y desapareció cuando, reitero, se dirigía a la a la habitación de su abuela precisamente. Desde entonces, desde hace más de un año, más de un año, se está a la búsqueda de Dorian Caleb.</t>
  </si>
  <si>
    <t>Búsqueda de personas</t>
  </si>
  <si>
    <t>Mujer da a luz en parque público de Pachuca Una mujer dio a luz a una bebé este viernes 4 de septiembre en el Parque Hidalgo, dentro de la ciudad de Pachuca, donde personas que se encontraban en el lugar se acercaron para auxiliarla mientras llegaban los servicios de emergencia. Se conoce que la mujer atendida es vecina de la colonia La Raza y comenzó con el trabajo de parto mientras se encontraba en dicho espacio público de Pachuca. La rapidez con la que ocurrió el nacimiento provocó que las personas presentes fueran las primeras en brindarle apoyo. Posteriormente arribó una ambulancia de la Policía Municipal y Protección Civil, cuyo personal atendió a la mujer y a la recién nacida antes de trasladarlas al Hospital General, donde ambas quedaron bajo valoración. Los primeros reportes indican que la madre y su hija se encuentran estables; permanecerán bajo atención hasta que el personal médico determine si existen condiciones para otorgarles el alta.</t>
  </si>
  <si>
    <t>Atienden de emergencia a personas lesionadas por picadura de abejas Al menos 11 personas resultaron lesionadas por múltiples picaduras de abeja en la comunidad de Santa Bárbara, dentro del municipio de Emiliano Zapata. Incluso dos de las personas que resultaron lesionadas fueron trasladadas para recibir atención médica especializada debido a la gravedad de las lesiones que presentaban. Los casos de mayor gravedad corresponden a una adolescente de 15 años y una mujer de 77; pues en la valoración médica se señala que cada una habría sufrido aproximadamente 100 picaduras en diferentes partes del cuerpo. Personal de Protección Civil Municipal acudió a prestar el apoyo tras recibir el reporte respecto al ataque de las abejas. La adolescente fue trasladada al Hospital Regional del Altiplano, ubicado en Apan, mientras que la adulta mayor ingresó a la clínica del Instituto Mexicano del Seguro Social de Ciudad Sahagún. El reporte médico señala que ambas mujeres están consideradas en condición grave de salud. Además de las dos pacientes hospitalizadas en estado delicado, otras ocho personas fueron alcanzadas por las abejas, aunque con un número menor de picaduras. Algunas de ellas fueron llevadas por sus familiares al Centro de Salud, donde se informó que permanecían estables. Una persona más acudió por sus propios medios al Hospital General de Apan para solicitar atención.</t>
  </si>
  <si>
    <t>El hallazgo de un cuerpo sin vida que se registró y además con huellas de violencia en San Agustín Tlaxiaca el pasado sábado 5 de septiembre por la mañana. Esto concretamente en la comunidad Tilcuautla en donde se señala que el cuerpo fue encontrado atado de pies y manos en al costado de un camino hacia El Estanzuela a la altura del barrio Guadalupe. Además de estar atados sus extremidades, el cuerpo presentaba lesiones en el rostro. Paramédicos que acudieron al lugar tras realizar la evaluación correspondiente confirmaron que el hombre ya no contaba con signos vitales. Como características físicas se informó que tendría aproximadamente 1 metro con 65 centímetros de estatura, tez morena y bigote; al momento de ser localizado vestía una playera de tipo polo azul marino con rayas blancas, pantalón tipo pants rojo y tenis rojos. Reitero que no se tienen mayores datos de identificación del cuerpo y por lo tanto será a partir de las investigaciones por parte de la Procuraduría General de Justicia del Estado de Hidalgo como se vayan dando a conocer las situaciones que ocurrieron alrededor de este caso.</t>
  </si>
  <si>
    <t>Durante la noche del sábado 5 de septiembre se registró el fallecimiento de un interno dentro del Centro de Reinserción Social de Pachuca, luego de que personal de custodia lo localizara tendido dentro de una celda del área de procesados. De acuerdo con los primeros reportes, tras el hallazgo se solicitó la presencia de personal médico para valorar al interno; sin embargo, al arribar y realizar la revisión correspondiente, se confirmó que ya no presentaba signos vitales. De manera preliminar se informó que el cuerpo no presentaba huellas visibles de violencia, por lo que una de las líneas consideradas es que el fallecimiento pudiera estar relacionado con una causa natural, probablemente un infarto. No obstante, hasta el momento las autoridades no han confirmado la causa de muerte ni han precisado tampoco las circunstancias en las que ocurrió el deceso.</t>
  </si>
  <si>
    <t>Muerte interno</t>
  </si>
  <si>
    <t>El alcalde de Epazoyucan por otra parte señala que tras la tras el registro de dos fugas de hidrocarburo registradas en agosto en tres comunidades de dicho municipio se mantiene bajo atención debido a la cercanía de viviendas con ductos de Petróleos Mexicanos. Esto lo señala, reitero, el alcalde Carlos Montaño Rodríguez, eh especificando que se trata de las localidades de El Ocote, Xolostitla y San Juan Tizahuapan. ¡Híjole! Pues hay un mundo de gente viviendo en San Juan Tizahuapan, por cierto, donde la proximidad de algunas casas con los ductos podría representar un riesgo, explicando que en encuentros sostenidos con funcionarios de la empresa paraestatal estas han asegurado que no existe peligro mientras se mantenga a resguardo la infraestructura. Los señalamientos ocurren luego de los incidentes de los pasados 16 y 26 de agosto donde precisamente se han registrado fugas de hidrocarburo. Incluso durante la segunda situación registrada se realizó la evacuación preventiva de 15 personas debido a una fuga que alcanzó una extensión aproximada de 150 m. Posteriormente Pemex informó que la zona es segura y los habitantes regresaron a sus viviendas; sin embargo, ello implica de todas maneras estar tomando precauciones al respecto.</t>
  </si>
  <si>
    <t>Prevención De Riesgos</t>
  </si>
  <si>
    <t>Asegura FGR predio con pirotecnia, tras registro de explosión Elementos de la Fiscalía Especializada de Control Regional adscritos a la Fiscalía General de la República ingresaron a un predio ubicado en Tepeji del Río, donde aseguraron un inmueble en el que presuntamente se fabricaba y almacenaba material pirotécnico. Los agentes pudieron ingresar a dicho inmueble tras obtener una orden autorizada por un juez de control del Centro de Justicia Penal Federal en el estado de Hidalgo. Fue luego del registro de una explosión en dicho predio que se llevó a cabo el cateo, con el resto de las acciones legales respectivas. Al momento en que lograron entrar al predio, se percataron de que se fabricaba y almacenaba material pirotécnico de forma ilegal; mientras se realizaron las diligencias, el lugar fue custodiado por personal de la Defensa Nacional y la Guardia Nacional. La investigación la inició el Ministerio Público Federal después de que autoridades estatales recibieran una denuncia tras el registro de una explosión en dicho lugar.</t>
  </si>
  <si>
    <t>Pirotecnia</t>
  </si>
  <si>
    <t>Asegura FGR más de 12 mil litros de mezclas de hidrocarburos Previa autorización judicial, la Fiscalía General de la República ejecutó una orden de cateo en dos inmuebles ubicados en la localidad La Victoria, municipio de Metepec. En dicho sitio fueron asegurados 117 contenedores de diversas capacidades, 12 mil 900 litros aproximadamente de mezcla de hidrocarburos, tres bombas que se encontraban conectadas a igual número de mangueras, tres vehículos y cinco teléfonos celulares. Durante los cateos, cuatro personas fueron detenidas. La Fiscalía Especializada de Control Regional inició la investigaciones en atención a una denuncia anónima, en la que se hizo hicieron del conocimiento del Ministerio Público de la Federación de dos inmuebles donde probablemente, se vendía y almacenaba hidrocarburo de forma ilegal. El Ministerio Público de la Federación a cargo de la investigación obtuvo del juez de Control de Distrito especializado en el Sistema Penal Acusatorio, autorización para llevar a cabo diligencia de cateo en los predios señalados. La misma que fue ejecutada por elementos policiales de la Agencia de Investigación Criminal, con el apoyo de peritos especializados de la institución. En el operativo, personal de la Guardia Nacional, Secretaría de la Defensa Nacional y Policía Estatal brindaron seguridad perimetral. A las personas mencionadas en este comunicado se les presume inocentes, mientras no exista sentencia condenatoria emitida por la autoridad judicial competente.</t>
  </si>
  <si>
    <t>Combate Al Huachicol</t>
  </si>
  <si>
    <t>Como usted lo sabe, el gobernador Julio Menchaca Salazar rindió el pasado viernes en las instalaciones de la feria su cuarto informe de actividades, ahí acompañado de todo su gabinete y de invitados especiales. Primero se transmitió un video en donde se dio un recorrido por todas las actividades, por todas las secretarías y de cuál ha sido cada uno de sus logros, de sus metas. También, por supuesto, el mensaje que envió el gobernador a todas las personas que estábamos ahí presentes en el recinto de la feria. Posteriormente, el sábado 5 de septiembre, como marca la Constitución de nuestro Estado, el Secretario de Gobierno, Guillermo Olivares Reyna se presentó ante la legislatura, la LXVI Legislatura, y entregó el documento, el legajo que contiene toda la información del cuarto informe para cumplir así cabalmente con lo que ordena nuestra Constitución: que el Poder Ejecutivo rinda un informe ante el Poder Legislativo.</t>
  </si>
  <si>
    <t>Anoche se presentaron varios incidentes viales. En el Bulevar Santa Catarina, un vehículo chocó con un objeto fijo, volcando y dejando dos personas lesionadas. Luego, un conductor ignoró un aviso de obras en el Bulevar Felipe Ángeles, chocando contra escombros. La Secretaría de Seguridad Pública atendió los casos.</t>
  </si>
  <si>
    <t>A las 9:00 de la mañana, en la Conferencia Mañanera del Gobierno del Estado, se anunciará la presencia del Gobernador Julio Menchaca. Se tratarán temas del informe. No se pierda la transmisión de la radio pública del estado.</t>
  </si>
  <si>
    <t>Mañanera de Hidalgo</t>
  </si>
  <si>
    <t>Andrés Torres y Alberto González comentan la importancia de la glosa del informe en el contexto de comparecencias. Se espera que los secretarios estatales analicen esto no solo para los diputados, sino para el público en general. Andrés Torres resume la situación preguntando por qué no se presta atención a las palabras del exgobernador de Zacatecas, Ricardo Monreal. Comenta que hay falta de información sobre temas importantes, comparando la situación con desconocimientos sobre lugares. Monreal hizo una declaración significativa sobre el 2027, la cual debería preocupar a los alcaldes hidalguenses, ya que incluso la presidenta de la República tuvo que mencionarlo en una conferencia. Torres recomienda prestar atención a estas declaraciones.</t>
  </si>
  <si>
    <t>Gobierno</t>
  </si>
  <si>
    <t>Comparecencias</t>
  </si>
  <si>
    <t>El pasado viernes se llevó a cabo una manifestación por parte de los vecinos de Rincones de la Hacienda y áreas cercanas, quienes se quejaban de que el paso de los camiones que llevan material para la ampliación de la autopista México-Tuxpan estaba dañando sus viviendas. Indicaron que las vibraciones estaban causando grietas en sus casas y afectando el acceso principal a Rincones de la Hacienda, así como el drenaje y la tubería de agua potable. Durante la manifestación, un perito de la constructora Omega, a cargo de la obra, explicó que una prueba técnica sobre las vibraciones no mostraba afectación. Sin embargo, los vecinos presentaron videos mostrando las grietas en sus casas y daños en las tuberías, acusando a los camiones de ser la causa. El perito reiteró que no había daños por el paso de los camiones y se pronunció en contra de las afirmaciones de los vecinos. El secretario de Gobierno municipal, Edmundo Aguilar Aranda, mencionó que habían participado funcionarios del Departamento de Obras Públicas, mientras que Armando Pérez Saldívar, secretario de Desarrollo Urbano, indicó que el Gobierno Municipal no estaba involucrado en la obra, que es responsabilidad de la Secretaría de Infraestructura, Comunicaciones y Transportes del Gobierno Federal y la constructora. Además, se mencionó que los encargados del canal de riego habían hecho un corte en el camino de acceso al desarrollo habitacional sin autorización del Gobierno Municipal. Pérez Saldívar afirmó que se había llegado a un acuerdo para reponer el acceso una vez que concluyeran los trabajos de introducción de la tubería.</t>
  </si>
  <si>
    <t>Ampliación carretera</t>
  </si>
  <si>
    <t>Daniel Martínez menciona que, aunque la atención a personas con problemas de cataratas no es permanente, habrá jornadas continuas. Aquellos que no fueron atendidos pueden acudir a sus sistemas municipales para recibir valoraciones. Destaca que el costo promedio de la operación es de 35,000 pesos, y con estas jornadas gratuitas no solo se proporciona un gran apoyo financiero, sino también ayuda a recuperar la confianza y la autonomía de las personas afectadas, permitiéndoles retomar actividades que no podían realizar antes. Por su parte, Jessenia Romero añade que el Sistema DIF Hidalgo está ayudando a identificar a las personas que necesitan estas intervenciones.</t>
  </si>
  <si>
    <t>En huicahcan alumno de telebachileato tralados de emergencia sobredosis por sustancas Un alumno del Telebachillerato Comunitario ubicado en la comunidad de El Astillero, en Huichapan, fue trasladado de emergencia al Hospital General del mismo municipio tras presuntamente presentar una sobredosis relacionada con el consumo de sustancias. El reporte movilizó, alrededor de las 10:00 horas, a elementos de Protección Civil, una ambulancia y policías estatales y municipales, quienes acudieron al plantel educativo para brindar atención al joven, quien cursaría uno de los últimos grados. Tras recibir atención prehospitalaria en el lugar, el estudiante fue trasladado al Hospital General de Huichapan para recibir atención médica. Hasta el momento, autoridades educativas del Telebachillerato Comunitario no han emitido un comunicado oficial sobre lo ocurrido, por lo que no se han confirmado las circunstancias ni la sustancia presuntamente involucrada en el caso.</t>
  </si>
  <si>
    <t>Droga en escuelas</t>
  </si>
  <si>
    <t>«Más información desde el estado de Hidalgo. Hidalgo se posiciona en mercados turísticos nacional e internacional. La entidad ha tenido presencia histórica en eventos internacionales como FITUR en Madrid, España. Con una inversión superior a los 15 millones de pesos, se fortaleció el turismo a través de la promoción y eventos especializados. Como resultado del compromiso del gobierno de Julio Menchaca Salazar con el desarrollo económico y el impulso a la riqueza turística de la entidad, la Secretaría de Turismo de Hidalgo, liderada por... la Secretaría de Turismo eh de Hidalgo, liderada por Elizabeth Quintanar Gómez, ha implementado una sólida estrategia de promoción que consolida al estado como un destino de excelencia en los mercados nacionales e internacionales, a través de la ejecución de 21 acciones estratégicas de difusión y campañas de alto impacto en encuentros del sector, sumadas a la presencia activa en el 9... en 97 eventos especializados.</t>
  </si>
  <si>
    <t>Turismo</t>
  </si>
  <si>
    <t>Promoción turística</t>
  </si>
  <si>
    <t>Hidalgo: cuatro años en la Cuarta Transformación</t>
  </si>
  <si>
    <t>A cuatro años del gobierno de Julio Menchaca ¡Hidalgo es una potencia en marcha! .</t>
  </si>
  <si>
    <t>Jonathan Pérez Ledezma presentó su renuncia al órgano interno de control del Tribunal Electoral del Estado de Hidalgo y en una carta enviada al Congreso local acusó a la Dirección de Administración de mantener una actitud de cerrazón que impide garantizar la transparencia y la rendición de cuentas. En el documento pidió a la sociedad exigir información a la presidencia del órgano colegiado sobre el destino de los recursos públicos. Pérez Ledezma informó que estas prácticas de presunta opacidad contribuyeron a impulsar la propuesta del entonces presidente Andrés Manuel López Obrador para desaparecer organismos que desde su perspectiva entorpecen el desarrollo democrático del país.</t>
  </si>
  <si>
    <t>TEEH</t>
  </si>
  <si>
    <t>Órgano Interno de Control</t>
  </si>
  <si>
    <t>Y la Fiscalía General de la República cateó dos inmuebles ubicados en la localidad La Victoria, municipio de Metepec, donde fueron asegurados 117 contenedores de diversas capacidades, alrededor de 12,900 litros de mezcla de hidrocarburos, tres bombas que se encontraban conectadas a igual número de mangueras, tres vehículos y cinco celulares. Además, cuatro personas fueron detenidas. La Fiscalía Especializada de Control Regional inició las investigaciones en atención a una denuncia anónima sobre la posible venta y almacenamiento ilegal de hidrocarburos.</t>
  </si>
  <si>
    <t>Cateo</t>
  </si>
  <si>
    <t>Y la Fiscalía General de la República en Hidalgo cateó un inmueble como parte de las investigaciones por la probable comisión de delito de posesión de explosivos. La Fiscalía Especializada de Control Regional en el Estado inició una carpeta de investigación y obtuvo autorización del juez para ejecutar la dirigencia en un predio ubicado en . El inicio de la investigación se realizó en la Fiscalía Estatal derivado de una explosión registrada en el lugar. Durante el operativo, elementos de la Policía Federal Ministerial, en coordinación con peritos, contaron con el apoyo de seguridad perimetral del personal de la Secretaría de la Defensa, Guardia Nacional y también de la Policía Estatal.</t>
  </si>
  <si>
    <t>Y comuneros de Julián Villagrán de Ixmiquilpan se manifestaron frente al Congreso de Hidalgo. Exigen la liberación de Lorenzo Ramírez Ortiz y Macario Cruz Ramírez, a quienes aseguran, citaron bajo engaños, para posteriormente detenerlos. También pidieron diálogo con el secretario de Gobierno, Guillermo Olivares Reyna, quien acudió a la sede del Poder Legislativo a entregar el cuarto informe del gobernador Julio Menchaca.</t>
  </si>
  <si>
    <t>Exigen liberación de persona</t>
  </si>
  <si>
    <t>Y en otra información la Secretaría de Seguridad Pública de Hidalgo detuvo a tres hombres y recuperó un tractocamión robado cargado con 24.8 toneladas de polímero industrial en el municipio de Singuilucan. La unidad fue ubicada sobre la autopista Pirámides Tulancingo tras una alerta del C5I por el robo registrado en Veracruz. Durante el operativo fueron asegurados dos inhibidores de señal, más de 730 dosis de probable marihuana y 123 de cristal. Dos de los detenidos contaban con órdenes de aprehensión vigentes, todos quedaron a disposición del Ministerio Público.</t>
  </si>
  <si>
    <t>Es un día especial este lunes 7 de septiembre para la región del Valle del Mezquital y es que la procesión del señor de Jalpa en 2026 se va a realizar como cada 7 de septiembre hoy lunes y este año llega a su 80 aniversario. Los tapetes monumentales volverán a llenar de colores las calles durante esta jornada. Son kilómetros los que se ponen estos tapetes que ahora van hacia la comunidad de San Nicolás. Respecto a los diseños que se esperan en los tapetes resaltan los dibujos referentes a las parroquias, los santos patronos y algunas flores así como toda la iconografía de los tejidos del Valle del Mezquital. Los mayordomos utilizan a aserrín, arena de Huamantla, Tlaxcala, flores como el cempasúchil o alfalfa entre otros. De hecho en este 80 aniversario de la procesión del señor de Jalpan pues no habrá tianguis, el tianguis tradicional de todos los lunes que nunca se suspende pero que en esta ocasión por caer en esta fecha pues las autoridades en conjunto con los comerciantes han decidido no instalarse este lunes en Ixmiquilpan, uno de los tianguis más importantes de la región ya que pues es un punto de reunión para la zona norte, la Sierra Baja, la Sierra Alta allá en el municipio de Ixmiquilpan. Hoy será una noche donde nadie duerme en el municipio de Ixmiquilpan.</t>
  </si>
  <si>
    <t>Fiesta patronal</t>
  </si>
  <si>
    <t>Cambiemos de información y es que Félix Brambila Mendoza, delegado estatal de la Comisión Nacional del Agua, dio a conocer que en el marco de los trabajos de saneamiento de la presa Endhó se prevé que en los próximos días comiencen a operar dos nuevas máquinas para la recolección, compactación y traslado del lirio acuático. Destacó que para la adquisición de dicha maquinaria se invirtieron aproximadamente 25 millones de pesos, mientras que otra máquina fue adquirida en conjunto con Petróleos Mexicanos por un monto similar. Además expuso que se cuenta con un proyecto integral para trasladar el lirio a tierra, donde pueda utilizarse como composta e incluso como materia prima para la generación de energía.</t>
  </si>
  <si>
    <t>Saneamiento río Tula</t>
  </si>
  <si>
    <t>Y durante los últimos cuatro años el gobierno de Hidalgo ha destinado 121 mil millones de pesos al fortalecimiento de la educación, informó la Secretaría de Educación Pública Estatal. Los recursos permitieron entregar uniformes, sutiles, libros y calzado a 570 mil estudiantes de los 84 municipios con una inversión de 4 mil 400 millones de pesos. También se destinaron 2 mil 700 millones de pesos a la construcción, mantenimiento y equipamiento de 1 mil 500 planteles. Además se instalaron 47 laboratorios STEM, se entregaron más de 40 mil tabletas y se conectó a internet al 100% de los bachilleratos. La SEP Hidalgo destacó que estas acciones buscan mejorar el aprendizaje y ampliar las oportunidades para niñas, niños, adolescentes y jóvenes.</t>
  </si>
  <si>
    <t>Hidalgo fortalece su presencia turística en México y el extranjero, con una inversión superior a 15 millones de pesos en promoción. La Secretaría de Turismo Estatal participó en 97 eventos especializados y realizó 21 acciones de difusión para proyectar la gastronomía, artesanías y patrimonio hidalguense. E</t>
  </si>
  <si>
    <t>Y la Secretaría de Salud de Hidalgo fortaleció los programas de donación de sangre, órganos y tejidos, con resultados que han permitido ampliar la atención para pacientes que requieren tratamientos especializados.</t>
  </si>
  <si>
    <t>Donación De Órganos</t>
  </si>
  <si>
    <t>En otros temas, más de 475 millones recuperados y 95 denuncias por hechos de corrupción, reporta la Contraloría de Hidalgo en cuatro años. Las acciones alcanzan a 25 exfuncionarios y 10 exalcaldes.</t>
  </si>
  <si>
    <t>Combate a la corrupción</t>
  </si>
  <si>
    <t>Y el ex gobernador de Hidalgo, Manuel Ángel Núñez Soto, habló sobre el cuarto informe de labores del Ejecutivo Estatal Julio Menchaca Salazar.</t>
  </si>
  <si>
    <t>La glosa fue el sábado en el Congreso de Hidalgo y lo hizo el secretario de gobierno, pero un día antes el gobernador Julio Menchaca anunció en su cuarto informe de gobierno la ampliación a ocho carriles de la carretera México-Pachuca, una inversión de 3.200 millones de pesos, partiendo del distribuidor vial de Telles. Además continuará la construcción del encauzamiento y la terminación de vialidades en concreto hidráulico del río de las Avenidas, desde la carretera antigua La Paz hasta el bulevar Las Torres, con más de dos mil millones de pesos.</t>
  </si>
  <si>
    <t>Un informe con resultados, creo que hay mucha obra, que hay veces donde inauguran y no se sabe que la obra se está haciendo, pero sí ha habido resultados sobre el tema de la infraestructura que se necesita en el Estado.</t>
  </si>
  <si>
    <t>Su gobierno está caracterizado por estar siempre cerca de la población, reconociendo la labor del señor gobernador, el señor Julio Menchaca Salazar.</t>
  </si>
  <si>
    <t>Muy orgullosa del gobernador que tenemos todos los resultados que da, todo el trabajo incansable que hace en el día a día en todo nuestro Estado, mi felicitación y muy orgullosa de pertenecer a su equipo.</t>
  </si>
  <si>
    <t>Gobernador que ha tenido el Estado de Hidalgo, yo me siento muy orgullosa de pertenecer a su equipo y muchas felicidades a mi gobernador.</t>
  </si>
  <si>
    <t>Trabajos legislativos, tal como lo mandata el artículo 56 de la Ley Orgánica del Poder Legislativo del Estado Libre y Soberano de Hidalgo, recibimos formalmente este documento que guarda el Estado de la Administración Pública Estatal. Con este acto solemne damos cumplimiento a nuestra obligación como contrapeso institucional y garantes de la transparencia y el estricto apego a lo dispuesto en la constitución política del Estado de Hidalgo</t>
  </si>
  <si>
    <t>Seguramente si usted nos escucha aquí en Tula o en la región, tiene pues presente este día. Hoy se cumplen cinco años de la inundación que marcó a Tula de Allende. Durante la noche del 6 y la madrugada del 7 de septiembre de 2021, el desbordamiento de los ríos Tula y Rosas cubrió calles, viviendas y comercios. Obligó a evacuar a miles de personas y provocó la muerte de catorce pacientes del Hospital General de Zona Número 5 del IMSS. Todavía nos está inundando, pero ya se veía que había mucha muerte. El médico es que no nos podemos apoyar porque están en otras situaciones. Dije, a ver señorita, a ver, estoy hablando de un hospital COVID en el cual tengo 25 pacientes adentro del área COVID, todos dependientes de oxígeno. Esto puede ser una catástrofe. Le dije, necesito ayuda. Me dijo, ya tengo su reporte, no es la única que ha hablado. Entre los pendientes se encuentran la sustitución de drenaje colapsado y la construcción de una unidad médica de primer contacto, aunque también continúan las obras en el cruce del río. Habitantes piden que la prevención y la seguridad hidráulica no vuelva a quedar bajo el agua. No nos avisó nada. Por lo que tengo yo he entendido que el gobernador ya sabía desde viernes de que iba a pasar esto y no nos avisó. Si nos hubiera avisado, teníamos viernes, sábado, domingo, lunes todavía para poder sacar nuestras cosas y no nos avisó, nos agarró desprevenidos. Fue demasiado rápido, no nos dio tiempo de nada, más que sacar las niñas y unas cubijas. E</t>
  </si>
  <si>
    <t>Inundación Tula</t>
  </si>
  <si>
    <t>Radioescucha reporta al ayuntamiento de Pachuca, el drenaje esta mal en la calle de Arquitectura, en fraccionamiento Renacimiento, ya tiene varias semanas que se esta comportiendo</t>
  </si>
  <si>
    <t>Drenaje</t>
  </si>
  <si>
    <t>Radioescucha reporta muchos baches en la carreteras de Mineral de la Reforma y eso afecta a los vehiculos</t>
  </si>
  <si>
    <t>Radioescucha 42 83, dice: "Hola, licenciado. ¿Alguien sabe quién es responsable de limpiar toda la... suciedad... el cochinero que dejan en el lienzo charro?</t>
  </si>
  <si>
    <t>Arrendamiento de recintos</t>
  </si>
  <si>
    <t>Radioescucha 43 -00 dice: "Muy buenos días. Nuevamente quisiera hacer el reporte sobre la falta de agua en la colonia Morelos". Con mucho gusto, lo estamos pasando directamente a CAASIM de una vez para que nos puedan apoyar y no tengamos problemas</t>
  </si>
  <si>
    <t>Como parte de las acciones enfocadas en la conservación y protección de la fauna silvestre, la Unidad de Fauna y Rehabilitación de Pachuca atendió a estos ejemplares de tecolote rítmico (Megascops trichopsis), quienes llegaron cuando aún eran polluelos provenientes de distintas regiones del estado de Hidalgo.Los ejemplares fueron rescatados en zonas correspondientes al Valle del Mezquital y el Valle de Apan, para posteriormente ser trasladados a la unidad municipal, donde recibieron cuidados especializados durante aproximadamente tres meses.</t>
  </si>
  <si>
    <t>Radioescucha urge que vengan a reparar esto. Está en Abasolo, enfrente a La Guadalajara, es un olor a caño insoportable,</t>
  </si>
  <si>
    <t>Fíjese que fue hallado un hombre sin vida y con huellas de violencia en San Agustín Tlaxiaca. Vamos a escuchar la información.</t>
  </si>
  <si>
    <t>A cuatro años de administración, se consolida un Hidalgo con más oportunidades</t>
  </si>
  <si>
    <t>Le comento que en su cuarto informe de gobierno, Julio Menchaca anunció la ampliación de la autopista México-Pachuca y la continuación del Río de las Avenidas</t>
  </si>
  <si>
    <t>Le comento que aumenta a 15 el número de fallecimientos por COVID-19 en Hidalgo.</t>
  </si>
  <si>
    <t>Covid 19</t>
  </si>
  <si>
    <t>Investigación del ITESHU destaca en revista científica internacional</t>
  </si>
  <si>
    <t>Publicación académica</t>
  </si>
  <si>
    <t>Un taxista fue víctima de un intento de asalto, durante el cual sujetos desconocidos realizaron disparos contra su vehículo, de acuerdo con un audio difundido por la propia víctima en grupos de transporte público la tarde-noche de este domingo. Tras el ataque, el conductor logró trasladarse hasta la zona de Plaza Bella, donde buscó resguardarse y solicitó auxilio a sus compañeros y a las autoridades. Un taxista fue víctima de un intento de asalto, durante el cual sujetos desconocidos realizaron disparos contra su vehículo, de acuerdo con un audio difundido por la propia víctima en grupos de transporte público la tarde-noche de este domingo. Tras el ataque, el conductor logró trasladarse hasta la zona de Plaza Bella, donde buscó resguardarse y solicitó auxilio a sus compañeros y a las autoridades. De manera preliminar, se informó que los hechos habrían ocurrido en inmediaciones de las colonias Cubitos y Palmitas. Asimismo, trascendió que un vehículo Pointer de color azul estaría relacionado con el incidente, aunque esta información no ha sido confirmada oficialmente. Elementos de corporaciones de seguridad acudieron para atender al afectado y realizar las acciones correspondientes para ubicar a los presuntos responsables. Hasta el momento, no se reportan personas detenidas por estos hechos.</t>
  </si>
  <si>
    <t>Inseguridad</t>
  </si>
  <si>
    <t>Fortalecer a las empresas locales para que puedan generar más negocios, empleos y oportunidades fue el objetivo de la primera Expo Proveeduría, encuentro que reunió a 36 proveedores, nueve instituciones financieras, tres representantes del sector educativo y personas en búsqueda de oportunidades laborales. La jornada, realizada en el Hotel La Joya, abrió un espacio de vinculación para que proveedores locales pudieran establecer nuevos contactos comerciales y acceder a alternativas de financiamiento, capacitación, vinculación educativa y empleo. La secretaria de Fomento Económico, Minerva Rosales Gayosso, señaló que fortalecer la economía municipal requiere apostar por quienes todos los días producen, comercializan, generan empleos y mantienen activa la cadena económica.</t>
  </si>
  <si>
    <t>Encuentro con proveedores</t>
  </si>
  <si>
    <t>El titular de la Secretaría de Agricultura y Desarrollo Rural de Hidalgo, Napoleón González Pérez, descartó que el posible incremento al Impuesto Especial sobre Producción y Servicios (IEPS) en la cerveza vaya a perjudicar a los productores de cebada de la entidad. El funcionario explicó que el precio del grano se pacta previamente con las empresas, por lo que el ajuste —que oscilaría entre 60 centavos y un peso por unidad según la propuesta del Congreso de la Unión— recaerá directamente en el consumidor final. Tras participar en el acto del Lunes Cívico en Plaza Juárez de Pachuca, González Pérez subrayó que la dependencia busca un equilibrio comercial que garantice un pago justo para los cebaderos hidalguenses sin perjudicar en exceso al consumidor. Hidalgo se mantiene como el principal productor de cebada maltera a nivel nacional, alcanzando un volumen anual de entre 90,000 y 95,000 toneladas.</t>
  </si>
  <si>
    <t>Cebaderos</t>
  </si>
  <si>
    <t>SSH/Bol.156/2026: Hidalgo triplicó la tasa nacional de donación de órganos</t>
  </si>
  <si>
    <t>Fortalece gobernador Julio Menchaca infraestructura para garantizar agua y bienestar a las familias</t>
  </si>
  <si>
    <t>"Continuamos esta tarde la información. El martes la manifestación del pueblo en torno a este cuarto informe de gobierno del gobernador Julio Menchaca Salazar. Pues evidentemente hay que volver la mirada. Manuel Angel Núñez estuvo presente y destacó, fue gobernador de Hidalgo, dijo: 'se está viviendo mejor en este momento'. Y bueno, no es solamente un comentario, es una reflexión de lo que está aconteciendo. En un México que ha cambiado en las recientes décadas, en dos décadas. Un México e Hidalgo que ha cambiado muchísimo como todo el país. Y observar el número de empresas que están llegando, de inversión, la generación de empleos, los polos de desarrollo. Todo esto nos ha llevado también, usted lo ha escuchado con nosotros, a continuar en la reflexión, pero también informando. Hace unos días le compartía a usted de que se requieren, y así se ha mencionado desde el gobierno estatal, que se construyan unidades habitacionales, pero que tengan servicios, y eso es lo que se está haciendo. Hidalgo creció de una manera desordenada”.</t>
  </si>
  <si>
    <t>Contraloría fortalece acciones contra la corrupción; recupera más de 475 millones de pesos</t>
  </si>
  <si>
    <t>En el marco de la conferencia matutina semanal celebrada en la Sala del Pueblo del Poder Ejecutivo Estatal, el gobernador del estado de Hidalgo, Julio Menchaca Salazar, rindió un balance de las acciones de su administración, destacando avances en materia financiera, obra pública, recuperación de bienes estatales y educación. Durante su intervención, el mandatario subrayó que en cuatro años de gestión se ha logrado casi duplicar la recaudación de ingresos (un incremento del 96%) y reducir la deuda pública estatal a la mitad, evitando recurrir a endeudamientos ante contingencias naturales como la vaguada monzónica. Menchaca Salazar resaltó que la inversión en infraestructura y obra pública superó los 25,000 millones de pesos en cuatro años, rebasando lo invertido en los dos sexenios anteriores juntos. Asimismo, enfatizó el rescate de 386 bienes inmuebles pertenecientes al estado, la eliminación de rentas excesivas de oficinas públicas y la redistribución de recursos hacia sectores prioritarios. En el rubro educativo, se destacó una inversión acumulada de 121,000 millones de pesos, la entrega de útiles, uniformes y 40,500 tabletas digitales, así como la cobertura de internet al 100% en los bachilleratos públicos. El gobernador concluyó reiterando el respaldo del Gobierno Federal encabezado por la presidenta Claudia Sheinbaum Pardo y reafirmando su compromiso con la transparencia y el combate frontal a la corrupción.</t>
  </si>
  <si>
    <t>Entrevista en cabina Ing. Saúl Flores Urrutía, representante del Distrito 04 de Tulancingo del INE - El Instituto Nacional Electoral (INE), a través del Distrito 04 con sede en Tulancingo, anunció el arranque de la Campaña Anual Intensa 2026 con miras a los procesos electorales locales de 2027. El ingeniero Saúl Flores Urrutia dio a conocer el calendario de atención de los módulos itinerantes que darán servicio del 7 al 11 de septiembre en diversos municipios de la región, entre los que destacan Acatlán, Santiago Tulantepec, Acaxochitlán, Huehuetla, San Bartolo Tutotepec y Tenango de Doria, así como la atención continua en el módulo fijo ubicado en la colonia Los Pinos de Tulancingo. Durante la intervención se enfatizó la posibilidad de que los jóvenes que cumplan 18 años desde esta fecha y hasta antes del 6 de junio de 2027 puedan realizar el trámite anticipado de su credencial para votar. El funcionario precisó que la fecha límite para inscripciones por primera vez y actualización de datos en el padrón electoral será el 25 de enero, periodo tras el cual solo se procesarán reimpresiones, garantizando la entrega del documento en un lapso de 9 días naturales tras completar el trámite.</t>
  </si>
  <si>
    <t>Credencialización</t>
  </si>
  <si>
    <t>El secretario de Desarrollo Económico de Hidalgo, Carlos Henkel Escorza, presentó un balance integral del sector económico en el marco del Cuarto Informe de Gobierno. Destacó la atracción de una inversión privada histórica superior a los 147,000 millones de pesos mediante 130 proyectos nacionales e internacionales. Esta cifra superó lo alcanzado en cuatro administraciones estatales anteriores y permitió la generación de más de 191,000 empleos directos e indirectos en beneficio de 37 municipios de la entidad. Entre los programas clave se resaltó el apoyo a emprendedores con "Emprendiendo Paso a Paso" e "Hidalgo con Potencial", el fortalecimiento a MiPyMEs mediante una bolsa acumulada con NAFIN de 2,470 millones de pesos, y programas de inclusión laboral para jóvenes y adultos mayores a 50 años. En materia energética, la Agencia Estatal de Energía llevó electricidad fotovoltaica por primera vez a 610 viviendas. Asimismo, se destinaron 163 millones de pesos a la infraestructura de parques industriales, logrando afianzar al Parque Industrial PLATA con 15,000 millones de pesos en capital privado.</t>
  </si>
  <si>
    <t>El secretario de Infraestructura Pública y Desarrollo Urbano Sostenible de Hidalgo, Alejandro Sánchez García, detalló los planes de modernización para la carretera México-Pachuca, una de las vialidades de mayor circulación en el país con un tránsito diario superior a los 61,000 vehículos. Durante su informe, el funcionario explicó que la obra contempla la ampliación a 8 carriles en el tramo comprendido hasta el Arco Norte. Esta intervención busca absorber un incremento estimado de 6,000 vehículos diarios derivados de proyectos estratégicos en la zona, tales como la nueva Central de Abasto y el Polo de Desarrollo. Asimismo, se destacaron soluciones de movilidad como los retornos en el puente Zapotlán y los accesos por Villa de Tezontepec para prevenir percances en los tramos identificados con mayor incidencia de accidentes por la Guardia Nacional.</t>
  </si>
  <si>
    <t>En el marco de la conferencia de prensa semanal encabezada por el Gobierno del Estado de Hidalgo, la titular de la Secretaría de Hacienda estatal, María Esther Ramírez Vargas, tomó la palabra para dar a conocer los avances y proyectos financieros que se contemplan para los próximos meses y años de la administración. La intervención de la funcionaria se dio tras la introducción realizada por Edmundo Pineda López, titular de Comunicación Social, quien cedió el micrófono con el visto bueno del gobernador Julio Menchaca Salazar. Ramírez Vargas dio inicio a su informe saludando a la ciudadanía, integrantes del gabinete estatal y medios de comunicación presentes en la Sala del Pueblo.</t>
  </si>
  <si>
    <t>Hacienda</t>
  </si>
  <si>
    <t>José Luis Lima Morales emitió un llamado urgente a los actores políticos, partidos y a la ciudadanía para mantener la confianza y fortalecer las instituciones electorales del país en vísperas del arranque del nuevo proceso electoral y de la instalación del Consejo General del Instituto Nacional Electoral (INE). Lima Morales expresó su preocupación ante el surgimiento prematuro de señalamientos de fraude, falta de imparcialidad y desacreditación hacia los organismos electorales por parte de diversos actores políticos y medios de comunicación. Enfatizó que existe una clara diferencia entre exigir transparencia y rendición de cuentas —las cuales consideró obligaciones democráticas necesarias— y descalificar anticipadamente al árbitro electoral antes de que ejerza sus funciones constitucionales. Durante su mensaje, subrayó que el próximo proceso electoral será de trascendencia histórica para México, ya que se renovarán 17 gubernaturas, la Cámara de Diputados a nivel federal, así como diversos cargos estatales y municipales. Asimismo, instó a las fuerzas políticas a conducir campañas basadas en propuestas, debate civismo e ideas constructivas, utilizando las vías y tribunales legales correspondientes para señalar cualquier irregularidad con pruebas fundadas, en lugar de sembrar certidumbre de sospecha o atentar contra la estabilidad democrática del país.</t>
  </si>
  <si>
    <t>Del 7 al 11 de septiembre se llevará a cabo una jornada de vacunación antirrábica para perros y gatos en las localidades de Santa Ana Hueytlalpan y Santa María Asunción, en Tulancingo, con el propósito de acercar este servicio preventivo a las familias de ambas comunidades. La jornada será coordinada por la Secretaría de Salud, la Dirección de Sanidad Municipal y la Jurisdicción Sanitaria No. 2 Tulancingo, cuyos equipos recorrerán distintos barrios y comunidades para aplicar el biológico de manera gratuita, en un horario de 9:00 a 14:00 horas. El calendario comenzará el lunes 7 de septiembre en la zona centro y el barrio Tecocuilco de Santa Ana Hueytlalpan. El martes 8 corresponderá a los barrios Atlalpan y La Luz, mientras que el miércoles 9 la brigada atenderá La Raya y San Vicente. Para el jueves 10 de septiembre, la jornada llegará al barrio Las Colmenas y a Santa María Asunción, teniendo como punto de reunión el exterior de la primaria Pedro de Gante, en la zona centro. Finalmente, el viernes 11 se atenderán los barrios Otontepec y San Ángel, también pertenecientes a Santa María Asunción. Podrán recibir la vacuna perros y gatos a partir de los dos meses de edad, siempre que se encuentren en condiciones óptimas de salud, sin importar su raza. Las autoridades exhortaron a propietarios y cuidadores a aprovechar las jornadas para mantener actualizado el esquema de vacunación de sus animales de compañía.</t>
  </si>
  <si>
    <t>El gobernador del estado de Hidalgo, Julio Menchaca Salazar, encabezó una conferencia de prensa en el marco de la presentación de su Cuarto Informe de Gobierno, acompañado por los titulares de las Secretarías de Hacienda, Desarrollo Económico, Trabajo y Previsión Social, e Infraestructura Pública y Desarrollo Urbano Sostenible. Durante el acto, moderado por el titular de Comunicación Social, Edmundo Pineda López, se proyectó un video institucional en el que el mandatario estatal destacó que desde septiembre de 2022 se ha trabajado en superar inercias históricas en la entidad. Menchaca subrayó que Hidalgo cuenta con las condiciones necesarias para ser un referente nacional de desarrollo equilibrado, mediante la atracción de inversiones, el fortalecimiento de la infraestructura y el impulso a programas sociales dirigidos a mujeres, niñez y familias hidalguenses bajo el lema "Hidalgo es potencia en marcha".</t>
  </si>
  <si>
    <t>El coro Niñas y Niños Cantores de Hidalgo representará al estado de Hidalgo y a México en el Festival Corearte, a celebrarse en Colombia, tras concretar la procuración de fondos requerida para su viaje. La noticia fue compartida a través de redes sociales por César Monroy Vega, titular del Consejo Estatal para la Cultura y las Artes de Hidalgo (CECULTAH), quien destacó los esfuerzos realizados para alcanzar este objetivo. El comunicado incluyó felicitaciones tanto al equipo del Consejo Estatal como a la Secretaría de Cultura y a los integrantes de la agrupación infantil por su logro internacional.</t>
  </si>
  <si>
    <t>Niños cantores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</si>
</sst>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39" tableType="queryTable" totalsRowShown="0">
  <autoFilter ref="A1:M139"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39"/>
  <sheetViews>
    <sheetView tabSelected="1" topLeftCell="A104" workbookViewId="0">
      <selection activeCell="A139" sqref="A139"/>
    </sheetView>
  </sheetViews>
  <sheetFormatPr baseColWidth="10" defaultRowHeight="15" x14ac:dyDescent="0.25"/>
  <cols>
    <col min="1" max="1" width="8.5703125" bestFit="1" customWidth="1"/>
    <col min="2" max="2" width="11.42578125" bestFit="1" customWidth="1"/>
    <col min="3" max="3" width="26" bestFit="1" customWidth="1"/>
    <col min="4" max="4" width="30.42578125" bestFit="1" customWidth="1"/>
    <col min="5" max="5" width="81.140625" bestFit="1" customWidth="1"/>
    <col min="6" max="6" width="15.28515625" bestFit="1" customWidth="1"/>
    <col min="7" max="7" width="26.7109375" bestFit="1" customWidth="1"/>
    <col min="8" max="9" width="12.42578125" bestFit="1" customWidth="1"/>
    <col min="10" max="10" width="25.7109375" bestFit="1" customWidth="1"/>
    <col min="11" max="11" width="31" bestFit="1" customWidth="1"/>
    <col min="12" max="12" width="12.8554687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25</v>
      </c>
      <c r="C1" t="s">
        <v>26</v>
      </c>
      <c r="D1" t="s">
        <v>27</v>
      </c>
      <c r="E1" t="s">
        <v>1</v>
      </c>
      <c r="F1" t="s">
        <v>2</v>
      </c>
      <c r="G1" t="s">
        <v>4</v>
      </c>
      <c r="H1" t="s">
        <v>3</v>
      </c>
      <c r="I1" t="s">
        <v>5</v>
      </c>
      <c r="J1" t="s">
        <v>28</v>
      </c>
      <c r="K1" t="s">
        <v>29</v>
      </c>
      <c r="L1" t="s">
        <v>30</v>
      </c>
      <c r="M1" t="s">
        <v>37</v>
      </c>
    </row>
    <row r="2" spans="1:13" x14ac:dyDescent="0.25">
      <c r="A2" s="2">
        <v>46269</v>
      </c>
      <c r="B2" s="1" t="str">
        <f ca="1">IF(Información1[[#This Row],[Fecha]]='Ajuste de fechas'!$A$2,"Día actual","Día anterior")</f>
        <v>Día anterior</v>
      </c>
      <c r="C2" t="s">
        <v>92</v>
      </c>
      <c r="D2" t="s">
        <v>93</v>
      </c>
      <c r="E2" t="s">
        <v>105</v>
      </c>
      <c r="F2" t="s">
        <v>23</v>
      </c>
      <c r="G2" t="s">
        <v>52</v>
      </c>
      <c r="H2" t="s">
        <v>53</v>
      </c>
      <c r="I2" t="s">
        <v>7</v>
      </c>
      <c r="J2" t="s">
        <v>31</v>
      </c>
      <c r="K2" t="s">
        <v>94</v>
      </c>
      <c r="L2" t="s">
        <v>33</v>
      </c>
      <c r="M2">
        <v>1</v>
      </c>
    </row>
    <row r="3" spans="1:13" x14ac:dyDescent="0.25">
      <c r="A3" s="2">
        <v>46269</v>
      </c>
      <c r="B3" s="1" t="str">
        <f ca="1">IF(Información1[[#This Row],[Fecha]]='Ajuste de fechas'!$A$2,"Día actual","Día anterior")</f>
        <v>Día anterior</v>
      </c>
      <c r="C3" t="s">
        <v>84</v>
      </c>
      <c r="D3" t="s">
        <v>106</v>
      </c>
      <c r="E3" t="s">
        <v>107</v>
      </c>
      <c r="F3" t="s">
        <v>23</v>
      </c>
      <c r="G3" t="s">
        <v>52</v>
      </c>
      <c r="H3" t="s">
        <v>53</v>
      </c>
      <c r="I3" t="s">
        <v>7</v>
      </c>
      <c r="J3" t="s">
        <v>31</v>
      </c>
      <c r="K3" t="s">
        <v>108</v>
      </c>
      <c r="L3" t="s">
        <v>32</v>
      </c>
      <c r="M3">
        <v>1</v>
      </c>
    </row>
    <row r="4" spans="1:13" x14ac:dyDescent="0.25">
      <c r="A4" s="2">
        <v>46269</v>
      </c>
      <c r="B4" s="1" t="str">
        <f ca="1">IF(Información1[[#This Row],[Fecha]]='Ajuste de fechas'!$A$2,"Día actual","Día anterior")</f>
        <v>Día anterior</v>
      </c>
      <c r="C4" t="s">
        <v>84</v>
      </c>
      <c r="D4" t="s">
        <v>85</v>
      </c>
      <c r="E4" t="s">
        <v>109</v>
      </c>
      <c r="F4" t="s">
        <v>16</v>
      </c>
      <c r="G4" t="s">
        <v>110</v>
      </c>
      <c r="H4" t="s">
        <v>53</v>
      </c>
      <c r="I4" t="s">
        <v>88</v>
      </c>
      <c r="J4" t="s">
        <v>35</v>
      </c>
      <c r="K4" t="s">
        <v>86</v>
      </c>
      <c r="L4" t="s">
        <v>32</v>
      </c>
      <c r="M4">
        <v>1</v>
      </c>
    </row>
    <row r="5" spans="1:13" x14ac:dyDescent="0.25">
      <c r="A5" s="2">
        <v>46269</v>
      </c>
      <c r="B5" s="1" t="str">
        <f ca="1">IF(Información1[[#This Row],[Fecha]]='Ajuste de fechas'!$A$2,"Día actual","Día anterior")</f>
        <v>Día anterior</v>
      </c>
      <c r="C5" t="s">
        <v>84</v>
      </c>
      <c r="D5" t="s">
        <v>85</v>
      </c>
      <c r="E5" t="s">
        <v>111</v>
      </c>
      <c r="F5" t="s">
        <v>16</v>
      </c>
      <c r="G5" t="s">
        <v>112</v>
      </c>
      <c r="H5" t="s">
        <v>53</v>
      </c>
      <c r="I5" t="s">
        <v>88</v>
      </c>
      <c r="J5" t="s">
        <v>35</v>
      </c>
      <c r="K5" t="s">
        <v>86</v>
      </c>
      <c r="L5" t="s">
        <v>32</v>
      </c>
      <c r="M5">
        <v>1</v>
      </c>
    </row>
    <row r="6" spans="1:13" x14ac:dyDescent="0.25">
      <c r="A6" s="2">
        <v>46269</v>
      </c>
      <c r="B6" s="1" t="str">
        <f ca="1">IF(Información1[[#This Row],[Fecha]]='Ajuste de fechas'!$A$2,"Día actual","Día anterior")</f>
        <v>Día anterior</v>
      </c>
      <c r="C6" t="s">
        <v>84</v>
      </c>
      <c r="D6" t="s">
        <v>85</v>
      </c>
      <c r="E6" t="s">
        <v>113</v>
      </c>
      <c r="F6" t="s">
        <v>62</v>
      </c>
      <c r="G6" t="s">
        <v>114</v>
      </c>
      <c r="H6" t="s">
        <v>53</v>
      </c>
      <c r="I6" t="s">
        <v>88</v>
      </c>
      <c r="J6" t="s">
        <v>72</v>
      </c>
      <c r="K6" t="s">
        <v>86</v>
      </c>
      <c r="L6" t="s">
        <v>32</v>
      </c>
      <c r="M6">
        <v>1</v>
      </c>
    </row>
    <row r="7" spans="1:13" x14ac:dyDescent="0.25">
      <c r="A7" s="2">
        <v>46269</v>
      </c>
      <c r="B7" s="1" t="str">
        <f ca="1">IF(Información1[[#This Row],[Fecha]]='Ajuste de fechas'!$A$2,"Día actual","Día anterior")</f>
        <v>Día anterior</v>
      </c>
      <c r="C7" t="s">
        <v>84</v>
      </c>
      <c r="D7" t="s">
        <v>85</v>
      </c>
      <c r="E7" t="s">
        <v>115</v>
      </c>
      <c r="F7" t="s">
        <v>62</v>
      </c>
      <c r="G7" t="s">
        <v>71</v>
      </c>
      <c r="H7" t="s">
        <v>53</v>
      </c>
      <c r="I7" t="s">
        <v>88</v>
      </c>
      <c r="J7" t="s">
        <v>72</v>
      </c>
      <c r="K7" t="s">
        <v>86</v>
      </c>
      <c r="L7" t="s">
        <v>32</v>
      </c>
      <c r="M7">
        <v>1</v>
      </c>
    </row>
    <row r="8" spans="1:13" x14ac:dyDescent="0.25">
      <c r="A8" s="2">
        <v>46269</v>
      </c>
      <c r="B8" s="1" t="str">
        <f ca="1">IF(Información1[[#This Row],[Fecha]]='Ajuste de fechas'!$A$2,"Día actual","Día anterior")</f>
        <v>Día anterior</v>
      </c>
      <c r="C8" t="s">
        <v>84</v>
      </c>
      <c r="D8" t="s">
        <v>85</v>
      </c>
      <c r="E8" t="s">
        <v>116</v>
      </c>
      <c r="F8" t="s">
        <v>44</v>
      </c>
      <c r="G8" t="s">
        <v>117</v>
      </c>
      <c r="H8" t="s">
        <v>53</v>
      </c>
      <c r="I8" t="s">
        <v>7</v>
      </c>
      <c r="J8" t="s">
        <v>31</v>
      </c>
      <c r="K8" t="s">
        <v>86</v>
      </c>
      <c r="L8" t="s">
        <v>32</v>
      </c>
      <c r="M8">
        <v>1</v>
      </c>
    </row>
    <row r="9" spans="1:13" x14ac:dyDescent="0.25">
      <c r="A9" s="2">
        <v>46269</v>
      </c>
      <c r="B9" s="1" t="str">
        <f ca="1">IF(Información1[[#This Row],[Fecha]]='Ajuste de fechas'!$A$2,"Día actual","Día anterior")</f>
        <v>Día anterior</v>
      </c>
      <c r="C9" t="s">
        <v>84</v>
      </c>
      <c r="D9" t="s">
        <v>85</v>
      </c>
      <c r="E9" t="s">
        <v>118</v>
      </c>
      <c r="F9" t="s">
        <v>102</v>
      </c>
      <c r="G9" t="s">
        <v>119</v>
      </c>
      <c r="H9" t="s">
        <v>53</v>
      </c>
      <c r="I9" t="s">
        <v>7</v>
      </c>
      <c r="J9" t="s">
        <v>31</v>
      </c>
      <c r="K9" t="s">
        <v>86</v>
      </c>
      <c r="L9" t="s">
        <v>32</v>
      </c>
      <c r="M9">
        <v>1</v>
      </c>
    </row>
    <row r="10" spans="1:13" x14ac:dyDescent="0.25">
      <c r="A10" s="2">
        <v>46269</v>
      </c>
      <c r="B10" s="1" t="str">
        <f ca="1">IF(Información1[[#This Row],[Fecha]]='Ajuste de fechas'!$A$2,"Día actual","Día anterior")</f>
        <v>Día anterior</v>
      </c>
      <c r="C10" t="s">
        <v>84</v>
      </c>
      <c r="D10" t="s">
        <v>85</v>
      </c>
      <c r="E10" t="s">
        <v>120</v>
      </c>
      <c r="F10" t="s">
        <v>70</v>
      </c>
      <c r="G10" t="s">
        <v>121</v>
      </c>
      <c r="H10" t="s">
        <v>53</v>
      </c>
      <c r="I10" t="s">
        <v>7</v>
      </c>
      <c r="J10" t="s">
        <v>31</v>
      </c>
      <c r="K10" t="s">
        <v>86</v>
      </c>
      <c r="L10" t="s">
        <v>32</v>
      </c>
      <c r="M10">
        <v>1</v>
      </c>
    </row>
    <row r="11" spans="1:13" x14ac:dyDescent="0.25">
      <c r="A11" s="2">
        <v>46269</v>
      </c>
      <c r="B11" s="1" t="str">
        <f ca="1">IF(Información1[[#This Row],[Fecha]]='Ajuste de fechas'!$A$2,"Día actual","Día anterior")</f>
        <v>Día anterior</v>
      </c>
      <c r="C11" t="s">
        <v>84</v>
      </c>
      <c r="D11" t="s">
        <v>85</v>
      </c>
      <c r="E11" t="s">
        <v>122</v>
      </c>
      <c r="F11" t="s">
        <v>16</v>
      </c>
      <c r="G11" t="s">
        <v>123</v>
      </c>
      <c r="H11" t="s">
        <v>53</v>
      </c>
      <c r="I11" t="s">
        <v>7</v>
      </c>
      <c r="J11" t="s">
        <v>35</v>
      </c>
      <c r="K11" t="s">
        <v>86</v>
      </c>
      <c r="L11" t="s">
        <v>32</v>
      </c>
      <c r="M11">
        <v>1</v>
      </c>
    </row>
    <row r="12" spans="1:13" x14ac:dyDescent="0.25">
      <c r="A12" s="2">
        <v>46269</v>
      </c>
      <c r="B12" s="1" t="str">
        <f ca="1">IF(Información1[[#This Row],[Fecha]]='Ajuste de fechas'!$A$2,"Día actual","Día anterior")</f>
        <v>Día anterior</v>
      </c>
      <c r="C12" t="s">
        <v>84</v>
      </c>
      <c r="D12" t="s">
        <v>85</v>
      </c>
      <c r="E12" t="s">
        <v>124</v>
      </c>
      <c r="F12" t="s">
        <v>19</v>
      </c>
      <c r="G12" t="s">
        <v>103</v>
      </c>
      <c r="H12" t="s">
        <v>53</v>
      </c>
      <c r="I12" t="s">
        <v>7</v>
      </c>
      <c r="J12" t="s">
        <v>36</v>
      </c>
      <c r="K12" t="s">
        <v>86</v>
      </c>
      <c r="L12" t="s">
        <v>32</v>
      </c>
      <c r="M12">
        <v>1</v>
      </c>
    </row>
    <row r="13" spans="1:13" x14ac:dyDescent="0.25">
      <c r="A13" s="2">
        <v>46269</v>
      </c>
      <c r="B13" s="1" t="str">
        <f ca="1">IF(Información1[[#This Row],[Fecha]]='Ajuste de fechas'!$A$2,"Día actual","Día anterior")</f>
        <v>Día anterior</v>
      </c>
      <c r="C13" t="s">
        <v>84</v>
      </c>
      <c r="D13" t="s">
        <v>85</v>
      </c>
      <c r="E13" t="s">
        <v>125</v>
      </c>
      <c r="F13" t="s">
        <v>87</v>
      </c>
      <c r="G13" t="s">
        <v>97</v>
      </c>
      <c r="H13" t="s">
        <v>53</v>
      </c>
      <c r="I13" t="s">
        <v>7</v>
      </c>
      <c r="J13" t="s">
        <v>31</v>
      </c>
      <c r="K13" t="s">
        <v>86</v>
      </c>
      <c r="L13" t="s">
        <v>32</v>
      </c>
      <c r="M13">
        <v>1</v>
      </c>
    </row>
    <row r="14" spans="1:13" x14ac:dyDescent="0.25">
      <c r="A14" s="2">
        <v>46269</v>
      </c>
      <c r="B14" s="1" t="str">
        <f ca="1">IF(Información1[[#This Row],[Fecha]]='Ajuste de fechas'!$A$2,"Día actual","Día anterior")</f>
        <v>Día anterior</v>
      </c>
      <c r="C14" t="s">
        <v>84</v>
      </c>
      <c r="D14" t="s">
        <v>85</v>
      </c>
      <c r="E14" t="s">
        <v>126</v>
      </c>
      <c r="F14" t="s">
        <v>20</v>
      </c>
      <c r="G14" t="s">
        <v>127</v>
      </c>
      <c r="H14" t="s">
        <v>53</v>
      </c>
      <c r="I14" t="s">
        <v>7</v>
      </c>
      <c r="J14" t="s">
        <v>31</v>
      </c>
      <c r="K14" t="s">
        <v>86</v>
      </c>
      <c r="L14" t="s">
        <v>32</v>
      </c>
      <c r="M14">
        <v>1</v>
      </c>
    </row>
    <row r="15" spans="1:13" x14ac:dyDescent="0.25">
      <c r="A15" s="2">
        <v>46269</v>
      </c>
      <c r="B15" s="1" t="str">
        <f ca="1">IF(Información1[[#This Row],[Fecha]]='Ajuste de fechas'!$A$2,"Día actual","Día anterior")</f>
        <v>Día anterior</v>
      </c>
      <c r="C15" t="s">
        <v>84</v>
      </c>
      <c r="D15" t="s">
        <v>85</v>
      </c>
      <c r="E15" t="s">
        <v>128</v>
      </c>
      <c r="F15" t="s">
        <v>16</v>
      </c>
      <c r="G15" t="s">
        <v>78</v>
      </c>
      <c r="H15" t="s">
        <v>53</v>
      </c>
      <c r="I15" t="s">
        <v>7</v>
      </c>
      <c r="J15" t="s">
        <v>35</v>
      </c>
      <c r="K15" t="s">
        <v>86</v>
      </c>
      <c r="L15" t="s">
        <v>32</v>
      </c>
      <c r="M15">
        <v>1</v>
      </c>
    </row>
    <row r="16" spans="1:13" x14ac:dyDescent="0.25">
      <c r="A16" s="2">
        <v>46269</v>
      </c>
      <c r="B16" s="1" t="str">
        <f ca="1">IF(Información1[[#This Row],[Fecha]]='Ajuste de fechas'!$A$2,"Día actual","Día anterior")</f>
        <v>Día anterior</v>
      </c>
      <c r="C16" t="s">
        <v>84</v>
      </c>
      <c r="D16" t="s">
        <v>85</v>
      </c>
      <c r="E16" t="s">
        <v>129</v>
      </c>
      <c r="F16" t="s">
        <v>21</v>
      </c>
      <c r="G16" t="s">
        <v>99</v>
      </c>
      <c r="H16" t="s">
        <v>53</v>
      </c>
      <c r="I16" t="s">
        <v>7</v>
      </c>
      <c r="J16" t="s">
        <v>21</v>
      </c>
      <c r="K16" t="s">
        <v>86</v>
      </c>
      <c r="L16" t="s">
        <v>32</v>
      </c>
      <c r="M16">
        <v>1</v>
      </c>
    </row>
    <row r="17" spans="1:13" x14ac:dyDescent="0.25">
      <c r="A17" s="2">
        <v>46269</v>
      </c>
      <c r="B17" s="1" t="str">
        <f ca="1">IF(Información1[[#This Row],[Fecha]]='Ajuste de fechas'!$A$2,"Día actual","Día anterior")</f>
        <v>Día anterior</v>
      </c>
      <c r="C17" t="s">
        <v>84</v>
      </c>
      <c r="D17" t="s">
        <v>85</v>
      </c>
      <c r="E17" t="s">
        <v>130</v>
      </c>
      <c r="F17" t="s">
        <v>61</v>
      </c>
      <c r="G17" t="s">
        <v>131</v>
      </c>
      <c r="H17" t="s">
        <v>53</v>
      </c>
      <c r="I17" t="s">
        <v>7</v>
      </c>
      <c r="J17" t="s">
        <v>21</v>
      </c>
      <c r="K17" t="s">
        <v>86</v>
      </c>
      <c r="L17" t="s">
        <v>32</v>
      </c>
      <c r="M17">
        <v>1</v>
      </c>
    </row>
    <row r="18" spans="1:13" x14ac:dyDescent="0.25">
      <c r="A18" s="2">
        <v>46269</v>
      </c>
      <c r="B18" s="1" t="str">
        <f ca="1">IF(Información1[[#This Row],[Fecha]]='Ajuste de fechas'!$A$2,"Día actual","Día anterior")</f>
        <v>Día anterior</v>
      </c>
      <c r="C18" t="s">
        <v>84</v>
      </c>
      <c r="D18" t="s">
        <v>85</v>
      </c>
      <c r="E18" t="s">
        <v>132</v>
      </c>
      <c r="F18" t="s">
        <v>18</v>
      </c>
      <c r="G18" t="s">
        <v>98</v>
      </c>
      <c r="H18" t="s">
        <v>53</v>
      </c>
      <c r="I18" t="s">
        <v>7</v>
      </c>
      <c r="J18" t="s">
        <v>31</v>
      </c>
      <c r="K18" t="s">
        <v>86</v>
      </c>
      <c r="L18" t="s">
        <v>32</v>
      </c>
      <c r="M18">
        <v>1</v>
      </c>
    </row>
    <row r="19" spans="1:13" x14ac:dyDescent="0.25">
      <c r="A19" s="2">
        <v>46269</v>
      </c>
      <c r="B19" s="1" t="str">
        <f ca="1">IF(Información1[[#This Row],[Fecha]]='Ajuste de fechas'!$A$2,"Día actual","Día anterior")</f>
        <v>Día anterior</v>
      </c>
      <c r="C19" t="s">
        <v>84</v>
      </c>
      <c r="D19" t="s">
        <v>85</v>
      </c>
      <c r="E19" t="s">
        <v>133</v>
      </c>
      <c r="F19" t="s">
        <v>23</v>
      </c>
      <c r="G19" t="s">
        <v>95</v>
      </c>
      <c r="H19" t="s">
        <v>53</v>
      </c>
      <c r="I19" t="s">
        <v>7</v>
      </c>
      <c r="J19" t="s">
        <v>31</v>
      </c>
      <c r="K19" t="s">
        <v>86</v>
      </c>
      <c r="L19" t="s">
        <v>32</v>
      </c>
      <c r="M19">
        <v>1</v>
      </c>
    </row>
    <row r="20" spans="1:13" x14ac:dyDescent="0.25">
      <c r="A20" s="2">
        <v>46269</v>
      </c>
      <c r="B20" s="1" t="str">
        <f ca="1">IF(Información1[[#This Row],[Fecha]]='Ajuste de fechas'!$A$2,"Día actual","Día anterior")</f>
        <v>Día anterior</v>
      </c>
      <c r="C20" t="s">
        <v>84</v>
      </c>
      <c r="D20" t="s">
        <v>85</v>
      </c>
      <c r="E20" t="s">
        <v>134</v>
      </c>
      <c r="F20" t="s">
        <v>23</v>
      </c>
      <c r="G20" t="s">
        <v>52</v>
      </c>
      <c r="H20" t="s">
        <v>53</v>
      </c>
      <c r="I20" t="s">
        <v>7</v>
      </c>
      <c r="J20" t="s">
        <v>31</v>
      </c>
      <c r="K20" t="s">
        <v>86</v>
      </c>
      <c r="L20" t="s">
        <v>32</v>
      </c>
      <c r="M20">
        <v>1</v>
      </c>
    </row>
    <row r="21" spans="1:13" x14ac:dyDescent="0.25">
      <c r="A21" s="2">
        <v>46269</v>
      </c>
      <c r="B21" s="1" t="str">
        <f ca="1">IF(Información1[[#This Row],[Fecha]]='Ajuste de fechas'!$A$2,"Día actual","Día anterior")</f>
        <v>Día anterior</v>
      </c>
      <c r="C21" t="s">
        <v>8</v>
      </c>
      <c r="D21" t="s">
        <v>10</v>
      </c>
      <c r="E21" t="s">
        <v>135</v>
      </c>
      <c r="F21" t="s">
        <v>16</v>
      </c>
      <c r="G21" t="s">
        <v>60</v>
      </c>
      <c r="H21" t="s">
        <v>53</v>
      </c>
      <c r="I21" t="s">
        <v>22</v>
      </c>
      <c r="J21" t="s">
        <v>35</v>
      </c>
      <c r="K21" t="s">
        <v>12</v>
      </c>
      <c r="L21" t="s">
        <v>33</v>
      </c>
      <c r="M21">
        <v>1</v>
      </c>
    </row>
    <row r="22" spans="1:13" x14ac:dyDescent="0.25">
      <c r="A22" s="2">
        <v>46269</v>
      </c>
      <c r="B22" s="1" t="str">
        <f ca="1">IF(Información1[[#This Row],[Fecha]]='Ajuste de fechas'!$A$2,"Día actual","Día anterior")</f>
        <v>Día anterior</v>
      </c>
      <c r="C22" t="s">
        <v>8</v>
      </c>
      <c r="D22" t="s">
        <v>10</v>
      </c>
      <c r="E22" t="s">
        <v>136</v>
      </c>
      <c r="F22" t="s">
        <v>16</v>
      </c>
      <c r="G22" t="s">
        <v>60</v>
      </c>
      <c r="H22" t="s">
        <v>53</v>
      </c>
      <c r="I22" t="s">
        <v>22</v>
      </c>
      <c r="J22" t="s">
        <v>35</v>
      </c>
      <c r="K22" t="s">
        <v>12</v>
      </c>
      <c r="L22" t="s">
        <v>33</v>
      </c>
      <c r="M22">
        <v>1</v>
      </c>
    </row>
    <row r="23" spans="1:13" x14ac:dyDescent="0.25">
      <c r="A23" s="2">
        <v>46269</v>
      </c>
      <c r="B23" s="1" t="str">
        <f ca="1">IF(Información1[[#This Row],[Fecha]]='Ajuste de fechas'!$A$2,"Día actual","Día anterior")</f>
        <v>Día anterior</v>
      </c>
      <c r="C23" t="s">
        <v>8</v>
      </c>
      <c r="D23" t="s">
        <v>10</v>
      </c>
      <c r="E23" t="s">
        <v>137</v>
      </c>
      <c r="F23" t="s">
        <v>6</v>
      </c>
      <c r="G23" t="s">
        <v>49</v>
      </c>
      <c r="H23" t="s">
        <v>53</v>
      </c>
      <c r="I23" t="s">
        <v>22</v>
      </c>
      <c r="J23" t="s">
        <v>31</v>
      </c>
      <c r="K23" t="s">
        <v>12</v>
      </c>
      <c r="L23" t="s">
        <v>33</v>
      </c>
      <c r="M23">
        <v>1</v>
      </c>
    </row>
    <row r="24" spans="1:13" x14ac:dyDescent="0.25">
      <c r="A24" s="2">
        <v>46269</v>
      </c>
      <c r="B24" s="1" t="str">
        <f ca="1">IF(Información1[[#This Row],[Fecha]]='Ajuste de fechas'!$A$2,"Día actual","Día anterior")</f>
        <v>Día anterior</v>
      </c>
      <c r="C24" t="s">
        <v>8</v>
      </c>
      <c r="D24" t="s">
        <v>10</v>
      </c>
      <c r="E24" t="s">
        <v>138</v>
      </c>
      <c r="F24" t="s">
        <v>6</v>
      </c>
      <c r="G24" t="s">
        <v>49</v>
      </c>
      <c r="H24" t="s">
        <v>53</v>
      </c>
      <c r="I24" t="s">
        <v>22</v>
      </c>
      <c r="J24" t="s">
        <v>31</v>
      </c>
      <c r="K24" t="s">
        <v>12</v>
      </c>
      <c r="L24" t="s">
        <v>33</v>
      </c>
      <c r="M24">
        <v>1</v>
      </c>
    </row>
    <row r="25" spans="1:13" x14ac:dyDescent="0.25">
      <c r="A25" s="2">
        <v>46269</v>
      </c>
      <c r="B25" s="1" t="str">
        <f ca="1">IF(Información1[[#This Row],[Fecha]]='Ajuste de fechas'!$A$2,"Día actual","Día anterior")</f>
        <v>Día anterior</v>
      </c>
      <c r="C25" t="s">
        <v>8</v>
      </c>
      <c r="D25" t="s">
        <v>10</v>
      </c>
      <c r="E25" t="s">
        <v>139</v>
      </c>
      <c r="F25" t="s">
        <v>6</v>
      </c>
      <c r="G25" t="s">
        <v>49</v>
      </c>
      <c r="H25" t="s">
        <v>53</v>
      </c>
      <c r="I25" t="s">
        <v>22</v>
      </c>
      <c r="J25" t="s">
        <v>31</v>
      </c>
      <c r="K25" t="s">
        <v>12</v>
      </c>
      <c r="L25" t="s">
        <v>33</v>
      </c>
      <c r="M25">
        <v>1</v>
      </c>
    </row>
    <row r="26" spans="1:13" x14ac:dyDescent="0.25">
      <c r="A26" s="2">
        <v>46269</v>
      </c>
      <c r="B26" s="1" t="str">
        <f ca="1">IF(Información1[[#This Row],[Fecha]]='Ajuste de fechas'!$A$2,"Día actual","Día anterior")</f>
        <v>Día anterior</v>
      </c>
      <c r="C26" t="s">
        <v>8</v>
      </c>
      <c r="D26" t="s">
        <v>10</v>
      </c>
      <c r="E26" t="s">
        <v>140</v>
      </c>
      <c r="F26" t="s">
        <v>6</v>
      </c>
      <c r="G26" t="s">
        <v>49</v>
      </c>
      <c r="H26" t="s">
        <v>53</v>
      </c>
      <c r="I26" t="s">
        <v>22</v>
      </c>
      <c r="J26" t="s">
        <v>31</v>
      </c>
      <c r="K26" t="s">
        <v>12</v>
      </c>
      <c r="L26" t="s">
        <v>33</v>
      </c>
      <c r="M26">
        <v>1</v>
      </c>
    </row>
    <row r="27" spans="1:13" x14ac:dyDescent="0.25">
      <c r="A27" s="2">
        <v>46269</v>
      </c>
      <c r="B27" s="1" t="str">
        <f ca="1">IF(Información1[[#This Row],[Fecha]]='Ajuste de fechas'!$A$2,"Día actual","Día anterior")</f>
        <v>Día anterior</v>
      </c>
      <c r="C27" t="s">
        <v>8</v>
      </c>
      <c r="D27" t="s">
        <v>10</v>
      </c>
      <c r="E27" t="s">
        <v>141</v>
      </c>
      <c r="F27" t="s">
        <v>23</v>
      </c>
      <c r="G27" t="s">
        <v>89</v>
      </c>
      <c r="H27" t="s">
        <v>53</v>
      </c>
      <c r="I27" t="s">
        <v>22</v>
      </c>
      <c r="J27" t="s">
        <v>31</v>
      </c>
      <c r="K27" t="s">
        <v>12</v>
      </c>
      <c r="L27" t="s">
        <v>33</v>
      </c>
      <c r="M27">
        <v>1</v>
      </c>
    </row>
    <row r="28" spans="1:13" x14ac:dyDescent="0.25">
      <c r="A28" s="2">
        <v>46269</v>
      </c>
      <c r="B28" s="1" t="str">
        <f ca="1">IF(Información1[[#This Row],[Fecha]]='Ajuste de fechas'!$A$2,"Día actual","Día anterior")</f>
        <v>Día anterior</v>
      </c>
      <c r="C28" t="s">
        <v>8</v>
      </c>
      <c r="D28" t="s">
        <v>10</v>
      </c>
      <c r="E28" t="s">
        <v>142</v>
      </c>
      <c r="F28" t="s">
        <v>23</v>
      </c>
      <c r="G28" t="s">
        <v>89</v>
      </c>
      <c r="H28" t="s">
        <v>53</v>
      </c>
      <c r="I28" t="s">
        <v>22</v>
      </c>
      <c r="J28" t="s">
        <v>31</v>
      </c>
      <c r="K28" t="s">
        <v>12</v>
      </c>
      <c r="L28" t="s">
        <v>33</v>
      </c>
      <c r="M28">
        <v>1</v>
      </c>
    </row>
    <row r="29" spans="1:13" x14ac:dyDescent="0.25">
      <c r="A29" s="2">
        <v>46269</v>
      </c>
      <c r="B29" s="1" t="str">
        <f ca="1">IF(Información1[[#This Row],[Fecha]]='Ajuste de fechas'!$A$2,"Día actual","Día anterior")</f>
        <v>Día anterior</v>
      </c>
      <c r="C29" t="s">
        <v>8</v>
      </c>
      <c r="D29" t="s">
        <v>10</v>
      </c>
      <c r="E29" t="s">
        <v>143</v>
      </c>
      <c r="F29" t="s">
        <v>23</v>
      </c>
      <c r="G29" t="s">
        <v>89</v>
      </c>
      <c r="H29" t="s">
        <v>53</v>
      </c>
      <c r="I29" t="s">
        <v>22</v>
      </c>
      <c r="J29" t="s">
        <v>31</v>
      </c>
      <c r="K29" t="s">
        <v>12</v>
      </c>
      <c r="L29" t="s">
        <v>33</v>
      </c>
      <c r="M29">
        <v>1</v>
      </c>
    </row>
    <row r="30" spans="1:13" x14ac:dyDescent="0.25">
      <c r="A30" s="2">
        <v>46269</v>
      </c>
      <c r="B30" s="1" t="str">
        <f ca="1">IF(Información1[[#This Row],[Fecha]]='Ajuste de fechas'!$A$2,"Día actual","Día anterior")</f>
        <v>Día anterior</v>
      </c>
      <c r="C30" t="s">
        <v>8</v>
      </c>
      <c r="D30" t="s">
        <v>10</v>
      </c>
      <c r="E30" t="s">
        <v>144</v>
      </c>
      <c r="F30" t="s">
        <v>14</v>
      </c>
      <c r="G30" t="s">
        <v>89</v>
      </c>
      <c r="H30" t="s">
        <v>53</v>
      </c>
      <c r="I30" t="s">
        <v>7</v>
      </c>
      <c r="J30" t="s">
        <v>31</v>
      </c>
      <c r="K30" t="s">
        <v>12</v>
      </c>
      <c r="L30" t="s">
        <v>33</v>
      </c>
      <c r="M30">
        <v>1</v>
      </c>
    </row>
    <row r="31" spans="1:13" x14ac:dyDescent="0.25">
      <c r="A31" s="2">
        <v>46269</v>
      </c>
      <c r="B31" s="1" t="str">
        <f ca="1">IF(Información1[[#This Row],[Fecha]]='Ajuste de fechas'!$A$2,"Día actual","Día anterior")</f>
        <v>Día anterior</v>
      </c>
      <c r="C31" t="s">
        <v>8</v>
      </c>
      <c r="D31" t="s">
        <v>10</v>
      </c>
      <c r="E31" t="s">
        <v>145</v>
      </c>
      <c r="F31" t="s">
        <v>14</v>
      </c>
      <c r="G31" t="s">
        <v>89</v>
      </c>
      <c r="H31" t="s">
        <v>53</v>
      </c>
      <c r="I31" t="s">
        <v>7</v>
      </c>
      <c r="J31" t="s">
        <v>31</v>
      </c>
      <c r="K31" t="s">
        <v>12</v>
      </c>
      <c r="L31" t="s">
        <v>33</v>
      </c>
      <c r="M31">
        <v>1</v>
      </c>
    </row>
    <row r="32" spans="1:13" x14ac:dyDescent="0.25">
      <c r="A32" s="2">
        <v>46269</v>
      </c>
      <c r="B32" s="1" t="str">
        <f ca="1">IF(Información1[[#This Row],[Fecha]]='Ajuste de fechas'!$A$2,"Día actual","Día anterior")</f>
        <v>Día anterior</v>
      </c>
      <c r="C32" t="s">
        <v>8</v>
      </c>
      <c r="D32" t="s">
        <v>10</v>
      </c>
      <c r="E32" t="s">
        <v>146</v>
      </c>
      <c r="F32" t="s">
        <v>16</v>
      </c>
      <c r="G32" t="s">
        <v>147</v>
      </c>
      <c r="H32" t="s">
        <v>53</v>
      </c>
      <c r="I32" t="s">
        <v>7</v>
      </c>
      <c r="J32" t="s">
        <v>35</v>
      </c>
      <c r="K32" t="s">
        <v>12</v>
      </c>
      <c r="L32" t="s">
        <v>32</v>
      </c>
      <c r="M32">
        <v>1</v>
      </c>
    </row>
    <row r="33" spans="1:13" x14ac:dyDescent="0.25">
      <c r="A33" s="2">
        <v>46269</v>
      </c>
      <c r="B33" s="1" t="str">
        <f ca="1">IF(Información1[[#This Row],[Fecha]]='Ajuste de fechas'!$A$2,"Día actual","Día anterior")</f>
        <v>Día anterior</v>
      </c>
      <c r="C33" t="s">
        <v>8</v>
      </c>
      <c r="D33" t="s">
        <v>10</v>
      </c>
      <c r="E33" t="s">
        <v>148</v>
      </c>
      <c r="F33" t="s">
        <v>45</v>
      </c>
      <c r="G33" t="s">
        <v>149</v>
      </c>
      <c r="H33" t="s">
        <v>53</v>
      </c>
      <c r="I33" t="s">
        <v>7</v>
      </c>
      <c r="J33" t="s">
        <v>31</v>
      </c>
      <c r="K33" t="s">
        <v>12</v>
      </c>
      <c r="L33" t="s">
        <v>34</v>
      </c>
      <c r="M33">
        <v>1</v>
      </c>
    </row>
    <row r="34" spans="1:13" x14ac:dyDescent="0.25">
      <c r="A34" s="2">
        <v>46269</v>
      </c>
      <c r="B34" s="1" t="str">
        <f ca="1">IF(Información1[[#This Row],[Fecha]]='Ajuste de fechas'!$A$2,"Día actual","Día anterior")</f>
        <v>Día anterior</v>
      </c>
      <c r="C34" t="s">
        <v>8</v>
      </c>
      <c r="D34" t="s">
        <v>10</v>
      </c>
      <c r="E34" t="s">
        <v>150</v>
      </c>
      <c r="F34" t="s">
        <v>151</v>
      </c>
      <c r="G34" t="s">
        <v>52</v>
      </c>
      <c r="H34" t="s">
        <v>53</v>
      </c>
      <c r="I34" t="s">
        <v>7</v>
      </c>
      <c r="J34" t="s">
        <v>31</v>
      </c>
      <c r="K34" t="s">
        <v>12</v>
      </c>
      <c r="L34" t="s">
        <v>34</v>
      </c>
      <c r="M34">
        <v>1</v>
      </c>
    </row>
    <row r="35" spans="1:13" x14ac:dyDescent="0.25">
      <c r="A35" s="2">
        <v>46269</v>
      </c>
      <c r="B35" s="1" t="str">
        <f ca="1">IF(Información1[[#This Row],[Fecha]]='Ajuste de fechas'!$A$2,"Día actual","Día anterior")</f>
        <v>Día anterior</v>
      </c>
      <c r="C35" t="s">
        <v>8</v>
      </c>
      <c r="D35" t="s">
        <v>10</v>
      </c>
      <c r="E35" t="s">
        <v>152</v>
      </c>
      <c r="F35" t="s">
        <v>102</v>
      </c>
      <c r="G35" t="s">
        <v>119</v>
      </c>
      <c r="H35" t="s">
        <v>53</v>
      </c>
      <c r="I35" t="s">
        <v>7</v>
      </c>
      <c r="J35" t="s">
        <v>31</v>
      </c>
      <c r="K35" t="s">
        <v>12</v>
      </c>
      <c r="L35" t="s">
        <v>34</v>
      </c>
      <c r="M35">
        <v>1</v>
      </c>
    </row>
    <row r="36" spans="1:13" x14ac:dyDescent="0.25">
      <c r="A36" s="2">
        <v>46269</v>
      </c>
      <c r="B36" s="1" t="str">
        <f ca="1">IF(Información1[[#This Row],[Fecha]]='Ajuste de fechas'!$A$2,"Día actual","Día anterior")</f>
        <v>Día anterior</v>
      </c>
      <c r="C36" t="s">
        <v>8</v>
      </c>
      <c r="D36" t="s">
        <v>10</v>
      </c>
      <c r="E36" t="s">
        <v>153</v>
      </c>
      <c r="F36" t="s">
        <v>70</v>
      </c>
      <c r="G36" t="s">
        <v>121</v>
      </c>
      <c r="H36" t="s">
        <v>53</v>
      </c>
      <c r="I36" t="s">
        <v>7</v>
      </c>
      <c r="J36" t="s">
        <v>31</v>
      </c>
      <c r="K36" t="s">
        <v>12</v>
      </c>
      <c r="L36" t="s">
        <v>34</v>
      </c>
      <c r="M36">
        <v>1</v>
      </c>
    </row>
    <row r="37" spans="1:13" x14ac:dyDescent="0.25">
      <c r="A37" s="2">
        <v>46269</v>
      </c>
      <c r="B37" s="1" t="str">
        <f ca="1">IF(Información1[[#This Row],[Fecha]]='Ajuste de fechas'!$A$2,"Día actual","Día anterior")</f>
        <v>Día anterior</v>
      </c>
      <c r="C37" t="s">
        <v>8</v>
      </c>
      <c r="D37" t="s">
        <v>10</v>
      </c>
      <c r="E37" t="s">
        <v>154</v>
      </c>
      <c r="F37" t="s">
        <v>20</v>
      </c>
      <c r="G37" t="s">
        <v>127</v>
      </c>
      <c r="H37" t="s">
        <v>53</v>
      </c>
      <c r="I37" t="s">
        <v>7</v>
      </c>
      <c r="J37" t="s">
        <v>31</v>
      </c>
      <c r="K37" t="s">
        <v>12</v>
      </c>
      <c r="L37" t="s">
        <v>34</v>
      </c>
      <c r="M37">
        <v>1</v>
      </c>
    </row>
    <row r="38" spans="1:13" x14ac:dyDescent="0.25">
      <c r="A38" s="2">
        <v>46269</v>
      </c>
      <c r="B38" s="1" t="str">
        <f ca="1">IF(Información1[[#This Row],[Fecha]]='Ajuste de fechas'!$A$2,"Día actual","Día anterior")</f>
        <v>Día anterior</v>
      </c>
      <c r="C38" t="s">
        <v>54</v>
      </c>
      <c r="D38" t="s">
        <v>90</v>
      </c>
      <c r="E38" t="s">
        <v>155</v>
      </c>
      <c r="F38" t="s">
        <v>19</v>
      </c>
      <c r="G38" t="s">
        <v>149</v>
      </c>
      <c r="H38" t="s">
        <v>53</v>
      </c>
      <c r="I38" t="s">
        <v>7</v>
      </c>
      <c r="J38" t="s">
        <v>36</v>
      </c>
      <c r="K38" t="s">
        <v>56</v>
      </c>
      <c r="L38" t="s">
        <v>32</v>
      </c>
      <c r="M38">
        <v>1</v>
      </c>
    </row>
    <row r="39" spans="1:13" x14ac:dyDescent="0.25">
      <c r="A39" s="2">
        <v>46269</v>
      </c>
      <c r="B39" s="1" t="str">
        <f ca="1">IF(Información1[[#This Row],[Fecha]]='Ajuste de fechas'!$A$2,"Día actual","Día anterior")</f>
        <v>Día anterior</v>
      </c>
      <c r="C39" t="s">
        <v>54</v>
      </c>
      <c r="D39" t="s">
        <v>90</v>
      </c>
      <c r="E39" t="s">
        <v>156</v>
      </c>
      <c r="F39" t="s">
        <v>16</v>
      </c>
      <c r="G39" t="s">
        <v>91</v>
      </c>
      <c r="H39" t="s">
        <v>53</v>
      </c>
      <c r="I39" t="s">
        <v>7</v>
      </c>
      <c r="J39" t="s">
        <v>35</v>
      </c>
      <c r="K39" t="s">
        <v>56</v>
      </c>
      <c r="L39" t="s">
        <v>32</v>
      </c>
      <c r="M39">
        <v>1</v>
      </c>
    </row>
    <row r="40" spans="1:13" x14ac:dyDescent="0.25">
      <c r="A40" s="2">
        <v>46269</v>
      </c>
      <c r="B40" s="1" t="str">
        <f ca="1">IF(Información1[[#This Row],[Fecha]]='Ajuste de fechas'!$A$2,"Día actual","Día anterior")</f>
        <v>Día anterior</v>
      </c>
      <c r="C40" t="s">
        <v>54</v>
      </c>
      <c r="D40" t="s">
        <v>90</v>
      </c>
      <c r="E40" t="s">
        <v>157</v>
      </c>
      <c r="F40" t="s">
        <v>16</v>
      </c>
      <c r="G40" t="s">
        <v>158</v>
      </c>
      <c r="H40" t="s">
        <v>53</v>
      </c>
      <c r="I40" t="s">
        <v>7</v>
      </c>
      <c r="J40" t="s">
        <v>35</v>
      </c>
      <c r="K40" t="s">
        <v>56</v>
      </c>
      <c r="L40" t="s">
        <v>32</v>
      </c>
      <c r="M40">
        <v>1</v>
      </c>
    </row>
    <row r="41" spans="1:13" x14ac:dyDescent="0.25">
      <c r="A41" s="2">
        <v>46269</v>
      </c>
      <c r="B41" s="1" t="str">
        <f ca="1">IF(Información1[[#This Row],[Fecha]]='Ajuste de fechas'!$A$2,"Día actual","Día anterior")</f>
        <v>Día anterior</v>
      </c>
      <c r="C41" t="s">
        <v>54</v>
      </c>
      <c r="D41" t="s">
        <v>90</v>
      </c>
      <c r="E41" t="s">
        <v>159</v>
      </c>
      <c r="F41" t="s">
        <v>16</v>
      </c>
      <c r="G41" t="s">
        <v>160</v>
      </c>
      <c r="H41" t="s">
        <v>53</v>
      </c>
      <c r="I41" t="s">
        <v>7</v>
      </c>
      <c r="J41" t="s">
        <v>35</v>
      </c>
      <c r="K41" t="s">
        <v>56</v>
      </c>
      <c r="L41" t="s">
        <v>32</v>
      </c>
      <c r="M41">
        <v>1</v>
      </c>
    </row>
    <row r="42" spans="1:13" x14ac:dyDescent="0.25">
      <c r="A42" s="2">
        <v>46269</v>
      </c>
      <c r="B42" s="1" t="str">
        <f ca="1">IF(Información1[[#This Row],[Fecha]]='Ajuste de fechas'!$A$2,"Día actual","Día anterior")</f>
        <v>Día anterior</v>
      </c>
      <c r="C42" t="s">
        <v>54</v>
      </c>
      <c r="D42" t="s">
        <v>90</v>
      </c>
      <c r="E42" t="s">
        <v>161</v>
      </c>
      <c r="F42" t="s">
        <v>23</v>
      </c>
      <c r="G42" t="s">
        <v>52</v>
      </c>
      <c r="H42" t="s">
        <v>53</v>
      </c>
      <c r="I42" t="s">
        <v>7</v>
      </c>
      <c r="J42" t="s">
        <v>31</v>
      </c>
      <c r="K42" t="s">
        <v>56</v>
      </c>
      <c r="L42" t="s">
        <v>32</v>
      </c>
      <c r="M42">
        <v>1</v>
      </c>
    </row>
    <row r="43" spans="1:13" x14ac:dyDescent="0.25">
      <c r="A43" s="2">
        <v>46269</v>
      </c>
      <c r="B43" s="1" t="str">
        <f ca="1">IF(Información1[[#This Row],[Fecha]]='Ajuste de fechas'!$A$2,"Día actual","Día anterior")</f>
        <v>Día anterior</v>
      </c>
      <c r="C43" t="s">
        <v>54</v>
      </c>
      <c r="D43" t="s">
        <v>55</v>
      </c>
      <c r="E43" t="s">
        <v>162</v>
      </c>
      <c r="F43" t="s">
        <v>16</v>
      </c>
      <c r="G43" t="s">
        <v>171</v>
      </c>
      <c r="H43" t="s">
        <v>53</v>
      </c>
      <c r="I43" t="s">
        <v>7</v>
      </c>
      <c r="J43" t="s">
        <v>35</v>
      </c>
      <c r="K43" t="s">
        <v>56</v>
      </c>
      <c r="L43" t="s">
        <v>32</v>
      </c>
      <c r="M43">
        <v>1</v>
      </c>
    </row>
    <row r="44" spans="1:13" x14ac:dyDescent="0.25">
      <c r="A44" s="2">
        <v>46269</v>
      </c>
      <c r="B44" s="1" t="str">
        <f ca="1">IF(Información1[[#This Row],[Fecha]]='Ajuste de fechas'!$A$2,"Día actual","Día anterior")</f>
        <v>Día anterior</v>
      </c>
      <c r="C44" t="s">
        <v>54</v>
      </c>
      <c r="D44" t="s">
        <v>55</v>
      </c>
      <c r="E44" t="s">
        <v>163</v>
      </c>
      <c r="F44" t="s">
        <v>23</v>
      </c>
      <c r="G44" t="s">
        <v>52</v>
      </c>
      <c r="H44" t="s">
        <v>53</v>
      </c>
      <c r="I44" t="s">
        <v>7</v>
      </c>
      <c r="J44" t="s">
        <v>31</v>
      </c>
      <c r="K44" t="s">
        <v>56</v>
      </c>
      <c r="L44" t="s">
        <v>32</v>
      </c>
      <c r="M44">
        <v>1</v>
      </c>
    </row>
    <row r="45" spans="1:13" x14ac:dyDescent="0.25">
      <c r="A45" s="2">
        <v>46269</v>
      </c>
      <c r="B45" s="1" t="str">
        <f ca="1">IF(Información1[[#This Row],[Fecha]]='Ajuste de fechas'!$A$2,"Día actual","Día anterior")</f>
        <v>Día anterior</v>
      </c>
      <c r="C45" t="s">
        <v>54</v>
      </c>
      <c r="D45" t="s">
        <v>55</v>
      </c>
      <c r="E45" t="s">
        <v>164</v>
      </c>
      <c r="F45" t="s">
        <v>23</v>
      </c>
      <c r="G45" t="s">
        <v>52</v>
      </c>
      <c r="H45" t="s">
        <v>53</v>
      </c>
      <c r="I45" t="s">
        <v>7</v>
      </c>
      <c r="J45" t="s">
        <v>31</v>
      </c>
      <c r="K45" t="s">
        <v>57</v>
      </c>
      <c r="L45" t="s">
        <v>32</v>
      </c>
      <c r="M45">
        <v>1</v>
      </c>
    </row>
    <row r="46" spans="1:13" x14ac:dyDescent="0.25">
      <c r="A46" s="2">
        <v>46269</v>
      </c>
      <c r="B46" s="1" t="str">
        <f ca="1">IF(Información1[[#This Row],[Fecha]]='Ajuste de fechas'!$A$2,"Día actual","Día anterior")</f>
        <v>Día anterior</v>
      </c>
      <c r="C46" t="s">
        <v>54</v>
      </c>
      <c r="D46" t="s">
        <v>55</v>
      </c>
      <c r="E46" t="s">
        <v>165</v>
      </c>
      <c r="F46" t="s">
        <v>96</v>
      </c>
      <c r="G46" t="s">
        <v>52</v>
      </c>
      <c r="H46" t="s">
        <v>53</v>
      </c>
      <c r="I46" t="s">
        <v>7</v>
      </c>
      <c r="J46" t="s">
        <v>31</v>
      </c>
      <c r="K46" t="s">
        <v>57</v>
      </c>
      <c r="L46" t="s">
        <v>34</v>
      </c>
      <c r="M46">
        <v>1</v>
      </c>
    </row>
    <row r="47" spans="1:13" x14ac:dyDescent="0.25">
      <c r="A47" s="2">
        <v>46269</v>
      </c>
      <c r="B47" s="1" t="str">
        <f ca="1">IF(Información1[[#This Row],[Fecha]]='Ajuste de fechas'!$A$2,"Día actual","Día anterior")</f>
        <v>Día anterior</v>
      </c>
      <c r="C47" t="s">
        <v>54</v>
      </c>
      <c r="D47" t="s">
        <v>55</v>
      </c>
      <c r="E47" t="s">
        <v>166</v>
      </c>
      <c r="F47" t="s">
        <v>23</v>
      </c>
      <c r="G47" t="s">
        <v>167</v>
      </c>
      <c r="H47" t="s">
        <v>53</v>
      </c>
      <c r="I47" t="s">
        <v>7</v>
      </c>
      <c r="J47" t="s">
        <v>31</v>
      </c>
      <c r="K47" t="s">
        <v>56</v>
      </c>
      <c r="L47" t="s">
        <v>32</v>
      </c>
      <c r="M47">
        <v>1</v>
      </c>
    </row>
    <row r="48" spans="1:13" x14ac:dyDescent="0.25">
      <c r="A48" s="2">
        <v>46269</v>
      </c>
      <c r="B48" s="1" t="str">
        <f ca="1">IF(Información1[[#This Row],[Fecha]]='Ajuste de fechas'!$A$2,"Día actual","Día anterior")</f>
        <v>Día anterior</v>
      </c>
      <c r="C48" t="s">
        <v>54</v>
      </c>
      <c r="D48" t="s">
        <v>55</v>
      </c>
      <c r="E48" t="s">
        <v>168</v>
      </c>
      <c r="F48" t="s">
        <v>16</v>
      </c>
      <c r="G48" t="s">
        <v>169</v>
      </c>
      <c r="H48" t="s">
        <v>53</v>
      </c>
      <c r="I48" t="s">
        <v>7</v>
      </c>
      <c r="J48" t="s">
        <v>35</v>
      </c>
      <c r="K48" t="s">
        <v>57</v>
      </c>
      <c r="L48" t="s">
        <v>32</v>
      </c>
      <c r="M48">
        <v>1</v>
      </c>
    </row>
    <row r="49" spans="1:13" x14ac:dyDescent="0.25">
      <c r="A49" s="2">
        <v>46269</v>
      </c>
      <c r="B49" s="1" t="str">
        <f ca="1">IF(Información1[[#This Row],[Fecha]]='Ajuste de fechas'!$A$2,"Día actual","Día anterior")</f>
        <v>Día anterior</v>
      </c>
      <c r="C49" t="s">
        <v>54</v>
      </c>
      <c r="D49" t="s">
        <v>55</v>
      </c>
      <c r="E49" t="s">
        <v>170</v>
      </c>
      <c r="F49" t="s">
        <v>16</v>
      </c>
      <c r="G49" t="s">
        <v>169</v>
      </c>
      <c r="H49" t="s">
        <v>53</v>
      </c>
      <c r="I49" t="s">
        <v>7</v>
      </c>
      <c r="J49" t="s">
        <v>35</v>
      </c>
      <c r="K49" t="s">
        <v>57</v>
      </c>
      <c r="L49" t="s">
        <v>32</v>
      </c>
      <c r="M49">
        <v>1</v>
      </c>
    </row>
    <row r="50" spans="1:13" x14ac:dyDescent="0.25">
      <c r="A50" s="2">
        <v>46269</v>
      </c>
      <c r="B50" s="1" t="str">
        <f ca="1">IF(Información1[[#This Row],[Fecha]]='Ajuste de fechas'!$A$2,"Día actual","Día anterior")</f>
        <v>Día anterior</v>
      </c>
      <c r="C50" t="s">
        <v>54</v>
      </c>
      <c r="D50" t="s">
        <v>55</v>
      </c>
      <c r="E50" t="s">
        <v>154</v>
      </c>
      <c r="F50" t="s">
        <v>20</v>
      </c>
      <c r="G50" t="s">
        <v>127</v>
      </c>
      <c r="H50" t="s">
        <v>53</v>
      </c>
      <c r="I50" t="s">
        <v>7</v>
      </c>
      <c r="J50" t="s">
        <v>31</v>
      </c>
      <c r="K50" t="s">
        <v>57</v>
      </c>
      <c r="L50" t="s">
        <v>34</v>
      </c>
      <c r="M50">
        <v>1</v>
      </c>
    </row>
    <row r="51" spans="1:13" x14ac:dyDescent="0.25">
      <c r="A51" s="2">
        <v>46272</v>
      </c>
      <c r="B51" s="1" t="str">
        <f ca="1">IF(Información1[[#This Row],[Fecha]]='Ajuste de fechas'!$A$2,"Día actual","Día anterior")</f>
        <v>Día actual</v>
      </c>
      <c r="C51" t="s">
        <v>64</v>
      </c>
      <c r="D51" t="s">
        <v>65</v>
      </c>
      <c r="E51" t="s">
        <v>172</v>
      </c>
      <c r="F51" t="s">
        <v>70</v>
      </c>
      <c r="G51" t="s">
        <v>173</v>
      </c>
      <c r="H51" t="s">
        <v>67</v>
      </c>
      <c r="I51" t="s">
        <v>7</v>
      </c>
      <c r="J51" t="s">
        <v>31</v>
      </c>
      <c r="K51" t="s">
        <v>69</v>
      </c>
      <c r="L51" t="s">
        <v>32</v>
      </c>
      <c r="M51">
        <v>1</v>
      </c>
    </row>
    <row r="52" spans="1:13" x14ac:dyDescent="0.25">
      <c r="A52" s="2">
        <v>46272</v>
      </c>
      <c r="B52" s="1" t="str">
        <f ca="1">IF(Información1[[#This Row],[Fecha]]='Ajuste de fechas'!$A$2,"Día actual","Día anterior")</f>
        <v>Día actual</v>
      </c>
      <c r="C52" t="s">
        <v>64</v>
      </c>
      <c r="D52" t="s">
        <v>65</v>
      </c>
      <c r="E52" t="s">
        <v>174</v>
      </c>
      <c r="F52" t="s">
        <v>23</v>
      </c>
      <c r="G52" t="s">
        <v>52</v>
      </c>
      <c r="H52" t="s">
        <v>67</v>
      </c>
      <c r="I52" t="s">
        <v>7</v>
      </c>
      <c r="J52" t="s">
        <v>31</v>
      </c>
      <c r="K52" t="s">
        <v>69</v>
      </c>
      <c r="L52" t="s">
        <v>32</v>
      </c>
      <c r="M52">
        <v>1</v>
      </c>
    </row>
    <row r="53" spans="1:13" x14ac:dyDescent="0.25">
      <c r="A53" s="2">
        <v>46272</v>
      </c>
      <c r="B53" s="1" t="str">
        <f ca="1">IF(Información1[[#This Row],[Fecha]]='Ajuste de fechas'!$A$2,"Día actual","Día anterior")</f>
        <v>Día actual</v>
      </c>
      <c r="C53" t="s">
        <v>64</v>
      </c>
      <c r="D53" t="s">
        <v>65</v>
      </c>
      <c r="E53" t="s">
        <v>175</v>
      </c>
      <c r="F53" t="s">
        <v>23</v>
      </c>
      <c r="G53" t="s">
        <v>52</v>
      </c>
      <c r="H53" t="s">
        <v>67</v>
      </c>
      <c r="I53" t="s">
        <v>11</v>
      </c>
      <c r="J53" t="s">
        <v>31</v>
      </c>
      <c r="K53" t="s">
        <v>69</v>
      </c>
      <c r="L53" t="s">
        <v>32</v>
      </c>
      <c r="M53">
        <v>1</v>
      </c>
    </row>
    <row r="54" spans="1:13" x14ac:dyDescent="0.25">
      <c r="A54" s="2">
        <v>46272</v>
      </c>
      <c r="B54" s="1" t="str">
        <f ca="1">IF(Información1[[#This Row],[Fecha]]='Ajuste de fechas'!$A$2,"Día actual","Día anterior")</f>
        <v>Día actual</v>
      </c>
      <c r="C54" t="s">
        <v>64</v>
      </c>
      <c r="D54" t="s">
        <v>65</v>
      </c>
      <c r="E54" t="s">
        <v>176</v>
      </c>
      <c r="F54" t="s">
        <v>23</v>
      </c>
      <c r="G54" t="s">
        <v>52</v>
      </c>
      <c r="H54" t="s">
        <v>67</v>
      </c>
      <c r="I54" t="s">
        <v>7</v>
      </c>
      <c r="J54" t="s">
        <v>31</v>
      </c>
      <c r="K54" t="s">
        <v>69</v>
      </c>
      <c r="L54" t="s">
        <v>32</v>
      </c>
      <c r="M54">
        <v>1</v>
      </c>
    </row>
    <row r="55" spans="1:13" x14ac:dyDescent="0.25">
      <c r="A55" s="2">
        <v>46272</v>
      </c>
      <c r="B55" s="1" t="str">
        <f ca="1">IF(Información1[[#This Row],[Fecha]]='Ajuste de fechas'!$A$2,"Día actual","Día anterior")</f>
        <v>Día actual</v>
      </c>
      <c r="C55" t="s">
        <v>64</v>
      </c>
      <c r="D55" t="s">
        <v>65</v>
      </c>
      <c r="E55" t="s">
        <v>177</v>
      </c>
      <c r="F55" t="s">
        <v>23</v>
      </c>
      <c r="G55" t="s">
        <v>52</v>
      </c>
      <c r="H55" t="s">
        <v>67</v>
      </c>
      <c r="I55" t="s">
        <v>11</v>
      </c>
      <c r="J55" t="s">
        <v>31</v>
      </c>
      <c r="K55" t="s">
        <v>9</v>
      </c>
      <c r="L55" t="s">
        <v>33</v>
      </c>
      <c r="M55">
        <v>1</v>
      </c>
    </row>
    <row r="56" spans="1:13" x14ac:dyDescent="0.25">
      <c r="A56" s="2">
        <v>46272</v>
      </c>
      <c r="B56" s="1" t="str">
        <f ca="1">IF(Información1[[#This Row],[Fecha]]='Ajuste de fechas'!$A$2,"Día actual","Día anterior")</f>
        <v>Día actual</v>
      </c>
      <c r="C56" t="s">
        <v>64</v>
      </c>
      <c r="D56" t="s">
        <v>65</v>
      </c>
      <c r="E56" t="s">
        <v>178</v>
      </c>
      <c r="F56" t="s">
        <v>18</v>
      </c>
      <c r="G56" t="s">
        <v>179</v>
      </c>
      <c r="H56" t="s">
        <v>67</v>
      </c>
      <c r="I56" t="s">
        <v>7</v>
      </c>
      <c r="J56" t="s">
        <v>31</v>
      </c>
      <c r="K56" t="s">
        <v>69</v>
      </c>
      <c r="L56" t="s">
        <v>33</v>
      </c>
      <c r="M56">
        <v>1</v>
      </c>
    </row>
    <row r="57" spans="1:13" x14ac:dyDescent="0.25">
      <c r="A57" s="2">
        <v>46272</v>
      </c>
      <c r="B57" s="1" t="str">
        <f ca="1">IF(Información1[[#This Row],[Fecha]]='Ajuste de fechas'!$A$2,"Día actual","Día anterior")</f>
        <v>Día actual</v>
      </c>
      <c r="C57" t="s">
        <v>64</v>
      </c>
      <c r="D57" t="s">
        <v>65</v>
      </c>
      <c r="E57" t="s">
        <v>180</v>
      </c>
      <c r="F57" t="s">
        <v>23</v>
      </c>
      <c r="G57" t="s">
        <v>52</v>
      </c>
      <c r="H57" t="s">
        <v>67</v>
      </c>
      <c r="I57" t="s">
        <v>11</v>
      </c>
      <c r="J57" t="s">
        <v>31</v>
      </c>
      <c r="K57" t="s">
        <v>181</v>
      </c>
      <c r="L57" t="s">
        <v>33</v>
      </c>
      <c r="M57">
        <v>1</v>
      </c>
    </row>
    <row r="58" spans="1:13" x14ac:dyDescent="0.25">
      <c r="A58" s="2">
        <v>46272</v>
      </c>
      <c r="B58" s="1" t="str">
        <f ca="1">IF(Información1[[#This Row],[Fecha]]='Ajuste de fechas'!$A$2,"Día actual","Día anterior")</f>
        <v>Día actual</v>
      </c>
      <c r="C58" t="s">
        <v>58</v>
      </c>
      <c r="D58" t="s">
        <v>59</v>
      </c>
      <c r="E58" t="s">
        <v>182</v>
      </c>
      <c r="F58" t="s">
        <v>47</v>
      </c>
      <c r="G58" t="s">
        <v>183</v>
      </c>
      <c r="H58" t="s">
        <v>53</v>
      </c>
      <c r="I58" t="s">
        <v>7</v>
      </c>
      <c r="J58" t="s">
        <v>31</v>
      </c>
      <c r="K58" t="s">
        <v>184</v>
      </c>
      <c r="L58" t="s">
        <v>32</v>
      </c>
      <c r="M58">
        <v>1</v>
      </c>
    </row>
    <row r="59" spans="1:13" x14ac:dyDescent="0.25">
      <c r="A59" s="2">
        <v>46272</v>
      </c>
      <c r="B59" s="1" t="str">
        <f ca="1">IF(Información1[[#This Row],[Fecha]]='Ajuste de fechas'!$A$2,"Día actual","Día anterior")</f>
        <v>Día actual</v>
      </c>
      <c r="C59" t="s">
        <v>58</v>
      </c>
      <c r="D59" t="s">
        <v>59</v>
      </c>
      <c r="E59" t="s">
        <v>185</v>
      </c>
      <c r="F59" t="s">
        <v>16</v>
      </c>
      <c r="G59" t="s">
        <v>186</v>
      </c>
      <c r="H59" t="s">
        <v>53</v>
      </c>
      <c r="I59" t="s">
        <v>7</v>
      </c>
      <c r="J59" t="s">
        <v>35</v>
      </c>
      <c r="K59" t="s">
        <v>63</v>
      </c>
      <c r="L59" t="s">
        <v>32</v>
      </c>
      <c r="M59">
        <v>1</v>
      </c>
    </row>
    <row r="60" spans="1:13" x14ac:dyDescent="0.25">
      <c r="A60" s="2">
        <v>46272</v>
      </c>
      <c r="B60" s="1" t="str">
        <f ca="1">IF(Información1[[#This Row],[Fecha]]='Ajuste de fechas'!$A$2,"Día actual","Día anterior")</f>
        <v>Día actual</v>
      </c>
      <c r="C60" t="s">
        <v>58</v>
      </c>
      <c r="D60" t="s">
        <v>59</v>
      </c>
      <c r="E60" t="s">
        <v>187</v>
      </c>
      <c r="F60" t="s">
        <v>16</v>
      </c>
      <c r="G60" t="s">
        <v>100</v>
      </c>
      <c r="H60" t="s">
        <v>53</v>
      </c>
      <c r="I60" t="s">
        <v>7</v>
      </c>
      <c r="J60" t="s">
        <v>35</v>
      </c>
      <c r="K60" t="s">
        <v>184</v>
      </c>
      <c r="L60" t="s">
        <v>32</v>
      </c>
      <c r="M60">
        <v>1</v>
      </c>
    </row>
    <row r="61" spans="1:13" x14ac:dyDescent="0.25">
      <c r="A61" s="2">
        <v>46272</v>
      </c>
      <c r="B61" s="1" t="str">
        <f ca="1">IF(Información1[[#This Row],[Fecha]]='Ajuste de fechas'!$A$2,"Día actual","Día anterior")</f>
        <v>Día actual</v>
      </c>
      <c r="C61" t="s">
        <v>58</v>
      </c>
      <c r="D61" t="s">
        <v>59</v>
      </c>
      <c r="E61" t="s">
        <v>74</v>
      </c>
      <c r="F61" t="s">
        <v>16</v>
      </c>
      <c r="G61" t="s">
        <v>75</v>
      </c>
      <c r="H61" t="s">
        <v>53</v>
      </c>
      <c r="I61" t="s">
        <v>7</v>
      </c>
      <c r="J61" t="s">
        <v>35</v>
      </c>
      <c r="K61" t="s">
        <v>76</v>
      </c>
      <c r="L61" t="s">
        <v>77</v>
      </c>
      <c r="M61">
        <v>1</v>
      </c>
    </row>
    <row r="62" spans="1:13" x14ac:dyDescent="0.25">
      <c r="A62" s="2">
        <v>46272</v>
      </c>
      <c r="B62" s="1" t="str">
        <f ca="1">IF(Información1[[#This Row],[Fecha]]='Ajuste de fechas'!$A$2,"Día actual","Día anterior")</f>
        <v>Día actual</v>
      </c>
      <c r="C62" t="s">
        <v>58</v>
      </c>
      <c r="D62" t="s">
        <v>59</v>
      </c>
      <c r="E62" t="s">
        <v>188</v>
      </c>
      <c r="F62" t="s">
        <v>23</v>
      </c>
      <c r="G62" t="s">
        <v>52</v>
      </c>
      <c r="H62" t="s">
        <v>53</v>
      </c>
      <c r="I62" t="s">
        <v>7</v>
      </c>
      <c r="J62" t="s">
        <v>31</v>
      </c>
      <c r="K62" t="s">
        <v>184</v>
      </c>
      <c r="L62" t="s">
        <v>34</v>
      </c>
      <c r="M62">
        <v>1</v>
      </c>
    </row>
    <row r="63" spans="1:13" x14ac:dyDescent="0.25">
      <c r="A63" s="2">
        <v>46272</v>
      </c>
      <c r="B63" s="1" t="str">
        <f ca="1">IF(Información1[[#This Row],[Fecha]]='Ajuste de fechas'!$A$2,"Día actual","Día anterior")</f>
        <v>Día actual</v>
      </c>
      <c r="C63" t="s">
        <v>58</v>
      </c>
      <c r="D63" t="s">
        <v>59</v>
      </c>
      <c r="E63" t="s">
        <v>189</v>
      </c>
      <c r="F63" t="s">
        <v>45</v>
      </c>
      <c r="G63" t="s">
        <v>149</v>
      </c>
      <c r="H63" t="s">
        <v>53</v>
      </c>
      <c r="I63" t="s">
        <v>7</v>
      </c>
      <c r="J63" t="s">
        <v>31</v>
      </c>
      <c r="K63" t="s">
        <v>73</v>
      </c>
      <c r="L63" t="s">
        <v>32</v>
      </c>
      <c r="M63">
        <v>1</v>
      </c>
    </row>
    <row r="64" spans="1:13" x14ac:dyDescent="0.25">
      <c r="A64" s="2">
        <v>46272</v>
      </c>
      <c r="B64" s="1" t="str">
        <f ca="1">IF(Información1[[#This Row],[Fecha]]='Ajuste de fechas'!$A$2,"Día actual","Día anterior")</f>
        <v>Día actual</v>
      </c>
      <c r="C64" t="s">
        <v>58</v>
      </c>
      <c r="D64" t="s">
        <v>59</v>
      </c>
      <c r="E64" t="s">
        <v>190</v>
      </c>
      <c r="F64" t="s">
        <v>23</v>
      </c>
      <c r="G64" t="s">
        <v>52</v>
      </c>
      <c r="H64" t="s">
        <v>53</v>
      </c>
      <c r="I64" t="s">
        <v>7</v>
      </c>
      <c r="J64" t="s">
        <v>31</v>
      </c>
      <c r="K64" t="s">
        <v>63</v>
      </c>
      <c r="L64" t="s">
        <v>32</v>
      </c>
      <c r="M64">
        <v>1</v>
      </c>
    </row>
    <row r="65" spans="1:13" x14ac:dyDescent="0.25">
      <c r="A65" s="2">
        <v>46272</v>
      </c>
      <c r="B65" s="1" t="str">
        <f ca="1">IF(Información1[[#This Row],[Fecha]]='Ajuste de fechas'!$A$2,"Día actual","Día anterior")</f>
        <v>Día actual</v>
      </c>
      <c r="C65" t="s">
        <v>58</v>
      </c>
      <c r="D65" t="s">
        <v>59</v>
      </c>
      <c r="E65" t="s">
        <v>191</v>
      </c>
      <c r="F65" t="s">
        <v>47</v>
      </c>
      <c r="G65" t="s">
        <v>52</v>
      </c>
      <c r="H65" t="s">
        <v>53</v>
      </c>
      <c r="I65" t="s">
        <v>7</v>
      </c>
      <c r="J65" t="s">
        <v>31</v>
      </c>
      <c r="K65" t="s">
        <v>184</v>
      </c>
      <c r="L65" t="s">
        <v>34</v>
      </c>
      <c r="M65">
        <v>1</v>
      </c>
    </row>
    <row r="66" spans="1:13" x14ac:dyDescent="0.25">
      <c r="A66" s="2">
        <v>46272</v>
      </c>
      <c r="B66" s="1" t="str">
        <f ca="1">IF(Información1[[#This Row],[Fecha]]='Ajuste de fechas'!$A$2,"Día actual","Día anterior")</f>
        <v>Día actual</v>
      </c>
      <c r="C66" t="s">
        <v>58</v>
      </c>
      <c r="D66" t="s">
        <v>59</v>
      </c>
      <c r="E66" t="s">
        <v>192</v>
      </c>
      <c r="F66" t="s">
        <v>62</v>
      </c>
      <c r="G66" t="s">
        <v>71</v>
      </c>
      <c r="H66" t="s">
        <v>53</v>
      </c>
      <c r="I66" t="s">
        <v>7</v>
      </c>
      <c r="J66" t="s">
        <v>72</v>
      </c>
      <c r="K66" t="s">
        <v>73</v>
      </c>
      <c r="L66" t="s">
        <v>32</v>
      </c>
      <c r="M66">
        <v>1</v>
      </c>
    </row>
    <row r="67" spans="1:13" x14ac:dyDescent="0.25">
      <c r="A67" s="2">
        <v>46272</v>
      </c>
      <c r="B67" s="1" t="str">
        <f ca="1">IF(Información1[[#This Row],[Fecha]]='Ajuste de fechas'!$A$2,"Día actual","Día anterior")</f>
        <v>Día actual</v>
      </c>
      <c r="C67" t="s">
        <v>58</v>
      </c>
      <c r="D67" t="s">
        <v>59</v>
      </c>
      <c r="E67" t="s">
        <v>193</v>
      </c>
      <c r="F67" t="s">
        <v>47</v>
      </c>
      <c r="G67" t="s">
        <v>194</v>
      </c>
      <c r="H67" t="s">
        <v>53</v>
      </c>
      <c r="I67" t="s">
        <v>7</v>
      </c>
      <c r="J67" t="s">
        <v>31</v>
      </c>
      <c r="K67" t="s">
        <v>63</v>
      </c>
      <c r="L67" t="s">
        <v>32</v>
      </c>
      <c r="M67">
        <v>1</v>
      </c>
    </row>
    <row r="68" spans="1:13" x14ac:dyDescent="0.25">
      <c r="A68" s="2">
        <v>46272</v>
      </c>
      <c r="B68" s="1" t="str">
        <f ca="1">IF(Información1[[#This Row],[Fecha]]='Ajuste de fechas'!$A$2,"Día actual","Día anterior")</f>
        <v>Día actual</v>
      </c>
      <c r="C68" t="s">
        <v>58</v>
      </c>
      <c r="D68" t="s">
        <v>59</v>
      </c>
      <c r="E68" t="s">
        <v>195</v>
      </c>
      <c r="F68" t="s">
        <v>16</v>
      </c>
      <c r="G68" t="s">
        <v>158</v>
      </c>
      <c r="H68" t="s">
        <v>53</v>
      </c>
      <c r="I68" t="s">
        <v>7</v>
      </c>
      <c r="J68" t="s">
        <v>35</v>
      </c>
      <c r="K68" t="s">
        <v>73</v>
      </c>
      <c r="L68" t="s">
        <v>32</v>
      </c>
      <c r="M68">
        <v>1</v>
      </c>
    </row>
    <row r="69" spans="1:13" x14ac:dyDescent="0.25">
      <c r="A69" s="2">
        <v>46272</v>
      </c>
      <c r="B69" s="1" t="str">
        <f ca="1">IF(Información1[[#This Row],[Fecha]]='Ajuste de fechas'!$A$2,"Día actual","Día anterior")</f>
        <v>Día actual</v>
      </c>
      <c r="C69" t="s">
        <v>58</v>
      </c>
      <c r="D69" t="s">
        <v>59</v>
      </c>
      <c r="E69" t="s">
        <v>196</v>
      </c>
      <c r="F69" t="s">
        <v>16</v>
      </c>
      <c r="G69" t="s">
        <v>75</v>
      </c>
      <c r="H69" t="s">
        <v>53</v>
      </c>
      <c r="I69" t="s">
        <v>7</v>
      </c>
      <c r="J69" t="s">
        <v>35</v>
      </c>
      <c r="K69" t="s">
        <v>63</v>
      </c>
      <c r="L69" t="s">
        <v>32</v>
      </c>
      <c r="M69">
        <v>1</v>
      </c>
    </row>
    <row r="70" spans="1:13" x14ac:dyDescent="0.25">
      <c r="A70" s="2">
        <v>46272</v>
      </c>
      <c r="B70" s="1" t="str">
        <f ca="1">IF(Información1[[#This Row],[Fecha]]='Ajuste de fechas'!$A$2,"Día actual","Día anterior")</f>
        <v>Día actual</v>
      </c>
      <c r="C70" t="s">
        <v>58</v>
      </c>
      <c r="D70" t="s">
        <v>59</v>
      </c>
      <c r="E70" t="s">
        <v>197</v>
      </c>
      <c r="F70" t="s">
        <v>87</v>
      </c>
      <c r="G70" t="s">
        <v>97</v>
      </c>
      <c r="H70" t="s">
        <v>53</v>
      </c>
      <c r="I70" t="s">
        <v>7</v>
      </c>
      <c r="J70" t="s">
        <v>31</v>
      </c>
      <c r="K70" t="s">
        <v>63</v>
      </c>
      <c r="L70" t="s">
        <v>32</v>
      </c>
      <c r="M70">
        <v>1</v>
      </c>
    </row>
    <row r="71" spans="1:13" x14ac:dyDescent="0.25">
      <c r="A71" s="2">
        <v>46272</v>
      </c>
      <c r="B71" s="1" t="str">
        <f ca="1">IF(Información1[[#This Row],[Fecha]]='Ajuste de fechas'!$A$2,"Día actual","Día anterior")</f>
        <v>Día actual</v>
      </c>
      <c r="C71" t="s">
        <v>58</v>
      </c>
      <c r="D71" t="s">
        <v>59</v>
      </c>
      <c r="E71" t="s">
        <v>198</v>
      </c>
      <c r="F71" t="s">
        <v>20</v>
      </c>
      <c r="G71" t="s">
        <v>199</v>
      </c>
      <c r="H71" t="s">
        <v>53</v>
      </c>
      <c r="I71" t="s">
        <v>7</v>
      </c>
      <c r="J71" t="s">
        <v>31</v>
      </c>
      <c r="K71" t="s">
        <v>184</v>
      </c>
      <c r="L71" t="s">
        <v>32</v>
      </c>
      <c r="M71">
        <v>1</v>
      </c>
    </row>
    <row r="72" spans="1:13" x14ac:dyDescent="0.25">
      <c r="A72" s="2">
        <v>46272</v>
      </c>
      <c r="B72" s="1" t="str">
        <f ca="1">IF(Información1[[#This Row],[Fecha]]='Ajuste de fechas'!$A$2,"Día actual","Día anterior")</f>
        <v>Día actual</v>
      </c>
      <c r="C72" t="s">
        <v>58</v>
      </c>
      <c r="D72" t="s">
        <v>59</v>
      </c>
      <c r="E72" t="s">
        <v>200</v>
      </c>
      <c r="F72" t="s">
        <v>16</v>
      </c>
      <c r="G72" t="s">
        <v>201</v>
      </c>
      <c r="H72" t="s">
        <v>53</v>
      </c>
      <c r="I72" t="s">
        <v>7</v>
      </c>
      <c r="J72" t="s">
        <v>35</v>
      </c>
      <c r="K72" t="s">
        <v>184</v>
      </c>
      <c r="L72" t="s">
        <v>32</v>
      </c>
      <c r="M72">
        <v>1</v>
      </c>
    </row>
    <row r="73" spans="1:13" x14ac:dyDescent="0.25">
      <c r="A73" s="2">
        <v>46272</v>
      </c>
      <c r="B73" s="1" t="str">
        <f ca="1">IF(Información1[[#This Row],[Fecha]]='Ajuste de fechas'!$A$2,"Día actual","Día anterior")</f>
        <v>Día actual</v>
      </c>
      <c r="C73" t="s">
        <v>58</v>
      </c>
      <c r="D73" t="s">
        <v>59</v>
      </c>
      <c r="E73" t="s">
        <v>202</v>
      </c>
      <c r="F73" t="s">
        <v>19</v>
      </c>
      <c r="G73" t="s">
        <v>203</v>
      </c>
      <c r="H73" t="s">
        <v>53</v>
      </c>
      <c r="I73" t="s">
        <v>7</v>
      </c>
      <c r="J73" t="s">
        <v>36</v>
      </c>
      <c r="K73" t="s">
        <v>184</v>
      </c>
      <c r="L73" t="s">
        <v>32</v>
      </c>
      <c r="M73">
        <v>1</v>
      </c>
    </row>
    <row r="74" spans="1:13" x14ac:dyDescent="0.25">
      <c r="A74" s="2">
        <v>46272</v>
      </c>
      <c r="B74" s="1" t="str">
        <f ca="1">IF(Información1[[#This Row],[Fecha]]='Ajuste de fechas'!$A$2,"Día actual","Día anterior")</f>
        <v>Día actual</v>
      </c>
      <c r="C74" t="s">
        <v>58</v>
      </c>
      <c r="D74" t="s">
        <v>59</v>
      </c>
      <c r="E74" t="s">
        <v>204</v>
      </c>
      <c r="F74" t="s">
        <v>19</v>
      </c>
      <c r="G74" t="s">
        <v>205</v>
      </c>
      <c r="H74" t="s">
        <v>53</v>
      </c>
      <c r="I74" t="s">
        <v>7</v>
      </c>
      <c r="J74" t="s">
        <v>36</v>
      </c>
      <c r="K74" t="s">
        <v>63</v>
      </c>
      <c r="L74" t="s">
        <v>32</v>
      </c>
      <c r="M74">
        <v>1</v>
      </c>
    </row>
    <row r="75" spans="1:13" x14ac:dyDescent="0.25">
      <c r="A75" s="2">
        <v>46272</v>
      </c>
      <c r="B75" s="1" t="str">
        <f ca="1">IF(Información1[[#This Row],[Fecha]]='Ajuste de fechas'!$A$2,"Día actual","Día anterior")</f>
        <v>Día actual</v>
      </c>
      <c r="C75" t="s">
        <v>64</v>
      </c>
      <c r="D75" t="s">
        <v>65</v>
      </c>
      <c r="E75" t="s">
        <v>206</v>
      </c>
      <c r="F75" t="s">
        <v>23</v>
      </c>
      <c r="G75" t="s">
        <v>52</v>
      </c>
      <c r="H75" t="s">
        <v>67</v>
      </c>
      <c r="I75" t="s">
        <v>7</v>
      </c>
      <c r="J75" t="s">
        <v>31</v>
      </c>
      <c r="K75" t="s">
        <v>69</v>
      </c>
      <c r="L75" t="s">
        <v>32</v>
      </c>
      <c r="M75">
        <v>1</v>
      </c>
    </row>
    <row r="76" spans="1:13" x14ac:dyDescent="0.25">
      <c r="A76" s="2">
        <v>46272</v>
      </c>
      <c r="B76" s="1" t="str">
        <f ca="1">IF(Información1[[#This Row],[Fecha]]='Ajuste de fechas'!$A$2,"Día actual","Día anterior")</f>
        <v>Día actual</v>
      </c>
      <c r="C76" t="s">
        <v>64</v>
      </c>
      <c r="D76" t="s">
        <v>65</v>
      </c>
      <c r="E76" t="s">
        <v>207</v>
      </c>
      <c r="F76" t="s">
        <v>20</v>
      </c>
      <c r="G76" t="s">
        <v>75</v>
      </c>
      <c r="H76" t="s">
        <v>67</v>
      </c>
      <c r="I76" t="s">
        <v>7</v>
      </c>
      <c r="J76" t="s">
        <v>31</v>
      </c>
      <c r="K76" t="s">
        <v>68</v>
      </c>
      <c r="L76" t="s">
        <v>32</v>
      </c>
      <c r="M76">
        <v>1</v>
      </c>
    </row>
    <row r="77" spans="1:13" x14ac:dyDescent="0.25">
      <c r="A77" s="2">
        <v>46272</v>
      </c>
      <c r="B77" s="1" t="str">
        <f ca="1">IF(Información1[[#This Row],[Fecha]]='Ajuste de fechas'!$A$2,"Día actual","Día anterior")</f>
        <v>Día actual</v>
      </c>
      <c r="C77" t="s">
        <v>64</v>
      </c>
      <c r="D77" t="s">
        <v>65</v>
      </c>
      <c r="E77" t="s">
        <v>208</v>
      </c>
      <c r="F77" t="s">
        <v>23</v>
      </c>
      <c r="G77" t="s">
        <v>209</v>
      </c>
      <c r="H77" t="s">
        <v>67</v>
      </c>
      <c r="I77" t="s">
        <v>7</v>
      </c>
      <c r="J77" t="s">
        <v>31</v>
      </c>
      <c r="K77" t="s">
        <v>69</v>
      </c>
      <c r="L77" t="s">
        <v>32</v>
      </c>
      <c r="M77">
        <v>1</v>
      </c>
    </row>
    <row r="78" spans="1:13" x14ac:dyDescent="0.25">
      <c r="A78" s="2">
        <v>46272</v>
      </c>
      <c r="B78" s="1" t="str">
        <f ca="1">IF(Información1[[#This Row],[Fecha]]='Ajuste de fechas'!$A$2,"Día actual","Día anterior")</f>
        <v>Día actual</v>
      </c>
      <c r="C78" t="s">
        <v>64</v>
      </c>
      <c r="D78" t="s">
        <v>65</v>
      </c>
      <c r="E78" t="s">
        <v>210</v>
      </c>
      <c r="F78" t="s">
        <v>211</v>
      </c>
      <c r="G78" t="s">
        <v>212</v>
      </c>
      <c r="H78" t="s">
        <v>67</v>
      </c>
      <c r="I78" t="s">
        <v>7</v>
      </c>
      <c r="J78" t="s">
        <v>31</v>
      </c>
      <c r="K78" t="s">
        <v>181</v>
      </c>
      <c r="L78" t="s">
        <v>33</v>
      </c>
      <c r="M78">
        <v>1</v>
      </c>
    </row>
    <row r="79" spans="1:13" x14ac:dyDescent="0.25">
      <c r="A79" s="2">
        <v>46272</v>
      </c>
      <c r="B79" s="1" t="str">
        <f ca="1">IF(Información1[[#This Row],[Fecha]]='Ajuste de fechas'!$A$2,"Día actual","Día anterior")</f>
        <v>Día actual</v>
      </c>
      <c r="C79" t="s">
        <v>58</v>
      </c>
      <c r="D79" t="s">
        <v>59</v>
      </c>
      <c r="E79" t="s">
        <v>213</v>
      </c>
      <c r="F79" t="s">
        <v>16</v>
      </c>
      <c r="G79" t="s">
        <v>214</v>
      </c>
      <c r="H79" t="s">
        <v>53</v>
      </c>
      <c r="I79" t="s">
        <v>7</v>
      </c>
      <c r="J79" t="s">
        <v>35</v>
      </c>
      <c r="K79" t="s">
        <v>63</v>
      </c>
      <c r="L79" t="s">
        <v>32</v>
      </c>
      <c r="M79">
        <v>1</v>
      </c>
    </row>
    <row r="80" spans="1:13" x14ac:dyDescent="0.25">
      <c r="A80" s="2">
        <v>46272</v>
      </c>
      <c r="B80" s="1" t="str">
        <f ca="1">IF(Información1[[#This Row],[Fecha]]='Ajuste de fechas'!$A$2,"Día actual","Día anterior")</f>
        <v>Día actual</v>
      </c>
      <c r="C80" t="s">
        <v>58</v>
      </c>
      <c r="D80" t="s">
        <v>59</v>
      </c>
      <c r="E80" t="s">
        <v>215</v>
      </c>
      <c r="F80" t="s">
        <v>45</v>
      </c>
      <c r="G80" t="s">
        <v>149</v>
      </c>
      <c r="H80" t="s">
        <v>53</v>
      </c>
      <c r="I80" t="s">
        <v>11</v>
      </c>
      <c r="J80" t="s">
        <v>31</v>
      </c>
      <c r="K80" t="s">
        <v>63</v>
      </c>
      <c r="L80" t="s">
        <v>33</v>
      </c>
      <c r="M80">
        <v>1</v>
      </c>
    </row>
    <row r="81" spans="1:13" x14ac:dyDescent="0.25">
      <c r="A81" s="2">
        <v>46272</v>
      </c>
      <c r="B81" s="1" t="str">
        <f ca="1">IF(Información1[[#This Row],[Fecha]]='Ajuste de fechas'!$A$2,"Día actual","Día anterior")</f>
        <v>Día actual</v>
      </c>
      <c r="C81" t="s">
        <v>58</v>
      </c>
      <c r="D81" t="s">
        <v>59</v>
      </c>
      <c r="E81" t="s">
        <v>216</v>
      </c>
      <c r="F81" t="s">
        <v>18</v>
      </c>
      <c r="G81" t="s">
        <v>217</v>
      </c>
      <c r="H81" t="s">
        <v>53</v>
      </c>
      <c r="I81" t="s">
        <v>7</v>
      </c>
      <c r="J81" t="s">
        <v>31</v>
      </c>
      <c r="K81" t="s">
        <v>63</v>
      </c>
      <c r="L81" t="s">
        <v>32</v>
      </c>
      <c r="M81">
        <v>1</v>
      </c>
    </row>
    <row r="82" spans="1:13" x14ac:dyDescent="0.25">
      <c r="A82" s="2">
        <v>46272</v>
      </c>
      <c r="B82" s="1" t="str">
        <f ca="1">IF(Información1[[#This Row],[Fecha]]='Ajuste de fechas'!$A$2,"Día actual","Día anterior")</f>
        <v>Día actual</v>
      </c>
      <c r="C82" t="s">
        <v>82</v>
      </c>
      <c r="D82" t="s">
        <v>83</v>
      </c>
      <c r="E82" t="s">
        <v>218</v>
      </c>
      <c r="F82" t="s">
        <v>219</v>
      </c>
      <c r="G82" t="s">
        <v>220</v>
      </c>
      <c r="H82" t="s">
        <v>53</v>
      </c>
      <c r="I82" t="s">
        <v>7</v>
      </c>
      <c r="J82" t="s">
        <v>31</v>
      </c>
      <c r="K82" t="s">
        <v>81</v>
      </c>
      <c r="L82" t="s">
        <v>32</v>
      </c>
      <c r="M82">
        <v>1</v>
      </c>
    </row>
    <row r="83" spans="1:13" x14ac:dyDescent="0.25">
      <c r="A83" s="2">
        <v>46272</v>
      </c>
      <c r="B83" s="1" t="str">
        <f ca="1">IF(Información1[[#This Row],[Fecha]]='Ajuste de fechas'!$A$2,"Día actual","Día anterior")</f>
        <v>Día actual</v>
      </c>
      <c r="C83" t="s">
        <v>79</v>
      </c>
      <c r="D83" t="s">
        <v>80</v>
      </c>
      <c r="E83" t="s">
        <v>221</v>
      </c>
      <c r="F83" t="s">
        <v>96</v>
      </c>
      <c r="G83" t="s">
        <v>52</v>
      </c>
      <c r="H83" t="s">
        <v>53</v>
      </c>
      <c r="I83" t="s">
        <v>7</v>
      </c>
      <c r="J83" t="s">
        <v>31</v>
      </c>
      <c r="K83" t="s">
        <v>81</v>
      </c>
      <c r="L83" t="s">
        <v>34</v>
      </c>
      <c r="M83">
        <v>1</v>
      </c>
    </row>
    <row r="84" spans="1:13" x14ac:dyDescent="0.25">
      <c r="A84" s="2">
        <v>46272</v>
      </c>
      <c r="B84" s="1" t="str">
        <f ca="1">IF(Información1[[#This Row],[Fecha]]='Ajuste de fechas'!$A$2,"Día actual","Día anterior")</f>
        <v>Día actual</v>
      </c>
      <c r="C84" t="s">
        <v>79</v>
      </c>
      <c r="D84" t="s">
        <v>80</v>
      </c>
      <c r="E84" t="s">
        <v>222</v>
      </c>
      <c r="F84" t="s">
        <v>23</v>
      </c>
      <c r="G84" t="s">
        <v>52</v>
      </c>
      <c r="H84" t="s">
        <v>53</v>
      </c>
      <c r="I84" t="s">
        <v>7</v>
      </c>
      <c r="J84" t="s">
        <v>31</v>
      </c>
      <c r="K84" t="s">
        <v>81</v>
      </c>
      <c r="L84" t="s">
        <v>34</v>
      </c>
      <c r="M84">
        <v>1</v>
      </c>
    </row>
    <row r="85" spans="1:13" x14ac:dyDescent="0.25">
      <c r="A85" s="2">
        <v>46272</v>
      </c>
      <c r="B85" s="1" t="str">
        <f ca="1">IF(Información1[[#This Row],[Fecha]]='Ajuste de fechas'!$A$2,"Día actual","Día anterior")</f>
        <v>Día actual</v>
      </c>
      <c r="C85" t="s">
        <v>84</v>
      </c>
      <c r="D85" t="s">
        <v>85</v>
      </c>
      <c r="E85" t="s">
        <v>223</v>
      </c>
      <c r="F85" t="s">
        <v>224</v>
      </c>
      <c r="G85" t="s">
        <v>225</v>
      </c>
      <c r="H85" t="s">
        <v>53</v>
      </c>
      <c r="I85" t="s">
        <v>22</v>
      </c>
      <c r="J85" t="s">
        <v>21</v>
      </c>
      <c r="K85" t="s">
        <v>86</v>
      </c>
      <c r="L85" t="s">
        <v>32</v>
      </c>
      <c r="M85">
        <v>1</v>
      </c>
    </row>
    <row r="86" spans="1:13" x14ac:dyDescent="0.25">
      <c r="A86" s="2">
        <v>46272</v>
      </c>
      <c r="B86" s="1" t="str">
        <f ca="1">IF(Información1[[#This Row],[Fecha]]='Ajuste de fechas'!$A$2,"Día actual","Día anterior")</f>
        <v>Día actual</v>
      </c>
      <c r="C86" t="s">
        <v>84</v>
      </c>
      <c r="D86" t="s">
        <v>85</v>
      </c>
      <c r="E86" t="s">
        <v>226</v>
      </c>
      <c r="F86" t="s">
        <v>19</v>
      </c>
      <c r="G86" t="s">
        <v>227</v>
      </c>
      <c r="H86" t="s">
        <v>53</v>
      </c>
      <c r="I86" t="s">
        <v>7</v>
      </c>
      <c r="J86" t="s">
        <v>36</v>
      </c>
      <c r="K86" t="s">
        <v>86</v>
      </c>
      <c r="L86" t="s">
        <v>32</v>
      </c>
      <c r="M86">
        <v>1</v>
      </c>
    </row>
    <row r="87" spans="1:13" x14ac:dyDescent="0.25">
      <c r="A87" s="2">
        <v>46272</v>
      </c>
      <c r="B87" s="1" t="str">
        <f ca="1">IF(Información1[[#This Row],[Fecha]]='Ajuste de fechas'!$A$2,"Día actual","Día anterior")</f>
        <v>Día actual</v>
      </c>
      <c r="C87" t="s">
        <v>84</v>
      </c>
      <c r="D87" t="s">
        <v>85</v>
      </c>
      <c r="E87" t="s">
        <v>228</v>
      </c>
      <c r="F87" t="s">
        <v>19</v>
      </c>
      <c r="G87" t="s">
        <v>227</v>
      </c>
      <c r="H87" t="s">
        <v>53</v>
      </c>
      <c r="I87" t="s">
        <v>7</v>
      </c>
      <c r="J87" t="s">
        <v>36</v>
      </c>
      <c r="K87" t="s">
        <v>86</v>
      </c>
      <c r="L87" t="s">
        <v>32</v>
      </c>
      <c r="M87">
        <v>1</v>
      </c>
    </row>
    <row r="88" spans="1:13" x14ac:dyDescent="0.25">
      <c r="A88" s="2">
        <v>46272</v>
      </c>
      <c r="B88" s="1" t="str">
        <f ca="1">IF(Información1[[#This Row],[Fecha]]='Ajuste de fechas'!$A$2,"Día actual","Día anterior")</f>
        <v>Día actual</v>
      </c>
      <c r="C88" t="s">
        <v>84</v>
      </c>
      <c r="D88" t="s">
        <v>85</v>
      </c>
      <c r="E88" t="s">
        <v>229</v>
      </c>
      <c r="F88" t="s">
        <v>47</v>
      </c>
      <c r="G88" t="s">
        <v>230</v>
      </c>
      <c r="H88" t="s">
        <v>53</v>
      </c>
      <c r="I88" t="s">
        <v>7</v>
      </c>
      <c r="J88" t="s">
        <v>31</v>
      </c>
      <c r="K88" t="s">
        <v>86</v>
      </c>
      <c r="L88" t="s">
        <v>32</v>
      </c>
      <c r="M88">
        <v>1</v>
      </c>
    </row>
    <row r="89" spans="1:13" x14ac:dyDescent="0.25">
      <c r="A89" s="2">
        <v>46272</v>
      </c>
      <c r="B89" s="1" t="str">
        <f ca="1">IF(Información1[[#This Row],[Fecha]]='Ajuste de fechas'!$A$2,"Día actual","Día anterior")</f>
        <v>Día actual</v>
      </c>
      <c r="C89" t="s">
        <v>84</v>
      </c>
      <c r="D89" t="s">
        <v>85</v>
      </c>
      <c r="E89" t="s">
        <v>231</v>
      </c>
      <c r="F89" t="s">
        <v>20</v>
      </c>
      <c r="G89" t="s">
        <v>127</v>
      </c>
      <c r="H89" t="s">
        <v>53</v>
      </c>
      <c r="I89" t="s">
        <v>7</v>
      </c>
      <c r="J89" t="s">
        <v>31</v>
      </c>
      <c r="K89" t="s">
        <v>86</v>
      </c>
      <c r="L89" t="s">
        <v>32</v>
      </c>
      <c r="M89">
        <v>1</v>
      </c>
    </row>
    <row r="90" spans="1:13" x14ac:dyDescent="0.25">
      <c r="A90" s="2">
        <v>46272</v>
      </c>
      <c r="B90" s="1" t="str">
        <f ca="1">IF(Información1[[#This Row],[Fecha]]='Ajuste de fechas'!$A$2,"Día actual","Día anterior")</f>
        <v>Día actual</v>
      </c>
      <c r="C90" t="s">
        <v>84</v>
      </c>
      <c r="D90" t="s">
        <v>85</v>
      </c>
      <c r="E90" t="s">
        <v>232</v>
      </c>
      <c r="F90" t="s">
        <v>16</v>
      </c>
      <c r="G90" t="s">
        <v>233</v>
      </c>
      <c r="H90" t="s">
        <v>53</v>
      </c>
      <c r="I90" t="s">
        <v>7</v>
      </c>
      <c r="J90" t="s">
        <v>35</v>
      </c>
      <c r="K90" t="s">
        <v>86</v>
      </c>
      <c r="L90" t="s">
        <v>32</v>
      </c>
      <c r="M90">
        <v>1</v>
      </c>
    </row>
    <row r="91" spans="1:13" x14ac:dyDescent="0.25">
      <c r="A91" s="2">
        <v>46272</v>
      </c>
      <c r="B91" s="1" t="str">
        <f ca="1">IF(Información1[[#This Row],[Fecha]]='Ajuste de fechas'!$A$2,"Día actual","Día anterior")</f>
        <v>Día actual</v>
      </c>
      <c r="C91" t="s">
        <v>84</v>
      </c>
      <c r="D91" t="s">
        <v>85</v>
      </c>
      <c r="E91" t="s">
        <v>234</v>
      </c>
      <c r="F91" t="s">
        <v>19</v>
      </c>
      <c r="G91" t="s">
        <v>235</v>
      </c>
      <c r="H91" t="s">
        <v>53</v>
      </c>
      <c r="I91" t="s">
        <v>7</v>
      </c>
      <c r="J91" t="s">
        <v>36</v>
      </c>
      <c r="K91" t="s">
        <v>86</v>
      </c>
      <c r="L91" t="s">
        <v>32</v>
      </c>
      <c r="M91">
        <v>1</v>
      </c>
    </row>
    <row r="92" spans="1:13" x14ac:dyDescent="0.25">
      <c r="A92" s="2">
        <v>46272</v>
      </c>
      <c r="B92" s="1" t="str">
        <f ca="1">IF(Información1[[#This Row],[Fecha]]='Ajuste de fechas'!$A$2,"Día actual","Día anterior")</f>
        <v>Día actual</v>
      </c>
      <c r="C92" t="s">
        <v>84</v>
      </c>
      <c r="D92" t="s">
        <v>85</v>
      </c>
      <c r="E92" t="s">
        <v>236</v>
      </c>
      <c r="F92" t="s">
        <v>18</v>
      </c>
      <c r="G92" t="s">
        <v>52</v>
      </c>
      <c r="H92" t="s">
        <v>53</v>
      </c>
      <c r="I92" t="s">
        <v>7</v>
      </c>
      <c r="J92" t="s">
        <v>31</v>
      </c>
      <c r="K92" t="s">
        <v>86</v>
      </c>
      <c r="L92" t="s">
        <v>32</v>
      </c>
      <c r="M92">
        <v>1</v>
      </c>
    </row>
    <row r="93" spans="1:13" x14ac:dyDescent="0.25">
      <c r="A93" s="2">
        <v>46272</v>
      </c>
      <c r="B93" s="1" t="str">
        <f ca="1">IF(Información1[[#This Row],[Fecha]]='Ajuste de fechas'!$A$2,"Día actual","Día anterior")</f>
        <v>Día actual</v>
      </c>
      <c r="C93" t="s">
        <v>84</v>
      </c>
      <c r="D93" t="s">
        <v>85</v>
      </c>
      <c r="E93" t="s">
        <v>237</v>
      </c>
      <c r="F93" t="s">
        <v>219</v>
      </c>
      <c r="G93" t="s">
        <v>220</v>
      </c>
      <c r="H93" t="s">
        <v>53</v>
      </c>
      <c r="I93" t="s">
        <v>7</v>
      </c>
      <c r="J93" t="s">
        <v>31</v>
      </c>
      <c r="K93" t="s">
        <v>86</v>
      </c>
      <c r="L93" t="s">
        <v>32</v>
      </c>
      <c r="M93">
        <v>1</v>
      </c>
    </row>
    <row r="94" spans="1:13" x14ac:dyDescent="0.25">
      <c r="A94" s="2">
        <v>46272</v>
      </c>
      <c r="B94" s="1" t="str">
        <f ca="1">IF(Información1[[#This Row],[Fecha]]='Ajuste de fechas'!$A$2,"Día actual","Día anterior")</f>
        <v>Día actual</v>
      </c>
      <c r="C94" t="s">
        <v>84</v>
      </c>
      <c r="D94" t="s">
        <v>85</v>
      </c>
      <c r="E94" t="s">
        <v>238</v>
      </c>
      <c r="F94" t="s">
        <v>50</v>
      </c>
      <c r="G94" t="s">
        <v>239</v>
      </c>
      <c r="H94" t="s">
        <v>53</v>
      </c>
      <c r="I94" t="s">
        <v>7</v>
      </c>
      <c r="J94" t="s">
        <v>31</v>
      </c>
      <c r="K94" t="s">
        <v>86</v>
      </c>
      <c r="L94" t="s">
        <v>32</v>
      </c>
      <c r="M94">
        <v>1</v>
      </c>
    </row>
    <row r="95" spans="1:13" x14ac:dyDescent="0.25">
      <c r="A95" s="2">
        <v>46272</v>
      </c>
      <c r="B95" s="1" t="str">
        <f ca="1">IF(Información1[[#This Row],[Fecha]]='Ajuste de fechas'!$A$2,"Día actual","Día anterior")</f>
        <v>Día actual</v>
      </c>
      <c r="C95" t="s">
        <v>84</v>
      </c>
      <c r="D95" t="s">
        <v>85</v>
      </c>
      <c r="E95" t="s">
        <v>240</v>
      </c>
      <c r="F95" t="s">
        <v>151</v>
      </c>
      <c r="G95" t="s">
        <v>241</v>
      </c>
      <c r="H95" t="s">
        <v>53</v>
      </c>
      <c r="I95" t="s">
        <v>7</v>
      </c>
      <c r="J95" t="s">
        <v>31</v>
      </c>
      <c r="K95" t="s">
        <v>86</v>
      </c>
      <c r="L95" t="s">
        <v>34</v>
      </c>
      <c r="M95">
        <v>1</v>
      </c>
    </row>
    <row r="96" spans="1:13" x14ac:dyDescent="0.25">
      <c r="A96" s="2">
        <v>46272</v>
      </c>
      <c r="B96" s="1" t="str">
        <f ca="1">IF(Información1[[#This Row],[Fecha]]='Ajuste de fechas'!$A$2,"Día actual","Día anterior")</f>
        <v>Día actual</v>
      </c>
      <c r="C96" t="s">
        <v>84</v>
      </c>
      <c r="D96" t="s">
        <v>85</v>
      </c>
      <c r="E96" t="s">
        <v>242</v>
      </c>
      <c r="F96" t="s">
        <v>23</v>
      </c>
      <c r="G96" t="s">
        <v>52</v>
      </c>
      <c r="H96" t="s">
        <v>53</v>
      </c>
      <c r="I96" t="s">
        <v>11</v>
      </c>
      <c r="J96" t="s">
        <v>31</v>
      </c>
      <c r="K96" t="s">
        <v>86</v>
      </c>
      <c r="L96" t="s">
        <v>33</v>
      </c>
      <c r="M96">
        <v>1</v>
      </c>
    </row>
    <row r="97" spans="1:13" x14ac:dyDescent="0.25">
      <c r="A97" s="2">
        <v>46272</v>
      </c>
      <c r="B97" s="1" t="str">
        <f ca="1">IF(Información1[[#This Row],[Fecha]]='Ajuste de fechas'!$A$2,"Día actual","Día anterior")</f>
        <v>Día actual</v>
      </c>
      <c r="C97" t="s">
        <v>84</v>
      </c>
      <c r="D97" t="s">
        <v>85</v>
      </c>
      <c r="E97" t="s">
        <v>243</v>
      </c>
      <c r="F97" t="s">
        <v>23</v>
      </c>
      <c r="G97" t="s">
        <v>52</v>
      </c>
      <c r="H97" t="s">
        <v>53</v>
      </c>
      <c r="I97" t="s">
        <v>7</v>
      </c>
      <c r="J97" t="s">
        <v>31</v>
      </c>
      <c r="K97" t="s">
        <v>86</v>
      </c>
      <c r="L97" t="s">
        <v>33</v>
      </c>
      <c r="M97">
        <v>1</v>
      </c>
    </row>
    <row r="98" spans="1:13" x14ac:dyDescent="0.25">
      <c r="A98" s="2">
        <v>46272</v>
      </c>
      <c r="B98" s="1" t="str">
        <f ca="1">IF(Información1[[#This Row],[Fecha]]='Ajuste de fechas'!$A$2,"Día actual","Día anterior")</f>
        <v>Día actual</v>
      </c>
      <c r="C98" t="s">
        <v>84</v>
      </c>
      <c r="D98" t="s">
        <v>85</v>
      </c>
      <c r="E98" t="s">
        <v>244</v>
      </c>
      <c r="F98" t="s">
        <v>23</v>
      </c>
      <c r="G98" t="s">
        <v>52</v>
      </c>
      <c r="H98" t="s">
        <v>53</v>
      </c>
      <c r="I98" t="s">
        <v>11</v>
      </c>
      <c r="J98" t="s">
        <v>31</v>
      </c>
      <c r="K98" t="s">
        <v>86</v>
      </c>
      <c r="L98" t="s">
        <v>33</v>
      </c>
      <c r="M98">
        <v>1</v>
      </c>
    </row>
    <row r="99" spans="1:13" x14ac:dyDescent="0.25">
      <c r="A99" s="2">
        <v>46272</v>
      </c>
      <c r="B99" s="1" t="str">
        <f ca="1">IF(Información1[[#This Row],[Fecha]]='Ajuste de fechas'!$A$2,"Día actual","Día anterior")</f>
        <v>Día actual</v>
      </c>
      <c r="C99" t="s">
        <v>84</v>
      </c>
      <c r="D99" t="s">
        <v>85</v>
      </c>
      <c r="E99" t="s">
        <v>245</v>
      </c>
      <c r="F99" t="s">
        <v>23</v>
      </c>
      <c r="G99" t="s">
        <v>52</v>
      </c>
      <c r="H99" t="s">
        <v>53</v>
      </c>
      <c r="I99" t="s">
        <v>11</v>
      </c>
      <c r="J99" t="s">
        <v>31</v>
      </c>
      <c r="K99" t="s">
        <v>86</v>
      </c>
      <c r="L99" t="s">
        <v>33</v>
      </c>
      <c r="M99">
        <v>1</v>
      </c>
    </row>
    <row r="100" spans="1:13" x14ac:dyDescent="0.25">
      <c r="A100" s="2">
        <v>46272</v>
      </c>
      <c r="B100" s="1" t="str">
        <f ca="1">IF(Información1[[#This Row],[Fecha]]='Ajuste de fechas'!$A$2,"Día actual","Día anterior")</f>
        <v>Día actual</v>
      </c>
      <c r="C100" t="s">
        <v>84</v>
      </c>
      <c r="D100" t="s">
        <v>85</v>
      </c>
      <c r="E100" t="s">
        <v>246</v>
      </c>
      <c r="F100" t="s">
        <v>23</v>
      </c>
      <c r="G100" t="s">
        <v>52</v>
      </c>
      <c r="H100" t="s">
        <v>53</v>
      </c>
      <c r="I100" t="s">
        <v>11</v>
      </c>
      <c r="J100" t="s">
        <v>31</v>
      </c>
      <c r="K100" t="s">
        <v>86</v>
      </c>
      <c r="L100" t="s">
        <v>33</v>
      </c>
      <c r="M100">
        <v>1</v>
      </c>
    </row>
    <row r="101" spans="1:13" x14ac:dyDescent="0.25">
      <c r="A101" s="2">
        <v>46272</v>
      </c>
      <c r="B101" s="1" t="str">
        <f ca="1">IF(Información1[[#This Row],[Fecha]]='Ajuste de fechas'!$A$2,"Día actual","Día anterior")</f>
        <v>Día actual</v>
      </c>
      <c r="C101" t="s">
        <v>84</v>
      </c>
      <c r="D101" t="s">
        <v>85</v>
      </c>
      <c r="E101" t="s">
        <v>247</v>
      </c>
      <c r="F101" t="s">
        <v>23</v>
      </c>
      <c r="G101" t="s">
        <v>52</v>
      </c>
      <c r="H101" t="s">
        <v>53</v>
      </c>
      <c r="I101" t="s">
        <v>11</v>
      </c>
      <c r="J101" t="s">
        <v>31</v>
      </c>
      <c r="K101" t="s">
        <v>86</v>
      </c>
      <c r="L101" t="s">
        <v>33</v>
      </c>
      <c r="M101">
        <v>1</v>
      </c>
    </row>
    <row r="102" spans="1:13" x14ac:dyDescent="0.25">
      <c r="A102" s="2">
        <v>46272</v>
      </c>
      <c r="B102" s="1" t="str">
        <f ca="1">IF(Información1[[#This Row],[Fecha]]='Ajuste de fechas'!$A$2,"Día actual","Día anterior")</f>
        <v>Día actual</v>
      </c>
      <c r="C102" t="s">
        <v>84</v>
      </c>
      <c r="D102" t="s">
        <v>85</v>
      </c>
      <c r="E102" t="s">
        <v>248</v>
      </c>
      <c r="F102" t="s">
        <v>47</v>
      </c>
      <c r="G102" t="s">
        <v>52</v>
      </c>
      <c r="H102" t="s">
        <v>53</v>
      </c>
      <c r="I102" t="s">
        <v>7</v>
      </c>
      <c r="J102" t="s">
        <v>31</v>
      </c>
      <c r="K102" t="s">
        <v>86</v>
      </c>
      <c r="L102" t="s">
        <v>32</v>
      </c>
      <c r="M102">
        <v>1</v>
      </c>
    </row>
    <row r="103" spans="1:13" x14ac:dyDescent="0.25">
      <c r="A103" s="2">
        <v>46272</v>
      </c>
      <c r="B103" s="1" t="str">
        <f ca="1">IF(Información1[[#This Row],[Fecha]]='Ajuste de fechas'!$A$2,"Día actual","Día anterior")</f>
        <v>Día actual</v>
      </c>
      <c r="C103" t="s">
        <v>84</v>
      </c>
      <c r="D103" t="s">
        <v>85</v>
      </c>
      <c r="E103" t="s">
        <v>249</v>
      </c>
      <c r="F103" t="s">
        <v>21</v>
      </c>
      <c r="G103" t="s">
        <v>250</v>
      </c>
      <c r="H103" t="s">
        <v>53</v>
      </c>
      <c r="I103" t="s">
        <v>7</v>
      </c>
      <c r="J103" t="s">
        <v>21</v>
      </c>
      <c r="K103" t="s">
        <v>86</v>
      </c>
      <c r="L103" t="s">
        <v>32</v>
      </c>
      <c r="M103">
        <v>1</v>
      </c>
    </row>
    <row r="104" spans="1:13" x14ac:dyDescent="0.25">
      <c r="A104" s="2">
        <v>46272</v>
      </c>
      <c r="B104" s="1" t="str">
        <f ca="1">IF(Información1[[#This Row],[Fecha]]='Ajuste de fechas'!$A$2,"Día actual","Día anterior")</f>
        <v>Día actual</v>
      </c>
      <c r="C104" t="s">
        <v>8</v>
      </c>
      <c r="D104" t="s">
        <v>10</v>
      </c>
      <c r="E104" t="s">
        <v>251</v>
      </c>
      <c r="F104" t="s">
        <v>16</v>
      </c>
      <c r="G104" t="s">
        <v>252</v>
      </c>
      <c r="H104" t="s">
        <v>53</v>
      </c>
      <c r="I104" t="s">
        <v>7</v>
      </c>
      <c r="J104" t="s">
        <v>35</v>
      </c>
      <c r="K104" t="s">
        <v>9</v>
      </c>
      <c r="L104" t="s">
        <v>33</v>
      </c>
      <c r="M104">
        <v>1</v>
      </c>
    </row>
    <row r="105" spans="1:13" x14ac:dyDescent="0.25">
      <c r="A105" s="2">
        <v>46272</v>
      </c>
      <c r="B105" s="1" t="str">
        <f ca="1">IF(Información1[[#This Row],[Fecha]]='Ajuste de fechas'!$A$2,"Día actual","Día anterior")</f>
        <v>Día actual</v>
      </c>
      <c r="C105" t="s">
        <v>8</v>
      </c>
      <c r="D105" t="s">
        <v>10</v>
      </c>
      <c r="E105" t="s">
        <v>253</v>
      </c>
      <c r="F105" t="s">
        <v>16</v>
      </c>
      <c r="G105" t="s">
        <v>60</v>
      </c>
      <c r="H105" t="s">
        <v>53</v>
      </c>
      <c r="I105" t="s">
        <v>22</v>
      </c>
      <c r="J105" t="s">
        <v>35</v>
      </c>
      <c r="K105" t="s">
        <v>9</v>
      </c>
      <c r="L105" t="s">
        <v>33</v>
      </c>
      <c r="M105">
        <v>1</v>
      </c>
    </row>
    <row r="106" spans="1:13" x14ac:dyDescent="0.25">
      <c r="A106" s="2">
        <v>46272</v>
      </c>
      <c r="B106" s="1" t="str">
        <f ca="1">IF(Información1[[#This Row],[Fecha]]='Ajuste de fechas'!$A$2,"Día actual","Día anterior")</f>
        <v>Día actual</v>
      </c>
      <c r="C106" t="s">
        <v>8</v>
      </c>
      <c r="D106" t="s">
        <v>10</v>
      </c>
      <c r="E106" t="s">
        <v>254</v>
      </c>
      <c r="F106" t="s">
        <v>219</v>
      </c>
      <c r="G106" t="s">
        <v>255</v>
      </c>
      <c r="H106" t="s">
        <v>53</v>
      </c>
      <c r="I106" t="s">
        <v>22</v>
      </c>
      <c r="J106" t="s">
        <v>31</v>
      </c>
      <c r="K106" t="s">
        <v>9</v>
      </c>
      <c r="L106" t="s">
        <v>33</v>
      </c>
      <c r="M106">
        <v>1</v>
      </c>
    </row>
    <row r="107" spans="1:13" x14ac:dyDescent="0.25">
      <c r="A107" s="2">
        <v>46272</v>
      </c>
      <c r="B107" s="1" t="str">
        <f ca="1">IF(Información1[[#This Row],[Fecha]]='Ajuste de fechas'!$A$2,"Día actual","Día anterior")</f>
        <v>Día actual</v>
      </c>
      <c r="C107" t="s">
        <v>8</v>
      </c>
      <c r="D107" t="s">
        <v>10</v>
      </c>
      <c r="E107" t="s">
        <v>256</v>
      </c>
      <c r="F107" t="s">
        <v>6</v>
      </c>
      <c r="G107" t="s">
        <v>49</v>
      </c>
      <c r="H107" t="s">
        <v>53</v>
      </c>
      <c r="I107" t="s">
        <v>22</v>
      </c>
      <c r="J107" t="s">
        <v>31</v>
      </c>
      <c r="K107" t="s">
        <v>9</v>
      </c>
      <c r="L107" t="s">
        <v>33</v>
      </c>
      <c r="M107">
        <v>1</v>
      </c>
    </row>
    <row r="108" spans="1:13" x14ac:dyDescent="0.25">
      <c r="A108" s="2">
        <v>46272</v>
      </c>
      <c r="B108" s="1" t="str">
        <f ca="1">IF(Información1[[#This Row],[Fecha]]='Ajuste de fechas'!$A$2,"Día actual","Día anterior")</f>
        <v>Día actual</v>
      </c>
      <c r="C108" t="s">
        <v>8</v>
      </c>
      <c r="D108" t="s">
        <v>10</v>
      </c>
      <c r="E108" t="s">
        <v>257</v>
      </c>
      <c r="F108" t="s">
        <v>16</v>
      </c>
      <c r="G108" t="s">
        <v>104</v>
      </c>
      <c r="H108" t="s">
        <v>53</v>
      </c>
      <c r="I108" t="s">
        <v>7</v>
      </c>
      <c r="J108" t="s">
        <v>35</v>
      </c>
      <c r="K108" t="s">
        <v>12</v>
      </c>
      <c r="L108" t="s">
        <v>32</v>
      </c>
      <c r="M108">
        <v>1</v>
      </c>
    </row>
    <row r="109" spans="1:13" x14ac:dyDescent="0.25">
      <c r="A109" s="2">
        <v>46272</v>
      </c>
      <c r="B109" s="1" t="str">
        <f ca="1">IF(Información1[[#This Row],[Fecha]]='Ajuste de fechas'!$A$2,"Día actual","Día anterior")</f>
        <v>Día actual</v>
      </c>
      <c r="C109" t="s">
        <v>8</v>
      </c>
      <c r="D109" t="s">
        <v>10</v>
      </c>
      <c r="E109" t="s">
        <v>258</v>
      </c>
      <c r="F109" t="s">
        <v>6</v>
      </c>
      <c r="G109" t="s">
        <v>252</v>
      </c>
      <c r="H109" t="s">
        <v>53</v>
      </c>
      <c r="I109" t="s">
        <v>7</v>
      </c>
      <c r="J109" t="s">
        <v>31</v>
      </c>
      <c r="K109" t="s">
        <v>9</v>
      </c>
      <c r="L109" t="s">
        <v>33</v>
      </c>
      <c r="M109">
        <v>1</v>
      </c>
    </row>
    <row r="110" spans="1:13" x14ac:dyDescent="0.25">
      <c r="A110" s="2">
        <v>46272</v>
      </c>
      <c r="B110" s="1" t="str">
        <f ca="1">IF(Información1[[#This Row],[Fecha]]='Ajuste de fechas'!$A$2,"Día actual","Día anterior")</f>
        <v>Día actual</v>
      </c>
      <c r="C110" t="s">
        <v>8</v>
      </c>
      <c r="D110" t="s">
        <v>10</v>
      </c>
      <c r="E110" t="s">
        <v>259</v>
      </c>
      <c r="F110" t="s">
        <v>87</v>
      </c>
      <c r="G110" t="s">
        <v>97</v>
      </c>
      <c r="H110" t="s">
        <v>53</v>
      </c>
      <c r="I110" t="s">
        <v>7</v>
      </c>
      <c r="J110" t="s">
        <v>31</v>
      </c>
      <c r="K110" t="s">
        <v>12</v>
      </c>
      <c r="L110" t="s">
        <v>32</v>
      </c>
      <c r="M110">
        <v>1</v>
      </c>
    </row>
    <row r="111" spans="1:13" x14ac:dyDescent="0.25">
      <c r="A111" s="2">
        <v>46272</v>
      </c>
      <c r="B111" s="1" t="str">
        <f ca="1">IF(Información1[[#This Row],[Fecha]]='Ajuste de fechas'!$A$2,"Día actual","Día anterior")</f>
        <v>Día actual</v>
      </c>
      <c r="C111" t="s">
        <v>8</v>
      </c>
      <c r="D111" t="s">
        <v>10</v>
      </c>
      <c r="E111" t="s">
        <v>260</v>
      </c>
      <c r="F111" t="s">
        <v>44</v>
      </c>
      <c r="G111" t="s">
        <v>52</v>
      </c>
      <c r="H111" t="s">
        <v>53</v>
      </c>
      <c r="I111" t="s">
        <v>7</v>
      </c>
      <c r="J111" t="s">
        <v>31</v>
      </c>
      <c r="K111" t="s">
        <v>12</v>
      </c>
      <c r="L111" t="s">
        <v>34</v>
      </c>
      <c r="M111">
        <v>1</v>
      </c>
    </row>
    <row r="112" spans="1:13" x14ac:dyDescent="0.25">
      <c r="A112" s="2">
        <v>46272</v>
      </c>
      <c r="B112" s="1" t="str">
        <f ca="1">IF(Información1[[#This Row],[Fecha]]='Ajuste de fechas'!$A$2,"Día actual","Día anterior")</f>
        <v>Día actual</v>
      </c>
      <c r="C112" t="s">
        <v>8</v>
      </c>
      <c r="D112" t="s">
        <v>10</v>
      </c>
      <c r="E112" t="s">
        <v>191</v>
      </c>
      <c r="F112" t="s">
        <v>47</v>
      </c>
      <c r="G112" t="s">
        <v>52</v>
      </c>
      <c r="H112" t="s">
        <v>53</v>
      </c>
      <c r="I112" t="s">
        <v>7</v>
      </c>
      <c r="J112" t="s">
        <v>31</v>
      </c>
      <c r="K112" t="s">
        <v>12</v>
      </c>
      <c r="L112" t="s">
        <v>34</v>
      </c>
      <c r="M112">
        <v>1</v>
      </c>
    </row>
    <row r="113" spans="1:13" x14ac:dyDescent="0.25">
      <c r="A113" s="2">
        <v>46272</v>
      </c>
      <c r="B113" s="1" t="str">
        <f ca="1">IF(Información1[[#This Row],[Fecha]]='Ajuste de fechas'!$A$2,"Día actual","Día anterior")</f>
        <v>Día actual</v>
      </c>
      <c r="C113" t="s">
        <v>8</v>
      </c>
      <c r="D113" t="s">
        <v>10</v>
      </c>
      <c r="E113" t="s">
        <v>261</v>
      </c>
      <c r="F113" t="s">
        <v>23</v>
      </c>
      <c r="G113" t="s">
        <v>52</v>
      </c>
      <c r="H113" t="s">
        <v>53</v>
      </c>
      <c r="I113" t="s">
        <v>7</v>
      </c>
      <c r="J113" t="s">
        <v>31</v>
      </c>
      <c r="K113" t="s">
        <v>12</v>
      </c>
      <c r="L113" t="s">
        <v>32</v>
      </c>
      <c r="M113">
        <v>1</v>
      </c>
    </row>
    <row r="114" spans="1:13" x14ac:dyDescent="0.25">
      <c r="A114" s="2">
        <v>46272</v>
      </c>
      <c r="B114" s="1" t="str">
        <f ca="1">IF(Información1[[#This Row],[Fecha]]='Ajuste de fechas'!$A$2,"Día actual","Día anterior")</f>
        <v>Día actual</v>
      </c>
      <c r="C114" t="s">
        <v>8</v>
      </c>
      <c r="D114" t="s">
        <v>10</v>
      </c>
      <c r="E114" t="s">
        <v>262</v>
      </c>
      <c r="F114" t="s">
        <v>50</v>
      </c>
      <c r="G114" t="s">
        <v>263</v>
      </c>
      <c r="H114" t="s">
        <v>53</v>
      </c>
      <c r="I114" t="s">
        <v>7</v>
      </c>
      <c r="J114" t="s">
        <v>31</v>
      </c>
      <c r="K114" t="s">
        <v>12</v>
      </c>
      <c r="L114" t="s">
        <v>32</v>
      </c>
      <c r="M114">
        <v>1</v>
      </c>
    </row>
    <row r="115" spans="1:13" x14ac:dyDescent="0.25">
      <c r="A115" s="2">
        <v>46272</v>
      </c>
      <c r="B115" s="1" t="str">
        <f ca="1">IF(Información1[[#This Row],[Fecha]]='Ajuste de fechas'!$A$2,"Día actual","Día anterior")</f>
        <v>Día actual</v>
      </c>
      <c r="C115" t="s">
        <v>8</v>
      </c>
      <c r="D115" t="s">
        <v>10</v>
      </c>
      <c r="E115" t="s">
        <v>17</v>
      </c>
      <c r="F115" t="s">
        <v>16</v>
      </c>
      <c r="G115" t="s">
        <v>24</v>
      </c>
      <c r="H115" t="s">
        <v>53</v>
      </c>
      <c r="I115" t="s">
        <v>11</v>
      </c>
      <c r="J115" t="s">
        <v>35</v>
      </c>
      <c r="K115" t="s">
        <v>12</v>
      </c>
      <c r="L115" t="s">
        <v>33</v>
      </c>
      <c r="M115">
        <v>1</v>
      </c>
    </row>
    <row r="116" spans="1:13" x14ac:dyDescent="0.25">
      <c r="A116" s="2">
        <v>46272</v>
      </c>
      <c r="B116" s="1" t="str">
        <f ca="1">IF(Información1[[#This Row],[Fecha]]='Ajuste de fechas'!$A$2,"Día actual","Día anterior")</f>
        <v>Día actual</v>
      </c>
      <c r="C116" t="s">
        <v>8</v>
      </c>
      <c r="D116" t="s">
        <v>10</v>
      </c>
      <c r="E116" t="s">
        <v>15</v>
      </c>
      <c r="F116" t="s">
        <v>16</v>
      </c>
      <c r="G116" t="s">
        <v>24</v>
      </c>
      <c r="H116" t="s">
        <v>53</v>
      </c>
      <c r="I116" t="s">
        <v>11</v>
      </c>
      <c r="J116" t="s">
        <v>35</v>
      </c>
      <c r="K116" t="s">
        <v>12</v>
      </c>
      <c r="L116" t="s">
        <v>33</v>
      </c>
      <c r="M116">
        <v>1</v>
      </c>
    </row>
    <row r="117" spans="1:13" x14ac:dyDescent="0.25">
      <c r="A117" s="2">
        <v>46272</v>
      </c>
      <c r="B117" s="1" t="str">
        <f ca="1">IF(Información1[[#This Row],[Fecha]]='Ajuste de fechas'!$A$2,"Día actual","Día anterior")</f>
        <v>Día actual</v>
      </c>
      <c r="C117" t="s">
        <v>8</v>
      </c>
      <c r="D117" t="s">
        <v>10</v>
      </c>
      <c r="E117" t="s">
        <v>43</v>
      </c>
      <c r="F117" t="s">
        <v>41</v>
      </c>
      <c r="G117" t="s">
        <v>24</v>
      </c>
      <c r="H117" t="s">
        <v>53</v>
      </c>
      <c r="I117" t="s">
        <v>11</v>
      </c>
      <c r="J117" t="s">
        <v>21</v>
      </c>
      <c r="K117" t="s">
        <v>12</v>
      </c>
      <c r="L117" t="s">
        <v>33</v>
      </c>
      <c r="M117">
        <v>1</v>
      </c>
    </row>
    <row r="118" spans="1:13" x14ac:dyDescent="0.25">
      <c r="A118" s="2">
        <v>46272</v>
      </c>
      <c r="B118" s="1" t="str">
        <f ca="1">IF(Información1[[#This Row],[Fecha]]='Ajuste de fechas'!$A$2,"Día actual","Día anterior")</f>
        <v>Día actual</v>
      </c>
      <c r="C118" t="s">
        <v>8</v>
      </c>
      <c r="D118" t="s">
        <v>10</v>
      </c>
      <c r="E118" t="s">
        <v>48</v>
      </c>
      <c r="F118" t="s">
        <v>47</v>
      </c>
      <c r="G118" t="s">
        <v>24</v>
      </c>
      <c r="H118" t="s">
        <v>53</v>
      </c>
      <c r="I118" t="s">
        <v>11</v>
      </c>
      <c r="J118" t="s">
        <v>31</v>
      </c>
      <c r="K118" t="s">
        <v>12</v>
      </c>
      <c r="L118" t="s">
        <v>33</v>
      </c>
      <c r="M118">
        <v>1</v>
      </c>
    </row>
    <row r="119" spans="1:13" x14ac:dyDescent="0.25">
      <c r="A119" s="2">
        <v>46272</v>
      </c>
      <c r="B119" s="1" t="str">
        <f ca="1">IF(Información1[[#This Row],[Fecha]]='Ajuste de fechas'!$A$2,"Día actual","Día anterior")</f>
        <v>Día actual</v>
      </c>
      <c r="C119" t="s">
        <v>8</v>
      </c>
      <c r="D119" t="s">
        <v>10</v>
      </c>
      <c r="E119" t="s">
        <v>46</v>
      </c>
      <c r="F119" t="s">
        <v>18</v>
      </c>
      <c r="G119" t="s">
        <v>24</v>
      </c>
      <c r="H119" t="s">
        <v>53</v>
      </c>
      <c r="I119" t="s">
        <v>11</v>
      </c>
      <c r="J119" t="s">
        <v>31</v>
      </c>
      <c r="K119" t="s">
        <v>12</v>
      </c>
      <c r="L119" t="s">
        <v>33</v>
      </c>
      <c r="M119">
        <v>1</v>
      </c>
    </row>
    <row r="120" spans="1:13" x14ac:dyDescent="0.25">
      <c r="A120" s="2">
        <v>46272</v>
      </c>
      <c r="B120" s="1" t="str">
        <f ca="1">IF(Información1[[#This Row],[Fecha]]='Ajuste de fechas'!$A$2,"Día actual","Día anterior")</f>
        <v>Día actual</v>
      </c>
      <c r="C120" t="s">
        <v>8</v>
      </c>
      <c r="D120" t="s">
        <v>10</v>
      </c>
      <c r="E120" t="s">
        <v>13</v>
      </c>
      <c r="F120" t="s">
        <v>14</v>
      </c>
      <c r="G120" t="s">
        <v>24</v>
      </c>
      <c r="H120" t="s">
        <v>53</v>
      </c>
      <c r="I120" t="s">
        <v>11</v>
      </c>
      <c r="J120" t="s">
        <v>31</v>
      </c>
      <c r="K120" t="s">
        <v>12</v>
      </c>
      <c r="L120" t="s">
        <v>33</v>
      </c>
      <c r="M120">
        <v>1</v>
      </c>
    </row>
    <row r="121" spans="1:13" x14ac:dyDescent="0.25">
      <c r="A121" s="2">
        <v>46272</v>
      </c>
      <c r="B121" s="1" t="str">
        <f ca="1">IF(Información1[[#This Row],[Fecha]]='Ajuste de fechas'!$A$2,"Día actual","Día anterior")</f>
        <v>Día actual</v>
      </c>
      <c r="C121" t="s">
        <v>8</v>
      </c>
      <c r="D121" t="s">
        <v>10</v>
      </c>
      <c r="E121" t="s">
        <v>40</v>
      </c>
      <c r="F121" t="s">
        <v>6</v>
      </c>
      <c r="G121" t="s">
        <v>24</v>
      </c>
      <c r="H121" t="s">
        <v>53</v>
      </c>
      <c r="I121" t="s">
        <v>11</v>
      </c>
      <c r="J121" t="s">
        <v>31</v>
      </c>
      <c r="K121" t="s">
        <v>12</v>
      </c>
      <c r="L121" t="s">
        <v>33</v>
      </c>
      <c r="M121">
        <v>1</v>
      </c>
    </row>
    <row r="122" spans="1:13" x14ac:dyDescent="0.25">
      <c r="A122" s="2">
        <v>46272</v>
      </c>
      <c r="B122" s="1" t="str">
        <f ca="1">IF(Información1[[#This Row],[Fecha]]='Ajuste de fechas'!$A$2,"Día actual","Día anterior")</f>
        <v>Día actual</v>
      </c>
      <c r="C122" t="s">
        <v>54</v>
      </c>
      <c r="D122" t="s">
        <v>90</v>
      </c>
      <c r="E122" t="s">
        <v>188</v>
      </c>
      <c r="F122" t="s">
        <v>18</v>
      </c>
      <c r="G122" t="s">
        <v>52</v>
      </c>
      <c r="H122" t="s">
        <v>53</v>
      </c>
      <c r="I122" t="s">
        <v>7</v>
      </c>
      <c r="J122" t="s">
        <v>31</v>
      </c>
      <c r="K122" t="s">
        <v>56</v>
      </c>
      <c r="L122" t="s">
        <v>34</v>
      </c>
      <c r="M122">
        <v>1</v>
      </c>
    </row>
    <row r="123" spans="1:13" x14ac:dyDescent="0.25">
      <c r="A123" s="2">
        <v>46272</v>
      </c>
      <c r="B123" s="1" t="str">
        <f ca="1">IF(Información1[[#This Row],[Fecha]]='Ajuste de fechas'!$A$2,"Día actual","Día anterior")</f>
        <v>Día actual</v>
      </c>
      <c r="C123" t="s">
        <v>54</v>
      </c>
      <c r="D123" t="s">
        <v>90</v>
      </c>
      <c r="E123" t="s">
        <v>264</v>
      </c>
      <c r="F123" t="s">
        <v>18</v>
      </c>
      <c r="G123" t="s">
        <v>265</v>
      </c>
      <c r="H123" t="s">
        <v>53</v>
      </c>
      <c r="I123" t="s">
        <v>7</v>
      </c>
      <c r="J123" t="s">
        <v>31</v>
      </c>
      <c r="K123" t="s">
        <v>56</v>
      </c>
      <c r="L123" t="s">
        <v>34</v>
      </c>
      <c r="M123">
        <v>1</v>
      </c>
    </row>
    <row r="124" spans="1:13" x14ac:dyDescent="0.25">
      <c r="A124" s="2">
        <v>46272</v>
      </c>
      <c r="B124" s="1" t="str">
        <f ca="1">IF(Información1[[#This Row],[Fecha]]='Ajuste de fechas'!$A$2,"Día actual","Día anterior")</f>
        <v>Día actual</v>
      </c>
      <c r="C124" t="s">
        <v>54</v>
      </c>
      <c r="D124" t="s">
        <v>90</v>
      </c>
      <c r="E124" t="s">
        <v>266</v>
      </c>
      <c r="F124" t="s">
        <v>16</v>
      </c>
      <c r="G124" t="s">
        <v>267</v>
      </c>
      <c r="H124" t="s">
        <v>53</v>
      </c>
      <c r="I124" t="s">
        <v>22</v>
      </c>
      <c r="J124" t="s">
        <v>35</v>
      </c>
      <c r="K124" t="s">
        <v>56</v>
      </c>
      <c r="L124" t="s">
        <v>32</v>
      </c>
      <c r="M124">
        <v>1</v>
      </c>
    </row>
    <row r="125" spans="1:13" x14ac:dyDescent="0.25">
      <c r="A125" s="2">
        <v>46272</v>
      </c>
      <c r="B125" s="1" t="str">
        <f ca="1">IF(Información1[[#This Row],[Fecha]]='Ajuste de fechas'!$A$2,"Día actual","Día anterior")</f>
        <v>Día actual</v>
      </c>
      <c r="C125" t="s">
        <v>54</v>
      </c>
      <c r="D125" t="s">
        <v>90</v>
      </c>
      <c r="E125" t="s">
        <v>268</v>
      </c>
      <c r="F125" t="s">
        <v>16</v>
      </c>
      <c r="G125" t="s">
        <v>269</v>
      </c>
      <c r="H125" t="s">
        <v>53</v>
      </c>
      <c r="I125" t="s">
        <v>7</v>
      </c>
      <c r="J125" t="s">
        <v>35</v>
      </c>
      <c r="K125" t="s">
        <v>56</v>
      </c>
      <c r="L125" t="s">
        <v>32</v>
      </c>
      <c r="M125">
        <v>1</v>
      </c>
    </row>
    <row r="126" spans="1:13" x14ac:dyDescent="0.25">
      <c r="A126" s="2">
        <v>46272</v>
      </c>
      <c r="B126" s="1" t="str">
        <f ca="1">IF(Información1[[#This Row],[Fecha]]='Ajuste de fechas'!$A$2,"Día actual","Día anterior")</f>
        <v>Día actual</v>
      </c>
      <c r="C126" t="s">
        <v>54</v>
      </c>
      <c r="D126" t="s">
        <v>90</v>
      </c>
      <c r="E126" t="s">
        <v>270</v>
      </c>
      <c r="F126" t="s">
        <v>66</v>
      </c>
      <c r="G126" t="s">
        <v>271</v>
      </c>
      <c r="H126" t="s">
        <v>53</v>
      </c>
      <c r="I126" t="s">
        <v>7</v>
      </c>
      <c r="J126" t="s">
        <v>31</v>
      </c>
      <c r="K126" t="s">
        <v>56</v>
      </c>
      <c r="L126" t="s">
        <v>32</v>
      </c>
      <c r="M126">
        <v>1</v>
      </c>
    </row>
    <row r="127" spans="1:13" x14ac:dyDescent="0.25">
      <c r="A127" s="2">
        <v>46272</v>
      </c>
      <c r="B127" s="1" t="str">
        <f ca="1">IF(Información1[[#This Row],[Fecha]]='Ajuste de fechas'!$A$2,"Día actual","Día anterior")</f>
        <v>Día actual</v>
      </c>
      <c r="C127" t="s">
        <v>92</v>
      </c>
      <c r="D127" t="s">
        <v>93</v>
      </c>
      <c r="E127" t="s">
        <v>272</v>
      </c>
      <c r="F127" t="s">
        <v>50</v>
      </c>
      <c r="G127" t="s">
        <v>239</v>
      </c>
      <c r="H127" t="s">
        <v>53</v>
      </c>
      <c r="I127" t="s">
        <v>11</v>
      </c>
      <c r="J127" t="s">
        <v>31</v>
      </c>
      <c r="K127" t="s">
        <v>94</v>
      </c>
      <c r="L127" t="s">
        <v>34</v>
      </c>
      <c r="M127">
        <v>1</v>
      </c>
    </row>
    <row r="128" spans="1:13" x14ac:dyDescent="0.25">
      <c r="A128" s="2">
        <v>46272</v>
      </c>
      <c r="B128" s="1" t="str">
        <f ca="1">IF(Información1[[#This Row],[Fecha]]='Ajuste de fechas'!$A$2,"Día actual","Día anterior")</f>
        <v>Día actual</v>
      </c>
      <c r="C128" t="s">
        <v>92</v>
      </c>
      <c r="D128" t="s">
        <v>93</v>
      </c>
      <c r="E128" t="s">
        <v>273</v>
      </c>
      <c r="F128" t="s">
        <v>6</v>
      </c>
      <c r="G128" t="s">
        <v>52</v>
      </c>
      <c r="H128" t="s">
        <v>53</v>
      </c>
      <c r="I128" t="s">
        <v>11</v>
      </c>
      <c r="J128" t="s">
        <v>31</v>
      </c>
      <c r="K128" t="s">
        <v>94</v>
      </c>
      <c r="L128" t="s">
        <v>34</v>
      </c>
      <c r="M128">
        <v>1</v>
      </c>
    </row>
    <row r="129" spans="1:13" x14ac:dyDescent="0.25">
      <c r="A129" s="2">
        <v>46272</v>
      </c>
      <c r="B129" s="1" t="str">
        <f ca="1">IF(Información1[[#This Row],[Fecha]]='Ajuste de fechas'!$A$2,"Día actual","Día anterior")</f>
        <v>Día actual</v>
      </c>
      <c r="C129" t="s">
        <v>92</v>
      </c>
      <c r="D129" t="s">
        <v>93</v>
      </c>
      <c r="E129" t="s">
        <v>274</v>
      </c>
      <c r="F129" t="s">
        <v>23</v>
      </c>
      <c r="G129" t="s">
        <v>52</v>
      </c>
      <c r="H129" t="s">
        <v>53</v>
      </c>
      <c r="I129" t="s">
        <v>11</v>
      </c>
      <c r="J129" t="s">
        <v>31</v>
      </c>
      <c r="K129" t="s">
        <v>94</v>
      </c>
      <c r="L129" t="s">
        <v>33</v>
      </c>
      <c r="M129">
        <v>1</v>
      </c>
    </row>
    <row r="130" spans="1:13" x14ac:dyDescent="0.25">
      <c r="A130" s="2">
        <v>46272</v>
      </c>
      <c r="B130" s="1" t="str">
        <f ca="1">IF(Información1[[#This Row],[Fecha]]='Ajuste de fechas'!$A$2,"Día actual","Día anterior")</f>
        <v>Día actual</v>
      </c>
      <c r="C130" t="s">
        <v>92</v>
      </c>
      <c r="D130" t="s">
        <v>93</v>
      </c>
      <c r="E130" t="s">
        <v>275</v>
      </c>
      <c r="F130" t="s">
        <v>151</v>
      </c>
      <c r="G130" t="s">
        <v>241</v>
      </c>
      <c r="H130" t="s">
        <v>53</v>
      </c>
      <c r="I130" t="s">
        <v>7</v>
      </c>
      <c r="J130" t="s">
        <v>31</v>
      </c>
      <c r="K130" t="s">
        <v>94</v>
      </c>
      <c r="L130" t="s">
        <v>34</v>
      </c>
      <c r="M130">
        <v>1</v>
      </c>
    </row>
    <row r="131" spans="1:13" x14ac:dyDescent="0.25">
      <c r="A131" s="2">
        <v>46272</v>
      </c>
      <c r="B131" s="1" t="str">
        <f ca="1">IF(Información1[[#This Row],[Fecha]]='Ajuste de fechas'!$A$2,"Día actual","Día anterior")</f>
        <v>Día actual</v>
      </c>
      <c r="C131" t="s">
        <v>54</v>
      </c>
      <c r="D131" t="s">
        <v>55</v>
      </c>
      <c r="E131" t="s">
        <v>276</v>
      </c>
      <c r="F131" t="s">
        <v>23</v>
      </c>
      <c r="G131" t="s">
        <v>209</v>
      </c>
      <c r="H131" t="s">
        <v>53</v>
      </c>
      <c r="I131" t="s">
        <v>11</v>
      </c>
      <c r="J131" t="s">
        <v>31</v>
      </c>
      <c r="K131" t="s">
        <v>57</v>
      </c>
      <c r="L131" t="s">
        <v>32</v>
      </c>
      <c r="M131">
        <v>1</v>
      </c>
    </row>
    <row r="132" spans="1:13" x14ac:dyDescent="0.25">
      <c r="A132" s="2">
        <v>46272</v>
      </c>
      <c r="B132" s="1" t="str">
        <f ca="1">IF(Información1[[#This Row],[Fecha]]='Ajuste de fechas'!$A$2,"Día actual","Día anterior")</f>
        <v>Día actual</v>
      </c>
      <c r="C132" t="s">
        <v>54</v>
      </c>
      <c r="D132" t="s">
        <v>55</v>
      </c>
      <c r="E132" t="s">
        <v>277</v>
      </c>
      <c r="F132" t="s">
        <v>21</v>
      </c>
      <c r="G132" t="s">
        <v>278</v>
      </c>
      <c r="H132" t="s">
        <v>53</v>
      </c>
      <c r="I132" t="s">
        <v>7</v>
      </c>
      <c r="J132" t="s">
        <v>21</v>
      </c>
      <c r="K132" t="s">
        <v>56</v>
      </c>
      <c r="L132" t="s">
        <v>42</v>
      </c>
      <c r="M132">
        <v>1</v>
      </c>
    </row>
    <row r="133" spans="1:13" x14ac:dyDescent="0.25">
      <c r="A133" s="2">
        <v>46272</v>
      </c>
      <c r="B133" s="1" t="str">
        <f ca="1">IF(Información1[[#This Row],[Fecha]]='Ajuste de fechas'!$A$2,"Día actual","Día anterior")</f>
        <v>Día actual</v>
      </c>
      <c r="C133" t="s">
        <v>54</v>
      </c>
      <c r="D133" t="s">
        <v>55</v>
      </c>
      <c r="E133" t="s">
        <v>279</v>
      </c>
      <c r="F133" t="s">
        <v>101</v>
      </c>
      <c r="G133" t="s">
        <v>209</v>
      </c>
      <c r="H133" t="s">
        <v>53</v>
      </c>
      <c r="I133" t="s">
        <v>7</v>
      </c>
      <c r="J133" t="s">
        <v>31</v>
      </c>
      <c r="K133" t="s">
        <v>57</v>
      </c>
      <c r="L133" t="s">
        <v>32</v>
      </c>
      <c r="M133">
        <v>1</v>
      </c>
    </row>
    <row r="134" spans="1:13" x14ac:dyDescent="0.25">
      <c r="A134" s="2">
        <v>46272</v>
      </c>
      <c r="B134" s="1" t="str">
        <f ca="1">IF(Información1[[#This Row],[Fecha]]='Ajuste de fechas'!$A$2,"Día actual","Día anterior")</f>
        <v>Día actual</v>
      </c>
      <c r="C134" t="s">
        <v>54</v>
      </c>
      <c r="D134" t="s">
        <v>55</v>
      </c>
      <c r="E134" t="s">
        <v>280</v>
      </c>
      <c r="F134" t="s">
        <v>6</v>
      </c>
      <c r="G134" t="s">
        <v>209</v>
      </c>
      <c r="H134" t="s">
        <v>53</v>
      </c>
      <c r="I134" t="s">
        <v>7</v>
      </c>
      <c r="J134" t="s">
        <v>31</v>
      </c>
      <c r="K134" t="s">
        <v>57</v>
      </c>
      <c r="L134" t="s">
        <v>32</v>
      </c>
      <c r="M134">
        <v>1</v>
      </c>
    </row>
    <row r="135" spans="1:13" x14ac:dyDescent="0.25">
      <c r="A135" s="2">
        <v>46272</v>
      </c>
      <c r="B135" s="1" t="str">
        <f ca="1">IF(Información1[[#This Row],[Fecha]]='Ajuste de fechas'!$A$2,"Día actual","Día anterior")</f>
        <v>Día actual</v>
      </c>
      <c r="C135" t="s">
        <v>54</v>
      </c>
      <c r="D135" t="s">
        <v>55</v>
      </c>
      <c r="E135" t="s">
        <v>281</v>
      </c>
      <c r="F135" t="s">
        <v>282</v>
      </c>
      <c r="G135" t="s">
        <v>209</v>
      </c>
      <c r="H135" t="s">
        <v>53</v>
      </c>
      <c r="I135" t="s">
        <v>7</v>
      </c>
      <c r="J135" t="s">
        <v>31</v>
      </c>
      <c r="K135" t="s">
        <v>57</v>
      </c>
      <c r="L135" t="s">
        <v>32</v>
      </c>
      <c r="M135">
        <v>1</v>
      </c>
    </row>
    <row r="136" spans="1:13" x14ac:dyDescent="0.25">
      <c r="A136" s="2">
        <v>46272</v>
      </c>
      <c r="B136" s="1" t="str">
        <f ca="1">IF(Información1[[#This Row],[Fecha]]='Ajuste de fechas'!$A$2,"Día actual","Día anterior")</f>
        <v>Día actual</v>
      </c>
      <c r="C136" t="s">
        <v>54</v>
      </c>
      <c r="D136" t="s">
        <v>55</v>
      </c>
      <c r="E136" t="s">
        <v>283</v>
      </c>
      <c r="F136" t="s">
        <v>21</v>
      </c>
      <c r="G136" t="s">
        <v>99</v>
      </c>
      <c r="H136" t="s">
        <v>53</v>
      </c>
      <c r="I136" t="s">
        <v>7</v>
      </c>
      <c r="J136" t="s">
        <v>21</v>
      </c>
      <c r="K136" t="s">
        <v>57</v>
      </c>
      <c r="L136" t="s">
        <v>33</v>
      </c>
      <c r="M136">
        <v>1</v>
      </c>
    </row>
    <row r="137" spans="1:13" x14ac:dyDescent="0.25">
      <c r="A137" s="2">
        <v>46272</v>
      </c>
      <c r="B137" s="1" t="str">
        <f ca="1">IF(Información1[[#This Row],[Fecha]]='Ajuste de fechas'!$A$2,"Día actual","Día anterior")</f>
        <v>Día actual</v>
      </c>
      <c r="C137" t="s">
        <v>54</v>
      </c>
      <c r="D137" t="s">
        <v>55</v>
      </c>
      <c r="E137" t="s">
        <v>284</v>
      </c>
      <c r="F137" t="s">
        <v>16</v>
      </c>
      <c r="G137" t="s">
        <v>160</v>
      </c>
      <c r="H137" t="s">
        <v>53</v>
      </c>
      <c r="I137" t="s">
        <v>7</v>
      </c>
      <c r="J137" t="s">
        <v>35</v>
      </c>
      <c r="K137" t="s">
        <v>56</v>
      </c>
      <c r="L137" t="s">
        <v>32</v>
      </c>
      <c r="M137">
        <v>1</v>
      </c>
    </row>
    <row r="138" spans="1:13" x14ac:dyDescent="0.25">
      <c r="A138" s="2">
        <v>46272</v>
      </c>
      <c r="B138" s="1" t="str">
        <f ca="1">IF(Información1[[#This Row],[Fecha]]='Ajuste de fechas'!$A$2,"Día actual","Día anterior")</f>
        <v>Día actual</v>
      </c>
      <c r="C138" t="s">
        <v>54</v>
      </c>
      <c r="D138" t="s">
        <v>55</v>
      </c>
      <c r="E138" t="s">
        <v>285</v>
      </c>
      <c r="F138" t="s">
        <v>96</v>
      </c>
      <c r="G138" t="s">
        <v>209</v>
      </c>
      <c r="H138" t="s">
        <v>53</v>
      </c>
      <c r="I138" t="s">
        <v>7</v>
      </c>
      <c r="J138" t="s">
        <v>31</v>
      </c>
      <c r="K138" t="s">
        <v>57</v>
      </c>
      <c r="L138" t="s">
        <v>32</v>
      </c>
      <c r="M138">
        <v>1</v>
      </c>
    </row>
    <row r="139" spans="1:13" x14ac:dyDescent="0.25">
      <c r="A139" s="2">
        <v>46272</v>
      </c>
      <c r="B139" s="1" t="str">
        <f ca="1">IF(Información1[[#This Row],[Fecha]]='Ajuste de fechas'!$A$2,"Día actual","Día anterior")</f>
        <v>Día actual</v>
      </c>
      <c r="C139" t="s">
        <v>54</v>
      </c>
      <c r="D139" t="s">
        <v>55</v>
      </c>
      <c r="E139" t="s">
        <v>286</v>
      </c>
      <c r="F139" t="s">
        <v>51</v>
      </c>
      <c r="G139" t="s">
        <v>287</v>
      </c>
      <c r="H139" t="s">
        <v>53</v>
      </c>
      <c r="I139" t="s">
        <v>11</v>
      </c>
      <c r="J139" t="s">
        <v>31</v>
      </c>
      <c r="K139" t="s">
        <v>57</v>
      </c>
      <c r="L139" t="s">
        <v>32</v>
      </c>
      <c r="M139">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38</v>
      </c>
      <c r="B1" t="s">
        <v>39</v>
      </c>
    </row>
    <row r="2" spans="1:2" x14ac:dyDescent="0.25">
      <c r="A2" s="2">
        <f ca="1">TODAY()</f>
        <v>46272</v>
      </c>
      <c r="B2" s="2">
        <f ca="1">A2-1</f>
        <v>46271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2026-09-07T22:05:38Z</dcterms:modified>
</cp:coreProperties>
</file>