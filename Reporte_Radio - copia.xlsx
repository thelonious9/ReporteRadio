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EDC76E66-6157-4599-8327-72C24D805671}"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94" i="2"/>
  <c r="B96" i="2"/>
  <c r="B98" i="2"/>
  <c r="B100" i="2"/>
  <c r="B102" i="2"/>
  <c r="B104" i="2"/>
  <c r="B107" i="2"/>
  <c r="B109" i="2"/>
  <c r="B111" i="2"/>
  <c r="B113" i="2"/>
  <c r="B115" i="2"/>
  <c r="B116" i="2"/>
  <c r="B119" i="2"/>
  <c r="B121" i="2"/>
  <c r="B123" i="2"/>
  <c r="B125" i="2"/>
  <c r="B127" i="2"/>
  <c r="B129" i="2"/>
  <c r="B131" i="2"/>
  <c r="B133" i="2"/>
  <c r="B135" i="2"/>
  <c r="B137" i="2"/>
  <c r="B139" i="2"/>
  <c r="B140" i="2"/>
  <c r="B142" i="2"/>
  <c r="B145" i="2"/>
  <c r="B147" i="2"/>
  <c r="B149" i="2"/>
  <c r="B151" i="2"/>
  <c r="B153" i="2"/>
  <c r="B155" i="2"/>
  <c r="B157" i="2"/>
  <c r="B159" i="2"/>
  <c r="B161" i="2"/>
  <c r="B163" i="2"/>
  <c r="B165" i="2"/>
  <c r="B167" i="2"/>
  <c r="B169" i="2"/>
  <c r="B171" i="2"/>
  <c r="B173" i="2"/>
  <c r="B183"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5" i="2"/>
  <c r="B97" i="2"/>
  <c r="B99" i="2"/>
  <c r="B101" i="2"/>
  <c r="B103" i="2"/>
  <c r="B105" i="2"/>
  <c r="B106" i="2"/>
  <c r="B108" i="2"/>
  <c r="B110" i="2"/>
  <c r="B112" i="2"/>
  <c r="B114" i="2"/>
  <c r="B117" i="2"/>
  <c r="B118" i="2"/>
  <c r="B120" i="2"/>
  <c r="B122" i="2"/>
  <c r="B124" i="2"/>
  <c r="B126" i="2"/>
  <c r="B128" i="2"/>
  <c r="B130" i="2"/>
  <c r="B132" i="2"/>
  <c r="B134" i="2"/>
  <c r="B136" i="2"/>
  <c r="B138" i="2"/>
  <c r="B141" i="2"/>
  <c r="B143" i="2"/>
  <c r="B144" i="2"/>
  <c r="B146" i="2"/>
  <c r="B148" i="2"/>
  <c r="B150" i="2"/>
  <c r="B152" i="2"/>
  <c r="B154" i="2"/>
  <c r="B156" i="2"/>
  <c r="B158" i="2"/>
  <c r="B160" i="2"/>
  <c r="B162" i="2"/>
  <c r="B164" i="2"/>
  <c r="B166" i="2"/>
  <c r="B168" i="2"/>
  <c r="B170" i="2"/>
  <c r="B172" i="2"/>
  <c r="B174" i="2"/>
  <c r="B175" i="2"/>
  <c r="B176" i="2"/>
  <c r="B177" i="2"/>
  <c r="B178" i="2"/>
  <c r="B179" i="2"/>
  <c r="B180" i="2"/>
  <c r="B181" i="2"/>
  <c r="B182" i="2"/>
  <c r="B184"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<sst xmlns="http://schemas.openxmlformats.org/spreadsheetml/2006/main" count="1845" uniqueCount="316">
  <si>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</si>
  <si>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</si>
  <si>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</si>
  <si>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</si>
  <si>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</si>
  <si>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</si>
  <si>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</si>
  <si>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</si>
  <si>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</si>
  <si>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</si>
  <si>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</si>
  <si>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</si>
  <si>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</si>
  <si>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</si>
  <si>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</si>
  <si>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</si>
  <si>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</si>
  <si>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</si>
  <si>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</si>
  <si>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</si>
  <si>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</si>
  <si>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</si>
  <si>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</si>
  <si>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</si>
  <si>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</si>
  <si>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</si>
  <si>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</si>
  <si>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</si>
  <si>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</si>
  <si>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</si>
  <si>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</si>
  <si>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</si>
  <si>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</si>
  <si>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</si>
  <si>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</si>
  <si>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</si>
  <si>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</si>
  <si>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</si>
  <si>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</si>
  <si>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</si>
  <si>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</si>
  <si>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</si>
  <si>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</si>
  <si>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</si>
  <si>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</si>
  <si>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</si>
  <si>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</si>
  <si>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</si>
  <si>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</si>
  <si>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</si>
  <si>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</si>
  <si>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</si>
  <si>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</si>
  <si>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</si>
  <si>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</si>
  <si>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</si>
  <si>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</si>
  <si>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</si>
  <si>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Radiodifusoras</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</si>
  <si>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</si>
  <si>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</si>
  <si>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</si>
  <si>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</si>
  <si>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</si>
  <si>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</si>
  <si>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</si>
  <si>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</si>
  <si>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</si>
  <si>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OCSAD</t>
  </si>
  <si>
    <t>Fuga De Agua</t>
  </si>
  <si>
    <t>Eulalio Larrieta agradece a Carlos Gamiño por estar al pendiente de temas</t>
  </si>
  <si>
    <t>TV Cable hidalguense Canal 6</t>
  </si>
  <si>
    <t>Contigo Noticias</t>
  </si>
  <si>
    <t>Turismo</t>
  </si>
  <si>
    <t>Queja transporte público</t>
  </si>
  <si>
    <t>La Poderosa Tuxpan 93.1 FM</t>
  </si>
  <si>
    <t>NN Nuestras Noticias Zona Norte</t>
  </si>
  <si>
    <t>Liz Argüelles</t>
  </si>
  <si>
    <t>Milton Cortés</t>
  </si>
  <si>
    <t>Vialidad En Mal Estado</t>
  </si>
  <si>
    <t>Irving Sánchez</t>
  </si>
  <si>
    <t>Reubicación de viviendas</t>
  </si>
  <si>
    <t>Justa Deportiva</t>
  </si>
  <si>
    <t>Entrevista</t>
  </si>
  <si>
    <t>Investigación académica</t>
  </si>
  <si>
    <t>SSH</t>
  </si>
  <si>
    <t>Queja padres de familia</t>
  </si>
  <si>
    <t>Abasto de agua</t>
  </si>
  <si>
    <t>Enfoque Regional Matutino</t>
  </si>
  <si>
    <t>Rodolfo López</t>
  </si>
  <si>
    <t>Participación</t>
  </si>
  <si>
    <t>Delegación</t>
  </si>
  <si>
    <t>Videovigilancia</t>
  </si>
  <si>
    <t>Donación De Órganos</t>
  </si>
  <si>
    <t>Plan Nacional De Vivienda</t>
  </si>
  <si>
    <t>Radio Lobo 96.7 FM</t>
  </si>
  <si>
    <t>Enlace Noticias</t>
  </si>
  <si>
    <t>Gina Lorenzo</t>
  </si>
  <si>
    <t>Huracán Priscilla</t>
  </si>
  <si>
    <t>Municipalización</t>
  </si>
  <si>
    <t>Curso de verano</t>
  </si>
  <si>
    <t>Infraestructura hospitalaria</t>
  </si>
  <si>
    <t>La Comisión Nacional de Vivienda (Conavi) habilitó módulos presenciales en cinco municipios de Hidalgo para registrar a personas interesadas en acceder al programa Vivienda para el Bienestar, dirigido principalmente a familias que no cuentan con casa propia ni tienen acceso a créditos del Infonavit, Fovissste u otra institución. Los puntos de atención se encuentran en Actopan, Mixquiahuala de Juárez, Huautla, Zapotlán de Juárez y Zempoala. Las personas interesadas deberán acudir al módulo que les corresponda con su documentación completa, debido a que la falta de alguno de los requisitos podría impedir que el trámite sea realizado.</t>
  </si>
  <si>
    <t>Fortalece SSH detección oportuna del TDAH con capacitación y coordinación interinstitucional</t>
  </si>
  <si>
    <t>Avanza la cuarta fase de la reconstrucción en Hidalgo con nuevas obras para recuperar infraestructura y servicios. (AUDIO ASG).</t>
  </si>
  <si>
    <t>Agenda gobernador</t>
  </si>
  <si>
    <t>Conectividad a internet</t>
  </si>
  <si>
    <t>Entrevista pautada</t>
  </si>
  <si>
    <t>Muerte en Cereso</t>
  </si>
  <si>
    <t>TSJEH</t>
  </si>
  <si>
    <t>Sentencia</t>
  </si>
  <si>
    <t>Reforma Electoral</t>
  </si>
  <si>
    <t>Rutas de la Reconstrucción</t>
  </si>
  <si>
    <t>Contraloría</t>
  </si>
  <si>
    <t>En procedimiento abreviado, la Fiscalía General de la República (FGR), en su representación en el estado de Hidalgo, obtuvo sentencia de 10 años de prisión, en contra de Rodolfo “N”, Marco “N”, Roberto “N”, José “N”, Ricardo “N”, Miguel “N”, Jonathan “N”, Iván “N”, Víctor “N” y Alberto “N”, acusados de haber cometido el delito de posesión ilícita de hidrocarburo. La Fiscalía Especializada de Control Regional (FECOR) inició las indagatorias por los hechos ocurridos en la localidad Teocalco, municipio de Tlaxcoapan, donde elementos de la Secretaría de la Defensa Nacional (Defensa) en coordinación con Guardia Nacional, detuvieron a Rodolfo “N”, Marco “N”, Roberto “N”, José “N”, Ricardo “N”, Miguel “N”, Jonathan “N”, Iván “N”, Víctor “N” y Alberto “N” en posesión de 70 mil litros de hidrocarburo. En el operativo, las autoridades también aseguraron 208 metros de manguera de alta presión, 13 vehículos, dos armas de fuego, tres cargadores, 31 cartuchos y ocho celulares, mismos que junto con las 10 personas detenidas, fueron puestos a disposición de la FGR en la entidad.</t>
  </si>
  <si>
    <t>Un tráiler terminó volcado cuando su operador intentó cruzar la pesada unidad sobre un tramo carretero totalmente inundado, y por tanto, con suelo inestable. Los hechos se registraron en la carretera intermunicipal Metztitlán–Eloxochitlán, a la altura de la comunidad de Hualula. De acuerdo con los primeros reportes, el conductor intentó el cruce, pero el peso del vehículo hizo que se atascara en el fango y, debido a la fuerza de la corriente, terminara volcando sobre uno de sus costados. Al lugar arribaron cuerpos de emergencia y personal de Protección Civil municipal para brindar los primeros auxilios al chofer y coordinar las maniobras de rescate del camión, el cual sufrió severos daños materiales tras ser parcialmente sumergido por la creciente de la laguna en la zona. No se reportan personas lesionadas de gravedad, aunque la circulación en dicho tramo se vio afectada mientras se realizaban las labores de extracción con grúas de gran capacidad.</t>
  </si>
  <si>
    <t>Una persona privada de la libertad perdió la vida al interior del Centro de Reinserción Social (Cereso) de Ixmiquilpan, hecho que ya es investigado por las autoridades para esclarecer las circunstancias en las que ocurrió. El interno fue identificado como Luis Antonio T.T., de 33 años de edad. De acuerdo con los primeros reportes, presentó un incidente dentro de su celda, por lo que personal del penal solicitó el apoyo de los servicios de emergencia. Paramédicos de la Cruz Roja Mexicana, delegación Ixmiquilpan, acudieron al centro penitenciario para brindarle atención médica; sin embargo, tras valorarlo confirmaron que ya no contaba con signos vitales. Hasta el momento, las autoridades no han dado a conocer la causa oficial del fallecimiento ni si el deceso estuvo relacionado con algún padecimiento, accidente u otra circunstancia. Se espera que las investigaciones y los dictámenes periciales permitan establecer cómo ocurrieron los hechos y determinar las causas de la muerte del interno.</t>
  </si>
  <si>
    <t>En el marco de la Décima Octava Sesión Pública Ordinaria, el Ayuntamiento de Tulancingo aprobó destinar hasta 4 millones 750 mil pesos para la adquisición de cuatro drones con sus respectivos accesorios, con el propósito de fortalecer las labores del Centro de Atención en Seguridad, Videovigilancia Inteligente y Monitoreo Policial (CASVIMP). Asimismo, el órgano colegiado aprobó la primera modificación al Presupuesto de Egresos del Ejercicio Fiscal 2026, mediante la incorporación de 50 millones de pesos al presupuesto anual autorizado, que pasa de 585 millones de pesos a 635 millones de pesos. Del monto adicional aprobado, el 80 por ciento será destinado principalmente a obra pública, así como a la adquisición de camiones y vehículos para servicios municipales y seguridad pública. El 20 por ciento restante se aplicará a mantenimiento de infraestructura y equipamiento municipal. De igual forma, la modificación presupuestal contempla la reasignación de 9 millones de pesos, correspondientes a recursos remanentes de ejercicios fiscales anteriores, para destinarlos a inversiones en obra pública y equipamiento.</t>
  </si>
  <si>
    <t>Esta semana el Congreso del Estado de Hidalgo iniciará análisis para eventuales modificaciones legales que permitan que en la entidad operen servicios de plataformas digitales para transporte individual de pasajeros. La confirmación fue realizada por el diputado local Juan Pablo Escalante Urban, presidente de la Comisión de Movilidad y Transporte del Congreso local. Hace un par de semanas, el Gobernador Julio Menchaca Salazar declaró que de continuar el mal servicio y abusos por parte de operadores de servicio de transporte público de pasajeros, podrían realizarse modificaciones legales que permitan el ingreso de plataformas digitales para prestar dicho servicio. “Hoy la Ley no permite otras formas de transporte como existen otras entidades, pero eso no quiere decir que no pueda cambiar en un presente cercano si no se ponen las pilas”, expresó. Recordó que recientemente los transportistas obtuvieron un incremento en la tarifa luego de años sin ajustes, lo que debería traducirse en la mejora general del servicio. También recordó que fueron los propios concesionarios quienes asumieron el compromiso de mejorar la atención a los pasajeros. Señaló que el acuerdo fue establecido con la participación de la Secretaría de Gobierno y la Secretaría de Movilidad y Transporte. “Si se rompe el hilo de estar prestando un buen servicio y hay abusos, podrá haber posibilidades de modificar la ley”, enfatizó en ese momento el Gobernador de Hidalgo. Al respecto, el diputado Escalante Urban dijo que en el análisis se tomará en cuenta las opiniones tanto de los concesionarios de servicios de transporte de pasajeros, como de los usuarios. A partir de lo que se desprenda de las opiniones, se establecerá una ruta para una posible reforma a la Ley de Transporte del Estado de Hidalgo para el posible ingreso de los servicios de transporte de pasajeros en modalidad individual por medio de plataformas digitales.</t>
  </si>
  <si>
    <t>Apps de transporte</t>
  </si>
  <si>
    <t>Vía telefónica Ricardo Olvera Molina, director del Instituto Hidalguense de la Juventud (Injuve) invita a participar en la convocatoria del Premio Estatal de la Juventud 2026, la cual abrió esta semana y permanecerá abierta hasta el próximo 24 de julio del presente año. Este reconocimiento tiene como objetivo distinguir a las personas jóvenes cuya trayectoria, dedicación y aportaciones en diversos ámbitos sean ejemplo de superación, liderazgo y compromiso social con Hidalgo. La convocatoria está dirigida a personas jóvenes hidalguenses en dos categorías: A, de 12 a 17 años, y B, de 18 a 29 años, quienes podrán participar en alguna de las siguientes distinciones: Actividades académicas, científicas, tecnológicas y de innovación; Emprendimiento, Actividades culturales y artísticas, Participación social; Protección al ambiente y protección animal. También se reconocerá a postulantes en los rubros de Igualdad de género, Participación e inclusión de las personas con discapacidad, Participación e inclusión de las personas de la diversidad sexual, Protección a las culturas originarias y Aportación a la cultura política y la democracia. Para la presente edición se otorgarán 20 premios económicos de hasta 10 mil pesos cada uno, distribuidos entre ambas categorías, de acuerdo con la disponibilidad presupuestal. La recepción de solicitudes se realizará de manera digital del 14 al 24 de julio, a través de la plataforma https://juventud.hidalgo.gob.mx/Convocatorias</t>
  </si>
  <si>
    <t>Bienestar</t>
  </si>
  <si>
    <t>Premio Estatal De La Juventud</t>
  </si>
  <si>
    <t>Con inversión aproximada de tres millones de pesos, la Comisión de Agua y Alcantarillado Municipal de Tulancingo (Caamt), rehabilitó la planta tratadora de aguas residuales ubicada en la localidad de La Lagunilla. En recorrido realizado para dar a conocer los detalles de dichos trabajos, directivos del organismo operador señalaron que con la reactivación de la planta, además de cuidar el medio ambiente con el tratamiento de las aguas residuales, se hace un mejor aprovechamiento del vital líquido. Lo anterior debido a que, aunque el agua tratada no se reutiliza para consumo humano, sino para limpieza y saneamiento de espacios, se deja de usar agua potable para dichas labores. La planta ya rehabilitada, permite hacer tratamiento de hasta 200 mil litros de agua para su reuso, con una capacidad actual de dos litros por segundo que se pretende incrementar hasta seis litros por segundo. Se informó que la planta estuvo abandonada y sin uso por aproximadamente nueve años, por lo que con su rehabilitación se beneficia a aproximadamente unas 450 familias que viven en La Lagunilla; es decir, aproximadamente dos mil personas. En cuanto a la inversión en mantenimiento, se requieren aproximadamente diez mil pesos, lo que permite que su operación sea rentable operativa y socialmente por espacio de aproximadamente diez años. Actualmente, técnicos de la Caamt realizan evaluación de otras plantas tratadoras de aguas residuales para determinar si es viable sus respectivas rehabilitaciones, con objetivo de llevarlas a cabo.</t>
  </si>
  <si>
    <t>Infraestructura Hidráulica</t>
  </si>
  <si>
    <t>En cabina Karla Macías, boxeadora de Tulancingo habla sus inicios en el box y que ha sido convocada por la selección mexicana para ser una de las atletas que represente a nuestro país en un torneo internacional que tendrá como sede Alicante, España. Señala que se ha acercado a las autoridades municipales y estatales para pedir a poyo y hasta el momento no recibe respuesta para acudir a esta justa deportiva que será el 31 de agosto.</t>
  </si>
  <si>
    <t>Los fraudes bancarios en contra de los cuentahabientes hidalguenses aumentaron 20% entre el primer semestre de 2025 y el primer semestre de 2026; sin embargo, la probabilidad de recuperar el dinero solo le ocurre a cinco de cada 10 afectados. Así lo informó durante su visita a Hidalgo, Óscar Rosado Jiménez, presidente de la Comisión Nacional para la Protección y Defensa de los Usuarios de Servicios Financieros (Condusef), quien atribuyó dicho incremento al robo de datos personales mediante herramientas digitales, tendencia que no se limita a los adultos mayores, también entre los jóvenes. Quienes se dedican a esta actividad ilícita modificaron su forma de operar y ahora buscan que sean las víctimas quienes entreguen su información bancaria a través de enlaces falsos, mensajes de texto, códigos QR que simulan provenir de instituciones financieras. "Ya no te llaman para engañarte; ahora te envían mensajes para que seas tú quien les marque o le dé clic a un enlace falso", advirtió. Tan solo de enero a junio de este año, la Condusef inició mil 917 procedimientos por reclamaciones en Hidalgo, de las cuales, más de mil corresponden a posibles fraudes. Las restantes, a cargos no reconocidos y transferencias electrónicas no autorizadas. En comparación, durante el mismo periodo de 2025 se contabilizaron poco más de 800 asuntos relacionados con fraudes, lo que se traduce en el alza del 20 por cientos; no obstante, Rosado Jiménez mencionó que el fenómeno no es exclusivo de Hidalgo ya que el crecimiento porcentual es similar en todo el país. Los casos más complejos, explicó, son aquellos en los que el propio usuario proporciona claves, contraseñas o códigos de acceso porque eso dificulta que los bancos se hagan cargo. La recuperación a favor de los cuentahabientes en el primer semestre de este año fue de un millón 700 mil pesos.</t>
  </si>
  <si>
    <t>Fraude</t>
  </si>
  <si>
    <t>Reportes ciudadanos sobre presuntos montachoques han comenzado a multiplicarse en Hidalgo, principalmente en los municipios de Pachuca y Tulancingo, donde automovilistas han advertido sobre posibles intentos de extorsión mediante accidentes provocados o simulados. El caso más reciente se difundió en Pachuca, luego de que un taxista compartiera un audio en el que asegura haber sido víctima de un supuesto intento de extorsión sobre la carretera México-Pachuca, a la altura del complejo comercial Explanada. En el mensaje también alerta sobre varios vehículos que presuntamente estarían involucrados en este tipo de hechos; sin embargo, la información no ha sido confirmada por las autoridades. Semanas antes, en Tulancingo, también circularon denuncias de conductores que alertaban sobre la presencia de presuntos montachoques en distintos puntos de la ciudad. En aquella ocasión, los reportes difundidos en redes sociales y grupos de mensajería advertían sobre personas que presuntamente buscaban provocar percances para exigir dinero a las víctimas, aunque tampoco hubo una confirmación oficial de los hechos. Hasta el momento, las autoridades estatales y municipales no han informado sobre la existencia de una banda de montachoques operando en Hidalgo; no obstante, recomendaron a la población mantener la calma en caso de verse involucrada en un incidente vial, evitar entregar dinero o enfrentar a los presuntos responsables y solicitar el apoyo de la policía a través del 911. Ante el incremento de este tipo de reportes en plataformas digitales, las autoridades también exhortan a denunciar cualquier intento de extorsión ante el Ministerio Público, ya que las denuncias formales permiten investigar los hechos y determinar si existe un patrón delictivo en la entidad.</t>
  </si>
  <si>
    <t>Prevención de Extorsión</t>
  </si>
  <si>
    <t>La inversión para la rehabilitación en el Estado de Hidalgo de infraestructura pública, caminos, sistemas de agua, puentes y vialidades, entre otros, supera los 8 mil 115 millones de pesos de recursos públicos para este año. Lo anterior fue señalado por el Gobernador Julio Menchaca Salazar, durante el arranque en el municipio de Pisaflores de las Rutas de la Transformación para la Reconstrucción. Se trata de una estrategia que busca acompañar permanentemente a población de los 28 municipios afectados por la vaguada monzónica, evaluar los avances en las obras de las zonas dañadas y restablecer la conectividad de las comunidades. Menchaca Salazar recordó que las afectaciones alcanzaron a 236 comunidades, por lo que la administración estatal respondió con el respaldo del Gobierno Federal, el cual destinó 162 millones de pesos para la reconstrucción de caminos y puentes en Pisaflores, mismos que serán ejecutados a través del Centro SICT (Secretaría de Infraestructura, Comunicaciones y Transportes) en Hidalgo. Por parte del gobierno estatal, se destacó una inversión superior a los 130 millones de pesos que, de 2022 a la fecha, se ha destinado para fortalecer la conectividad y la movilidad con diversos proyectos. Por su parte, Alejandro Sánchez García, secretario de Infraestructura Pública y Desarrollo Urbano Sostenible, detalló que la reconstrucción de la carretera Ramal a Pisaflores, obra supervisada este día, requirió labores de extracción de derrumbes y la construcción de cuatro muros de mampostería y unos de concreto hidráulico. Finalmente, Silvestre García Márquez, presidente municipal de Pisaflores, consideró que la gira de trabajo del gobernador Julio Menchaca representa cercanía con la gente, lo que obliga a las autoridades municipales a seguir trabajando de la mano con la administración estatal por el bienestar de las y los hidalguenses. Como parte de la gira de trabajo, junto a Ricardo Gómez Moreno, secretario de Bienestar e Inclusión Social, el Gobernador Menchaca Salazar llevó a cabo la entrega regional de tarjetas de los programas Bienestar de Madres Trabajadoras, así como Apoyo para el Bienestar y el Desarrollo. Ello en beneficio de 694 personas de los municipios de Chapulhuacán y Pisaflores, gracias a una inversión superior a los 6.9 millones de pesos. En compañía de Napoleón González Pérez, secretario de Agricultura y Desarrollo Rural, el mandatario estatal entregó paquetes de equipamiento acuícola, semilla certificada de maíz, avena y jitomate, vientres porcinos y aves de doble propósito a 278 personas productoras, con una inversión superior a un millón 560 mil pesos. Por su parte, Juan Carlos Chávez González, director general de la Comisión Estatal de Agua y Alcantarillado, adelantó que se llevará a cabo la reconstrucción de 115 sistemas de agua que fueron afectados por las lluvias.</t>
  </si>
  <si>
    <t>La iniciativa de reforma al Código Electoral del Estado de Hidalgo será presentada este miércoles 22 de julio de 2026, ante el Pleno del Congreso local. La iniciativa busca modificar las reglas de postulación de candidaturas para los ayuntamientos rumbo al proceso electoral de 2027. Entre sus principales planteamientos destaca que los primeros 42 municipios del estado queden reservados exclusivamente para candidatas mujeres, mientras que los otros 42 sean de asignación libre para los partidos políticos. la propuesta responde al principio constitucional de igualdad sustantiva y busca fortalecer la paridad de género en los gobiernos municipales. Los otros 42 municipios quedarían bajo un esquema de asignación libre, donde cada partido decidirá si postula a un hombre o a una mujer.</t>
  </si>
  <si>
    <t>Habitantes de distintos desarrollos habitacionales localizados entre Pachuca, Mineral de la Reforma y Zempoala iniciaron el proceso para buscar la creación del municipio de Felipe Ángeles, una propuesta que ya fue presentada de manera formal ante el Congreso del Estado. Los ciudadanos argumentan que el crecimiento acelerado de la zona no ha sido acompañado por una adecuada prestación de servicios públicos, por lo que consideran que un nuevo municipio permitiría atender con mayor eficiencia problemas como el suministro de agua, el drenaje, el alumbrado, la pavimentación, la movilidad y las inundaciones. Durante la presentación de la iniciativa, la representante del Comité de los Fraccionamientos del Sur, Ana Lilia Vega Villa, señaló que durante casi una década los vecinos han buscado respuestas por parte de los gobiernos municipales, sin lograr soluciones de fondo a las necesidades de la región. De acuerdo con los promoventes, el territorio propuesto integra entre 15 y 20 fraccionamientos y concentra una población superior a los 30 mil electores, condiciones que, aseguran, cumplen con los requisitos para iniciar el procedimiento de creación de un nuevo municipio. Además de contar con un gobierno propio, los habitantes consideran que la propuesta permitiría una mejor planeación urbana, mayor capacidad para gestionar recursos públicos y evitar que continúe la autorización de desarrollos habitacionales sin la infraestructura necesaria para atender a la población. La solicitud quedó en manos del Congreso de Hidalgo, donde deberá analizarse su viabilidad jurídica, territorial y administrativa antes de determinar si continúa el proceso para que Felipe Ángeles se convierta en el municipio número 85 del estado.</t>
  </si>
  <si>
    <t>El municipio de Tulancingo encabeza la cantidad de casos de gusano barrenador en perros, dentro del Estado de Hidalgo, de acuerdo a datos del Servicio Nacional de Sanidad, Inocuidad y Calidad Agroalimentaria (Senasica) con corte al pasado 16 de julio. La información señala que en Tulancingo se han detectado doce casos reportados de gusano barrenador en canes, seguido por el municipio de Huautla, con once registros, mientras que Actopan, Ixmiquilpan y Tasquillo con nueve casos. También se ha registrado gusano barrenador en gatos, con 5 reportes: Huejutla con 2, así como Huejutla, Progreso y Tlahuiltepa con uno. Al cierre de mayo el estado reportó 94 casos de miasis en perros y 2 en gatos, mientras que al corte del 16 de julio, el registro subió a 222 casos acumulados en caninos y 5 en felinos; actualmente están activos 34 casos en perros. Destaca en las cifras que la incidencia de casos de gusano barrenador en perros en Hidalgo incrementó 136 por ciento durante mes y medio, al pasar de 94 a 222 reportes acumulados, de acuerdo a los datos del Senasica. El informe señala que en el Estado de Hidalgo se acumulan mil 58 casos de gusano barrenador reportados en 79 municipios, de los cuales 107 están activos en 37 demarcaciones. De los más de mil casos acumulados en Hidalgo, la Senasica dependiente de la Secretaría de Agricultura y Desarrollo Rural federal, precisó que 634 son en bovinos, es decir toros o vacas, 75 en puercos, 57 en borregos, 35 en caballos y 20 en cabras, por mencionar algunos. La miasis, que es la presencia del gusano barrenador, ocurre cuando las larvas de la mosca del gusano barrenador se alojan en una herida y se alimentan del tejido vivo del animal. Sin atención oportuna, la lesión puede extenderse y provocar complicaciones en la salud de perros, gatos, ganado y otras especies.</t>
  </si>
  <si>
    <t>Gusano barrenador</t>
  </si>
  <si>
    <t>Vía telefónica Milton cortés Informó habitantes de fraccionamientos del sur de la zona metropolitana de Pachuca propusieron que el eventual municipio 85 de Hidalgo lleve el nombre de Felipe Ángeles y solicitaron al Congreso iniciar el proceso legal para su creación. Esto, porque aseguran que Pachuca, Mineral de la Reforma y Zempoala han sido omisos en atender las necesidades de estos fraccionamientos, particularmente en materia de agua potable, drenaje, alumbrado público, recolección de residuos, mantenimiento de vialidades y espacios públicos. Andrés Torres opina que no es tan sencillo que se cree este nuevo municipio por todas situaciones que conlleva.</t>
  </si>
  <si>
    <t>El día de hoy el Citnova encabezado por Francisco Patillo tendrá una conferencia de prensa en el hotel Emily a las 8 de la mañana.</t>
  </si>
  <si>
    <t>Conferencia</t>
  </si>
  <si>
    <t>Julio Menchaca arranca las Rutas de la Reconstrucción en la Sierra Gorda hidalguense</t>
  </si>
  <si>
    <t>Atendemos municipios afectados por vaguada, sin dejar al resto del estado: JMS</t>
  </si>
  <si>
    <t>A las 12:30 del día de Hoy en el Congreso del Estado van a presentar la iniciativa para reformar la Le Electoral del Estado de Hidalgo con nuevas reglas de postulación para la renovación de los 84 ayuntamientos. La iniciativa plantea que 42 municipios sean de postulación exclusiva para mujeres, con el objetivo de alcanzar la paridad en las presidencias municipales. La propuesta divide a los municipios en dos bloques. El primero contempla que las demarcaciones cuyos nombres inicien con las letras de la A a la M deberán postular únicamente a mujeres. También se contempla la reelección y que que los 42 municipios restantes sean de postulación abierta, es decir, que los partidos políticos puedan registrar como candidatos tanto a hombres como a mujeres.</t>
  </si>
  <si>
    <t>Hoy tenemos Ruta de la Transformación para la Reconstrucción , hoy el gobernador estará en Huautla en un primer evento a las 10: 45 de la mañana. Horas más tarde encabezará la supervisión de obra del Puente Garcés en Xochiatipan.</t>
  </si>
  <si>
    <t>Radioescucha reporta falta de agua en la Alcantarilla</t>
  </si>
  <si>
    <t>Radioescucha reporta falta de agua en Ampliación del Palmar; llevamos más de una semana sin agua.</t>
  </si>
  <si>
    <t>Radioescucha reporta falta de agua en Pitayas 3.ª sección.</t>
  </si>
  <si>
    <t>Vía telefónica Ricardo Arrollo, secretario de Medio Ambiente y Desarrollo Sustentable del Ayuntamiento de Pachuca, informó que entre enero y julio de este año realizó 9 mil 285 acciones enfocadas en la atención veterinaria y la tenencia responsable de animales de compañía. Durante los primeros siete meses del año se efectuaron 2 mil 862 esterilizaciones, 5 mil 601 vacunas antirrábicas y 822 consultas veterinarias como parte de las jornadas permanentes del programa "Pachuca con Huellitas". Se visitaron ya varias colonias de Pachuca y la próxima visita será el 3 de agosto en la colonia de Cubitos, en donde se llevará servicio veterinario para las mascotas.</t>
  </si>
  <si>
    <t>Bienestar Animal</t>
  </si>
  <si>
    <t>En otra información, la coordinadora estatal del INEGI en Hidalgo, Laura Silva González Quintos, dio a conocer que en México el 86% de la población mayor de seis años utiliza internet, mientras que para el caso de Hidalgo alcanza un 85%. González Quintos dio a conocer las cifras en hogares de Hidalgo que cuentan con el servicio de internet. Escuche usted la cifra, le invito a que haga cuentas. En México, los mexicanos utilizamos internet día con día poco más de 10 horas. ¿Cuántas horas le invierte usted a estar pegado al teléfono celular? Mire, ya lo escuchó usted al final: "para desaburrirme un rato". El problema es que no es un rato, son cerca de 10 horas que invertimos para estar en el teléfono celular utilizando el internet. Un internet donde las plataformas que más usamos son Facebook, WhatsApp, TikTok y de ahí vamos viendo a Google como buscador y, en algunos casos específicos, aplicaciones para diseño o fotografía. Los adultos mayores también aumentaron el uso de internet en 10 años, no solamente las nuevas generaciones. Esto lo destacó la coordinadora estatal del INEGI AUDIO DE APOYO</t>
  </si>
  <si>
    <t>Tras conocer la declaraciónes de funcionarios de la Comisión Nacional del Agua y de la Secretaría del Medio Ambiente a nivel federal en torno a los trabajos que se llevan a cabo en la presa Endó. El movimiento social por la tierra a través de su dirigente Yuri Uribe hizo un llamado para que la titular de la Semarnat, Alicia Bárcenas, haga una visita a la presa. “Yo creo que las cuentas alegres que la secretaria Alicia Bárcenas tienen que ver con algo….. la Secretaría no conoce la presa, no conoce la región”. Considera que la presidenta de México no tiene datos precisos, ya que se debe atender la raíz del problema, que son las aguas negras de la Ciudad de México</t>
  </si>
  <si>
    <t>Control lirio acuático</t>
  </si>
  <si>
    <t>El Gobierno de México informó que el Plan Maestro para la recuperación de la Presa Endhó se desarrolla con un modelo de restauración ambiental basado en evidencia científica y monitoreo permanente. La Conagua explicó que se trata de una estrategia de gestión adaptativa similar a la aplicada en proyectos internacionales de recuperación ecológica, donde las acciones se ajustan de acuerdo con las condiciones del ecosistema.Entre los avances de este plan maestro destaca la extracción del lirio acuático, el control sanitario del mosquito, el seguimiento a la calidad del agua y el desarrollo de infraestructura para el saneamiento del río Tula, como colectores, humedales artificiales y la reconducción de aguas residuales hacia la planta de tratamiento de la CFE. El objetivo de este plan maestro es restaurar de manera integral la Presa Endhó y mejorar las condiciones ambientales de la región, sostuvo Mayela Godínez Alarcón, gerente de Planificación Hídrica de la Conagua. AUDIO DE APOYO</t>
  </si>
  <si>
    <t>Derechos Humanos Hidalgo abrió la convocatoria del voluntariado "Late con Orgullo" 2026, dirigido a personas interesadas en promover y defender los derechos humanos durante la Feria San Francisco Pachuca.</t>
  </si>
  <si>
    <t>CDHEH</t>
  </si>
  <si>
    <t>Convocatoria</t>
  </si>
  <si>
    <t>En el IMSS Hidalgo se concretó la tercera donación multiorgánica de 2026 en el Hospital General de Zona con Medicina Familiar No. 1 de Pachuca. Gracias a la generosidad de una mujer de 26 años, tres personas serán beneficiadas directamente con la donación de órganos, mientras que hasta 100 más podrán beneficiarse mediante la donación de tejidos.</t>
  </si>
  <si>
    <t>Radioescucha Sra. Hernández agradece al personal de Caasim por las atenciones en su reporte; ya arreglaron la fuga en Juan C. Doria.</t>
  </si>
  <si>
    <t>Sebiso refuerza apoyos en regiones afectadas por lluvia, AUDIO APOYO</t>
  </si>
  <si>
    <t>COMENTARIO LOCUTOR : Habrá que ver cuándo será la fecha de inauguración aquí en el de Tula. También está pendiente el del municipio de Actopan, hay que recordarlo; este hospital que en sexenios pasados estaba literalmente abandonado, lo retoma ya el gobierno federal a cargo de la presidenta Claudia Sheinbaum y se dijo que se iba a poner en marcha lo más pronto posible. Veremos cuándo será, ojalá que sea este segundo semestre del 2026 y si no, estaremos esperando noticias hasta el 2027.</t>
  </si>
  <si>
    <t>El Instituto Mexicano del Seguro Social informó que actualmente construye 21 hospitales en distintas entidades del país, de los cuales 10 serán inaugurados durante los próximos 10 meses como parte del programa de expansión de la infraestructura hospitalaria impulsado por el gobierno federal. Durante la conferencia matutina de la presidenta de México, Claudia Sheinbaum Pardo, el director general del IMSS, Zoé Robledo, explicó que el objetivo es ampliar la capacidad de atención en los estados. El funcionario recordó que el plan sexenal contempla 47 hospitales, de los cuales siete ya fueron concluidos y están en operación, mientras que otros 21 se encuentran en construcción, como el de Tula, Hidalgo. AUDIO DE APOYO</t>
  </si>
  <si>
    <t>La diputada Lizbeth Ordaz Islas confirmó que la iniciativa que presentará Morena este miércoles ante el pleno del Congreso, será para que los primeros 42 municipios en orden alfabético postulen exclusivamente a mujeres para el proceso electoral de 2027.La presidenta de la primera Comisión Permanente de Legislación y Puntos Constitucionales, detalló que este martes se registró la propuesta firmada por 15 de los 16 diputados de Morena, así como por legisladores del Partido del Trabajo (PT), Nueva Alianza Hidalgo (Panalh), el de la Revolución Democrática de Hidalgo (PRDH) y Verde Ecologista de México (PVEM); mientras que Acción Nacional (PAN) analiza su adhesión, AUDIO APOYO</t>
  </si>
  <si>
    <t>Iniciativa</t>
  </si>
  <si>
    <t>Radioescucha comenta: ¿A quién se le ocurrió la brillante idea de crear un nuevo municipio en la zona metropolitana de Pachuca? Se tienen cosas más importantes que solucionar en nuestra ciudad que hacer un nuevo municipio.</t>
  </si>
  <si>
    <t>Neurodiversidad</t>
  </si>
  <si>
    <t>Habitantes y usuarios de la carretera Tlaxcoapan-Tetepango- hicieron un llamado a las autoridades estatales para agilizar la conclusión del puente del canal, cuya obra aseguran lleva más de ocho meses sin terminar, lo habitantes piden apoyo del Gobernador Julio Menchaca, de la secretaria de turismo Liz Quintanar, y de todas las autoridades para que apoyen a gestionar a través de sus intancias con la Conagua, quienes son los encargados el puente de la carretera, ya que esto les esta afectando a todos los que se dedican al turismo.</t>
  </si>
  <si>
    <t>Obra inconclusa</t>
  </si>
  <si>
    <t>Vía telefónica Ricardo Olvera Molina, director del Instituto Hidalguense de la Juventud (Injuve) invita a participar en la convocatoria del Premio Estatal de la Juventud 2026, la cual abrió esta semana y permanecerá abierta hasta el próximo 24 de julio del presente año. Este reconocimiento tiene como objetivo distinguir a las personas jóvenes cuya trayectoria, dedicación y aportaciones en diversos ámbitos sean ejemplo de superación, liderazgo y compromiso social con Hidalgo. La convocatoria está dirigida a personas jóvenes hidalguenses en dos categorías: A, de 12 a 17 años, y B, de 18 a 29 años, quienes podrán participar en alguna de las siguientes distinciones: Actividades académicas, científicas, tecnológicas y de innovación; Emprendimiento, Actividades culturales y artísticas, Participación social; Protección al ambiente y protección animal</t>
  </si>
  <si>
    <t>Canal 12 Huejutla</t>
  </si>
  <si>
    <t>Contacto Informativo M</t>
  </si>
  <si>
    <t>Vía telefónica Ricardo Olvera Molina, director general del Inhjuve - Habló sobre el Premio Estatal de la Juventud</t>
  </si>
  <si>
    <t>Jackeline Vázquez</t>
  </si>
  <si>
    <t>Miled 97.1 FM</t>
  </si>
  <si>
    <t>Línea en Alta Tensión</t>
  </si>
  <si>
    <t>María Antonieta Islas</t>
  </si>
  <si>
    <t>Entrevista grabada Dra. Claudia Isabel Santiago Prado, Directora de Salud Pública Municipal de Tepeji del Río, al programa Enfoque Regional, abordó las acciones de prevención, salud y logística coordinadas para recibir el paso de la tradicional peregrinación a pie de Querétaro al Tepeyac.Durante la emisión, la funcionaria detalló que para los días 23 y 24 de julio se proyecta la llegada de aproximadamente 63,000 feligreses al municipio —35,000 hombres y 28,000 mujeres—. Para atender este importante flujo de personas, el Ayuntamiento implementó una estrategia preventiva multidisciplinaria que involucra a las áreas de Seguridad Pública, Protección Civil, Reglamentos y la Secretaría de Salud del Estado de Hidalgo, enfocándose en evitar brotes de enfermedades diarreicas y respiratorias, así como en resguardar el bienestar general de los caminantes y de la población local.</t>
  </si>
  <si>
    <t>Prevención De Enfermedades</t>
  </si>
  <si>
    <t>La directora de Salud en Tula Ferananda Sanchez explico las cusas de la "diarrea explosiva" (ciclosporiasis), AUDIO APOYO</t>
  </si>
  <si>
    <t>Vía telefónica Dra. Claudia Isabel Santiago Prado, Directora de Salud Pública Municipal de Tepeji del Río, al programa Enfoque Regional, abordó las acciones de prevención, salud y logística coordinadas para recibir el paso de la tradicional peregrinación a pie de Querétaro al Tepeyac.Durante la emisión, la funcionaria detalló que para los días 23 y 24 de julio se proyecta la llegada de aproximadamente 63,000 feligreses al municipio —35,000 hombres y 28,000 mujeres—. Para atender este importante flujo de personas, el Ayuntamiento implementó una estrategia preventiva multidisciplinaria que involucra a las áreas de Seguridad Pública, Protección Civil, Reglamentos y la Secretaría de Salud del Estado de Hidalgo, enfocándose en evitar brotes de enfermedades diarreicas y respiratorias, así como en resguardar el bienestar general de los caminantes y de la población local.Como parte del operativo sanitario, la doctora Santiago Prado confirmó la instalación de módulos de atención médica destinados a atender casos de insolación, deshidratación, golpes de calor, accidentes, padecimientos crónico-degenerativos y el monitoreo preventivo de sarampión. Asimismo, en materia de comercio de alimentos, el área de Reglamentos y Sanidad instruyó a vendedores y voluntarios a repartir únicamente platillos calientes y cocidos, prohibiendo la venta de aguas frescas, frutas y verduras crudas para mitigar riesgos infecciosos.Finalmente, la Directora de Salud Pública expuso la dinámica del contingente, el cual ingresa por la comunidad de Ojo de Agua a temprana hora —encabezado en primera instancia por el grupo de mujeres—, realiza una parada de descanso y actos religiosos en Los Nidos y concluye la jornada en la cabecera municipal de Tepeji. Ahí, los romeros pernoctan y reponen fuerzas antes de reanudar la marcha de madrugada con dirección al Estado de México.</t>
  </si>
  <si>
    <t>El Congreso del Estado de Hidalgo aprobó una reforma al Código Penal para tipificar como delito las llamadas terapias de conversión, por lo que quienes las realicen, promuevan, financien o impongan podrán enfrentar penas de uno a tres años de prisión, además de multas de entre 150 y 300 días.La modificación incorpora el Título Décimo Tercero Bis, denominado Delitos contra el Libre Desarrollo de la Personalidad, y crea el artículo 276 Bis, mediante el cual se sancionan las prácticas orientadas a modificar, reprimir o cambiar la orientación sexoafectiva, la identidad o la expresión de género de una persona mediante cualquier forma de violencia.</t>
  </si>
  <si>
    <t>Reforma De Ley</t>
  </si>
  <si>
    <t>COMENTARIO LOCUTOR : Esta medida seguramente se aplicará en el inicio del curso escolar 2026-2027. Ojo, nada más es el uso en las aulas; seguramente sus hijos podrán portar su teléfono celular y saliendo de la escuela lo podrán encender y utilizarlo con normalidad, porque también entendemos que los padres de familia dan esta facilidad a sus hijos para saber dónde están y poder localizarlos como una medida de seguridad. Será un tema que se tendrá que hablar con directivos, administrativos y autoridades de educación pública para que se cumpla el objetivo de que los alumnos no tengan más distracciones y puedan enfocarse en su educación. Veremos cómo se toma esta decisión por parte de los padres de familia.</t>
  </si>
  <si>
    <t>Regulación de dispositivos digitales</t>
  </si>
  <si>
    <t>La presidenta de México, Claudia Sheinbaum, informó que Hidalgo ya forma parte de las 16 entidades que registraron y ven este problema, y por eso se restringe el uso de teléfonos celulares en escuelas primarias como parte de una estrategia para promover el uso responsable de la tecnología entre niñas y niños. Ya se sumaron a esta estrategia dentro de estas 16 entidades la Ciudad de México y el Estado de México. Ahora también en Hidalgo se va a restringir el uso de celulares en las aulas, en las escuelas. Durante su conferencia matutina en Palacio Nacional, la mandataria explicó que la medida busca disminuir los riesgos asociados al uso excesivo de dispositivos electrónicos y fortalecer la convivencia escolar. AUDIO DE APOYO</t>
  </si>
  <si>
    <t>Gobierno estatal y federal fortalecen trabajo conjunto para apoyar a familias afectadas por la vaguada monzónica, AUDIO APOYO</t>
  </si>
  <si>
    <t>Un árbitro de fútbol resultó lesionado tras verse involucrado en una riña durante un partido en la ciudad de San Antonio en San Salvador, de acuerdo con un vídeo difundido en redes sociales</t>
  </si>
  <si>
    <t>riña</t>
  </si>
  <si>
    <t>Julio Menchaca arranca las Rutas de la Reconstrucción en la Sierra Gorda hidalguense. (AUDIO JMS).</t>
  </si>
  <si>
    <t>Atendemos municipios afectados por vaguada, sin dejar al resto del estado: JMS. (AUDIO JMS).</t>
  </si>
  <si>
    <t>El gobernador de Hidalgo, Julio Menchaca Salazar, informó que hoy estará en la Huasteca para continuar con estas rutas de la reconstrucción. AUDIO APOYO ENTREVISTA.</t>
  </si>
  <si>
    <t>El gobernador Julio Menchaca encabezó las Rutas de la Transformación en Chapulhuacán, donde anunció acciones para la reconstrucción tras las afectaciones por la vaguada monzónica de octubre de 2025. Informó que este año se ejercerán más de 8 mil 115 millones de pesos en coordinación con la Federación para recuperar infraestructura dañada en Hidalgo. Además, se entregaron apoyos sociales y agropecuarios a familias de Chapulhuacán y Pisaflores, mientras que la Secretaría de Infraestructura confirmó nuevas obras como el acceso al CECyTE y la construcción del Sistema Integral de Agua Potable. También se anunció la reconstrucción de 115 sistemas de agua afectados por las lluvias y la entrega de más de 2,000 despensas para la población.En estas mismas rutas, desde Pisaflores, el gobernador Julio Menchaca puso en marcha la reconstrucción y la estrategia para supervisar y acelerar la recuperación de los 28 municipios afectados por la vaguada monzónica. Informó que este año se invertirán más de 8 mil 115 millones de pesos en caminos, puentes y sistemas de agua; además, anunció la rehabilitación de la carretera Chapulhuacán-Pisaflores con una inversión superior a 45 millones de pesos y obras de agua potable y saneamiento. Destacó que, con el apoyo del Gobierno de México, también se destinan 162 millones de pesos para reconstruir caminos y puentes en ese municipio. AUDIO DE APOYO</t>
  </si>
  <si>
    <t>Más de 25 años de prisión para huachicoleros en Hidalgo. Se dictó sentencia condenatoria en contra de 11 personas que fueron detenidas cuando sustraían gasolina y diésel de un ducto en el municipio de Tlaxcoapan. Con las pruebas presentadas por la Fiscalía Especializada en Materia de Delincuencia Organizada, José N. recibió una sentencia de 29 años y 6 meses de prisión por los delitos de sustracción ilícita de petrolífero de ducto, contra la salud y posesión de arma de fuego. Además, en la audiencia de individualización de sanciones, el juez le impuso el pago de $2,220,678 pesos.De estos 11, a Alejandro, Ángel, Saúl, Fidel, Gerardo, Isaac, Agustín, Jesús y Cristian N., por los delitos de sustracción ilícita de petrolífero de ducto y contra la salud, les fueron impuestas una pena de 25 años y 6 meses de prisión, así como el pago de $2,208,947 pesos. Hay que recordar que estos 11 detenidos, ahora sentenciados, fueron asegurados en marzo de 2023 por personal de la Procuraduría General de Justicia del Estado de Hidalgo durante un cateo en un inmueble en Tlaxcoapan.</t>
  </si>
  <si>
    <t>IHE lleva atención educativa a mil 727 niñas, niños y adolescentes hospitalizados</t>
  </si>
  <si>
    <t>Sigapren</t>
  </si>
  <si>
    <t>– Radioescucha Sr. Fidel reporta un gran bache en Aplicación Santa Julia.</t>
  </si>
  <si>
    <t>La Comisión Nacional de Vivienda (Conavi) reactivó el registro de Vivienda para el Bienestar 2026, un programa del Gobierno de México que busca facilitar el acceso a una vivienda para familias con bajos ingresos mediante esquemas de pago accesibles. Para esta nueva etapa, que corre del 20 de julio al 2 de agosto, la Conavi instalará módulos de atención en municipios prioritarios de 26 estados del país, donde también se desarrollarán los nuevos proyectos habitacionales. Si estás interesado en participar, estos son los requisitos y el proceso para registrarte.</t>
  </si>
  <si>
    <t>Una propuesta de reforma electoral que analiza el Congreso local plantea un mecanismo inédito: dividir los 84 ayuntamientos del estado por orden alfabético para garantizar que las mujeres tengan asegurado el acceso a la mitad de las alcaldías en la elección de 2027. La fórmula es directa: los municipios cuyo nombre inicia con alguna letra entre la “A” y la “M” serían reservados para candidatas mujeres, mientras que los ubicados de la “N” a la “Z” quedarían abiertos para que los partidos políticos definan libremente si postulan hombres o mujeres. Se trataría de la primera reforma electoral en considerar una "paridad alfabética".</t>
  </si>
  <si>
    <t>Habitantes de diversas localidades del municipio de Tasquillo manifestaron su molestia debido a la suspensión en el servicio de recolección de basura, luego de que el camión recolector cumpliera más de diez días descompuesto, lo que ha generado la acumulación de residuos en los hogares. Vecinos de la demarcación señalaron que la falta de recolección representa un riesgo sanitario al mantenerse los desechos almacenados en las viviendas. Ante la falta de una solución inmediata, algunos ciudadanos han intentado trasladar por cuenta propia la basura al sitio de disposición final para evitar mayores afectaciones en sus calles. Por su parte, la delegación de Calvario Bajo emitió un comunicado oficial en el que solicitó a los pobladores no sacar sus bolsas de basura este miércoles, debido a que la unidad municipal continúa fuera de servicio y sin poder realizar el recorrido habitual por las comunidades. La ciudadanía hizo un llamado enérgico a las autoridades municipales para agilizar la reparación de la unidad o implementar un operativo emergente, señalando que la falta de este servicio básico vulnera las condiciones de salubridad en la demarcación.</t>
  </si>
  <si>
    <t>Recolección De Basura</t>
  </si>
  <si>
    <t>Pese a que el ayuntamiento de Cardonal suspendió la comparecencia del secretario municipal, Erik Callejas Deszha, asegurando que únicamente se pospondría la sesión de asamblea que había sido programada para el pasado 10 de julio debido al supuesto contagio de COVID-19 de la alcaldesa Karla Hernández Cerroblanco, la convocatoria para la próxima sesión ordinaria, programada para el 30 de julio, no contempla este punto, dejando nuevamente sin respuesta la exigencia de los regidores. La regidora Lucero Ambrosio Cruz resaltó la ausencia del tema en el orden del día, situación que genera incertidumbre sobre cuándo el funcionario municipal rendirá cuentas ante el cabildo, luego de que la mayoría de los regidores aprobara llamarlo a comparecencia para que informe sobre asuntos relacionados con su desempeño. La comparecencia fue solicitada en el pasado mes de junio, después de que regidores de oposición señalaran que, pese a haber requerido en diversas ocasiones información correspondiente a la Secretaría Municipal, esta no les había sido entregada. Además, Erik Callejas Deszha enfrenta cuestionamientos por su presunta participación en un intento de desalojo ocurrido en el municipio de Ixmiquilpan, un asunto que provocó polémica debido a que se desarrolló fuera de la jurisdicción del gobierno de Cardonal. En la sesión anterior, la comparecencia quedó suspendida luego de que la presidenta municipal informara que había contraído COVID-19, por lo que se aseguró que el asunto sería retomado en una sesión posterior. Hasta el momento, el gobierno municipal no ha informado cuándo se llevará a cabo la comparecencia o las razones por las que fue excluida del orden del día.</t>
  </si>
  <si>
    <t>Comparecencias</t>
  </si>
  <si>
    <t>En sesión ordinaria, diputadas y diputados integrantes de la LXVI Legislatura avalaron con 27 votos a favor, cero en contra y cero abstenciones, el dictamen que emite resolutivo respecto a las iniciativas que reforman el Código Penal para el Estado de Hidalgo, emitido por la primera Comisión Permanente de Seguridad Ciudadana y Justicia. La legisladora Mónica Leanett Reyes Martínez (Nueva Alianza), una de las y los promoventes del dictamen, indicó que las iniciativas abordan temas como cobranza extrajudicial ilegal, uso indebido de aeronaves pilotadas a distancia, discriminación, protección de personas y grupos de atención prioritaria, delitos contra la orientación sexoafectiva o la identidad de género de las personas, la creación de una agravante al delito de daño en la propiedad por conducir bajo los efectos de alcohol o cualquier otra sustancia, delitos cometidos contra servidores públicos, abuso sexual, cohabitación forzada, acoso sexual y acecho, abuso sexual cometido contra personas con discapacidad y armonización del delito de abuso sexual, entre otros.</t>
  </si>
  <si>
    <t>En sesión ordinaria, diputadas y diputados integrantes de la LXVI Legislatura avalaron con 28 votos a favor, cero en contra y cero abstenciones, el dictamen que aprueba con modificaciones la iniciativa que reforma la Ley Orgánica Municipal para el Estado de Hidalgo, en materia de Certificado Único Policial, emitido por la primera Comisión Permanente de Legislación y Puntos Constitucionales. La legisladora Orquídea Larragoiti Osorio (PT), promovente del dictamen, recordó que el objetivo es garantizar que los servidores públicos que se desempeñen funciones como Policía Preventiva y Tránsito cuenten con Certificado Único Policial y lo mantengan actualizado.</t>
  </si>
  <si>
    <t>Musicampus 2026 fortalece la formación orquestal en 10 municipios de Hidalgo</t>
  </si>
  <si>
    <t>Cultura</t>
  </si>
  <si>
    <t>Formación artística</t>
  </si>
  <si>
    <t>Entrevista vía telefónica Ricardo Olvera Molina, director del Instituto Hidalguense de la Juventud - Habló sobre la convocatoria para el Premio Estatal de la Juventud dirigido a jóvenes de entre 12 y 29 años, dicho reconocimiento es entregado por el gobernador Julio Menchaca acompañado por un incentivo económico, cabe destacar que dicho galardón tiene como objetivo reconocer el talento, esfuerzo, trayectoria e impacto social de las y los jóvenes en el estado de Hidalgo. La convocatoria estará a abierta hasta el 24 de julio para los 84 municipios.</t>
  </si>
  <si>
    <t>El delegado de Programas para el Bienestar en Hidalgo, Abraham Mendoza Zenteno dio a conocer que la convocatoria del programa Vivienda para el Bienestar permanecerá abierta del 20 de julio al 2 de agosto, con módulos de registro en Actopan, Mixquiahuala de Juárez, Huautla, Zapotlán de Juárez y Zempoala, donde las personas interesadas deberán presentar la documentación requerida para realizar su trámite.</t>
  </si>
  <si>
    <t>El delegado de Programas para el Bienestar en Hidalgo, Abraham Mendoza Zenteno, informó que el pago de las Pensiones y Programas de Bienestar correspondiente al bimestre julio-agosto continuará hasta el 29 de julio, en beneficio de personas adultas mayores, mujeres de 60 a 64 años, personas con discapacidad y madres trabajadoras. El funcionario destacó que estos apoyos están garantizados gracias al manejo responsable del presupuesto público y recordó que los depósitos se realizan de acuerdo con la letra inicial del primer apellido de las y los beneficiarios, por lo que recomendó acudir únicamente en la fecha que corresponda según el calendario oficial. Asimismo, señaló que los recursos se entregan de manera directa a través de la Tarjeta Bienestar, sin intermediarios, y pueden retirarse en cajeros automáticos, ventanillas del Banco del Bienestar o utilizarse para compras en establecimientos con terminal bancaria.</t>
  </si>
  <si>
    <t>Programas Del Bienestar</t>
  </si>
  <si>
    <t>La Dirección General de Seguridad Pública de Cuautepec de Hinojosa, en coordinación con el Centro Estatal de Prevención Social de la Violencia, la Delincuencia y la Participación Ciudadana, llevó a cabo una jornada de proximidad social en la explanada del jardín “Felipe Ángeles”, donde brindó información preventiva a la población para fortalecer la cultura de la denuncia y reducir los riesgos de ser víctima de diversos delitos. Durante la actividad, personal especializado orientó a las y los ciudadanos sobre medidas para prevenir la extorsión telefónica, los fraudes en línea y el robo a casa habitación, además de entregar trípticos con recomendaciones de autoprotección y datos útiles para actuar ante este tipo de situaciones. Asimismo, las y los oficiales promovieron el uso responsable de las líneas 911 para emergencias y 089 para denuncias anónimas, resaltando la importancia de la participación ciudadana como un elemento fundamental para la prevención del delito. Como resultado de esta jornada, fueron atendidas 138 personas, reafirmando el trabajo coordinado entre el Gobierno del Estado y la administración que preside Jorge Hernández Araus en Cuautepec.</t>
  </si>
  <si>
    <t>Prevención del delito</t>
  </si>
  <si>
    <t>El Ayuntamiento de Pachuca informó que, de enero a julio de este año, se brindaron más de nueve mil atenciones veterinarias gratuitas en distintas colonias del municipio. Esta iniciativa busca promover la tenencia responsable de animales de compañía y controlar la sobrepoblación de mascotas en la capital hidalguense. La estrategia forma parte de las políticas de salud pública impulsadas por la administración actual. Estas labores dan continuidad a los esfuerzos permanentes por reducir los riesgos sanitarios en las comunidades locales. Durante los primeros siete meses del año, la Secretaría de Medio Ambiente de Pachuca coordinó brigadas médicas enfocadas en la prevención de enfermedades zoonóticas. Los servicios llegaron a zonas prioritarias del municipio para facilitar el acceso a familias que no cuentan con atención médica veterinaria privada.</t>
  </si>
  <si>
    <t>Entrevista en cabina Pedro Porras Pérez, director general del Instituto Hidalguense de Educación para Adultos - Habló sobre la segunda jornada estatal de incorporación y acreditación que se realizarán en los 84 municipios del 31 de julio al 2 de agosto. Dicha jornada, dijo, está enfocada en personas mayores de 15 años que deseen aprender a leer y escribir o concluir su primaria y secundaria, dicha estrategia busca combatir el rezago educativo ofreciendo atención gratuita y flexible.</t>
  </si>
  <si>
    <t>Alfabetización</t>
  </si>
  <si>
    <t>Con 27 votos a favor, cero en contra y cero abstenciones, diputados del Congreso de Hidalgo avalaron el dictamen que emite el resolutivo respecto a las iniciativas que reforman el Código Penal para el Estado de Hidalgo emitido por la primera comisión permanente de Seguridad Ciudadana y Justicia. La legisladora Mónica Reyes Martínez de Nueva Alianza una de las promoventes del dictamen, indicó, que las iniciativas abordan temas como cobranza extrajudicial y legal, uso indebido de aeronaves piloteadas a distancia, discriminación, protección de personas y grupos de atención prioritaria, delitos contra la orientación sexoafectiva o la identidad de género de las personas, la creación del agravante al delito de daño en propiedad por conducir bajos los efectos del alcohol o cualquier otra sustancia, delitos cometidos contra servidores públicos, abuso sexual, cohabitación forzada, acoso sexual y asecho, abuso sexual cometido contra personas con discapacidad y armonización del delito de abuso sexual entre otros temas relevantes que se reforman.</t>
  </si>
  <si>
    <t>Para la sesión ordinaria 204 del Congreso del Estado se tiene previsto como primer tema la iniciativa con proyecto de decreto por el que se reforman y adicionan diversas disposiciones del Código Electoral de Hidalgo en materia de Integración y Paridad de Género de los Ayuntamientos, un tema fundamental en el proceso que estará viviendo el Estado de Hidalgo y otras entidades del país. Esta iniciativa estará siendo presentada por 24 diputados, incluido el propio presidente de la Junta de Gobierno, el diputado Andrés Velázquez Vázquez.</t>
  </si>
  <si>
    <t>Juan Carlos Santamaría informó que, para este día, continuará la gira de trabajo del gobernador, por las zonas afectadas por las lluvias de octubre pasado y entrega de apoyos en el municipio de Huautla y Xochiatipan.</t>
  </si>
  <si>
    <t>Habitantes de 17 a 20 fraccionamientos al sur de la zona metropolitana solicitaron formalmente al Congreso del Estado la creación del municipio número 85 de Hidalgo, tentativamente llamado "Felipe Ángeles". El objetivo es independizarse de Pachuca, Mineral de la Reforma y Zempoala debido al abandono institucional y la falta de servicios básicos.</t>
  </si>
  <si>
    <t>SSPH acerca Ciudad Policía a estudiantes de Tlanchinol</t>
  </si>
  <si>
    <t>La entrevista concedida por Alberto Duarte, Vocal Ejecutivo de la Junta Distrital 5 del INE con sede en Tula, abordó los preparativos para el Proceso Electoral Federal 2026-2027 y los detalles de la convocatoria emitida para que instituciones de educación superior monitoreen la cobertura en medios de comunicación durante dicho periodo.Durante la transmisión, el funcionario recordó que, en cumplimiento con la Ley General de Instituciones y Procedimientos Electorales, el proceso arrancará formalmente en septiembre de 2026 para alistar la jornada electoral de 2027, en la cual se renovará la Cámara de Diputados a nivel federal.</t>
  </si>
  <si>
    <t>Proceso electoral</t>
  </si>
  <si>
    <t>Y nos vamos hasta la región del Valle del Mezquital, donde la Feria de Ixmiquilpan es una de las celebraciones más representativas de la zona, especialmente por las actividades religiosas que cada año congregan a miles de fieles y visitantes. La feria se llevará a cabo en esta edición 2026 del 6 al 16 de agosto, y una de las actividades religiosas principales es la colocación de la banda presidencial a la imagen del Señor de Jalpan por parte de autoridades civiles y eclesiásticas. Con más de 250 años de tradición, la titular de la Secretaría de Turismo en Hidalgo, Liz Quintanar, ha resaltado que esta Feria del Señor de Jalpan es una de las fiestas patronales con expresiones de fe y tradición más auténticas en las comunidades del Valle del Mezquital. AUDIO DE APOYO</t>
  </si>
  <si>
    <t>Feria Patronal</t>
  </si>
  <si>
    <t>Hablando de acciones preventivas, hay que tomar en cuenta que al inicio de este periodo vacacional tenemos que tener estrategias, tenemos que tener un plan para poder tener ocupados a los pequeños y sobre todo también vigilados, ya que al no ir a la escuela tienen más tiempo libre. Muchos se quedan en casa solos porque papá o mamá tienen que salir a trabajar o se quedan con alguien más cuidándolos, con algún familiar, la abuelita, la tía o alguna otra persona que, por cuestiones laborales, uno tiene que salir a trabajar y deja a los pequeños. Algunos otros ya también tienen cursos de verano, tienen actividades para ocupar el tiempo.¿Por qué le digo esto de las estrategias preventivas? Los accidentes infantiles pueden aumentar hasta en un 35 por ciento durante las vacaciones, por eso para proteger a los menores el sector salud recomienda tomar algunas medidas. AUDIO DE APOYO</t>
  </si>
  <si>
    <t>Prevención de accidentes</t>
  </si>
  <si>
    <t>Ante el incremento de las temperaturas y el riesgo de enfermedades gastrointestinales, la Secretaría de Salud de Hidalgo exhortó a la población a reforzar las medidas de higiene para prevenir infecciones. La principal recomendación es el lavado frecuente de manos con agua y jabón antes de preparar o consumir alimentos y después de ir al baño. También se pide desinfectar frutas y verduras, cocinar correctamente los alimentos, consumir agua potable o hervida y evitar alimentos en mal estado. En caso de presentar diarrea, vómito, fiebre o signos de deshidratación, las autoridades recomiendan no automedicarse y acudir de inmediato a la unidad de salud más cercana. AUDIO DE APOYO</t>
  </si>
  <si>
    <t>Padres de familia y papelerías se preparan para el regreso a clases en Hidalgo. Estamos iniciando las vacaciones, pero ya el comercio papelero está muy atento a las necesidades de las niñas, niños y adolescentes para el próximo ciclo escolar. La información con Jocelyn Sánchez:"A poco más de un mes del inicio del ciclo escolar 2026-2027, padres de familia en Hidalgo comenzaron la compra de útiles escolares, mientras que las papelerías incrementan sus inventarios y esperan un repunte en las ventas durante las próximas semanas. Comerciantes del ramo señalan que la demanda aumenta principalmente en cuadernos, lápices, colores, mochilas, juegos de geometría y material de oficina, por lo que ya cuentan con mercancía suficiente para atender a las familias que buscan anticipar sus compras y evitar aglomeraciones de última hora. Por su parte, madres y padres de familia aseguran que adelantar las compras les permite comparar precios, distribuir el gasto y aprovechar promociones, además de revisar con anticipación las listas de útiles que solicitan las escuelas"."En Hidalgo, el gobierno estatal mantiene el programa de entrega de útiles escolares gratuitos para estudiantes de educación básica con el propósito de apoyar la economía familiar, beneficio que llegará a cientos de miles de alumnos durante el próximo ciclo escolar. Para Enfoque Regional, informó Jocelyn Sánchez". AUDIOS DE APOYO</t>
  </si>
  <si>
    <t>Regreso A Clases</t>
  </si>
  <si>
    <t>Hidalgo volvió a registrar condiciones anormalmente secas en 11 municipios durante la primera quincena de julio, luego de haber salido por completo de la sequía a finales de junio, según el monitor de sequía de la Conagua. Por otro lado, vegetación, llantas y desechos sólidos fueron consumidos por un incendio en el Cerro de la Colonia La Raza, en Pachuca. Las llamas fueron sofocadas por elementos de Protección Civil Municipal.</t>
  </si>
  <si>
    <t>Sequía</t>
  </si>
  <si>
    <t>Continúa la reconstrucción en la Sierra y la Huasteca hidalguense. El gobernador de Hidalgo, Julio Menchaca Salazar, aseguró en Xochiatipan que continuará la atención a los 28 municipios afectados por la vaguada monzónica sin contratar deuda pública. Muy importante esto: mediante una administración eficiente de los recursos no se va a adquirir deuda pública para atender las afectaciones de la vaguada. Durante la supervisión del puente Garcés, informó que la deuda estatal se ha reducido en un 42 por ciento: Además de estas acciones, la Secretaría de Infraestructura, Comunicaciones y Transportes avanza en la ampliación de ese puente, obra que contempla 124 metros adicionales y un periodo de ejecución de 200 días. En Xochiatipan también se destinan más de 180 millones de pesos para reconstrucción de caminos, puentes, vivienda e infraestructura básica, además de anunciar nuevas obras carreteras y de agua potable para fortalecer el desarrollo del municipio:En Huautla, como parte de las Rutas de la Transformación para la reconstrucción, el gobernador Julio Menchaca anunció nuevas obras de infraestructura y entregó apoyos sociales para atender a las familias afectadas por la vaguada monzónica. Informó que este año 2026 se rehabilitarán caminos rurales, sistemas de agua potable y puentes con inversiones del gobierno estatal y federal que superan los 449 millones de pesos. Además se otorgaron apoyos al campo y programas sociales por más de 14 millones de pesos, mientras que el DIF y la Secretaría de Salud reforzarán la entrega de despensas y acciones para prevenir el dengue y el gusano barrenador en la región Huasteca. AUDIOS DE APOYO</t>
  </si>
  <si>
    <t>Radioescucha reporta que en la calle de San Juan, en la colonia Guadalupe, hay unas lámparas que se reportaron y no las vienen aún a arreglar</t>
  </si>
  <si>
    <t>Luminarias</t>
  </si>
  <si>
    <t>Radioescucha reporta bache grande porque revienta las llantas por la gasolinería de Villas de Pachuca y en la lateral del puente de Venta Prieta.</t>
  </si>
  <si>
    <t>Radioescucha reporta que las colectivas en el tramo de la calle de Hidalgo solo se detienen a platicar y a bajar pasaje.</t>
  </si>
  <si>
    <t>Radioescucha respecto al Tuzobús: no es eficiente su servicio, siempre va lleno, nunca pasa a su horario.</t>
  </si>
  <si>
    <t>Quejas Tuzobús</t>
  </si>
  <si>
    <t>Radioescucha reporta que Cassim no arregla la zanja que dejo sin arreglar en Prismas</t>
  </si>
  <si>
    <t>Radioescucha reporta falta de agua de agua en toda la colonia Felipe Ángeles, ya llevamos casi 20 días, esperemos que nuestros recibos nos den nuestros descuentos del mes</t>
  </si>
  <si>
    <t>Radioescucha reporta falta de agua en Venustiano Carranza</t>
  </si>
  <si>
    <t>Radioescucha tiene problemas con el abasto de agua en la calle Magnolia, pide a Caasim que deje más tiempo el agua ya que no da tiempo de recolectar agua.</t>
  </si>
  <si>
    <t>Vía telefónica, Óscar Sánchez, comandante de Vialidad y Tránsito del municipio de Pachuca, sobre el semáforo que constantemente nos comentan que no funciona por Prismas, al sur de la capital hidalguense. Comentó que ya quedaron arreglados desde el día de ayer y también en Chedraui checamos el semáforo, pero tiene un pequeño destello que buscaremos arreglar para darle solución y tener un buen ordenamiento vial. A partir del día sábado ya tendrá un nuevo sistema.</t>
  </si>
  <si>
    <t>Semaforización</t>
  </si>
  <si>
    <t>En cabina, participación de Jorge Hernández, director de Comunicación Social del Ayuntamiento de Pachuca, con el tema: Pide a la gente hacer conciencia, ya que varias personas han sido sorprendidas tirando basura en parques; el bacheo sigue constante y hoy cuadrillas de servicios públicos en Ferrocarril Central y Primas. El día de ayer se entregaron luminarias en diferentes bulevares de la capital.</t>
  </si>
  <si>
    <t>El Sitmah informa que la unidad con número económico 37, correspondiente al servicio T-05 Parador del Transporte Metropolitano, realizó un frenado brusco luego de que una persona peatona se atravesó de manera intempestiva al arroyo vehicular en un punto no habilitado como paso peatonal.</t>
  </si>
  <si>
    <t>Accidente Tuzobús</t>
  </si>
  <si>
    <t>El Hospital General “Dra. Columba Rivera Osorio” del ISSSTE en Hidalgo dio de alta a dos gemelas originarias de Huejutla, quienes permanecieron casi dos meses en la Unidad de Cuidados Intensivos Neonatales (UCIN) tras ser trasladadas de emergencia vía aérea a Pachuca por su condición de prematurez extrema. Las menores nacieron con 29 semanas de gestación y fueron trasladadas el 22 de mayo debido a la gravedad de su estado de salud. Durante su estancia hospitalaria recibieron atención especializada por parte de un equipo multidisciplinario; una de ellas logró superar dos paros cardíacos en los primeros días de vida.El ISSSTE informó que el resultado fue posible gracias a la coordinación entre la Clínica Hospital “Dr. Daniel Salazar Fernández” de Huejutla, el Hospital General de Pachuca y el Gobierno de Hidalgo, lo que permitió concretar el traslado aéreo y brindar atención médica oportuna.</t>
  </si>
  <si>
    <t>Coordinación Interinstitucional</t>
  </si>
  <si>
    <t>Se presentó una iniciativa para fortalecer la paridad de género en los ayuntamientos, promoviendo reglas permanentes que favorezcan una representación más equitativa y una mejor integración de los cabildos.</t>
  </si>
  <si>
    <t>El H. Ayuntamiento de Pachuca concluyó la rehabilitación del alumbrado en el bulevar Panorámico y reportó más de 20 mil luminarias recuperadas durante la actual administración.</t>
  </si>
  <si>
    <t>Como parte de la estrategia para fortalecer la seguridad y la prevención del delito, el presidente municipal de Mineral de la Reforma, Eduardo Medécigo Rubio, firmó un convenio de colaboración con la Secretaría de Seguridad Pública de Hidalgo (SSPH) que permitirá avanzar en la instalación de 150 cámaras de videovigilancia en puntos estratégicos del municipio.El alcalde destacó que la coordinación entre los distintos órdenes de gobierno, es fundamental para consolidar entornos más seguros y mejorar la capacidad de respuesta, ante cualquier situación que ponga en riesgo la tranquilidad de la ciudadanía.</t>
  </si>
  <si>
    <t>Refuerzo De Seguridad</t>
  </si>
  <si>
    <t>Fortalece Salud capacidad operativa del programa Vectores, invierte más de 2 millones de pesos</t>
  </si>
  <si>
    <t>Dengue</t>
  </si>
  <si>
    <t>Al ser cuestionado sobre su top seis de actores políticos en Tulancingo, Jesús Riveros responde que, el tema es que muchos creen que pueden, que tienen el perfil, pero que, realmente los que son respaldados por la ciudadanía son pocos, por lo que, dijo, no se aventuraría a dar nombres, hay que esperar a que se designe los candidatos oficiales de cada partido y se verá realmente el respaldo de la ciudadanía.</t>
  </si>
  <si>
    <t>Aspirantes</t>
  </si>
  <si>
    <t>Locutor Irving Sánchez comentó sobre los posibles candidatas y candidatos a las próximas elecciones en Hidalgo, principalmente a las 84 alcaldías que se van a renovar el próximo año, comentó que ya iban a encarrerarados en redes sociales, trabajo , fotos, todo lo que estaban realizando de manera informal, atendiendo invitaciones de algunos servidores públicos, de algunos funcionarios, de la ciudadanía, comentó que no se han apagado, que están en receso. Vino el ciclo escolar 2025-2026 en donde fueron padrinos y madrinas, pero no se han apagado, seguramente han de estar de vacaciones. En Tulancingo ya suenan algunos nombres, da a conocer el top seis personal de actores políticos entre los que destacan: Pedro Escudero, Pedro Canales, Fernando Lemus, Arturo Gómez, Enzo Balderas, Alejandro Rosas cada uno ha estado trabajando desde su trinchera.</t>
  </si>
  <si>
    <t>El Gobierno Municipal de Tula de Allende informó este jueves el inicio de la apertura gradual a la circulación vehicular sobre la carretera Tula-Tepeji, en el tramo ubicado a la altura de la colonia Jalpa, luego de los trabajos realizados tras las afectaciones registradas en la zona. De acuerdo con el comunicado oficial, la reapertura permitirá restablecer paulatinamente el tránsito de vehículos, mientras continúan las labores complementarias. En los próximos días iniciarán los trabajos finales para la reconstrucción de las banquetas, con el objetivo de garantizar un paso peatonal seguro. Las autoridades municipales solicitaron a los automovilistas y peatones transitar con precaución y atender la señalización instalada en el área, ya que las obras continuarán hasta concluir la rehabilitación total del sitio.</t>
  </si>
  <si>
    <t>Rehabilitación Vial</t>
  </si>
  <si>
    <t>El municipio de Cuautepec de Hinojosa reforzará su estrategia de seguridad con la incorporación de 102 nuevas cámaras de videovigilancia, las cuales serán enlazadas al C5i Hidalgo y al CENACI C-2 Cuautepec para mejorar el monitoreo y la capacidad de respuesta en puntos estratégicos. El alcalde Jorge Hernández Araus informó que, como parte del programa Policía Contigo, se recibieron 34 equipos de videovigilancia, integrados por 68 cámaras fijas, 34 cámaras PTZ de alta movilidad, 34 videograbadores y 34 bobinas de cable UTP, equipo que fortalecerá la infraestructura tecnológica del municipio. Con esta ampliación, el gobierno municipal busca optimizar la vigilancia preventiva, fortalecer la coordinación con las autoridades estatales y ofrecer una respuesta más eficiente para brindar mayor seguridad a la población.</t>
  </si>
  <si>
    <t>Respecto al reporte donde señalan que en la escuela Secundaria General No. 1 le dieron un documento de su hijo para cambiarlo de escuela por mala cuando lo que tiene es lento aprendizaje, Irving Sánchez comentó que podrías una exigencia de los padres de familia para que en las escuelas públicas y privadas pueda haber psicólogos que puedan tratar estos problemas, porque hay niños que, no siendo problemas se convierten en problema porque no son comprendidos, situación que genera que las y los maestros los identifiquen como niños problemáticos,</t>
  </si>
  <si>
    <t>IHE impulsa educación socioemocional con ferias educativas y comunitarias</t>
  </si>
  <si>
    <t>Educación socioemocional</t>
  </si>
  <si>
    <t>Un acto de amor y solidaridad con el prógimo permitió que una joven de 26 años regalara una oportunidad de vida a más personas, luego de que se realizara la tercera donación multiorgánica del año en el Hospital General de la Zona Familiar (HGZ/MF) No. 1 del Instituto Mexicano del Seguro Social (IMSS) en Pachuca. La paciente fue diagnosticada con muerte encefálica y, días antes de ingresar al quirófano, para el procedimiento de procuración, recibió un emotivo homenaje. Familiares y personal médico la despidieron entre aplausos, reconociendo la labor altruista que permitirá brindar una mejorar y salvar la vida de multiples pacientes. Un acto de amor y solidaridad con el prógimo permitió que una joven de 26 años regalara una oportunidad de vida a más personas, luego de que se realizara la tercera donación multiorgánica del año en el Hospital General de la Zona Familiar (HGZ/MF) No. 1 del Instituto Mexicano del Seguro Social (IMSS) en Pachuca. La paciente fue diagnosticada con muerte encefálica y, días antes de ingresar al quirófano, para el procedimiento de procuración, recibió un emotivo homenaje. Familiares y personal médico la despidieron entre aplausos, reconociendo la labor altruista que permitirá brindar una mejorar y salvar la vida de multiples pacientes. Como parte de la donación, el higado fue enviado a la Unidad Médica de Alta Especialidad Hospital de Especialidades del Centro Médico Nacional La Raza, mientras que los riñones fueron trasladados al Hospital General de Zona N°48 “San Pedro Xalpa”, ambos del IMSS en la Ciudad de México.</t>
  </si>
  <si>
    <t>El Congreso del Estado de Hidalgo aprobó tipificar el delito de cohabitación forzada con penas de prisión, multas económicas y agravantes para proteger a menores de edad e integrantes de comunidades indígenas. Esta medida busca frenar uniones informales impuestas que afectan a niñas, niños y adolescentes en la entidad</t>
  </si>
  <si>
    <t>En sesión ordinaria, las y los diputados presentaron la iniciativa que reforma el Código Electoral de Hidalgo en materia de integración y paridad de género en los ayuntamientos. En la exposición de motivos, la diputada Lizbeth Ordaz (Morena) indicó que el objetivo es garantizar la racionalidad institucional de los ayuntamientos mediante una modulación paramétrica que modifique la composición de los cabildos conforme a la demografía real de cada municipio para ajustar los órganos municipales locales a los topes máximos federales y a los principios de austeridad, honestidad y eficiencia en el gasto público. Asimismo, busca consolidar la igualdad sustantiva a través de un sistema permanente de bloques simétricos de postulación que establece un bloque de exclusividad para mujeres y otro de postulación abierta bajo un criterio de neutralidad alfabética, asegurando una participación política equitativa, cíclica y libre de sesgos de competitividad en el territorio estatal. De manera complementaria, se busca fortalecer la certidumbre jurídica y la eficiencia orgánica del sistema electoral hidalguense mediante la simplificación del monitoreo de medios, trasladando dicha función técnica directamente a la estructura profesional del Instituto Estatal Electoral; la eliminación de la sindicatura de primera minoría para evitar distorsiones en la representatividad proporcional y el pluralismo político; así como la transición hacia un modelo de acreditación documental objetiva de la discapacidad que proteja la dignidad de las personas postulantes.</t>
  </si>
  <si>
    <t>Sin adquirir deuda, gobierno de Hidalgo enfrenta afectaciones por vaguada monzónica</t>
  </si>
  <si>
    <t>Uplaph invita a participar en el Programa de Vivienda para el Bienestar de la Conavi</t>
  </si>
  <si>
    <t>Verifica Contraloría entrega de programas sociales en Jaltocán</t>
  </si>
  <si>
    <t>Vigilancia del gasto público</t>
  </si>
  <si>
    <t>Locutor David Cardenas agradece a la PGJEH por hacerle llegar infomación de última hora para que la ciudadanía pueda estar enterdado del acontecer diario</t>
  </si>
  <si>
    <t>Aprehensión</t>
  </si>
  <si>
    <t>PGJEH aprehende en Pachuca a mujer requerida por la FGJCDMX por robo agravado</t>
  </si>
  <si>
    <t>Foro “Mujeres Libres, Mujeres Líderes” fortalece el conocimiento y acceso a la justicia para las hidalguenses</t>
  </si>
  <si>
    <t>Perspectiva de género</t>
  </si>
  <si>
    <t>Tenemos con qué hacer de Hidalgo una potencia: Julio Menchaca. (AUDIO JMS).</t>
  </si>
  <si>
    <t>SSPH asegura a una persona y recupera acumuladores para automóvil</t>
  </si>
  <si>
    <t>Combate a la delincuencia</t>
  </si>
  <si>
    <t>Entrevista vía telefónica Jabnely Maldonado Meza Vocal Ejecutiva del Fondo de la Vivienda del ISSSTE (FOVISSSTE) - Habló sobre los avances de la reforma al FOVISSSTE, la cual permite adquirir terrenos y construir directamente sus propias viviendas de interés social, sumándose al Programa de Vivienda para el Bienestar, atribución que había sido retirada en el año 2007 y que hoy pudo ser recuperada. En ese sentido, explicó que, a partir de esta reforma, el FOVISSSTE tiene como funciones la administración de la subcuenta de la vivienda, el otorgamiento de créditos y la construcción de viviendas social o asequible.</t>
  </si>
  <si>
    <t>Entrevista en cabina Karla Macías, boxeadora convocada a selección nacional - Habló sobre la convocatoria de la selección mexicana para ser una de las atletas que represente a México en el torneo internacional que se realizará en s Alicante, España del 31 de agosto al 6 de septiembre. Solicitó apoyo de la ciudadanía para poder cubrir sus gastos y estadía durante el evento, los cuales ascienden a aproximadamente a 50 mil pesos, explicó que, a través de sus redes sociales está realizando diversas dinámicas, como rifas para poder cubrir sus gastos.</t>
  </si>
  <si>
    <t>Apoyo a deportistas</t>
  </si>
  <si>
    <t>Elementos de la Secretaría de Seguridad Pública, Tránsito y Vialidad de Pachuca detuvieron a un hombre presuntamente implicado en el robo de autopartes, quien además ya había sido exhibido en redes sociales por vecinos de la ciudad por cometer este mismo delito. La detención se concretó sobre la avenida El Palmar, a la altura de la Avenida 8, en la colonia Parque de Poblamiento. En el sitio, agentes municipales sorprendieron al sujeto en flagrancia mientras manipulaba el espejo lateral derecho de una camioneta estacionada. Al notar la presencia policial, el individuo intentó darse a la fuga, pero fue interceptado metros más adelante. Durante la revisión preventiva, los oficiales hallaron entre sus pertenencias envoltorios con sustancia granulada blanca —con características de droga sintética— y hierba verde seca, presuntamente marihuana. Asimismo, al inspeccionar su mochila, localizaron tres espejos laterales de distintos vehículos, de los cuales no pudo acreditar su posesión.</t>
  </si>
  <si>
    <t>Obtiene ITESA financiamiento para siete proyectos de investigación</t>
  </si>
  <si>
    <t>Becas De Posgrado</t>
  </si>
  <si>
    <t>SSPH fortalece la reinserción social con registro de nacimiento y matrimonio en Cereso de Pachuca</t>
  </si>
  <si>
    <t>Reinserción social</t>
  </si>
  <si>
    <t>La reforma al Código Electoral también elimina la sindicatura de primera minoría y plantea cambios en la integración de los ayuntamientos con criterios de austeridad y paridad. La integración de los ayuntamientos de Hidalgo podría cambiar de manera significativa. Diputados de Morena y partidos aliados presentaron una iniciativa que busca reducir el tamaño de los cabildos, fortalecer la paridad de género y establecer que 42 municipios sean de postulación exclusiva para mujeres en la elección de 2026-2027. La propuesta fue presentada por legisladores de Morena, Nueva Alianza, Partido Verde, Partido del Trabajo y PRD durante la sesión ordinaria del Congreso local. Al exponer los motivos de la iniciativa, la diputada Lizbeth Iraís Ordaz Islas (Morena) explicó que la reforma busca adecuar la integración de los cabildos a la realidad demográfica de cada municipio, tomando como referencia los límites establecidos a nivel federal y privilegiando criterios de austeridad, eficiencia y racionalidad en el gasto público.</t>
  </si>
  <si>
    <t>Tenemos con qué hacer de Hidalgo una potencia: Julio Menchaca. (AUDIO JMS)</t>
  </si>
  <si>
    <t>El Secretario de Gobierno Guillermo Olivares estuvo en la plaza central de Ixmiquilpan en reunión con mujeres de localidades del Valle del Mezquital. Posteriormente, tuvo una reunión con líderes de la región y acudió a la sede de Radio Mezquital "LA Voz del Pueblo Hñahñú", en donde concedió una entrevista a Anahí Ángeles, gerente de la estación. También hizo un recorrido mediante el cual se le mostró el trabajo y lo que se ha logrado con el trabajo de los trabajadores de esta estación que trabaja en condiciones precarias, pues no hay estudio de grabación y fueron víctimas de un robo un día después de que se inauguró. Son 6 personas laborando en la estación. Durante la entrevista el secretario Guillermo Olivares habló de la importancia de reunirse y hablar con las mujeres hñahñús para saber de sus problemáticas y ofrecer soluciones. . Asimismo, señala que en las Mesas de Acercamiento se habla de evitar la violencia contra las mujeres y que con los municipios se tiene trabajo interinstitucional pero también con los estados vecinos a Hidalgo para trabajar en materia de seguridad, lo que ha dado sus frutos pues ha bajado la incidencia delictiva. Felicitó a los trabajadores de esta estación por su labor.</t>
  </si>
  <si>
    <t>Cartas con Valor fomenta principios en la niñez en Huejutla</t>
  </si>
  <si>
    <t>Fortalecimiento de valores</t>
  </si>
  <si>
    <t>Investigador de la UPT presenta estudio sobre termografía mamaria en Francia</t>
  </si>
  <si>
    <t>Publican resultados de becas para estancias posdoctorales nacionales y en el extranjero</t>
  </si>
  <si>
    <t>Como parte del compromiso del presidente municipal, Jorge Reyes, con la salud pública y el bienestar animal, la Secretaría de Medio Ambiente de Pachuca fortaleció durante el primer semestre de este año las acciones de atención veterinaria y tenencia responsable de animales de compañía, acercando servicios gratuitos a las colonias del municipio. De enero a julio se realizaron 2,862 esterilizaciones, contribuyendo al control de la población de perros y gatos, previniendo el abandono y mejorando su calidad de vida. Asimismo, se aplicaron 5,601 vacunas antirrábicas, reforzando la protección de las mascotas y reduciendo el riesgo de transmisión de esta enfermedad. En el mismo periodo, el personal veterinario brindó 822 consultas, ofreciendo atención médica, diagnóstico, orientación y seguimiento a los animales de compañía de las familias pachuqueñas.</t>
  </si>
  <si>
    <t>En sesión ordinaria diputados integrantes de la sexagésima sexta legislatura, avalaron con 28 votos a favor, el dictamen en materia de certificado único policial que busca garantizar que los servidores públicos que desempeñen funciones como policía preventiva y tránsito cuenten con certificado único policial y lo mantengan actualizado. Asimismo, avalaron con 28 votos a favor, el dictamen que aprueba con modificaciones, la iniciativa que reforma la ley orgánica municipal para el Estado con el propósito de fortalecer el papel de las regidurías dentro del ayuntamiento como órgano de control y vigilancia mediante la incorporación de una nueva facultad que les permita impulsar la creación de comisiones especiales de seguimiento.</t>
  </si>
  <si>
    <t>Tres personas resultaron lesionadas luego de que una unidad del Tuzobús realizara un frenado de emergencia para evitar atropellar a un peatón que cruzó de manera inesperada una vialidad no habilitada para el paso de personas. El Sistema Integrado de Transporte Masivo de Hidalgo (Sitmah) informó que el incidente ocurrió en la unidad T-05, con número económico 37, cuando circulaba entre las estaciones Zona Plateada y Tecnológico de Monterrey, con dirección al norte. Según el organismo, la maniobra preventiva evitó un posible accidente mayor. Tras el frenado, personal del Sitmah acudió al lugar para atender a las personas afectadas, mientras que paramédicos valoraron a los lesionados. Uno de los usuarios fue trasladado a un hospital para recibir atención médica, en tanto que los otros dos presentaron golpes que no pusieron en riesgo su vida y continuaron su atención con pases médicos. La persona que cruzó la vialidad resultó ilesa. Ante lo ocurrido, el Sitmah reiteró el llamado a la población para utilizar únicamente los cruces peatonales autorizados y respetar las medidas de seguridad vial, con el fin de prevenir este tipo de incidentes.</t>
  </si>
  <si>
    <t>El gobierno municipal de Tizayuca informó que la muerte de una persona al interior del área de galeras, ocurrida el pasado 15 de julio en el Centro de Justicia Cívica, fue a causa de una tronboembolia cardíaca y no debido a golpes, lo que había generado alerta entre la ciudadanía. En la conferencia denominada de Paz y Seguridad, Christel Muñoz, titular de Justicia Cívica, expresó nuevamente condolencias a los familiares y reconoció la preocupación que el caso generó en la ciudadanía, y donde explicó que, de acuerdo al dictamen forense, no se reportan golpes ni lesiones traumáticas, sino un evento de naturaleza cardíaca, por lo que llamó a evitar rumores y especulaciones. Precisó que el caso sigue bajo investigación de la unidad ministerial, por lo que indicó que no se pueden adelantar responsabilidades hasta concluir el análisis de todas las pruebas, incluida la revisión de las vídeo grabaciones de vigilancia y el testimonio de trabajadores.</t>
  </si>
  <si>
    <t>Muerte interno</t>
  </si>
  <si>
    <t>Tenemos con qué hacer de Hidalgo una potencia: Julio Menchaca</t>
  </si>
  <si>
    <t>El Congreso de Hidalgo aprobó el dictamen que prohíbe a elementos activos del Ejército, Fuerza Aérea, Armada y Guardia Nacional participar en procesos electorales de diputaciones estatales o de la gubernatura, y en caso de querer participar deberán separarse cuando menos seis meses antes del día de la elección. Integrantes de la 66 Legislatura aprobaron con 27 votos a favor, el dictamen que reforma la Constitución Política del Estado de Hidalgo, en materia de requisitos de elegibilidad, el cual se homologa con lo establecido en la Constitución federal vigente. Actualmente, la Constitución Política del Estado de Hidalgo, en los artículos 32 y 63, establecen como requisito para ser diputada, diputado o titular del Poder Ejecutivo el no ser militar en servicio activo o ciudadano con mando de los cuerpos de seguridad pública.</t>
  </si>
  <si>
    <t>Representantes de diversos partidos políticos se manifestaron este miércoles en el Congreso de Hidalgo para expresar su rechazo a la iniciativa de reforma electoral que propone asignar las candidaturas a las presidencias municipales con base en el orden alfabético. Las participantes consideraron que la propuesta no garantiza una paridad sustantiva y exigieron ser incluidas en las mesas de análisis antes de que el dictamen avance. Acompañadas por la diputada del PRI, Montcerrat Hernández Pérez, mujeres del PRI, PRDH, Movimiento Ciudadano y PVEM señalaron que el proyecto deja fuera criterios como la población, la competitividad electoral, la representación de municipios indígenas y la distribución territorial. Además, advirtieron que tampoco contempla el impacto de la reelección de alcaldes en funciones, lo que, afirmaron, podría reducir las oportunidades de las mujeres para acceder a cargos públicos. Las inconformes también cuestionaron que municipios como Pachuca, Tulancingo, Tizayuca y Tula no formen parte del bloque reservado para candidaturas femeninas, además de señalar que la reducción de regidurías y sindicaturas afectaría la representación política de las mujeres. Asimismo, pidieron fortalecer los mecanismos para atender la violencia política de género, incluyendo la que ocurre en redes sociales. Finalmente, las representantes hicieron un llamado a las y los legisladores para abrir un diálogo con las secretarias de igualdad de los partidos políticos y construir una reforma que garantice una participación equitativa. La diputada Montcerrat Hernández adelantó que, de aprobarse la iniciativa en sus términos actuales, el PRI promoverá una acción de inconstitucionalidad.</t>
  </si>
  <si>
    <t>Disminución de asambleítas municipales, acreditación con certificado médico de discapacidad para candidatos en esa condición, así como cuestiones de paridad de género, están incluidos en la propuesta de reforma electoral para el Estado de Hidalgo. Con la suma de 24 diputados del Congreso del Estado de Hidalgo, fue presentada la propuesta legal que se aplicaría eventualmente para las elecciones locales del siguiente año. En cuanto a los aspirantes a una candidatura que señalen alguna cuestión de discapacidad, esta deberá comprobarse mediante certificado o constancia médica expedida por institución de salud pública o privada con especialidad en discapacidad. Anteriormente intervenía el Consejo General del Instituto Estatal Electoral mediante un comité integrado por la Comisión Estatal de Derechos Humanos y organizaciones civiles, que emitían su opinión para las postulaciones por acción afirmativa de discapacidad. Respecto a la conformación de los Ayuntamientos, la propuesta presentada señala que los municipios con población menor a 20 mil habitantes contarán con una sindicatura de mayoría relativa, cuatro regidurías de mayoría relativa y tres de representación proporcional, cuando anteriormente eran entre cuatro a cinco. En los municipios de entre 20 mil y hasta 50 mil habitantes, tendrían una sindicatura, cinco regidurías de mayoría relativa y cuatro de representación proporcional, bajando entre uno y tres espacios. Los municipios que tengan una población de más de 50 mil habitantes, contarán con una sindicatura de mayoría relativa, ocho regidurías de mayoría relativa y siete de representación proporcional, cuando antes eran entre 9 y 6. También se elimina la figura de síndico de primera minoría, o lo que se conoce como el segundo lugar. Respecto a la paridad, se plantea dividir los 84 municipios del estado en dos bloques de 42 municipios, integrados conforme el orden alfabético, uno será reservado para la postulación exclusiva de las mujeres a las presidencias municipales, y en la elección siguiente ambos bloques se alternarán. Para la próxima elección estarían considerados en esta situación los municipios de Acatlán, Acaxochitlán, Actopan, Agua Blanca, Ajacuba, Alfajayucan, Almoloya, Apan, Atitalaquia, Atlapexco, Atotonilco de Tula, Atotonilco el Grande. Así como Calnali, Cardonal, Cuautepec de Hinojosa, Chapantongo, Chapulhuacán, Chilcuautla, El Arenal, Eloxochitlán, Emiliano Zapata, Epazoyucan, Francisco I. Madero, Huasca, Huautla, Huazalingo, Huehuetla, Huejutla, Huichapan. Además de Ixmiquilpan, Jacala, Jaltocán, Juárez, La Misión, Lolotla, Metepec, Metztitlán, Mineral del Chico, Mineral del Monte, Mineral de la Reforma, Mixquiahuala y Molango. Los 42 municipios restantes, entre las letras N a la Z serán de libre asignación en género.</t>
  </si>
  <si>
    <t>Tres fraccionamientos ubicados dentro del municipio de Zempoala se deslindaron de la propuesta de creación del municipio 85 para el Estado de Hidalgo, presentada el pasado martes 21 de julio ante el Congreso del Estado de Hidalgo. Mediante un comunicado conjunto, representantes de los fraccionamientos Viñedos, Señeros y Zona Qvalta aseveraron que en la iniciativa para la eventual creación del nuevo municipio no se les ha tomado opinión. En un comunicado, se señala que los habitantes de dichos fraccionamientos hasta el momento no han firmado, autorizado ni respaldado ningún acuerdo o pronunciamiento a la propuesta presentada ante el Congreso estatal de Hidalgo. Además, los representantes vecinales de los fraccionamientos citados, señalan que no conocen a integrantes del Comité Fraccionamientos del Sur, quienes promueven la creación del nuevo municipio. Por lo que señalan que desean seguir perteneciendo al municipio de Zempoala, por lo que se deslindan de la solicitud para la eventual creación del nuevo municipio. Previamente, habitantes de distintos desarrollos habitacionales localizados entre Pachuca, Mineral de la Reforma y Zempoala iniciaron el proceso para buscar la creación del municipio de Felipe Ángeles, una propuesta que ya fue presentada de manera formal ante el Congreso del Estado. Los ciudadanos argumentan que el crecimiento acelerado de la zona no ha sido acompañado por una adecuada prestación de servicios públicos, por lo que consideran que un nuevo municipio permitiría atender con mayor eficiencia problemas como el suministro de agua, el drenaje, el alumbrado, la pavimentación, la movilidad y las inundaciones. Además de contar con un gobierno propio, los habitantes consideran que la propuesta permitiría una mejor planeación urbana, mayor capacidad para gestionar recursos públicos y evitar que continúe la autorización de desarrollos habitacionales sin la infraestructura necesaria para atender a la población.</t>
  </si>
  <si>
    <t>El titular de la Secretaría de Servicios Públicos Municipales en Tulancingo, Juan Alberto Santuario Elías, reconoció que son constantes las fallas en las unidades para recolección de basura. Pero señaló que son situaciones que se resuelven en forma rápida en la mayoría de los casos, pues se trata de ponchaduras, así como revisiones mecánicas cuando las unidades presentan alguna situación. La explicación se ofrece luego de que en días recientes se registran reportes sobre retrasos en el servicio de recolección en varias colonias y comunidades del municipio. De acuerdo al testimonio de vecinos, en algunas zonas del municipio el retraso va desde horas hasta días completos para llevar a cabo el servicio de recolección de basura. El funcionario señaló que al existir 25 camiones para recolección de basura, es natural que las descomposturas en estos se presenten por la cantidad de horas que están en circulación, en varios casos incluso durante todo el día. “Eso es algo constante, uno tiene un carro y siempre va a tener un mantenimiento preventivo y correctivo, pero si uno tiene una flotilla de 25 camiones pesados, esto se multiplica”. Sobre si la celebración de la Expo Feria, así como de la tradicional feria de Los Angelitos afectará dicho servicio, Santuario Elías señaló que se tienen preparados protocolos de atención en ambos casos. En cuanto a la Expo Feria, señaló que todos los residuos sólidos se reúnen en un punto, y el camión recolector se los lleva en un solo viaje. Respecto a la feria de Los Angelitos, el funcionario municipal reconoció que será necesario el trabajo constante de brigadas para la recolección de basura, sin descuidar los servicios cotidianos.</t>
  </si>
  <si>
    <t>Para evitar afectaciones económicas a los comerciantes establecidos y mejorar la imagen del corredor comercial durante la Feria de los Angelitos 2026, locatarios y organizadores acordaron que los puestos de temporada instalados sobre la calle 21 de Marzo contarán con doble vista para mantener el flujo de visitantes en ambos frentes. El acuerdo establece que los puestos ubicados entre las calles Morelos y Quinta Cabrera tendrán un frente hacia la feria y otro hacia los comercios establecidos de la 21 de Marzo. Con ello se busca evitar que ese corredor quede aislado, como ocurrió en ediciones anteriores, cuando disminuyeron las ventas y la zona se convirtió en un punto de acumulación de basura, además de presentar problemas de insalubridad y seguridad.</t>
  </si>
  <si>
    <t>Las vacaciones también son una oportunidad para aprender, hacer nuevos amigos y descubrir talentos. Con esa visión, el Gobierno de Tulancingo puso en marcha el Curso Verano Comunitario, un programa que reúne a 150 niñas, niños y adolescentes de entre 6 y 12 años en actividades recreativas, deportivas y formativas que fortalecen su desarrollo integral. mpulsado por la Secretaría de Desarrollo Humano y Social, a través de la Dirección de Centros de Desarrollo Comunitario (Polígonos), el curso se desarrolla en los CDC de Jaltepec, Guadalupe, Cañada y Metilatla, además de los parques Paraíso y Ahuehuetitla, las y los participantes disfrutan de un espacio seguro para convivir, aprender y divertirse. Música, fútbol, zumba kids, minichef, pintura, dibujo, danza, experimentos, primeros auxilios y manualidades forman parte de un programa diseñado para estimular la creatividad, el trabajo en equipo y el aprendizaje mediante experiencias dinámicas.</t>
  </si>
  <si>
    <t>Con la instalación formal de las Procuradurías Municipales de Protección de Niñas, Niños y Adolescentes (PMPNNA) en Emiliano Zapata y Zempoala, ya son 23 instancias locales hasta el momento. Al encabezar la instalación de ambas procuradurías municipales, Edda Vite Ramos, presidenta del Patronato del Sistema DIF Hidalgo, señaló que proteger a niñas, niños y adolescentes (NNA), es una responsabilidad compartida entre autoridades, familias y ciudadanía. Llamó a fortalecer los lazos familiares mediante la práctica de los valores y convocó a la sociedad a no permanecer indiferente ante cualquier forma de violencia contra la infancia. Destacó que la creación de estas procuradurías fortalece la capacidad de respuesta de los municipios al brindar atención jurídica, psicológica y social especializada para la restitución de derechos, además de consolidar la coordinación entre los tres órdenes de gobierno para garantizar el interés superior de la niñez. “La primera línea de protección para la niñez se encuentra en el seno familiar, donde el amor, la educación y la armonía constituyen la base para un desarrollo pleno”, afirmó Vite Ramos. En Emiliano Zapata rindieron protesta el procurador municipal y el equipo multidisciplinario que estará a cargo de la nueva Procuraduría, instancia responsable de representar, proteger y dar seguimiento a los casos donde se vulneren los derechos de niñas, niños y adolescentes. Con ello se fortalece el modelo de atención que el municipio inició en septiembre de 2024 mediante su Unidad de Primer Contacto, integrada por profesionales en trabajo social, psicología y asesoría jurídica. Posteriormente, en Zempoala, Edda Vite Ramos inauguró la remodelación de la Unidad Básica de Rehabilitación, recorrió las instalaciones modernizadas y entregó ayudas técnicas a personas beneficiarias, acciones que fortalecen los servicios de atención y rehabilitación para la población</t>
  </si>
  <si>
    <t>DIFH</t>
  </si>
  <si>
    <t>Procuraduría municipal del menor</t>
  </si>
  <si>
    <t>La cohabitación forzada de menores de edad y las “terapias de conversión”, serán sancionadas en el Estado de Hidalgo, tras modificaciones al Código Penal estatal. Lo anterior con el voto a favor de 27 legisladores del Congreso estatal, donde también se contempla sancionar el acecho como delito, así como el abuso contra personas con discapacidad. Por cohabitación forzada de menores de edad, se aprobó adicionar el artículo 189 Ter, imponiendo penas de cinco a nueve años de prisión y de 200 a 500 días de multa a quien obligue, coaccione, induzca, gestione u oferte la unión informal de personas menores de 18 años o de quienes no tengan capacidad para comprender el hecho. La sanción aumentará hasta en una mitad cuando la víctima pertenezca a un pueblo o comunidad indígena o afromexicana. En materia de derechos de la diversidad sexual, el dictamen deroga el artículo 202 Ter y crea el artículo 276 Bis, dentro de un nuevo Título Décimo Tercero Bis denominado “Delitos contra el Libre Desarrollo de la Personalidad”. Por lo que se sancionarán las llamadas “terapias de conversión”, con penas de uno a tres años de prisión y de 150 a 300 días de multa para quien realice, financie o imponga prácticas destinadas a modificar o reprimir la orientación sexoafectiva, la identidad o la expresión de género mediante violencia. Se tipifica el acecho como delito, de acuerdo a lo que se establece en el artículo 175 Ter; se describe como la conducta que comete una persona, de manera reiterada y sin consentimiento, cuando realiza actos de seguimiento, observación, vigilancia, acoso o comunicación insistente, ya sea de forma presencial o mediante medios digitales, generando temor por la seguridad o integridad de la víctima.</t>
  </si>
  <si>
    <t>Hidalgo alcanza 23 Procuradurías Municipales de Protección a Niñas, Niños y Adolescentes</t>
  </si>
  <si>
    <t>El estado de Hidalgo registró condiciones anormalmente secas en 11 de sus municipios al corte del 15 de julio de 2026, de acuerdo con el más reciente reporte del Monitor de Sequía de la Comisión Nacional del Agua (Conagua) y el Servicio Meteorológico Nacional (SMN). Cabe recordar que el pasado 30 de junio, la entidad se reportaba completamente fuera de cualquier categoría de sequía; sin embargo en la primera quincena de julio la situación cambió para: Ajacuba, Chapantongo, Chapulhuacán, Huichapan, Jacala de Ledezma, La Misión, Nopala de Villagrán, Pisaflores, Tecozautla, Tepehuacán de Guerrero y Tlahuiltepa, demarcaciones que volvieron a presentar estiaje.</t>
  </si>
  <si>
    <t>Vía telefónica la diputada Liz Ordaz, titular de la Comisión de Legislación y Puntos Constitucionales del Congreso del Estado de Hidalgo indicó ayer se presentó en el congreso del estado una iniciativa de paridad de género que busca fortalecer la igualdad en las próximas elecciones municipales. Esta reforma fue apoyada por diputadas y diputados de varios partidos, incluyendo el PRD, el PT, Nueva Alianza y Morena. Se espera que este cambio marque una diferencia importante en cómo se llevan a cabo las elecciones municipales. La iniciativa establece reglas permanentes que promueven la igualdad entre hombres y mujeres y propone dos bloques de conciliación: uno exclusivo para mujeres y otro abierto. La integración de los ayuntamientos y cabildos también será revisada, siguiendo las pautas de la constitución federal. Se busca eliminar obstáculos para las personas con discapacidad, haciendo más accesible su participación en el proceso electoral. La iniciativa tiene como objetivo garantizar que los partidos postulen a mujeres en candidaturas, incluso en candidaturas independientes o en alianzas. Habló también la reducción de los regidores en los municipios, armonizando la ley local con la federal. Anteriormente, el segundo lugar en las elecciones municipales podía ocupar un cargo en el cabildo, pero ahora se exige que compita directamente para ser regidor. La diputada Liz Ordaz destaca la importancia de la inclusión, y señala que la reforma procura un acceso real para las mujeres en la política, asegurando un espacio para ellas en las boletas. Se espera que inicien las discusiones en la comisión correspondiente. El objetivo es que se apruebe antes del 15 de septiembre, para cumplir con los plazos electorales. La diputada asegura que esta reforma no beneficia a un solo partido, sino a la democracia, proporcionando un marco claro y justo para todas las fuerzas políticas, y ofreciendo más oportunidades para las mujeres en Hidalgo. Se anticipan reacciones de otros partidos como el PRI y el PAN.</t>
  </si>
  <si>
    <t>Mesas de acercamiento</t>
  </si>
  <si>
    <t>Andrés Torres destaca la labor del gobernador Julio Menchaca en la gira por la huasteca y la implementación de las Rutas de la Transformación en beneficio de la población afectada por la vaguada monzónica.</t>
  </si>
  <si>
    <t>Un tráiler terminó volcado cuando su operador intentó cruzar la pesada unidad sobre un tramo carretero totalmente inundado. Los hechos se registraron en la carretera intermunicipal Metztitlán–Eloxochitlán y todo el diésel terminó en la Laguna de Metztitlán y ahora ya hay un problema de contaminación.</t>
  </si>
  <si>
    <t>Contaminación de río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</si>
</sst>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84" tableType="queryTable" totalsRowShown="0">
  <autoFilter ref="A1:M184"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84"/>
  <sheetViews>
    <sheetView tabSelected="1" topLeftCell="A149" workbookViewId="0">
      <selection activeCell="A184" sqref="A184"/>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3.14062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46225</v>
      </c>
      <c r="B2" s="1" t="str">
        <f ca="1">IF(Información1[[#This Row],[Fecha]]='Ajuste de fechas'!$A$2,"Día actual","Día anterior")</f>
        <v>Día anterior</v>
      </c>
      <c r="C2" t="s">
        <v>59</v>
      </c>
      <c r="D2" t="s">
        <v>60</v>
      </c>
      <c r="E2" t="s">
        <v>114</v>
      </c>
      <c r="F2" t="s">
        <v>22</v>
      </c>
      <c r="G2" t="s">
        <v>110</v>
      </c>
      <c r="H2" t="s">
        <v>11</v>
      </c>
      <c r="I2" t="s">
        <v>7</v>
      </c>
      <c r="J2" t="s">
        <v>44</v>
      </c>
      <c r="K2" t="s">
        <v>61</v>
      </c>
      <c r="L2" t="s">
        <v>40</v>
      </c>
      <c r="M2">
        <v>1</v>
      </c>
    </row>
    <row r="3" spans="1:13" x14ac:dyDescent="0.25">
      <c r="A3" s="2">
        <v>46225</v>
      </c>
      <c r="B3" s="1" t="str">
        <f ca="1">IF(Información1[[#This Row],[Fecha]]='Ajuste de fechas'!$A$2,"Día actual","Día anterior")</f>
        <v>Día anterior</v>
      </c>
      <c r="C3" t="s">
        <v>59</v>
      </c>
      <c r="D3" t="s">
        <v>60</v>
      </c>
      <c r="E3" t="s">
        <v>115</v>
      </c>
      <c r="F3" t="s">
        <v>19</v>
      </c>
      <c r="G3" t="s">
        <v>56</v>
      </c>
      <c r="H3" t="s">
        <v>11</v>
      </c>
      <c r="I3" t="s">
        <v>7</v>
      </c>
      <c r="J3" t="s">
        <v>43</v>
      </c>
      <c r="K3" t="s">
        <v>61</v>
      </c>
      <c r="L3" t="s">
        <v>40</v>
      </c>
      <c r="M3">
        <v>1</v>
      </c>
    </row>
    <row r="4" spans="1:13" x14ac:dyDescent="0.25">
      <c r="A4" s="2">
        <v>46225</v>
      </c>
      <c r="B4" s="1" t="str">
        <f ca="1">IF(Información1[[#This Row],[Fecha]]='Ajuste de fechas'!$A$2,"Día actual","Día anterior")</f>
        <v>Día anterior</v>
      </c>
      <c r="C4" t="s">
        <v>59</v>
      </c>
      <c r="D4" t="s">
        <v>60</v>
      </c>
      <c r="E4" t="s">
        <v>116</v>
      </c>
      <c r="F4" t="s">
        <v>23</v>
      </c>
      <c r="G4" t="s">
        <v>108</v>
      </c>
      <c r="H4" t="s">
        <v>11</v>
      </c>
      <c r="I4" t="s">
        <v>7</v>
      </c>
      <c r="J4" t="s">
        <v>39</v>
      </c>
      <c r="K4" t="s">
        <v>61</v>
      </c>
      <c r="L4" t="s">
        <v>40</v>
      </c>
      <c r="M4">
        <v>1</v>
      </c>
    </row>
    <row r="5" spans="1:13" x14ac:dyDescent="0.25">
      <c r="A5" s="2">
        <v>46225</v>
      </c>
      <c r="B5" s="1" t="str">
        <f ca="1">IF(Información1[[#This Row],[Fecha]]='Ajuste de fechas'!$A$2,"Día actual","Día anterior")</f>
        <v>Día anterior</v>
      </c>
      <c r="C5" t="s">
        <v>59</v>
      </c>
      <c r="D5" t="s">
        <v>60</v>
      </c>
      <c r="E5" t="s">
        <v>117</v>
      </c>
      <c r="F5" t="s">
        <v>19</v>
      </c>
      <c r="G5" t="s">
        <v>92</v>
      </c>
      <c r="H5" t="s">
        <v>11</v>
      </c>
      <c r="I5" t="s">
        <v>7</v>
      </c>
      <c r="J5" t="s">
        <v>43</v>
      </c>
      <c r="K5" t="s">
        <v>61</v>
      </c>
      <c r="L5" t="s">
        <v>40</v>
      </c>
      <c r="M5">
        <v>1</v>
      </c>
    </row>
    <row r="6" spans="1:13" x14ac:dyDescent="0.25">
      <c r="A6" s="2">
        <v>46225</v>
      </c>
      <c r="B6" s="1" t="str">
        <f ca="1">IF(Información1[[#This Row],[Fecha]]='Ajuste de fechas'!$A$2,"Día actual","Día anterior")</f>
        <v>Día anterior</v>
      </c>
      <c r="C6" t="s">
        <v>59</v>
      </c>
      <c r="D6" t="s">
        <v>60</v>
      </c>
      <c r="E6" t="s">
        <v>118</v>
      </c>
      <c r="F6" t="s">
        <v>54</v>
      </c>
      <c r="G6" t="s">
        <v>119</v>
      </c>
      <c r="H6" t="s">
        <v>11</v>
      </c>
      <c r="I6" t="s">
        <v>7</v>
      </c>
      <c r="J6" t="s">
        <v>24</v>
      </c>
      <c r="K6" t="s">
        <v>61</v>
      </c>
      <c r="L6" t="s">
        <v>40</v>
      </c>
      <c r="M6">
        <v>1</v>
      </c>
    </row>
    <row r="7" spans="1:13" x14ac:dyDescent="0.25">
      <c r="A7" s="2">
        <v>46225</v>
      </c>
      <c r="B7" s="1" t="str">
        <f ca="1">IF(Información1[[#This Row],[Fecha]]='Ajuste de fechas'!$A$2,"Día actual","Día anterior")</f>
        <v>Día anterior</v>
      </c>
      <c r="C7" t="s">
        <v>59</v>
      </c>
      <c r="D7" t="s">
        <v>60</v>
      </c>
      <c r="E7" t="s">
        <v>120</v>
      </c>
      <c r="F7" t="s">
        <v>121</v>
      </c>
      <c r="G7" t="s">
        <v>122</v>
      </c>
      <c r="H7" t="s">
        <v>11</v>
      </c>
      <c r="I7" t="s">
        <v>7</v>
      </c>
      <c r="J7" t="s">
        <v>39</v>
      </c>
      <c r="K7" t="s">
        <v>61</v>
      </c>
      <c r="L7" t="s">
        <v>107</v>
      </c>
      <c r="M7">
        <v>1</v>
      </c>
    </row>
    <row r="8" spans="1:13" x14ac:dyDescent="0.25">
      <c r="A8" s="2">
        <v>46225</v>
      </c>
      <c r="B8" s="1" t="str">
        <f ca="1">IF(Información1[[#This Row],[Fecha]]='Ajuste de fechas'!$A$2,"Día actual","Día anterior")</f>
        <v>Día anterior</v>
      </c>
      <c r="C8" t="s">
        <v>59</v>
      </c>
      <c r="D8" t="s">
        <v>60</v>
      </c>
      <c r="E8" t="s">
        <v>123</v>
      </c>
      <c r="F8" t="s">
        <v>19</v>
      </c>
      <c r="G8" t="s">
        <v>124</v>
      </c>
      <c r="H8" t="s">
        <v>11</v>
      </c>
      <c r="I8" t="s">
        <v>7</v>
      </c>
      <c r="J8" t="s">
        <v>43</v>
      </c>
      <c r="K8" t="s">
        <v>61</v>
      </c>
      <c r="L8" t="s">
        <v>40</v>
      </c>
      <c r="M8">
        <v>1</v>
      </c>
    </row>
    <row r="9" spans="1:13" x14ac:dyDescent="0.25">
      <c r="A9" s="2">
        <v>46225</v>
      </c>
      <c r="B9" s="1" t="str">
        <f ca="1">IF(Información1[[#This Row],[Fecha]]='Ajuste de fechas'!$A$2,"Día actual","Día anterior")</f>
        <v>Día anterior</v>
      </c>
      <c r="C9" t="s">
        <v>59</v>
      </c>
      <c r="D9" t="s">
        <v>60</v>
      </c>
      <c r="E9" t="s">
        <v>125</v>
      </c>
      <c r="F9" t="s">
        <v>24</v>
      </c>
      <c r="G9" t="s">
        <v>82</v>
      </c>
      <c r="H9" t="s">
        <v>11</v>
      </c>
      <c r="I9" t="s">
        <v>7</v>
      </c>
      <c r="J9" t="s">
        <v>24</v>
      </c>
      <c r="K9" t="s">
        <v>61</v>
      </c>
      <c r="L9" t="s">
        <v>83</v>
      </c>
      <c r="M9">
        <v>1</v>
      </c>
    </row>
    <row r="10" spans="1:13" x14ac:dyDescent="0.25">
      <c r="A10" s="2">
        <v>46225</v>
      </c>
      <c r="B10" s="1" t="str">
        <f ca="1">IF(Información1[[#This Row],[Fecha]]='Ajuste de fechas'!$A$2,"Día actual","Día anterior")</f>
        <v>Día anterior</v>
      </c>
      <c r="C10" t="s">
        <v>59</v>
      </c>
      <c r="D10" t="s">
        <v>60</v>
      </c>
      <c r="E10" t="s">
        <v>126</v>
      </c>
      <c r="F10" t="s">
        <v>22</v>
      </c>
      <c r="G10" t="s">
        <v>127</v>
      </c>
      <c r="H10" t="s">
        <v>11</v>
      </c>
      <c r="I10" t="s">
        <v>7</v>
      </c>
      <c r="J10" t="s">
        <v>44</v>
      </c>
      <c r="K10" t="s">
        <v>61</v>
      </c>
      <c r="L10" t="s">
        <v>40</v>
      </c>
      <c r="M10">
        <v>1</v>
      </c>
    </row>
    <row r="11" spans="1:13" x14ac:dyDescent="0.25">
      <c r="A11" s="2">
        <v>46225</v>
      </c>
      <c r="B11" s="1" t="str">
        <f ca="1">IF(Información1[[#This Row],[Fecha]]='Ajuste de fechas'!$A$2,"Día actual","Día anterior")</f>
        <v>Día anterior</v>
      </c>
      <c r="C11" t="s">
        <v>59</v>
      </c>
      <c r="D11" t="s">
        <v>60</v>
      </c>
      <c r="E11" t="s">
        <v>128</v>
      </c>
      <c r="F11" t="s">
        <v>23</v>
      </c>
      <c r="G11" t="s">
        <v>129</v>
      </c>
      <c r="H11" t="s">
        <v>11</v>
      </c>
      <c r="I11" t="s">
        <v>7</v>
      </c>
      <c r="J11" t="s">
        <v>39</v>
      </c>
      <c r="K11" t="s">
        <v>61</v>
      </c>
      <c r="L11" t="s">
        <v>40</v>
      </c>
      <c r="M11">
        <v>1</v>
      </c>
    </row>
    <row r="12" spans="1:13" x14ac:dyDescent="0.25">
      <c r="A12" s="2">
        <v>46225</v>
      </c>
      <c r="B12" s="1" t="str">
        <f ca="1">IF(Información1[[#This Row],[Fecha]]='Ajuste de fechas'!$A$2,"Día actual","Día anterior")</f>
        <v>Día anterior</v>
      </c>
      <c r="C12" t="s">
        <v>59</v>
      </c>
      <c r="D12" t="s">
        <v>60</v>
      </c>
      <c r="E12" t="s">
        <v>62</v>
      </c>
      <c r="F12" t="s">
        <v>19</v>
      </c>
      <c r="G12" t="s">
        <v>56</v>
      </c>
      <c r="H12" t="s">
        <v>11</v>
      </c>
      <c r="I12" t="s">
        <v>7</v>
      </c>
      <c r="J12" t="s">
        <v>43</v>
      </c>
      <c r="K12" t="s">
        <v>61</v>
      </c>
      <c r="L12" t="s">
        <v>90</v>
      </c>
      <c r="M12">
        <v>1</v>
      </c>
    </row>
    <row r="13" spans="1:13" x14ac:dyDescent="0.25">
      <c r="A13" s="2">
        <v>46225</v>
      </c>
      <c r="B13" s="1" t="str">
        <f ca="1">IF(Información1[[#This Row],[Fecha]]='Ajuste de fechas'!$A$2,"Día actual","Día anterior")</f>
        <v>Día anterior</v>
      </c>
      <c r="C13" t="s">
        <v>59</v>
      </c>
      <c r="D13" t="s">
        <v>60</v>
      </c>
      <c r="E13" t="s">
        <v>130</v>
      </c>
      <c r="F13" t="s">
        <v>26</v>
      </c>
      <c r="G13" t="s">
        <v>112</v>
      </c>
      <c r="H13" t="s">
        <v>11</v>
      </c>
      <c r="I13" t="s">
        <v>7</v>
      </c>
      <c r="J13" t="s">
        <v>39</v>
      </c>
      <c r="K13" t="s">
        <v>61</v>
      </c>
      <c r="L13" t="s">
        <v>40</v>
      </c>
      <c r="M13">
        <v>1</v>
      </c>
    </row>
    <row r="14" spans="1:13" x14ac:dyDescent="0.25">
      <c r="A14" s="2">
        <v>46225</v>
      </c>
      <c r="B14" s="1" t="str">
        <f ca="1">IF(Información1[[#This Row],[Fecha]]='Ajuste de fechas'!$A$2,"Día actual","Día anterior")</f>
        <v>Día anterior</v>
      </c>
      <c r="C14" t="s">
        <v>59</v>
      </c>
      <c r="D14" t="s">
        <v>60</v>
      </c>
      <c r="E14" t="s">
        <v>131</v>
      </c>
      <c r="F14" t="s">
        <v>54</v>
      </c>
      <c r="G14" t="s">
        <v>111</v>
      </c>
      <c r="H14" t="s">
        <v>11</v>
      </c>
      <c r="I14" t="s">
        <v>7</v>
      </c>
      <c r="J14" t="s">
        <v>24</v>
      </c>
      <c r="K14" t="s">
        <v>61</v>
      </c>
      <c r="L14" t="s">
        <v>40</v>
      </c>
      <c r="M14">
        <v>1</v>
      </c>
    </row>
    <row r="15" spans="1:13" x14ac:dyDescent="0.25">
      <c r="A15" s="2">
        <v>46225</v>
      </c>
      <c r="B15" s="1" t="str">
        <f ca="1">IF(Información1[[#This Row],[Fecha]]='Ajuste de fechas'!$A$2,"Día actual","Día anterior")</f>
        <v>Día anterior</v>
      </c>
      <c r="C15" t="s">
        <v>59</v>
      </c>
      <c r="D15" t="s">
        <v>60</v>
      </c>
      <c r="E15" t="s">
        <v>132</v>
      </c>
      <c r="F15" t="s">
        <v>54</v>
      </c>
      <c r="G15" t="s">
        <v>99</v>
      </c>
      <c r="H15" t="s">
        <v>11</v>
      </c>
      <c r="I15" t="s">
        <v>7</v>
      </c>
      <c r="J15" t="s">
        <v>24</v>
      </c>
      <c r="K15" t="s">
        <v>61</v>
      </c>
      <c r="L15" t="s">
        <v>40</v>
      </c>
      <c r="M15">
        <v>1</v>
      </c>
    </row>
    <row r="16" spans="1:13" x14ac:dyDescent="0.25">
      <c r="A16" s="2">
        <v>46225</v>
      </c>
      <c r="B16" s="1" t="str">
        <f ca="1">IF(Información1[[#This Row],[Fecha]]='Ajuste de fechas'!$A$2,"Día actual","Día anterior")</f>
        <v>Día anterior</v>
      </c>
      <c r="C16" t="s">
        <v>59</v>
      </c>
      <c r="D16" t="s">
        <v>60</v>
      </c>
      <c r="E16" t="s">
        <v>133</v>
      </c>
      <c r="F16" t="s">
        <v>85</v>
      </c>
      <c r="G16" t="s">
        <v>134</v>
      </c>
      <c r="H16" t="s">
        <v>11</v>
      </c>
      <c r="I16" t="s">
        <v>7</v>
      </c>
      <c r="J16" t="s">
        <v>39</v>
      </c>
      <c r="K16" t="s">
        <v>61</v>
      </c>
      <c r="L16" t="s">
        <v>40</v>
      </c>
      <c r="M16">
        <v>1</v>
      </c>
    </row>
    <row r="17" spans="1:13" x14ac:dyDescent="0.25">
      <c r="A17" s="2">
        <v>46225</v>
      </c>
      <c r="B17" s="1" t="str">
        <f ca="1">IF(Información1[[#This Row],[Fecha]]='Ajuste de fechas'!$A$2,"Día actual","Día anterior")</f>
        <v>Día anterior</v>
      </c>
      <c r="C17" t="s">
        <v>29</v>
      </c>
      <c r="D17" t="s">
        <v>30</v>
      </c>
      <c r="E17" t="s">
        <v>135</v>
      </c>
      <c r="F17" t="s">
        <v>54</v>
      </c>
      <c r="G17" t="s">
        <v>99</v>
      </c>
      <c r="H17" t="s">
        <v>57</v>
      </c>
      <c r="I17" t="s">
        <v>7</v>
      </c>
      <c r="J17" t="s">
        <v>24</v>
      </c>
      <c r="K17" t="s">
        <v>78</v>
      </c>
      <c r="L17" t="s">
        <v>40</v>
      </c>
      <c r="M17">
        <v>1</v>
      </c>
    </row>
    <row r="18" spans="1:13" x14ac:dyDescent="0.25">
      <c r="A18" s="2">
        <v>46225</v>
      </c>
      <c r="B18" s="1" t="str">
        <f ca="1">IF(Información1[[#This Row],[Fecha]]='Ajuste de fechas'!$A$2,"Día actual","Día anterior")</f>
        <v>Día anterior</v>
      </c>
      <c r="C18" t="s">
        <v>29</v>
      </c>
      <c r="D18" t="s">
        <v>30</v>
      </c>
      <c r="E18" t="s">
        <v>136</v>
      </c>
      <c r="F18" t="s">
        <v>31</v>
      </c>
      <c r="G18" t="s">
        <v>137</v>
      </c>
      <c r="H18" t="s">
        <v>57</v>
      </c>
      <c r="I18" t="s">
        <v>7</v>
      </c>
      <c r="J18" t="s">
        <v>39</v>
      </c>
      <c r="K18" t="s">
        <v>27</v>
      </c>
      <c r="L18" t="s">
        <v>40</v>
      </c>
      <c r="M18">
        <v>1</v>
      </c>
    </row>
    <row r="19" spans="1:13" x14ac:dyDescent="0.25">
      <c r="A19" s="2">
        <v>46225</v>
      </c>
      <c r="B19" s="1" t="str">
        <f ca="1">IF(Información1[[#This Row],[Fecha]]='Ajuste de fechas'!$A$2,"Día actual","Día anterior")</f>
        <v>Día anterior</v>
      </c>
      <c r="C19" t="s">
        <v>29</v>
      </c>
      <c r="D19" t="s">
        <v>30</v>
      </c>
      <c r="E19" t="s">
        <v>138</v>
      </c>
      <c r="F19" t="s">
        <v>26</v>
      </c>
      <c r="G19" t="s">
        <v>112</v>
      </c>
      <c r="H19" t="s">
        <v>57</v>
      </c>
      <c r="I19" t="s">
        <v>7</v>
      </c>
      <c r="J19" t="s">
        <v>39</v>
      </c>
      <c r="K19" t="s">
        <v>27</v>
      </c>
      <c r="L19" t="s">
        <v>42</v>
      </c>
      <c r="M19">
        <v>1</v>
      </c>
    </row>
    <row r="20" spans="1:13" x14ac:dyDescent="0.25">
      <c r="A20" s="2">
        <v>46225</v>
      </c>
      <c r="B20" s="1" t="str">
        <f ca="1">IF(Información1[[#This Row],[Fecha]]='Ajuste de fechas'!$A$2,"Día actual","Día anterior")</f>
        <v>Día anterior</v>
      </c>
      <c r="C20" t="s">
        <v>29</v>
      </c>
      <c r="D20" t="s">
        <v>30</v>
      </c>
      <c r="E20" t="s">
        <v>139</v>
      </c>
      <c r="F20" t="s">
        <v>26</v>
      </c>
      <c r="G20" t="s">
        <v>112</v>
      </c>
      <c r="H20" t="s">
        <v>57</v>
      </c>
      <c r="I20" t="s">
        <v>7</v>
      </c>
      <c r="J20" t="s">
        <v>39</v>
      </c>
      <c r="K20" t="s">
        <v>27</v>
      </c>
      <c r="L20" t="s">
        <v>42</v>
      </c>
      <c r="M20">
        <v>1</v>
      </c>
    </row>
    <row r="21" spans="1:13" x14ac:dyDescent="0.25">
      <c r="A21" s="2">
        <v>46225</v>
      </c>
      <c r="B21" s="1" t="str">
        <f ca="1">IF(Información1[[#This Row],[Fecha]]='Ajuste de fechas'!$A$2,"Día actual","Día anterior")</f>
        <v>Día anterior</v>
      </c>
      <c r="C21" t="s">
        <v>29</v>
      </c>
      <c r="D21" t="s">
        <v>30</v>
      </c>
      <c r="E21" t="s">
        <v>140</v>
      </c>
      <c r="F21" t="s">
        <v>54</v>
      </c>
      <c r="G21" t="s">
        <v>111</v>
      </c>
      <c r="H21" t="s">
        <v>57</v>
      </c>
      <c r="I21" t="s">
        <v>7</v>
      </c>
      <c r="J21" t="s">
        <v>24</v>
      </c>
      <c r="K21" t="s">
        <v>27</v>
      </c>
      <c r="L21" t="s">
        <v>40</v>
      </c>
      <c r="M21">
        <v>1</v>
      </c>
    </row>
    <row r="22" spans="1:13" x14ac:dyDescent="0.25">
      <c r="A22" s="2">
        <v>46225</v>
      </c>
      <c r="B22" s="1" t="str">
        <f ca="1">IF(Información1[[#This Row],[Fecha]]='Ajuste de fechas'!$A$2,"Día actual","Día anterior")</f>
        <v>Día anterior</v>
      </c>
      <c r="C22" t="s">
        <v>29</v>
      </c>
      <c r="D22" t="s">
        <v>30</v>
      </c>
      <c r="E22" t="s">
        <v>141</v>
      </c>
      <c r="F22" t="s">
        <v>26</v>
      </c>
      <c r="G22" t="s">
        <v>112</v>
      </c>
      <c r="H22" t="s">
        <v>57</v>
      </c>
      <c r="I22" t="s">
        <v>7</v>
      </c>
      <c r="J22" t="s">
        <v>39</v>
      </c>
      <c r="K22" t="s">
        <v>27</v>
      </c>
      <c r="L22" t="s">
        <v>40</v>
      </c>
      <c r="M22">
        <v>1</v>
      </c>
    </row>
    <row r="23" spans="1:13" x14ac:dyDescent="0.25">
      <c r="A23" s="2">
        <v>46225</v>
      </c>
      <c r="B23" s="1" t="str">
        <f ca="1">IF(Información1[[#This Row],[Fecha]]='Ajuste de fechas'!$A$2,"Día actual","Día anterior")</f>
        <v>Día anterior</v>
      </c>
      <c r="C23" t="s">
        <v>8</v>
      </c>
      <c r="D23" t="s">
        <v>10</v>
      </c>
      <c r="E23" t="s">
        <v>142</v>
      </c>
      <c r="F23" t="s">
        <v>6</v>
      </c>
      <c r="G23" t="s">
        <v>87</v>
      </c>
      <c r="H23" t="s">
        <v>11</v>
      </c>
      <c r="I23" t="s">
        <v>25</v>
      </c>
      <c r="J23" t="s">
        <v>39</v>
      </c>
      <c r="K23" t="s">
        <v>9</v>
      </c>
      <c r="L23" t="s">
        <v>41</v>
      </c>
      <c r="M23">
        <v>1</v>
      </c>
    </row>
    <row r="24" spans="1:13" x14ac:dyDescent="0.25">
      <c r="A24" s="2">
        <v>46225</v>
      </c>
      <c r="B24" s="1" t="str">
        <f ca="1">IF(Información1[[#This Row],[Fecha]]='Ajuste de fechas'!$A$2,"Día actual","Día anterior")</f>
        <v>Día anterior</v>
      </c>
      <c r="C24" t="s">
        <v>8</v>
      </c>
      <c r="D24" t="s">
        <v>10</v>
      </c>
      <c r="E24" t="s">
        <v>143</v>
      </c>
      <c r="F24" t="s">
        <v>6</v>
      </c>
      <c r="G24" t="s">
        <v>87</v>
      </c>
      <c r="H24" t="s">
        <v>11</v>
      </c>
      <c r="I24" t="s">
        <v>25</v>
      </c>
      <c r="J24" t="s">
        <v>39</v>
      </c>
      <c r="K24" t="s">
        <v>9</v>
      </c>
      <c r="L24" t="s">
        <v>41</v>
      </c>
      <c r="M24">
        <v>1</v>
      </c>
    </row>
    <row r="25" spans="1:13" x14ac:dyDescent="0.25">
      <c r="A25" s="2">
        <v>46225</v>
      </c>
      <c r="B25" s="1" t="str">
        <f ca="1">IF(Información1[[#This Row],[Fecha]]='Ajuste de fechas'!$A$2,"Día actual","Día anterior")</f>
        <v>Día anterior</v>
      </c>
      <c r="C25" t="s">
        <v>8</v>
      </c>
      <c r="D25" t="s">
        <v>10</v>
      </c>
      <c r="E25" t="s">
        <v>144</v>
      </c>
      <c r="F25" t="s">
        <v>6</v>
      </c>
      <c r="G25" t="s">
        <v>87</v>
      </c>
      <c r="H25" t="s">
        <v>11</v>
      </c>
      <c r="I25" t="s">
        <v>25</v>
      </c>
      <c r="J25" t="s">
        <v>39</v>
      </c>
      <c r="K25" t="s">
        <v>9</v>
      </c>
      <c r="L25" t="s">
        <v>41</v>
      </c>
      <c r="M25">
        <v>1</v>
      </c>
    </row>
    <row r="26" spans="1:13" x14ac:dyDescent="0.25">
      <c r="A26" s="2">
        <v>46225</v>
      </c>
      <c r="B26" s="1" t="str">
        <f ca="1">IF(Información1[[#This Row],[Fecha]]='Ajuste de fechas'!$A$2,"Día actual","Día anterior")</f>
        <v>Día anterior</v>
      </c>
      <c r="C26" t="s">
        <v>8</v>
      </c>
      <c r="D26" t="s">
        <v>10</v>
      </c>
      <c r="E26" t="s">
        <v>20</v>
      </c>
      <c r="F26" t="s">
        <v>19</v>
      </c>
      <c r="G26" t="s">
        <v>32</v>
      </c>
      <c r="H26" t="s">
        <v>11</v>
      </c>
      <c r="I26" t="s">
        <v>12</v>
      </c>
      <c r="J26" t="s">
        <v>43</v>
      </c>
      <c r="K26" t="s">
        <v>14</v>
      </c>
      <c r="L26" t="s">
        <v>41</v>
      </c>
      <c r="M26">
        <v>1</v>
      </c>
    </row>
    <row r="27" spans="1:13" x14ac:dyDescent="0.25">
      <c r="A27" s="2">
        <v>46225</v>
      </c>
      <c r="B27" s="1" t="str">
        <f ca="1">IF(Información1[[#This Row],[Fecha]]='Ajuste de fechas'!$A$2,"Día actual","Día anterior")</f>
        <v>Día anterior</v>
      </c>
      <c r="C27" t="s">
        <v>8</v>
      </c>
      <c r="D27" t="s">
        <v>10</v>
      </c>
      <c r="E27" t="s">
        <v>18</v>
      </c>
      <c r="F27" t="s">
        <v>54</v>
      </c>
      <c r="G27" t="s">
        <v>32</v>
      </c>
      <c r="H27" t="s">
        <v>11</v>
      </c>
      <c r="I27" t="s">
        <v>12</v>
      </c>
      <c r="J27" t="s">
        <v>24</v>
      </c>
      <c r="K27" t="s">
        <v>14</v>
      </c>
      <c r="L27" t="s">
        <v>41</v>
      </c>
      <c r="M27">
        <v>1</v>
      </c>
    </row>
    <row r="28" spans="1:13" x14ac:dyDescent="0.25">
      <c r="A28" s="2">
        <v>46225</v>
      </c>
      <c r="B28" s="1" t="str">
        <f ca="1">IF(Información1[[#This Row],[Fecha]]='Ajuste de fechas'!$A$2,"Día actual","Día anterior")</f>
        <v>Día anterior</v>
      </c>
      <c r="C28" t="s">
        <v>8</v>
      </c>
      <c r="D28" t="s">
        <v>10</v>
      </c>
      <c r="E28" t="s">
        <v>70</v>
      </c>
      <c r="F28" t="s">
        <v>54</v>
      </c>
      <c r="G28" t="s">
        <v>32</v>
      </c>
      <c r="H28" t="s">
        <v>11</v>
      </c>
      <c r="I28" t="s">
        <v>12</v>
      </c>
      <c r="J28" t="s">
        <v>24</v>
      </c>
      <c r="K28" t="s">
        <v>14</v>
      </c>
      <c r="L28" t="s">
        <v>41</v>
      </c>
      <c r="M28">
        <v>1</v>
      </c>
    </row>
    <row r="29" spans="1:13" x14ac:dyDescent="0.25">
      <c r="A29" s="2">
        <v>46225</v>
      </c>
      <c r="B29" s="1" t="str">
        <f ca="1">IF(Información1[[#This Row],[Fecha]]='Ajuste de fechas'!$A$2,"Día actual","Día anterior")</f>
        <v>Día anterior</v>
      </c>
      <c r="C29" t="s">
        <v>8</v>
      </c>
      <c r="D29" t="s">
        <v>10</v>
      </c>
      <c r="E29" t="s">
        <v>13</v>
      </c>
      <c r="F29" t="s">
        <v>15</v>
      </c>
      <c r="G29" t="s">
        <v>32</v>
      </c>
      <c r="H29" t="s">
        <v>11</v>
      </c>
      <c r="I29" t="s">
        <v>12</v>
      </c>
      <c r="J29" t="s">
        <v>39</v>
      </c>
      <c r="K29" t="s">
        <v>14</v>
      </c>
      <c r="L29" t="s">
        <v>41</v>
      </c>
      <c r="M29">
        <v>1</v>
      </c>
    </row>
    <row r="30" spans="1:13" x14ac:dyDescent="0.25">
      <c r="A30" s="2">
        <v>46225</v>
      </c>
      <c r="B30" s="1" t="str">
        <f ca="1">IF(Información1[[#This Row],[Fecha]]='Ajuste de fechas'!$A$2,"Día actual","Día anterior")</f>
        <v>Día anterior</v>
      </c>
      <c r="C30" t="s">
        <v>8</v>
      </c>
      <c r="D30" t="s">
        <v>10</v>
      </c>
      <c r="E30" t="s">
        <v>16</v>
      </c>
      <c r="F30" t="s">
        <v>17</v>
      </c>
      <c r="G30" t="s">
        <v>32</v>
      </c>
      <c r="H30" t="s">
        <v>11</v>
      </c>
      <c r="I30" t="s">
        <v>12</v>
      </c>
      <c r="J30" t="s">
        <v>39</v>
      </c>
      <c r="K30" t="s">
        <v>14</v>
      </c>
      <c r="L30" t="s">
        <v>41</v>
      </c>
      <c r="M30">
        <v>1</v>
      </c>
    </row>
    <row r="31" spans="1:13" x14ac:dyDescent="0.25">
      <c r="A31" s="2">
        <v>46225</v>
      </c>
      <c r="B31" s="1" t="str">
        <f ca="1">IF(Información1[[#This Row],[Fecha]]='Ajuste de fechas'!$A$2,"Día actual","Día anterior")</f>
        <v>Día anterior</v>
      </c>
      <c r="C31" t="s">
        <v>8</v>
      </c>
      <c r="D31" t="s">
        <v>10</v>
      </c>
      <c r="E31" t="s">
        <v>53</v>
      </c>
      <c r="F31" t="s">
        <v>6</v>
      </c>
      <c r="G31" t="s">
        <v>32</v>
      </c>
      <c r="H31" t="s">
        <v>11</v>
      </c>
      <c r="I31" t="s">
        <v>12</v>
      </c>
      <c r="J31" t="s">
        <v>39</v>
      </c>
      <c r="K31" t="s">
        <v>14</v>
      </c>
      <c r="L31" t="s">
        <v>41</v>
      </c>
      <c r="M31">
        <v>1</v>
      </c>
    </row>
    <row r="32" spans="1:13" x14ac:dyDescent="0.25">
      <c r="A32" s="2">
        <v>46225</v>
      </c>
      <c r="B32" s="1" t="str">
        <f ca="1">IF(Información1[[#This Row],[Fecha]]='Ajuste de fechas'!$A$2,"Día actual","Día anterior")</f>
        <v>Día anterior</v>
      </c>
      <c r="C32" t="s">
        <v>8</v>
      </c>
      <c r="D32" t="s">
        <v>10</v>
      </c>
      <c r="E32" t="s">
        <v>145</v>
      </c>
      <c r="F32" t="s">
        <v>19</v>
      </c>
      <c r="G32" t="s">
        <v>146</v>
      </c>
      <c r="H32" t="s">
        <v>11</v>
      </c>
      <c r="I32" t="s">
        <v>7</v>
      </c>
      <c r="J32" t="s">
        <v>43</v>
      </c>
      <c r="K32" t="s">
        <v>14</v>
      </c>
      <c r="L32" t="s">
        <v>83</v>
      </c>
      <c r="M32">
        <v>1</v>
      </c>
    </row>
    <row r="33" spans="1:13" x14ac:dyDescent="0.25">
      <c r="A33" s="2">
        <v>46225</v>
      </c>
      <c r="B33" s="1" t="str">
        <f ca="1">IF(Información1[[#This Row],[Fecha]]='Ajuste de fechas'!$A$2,"Día actual","Día anterior")</f>
        <v>Día anterior</v>
      </c>
      <c r="C33" t="s">
        <v>28</v>
      </c>
      <c r="D33" t="s">
        <v>88</v>
      </c>
      <c r="E33" t="s">
        <v>147</v>
      </c>
      <c r="F33" t="s">
        <v>68</v>
      </c>
      <c r="G33" t="s">
        <v>106</v>
      </c>
      <c r="H33" t="s">
        <v>11</v>
      </c>
      <c r="I33" t="s">
        <v>7</v>
      </c>
      <c r="J33" t="s">
        <v>39</v>
      </c>
      <c r="K33" t="s">
        <v>89</v>
      </c>
      <c r="L33" t="s">
        <v>40</v>
      </c>
      <c r="M33">
        <v>1</v>
      </c>
    </row>
    <row r="34" spans="1:13" x14ac:dyDescent="0.25">
      <c r="A34" s="2">
        <v>46225</v>
      </c>
      <c r="B34" s="1" t="str">
        <f ca="1">IF(Información1[[#This Row],[Fecha]]='Ajuste de fechas'!$A$2,"Día actual","Día anterior")</f>
        <v>Día anterior</v>
      </c>
      <c r="C34" t="s">
        <v>28</v>
      </c>
      <c r="D34" t="s">
        <v>66</v>
      </c>
      <c r="E34" t="s">
        <v>148</v>
      </c>
      <c r="F34" t="s">
        <v>22</v>
      </c>
      <c r="G34" t="s">
        <v>149</v>
      </c>
      <c r="H34" t="s">
        <v>11</v>
      </c>
      <c r="I34" t="s">
        <v>25</v>
      </c>
      <c r="J34" t="s">
        <v>44</v>
      </c>
      <c r="K34" t="s">
        <v>67</v>
      </c>
      <c r="L34" t="s">
        <v>40</v>
      </c>
      <c r="M34">
        <v>1</v>
      </c>
    </row>
    <row r="35" spans="1:13" x14ac:dyDescent="0.25">
      <c r="A35" s="2">
        <v>46225</v>
      </c>
      <c r="B35" s="1" t="str">
        <f ca="1">IF(Información1[[#This Row],[Fecha]]='Ajuste de fechas'!$A$2,"Día actual","Día anterior")</f>
        <v>Día anterior</v>
      </c>
      <c r="C35" t="s">
        <v>28</v>
      </c>
      <c r="D35" t="s">
        <v>88</v>
      </c>
      <c r="E35" t="s">
        <v>150</v>
      </c>
      <c r="F35" t="s">
        <v>22</v>
      </c>
      <c r="G35" t="s">
        <v>149</v>
      </c>
      <c r="H35" t="s">
        <v>11</v>
      </c>
      <c r="I35" t="s">
        <v>7</v>
      </c>
      <c r="J35" t="s">
        <v>44</v>
      </c>
      <c r="K35" t="s">
        <v>89</v>
      </c>
      <c r="L35" t="s">
        <v>40</v>
      </c>
      <c r="M35">
        <v>1</v>
      </c>
    </row>
    <row r="36" spans="1:13" x14ac:dyDescent="0.25">
      <c r="A36" s="2">
        <v>46225</v>
      </c>
      <c r="B36" s="1" t="str">
        <f ca="1">IF(Información1[[#This Row],[Fecha]]='Ajuste de fechas'!$A$2,"Día actual","Día anterior")</f>
        <v>Día anterior</v>
      </c>
      <c r="C36" t="s">
        <v>8</v>
      </c>
      <c r="D36" t="s">
        <v>10</v>
      </c>
      <c r="E36" t="s">
        <v>151</v>
      </c>
      <c r="F36" t="s">
        <v>152</v>
      </c>
      <c r="G36" t="s">
        <v>153</v>
      </c>
      <c r="H36" t="s">
        <v>11</v>
      </c>
      <c r="I36" t="s">
        <v>7</v>
      </c>
      <c r="J36" t="s">
        <v>24</v>
      </c>
      <c r="K36" t="s">
        <v>14</v>
      </c>
      <c r="L36" t="s">
        <v>40</v>
      </c>
      <c r="M36">
        <v>1</v>
      </c>
    </row>
    <row r="37" spans="1:13" x14ac:dyDescent="0.25">
      <c r="A37" s="2">
        <v>46225</v>
      </c>
      <c r="B37" s="1" t="str">
        <f ca="1">IF(Información1[[#This Row],[Fecha]]='Ajuste de fechas'!$A$2,"Día actual","Día anterior")</f>
        <v>Día anterior</v>
      </c>
      <c r="C37" t="s">
        <v>8</v>
      </c>
      <c r="D37" t="s">
        <v>10</v>
      </c>
      <c r="E37" t="s">
        <v>154</v>
      </c>
      <c r="F37" t="s">
        <v>22</v>
      </c>
      <c r="G37" t="s">
        <v>93</v>
      </c>
      <c r="H37" t="s">
        <v>11</v>
      </c>
      <c r="I37" t="s">
        <v>7</v>
      </c>
      <c r="J37" t="s">
        <v>44</v>
      </c>
      <c r="K37" t="s">
        <v>14</v>
      </c>
      <c r="L37" t="s">
        <v>40</v>
      </c>
      <c r="M37">
        <v>1</v>
      </c>
    </row>
    <row r="38" spans="1:13" x14ac:dyDescent="0.25">
      <c r="A38" s="2">
        <v>46225</v>
      </c>
      <c r="B38" s="1" t="str">
        <f ca="1">IF(Información1[[#This Row],[Fecha]]='Ajuste de fechas'!$A$2,"Día actual","Día anterior")</f>
        <v>Día anterior</v>
      </c>
      <c r="C38" t="s">
        <v>8</v>
      </c>
      <c r="D38" t="s">
        <v>10</v>
      </c>
      <c r="E38" t="s">
        <v>155</v>
      </c>
      <c r="F38" t="s">
        <v>6</v>
      </c>
      <c r="G38" t="s">
        <v>69</v>
      </c>
      <c r="H38" t="s">
        <v>11</v>
      </c>
      <c r="I38" t="s">
        <v>12</v>
      </c>
      <c r="J38" t="s">
        <v>39</v>
      </c>
      <c r="K38" t="s">
        <v>9</v>
      </c>
      <c r="L38" t="s">
        <v>41</v>
      </c>
      <c r="M38">
        <v>1</v>
      </c>
    </row>
    <row r="39" spans="1:13" x14ac:dyDescent="0.25">
      <c r="A39" s="2">
        <v>46225</v>
      </c>
      <c r="B39" s="1" t="str">
        <f ca="1">IF(Información1[[#This Row],[Fecha]]='Ajuste de fechas'!$A$2,"Día actual","Día anterior")</f>
        <v>Día anterior</v>
      </c>
      <c r="C39" t="s">
        <v>75</v>
      </c>
      <c r="D39" t="s">
        <v>76</v>
      </c>
      <c r="E39" t="s">
        <v>156</v>
      </c>
      <c r="F39" t="s">
        <v>121</v>
      </c>
      <c r="G39" t="s">
        <v>98</v>
      </c>
      <c r="H39" t="s">
        <v>11</v>
      </c>
      <c r="I39" t="s">
        <v>12</v>
      </c>
      <c r="J39" t="s">
        <v>39</v>
      </c>
      <c r="K39" t="s">
        <v>77</v>
      </c>
      <c r="L39" t="s">
        <v>42</v>
      </c>
      <c r="M39">
        <v>1</v>
      </c>
    </row>
    <row r="40" spans="1:13" x14ac:dyDescent="0.25">
      <c r="A40" s="2">
        <v>46225</v>
      </c>
      <c r="B40" s="1" t="str">
        <f ca="1">IF(Información1[[#This Row],[Fecha]]='Ajuste de fechas'!$A$2,"Día actual","Día anterior")</f>
        <v>Día anterior</v>
      </c>
      <c r="C40" t="s">
        <v>75</v>
      </c>
      <c r="D40" t="s">
        <v>76</v>
      </c>
      <c r="E40" t="s">
        <v>104</v>
      </c>
      <c r="F40" t="s">
        <v>68</v>
      </c>
      <c r="G40" t="s">
        <v>98</v>
      </c>
      <c r="H40" t="s">
        <v>11</v>
      </c>
      <c r="I40" t="s">
        <v>12</v>
      </c>
      <c r="J40" t="s">
        <v>39</v>
      </c>
      <c r="K40" t="s">
        <v>77</v>
      </c>
      <c r="L40" t="s">
        <v>42</v>
      </c>
      <c r="M40">
        <v>1</v>
      </c>
    </row>
    <row r="41" spans="1:13" x14ac:dyDescent="0.25">
      <c r="A41" s="2">
        <v>46225</v>
      </c>
      <c r="B41" s="1" t="str">
        <f ca="1">IF(Información1[[#This Row],[Fecha]]='Ajuste de fechas'!$A$2,"Día actual","Día anterior")</f>
        <v>Día anterior</v>
      </c>
      <c r="C41" t="s">
        <v>28</v>
      </c>
      <c r="D41" t="s">
        <v>88</v>
      </c>
      <c r="E41" t="s">
        <v>157</v>
      </c>
      <c r="F41" t="s">
        <v>22</v>
      </c>
      <c r="G41" t="s">
        <v>101</v>
      </c>
      <c r="H41" t="s">
        <v>11</v>
      </c>
      <c r="I41" t="s">
        <v>7</v>
      </c>
      <c r="J41" t="s">
        <v>44</v>
      </c>
      <c r="K41" t="s">
        <v>89</v>
      </c>
      <c r="L41" t="s">
        <v>41</v>
      </c>
      <c r="M41">
        <v>1</v>
      </c>
    </row>
    <row r="42" spans="1:13" x14ac:dyDescent="0.25">
      <c r="A42" s="2">
        <v>46225</v>
      </c>
      <c r="B42" s="1" t="str">
        <f ca="1">IF(Información1[[#This Row],[Fecha]]='Ajuste de fechas'!$A$2,"Día actual","Día anterior")</f>
        <v>Día anterior</v>
      </c>
      <c r="C42" t="s">
        <v>28</v>
      </c>
      <c r="D42" t="s">
        <v>88</v>
      </c>
      <c r="E42" t="s">
        <v>158</v>
      </c>
      <c r="F42" t="s">
        <v>22</v>
      </c>
      <c r="G42" t="s">
        <v>101</v>
      </c>
      <c r="H42" t="s">
        <v>11</v>
      </c>
      <c r="I42" t="s">
        <v>7</v>
      </c>
      <c r="J42" t="s">
        <v>44</v>
      </c>
      <c r="K42" t="s">
        <v>89</v>
      </c>
      <c r="L42" t="s">
        <v>40</v>
      </c>
      <c r="M42">
        <v>1</v>
      </c>
    </row>
    <row r="43" spans="1:13" x14ac:dyDescent="0.25">
      <c r="A43" s="2">
        <v>46225</v>
      </c>
      <c r="B43" s="1" t="str">
        <f ca="1">IF(Información1[[#This Row],[Fecha]]='Ajuste de fechas'!$A$2,"Día actual","Día anterior")</f>
        <v>Día anterior</v>
      </c>
      <c r="C43" t="s">
        <v>28</v>
      </c>
      <c r="D43" t="s">
        <v>66</v>
      </c>
      <c r="E43" t="s">
        <v>159</v>
      </c>
      <c r="F43" t="s">
        <v>54</v>
      </c>
      <c r="G43" t="s">
        <v>160</v>
      </c>
      <c r="H43" t="s">
        <v>11</v>
      </c>
      <c r="I43" t="s">
        <v>7</v>
      </c>
      <c r="J43" t="s">
        <v>24</v>
      </c>
      <c r="K43" t="s">
        <v>67</v>
      </c>
      <c r="L43" t="s">
        <v>40</v>
      </c>
      <c r="M43">
        <v>1</v>
      </c>
    </row>
    <row r="44" spans="1:13" x14ac:dyDescent="0.25">
      <c r="A44" s="2">
        <v>46225</v>
      </c>
      <c r="B44" s="1" t="str">
        <f ca="1">IF(Información1[[#This Row],[Fecha]]='Ajuste de fechas'!$A$2,"Día actual","Día anterior")</f>
        <v>Día anterior</v>
      </c>
      <c r="C44" t="s">
        <v>8</v>
      </c>
      <c r="D44" t="s">
        <v>10</v>
      </c>
      <c r="E44" t="s">
        <v>161</v>
      </c>
      <c r="F44" t="s">
        <v>24</v>
      </c>
      <c r="G44" t="s">
        <v>99</v>
      </c>
      <c r="H44" t="s">
        <v>11</v>
      </c>
      <c r="I44" t="s">
        <v>7</v>
      </c>
      <c r="J44" t="s">
        <v>24</v>
      </c>
      <c r="K44" t="s">
        <v>9</v>
      </c>
      <c r="L44" t="s">
        <v>41</v>
      </c>
      <c r="M44">
        <v>1</v>
      </c>
    </row>
    <row r="45" spans="1:13" x14ac:dyDescent="0.25">
      <c r="A45" s="2">
        <v>46225</v>
      </c>
      <c r="B45" s="1" t="str">
        <f ca="1">IF(Información1[[#This Row],[Fecha]]='Ajuste de fechas'!$A$2,"Día actual","Día anterior")</f>
        <v>Día anterior</v>
      </c>
      <c r="C45" t="s">
        <v>8</v>
      </c>
      <c r="D45" t="s">
        <v>10</v>
      </c>
      <c r="E45" t="s">
        <v>103</v>
      </c>
      <c r="F45" t="s">
        <v>85</v>
      </c>
      <c r="G45" t="s">
        <v>162</v>
      </c>
      <c r="H45" t="s">
        <v>11</v>
      </c>
      <c r="I45" t="s">
        <v>7</v>
      </c>
      <c r="J45" t="s">
        <v>39</v>
      </c>
      <c r="K45" t="s">
        <v>14</v>
      </c>
      <c r="L45" t="s">
        <v>42</v>
      </c>
      <c r="M45">
        <v>1</v>
      </c>
    </row>
    <row r="46" spans="1:13" x14ac:dyDescent="0.25">
      <c r="A46" s="2">
        <v>46225</v>
      </c>
      <c r="B46" s="1" t="str">
        <f ca="1">IF(Información1[[#This Row],[Fecha]]='Ajuste de fechas'!$A$2,"Día actual","Día anterior")</f>
        <v>Día anterior</v>
      </c>
      <c r="C46" t="s">
        <v>28</v>
      </c>
      <c r="D46" t="s">
        <v>66</v>
      </c>
      <c r="E46" t="s">
        <v>163</v>
      </c>
      <c r="F46" t="s">
        <v>22</v>
      </c>
      <c r="G46" t="s">
        <v>164</v>
      </c>
      <c r="H46" t="s">
        <v>11</v>
      </c>
      <c r="I46" t="s">
        <v>25</v>
      </c>
      <c r="J46" t="s">
        <v>44</v>
      </c>
      <c r="K46" t="s">
        <v>67</v>
      </c>
      <c r="L46" t="s">
        <v>40</v>
      </c>
      <c r="M46">
        <v>1</v>
      </c>
    </row>
    <row r="47" spans="1:13" x14ac:dyDescent="0.25">
      <c r="A47" s="2">
        <v>46225</v>
      </c>
      <c r="B47" s="1" t="str">
        <f ca="1">IF(Información1[[#This Row],[Fecha]]='Ajuste de fechas'!$A$2,"Día actual","Día anterior")</f>
        <v>Día anterior</v>
      </c>
      <c r="C47" t="s">
        <v>28</v>
      </c>
      <c r="D47" t="s">
        <v>66</v>
      </c>
      <c r="E47" t="s">
        <v>165</v>
      </c>
      <c r="F47" t="s">
        <v>121</v>
      </c>
      <c r="G47" t="s">
        <v>122</v>
      </c>
      <c r="H47" t="s">
        <v>11</v>
      </c>
      <c r="I47" t="s">
        <v>12</v>
      </c>
      <c r="J47" t="s">
        <v>39</v>
      </c>
      <c r="K47" t="s">
        <v>67</v>
      </c>
      <c r="L47" t="s">
        <v>107</v>
      </c>
      <c r="M47">
        <v>1</v>
      </c>
    </row>
    <row r="48" spans="1:13" x14ac:dyDescent="0.25">
      <c r="A48" s="2">
        <v>46225</v>
      </c>
      <c r="B48" s="1" t="str">
        <f ca="1">IF(Información1[[#This Row],[Fecha]]='Ajuste de fechas'!$A$2,"Día actual","Día anterior")</f>
        <v>Día anterior</v>
      </c>
      <c r="C48" t="s">
        <v>166</v>
      </c>
      <c r="D48" t="s">
        <v>167</v>
      </c>
      <c r="E48" t="s">
        <v>168</v>
      </c>
      <c r="F48" t="s">
        <v>121</v>
      </c>
      <c r="G48" t="s">
        <v>122</v>
      </c>
      <c r="H48" t="s">
        <v>11</v>
      </c>
      <c r="I48" t="s">
        <v>12</v>
      </c>
      <c r="J48" t="s">
        <v>39</v>
      </c>
      <c r="K48" t="s">
        <v>169</v>
      </c>
      <c r="L48" t="s">
        <v>107</v>
      </c>
      <c r="M48">
        <v>1</v>
      </c>
    </row>
    <row r="49" spans="1:13" x14ac:dyDescent="0.25">
      <c r="A49" s="2">
        <v>46225</v>
      </c>
      <c r="B49" s="1" t="str">
        <f ca="1">IF(Información1[[#This Row],[Fecha]]='Ajuste de fechas'!$A$2,"Día actual","Día anterior")</f>
        <v>Día anterior</v>
      </c>
      <c r="C49" t="s">
        <v>170</v>
      </c>
      <c r="D49" t="s">
        <v>171</v>
      </c>
      <c r="E49" t="s">
        <v>168</v>
      </c>
      <c r="F49" t="s">
        <v>121</v>
      </c>
      <c r="G49" t="s">
        <v>122</v>
      </c>
      <c r="H49" t="s">
        <v>11</v>
      </c>
      <c r="I49" t="s">
        <v>12</v>
      </c>
      <c r="J49" t="s">
        <v>39</v>
      </c>
      <c r="K49" t="s">
        <v>172</v>
      </c>
      <c r="L49" t="s">
        <v>107</v>
      </c>
      <c r="M49">
        <v>1</v>
      </c>
    </row>
    <row r="50" spans="1:13" x14ac:dyDescent="0.25">
      <c r="A50" s="2">
        <v>46225</v>
      </c>
      <c r="B50" s="1" t="str">
        <f ca="1">IF(Información1[[#This Row],[Fecha]]='Ajuste de fechas'!$A$2,"Día actual","Día anterior")</f>
        <v>Día anterior</v>
      </c>
      <c r="C50" t="s">
        <v>28</v>
      </c>
      <c r="D50" t="s">
        <v>66</v>
      </c>
      <c r="E50" t="s">
        <v>173</v>
      </c>
      <c r="F50" t="s">
        <v>19</v>
      </c>
      <c r="G50" t="s">
        <v>174</v>
      </c>
      <c r="H50" t="s">
        <v>11</v>
      </c>
      <c r="I50" t="s">
        <v>7</v>
      </c>
      <c r="J50" t="s">
        <v>43</v>
      </c>
      <c r="K50" t="s">
        <v>67</v>
      </c>
      <c r="L50" t="s">
        <v>83</v>
      </c>
      <c r="M50">
        <v>1</v>
      </c>
    </row>
    <row r="51" spans="1:13" x14ac:dyDescent="0.25">
      <c r="A51" s="2">
        <v>46225</v>
      </c>
      <c r="B51" s="1" t="str">
        <f ca="1">IF(Información1[[#This Row],[Fecha]]='Ajuste de fechas'!$A$2,"Día actual","Día anterior")</f>
        <v>Día anterior</v>
      </c>
      <c r="C51" t="s">
        <v>28</v>
      </c>
      <c r="D51" t="s">
        <v>66</v>
      </c>
      <c r="E51" t="s">
        <v>175</v>
      </c>
      <c r="F51" t="s">
        <v>19</v>
      </c>
      <c r="G51" t="s">
        <v>174</v>
      </c>
      <c r="H51" t="s">
        <v>11</v>
      </c>
      <c r="I51" t="s">
        <v>7</v>
      </c>
      <c r="J51" t="s">
        <v>43</v>
      </c>
      <c r="K51" t="s">
        <v>67</v>
      </c>
      <c r="L51" t="s">
        <v>40</v>
      </c>
      <c r="M51">
        <v>1</v>
      </c>
    </row>
    <row r="52" spans="1:13" x14ac:dyDescent="0.25">
      <c r="A52" s="2">
        <v>46225</v>
      </c>
      <c r="B52" s="1" t="str">
        <f ca="1">IF(Información1[[#This Row],[Fecha]]='Ajuste de fechas'!$A$2,"Día actual","Día anterior")</f>
        <v>Día anterior</v>
      </c>
      <c r="C52" t="s">
        <v>28</v>
      </c>
      <c r="D52" t="s">
        <v>88</v>
      </c>
      <c r="E52" t="s">
        <v>176</v>
      </c>
      <c r="F52" t="s">
        <v>19</v>
      </c>
      <c r="G52" t="s">
        <v>174</v>
      </c>
      <c r="H52" t="s">
        <v>11</v>
      </c>
      <c r="I52" t="s">
        <v>7</v>
      </c>
      <c r="J52" t="s">
        <v>43</v>
      </c>
      <c r="K52" t="s">
        <v>89</v>
      </c>
      <c r="L52" t="s">
        <v>83</v>
      </c>
      <c r="M52">
        <v>1</v>
      </c>
    </row>
    <row r="53" spans="1:13" x14ac:dyDescent="0.25">
      <c r="A53" s="2">
        <v>46225</v>
      </c>
      <c r="B53" s="1" t="str">
        <f ca="1">IF(Información1[[#This Row],[Fecha]]='Ajuste de fechas'!$A$2,"Día actual","Día anterior")</f>
        <v>Día anterior</v>
      </c>
      <c r="C53" t="s">
        <v>8</v>
      </c>
      <c r="D53" t="s">
        <v>10</v>
      </c>
      <c r="E53" t="s">
        <v>177</v>
      </c>
      <c r="F53" t="s">
        <v>54</v>
      </c>
      <c r="G53" t="s">
        <v>178</v>
      </c>
      <c r="H53" t="s">
        <v>11</v>
      </c>
      <c r="I53" t="s">
        <v>7</v>
      </c>
      <c r="J53" t="s">
        <v>24</v>
      </c>
      <c r="K53" t="s">
        <v>14</v>
      </c>
      <c r="L53" t="s">
        <v>40</v>
      </c>
      <c r="M53">
        <v>1</v>
      </c>
    </row>
    <row r="54" spans="1:13" x14ac:dyDescent="0.25">
      <c r="A54" s="2">
        <v>46225</v>
      </c>
      <c r="B54" s="1" t="str">
        <f ca="1">IF(Información1[[#This Row],[Fecha]]='Ajuste de fechas'!$A$2,"Día actual","Día anterior")</f>
        <v>Día anterior</v>
      </c>
      <c r="C54" t="s">
        <v>28</v>
      </c>
      <c r="D54" t="s">
        <v>88</v>
      </c>
      <c r="E54" t="s">
        <v>179</v>
      </c>
      <c r="F54" t="s">
        <v>22</v>
      </c>
      <c r="G54" t="s">
        <v>180</v>
      </c>
      <c r="H54" t="s">
        <v>11</v>
      </c>
      <c r="I54" t="s">
        <v>7</v>
      </c>
      <c r="J54" t="s">
        <v>44</v>
      </c>
      <c r="K54" t="s">
        <v>89</v>
      </c>
      <c r="L54" t="s">
        <v>41</v>
      </c>
      <c r="M54">
        <v>1</v>
      </c>
    </row>
    <row r="55" spans="1:13" x14ac:dyDescent="0.25">
      <c r="A55" s="2">
        <v>46225</v>
      </c>
      <c r="B55" s="1" t="str">
        <f ca="1">IF(Información1[[#This Row],[Fecha]]='Ajuste de fechas'!$A$2,"Día actual","Día anterior")</f>
        <v>Día anterior</v>
      </c>
      <c r="C55" t="s">
        <v>28</v>
      </c>
      <c r="D55" t="s">
        <v>88</v>
      </c>
      <c r="E55" t="s">
        <v>181</v>
      </c>
      <c r="F55" t="s">
        <v>22</v>
      </c>
      <c r="G55" t="s">
        <v>180</v>
      </c>
      <c r="H55" t="s">
        <v>11</v>
      </c>
      <c r="I55" t="s">
        <v>7</v>
      </c>
      <c r="J55" t="s">
        <v>44</v>
      </c>
      <c r="K55" t="s">
        <v>89</v>
      </c>
      <c r="L55" t="s">
        <v>40</v>
      </c>
      <c r="M55">
        <v>1</v>
      </c>
    </row>
    <row r="56" spans="1:13" x14ac:dyDescent="0.25">
      <c r="A56" s="2">
        <v>46225</v>
      </c>
      <c r="B56" s="1" t="str">
        <f ca="1">IF(Información1[[#This Row],[Fecha]]='Ajuste de fechas'!$A$2,"Día actual","Día anterior")</f>
        <v>Día anterior</v>
      </c>
      <c r="C56" t="s">
        <v>75</v>
      </c>
      <c r="D56" t="s">
        <v>76</v>
      </c>
      <c r="E56" t="s">
        <v>182</v>
      </c>
      <c r="F56" t="s">
        <v>68</v>
      </c>
      <c r="G56" t="s">
        <v>81</v>
      </c>
      <c r="H56" t="s">
        <v>11</v>
      </c>
      <c r="I56" t="s">
        <v>12</v>
      </c>
      <c r="J56" t="s">
        <v>39</v>
      </c>
      <c r="K56" t="s">
        <v>77</v>
      </c>
      <c r="L56" t="s">
        <v>42</v>
      </c>
      <c r="M56">
        <v>1</v>
      </c>
    </row>
    <row r="57" spans="1:13" x14ac:dyDescent="0.25">
      <c r="A57" s="2">
        <v>46225</v>
      </c>
      <c r="B57" s="1" t="str">
        <f ca="1">IF(Información1[[#This Row],[Fecha]]='Ajuste de fechas'!$A$2,"Día actual","Día anterior")</f>
        <v>Día anterior</v>
      </c>
      <c r="C57" t="s">
        <v>28</v>
      </c>
      <c r="D57" t="s">
        <v>66</v>
      </c>
      <c r="E57" t="s">
        <v>183</v>
      </c>
      <c r="F57" t="s">
        <v>19</v>
      </c>
      <c r="G57" t="s">
        <v>184</v>
      </c>
      <c r="H57" t="s">
        <v>11</v>
      </c>
      <c r="I57" t="s">
        <v>7</v>
      </c>
      <c r="J57" t="s">
        <v>43</v>
      </c>
      <c r="K57" t="s">
        <v>67</v>
      </c>
      <c r="L57" t="s">
        <v>40</v>
      </c>
      <c r="M57">
        <v>1</v>
      </c>
    </row>
    <row r="58" spans="1:13" x14ac:dyDescent="0.25">
      <c r="A58" s="2">
        <v>46225</v>
      </c>
      <c r="B58" s="1" t="str">
        <f ca="1">IF(Información1[[#This Row],[Fecha]]='Ajuste de fechas'!$A$2,"Día actual","Día anterior")</f>
        <v>Día anterior</v>
      </c>
      <c r="C58" t="s">
        <v>95</v>
      </c>
      <c r="D58" t="s">
        <v>96</v>
      </c>
      <c r="E58" t="s">
        <v>185</v>
      </c>
      <c r="F58" t="s">
        <v>26</v>
      </c>
      <c r="G58" t="s">
        <v>112</v>
      </c>
      <c r="H58" t="s">
        <v>11</v>
      </c>
      <c r="I58" t="s">
        <v>7</v>
      </c>
      <c r="J58" t="s">
        <v>39</v>
      </c>
      <c r="K58" t="s">
        <v>97</v>
      </c>
      <c r="L58" t="s">
        <v>42</v>
      </c>
      <c r="M58">
        <v>1</v>
      </c>
    </row>
    <row r="59" spans="1:13" x14ac:dyDescent="0.25">
      <c r="A59" s="2">
        <v>46225</v>
      </c>
      <c r="B59" s="1" t="str">
        <f ca="1">IF(Información1[[#This Row],[Fecha]]='Ajuste de fechas'!$A$2,"Día actual","Día anterior")</f>
        <v>Día anterior</v>
      </c>
      <c r="C59" t="s">
        <v>28</v>
      </c>
      <c r="D59" t="s">
        <v>66</v>
      </c>
      <c r="E59" t="s">
        <v>186</v>
      </c>
      <c r="F59" t="s">
        <v>26</v>
      </c>
      <c r="G59" t="s">
        <v>112</v>
      </c>
      <c r="H59" t="s">
        <v>11</v>
      </c>
      <c r="I59" t="s">
        <v>7</v>
      </c>
      <c r="J59" t="s">
        <v>39</v>
      </c>
      <c r="K59" t="s">
        <v>67</v>
      </c>
      <c r="L59" t="s">
        <v>42</v>
      </c>
      <c r="M59">
        <v>1</v>
      </c>
    </row>
    <row r="60" spans="1:13" x14ac:dyDescent="0.25">
      <c r="A60" s="2">
        <v>46225</v>
      </c>
      <c r="B60" s="1" t="str">
        <f ca="1">IF(Información1[[#This Row],[Fecha]]='Ajuste de fechas'!$A$2,"Día actual","Día anterior")</f>
        <v>Día anterior</v>
      </c>
      <c r="C60" t="s">
        <v>28</v>
      </c>
      <c r="D60" t="s">
        <v>66</v>
      </c>
      <c r="E60" t="s">
        <v>185</v>
      </c>
      <c r="F60" t="s">
        <v>26</v>
      </c>
      <c r="G60" t="s">
        <v>112</v>
      </c>
      <c r="H60" t="s">
        <v>11</v>
      </c>
      <c r="I60" t="s">
        <v>7</v>
      </c>
      <c r="J60" t="s">
        <v>39</v>
      </c>
      <c r="K60" t="s">
        <v>67</v>
      </c>
      <c r="L60" t="s">
        <v>42</v>
      </c>
      <c r="M60">
        <v>1</v>
      </c>
    </row>
    <row r="61" spans="1:13" x14ac:dyDescent="0.25">
      <c r="A61" s="2">
        <v>46225</v>
      </c>
      <c r="B61" s="1" t="str">
        <f ca="1">IF(Información1[[#This Row],[Fecha]]='Ajuste de fechas'!$A$2,"Día actual","Día anterior")</f>
        <v>Día anterior</v>
      </c>
      <c r="C61" t="s">
        <v>28</v>
      </c>
      <c r="D61" t="s">
        <v>88</v>
      </c>
      <c r="E61" t="s">
        <v>187</v>
      </c>
      <c r="F61" t="s">
        <v>26</v>
      </c>
      <c r="G61" t="s">
        <v>112</v>
      </c>
      <c r="H61" t="s">
        <v>11</v>
      </c>
      <c r="I61" t="s">
        <v>7</v>
      </c>
      <c r="J61" t="s">
        <v>39</v>
      </c>
      <c r="K61" t="s">
        <v>89</v>
      </c>
      <c r="L61" t="s">
        <v>40</v>
      </c>
      <c r="M61">
        <v>1</v>
      </c>
    </row>
    <row r="62" spans="1:13" x14ac:dyDescent="0.25">
      <c r="A62" s="2">
        <v>46225</v>
      </c>
      <c r="B62" s="1" t="str">
        <f ca="1">IF(Información1[[#This Row],[Fecha]]='Ajuste de fechas'!$A$2,"Día actual","Día anterior")</f>
        <v>Día anterior</v>
      </c>
      <c r="C62" t="s">
        <v>28</v>
      </c>
      <c r="D62" t="s">
        <v>88</v>
      </c>
      <c r="E62" t="s">
        <v>188</v>
      </c>
      <c r="F62" t="s">
        <v>26</v>
      </c>
      <c r="G62" t="s">
        <v>112</v>
      </c>
      <c r="H62" t="s">
        <v>11</v>
      </c>
      <c r="I62" t="s">
        <v>7</v>
      </c>
      <c r="J62" t="s">
        <v>39</v>
      </c>
      <c r="K62" t="s">
        <v>89</v>
      </c>
      <c r="L62" t="s">
        <v>40</v>
      </c>
      <c r="M62">
        <v>1</v>
      </c>
    </row>
    <row r="63" spans="1:13" x14ac:dyDescent="0.25">
      <c r="A63" s="2">
        <v>46225</v>
      </c>
      <c r="B63" s="1" t="str">
        <f ca="1">IF(Información1[[#This Row],[Fecha]]='Ajuste de fechas'!$A$2,"Día actual","Día anterior")</f>
        <v>Día anterior</v>
      </c>
      <c r="C63" t="s">
        <v>28</v>
      </c>
      <c r="D63" t="s">
        <v>88</v>
      </c>
      <c r="E63" t="s">
        <v>189</v>
      </c>
      <c r="F63" t="s">
        <v>109</v>
      </c>
      <c r="G63" t="s">
        <v>110</v>
      </c>
      <c r="H63" t="s">
        <v>11</v>
      </c>
      <c r="I63" t="s">
        <v>7</v>
      </c>
      <c r="J63" t="s">
        <v>24</v>
      </c>
      <c r="K63" t="s">
        <v>89</v>
      </c>
      <c r="L63" t="s">
        <v>40</v>
      </c>
      <c r="M63">
        <v>1</v>
      </c>
    </row>
    <row r="64" spans="1:13" x14ac:dyDescent="0.25">
      <c r="A64" s="2">
        <v>46225</v>
      </c>
      <c r="B64" s="1" t="str">
        <f ca="1">IF(Información1[[#This Row],[Fecha]]='Ajuste de fechas'!$A$2,"Día actual","Día anterior")</f>
        <v>Día anterior</v>
      </c>
      <c r="C64" t="s">
        <v>8</v>
      </c>
      <c r="D64" t="s">
        <v>10</v>
      </c>
      <c r="E64" t="s">
        <v>190</v>
      </c>
      <c r="F64" t="s">
        <v>21</v>
      </c>
      <c r="G64" t="s">
        <v>191</v>
      </c>
      <c r="H64" t="s">
        <v>11</v>
      </c>
      <c r="I64" t="s">
        <v>7</v>
      </c>
      <c r="J64" t="s">
        <v>39</v>
      </c>
      <c r="K64" t="s">
        <v>14</v>
      </c>
      <c r="L64" t="s">
        <v>42</v>
      </c>
      <c r="M64">
        <v>1</v>
      </c>
    </row>
    <row r="65" spans="1:13" x14ac:dyDescent="0.25">
      <c r="A65" s="2">
        <v>46225</v>
      </c>
      <c r="B65" s="1" t="str">
        <f ca="1">IF(Información1[[#This Row],[Fecha]]='Ajuste de fechas'!$A$2,"Día actual","Día anterior")</f>
        <v>Día anterior</v>
      </c>
      <c r="C65" t="s">
        <v>8</v>
      </c>
      <c r="D65" t="s">
        <v>10</v>
      </c>
      <c r="E65" t="s">
        <v>192</v>
      </c>
      <c r="F65" t="s">
        <v>19</v>
      </c>
      <c r="G65" t="s">
        <v>79</v>
      </c>
      <c r="H65" t="s">
        <v>11</v>
      </c>
      <c r="I65" t="s">
        <v>25</v>
      </c>
      <c r="J65" t="s">
        <v>43</v>
      </c>
      <c r="K65" t="s">
        <v>9</v>
      </c>
      <c r="L65" t="s">
        <v>41</v>
      </c>
      <c r="M65">
        <v>1</v>
      </c>
    </row>
    <row r="66" spans="1:13" x14ac:dyDescent="0.25">
      <c r="A66" s="2">
        <v>46225</v>
      </c>
      <c r="B66" s="1" t="str">
        <f ca="1">IF(Información1[[#This Row],[Fecha]]='Ajuste de fechas'!$A$2,"Día actual","Día anterior")</f>
        <v>Día anterior</v>
      </c>
      <c r="C66" t="s">
        <v>50</v>
      </c>
      <c r="D66" t="s">
        <v>55</v>
      </c>
      <c r="E66" t="s">
        <v>102</v>
      </c>
      <c r="F66" t="s">
        <v>22</v>
      </c>
      <c r="G66" t="s">
        <v>94</v>
      </c>
      <c r="H66" t="s">
        <v>11</v>
      </c>
      <c r="I66" t="s">
        <v>7</v>
      </c>
      <c r="J66" t="s">
        <v>44</v>
      </c>
      <c r="K66" t="s">
        <v>51</v>
      </c>
      <c r="L66" t="s">
        <v>40</v>
      </c>
      <c r="M66">
        <v>1</v>
      </c>
    </row>
    <row r="67" spans="1:13" x14ac:dyDescent="0.25">
      <c r="A67" s="2">
        <v>46225</v>
      </c>
      <c r="B67" s="1" t="str">
        <f ca="1">IF(Información1[[#This Row],[Fecha]]='Ajuste de fechas'!$A$2,"Día actual","Día anterior")</f>
        <v>Día anterior</v>
      </c>
      <c r="C67" t="s">
        <v>63</v>
      </c>
      <c r="D67" t="s">
        <v>64</v>
      </c>
      <c r="E67" t="s">
        <v>193</v>
      </c>
      <c r="F67" t="s">
        <v>22</v>
      </c>
      <c r="G67" t="s">
        <v>94</v>
      </c>
      <c r="H67" t="s">
        <v>11</v>
      </c>
      <c r="I67" t="s">
        <v>7</v>
      </c>
      <c r="J67" t="s">
        <v>44</v>
      </c>
      <c r="K67" t="s">
        <v>65</v>
      </c>
      <c r="L67" t="s">
        <v>40</v>
      </c>
      <c r="M67">
        <v>1</v>
      </c>
    </row>
    <row r="68" spans="1:13" x14ac:dyDescent="0.25">
      <c r="A68" s="2">
        <v>46225</v>
      </c>
      <c r="B68" s="1" t="str">
        <f ca="1">IF(Información1[[#This Row],[Fecha]]='Ajuste de fechas'!$A$2,"Día actual","Día anterior")</f>
        <v>Día anterior</v>
      </c>
      <c r="C68" t="s">
        <v>63</v>
      </c>
      <c r="D68" t="s">
        <v>64</v>
      </c>
      <c r="E68" t="s">
        <v>194</v>
      </c>
      <c r="F68" t="s">
        <v>54</v>
      </c>
      <c r="G68" t="s">
        <v>160</v>
      </c>
      <c r="H68" t="s">
        <v>11</v>
      </c>
      <c r="I68" t="s">
        <v>7</v>
      </c>
      <c r="J68" t="s">
        <v>24</v>
      </c>
      <c r="K68" t="s">
        <v>65</v>
      </c>
      <c r="L68" t="s">
        <v>40</v>
      </c>
      <c r="M68">
        <v>1</v>
      </c>
    </row>
    <row r="69" spans="1:13" x14ac:dyDescent="0.25">
      <c r="A69" s="2">
        <v>46225</v>
      </c>
      <c r="B69" s="1" t="str">
        <f ca="1">IF(Información1[[#This Row],[Fecha]]='Ajuste de fechas'!$A$2,"Día actual","Día anterior")</f>
        <v>Día anterior</v>
      </c>
      <c r="C69" t="s">
        <v>63</v>
      </c>
      <c r="D69" t="s">
        <v>64</v>
      </c>
      <c r="E69" t="s">
        <v>195</v>
      </c>
      <c r="F69" t="s">
        <v>19</v>
      </c>
      <c r="G69" t="s">
        <v>196</v>
      </c>
      <c r="H69" t="s">
        <v>11</v>
      </c>
      <c r="I69" t="s">
        <v>25</v>
      </c>
      <c r="J69" t="s">
        <v>43</v>
      </c>
      <c r="K69" t="s">
        <v>65</v>
      </c>
      <c r="L69" t="s">
        <v>40</v>
      </c>
      <c r="M69">
        <v>1</v>
      </c>
    </row>
    <row r="70" spans="1:13" x14ac:dyDescent="0.25">
      <c r="A70" s="2">
        <v>46225</v>
      </c>
      <c r="B70" s="1" t="str">
        <f ca="1">IF(Información1[[#This Row],[Fecha]]='Ajuste de fechas'!$A$2,"Día actual","Día anterior")</f>
        <v>Día anterior</v>
      </c>
      <c r="C70" t="s">
        <v>63</v>
      </c>
      <c r="D70" t="s">
        <v>64</v>
      </c>
      <c r="E70" t="s">
        <v>197</v>
      </c>
      <c r="F70" t="s">
        <v>19</v>
      </c>
      <c r="G70" t="s">
        <v>198</v>
      </c>
      <c r="H70" t="s">
        <v>11</v>
      </c>
      <c r="I70" t="s">
        <v>25</v>
      </c>
      <c r="J70" t="s">
        <v>43</v>
      </c>
      <c r="K70" t="s">
        <v>65</v>
      </c>
      <c r="L70" t="s">
        <v>40</v>
      </c>
      <c r="M70">
        <v>1</v>
      </c>
    </row>
    <row r="71" spans="1:13" x14ac:dyDescent="0.25">
      <c r="A71" s="2">
        <v>46225</v>
      </c>
      <c r="B71" s="1" t="str">
        <f ca="1">IF(Información1[[#This Row],[Fecha]]='Ajuste de fechas'!$A$2,"Día actual","Día anterior")</f>
        <v>Día anterior</v>
      </c>
      <c r="C71" t="s">
        <v>63</v>
      </c>
      <c r="D71" t="s">
        <v>64</v>
      </c>
      <c r="E71" t="s">
        <v>199</v>
      </c>
      <c r="F71" t="s">
        <v>54</v>
      </c>
      <c r="G71" t="s">
        <v>178</v>
      </c>
      <c r="H71" t="s">
        <v>11</v>
      </c>
      <c r="I71" t="s">
        <v>7</v>
      </c>
      <c r="J71" t="s">
        <v>24</v>
      </c>
      <c r="K71" t="s">
        <v>65</v>
      </c>
      <c r="L71" t="s">
        <v>40</v>
      </c>
      <c r="M71">
        <v>1</v>
      </c>
    </row>
    <row r="72" spans="1:13" x14ac:dyDescent="0.25">
      <c r="A72" s="2">
        <v>46225</v>
      </c>
      <c r="B72" s="1" t="str">
        <f ca="1">IF(Información1[[#This Row],[Fecha]]='Ajuste de fechas'!$A$2,"Día actual","Día anterior")</f>
        <v>Día anterior</v>
      </c>
      <c r="C72" t="s">
        <v>63</v>
      </c>
      <c r="D72" t="s">
        <v>64</v>
      </c>
      <c r="E72" t="s">
        <v>200</v>
      </c>
      <c r="F72" t="s">
        <v>54</v>
      </c>
      <c r="G72" t="s">
        <v>160</v>
      </c>
      <c r="H72" t="s">
        <v>11</v>
      </c>
      <c r="I72" t="s">
        <v>7</v>
      </c>
      <c r="J72" t="s">
        <v>24</v>
      </c>
      <c r="K72" t="s">
        <v>65</v>
      </c>
      <c r="L72" t="s">
        <v>40</v>
      </c>
      <c r="M72">
        <v>1</v>
      </c>
    </row>
    <row r="73" spans="1:13" x14ac:dyDescent="0.25">
      <c r="A73" s="2">
        <v>46225</v>
      </c>
      <c r="B73" s="1" t="str">
        <f ca="1">IF(Información1[[#This Row],[Fecha]]='Ajuste de fechas'!$A$2,"Día actual","Día anterior")</f>
        <v>Día anterior</v>
      </c>
      <c r="C73" t="s">
        <v>63</v>
      </c>
      <c r="D73" t="s">
        <v>64</v>
      </c>
      <c r="E73" t="s">
        <v>201</v>
      </c>
      <c r="F73" t="s">
        <v>202</v>
      </c>
      <c r="G73" t="s">
        <v>203</v>
      </c>
      <c r="H73" t="s">
        <v>11</v>
      </c>
      <c r="I73" t="s">
        <v>7</v>
      </c>
      <c r="J73" t="s">
        <v>39</v>
      </c>
      <c r="K73" t="s">
        <v>65</v>
      </c>
      <c r="L73" t="s">
        <v>42</v>
      </c>
      <c r="M73">
        <v>1</v>
      </c>
    </row>
    <row r="74" spans="1:13" x14ac:dyDescent="0.25">
      <c r="A74" s="2">
        <v>46225</v>
      </c>
      <c r="B74" s="1" t="str">
        <f ca="1">IF(Información1[[#This Row],[Fecha]]='Ajuste de fechas'!$A$2,"Día actual","Día anterior")</f>
        <v>Día anterior</v>
      </c>
      <c r="C74" t="s">
        <v>63</v>
      </c>
      <c r="D74" t="s">
        <v>64</v>
      </c>
      <c r="E74" t="s">
        <v>204</v>
      </c>
      <c r="F74" t="s">
        <v>121</v>
      </c>
      <c r="G74" t="s">
        <v>122</v>
      </c>
      <c r="H74" t="s">
        <v>11</v>
      </c>
      <c r="I74" t="s">
        <v>7</v>
      </c>
      <c r="J74" t="s">
        <v>39</v>
      </c>
      <c r="K74" t="s">
        <v>65</v>
      </c>
      <c r="L74" t="s">
        <v>107</v>
      </c>
      <c r="M74">
        <v>1</v>
      </c>
    </row>
    <row r="75" spans="1:13" x14ac:dyDescent="0.25">
      <c r="A75" s="2">
        <v>46225</v>
      </c>
      <c r="B75" s="1" t="str">
        <f ca="1">IF(Información1[[#This Row],[Fecha]]='Ajuste de fechas'!$A$2,"Día actual","Día anterior")</f>
        <v>Día anterior</v>
      </c>
      <c r="C75" t="s">
        <v>63</v>
      </c>
      <c r="D75" t="s">
        <v>64</v>
      </c>
      <c r="E75" t="s">
        <v>186</v>
      </c>
      <c r="F75" t="s">
        <v>26</v>
      </c>
      <c r="G75" t="s">
        <v>112</v>
      </c>
      <c r="H75" t="s">
        <v>11</v>
      </c>
      <c r="I75" t="s">
        <v>7</v>
      </c>
      <c r="J75" t="s">
        <v>39</v>
      </c>
      <c r="K75" t="s">
        <v>65</v>
      </c>
      <c r="L75" t="s">
        <v>42</v>
      </c>
      <c r="M75">
        <v>1</v>
      </c>
    </row>
    <row r="76" spans="1:13" x14ac:dyDescent="0.25">
      <c r="A76" s="2">
        <v>46225</v>
      </c>
      <c r="B76" s="1" t="str">
        <f ca="1">IF(Información1[[#This Row],[Fecha]]='Ajuste de fechas'!$A$2,"Día actual","Día anterior")</f>
        <v>Día anterior</v>
      </c>
      <c r="C76" t="s">
        <v>63</v>
      </c>
      <c r="D76" t="s">
        <v>64</v>
      </c>
      <c r="E76" t="s">
        <v>185</v>
      </c>
      <c r="F76" t="s">
        <v>26</v>
      </c>
      <c r="G76" t="s">
        <v>112</v>
      </c>
      <c r="H76" t="s">
        <v>11</v>
      </c>
      <c r="I76" t="s">
        <v>7</v>
      </c>
      <c r="J76" t="s">
        <v>39</v>
      </c>
      <c r="K76" t="s">
        <v>65</v>
      </c>
      <c r="L76" t="s">
        <v>42</v>
      </c>
      <c r="M76">
        <v>1</v>
      </c>
    </row>
    <row r="77" spans="1:13" x14ac:dyDescent="0.25">
      <c r="A77" s="2">
        <v>46225</v>
      </c>
      <c r="B77" s="1" t="str">
        <f ca="1">IF(Información1[[#This Row],[Fecha]]='Ajuste de fechas'!$A$2,"Día actual","Día anterior")</f>
        <v>Día anterior</v>
      </c>
      <c r="C77" t="s">
        <v>50</v>
      </c>
      <c r="D77" t="s">
        <v>52</v>
      </c>
      <c r="E77" t="s">
        <v>205</v>
      </c>
      <c r="F77" t="s">
        <v>91</v>
      </c>
      <c r="G77" t="s">
        <v>94</v>
      </c>
      <c r="H77" t="s">
        <v>11</v>
      </c>
      <c r="I77" t="s">
        <v>7</v>
      </c>
      <c r="J77" t="s">
        <v>24</v>
      </c>
      <c r="K77" t="s">
        <v>51</v>
      </c>
      <c r="L77" t="s">
        <v>40</v>
      </c>
      <c r="M77">
        <v>1</v>
      </c>
    </row>
    <row r="78" spans="1:13" x14ac:dyDescent="0.25">
      <c r="A78" s="2">
        <v>46225</v>
      </c>
      <c r="B78" s="1" t="str">
        <f ca="1">IF(Información1[[#This Row],[Fecha]]='Ajuste de fechas'!$A$2,"Día actual","Día anterior")</f>
        <v>Día anterior</v>
      </c>
      <c r="C78" t="s">
        <v>50</v>
      </c>
      <c r="D78" t="s">
        <v>52</v>
      </c>
      <c r="E78" t="s">
        <v>206</v>
      </c>
      <c r="F78" t="s">
        <v>91</v>
      </c>
      <c r="G78" t="s">
        <v>207</v>
      </c>
      <c r="H78" t="s">
        <v>11</v>
      </c>
      <c r="I78" t="s">
        <v>7</v>
      </c>
      <c r="J78" t="s">
        <v>24</v>
      </c>
      <c r="K78" t="s">
        <v>51</v>
      </c>
      <c r="L78" t="s">
        <v>40</v>
      </c>
      <c r="M78">
        <v>1</v>
      </c>
    </row>
    <row r="79" spans="1:13" x14ac:dyDescent="0.25">
      <c r="A79" s="2">
        <v>46225</v>
      </c>
      <c r="B79" s="1" t="str">
        <f ca="1">IF(Información1[[#This Row],[Fecha]]='Ajuste de fechas'!$A$2,"Día actual","Día anterior")</f>
        <v>Día anterior</v>
      </c>
      <c r="C79" t="s">
        <v>50</v>
      </c>
      <c r="D79" t="s">
        <v>52</v>
      </c>
      <c r="E79" t="s">
        <v>201</v>
      </c>
      <c r="F79" t="s">
        <v>202</v>
      </c>
      <c r="G79" t="s">
        <v>203</v>
      </c>
      <c r="H79" t="s">
        <v>11</v>
      </c>
      <c r="I79" t="s">
        <v>7</v>
      </c>
      <c r="J79" t="s">
        <v>39</v>
      </c>
      <c r="K79" t="s">
        <v>49</v>
      </c>
      <c r="L79" t="s">
        <v>40</v>
      </c>
      <c r="M79">
        <v>1</v>
      </c>
    </row>
    <row r="80" spans="1:13" x14ac:dyDescent="0.25">
      <c r="A80" s="2">
        <v>46225</v>
      </c>
      <c r="B80" s="1" t="str">
        <f ca="1">IF(Información1[[#This Row],[Fecha]]='Ajuste de fechas'!$A$2,"Día actual","Día anterior")</f>
        <v>Día anterior</v>
      </c>
      <c r="C80" t="s">
        <v>50</v>
      </c>
      <c r="D80" t="s">
        <v>52</v>
      </c>
      <c r="E80" t="s">
        <v>103</v>
      </c>
      <c r="F80" t="s">
        <v>85</v>
      </c>
      <c r="G80" t="s">
        <v>162</v>
      </c>
      <c r="H80" t="s">
        <v>11</v>
      </c>
      <c r="I80" t="s">
        <v>7</v>
      </c>
      <c r="J80" t="s">
        <v>39</v>
      </c>
      <c r="K80" t="s">
        <v>49</v>
      </c>
      <c r="L80" t="s">
        <v>42</v>
      </c>
      <c r="M80">
        <v>1</v>
      </c>
    </row>
    <row r="81" spans="1:13" x14ac:dyDescent="0.25">
      <c r="A81" s="2">
        <v>46225</v>
      </c>
      <c r="B81" s="1" t="str">
        <f ca="1">IF(Información1[[#This Row],[Fecha]]='Ajuste de fechas'!$A$2,"Día actual","Día anterior")</f>
        <v>Día anterior</v>
      </c>
      <c r="C81" t="s">
        <v>50</v>
      </c>
      <c r="D81" t="s">
        <v>52</v>
      </c>
      <c r="E81" t="s">
        <v>194</v>
      </c>
      <c r="F81" t="s">
        <v>54</v>
      </c>
      <c r="G81" t="s">
        <v>160</v>
      </c>
      <c r="H81" t="s">
        <v>11</v>
      </c>
      <c r="I81" t="s">
        <v>7</v>
      </c>
      <c r="J81" t="s">
        <v>24</v>
      </c>
      <c r="K81" t="s">
        <v>51</v>
      </c>
      <c r="L81" t="s">
        <v>40</v>
      </c>
      <c r="M81">
        <v>1</v>
      </c>
    </row>
    <row r="82" spans="1:13" x14ac:dyDescent="0.25">
      <c r="A82" s="2">
        <v>46225</v>
      </c>
      <c r="B82" s="1" t="str">
        <f ca="1">IF(Información1[[#This Row],[Fecha]]='Ajuste de fechas'!$A$2,"Día actual","Día anterior")</f>
        <v>Día anterior</v>
      </c>
      <c r="C82" t="s">
        <v>50</v>
      </c>
      <c r="D82" t="s">
        <v>52</v>
      </c>
      <c r="E82" t="s">
        <v>208</v>
      </c>
      <c r="F82" t="s">
        <v>19</v>
      </c>
      <c r="G82" t="s">
        <v>209</v>
      </c>
      <c r="H82" t="s">
        <v>11</v>
      </c>
      <c r="I82" t="s">
        <v>7</v>
      </c>
      <c r="J82" t="s">
        <v>43</v>
      </c>
      <c r="K82" t="s">
        <v>51</v>
      </c>
      <c r="L82" t="s">
        <v>40</v>
      </c>
      <c r="M82">
        <v>1</v>
      </c>
    </row>
    <row r="83" spans="1:13" x14ac:dyDescent="0.25">
      <c r="A83" s="2">
        <v>46225</v>
      </c>
      <c r="B83" s="1" t="str">
        <f ca="1">IF(Información1[[#This Row],[Fecha]]='Ajuste de fechas'!$A$2,"Día actual","Día anterior")</f>
        <v>Día anterior</v>
      </c>
      <c r="C83" t="s">
        <v>50</v>
      </c>
      <c r="D83" t="s">
        <v>52</v>
      </c>
      <c r="E83" t="s">
        <v>210</v>
      </c>
      <c r="F83" t="s">
        <v>19</v>
      </c>
      <c r="G83" t="s">
        <v>146</v>
      </c>
      <c r="H83" t="s">
        <v>11</v>
      </c>
      <c r="I83" t="s">
        <v>7</v>
      </c>
      <c r="J83" t="s">
        <v>43</v>
      </c>
      <c r="K83" t="s">
        <v>49</v>
      </c>
      <c r="L83" t="s">
        <v>40</v>
      </c>
      <c r="M83">
        <v>1</v>
      </c>
    </row>
    <row r="84" spans="1:13" x14ac:dyDescent="0.25">
      <c r="A84" s="2">
        <v>46225</v>
      </c>
      <c r="B84" s="1" t="str">
        <f ca="1">IF(Información1[[#This Row],[Fecha]]='Ajuste de fechas'!$A$2,"Día actual","Día anterior")</f>
        <v>Día anterior</v>
      </c>
      <c r="C84" t="s">
        <v>50</v>
      </c>
      <c r="D84" t="s">
        <v>52</v>
      </c>
      <c r="E84" t="s">
        <v>211</v>
      </c>
      <c r="F84" t="s">
        <v>21</v>
      </c>
      <c r="G84" t="s">
        <v>212</v>
      </c>
      <c r="H84" t="s">
        <v>11</v>
      </c>
      <c r="I84" t="s">
        <v>7</v>
      </c>
      <c r="J84" t="s">
        <v>39</v>
      </c>
      <c r="K84" t="s">
        <v>49</v>
      </c>
      <c r="L84" t="s">
        <v>83</v>
      </c>
      <c r="M84">
        <v>1</v>
      </c>
    </row>
    <row r="85" spans="1:13" x14ac:dyDescent="0.25">
      <c r="A85" s="2">
        <v>46225</v>
      </c>
      <c r="B85" s="1" t="str">
        <f ca="1">IF(Información1[[#This Row],[Fecha]]='Ajuste de fechas'!$A$2,"Día actual","Día anterior")</f>
        <v>Día anterior</v>
      </c>
      <c r="C85" t="s">
        <v>50</v>
      </c>
      <c r="D85" t="s">
        <v>52</v>
      </c>
      <c r="E85" t="s">
        <v>213</v>
      </c>
      <c r="F85" t="s">
        <v>54</v>
      </c>
      <c r="G85" t="s">
        <v>178</v>
      </c>
      <c r="H85" t="s">
        <v>11</v>
      </c>
      <c r="I85" t="s">
        <v>7</v>
      </c>
      <c r="J85" t="s">
        <v>24</v>
      </c>
      <c r="K85" t="s">
        <v>49</v>
      </c>
      <c r="L85" t="s">
        <v>40</v>
      </c>
      <c r="M85">
        <v>1</v>
      </c>
    </row>
    <row r="86" spans="1:13" x14ac:dyDescent="0.25">
      <c r="A86" s="2">
        <v>46225</v>
      </c>
      <c r="B86" s="1" t="str">
        <f ca="1">IF(Información1[[#This Row],[Fecha]]='Ajuste de fechas'!$A$2,"Día actual","Día anterior")</f>
        <v>Día anterior</v>
      </c>
      <c r="C86" t="s">
        <v>50</v>
      </c>
      <c r="D86" t="s">
        <v>52</v>
      </c>
      <c r="E86" t="s">
        <v>214</v>
      </c>
      <c r="F86" t="s">
        <v>54</v>
      </c>
      <c r="G86" t="s">
        <v>160</v>
      </c>
      <c r="H86" t="s">
        <v>11</v>
      </c>
      <c r="I86" t="s">
        <v>7</v>
      </c>
      <c r="J86" t="s">
        <v>24</v>
      </c>
      <c r="K86" t="s">
        <v>49</v>
      </c>
      <c r="L86" t="s">
        <v>40</v>
      </c>
      <c r="M86">
        <v>1</v>
      </c>
    </row>
    <row r="87" spans="1:13" x14ac:dyDescent="0.25">
      <c r="A87" s="2">
        <v>46225</v>
      </c>
      <c r="B87" s="1" t="str">
        <f ca="1">IF(Información1[[#This Row],[Fecha]]='Ajuste de fechas'!$A$2,"Día actual","Día anterior")</f>
        <v>Día anterior</v>
      </c>
      <c r="C87" t="s">
        <v>50</v>
      </c>
      <c r="D87" t="s">
        <v>52</v>
      </c>
      <c r="E87" t="s">
        <v>215</v>
      </c>
      <c r="F87" t="s">
        <v>26</v>
      </c>
      <c r="G87" t="s">
        <v>105</v>
      </c>
      <c r="H87" t="s">
        <v>11</v>
      </c>
      <c r="I87" t="s">
        <v>7</v>
      </c>
      <c r="J87" t="s">
        <v>39</v>
      </c>
      <c r="K87" t="s">
        <v>49</v>
      </c>
      <c r="L87" t="s">
        <v>40</v>
      </c>
      <c r="M87">
        <v>1</v>
      </c>
    </row>
    <row r="88" spans="1:13" x14ac:dyDescent="0.25">
      <c r="A88" s="2">
        <v>46225</v>
      </c>
      <c r="B88" s="1" t="str">
        <f ca="1">IF(Información1[[#This Row],[Fecha]]='Ajuste de fechas'!$A$2,"Día actual","Día anterior")</f>
        <v>Día anterior</v>
      </c>
      <c r="C88" t="s">
        <v>50</v>
      </c>
      <c r="D88" t="s">
        <v>52</v>
      </c>
      <c r="E88" t="s">
        <v>216</v>
      </c>
      <c r="F88" t="s">
        <v>54</v>
      </c>
      <c r="G88" t="s">
        <v>99</v>
      </c>
      <c r="H88" t="s">
        <v>11</v>
      </c>
      <c r="I88" t="s">
        <v>7</v>
      </c>
      <c r="J88" t="s">
        <v>24</v>
      </c>
      <c r="K88" t="s">
        <v>51</v>
      </c>
      <c r="L88" t="s">
        <v>40</v>
      </c>
      <c r="M88">
        <v>1</v>
      </c>
    </row>
    <row r="89" spans="1:13" x14ac:dyDescent="0.25">
      <c r="A89" s="2">
        <v>46225</v>
      </c>
      <c r="B89" s="1" t="str">
        <f ca="1">IF(Información1[[#This Row],[Fecha]]='Ajuste de fechas'!$A$2,"Día actual","Día anterior")</f>
        <v>Día anterior</v>
      </c>
      <c r="C89" t="s">
        <v>50</v>
      </c>
      <c r="D89" t="s">
        <v>52</v>
      </c>
      <c r="E89" t="s">
        <v>186</v>
      </c>
      <c r="F89" t="s">
        <v>26</v>
      </c>
      <c r="G89" t="s">
        <v>112</v>
      </c>
      <c r="H89" t="s">
        <v>11</v>
      </c>
      <c r="I89" t="s">
        <v>7</v>
      </c>
      <c r="J89" t="s">
        <v>39</v>
      </c>
      <c r="K89" t="s">
        <v>49</v>
      </c>
      <c r="L89" t="s">
        <v>42</v>
      </c>
      <c r="M89">
        <v>1</v>
      </c>
    </row>
    <row r="90" spans="1:13" x14ac:dyDescent="0.25">
      <c r="A90" s="2">
        <v>46225</v>
      </c>
      <c r="B90" s="1" t="str">
        <f ca="1">IF(Información1[[#This Row],[Fecha]]='Ajuste de fechas'!$A$2,"Día actual","Día anterior")</f>
        <v>Día anterior</v>
      </c>
      <c r="C90" t="s">
        <v>50</v>
      </c>
      <c r="D90" t="s">
        <v>52</v>
      </c>
      <c r="E90" t="s">
        <v>185</v>
      </c>
      <c r="F90" t="s">
        <v>26</v>
      </c>
      <c r="G90" t="s">
        <v>112</v>
      </c>
      <c r="H90" t="s">
        <v>11</v>
      </c>
      <c r="I90" t="s">
        <v>7</v>
      </c>
      <c r="J90" t="s">
        <v>39</v>
      </c>
      <c r="K90" t="s">
        <v>49</v>
      </c>
      <c r="L90" t="s">
        <v>40</v>
      </c>
      <c r="M90">
        <v>1</v>
      </c>
    </row>
    <row r="91" spans="1:13" x14ac:dyDescent="0.25">
      <c r="A91" s="2">
        <v>46225</v>
      </c>
      <c r="B91" s="1" t="str">
        <f ca="1">IF(Información1[[#This Row],[Fecha]]='Ajuste de fechas'!$A$2,"Día actual","Día anterior")</f>
        <v>Día anterior</v>
      </c>
      <c r="C91" t="s">
        <v>50</v>
      </c>
      <c r="D91" t="s">
        <v>52</v>
      </c>
      <c r="E91" t="s">
        <v>217</v>
      </c>
      <c r="F91" t="s">
        <v>23</v>
      </c>
      <c r="G91" t="s">
        <v>209</v>
      </c>
      <c r="H91" t="s">
        <v>11</v>
      </c>
      <c r="I91" t="s">
        <v>7</v>
      </c>
      <c r="J91" t="s">
        <v>39</v>
      </c>
      <c r="K91" t="s">
        <v>49</v>
      </c>
      <c r="L91" t="s">
        <v>42</v>
      </c>
      <c r="M91">
        <v>1</v>
      </c>
    </row>
    <row r="92" spans="1:13" x14ac:dyDescent="0.25">
      <c r="A92" s="2">
        <v>46226</v>
      </c>
      <c r="B92" s="1" t="str">
        <f ca="1">IF(Información1[[#This Row],[Fecha]]='Ajuste de fechas'!$A$2,"Día actual","Día anterior")</f>
        <v>Día actual</v>
      </c>
      <c r="C92" t="s">
        <v>28</v>
      </c>
      <c r="D92" t="s">
        <v>88</v>
      </c>
      <c r="E92" t="s">
        <v>218</v>
      </c>
      <c r="F92" t="s">
        <v>24</v>
      </c>
      <c r="G92" t="s">
        <v>219</v>
      </c>
      <c r="H92" t="s">
        <v>11</v>
      </c>
      <c r="I92" t="s">
        <v>7</v>
      </c>
      <c r="J92" t="s">
        <v>24</v>
      </c>
      <c r="K92" t="s">
        <v>89</v>
      </c>
      <c r="L92" t="s">
        <v>83</v>
      </c>
      <c r="M92">
        <v>1</v>
      </c>
    </row>
    <row r="93" spans="1:13" x14ac:dyDescent="0.25">
      <c r="A93" s="2">
        <v>46226</v>
      </c>
      <c r="B93" s="1" t="str">
        <f ca="1">IF(Información1[[#This Row],[Fecha]]='Ajuste de fechas'!$A$2,"Día actual","Día anterior")</f>
        <v>Día actual</v>
      </c>
      <c r="C93" t="s">
        <v>28</v>
      </c>
      <c r="D93" t="s">
        <v>88</v>
      </c>
      <c r="E93" t="s">
        <v>220</v>
      </c>
      <c r="F93" t="s">
        <v>73</v>
      </c>
      <c r="G93" t="s">
        <v>221</v>
      </c>
      <c r="H93" t="s">
        <v>11</v>
      </c>
      <c r="I93" t="s">
        <v>7</v>
      </c>
      <c r="J93" t="s">
        <v>39</v>
      </c>
      <c r="K93" t="s">
        <v>89</v>
      </c>
      <c r="L93" t="s">
        <v>40</v>
      </c>
      <c r="M93">
        <v>1</v>
      </c>
    </row>
    <row r="94" spans="1:13" x14ac:dyDescent="0.25">
      <c r="A94" s="2">
        <v>46226</v>
      </c>
      <c r="B94" s="1" t="str">
        <f ca="1">IF(Información1[[#This Row],[Fecha]]='Ajuste de fechas'!$A$2,"Día actual","Día anterior")</f>
        <v>Día actual</v>
      </c>
      <c r="C94" t="s">
        <v>28</v>
      </c>
      <c r="D94" t="s">
        <v>88</v>
      </c>
      <c r="E94" t="s">
        <v>222</v>
      </c>
      <c r="F94" t="s">
        <v>24</v>
      </c>
      <c r="G94" t="s">
        <v>223</v>
      </c>
      <c r="H94" t="s">
        <v>11</v>
      </c>
      <c r="I94" t="s">
        <v>7</v>
      </c>
      <c r="J94" t="s">
        <v>24</v>
      </c>
      <c r="K94" t="s">
        <v>89</v>
      </c>
      <c r="L94" t="s">
        <v>40</v>
      </c>
      <c r="M94">
        <v>1</v>
      </c>
    </row>
    <row r="95" spans="1:13" x14ac:dyDescent="0.25">
      <c r="A95" s="2">
        <v>46226</v>
      </c>
      <c r="B95" s="1" t="str">
        <f ca="1">IF(Información1[[#This Row],[Fecha]]='Ajuste de fechas'!$A$2,"Día actual","Día anterior")</f>
        <v>Día actual</v>
      </c>
      <c r="C95" t="s">
        <v>28</v>
      </c>
      <c r="D95" t="s">
        <v>88</v>
      </c>
      <c r="E95" t="s">
        <v>224</v>
      </c>
      <c r="F95" t="s">
        <v>85</v>
      </c>
      <c r="G95" t="s">
        <v>174</v>
      </c>
      <c r="H95" t="s">
        <v>11</v>
      </c>
      <c r="I95" t="s">
        <v>7</v>
      </c>
      <c r="J95" t="s">
        <v>39</v>
      </c>
      <c r="K95" t="s">
        <v>89</v>
      </c>
      <c r="L95" t="s">
        <v>40</v>
      </c>
      <c r="M95">
        <v>1</v>
      </c>
    </row>
    <row r="96" spans="1:13" x14ac:dyDescent="0.25">
      <c r="A96" s="2">
        <v>46226</v>
      </c>
      <c r="B96" s="1" t="str">
        <f ca="1">IF(Información1[[#This Row],[Fecha]]='Ajuste de fechas'!$A$2,"Día actual","Día anterior")</f>
        <v>Día actual</v>
      </c>
      <c r="C96" t="s">
        <v>28</v>
      </c>
      <c r="D96" t="s">
        <v>88</v>
      </c>
      <c r="E96" t="s">
        <v>225</v>
      </c>
      <c r="F96" t="s">
        <v>24</v>
      </c>
      <c r="G96" t="s">
        <v>226</v>
      </c>
      <c r="H96" t="s">
        <v>11</v>
      </c>
      <c r="I96" t="s">
        <v>7</v>
      </c>
      <c r="J96" t="s">
        <v>24</v>
      </c>
      <c r="K96" t="s">
        <v>89</v>
      </c>
      <c r="L96" t="s">
        <v>40</v>
      </c>
      <c r="M96">
        <v>1</v>
      </c>
    </row>
    <row r="97" spans="1:13" x14ac:dyDescent="0.25">
      <c r="A97" s="2">
        <v>46226</v>
      </c>
      <c r="B97" s="1" t="str">
        <f ca="1">IF(Información1[[#This Row],[Fecha]]='Ajuste de fechas'!$A$2,"Día actual","Día anterior")</f>
        <v>Día actual</v>
      </c>
      <c r="C97" t="s">
        <v>28</v>
      </c>
      <c r="D97" t="s">
        <v>88</v>
      </c>
      <c r="E97" t="s">
        <v>227</v>
      </c>
      <c r="F97" t="s">
        <v>22</v>
      </c>
      <c r="G97" t="s">
        <v>228</v>
      </c>
      <c r="H97" t="s">
        <v>11</v>
      </c>
      <c r="I97" t="s">
        <v>7</v>
      </c>
      <c r="J97" t="s">
        <v>44</v>
      </c>
      <c r="K97" t="s">
        <v>89</v>
      </c>
      <c r="L97" t="s">
        <v>40</v>
      </c>
      <c r="M97">
        <v>1</v>
      </c>
    </row>
    <row r="98" spans="1:13" x14ac:dyDescent="0.25">
      <c r="A98" s="2">
        <v>46226</v>
      </c>
      <c r="B98" s="1" t="str">
        <f ca="1">IF(Información1[[#This Row],[Fecha]]='Ajuste de fechas'!$A$2,"Día actual","Día anterior")</f>
        <v>Día actual</v>
      </c>
      <c r="C98" t="s">
        <v>28</v>
      </c>
      <c r="D98" t="s">
        <v>88</v>
      </c>
      <c r="E98" t="s">
        <v>229</v>
      </c>
      <c r="F98" t="s">
        <v>26</v>
      </c>
      <c r="G98" t="s">
        <v>112</v>
      </c>
      <c r="H98" t="s">
        <v>11</v>
      </c>
      <c r="I98" t="s">
        <v>7</v>
      </c>
      <c r="J98" t="s">
        <v>39</v>
      </c>
      <c r="K98" t="s">
        <v>89</v>
      </c>
      <c r="L98" t="s">
        <v>40</v>
      </c>
      <c r="M98">
        <v>1</v>
      </c>
    </row>
    <row r="99" spans="1:13" x14ac:dyDescent="0.25">
      <c r="A99" s="2">
        <v>46226</v>
      </c>
      <c r="B99" s="1" t="str">
        <f ca="1">IF(Información1[[#This Row],[Fecha]]='Ajuste de fechas'!$A$2,"Día actual","Día anterior")</f>
        <v>Día actual</v>
      </c>
      <c r="C99" t="s">
        <v>8</v>
      </c>
      <c r="D99" t="s">
        <v>10</v>
      </c>
      <c r="E99" t="s">
        <v>230</v>
      </c>
      <c r="F99" t="s">
        <v>19</v>
      </c>
      <c r="G99" t="s">
        <v>231</v>
      </c>
      <c r="H99" t="s">
        <v>11</v>
      </c>
      <c r="I99" t="s">
        <v>25</v>
      </c>
      <c r="J99" t="s">
        <v>43</v>
      </c>
      <c r="K99" t="s">
        <v>9</v>
      </c>
      <c r="L99" t="s">
        <v>41</v>
      </c>
      <c r="M99">
        <v>1</v>
      </c>
    </row>
    <row r="100" spans="1:13" x14ac:dyDescent="0.25">
      <c r="A100" s="2">
        <v>46226</v>
      </c>
      <c r="B100" s="1" t="str">
        <f ca="1">IF(Información1[[#This Row],[Fecha]]='Ajuste de fechas'!$A$2,"Día actual","Día anterior")</f>
        <v>Día actual</v>
      </c>
      <c r="C100" t="s">
        <v>8</v>
      </c>
      <c r="D100" t="s">
        <v>10</v>
      </c>
      <c r="E100" t="s">
        <v>232</v>
      </c>
      <c r="F100" t="s">
        <v>19</v>
      </c>
      <c r="G100" t="s">
        <v>79</v>
      </c>
      <c r="H100" t="s">
        <v>11</v>
      </c>
      <c r="I100" t="s">
        <v>25</v>
      </c>
      <c r="J100" t="s">
        <v>43</v>
      </c>
      <c r="K100" t="s">
        <v>9</v>
      </c>
      <c r="L100" t="s">
        <v>41</v>
      </c>
      <c r="M100">
        <v>1</v>
      </c>
    </row>
    <row r="101" spans="1:13" x14ac:dyDescent="0.25">
      <c r="A101" s="2">
        <v>46226</v>
      </c>
      <c r="B101" s="1" t="str">
        <f ca="1">IF(Información1[[#This Row],[Fecha]]='Ajuste de fechas'!$A$2,"Día actual","Día anterior")</f>
        <v>Día actual</v>
      </c>
      <c r="C101" t="s">
        <v>8</v>
      </c>
      <c r="D101" t="s">
        <v>10</v>
      </c>
      <c r="E101" t="s">
        <v>233</v>
      </c>
      <c r="F101" t="s">
        <v>17</v>
      </c>
      <c r="G101" t="s">
        <v>74</v>
      </c>
      <c r="H101" t="s">
        <v>11</v>
      </c>
      <c r="I101" t="s">
        <v>25</v>
      </c>
      <c r="J101" t="s">
        <v>39</v>
      </c>
      <c r="K101" t="s">
        <v>9</v>
      </c>
      <c r="L101" t="s">
        <v>41</v>
      </c>
      <c r="M101">
        <v>1</v>
      </c>
    </row>
    <row r="102" spans="1:13" x14ac:dyDescent="0.25">
      <c r="A102" s="2">
        <v>46226</v>
      </c>
      <c r="B102" s="1" t="str">
        <f ca="1">IF(Información1[[#This Row],[Fecha]]='Ajuste de fechas'!$A$2,"Día actual","Día anterior")</f>
        <v>Día actual</v>
      </c>
      <c r="C102" t="s">
        <v>8</v>
      </c>
      <c r="D102" t="s">
        <v>10</v>
      </c>
      <c r="E102" t="s">
        <v>234</v>
      </c>
      <c r="F102" t="s">
        <v>17</v>
      </c>
      <c r="G102" t="s">
        <v>235</v>
      </c>
      <c r="H102" t="s">
        <v>11</v>
      </c>
      <c r="I102" t="s">
        <v>25</v>
      </c>
      <c r="J102" t="s">
        <v>39</v>
      </c>
      <c r="K102" t="s">
        <v>9</v>
      </c>
      <c r="L102" t="s">
        <v>41</v>
      </c>
      <c r="M102">
        <v>1</v>
      </c>
    </row>
    <row r="103" spans="1:13" x14ac:dyDescent="0.25">
      <c r="A103" s="2">
        <v>46226</v>
      </c>
      <c r="B103" s="1" t="str">
        <f ca="1">IF(Información1[[#This Row],[Fecha]]='Ajuste de fechas'!$A$2,"Día actual","Día anterior")</f>
        <v>Día actual</v>
      </c>
      <c r="C103" t="s">
        <v>8</v>
      </c>
      <c r="D103" t="s">
        <v>10</v>
      </c>
      <c r="E103" t="s">
        <v>236</v>
      </c>
      <c r="F103" t="s">
        <v>6</v>
      </c>
      <c r="G103" t="s">
        <v>87</v>
      </c>
      <c r="H103" t="s">
        <v>11</v>
      </c>
      <c r="I103" t="s">
        <v>25</v>
      </c>
      <c r="J103" t="s">
        <v>39</v>
      </c>
      <c r="K103" t="s">
        <v>9</v>
      </c>
      <c r="L103" t="s">
        <v>41</v>
      </c>
      <c r="M103">
        <v>1</v>
      </c>
    </row>
    <row r="104" spans="1:13" x14ac:dyDescent="0.25">
      <c r="A104" s="2">
        <v>46226</v>
      </c>
      <c r="B104" s="1" t="str">
        <f ca="1">IF(Información1[[#This Row],[Fecha]]='Ajuste de fechas'!$A$2,"Día actual","Día anterior")</f>
        <v>Día actual</v>
      </c>
      <c r="C104" t="s">
        <v>8</v>
      </c>
      <c r="D104" t="s">
        <v>10</v>
      </c>
      <c r="E104" t="s">
        <v>237</v>
      </c>
      <c r="F104" t="s">
        <v>6</v>
      </c>
      <c r="G104" t="s">
        <v>87</v>
      </c>
      <c r="H104" t="s">
        <v>11</v>
      </c>
      <c r="I104" t="s">
        <v>25</v>
      </c>
      <c r="J104" t="s">
        <v>39</v>
      </c>
      <c r="K104" t="s">
        <v>9</v>
      </c>
      <c r="L104" t="s">
        <v>41</v>
      </c>
      <c r="M104">
        <v>1</v>
      </c>
    </row>
    <row r="105" spans="1:13" x14ac:dyDescent="0.25">
      <c r="A105" s="2">
        <v>46226</v>
      </c>
      <c r="B105" s="1" t="str">
        <f ca="1">IF(Información1[[#This Row],[Fecha]]='Ajuste de fechas'!$A$2,"Día actual","Día anterior")</f>
        <v>Día actual</v>
      </c>
      <c r="C105" t="s">
        <v>8</v>
      </c>
      <c r="D105" t="s">
        <v>10</v>
      </c>
      <c r="E105" t="s">
        <v>238</v>
      </c>
      <c r="F105" t="s">
        <v>6</v>
      </c>
      <c r="G105" t="s">
        <v>87</v>
      </c>
      <c r="H105" t="s">
        <v>11</v>
      </c>
      <c r="I105" t="s">
        <v>25</v>
      </c>
      <c r="J105" t="s">
        <v>39</v>
      </c>
      <c r="K105" t="s">
        <v>9</v>
      </c>
      <c r="L105" t="s">
        <v>41</v>
      </c>
      <c r="M105">
        <v>1</v>
      </c>
    </row>
    <row r="106" spans="1:13" x14ac:dyDescent="0.25">
      <c r="A106" s="2">
        <v>46226</v>
      </c>
      <c r="B106" s="1" t="str">
        <f ca="1">IF(Información1[[#This Row],[Fecha]]='Ajuste de fechas'!$A$2,"Día actual","Día anterior")</f>
        <v>Día actual</v>
      </c>
      <c r="C106" t="s">
        <v>8</v>
      </c>
      <c r="D106" t="s">
        <v>10</v>
      </c>
      <c r="E106" t="s">
        <v>239</v>
      </c>
      <c r="F106" t="s">
        <v>6</v>
      </c>
      <c r="G106" t="s">
        <v>87</v>
      </c>
      <c r="H106" t="s">
        <v>11</v>
      </c>
      <c r="I106" t="s">
        <v>25</v>
      </c>
      <c r="J106" t="s">
        <v>39</v>
      </c>
      <c r="K106" t="s">
        <v>9</v>
      </c>
      <c r="L106" t="s">
        <v>41</v>
      </c>
      <c r="M106">
        <v>1</v>
      </c>
    </row>
    <row r="107" spans="1:13" x14ac:dyDescent="0.25">
      <c r="A107" s="2">
        <v>46226</v>
      </c>
      <c r="B107" s="1" t="str">
        <f ca="1">IF(Información1[[#This Row],[Fecha]]='Ajuste de fechas'!$A$2,"Día actual","Día anterior")</f>
        <v>Día actual</v>
      </c>
      <c r="C107" t="s">
        <v>8</v>
      </c>
      <c r="D107" t="s">
        <v>10</v>
      </c>
      <c r="E107" t="s">
        <v>240</v>
      </c>
      <c r="F107" t="s">
        <v>19</v>
      </c>
      <c r="G107" t="s">
        <v>241</v>
      </c>
      <c r="H107" t="s">
        <v>11</v>
      </c>
      <c r="I107" t="s">
        <v>7</v>
      </c>
      <c r="J107" t="s">
        <v>43</v>
      </c>
      <c r="K107" t="s">
        <v>14</v>
      </c>
      <c r="L107" t="s">
        <v>83</v>
      </c>
      <c r="M107">
        <v>1</v>
      </c>
    </row>
    <row r="108" spans="1:13" x14ac:dyDescent="0.25">
      <c r="A108" s="2">
        <v>46226</v>
      </c>
      <c r="B108" s="1" t="str">
        <f ca="1">IF(Información1[[#This Row],[Fecha]]='Ajuste de fechas'!$A$2,"Día actual","Día anterior")</f>
        <v>Día actual</v>
      </c>
      <c r="C108" t="s">
        <v>8</v>
      </c>
      <c r="D108" t="s">
        <v>10</v>
      </c>
      <c r="E108" t="s">
        <v>242</v>
      </c>
      <c r="F108" t="s">
        <v>19</v>
      </c>
      <c r="G108" t="s">
        <v>32</v>
      </c>
      <c r="H108" t="s">
        <v>11</v>
      </c>
      <c r="I108" t="s">
        <v>7</v>
      </c>
      <c r="J108" t="s">
        <v>43</v>
      </c>
      <c r="K108" t="s">
        <v>14</v>
      </c>
      <c r="L108" t="s">
        <v>90</v>
      </c>
      <c r="M108">
        <v>1</v>
      </c>
    </row>
    <row r="109" spans="1:13" x14ac:dyDescent="0.25">
      <c r="A109" s="2">
        <v>46226</v>
      </c>
      <c r="B109" s="1" t="str">
        <f ca="1">IF(Información1[[#This Row],[Fecha]]='Ajuste de fechas'!$A$2,"Día actual","Día anterior")</f>
        <v>Día actual</v>
      </c>
      <c r="C109" t="s">
        <v>8</v>
      </c>
      <c r="D109" t="s">
        <v>10</v>
      </c>
      <c r="E109" t="s">
        <v>165</v>
      </c>
      <c r="F109" t="s">
        <v>121</v>
      </c>
      <c r="G109" t="s">
        <v>122</v>
      </c>
      <c r="H109" t="s">
        <v>11</v>
      </c>
      <c r="I109" t="s">
        <v>12</v>
      </c>
      <c r="J109" t="s">
        <v>39</v>
      </c>
      <c r="K109" t="s">
        <v>14</v>
      </c>
      <c r="L109" t="s">
        <v>107</v>
      </c>
      <c r="M109">
        <v>1</v>
      </c>
    </row>
    <row r="110" spans="1:13" x14ac:dyDescent="0.25">
      <c r="A110" s="2">
        <v>46226</v>
      </c>
      <c r="B110" s="1" t="str">
        <f ca="1">IF(Información1[[#This Row],[Fecha]]='Ajuste de fechas'!$A$2,"Día actual","Día anterior")</f>
        <v>Día actual</v>
      </c>
      <c r="C110" t="s">
        <v>8</v>
      </c>
      <c r="D110" t="s">
        <v>10</v>
      </c>
      <c r="E110" t="s">
        <v>243</v>
      </c>
      <c r="F110" t="s">
        <v>17</v>
      </c>
      <c r="G110" t="s">
        <v>244</v>
      </c>
      <c r="H110" t="s">
        <v>11</v>
      </c>
      <c r="I110" t="s">
        <v>7</v>
      </c>
      <c r="J110" t="s">
        <v>39</v>
      </c>
      <c r="K110" t="s">
        <v>14</v>
      </c>
      <c r="L110" t="s">
        <v>40</v>
      </c>
      <c r="M110">
        <v>1</v>
      </c>
    </row>
    <row r="111" spans="1:13" x14ac:dyDescent="0.25">
      <c r="A111" s="2">
        <v>46226</v>
      </c>
      <c r="B111" s="1" t="str">
        <f ca="1">IF(Información1[[#This Row],[Fecha]]='Ajuste de fechas'!$A$2,"Día actual","Día anterior")</f>
        <v>Día actual</v>
      </c>
      <c r="C111" t="s">
        <v>8</v>
      </c>
      <c r="D111" t="s">
        <v>10</v>
      </c>
      <c r="E111" t="s">
        <v>245</v>
      </c>
      <c r="F111" t="s">
        <v>22</v>
      </c>
      <c r="G111" t="s">
        <v>246</v>
      </c>
      <c r="H111" t="s">
        <v>11</v>
      </c>
      <c r="I111" t="s">
        <v>7</v>
      </c>
      <c r="J111" t="s">
        <v>44</v>
      </c>
      <c r="K111" t="s">
        <v>14</v>
      </c>
      <c r="L111" t="s">
        <v>40</v>
      </c>
      <c r="M111">
        <v>1</v>
      </c>
    </row>
    <row r="112" spans="1:13" x14ac:dyDescent="0.25">
      <c r="A112" s="2">
        <v>46226</v>
      </c>
      <c r="B112" s="1" t="str">
        <f ca="1">IF(Información1[[#This Row],[Fecha]]='Ajuste de fechas'!$A$2,"Día actual","Día anterior")</f>
        <v>Día actual</v>
      </c>
      <c r="C112" t="s">
        <v>8</v>
      </c>
      <c r="D112" t="s">
        <v>10</v>
      </c>
      <c r="E112" t="s">
        <v>247</v>
      </c>
      <c r="F112" t="s">
        <v>54</v>
      </c>
      <c r="G112" t="s">
        <v>160</v>
      </c>
      <c r="H112" t="s">
        <v>11</v>
      </c>
      <c r="I112" t="s">
        <v>7</v>
      </c>
      <c r="J112" t="s">
        <v>24</v>
      </c>
      <c r="K112" t="s">
        <v>14</v>
      </c>
      <c r="L112" t="s">
        <v>40</v>
      </c>
      <c r="M112">
        <v>1</v>
      </c>
    </row>
    <row r="113" spans="1:13" x14ac:dyDescent="0.25">
      <c r="A113" s="2">
        <v>46226</v>
      </c>
      <c r="B113" s="1" t="str">
        <f ca="1">IF(Información1[[#This Row],[Fecha]]='Ajuste de fechas'!$A$2,"Día actual","Día anterior")</f>
        <v>Día actual</v>
      </c>
      <c r="C113" t="s">
        <v>8</v>
      </c>
      <c r="D113" t="s">
        <v>10</v>
      </c>
      <c r="E113" t="s">
        <v>248</v>
      </c>
      <c r="F113" t="s">
        <v>19</v>
      </c>
      <c r="G113" t="s">
        <v>231</v>
      </c>
      <c r="H113" t="s">
        <v>11</v>
      </c>
      <c r="I113" t="s">
        <v>7</v>
      </c>
      <c r="J113" t="s">
        <v>43</v>
      </c>
      <c r="K113" t="s">
        <v>14</v>
      </c>
      <c r="L113" t="s">
        <v>40</v>
      </c>
      <c r="M113">
        <v>1</v>
      </c>
    </row>
    <row r="114" spans="1:13" x14ac:dyDescent="0.25">
      <c r="A114" s="2">
        <v>46226</v>
      </c>
      <c r="B114" s="1" t="str">
        <f ca="1">IF(Información1[[#This Row],[Fecha]]='Ajuste de fechas'!$A$2,"Día actual","Día anterior")</f>
        <v>Día actual</v>
      </c>
      <c r="C114" t="s">
        <v>8</v>
      </c>
      <c r="D114" t="s">
        <v>10</v>
      </c>
      <c r="E114" t="s">
        <v>249</v>
      </c>
      <c r="F114" t="s">
        <v>19</v>
      </c>
      <c r="G114" t="s">
        <v>250</v>
      </c>
      <c r="H114" t="s">
        <v>11</v>
      </c>
      <c r="I114" t="s">
        <v>7</v>
      </c>
      <c r="J114" t="s">
        <v>43</v>
      </c>
      <c r="K114" t="s">
        <v>14</v>
      </c>
      <c r="L114" t="s">
        <v>40</v>
      </c>
      <c r="M114">
        <v>1</v>
      </c>
    </row>
    <row r="115" spans="1:13" x14ac:dyDescent="0.25">
      <c r="A115" s="2">
        <v>46226</v>
      </c>
      <c r="B115" s="1" t="str">
        <f ca="1">IF(Información1[[#This Row],[Fecha]]='Ajuste de fechas'!$A$2,"Día actual","Día anterior")</f>
        <v>Día actual</v>
      </c>
      <c r="C115" t="s">
        <v>8</v>
      </c>
      <c r="D115" t="s">
        <v>10</v>
      </c>
      <c r="E115" t="s">
        <v>251</v>
      </c>
      <c r="F115" t="s">
        <v>85</v>
      </c>
      <c r="G115" t="s">
        <v>252</v>
      </c>
      <c r="H115" t="s">
        <v>11</v>
      </c>
      <c r="I115" t="s">
        <v>7</v>
      </c>
      <c r="J115" t="s">
        <v>39</v>
      </c>
      <c r="K115" t="s">
        <v>14</v>
      </c>
      <c r="L115" t="s">
        <v>42</v>
      </c>
      <c r="M115">
        <v>1</v>
      </c>
    </row>
    <row r="116" spans="1:13" x14ac:dyDescent="0.25">
      <c r="A116" s="2">
        <v>46226</v>
      </c>
      <c r="B116" s="1" t="str">
        <f ca="1">IF(Información1[[#This Row],[Fecha]]='Ajuste de fechas'!$A$2,"Día actual","Día anterior")</f>
        <v>Día actual</v>
      </c>
      <c r="C116" t="s">
        <v>8</v>
      </c>
      <c r="D116" t="s">
        <v>10</v>
      </c>
      <c r="E116" t="s">
        <v>20</v>
      </c>
      <c r="F116" t="s">
        <v>19</v>
      </c>
      <c r="G116" t="s">
        <v>32</v>
      </c>
      <c r="H116" t="s">
        <v>11</v>
      </c>
      <c r="I116" t="s">
        <v>12</v>
      </c>
      <c r="J116" t="s">
        <v>43</v>
      </c>
      <c r="K116" t="s">
        <v>14</v>
      </c>
      <c r="L116" t="s">
        <v>41</v>
      </c>
      <c r="M116">
        <v>1</v>
      </c>
    </row>
    <row r="117" spans="1:13" x14ac:dyDescent="0.25">
      <c r="A117" s="2">
        <v>46226</v>
      </c>
      <c r="B117" s="1" t="str">
        <f ca="1">IF(Información1[[#This Row],[Fecha]]='Ajuste de fechas'!$A$2,"Día actual","Día anterior")</f>
        <v>Día actual</v>
      </c>
      <c r="C117" t="s">
        <v>8</v>
      </c>
      <c r="D117" t="s">
        <v>10</v>
      </c>
      <c r="E117" t="s">
        <v>18</v>
      </c>
      <c r="F117" t="s">
        <v>19</v>
      </c>
      <c r="G117" t="s">
        <v>32</v>
      </c>
      <c r="H117" t="s">
        <v>11</v>
      </c>
      <c r="I117" t="s">
        <v>12</v>
      </c>
      <c r="J117" t="s">
        <v>43</v>
      </c>
      <c r="K117" t="s">
        <v>14</v>
      </c>
      <c r="L117" t="s">
        <v>41</v>
      </c>
      <c r="M117">
        <v>1</v>
      </c>
    </row>
    <row r="118" spans="1:13" x14ac:dyDescent="0.25">
      <c r="A118" s="2">
        <v>46226</v>
      </c>
      <c r="B118" s="1" t="str">
        <f ca="1">IF(Información1[[#This Row],[Fecha]]='Ajuste de fechas'!$A$2,"Día actual","Día anterior")</f>
        <v>Día actual</v>
      </c>
      <c r="C118" t="s">
        <v>8</v>
      </c>
      <c r="D118" t="s">
        <v>10</v>
      </c>
      <c r="E118" t="s">
        <v>70</v>
      </c>
      <c r="F118" t="s">
        <v>54</v>
      </c>
      <c r="G118" t="s">
        <v>32</v>
      </c>
      <c r="H118" t="s">
        <v>11</v>
      </c>
      <c r="I118" t="s">
        <v>12</v>
      </c>
      <c r="J118" t="s">
        <v>24</v>
      </c>
      <c r="K118" t="s">
        <v>14</v>
      </c>
      <c r="L118" t="s">
        <v>41</v>
      </c>
      <c r="M118">
        <v>1</v>
      </c>
    </row>
    <row r="119" spans="1:13" x14ac:dyDescent="0.25">
      <c r="A119" s="2">
        <v>46226</v>
      </c>
      <c r="B119" s="1" t="str">
        <f ca="1">IF(Información1[[#This Row],[Fecha]]='Ajuste de fechas'!$A$2,"Día actual","Día anterior")</f>
        <v>Día actual</v>
      </c>
      <c r="C119" t="s">
        <v>8</v>
      </c>
      <c r="D119" t="s">
        <v>10</v>
      </c>
      <c r="E119" t="s">
        <v>13</v>
      </c>
      <c r="F119" t="s">
        <v>15</v>
      </c>
      <c r="G119" t="s">
        <v>32</v>
      </c>
      <c r="H119" t="s">
        <v>11</v>
      </c>
      <c r="I119" t="s">
        <v>12</v>
      </c>
      <c r="J119" t="s">
        <v>39</v>
      </c>
      <c r="K119" t="s">
        <v>14</v>
      </c>
      <c r="L119" t="s">
        <v>41</v>
      </c>
      <c r="M119">
        <v>1</v>
      </c>
    </row>
    <row r="120" spans="1:13" x14ac:dyDescent="0.25">
      <c r="A120" s="2">
        <v>46226</v>
      </c>
      <c r="B120" s="1" t="str">
        <f ca="1">IF(Información1[[#This Row],[Fecha]]='Ajuste de fechas'!$A$2,"Día actual","Día anterior")</f>
        <v>Día actual</v>
      </c>
      <c r="C120" t="s">
        <v>8</v>
      </c>
      <c r="D120" t="s">
        <v>10</v>
      </c>
      <c r="E120" t="s">
        <v>16</v>
      </c>
      <c r="F120" t="s">
        <v>17</v>
      </c>
      <c r="G120" t="s">
        <v>32</v>
      </c>
      <c r="H120" t="s">
        <v>11</v>
      </c>
      <c r="I120" t="s">
        <v>12</v>
      </c>
      <c r="J120" t="s">
        <v>39</v>
      </c>
      <c r="K120" t="s">
        <v>14</v>
      </c>
      <c r="L120" t="s">
        <v>41</v>
      </c>
      <c r="M120">
        <v>1</v>
      </c>
    </row>
    <row r="121" spans="1:13" x14ac:dyDescent="0.25">
      <c r="A121" s="2">
        <v>46226</v>
      </c>
      <c r="B121" s="1" t="str">
        <f ca="1">IF(Información1[[#This Row],[Fecha]]='Ajuste de fechas'!$A$2,"Día actual","Día anterior")</f>
        <v>Día actual</v>
      </c>
      <c r="C121" t="s">
        <v>8</v>
      </c>
      <c r="D121" t="s">
        <v>10</v>
      </c>
      <c r="E121" t="s">
        <v>53</v>
      </c>
      <c r="F121" t="s">
        <v>6</v>
      </c>
      <c r="G121" t="s">
        <v>32</v>
      </c>
      <c r="H121" t="s">
        <v>11</v>
      </c>
      <c r="I121" t="s">
        <v>12</v>
      </c>
      <c r="J121" t="s">
        <v>39</v>
      </c>
      <c r="K121" t="s">
        <v>14</v>
      </c>
      <c r="L121" t="s">
        <v>41</v>
      </c>
      <c r="M121">
        <v>1</v>
      </c>
    </row>
    <row r="122" spans="1:13" x14ac:dyDescent="0.25">
      <c r="A122" s="2">
        <v>46226</v>
      </c>
      <c r="B122" s="1" t="str">
        <f ca="1">IF(Información1[[#This Row],[Fecha]]='Ajuste de fechas'!$A$2,"Día actual","Día anterior")</f>
        <v>Día actual</v>
      </c>
      <c r="C122" t="s">
        <v>50</v>
      </c>
      <c r="D122" t="s">
        <v>55</v>
      </c>
      <c r="E122" t="s">
        <v>253</v>
      </c>
      <c r="F122" t="s">
        <v>24</v>
      </c>
      <c r="G122" t="s">
        <v>254</v>
      </c>
      <c r="H122" t="s">
        <v>11</v>
      </c>
      <c r="I122" t="s">
        <v>7</v>
      </c>
      <c r="J122" t="s">
        <v>24</v>
      </c>
      <c r="K122" t="s">
        <v>51</v>
      </c>
      <c r="L122" t="s">
        <v>41</v>
      </c>
      <c r="M122">
        <v>1</v>
      </c>
    </row>
    <row r="123" spans="1:13" x14ac:dyDescent="0.25">
      <c r="A123" s="2">
        <v>46226</v>
      </c>
      <c r="B123" s="1" t="str">
        <f ca="1">IF(Información1[[#This Row],[Fecha]]='Ajuste de fechas'!$A$2,"Día actual","Día anterior")</f>
        <v>Día actual</v>
      </c>
      <c r="C123" t="s">
        <v>50</v>
      </c>
      <c r="D123" t="s">
        <v>55</v>
      </c>
      <c r="E123" t="s">
        <v>255</v>
      </c>
      <c r="F123" t="s">
        <v>24</v>
      </c>
      <c r="G123" t="s">
        <v>254</v>
      </c>
      <c r="H123" t="s">
        <v>11</v>
      </c>
      <c r="I123" t="s">
        <v>7</v>
      </c>
      <c r="J123" t="s">
        <v>24</v>
      </c>
      <c r="K123" t="s">
        <v>80</v>
      </c>
      <c r="L123" t="s">
        <v>41</v>
      </c>
      <c r="M123">
        <v>1</v>
      </c>
    </row>
    <row r="124" spans="1:13" x14ac:dyDescent="0.25">
      <c r="A124" s="2">
        <v>46226</v>
      </c>
      <c r="B124" s="1" t="str">
        <f ca="1">IF(Información1[[#This Row],[Fecha]]='Ajuste de fechas'!$A$2,"Día actual","Día anterior")</f>
        <v>Día actual</v>
      </c>
      <c r="C124" t="s">
        <v>50</v>
      </c>
      <c r="D124" t="s">
        <v>55</v>
      </c>
      <c r="E124" t="s">
        <v>102</v>
      </c>
      <c r="F124" t="s">
        <v>22</v>
      </c>
      <c r="G124" t="s">
        <v>94</v>
      </c>
      <c r="H124" t="s">
        <v>11</v>
      </c>
      <c r="I124" t="s">
        <v>7</v>
      </c>
      <c r="J124" t="s">
        <v>44</v>
      </c>
      <c r="K124" t="s">
        <v>51</v>
      </c>
      <c r="L124" t="s">
        <v>40</v>
      </c>
      <c r="M124">
        <v>1</v>
      </c>
    </row>
    <row r="125" spans="1:13" x14ac:dyDescent="0.25">
      <c r="A125" s="2">
        <v>46226</v>
      </c>
      <c r="B125" s="1" t="str">
        <f ca="1">IF(Información1[[#This Row],[Fecha]]='Ajuste de fechas'!$A$2,"Día actual","Día anterior")</f>
        <v>Día actual</v>
      </c>
      <c r="C125" t="s">
        <v>50</v>
      </c>
      <c r="D125" t="s">
        <v>55</v>
      </c>
      <c r="E125" t="s">
        <v>256</v>
      </c>
      <c r="F125" t="s">
        <v>19</v>
      </c>
      <c r="G125" t="s">
        <v>257</v>
      </c>
      <c r="H125" t="s">
        <v>11</v>
      </c>
      <c r="I125" t="s">
        <v>7</v>
      </c>
      <c r="J125" t="s">
        <v>43</v>
      </c>
      <c r="K125" t="s">
        <v>51</v>
      </c>
      <c r="L125" t="s">
        <v>40</v>
      </c>
      <c r="M125">
        <v>1</v>
      </c>
    </row>
    <row r="126" spans="1:13" x14ac:dyDescent="0.25">
      <c r="A126" s="2">
        <v>46226</v>
      </c>
      <c r="B126" s="1" t="str">
        <f ca="1">IF(Información1[[#This Row],[Fecha]]='Ajuste de fechas'!$A$2,"Día actual","Día anterior")</f>
        <v>Día actual</v>
      </c>
      <c r="C126" t="s">
        <v>50</v>
      </c>
      <c r="D126" t="s">
        <v>55</v>
      </c>
      <c r="E126" t="s">
        <v>258</v>
      </c>
      <c r="F126" t="s">
        <v>19</v>
      </c>
      <c r="G126" t="s">
        <v>92</v>
      </c>
      <c r="H126" t="s">
        <v>11</v>
      </c>
      <c r="I126" t="s">
        <v>7</v>
      </c>
      <c r="J126" t="s">
        <v>43</v>
      </c>
      <c r="K126" t="s">
        <v>51</v>
      </c>
      <c r="L126" t="s">
        <v>40</v>
      </c>
      <c r="M126">
        <v>1</v>
      </c>
    </row>
    <row r="127" spans="1:13" x14ac:dyDescent="0.25">
      <c r="A127" s="2">
        <v>46226</v>
      </c>
      <c r="B127" s="1" t="str">
        <f ca="1">IF(Información1[[#This Row],[Fecha]]='Ajuste de fechas'!$A$2,"Día actual","Día anterior")</f>
        <v>Día actual</v>
      </c>
      <c r="C127" t="s">
        <v>50</v>
      </c>
      <c r="D127" t="s">
        <v>55</v>
      </c>
      <c r="E127" t="s">
        <v>259</v>
      </c>
      <c r="F127" t="s">
        <v>21</v>
      </c>
      <c r="G127" t="s">
        <v>86</v>
      </c>
      <c r="H127" t="s">
        <v>11</v>
      </c>
      <c r="I127" t="s">
        <v>25</v>
      </c>
      <c r="J127" t="s">
        <v>39</v>
      </c>
      <c r="K127" t="s">
        <v>80</v>
      </c>
      <c r="L127" t="s">
        <v>41</v>
      </c>
      <c r="M127">
        <v>1</v>
      </c>
    </row>
    <row r="128" spans="1:13" x14ac:dyDescent="0.25">
      <c r="A128" s="2">
        <v>46226</v>
      </c>
      <c r="B128" s="1" t="str">
        <f ca="1">IF(Información1[[#This Row],[Fecha]]='Ajuste de fechas'!$A$2,"Día actual","Día anterior")</f>
        <v>Día actual</v>
      </c>
      <c r="C128" t="s">
        <v>50</v>
      </c>
      <c r="D128" t="s">
        <v>55</v>
      </c>
      <c r="E128" t="s">
        <v>260</v>
      </c>
      <c r="F128" t="s">
        <v>21</v>
      </c>
      <c r="G128" t="s">
        <v>261</v>
      </c>
      <c r="H128" t="s">
        <v>11</v>
      </c>
      <c r="I128" t="s">
        <v>7</v>
      </c>
      <c r="J128" t="s">
        <v>39</v>
      </c>
      <c r="K128" t="s">
        <v>51</v>
      </c>
      <c r="L128" t="s">
        <v>42</v>
      </c>
      <c r="M128">
        <v>1</v>
      </c>
    </row>
    <row r="129" spans="1:13" x14ac:dyDescent="0.25">
      <c r="A129" s="2">
        <v>46226</v>
      </c>
      <c r="B129" s="1" t="str">
        <f ca="1">IF(Información1[[#This Row],[Fecha]]='Ajuste de fechas'!$A$2,"Día actual","Día anterior")</f>
        <v>Día actual</v>
      </c>
      <c r="C129" t="s">
        <v>63</v>
      </c>
      <c r="D129" t="s">
        <v>64</v>
      </c>
      <c r="E129" t="s">
        <v>260</v>
      </c>
      <c r="F129" t="s">
        <v>21</v>
      </c>
      <c r="G129" t="s">
        <v>261</v>
      </c>
      <c r="H129" t="s">
        <v>11</v>
      </c>
      <c r="I129" t="s">
        <v>7</v>
      </c>
      <c r="J129" t="s">
        <v>39</v>
      </c>
      <c r="K129" t="s">
        <v>65</v>
      </c>
      <c r="L129" t="s">
        <v>42</v>
      </c>
      <c r="M129">
        <v>1</v>
      </c>
    </row>
    <row r="130" spans="1:13" x14ac:dyDescent="0.25">
      <c r="A130" s="2">
        <v>46226</v>
      </c>
      <c r="B130" s="1" t="str">
        <f ca="1">IF(Información1[[#This Row],[Fecha]]='Ajuste de fechas'!$A$2,"Día actual","Día anterior")</f>
        <v>Día actual</v>
      </c>
      <c r="C130" t="s">
        <v>63</v>
      </c>
      <c r="D130" t="s">
        <v>64</v>
      </c>
      <c r="E130" t="s">
        <v>262</v>
      </c>
      <c r="F130" t="s">
        <v>22</v>
      </c>
      <c r="G130" t="s">
        <v>93</v>
      </c>
      <c r="H130" t="s">
        <v>11</v>
      </c>
      <c r="I130" t="s">
        <v>7</v>
      </c>
      <c r="J130" t="s">
        <v>44</v>
      </c>
      <c r="K130" t="s">
        <v>65</v>
      </c>
      <c r="L130" t="s">
        <v>40</v>
      </c>
      <c r="M130">
        <v>1</v>
      </c>
    </row>
    <row r="131" spans="1:13" x14ac:dyDescent="0.25">
      <c r="A131" s="2">
        <v>46226</v>
      </c>
      <c r="B131" s="1" t="str">
        <f ca="1">IF(Información1[[#This Row],[Fecha]]='Ajuste de fechas'!$A$2,"Día actual","Día anterior")</f>
        <v>Día actual</v>
      </c>
      <c r="C131" t="s">
        <v>63</v>
      </c>
      <c r="D131" t="s">
        <v>64</v>
      </c>
      <c r="E131" t="s">
        <v>263</v>
      </c>
      <c r="F131" t="s">
        <v>54</v>
      </c>
      <c r="G131" t="s">
        <v>178</v>
      </c>
      <c r="H131" t="s">
        <v>11</v>
      </c>
      <c r="I131" t="s">
        <v>7</v>
      </c>
      <c r="J131" t="s">
        <v>24</v>
      </c>
      <c r="K131" t="s">
        <v>65</v>
      </c>
      <c r="L131" t="s">
        <v>40</v>
      </c>
      <c r="M131">
        <v>1</v>
      </c>
    </row>
    <row r="132" spans="1:13" x14ac:dyDescent="0.25">
      <c r="A132" s="2">
        <v>46226</v>
      </c>
      <c r="B132" s="1" t="str">
        <f ca="1">IF(Información1[[#This Row],[Fecha]]='Ajuste de fechas'!$A$2,"Día actual","Día anterior")</f>
        <v>Día actual</v>
      </c>
      <c r="C132" t="s">
        <v>63</v>
      </c>
      <c r="D132" t="s">
        <v>64</v>
      </c>
      <c r="E132" t="s">
        <v>264</v>
      </c>
      <c r="F132" t="s">
        <v>54</v>
      </c>
      <c r="G132" t="s">
        <v>160</v>
      </c>
      <c r="H132" t="s">
        <v>11</v>
      </c>
      <c r="I132" t="s">
        <v>7</v>
      </c>
      <c r="J132" t="s">
        <v>24</v>
      </c>
      <c r="K132" t="s">
        <v>65</v>
      </c>
      <c r="L132" t="s">
        <v>40</v>
      </c>
      <c r="M132">
        <v>1</v>
      </c>
    </row>
    <row r="133" spans="1:13" x14ac:dyDescent="0.25">
      <c r="A133" s="2">
        <v>46226</v>
      </c>
      <c r="B133" s="1" t="str">
        <f ca="1">IF(Información1[[#This Row],[Fecha]]='Ajuste de fechas'!$A$2,"Día actual","Día anterior")</f>
        <v>Día actual</v>
      </c>
      <c r="C133" t="s">
        <v>63</v>
      </c>
      <c r="D133" t="s">
        <v>64</v>
      </c>
      <c r="E133" t="s">
        <v>265</v>
      </c>
      <c r="F133" t="s">
        <v>26</v>
      </c>
      <c r="G133" t="s">
        <v>112</v>
      </c>
      <c r="H133" t="s">
        <v>11</v>
      </c>
      <c r="I133" t="s">
        <v>7</v>
      </c>
      <c r="J133" t="s">
        <v>39</v>
      </c>
      <c r="K133" t="s">
        <v>65</v>
      </c>
      <c r="L133" t="s">
        <v>42</v>
      </c>
      <c r="M133">
        <v>1</v>
      </c>
    </row>
    <row r="134" spans="1:13" x14ac:dyDescent="0.25">
      <c r="A134" s="2">
        <v>46226</v>
      </c>
      <c r="B134" s="1" t="str">
        <f ca="1">IF(Información1[[#This Row],[Fecha]]='Ajuste de fechas'!$A$2,"Día actual","Día anterior")</f>
        <v>Día actual</v>
      </c>
      <c r="C134" t="s">
        <v>63</v>
      </c>
      <c r="D134" t="s">
        <v>64</v>
      </c>
      <c r="E134" t="s">
        <v>266</v>
      </c>
      <c r="F134" t="s">
        <v>31</v>
      </c>
      <c r="G134" t="s">
        <v>94</v>
      </c>
      <c r="H134" t="s">
        <v>11</v>
      </c>
      <c r="I134" t="s">
        <v>7</v>
      </c>
      <c r="J134" t="s">
        <v>39</v>
      </c>
      <c r="K134" t="s">
        <v>65</v>
      </c>
      <c r="L134" t="s">
        <v>42</v>
      </c>
      <c r="M134">
        <v>1</v>
      </c>
    </row>
    <row r="135" spans="1:13" x14ac:dyDescent="0.25">
      <c r="A135" s="2">
        <v>46226</v>
      </c>
      <c r="B135" s="1" t="str">
        <f ca="1">IF(Información1[[#This Row],[Fecha]]='Ajuste de fechas'!$A$2,"Día actual","Día anterior")</f>
        <v>Día actual</v>
      </c>
      <c r="C135" t="s">
        <v>63</v>
      </c>
      <c r="D135" t="s">
        <v>64</v>
      </c>
      <c r="E135" t="s">
        <v>267</v>
      </c>
      <c r="F135" t="s">
        <v>113</v>
      </c>
      <c r="G135" t="s">
        <v>268</v>
      </c>
      <c r="H135" t="s">
        <v>11</v>
      </c>
      <c r="I135" t="s">
        <v>7</v>
      </c>
      <c r="J135" t="s">
        <v>39</v>
      </c>
      <c r="K135" t="s">
        <v>65</v>
      </c>
      <c r="L135" t="s">
        <v>42</v>
      </c>
      <c r="M135">
        <v>1</v>
      </c>
    </row>
    <row r="136" spans="1:13" x14ac:dyDescent="0.25">
      <c r="A136" s="2">
        <v>46226</v>
      </c>
      <c r="B136" s="1" t="str">
        <f ca="1">IF(Información1[[#This Row],[Fecha]]='Ajuste de fechas'!$A$2,"Día actual","Día anterior")</f>
        <v>Día actual</v>
      </c>
      <c r="C136" t="s">
        <v>63</v>
      </c>
      <c r="D136" t="s">
        <v>64</v>
      </c>
      <c r="E136" t="s">
        <v>269</v>
      </c>
      <c r="F136" t="s">
        <v>48</v>
      </c>
      <c r="G136" t="s">
        <v>270</v>
      </c>
      <c r="H136" t="s">
        <v>11</v>
      </c>
      <c r="I136" t="s">
        <v>12</v>
      </c>
      <c r="J136" t="s">
        <v>39</v>
      </c>
      <c r="K136" t="s">
        <v>65</v>
      </c>
      <c r="L136" t="s">
        <v>41</v>
      </c>
      <c r="M136">
        <v>1</v>
      </c>
    </row>
    <row r="137" spans="1:13" x14ac:dyDescent="0.25">
      <c r="A137" s="2">
        <v>46226</v>
      </c>
      <c r="B137" s="1" t="str">
        <f ca="1">IF(Información1[[#This Row],[Fecha]]='Ajuste de fechas'!$A$2,"Día actual","Día anterior")</f>
        <v>Día actual</v>
      </c>
      <c r="C137" t="s">
        <v>63</v>
      </c>
      <c r="D137" t="s">
        <v>64</v>
      </c>
      <c r="E137" t="s">
        <v>271</v>
      </c>
      <c r="F137" t="s">
        <v>48</v>
      </c>
      <c r="G137" t="s">
        <v>270</v>
      </c>
      <c r="H137" t="s">
        <v>11</v>
      </c>
      <c r="I137" t="s">
        <v>7</v>
      </c>
      <c r="J137" t="s">
        <v>39</v>
      </c>
      <c r="K137" t="s">
        <v>65</v>
      </c>
      <c r="L137" t="s">
        <v>42</v>
      </c>
      <c r="M137">
        <v>1</v>
      </c>
    </row>
    <row r="138" spans="1:13" x14ac:dyDescent="0.25">
      <c r="A138" s="2">
        <v>46226</v>
      </c>
      <c r="B138" s="1" t="str">
        <f ca="1">IF(Información1[[#This Row],[Fecha]]='Ajuste de fechas'!$A$2,"Día actual","Día anterior")</f>
        <v>Día actual</v>
      </c>
      <c r="C138" t="s">
        <v>63</v>
      </c>
      <c r="D138" t="s">
        <v>64</v>
      </c>
      <c r="E138" t="s">
        <v>272</v>
      </c>
      <c r="F138" t="s">
        <v>15</v>
      </c>
      <c r="G138" t="s">
        <v>273</v>
      </c>
      <c r="H138" t="s">
        <v>11</v>
      </c>
      <c r="I138" t="s">
        <v>7</v>
      </c>
      <c r="J138" t="s">
        <v>39</v>
      </c>
      <c r="K138" t="s">
        <v>65</v>
      </c>
      <c r="L138" t="s">
        <v>42</v>
      </c>
      <c r="M138">
        <v>1</v>
      </c>
    </row>
    <row r="139" spans="1:13" x14ac:dyDescent="0.25">
      <c r="A139" s="2">
        <v>46226</v>
      </c>
      <c r="B139" s="1" t="str">
        <f ca="1">IF(Información1[[#This Row],[Fecha]]='Ajuste de fechas'!$A$2,"Día actual","Día anterior")</f>
        <v>Día actual</v>
      </c>
      <c r="C139" t="s">
        <v>63</v>
      </c>
      <c r="D139" t="s">
        <v>64</v>
      </c>
      <c r="E139" t="s">
        <v>251</v>
      </c>
      <c r="F139" t="s">
        <v>85</v>
      </c>
      <c r="G139" t="s">
        <v>252</v>
      </c>
      <c r="H139" t="s">
        <v>11</v>
      </c>
      <c r="I139" t="s">
        <v>7</v>
      </c>
      <c r="J139" t="s">
        <v>39</v>
      </c>
      <c r="K139" t="s">
        <v>65</v>
      </c>
      <c r="L139" t="s">
        <v>42</v>
      </c>
      <c r="M139">
        <v>1</v>
      </c>
    </row>
    <row r="140" spans="1:13" x14ac:dyDescent="0.25">
      <c r="A140" s="2">
        <v>46226</v>
      </c>
      <c r="B140" s="1" t="str">
        <f ca="1">IF(Información1[[#This Row],[Fecha]]='Ajuste de fechas'!$A$2,"Día actual","Día anterior")</f>
        <v>Día actual</v>
      </c>
      <c r="C140" t="s">
        <v>63</v>
      </c>
      <c r="D140" t="s">
        <v>64</v>
      </c>
      <c r="E140" t="s">
        <v>274</v>
      </c>
      <c r="F140" t="s">
        <v>26</v>
      </c>
      <c r="G140" t="s">
        <v>112</v>
      </c>
      <c r="H140" t="s">
        <v>11</v>
      </c>
      <c r="I140" t="s">
        <v>7</v>
      </c>
      <c r="J140" t="s">
        <v>39</v>
      </c>
      <c r="K140" t="s">
        <v>65</v>
      </c>
      <c r="L140" t="s">
        <v>42</v>
      </c>
      <c r="M140">
        <v>1</v>
      </c>
    </row>
    <row r="141" spans="1:13" x14ac:dyDescent="0.25">
      <c r="A141" s="2">
        <v>46226</v>
      </c>
      <c r="B141" s="1" t="str">
        <f ca="1">IF(Información1[[#This Row],[Fecha]]='Ajuste de fechas'!$A$2,"Día actual","Día anterior")</f>
        <v>Día actual</v>
      </c>
      <c r="C141" t="s">
        <v>63</v>
      </c>
      <c r="D141" t="s">
        <v>64</v>
      </c>
      <c r="E141" t="s">
        <v>275</v>
      </c>
      <c r="F141" t="s">
        <v>23</v>
      </c>
      <c r="G141" t="s">
        <v>276</v>
      </c>
      <c r="H141" t="s">
        <v>11</v>
      </c>
      <c r="I141" t="s">
        <v>7</v>
      </c>
      <c r="J141" t="s">
        <v>39</v>
      </c>
      <c r="K141" t="s">
        <v>65</v>
      </c>
      <c r="L141" t="s">
        <v>42</v>
      </c>
      <c r="M141">
        <v>1</v>
      </c>
    </row>
    <row r="142" spans="1:13" x14ac:dyDescent="0.25">
      <c r="A142" s="2">
        <v>46226</v>
      </c>
      <c r="B142" s="1" t="str">
        <f ca="1">IF(Información1[[#This Row],[Fecha]]='Ajuste de fechas'!$A$2,"Día actual","Día anterior")</f>
        <v>Día actual</v>
      </c>
      <c r="C142" t="s">
        <v>50</v>
      </c>
      <c r="D142" t="s">
        <v>52</v>
      </c>
      <c r="E142" t="s">
        <v>277</v>
      </c>
      <c r="F142" t="s">
        <v>22</v>
      </c>
      <c r="G142" t="s">
        <v>94</v>
      </c>
      <c r="H142" t="s">
        <v>11</v>
      </c>
      <c r="I142" t="s">
        <v>7</v>
      </c>
      <c r="J142" t="s">
        <v>44</v>
      </c>
      <c r="K142" t="s">
        <v>49</v>
      </c>
      <c r="L142" t="s">
        <v>83</v>
      </c>
      <c r="M142">
        <v>1</v>
      </c>
    </row>
    <row r="143" spans="1:13" x14ac:dyDescent="0.25">
      <c r="A143" s="2">
        <v>46226</v>
      </c>
      <c r="B143" s="1" t="str">
        <f ca="1">IF(Información1[[#This Row],[Fecha]]='Ajuste de fechas'!$A$2,"Día actual","Día anterior")</f>
        <v>Día actual</v>
      </c>
      <c r="C143" t="s">
        <v>50</v>
      </c>
      <c r="D143" t="s">
        <v>52</v>
      </c>
      <c r="E143" t="s">
        <v>278</v>
      </c>
      <c r="F143" t="s">
        <v>24</v>
      </c>
      <c r="G143" t="s">
        <v>279</v>
      </c>
      <c r="H143" t="s">
        <v>11</v>
      </c>
      <c r="I143" t="s">
        <v>7</v>
      </c>
      <c r="J143" t="s">
        <v>24</v>
      </c>
      <c r="K143" t="s">
        <v>51</v>
      </c>
      <c r="L143" t="s">
        <v>83</v>
      </c>
      <c r="M143">
        <v>1</v>
      </c>
    </row>
    <row r="144" spans="1:13" x14ac:dyDescent="0.25">
      <c r="A144" s="2">
        <v>46226</v>
      </c>
      <c r="B144" s="1" t="str">
        <f ca="1">IF(Información1[[#This Row],[Fecha]]='Ajuste de fechas'!$A$2,"Día actual","Día anterior")</f>
        <v>Día actual</v>
      </c>
      <c r="C144" t="s">
        <v>50</v>
      </c>
      <c r="D144" t="s">
        <v>52</v>
      </c>
      <c r="E144" t="s">
        <v>280</v>
      </c>
      <c r="F144" t="s">
        <v>19</v>
      </c>
      <c r="G144" t="s">
        <v>276</v>
      </c>
      <c r="H144" t="s">
        <v>11</v>
      </c>
      <c r="I144" t="s">
        <v>7</v>
      </c>
      <c r="J144" t="s">
        <v>43</v>
      </c>
      <c r="K144" t="s">
        <v>49</v>
      </c>
      <c r="L144" t="s">
        <v>40</v>
      </c>
      <c r="M144">
        <v>1</v>
      </c>
    </row>
    <row r="145" spans="1:13" x14ac:dyDescent="0.25">
      <c r="A145" s="2">
        <v>46226</v>
      </c>
      <c r="B145" s="1" t="str">
        <f ca="1">IF(Información1[[#This Row],[Fecha]]='Ajuste de fechas'!$A$2,"Día actual","Día anterior")</f>
        <v>Día actual</v>
      </c>
      <c r="C145" t="s">
        <v>50</v>
      </c>
      <c r="D145" t="s">
        <v>52</v>
      </c>
      <c r="E145" t="s">
        <v>281</v>
      </c>
      <c r="F145" t="s">
        <v>21</v>
      </c>
      <c r="G145" t="s">
        <v>282</v>
      </c>
      <c r="H145" t="s">
        <v>11</v>
      </c>
      <c r="I145" t="s">
        <v>7</v>
      </c>
      <c r="J145" t="s">
        <v>39</v>
      </c>
      <c r="K145" t="s">
        <v>51</v>
      </c>
      <c r="L145" t="s">
        <v>42</v>
      </c>
      <c r="M145">
        <v>1</v>
      </c>
    </row>
    <row r="146" spans="1:13" x14ac:dyDescent="0.25">
      <c r="A146" s="2">
        <v>46226</v>
      </c>
      <c r="B146" s="1" t="str">
        <f ca="1">IF(Información1[[#This Row],[Fecha]]='Ajuste de fechas'!$A$2,"Día actual","Día anterior")</f>
        <v>Día actual</v>
      </c>
      <c r="C146" t="s">
        <v>50</v>
      </c>
      <c r="D146" t="s">
        <v>52</v>
      </c>
      <c r="E146" t="s">
        <v>283</v>
      </c>
      <c r="F146" t="s">
        <v>23</v>
      </c>
      <c r="G146" t="s">
        <v>284</v>
      </c>
      <c r="H146" t="s">
        <v>11</v>
      </c>
      <c r="I146" t="s">
        <v>7</v>
      </c>
      <c r="J146" t="s">
        <v>39</v>
      </c>
      <c r="K146" t="s">
        <v>49</v>
      </c>
      <c r="L146" t="s">
        <v>42</v>
      </c>
      <c r="M146">
        <v>1</v>
      </c>
    </row>
    <row r="147" spans="1:13" x14ac:dyDescent="0.25">
      <c r="A147" s="2">
        <v>46226</v>
      </c>
      <c r="B147" s="1" t="str">
        <f ca="1">IF(Información1[[#This Row],[Fecha]]='Ajuste de fechas'!$A$2,"Día actual","Día anterior")</f>
        <v>Día actual</v>
      </c>
      <c r="C147" t="s">
        <v>50</v>
      </c>
      <c r="D147" t="s">
        <v>52</v>
      </c>
      <c r="E147" t="s">
        <v>285</v>
      </c>
      <c r="F147" t="s">
        <v>54</v>
      </c>
      <c r="G147" t="s">
        <v>160</v>
      </c>
      <c r="H147" t="s">
        <v>11</v>
      </c>
      <c r="I147" t="s">
        <v>7</v>
      </c>
      <c r="J147" t="s">
        <v>24</v>
      </c>
      <c r="K147" t="s">
        <v>49</v>
      </c>
      <c r="L147" t="s">
        <v>40</v>
      </c>
      <c r="M147">
        <v>1</v>
      </c>
    </row>
    <row r="148" spans="1:13" x14ac:dyDescent="0.25">
      <c r="A148" s="2">
        <v>46226</v>
      </c>
      <c r="B148" s="1" t="str">
        <f ca="1">IF(Información1[[#This Row],[Fecha]]='Ajuste de fechas'!$A$2,"Día actual","Día anterior")</f>
        <v>Día actual</v>
      </c>
      <c r="C148" t="s">
        <v>50</v>
      </c>
      <c r="D148" t="s">
        <v>52</v>
      </c>
      <c r="E148" t="s">
        <v>265</v>
      </c>
      <c r="F148" t="s">
        <v>26</v>
      </c>
      <c r="G148" t="s">
        <v>112</v>
      </c>
      <c r="H148" t="s">
        <v>11</v>
      </c>
      <c r="I148" t="s">
        <v>7</v>
      </c>
      <c r="J148" t="s">
        <v>39</v>
      </c>
      <c r="K148" t="s">
        <v>49</v>
      </c>
      <c r="L148" t="s">
        <v>42</v>
      </c>
      <c r="M148">
        <v>1</v>
      </c>
    </row>
    <row r="149" spans="1:13" x14ac:dyDescent="0.25">
      <c r="A149" s="2">
        <v>46226</v>
      </c>
      <c r="B149" s="1" t="str">
        <f ca="1">IF(Información1[[#This Row],[Fecha]]='Ajuste de fechas'!$A$2,"Día actual","Día anterior")</f>
        <v>Día actual</v>
      </c>
      <c r="C149" t="s">
        <v>50</v>
      </c>
      <c r="D149" t="s">
        <v>52</v>
      </c>
      <c r="E149" t="s">
        <v>286</v>
      </c>
      <c r="F149" t="s">
        <v>26</v>
      </c>
      <c r="G149" t="s">
        <v>112</v>
      </c>
      <c r="H149" t="s">
        <v>11</v>
      </c>
      <c r="I149" t="s">
        <v>7</v>
      </c>
      <c r="J149" t="s">
        <v>39</v>
      </c>
      <c r="K149" t="s">
        <v>49</v>
      </c>
      <c r="L149" t="s">
        <v>42</v>
      </c>
      <c r="M149">
        <v>1</v>
      </c>
    </row>
    <row r="150" spans="1:13" x14ac:dyDescent="0.25">
      <c r="A150" s="2">
        <v>46226</v>
      </c>
      <c r="B150" s="1" t="str">
        <f ca="1">IF(Información1[[#This Row],[Fecha]]='Ajuste de fechas'!$A$2,"Día actual","Día anterior")</f>
        <v>Día actual</v>
      </c>
      <c r="C150" t="s">
        <v>50</v>
      </c>
      <c r="D150" t="s">
        <v>52</v>
      </c>
      <c r="E150" t="s">
        <v>275</v>
      </c>
      <c r="F150" t="s">
        <v>23</v>
      </c>
      <c r="G150" t="s">
        <v>276</v>
      </c>
      <c r="H150" t="s">
        <v>11</v>
      </c>
      <c r="I150" t="s">
        <v>7</v>
      </c>
      <c r="J150" t="s">
        <v>39</v>
      </c>
      <c r="K150" t="s">
        <v>49</v>
      </c>
      <c r="L150" t="s">
        <v>42</v>
      </c>
      <c r="M150">
        <v>1</v>
      </c>
    </row>
    <row r="151" spans="1:13" x14ac:dyDescent="0.25">
      <c r="A151" s="2">
        <v>46226</v>
      </c>
      <c r="B151" s="1" t="str">
        <f ca="1">IF(Información1[[#This Row],[Fecha]]='Ajuste de fechas'!$A$2,"Día actual","Día anterior")</f>
        <v>Día actual</v>
      </c>
      <c r="C151" t="s">
        <v>50</v>
      </c>
      <c r="D151" t="s">
        <v>52</v>
      </c>
      <c r="E151" t="s">
        <v>243</v>
      </c>
      <c r="F151" t="s">
        <v>17</v>
      </c>
      <c r="G151" t="s">
        <v>244</v>
      </c>
      <c r="H151" t="s">
        <v>11</v>
      </c>
      <c r="I151" t="s">
        <v>7</v>
      </c>
      <c r="J151" t="s">
        <v>39</v>
      </c>
      <c r="K151" t="s">
        <v>49</v>
      </c>
      <c r="L151" t="s">
        <v>42</v>
      </c>
      <c r="M151">
        <v>1</v>
      </c>
    </row>
    <row r="152" spans="1:13" x14ac:dyDescent="0.25">
      <c r="A152" s="2">
        <v>46226</v>
      </c>
      <c r="B152" s="1" t="str">
        <f ca="1">IF(Información1[[#This Row],[Fecha]]='Ajuste de fechas'!$A$2,"Día actual","Día anterior")</f>
        <v>Día actual</v>
      </c>
      <c r="C152" t="s">
        <v>29</v>
      </c>
      <c r="D152" t="s">
        <v>30</v>
      </c>
      <c r="E152" t="s">
        <v>287</v>
      </c>
      <c r="F152" t="s">
        <v>15</v>
      </c>
      <c r="G152" t="s">
        <v>58</v>
      </c>
      <c r="H152" t="s">
        <v>57</v>
      </c>
      <c r="I152" t="s">
        <v>7</v>
      </c>
      <c r="J152" t="s">
        <v>39</v>
      </c>
      <c r="K152" t="s">
        <v>27</v>
      </c>
      <c r="L152" t="s">
        <v>40</v>
      </c>
      <c r="M152">
        <v>1</v>
      </c>
    </row>
    <row r="153" spans="1:13" x14ac:dyDescent="0.25">
      <c r="A153" s="2">
        <v>46225</v>
      </c>
      <c r="B153" s="1" t="str">
        <f ca="1">IF(Información1[[#This Row],[Fecha]]='Ajuste de fechas'!$A$2,"Día actual","Día anterior")</f>
        <v>Día anterior</v>
      </c>
      <c r="C153" t="s">
        <v>71</v>
      </c>
      <c r="D153" t="s">
        <v>72</v>
      </c>
      <c r="E153" t="s">
        <v>217</v>
      </c>
      <c r="F153" t="s">
        <v>23</v>
      </c>
      <c r="G153" t="s">
        <v>209</v>
      </c>
      <c r="H153" t="s">
        <v>57</v>
      </c>
      <c r="I153" t="s">
        <v>7</v>
      </c>
      <c r="J153" t="s">
        <v>39</v>
      </c>
      <c r="K153" t="s">
        <v>49</v>
      </c>
      <c r="L153" t="s">
        <v>42</v>
      </c>
      <c r="M153">
        <v>1</v>
      </c>
    </row>
    <row r="154" spans="1:13" x14ac:dyDescent="0.25">
      <c r="A154" s="2">
        <v>46225</v>
      </c>
      <c r="B154" s="1" t="str">
        <f ca="1">IF(Información1[[#This Row],[Fecha]]='Ajuste de fechas'!$A$2,"Día actual","Día anterior")</f>
        <v>Día anterior</v>
      </c>
      <c r="C154" t="s">
        <v>71</v>
      </c>
      <c r="D154" t="s">
        <v>72</v>
      </c>
      <c r="E154" t="s">
        <v>201</v>
      </c>
      <c r="F154" t="s">
        <v>202</v>
      </c>
      <c r="G154" t="s">
        <v>203</v>
      </c>
      <c r="H154" t="s">
        <v>57</v>
      </c>
      <c r="I154" t="s">
        <v>7</v>
      </c>
      <c r="J154" t="s">
        <v>39</v>
      </c>
      <c r="K154" t="s">
        <v>49</v>
      </c>
      <c r="L154" t="s">
        <v>42</v>
      </c>
      <c r="M154">
        <v>1</v>
      </c>
    </row>
    <row r="155" spans="1:13" x14ac:dyDescent="0.25">
      <c r="A155" s="2">
        <v>46225</v>
      </c>
      <c r="B155" s="1" t="str">
        <f ca="1">IF(Información1[[#This Row],[Fecha]]='Ajuste de fechas'!$A$2,"Día actual","Día anterior")</f>
        <v>Día anterior</v>
      </c>
      <c r="C155" t="s">
        <v>71</v>
      </c>
      <c r="D155" t="s">
        <v>72</v>
      </c>
      <c r="E155" t="s">
        <v>288</v>
      </c>
      <c r="F155" t="s">
        <v>113</v>
      </c>
      <c r="G155" t="s">
        <v>289</v>
      </c>
      <c r="H155" t="s">
        <v>57</v>
      </c>
      <c r="I155" t="s">
        <v>7</v>
      </c>
      <c r="J155" t="s">
        <v>39</v>
      </c>
      <c r="K155" t="s">
        <v>49</v>
      </c>
      <c r="L155" t="s">
        <v>42</v>
      </c>
      <c r="M155">
        <v>1</v>
      </c>
    </row>
    <row r="156" spans="1:13" x14ac:dyDescent="0.25">
      <c r="A156" s="2">
        <v>46225</v>
      </c>
      <c r="B156" s="1" t="str">
        <f ca="1">IF(Información1[[#This Row],[Fecha]]='Ajuste de fechas'!$A$2,"Día actual","Día anterior")</f>
        <v>Día anterior</v>
      </c>
      <c r="C156" t="s">
        <v>71</v>
      </c>
      <c r="D156" t="s">
        <v>72</v>
      </c>
      <c r="E156" t="s">
        <v>190</v>
      </c>
      <c r="F156" t="s">
        <v>21</v>
      </c>
      <c r="G156" t="s">
        <v>191</v>
      </c>
      <c r="H156" t="s">
        <v>57</v>
      </c>
      <c r="I156" t="s">
        <v>7</v>
      </c>
      <c r="J156" t="s">
        <v>39</v>
      </c>
      <c r="K156" t="s">
        <v>49</v>
      </c>
      <c r="L156" t="s">
        <v>42</v>
      </c>
      <c r="M156">
        <v>1</v>
      </c>
    </row>
    <row r="157" spans="1:13" x14ac:dyDescent="0.25">
      <c r="A157" s="2">
        <v>46225</v>
      </c>
      <c r="B157" s="1" t="str">
        <f ca="1">IF(Información1[[#This Row],[Fecha]]='Ajuste de fechas'!$A$2,"Día actual","Día anterior")</f>
        <v>Día anterior</v>
      </c>
      <c r="C157" t="s">
        <v>71</v>
      </c>
      <c r="D157" t="s">
        <v>72</v>
      </c>
      <c r="E157" t="s">
        <v>290</v>
      </c>
      <c r="F157" t="s">
        <v>21</v>
      </c>
      <c r="G157" t="s">
        <v>84</v>
      </c>
      <c r="H157" t="s">
        <v>57</v>
      </c>
      <c r="I157" t="s">
        <v>7</v>
      </c>
      <c r="J157" t="s">
        <v>39</v>
      </c>
      <c r="K157" t="s">
        <v>49</v>
      </c>
      <c r="L157" t="s">
        <v>42</v>
      </c>
      <c r="M157">
        <v>1</v>
      </c>
    </row>
    <row r="158" spans="1:13" x14ac:dyDescent="0.25">
      <c r="A158" s="2">
        <v>46225</v>
      </c>
      <c r="B158" s="1" t="str">
        <f ca="1">IF(Información1[[#This Row],[Fecha]]='Ajuste de fechas'!$A$2,"Día actual","Día anterior")</f>
        <v>Día anterior</v>
      </c>
      <c r="C158" t="s">
        <v>71</v>
      </c>
      <c r="D158" t="s">
        <v>72</v>
      </c>
      <c r="E158" t="s">
        <v>291</v>
      </c>
      <c r="F158" t="s">
        <v>31</v>
      </c>
      <c r="G158" t="s">
        <v>282</v>
      </c>
      <c r="H158" t="s">
        <v>57</v>
      </c>
      <c r="I158" t="s">
        <v>7</v>
      </c>
      <c r="J158" t="s">
        <v>39</v>
      </c>
      <c r="K158" t="s">
        <v>49</v>
      </c>
      <c r="L158" t="s">
        <v>42</v>
      </c>
      <c r="M158">
        <v>1</v>
      </c>
    </row>
    <row r="159" spans="1:13" x14ac:dyDescent="0.25">
      <c r="A159" s="2">
        <v>46225</v>
      </c>
      <c r="B159" s="1" t="str">
        <f ca="1">IF(Información1[[#This Row],[Fecha]]='Ajuste de fechas'!$A$2,"Día actual","Día anterior")</f>
        <v>Día anterior</v>
      </c>
      <c r="C159" t="s">
        <v>71</v>
      </c>
      <c r="D159" t="s">
        <v>72</v>
      </c>
      <c r="E159" t="s">
        <v>103</v>
      </c>
      <c r="F159" t="s">
        <v>85</v>
      </c>
      <c r="G159" t="s">
        <v>162</v>
      </c>
      <c r="H159" t="s">
        <v>57</v>
      </c>
      <c r="I159" t="s">
        <v>7</v>
      </c>
      <c r="J159" t="s">
        <v>39</v>
      </c>
      <c r="K159" t="s">
        <v>49</v>
      </c>
      <c r="L159" t="s">
        <v>42</v>
      </c>
      <c r="M159">
        <v>1</v>
      </c>
    </row>
    <row r="160" spans="1:13" x14ac:dyDescent="0.25">
      <c r="A160" s="2">
        <v>46225</v>
      </c>
      <c r="B160" s="1" t="str">
        <f ca="1">IF(Información1[[#This Row],[Fecha]]='Ajuste de fechas'!$A$2,"Día actual","Día anterior")</f>
        <v>Día anterior</v>
      </c>
      <c r="C160" t="s">
        <v>71</v>
      </c>
      <c r="D160" t="s">
        <v>72</v>
      </c>
      <c r="E160" t="s">
        <v>292</v>
      </c>
      <c r="F160" t="s">
        <v>19</v>
      </c>
      <c r="G160" t="s">
        <v>146</v>
      </c>
      <c r="H160" t="s">
        <v>57</v>
      </c>
      <c r="I160" t="s">
        <v>7</v>
      </c>
      <c r="J160" t="s">
        <v>43</v>
      </c>
      <c r="K160" t="s">
        <v>49</v>
      </c>
      <c r="L160" t="s">
        <v>40</v>
      </c>
      <c r="M160">
        <v>1</v>
      </c>
    </row>
    <row r="161" spans="1:13" x14ac:dyDescent="0.25">
      <c r="A161" s="2">
        <v>46225</v>
      </c>
      <c r="B161" s="1" t="str">
        <f ca="1">IF(Información1[[#This Row],[Fecha]]='Ajuste de fechas'!$A$2,"Día actual","Día anterior")</f>
        <v>Día anterior</v>
      </c>
      <c r="C161" t="s">
        <v>71</v>
      </c>
      <c r="D161" t="s">
        <v>72</v>
      </c>
      <c r="E161" t="s">
        <v>293</v>
      </c>
      <c r="F161" t="s">
        <v>54</v>
      </c>
      <c r="G161" t="s">
        <v>178</v>
      </c>
      <c r="H161" t="s">
        <v>57</v>
      </c>
      <c r="I161" t="s">
        <v>7</v>
      </c>
      <c r="J161" t="s">
        <v>24</v>
      </c>
      <c r="K161" t="s">
        <v>49</v>
      </c>
      <c r="L161" t="s">
        <v>40</v>
      </c>
      <c r="M161">
        <v>1</v>
      </c>
    </row>
    <row r="162" spans="1:13" x14ac:dyDescent="0.25">
      <c r="A162" s="2">
        <v>46225</v>
      </c>
      <c r="B162" s="1" t="str">
        <f ca="1">IF(Información1[[#This Row],[Fecha]]='Ajuste de fechas'!$A$2,"Día actual","Día anterior")</f>
        <v>Día anterior</v>
      </c>
      <c r="C162" t="s">
        <v>71</v>
      </c>
      <c r="D162" t="s">
        <v>72</v>
      </c>
      <c r="E162" t="s">
        <v>139</v>
      </c>
      <c r="F162" t="s">
        <v>26</v>
      </c>
      <c r="G162" t="s">
        <v>112</v>
      </c>
      <c r="H162" t="s">
        <v>57</v>
      </c>
      <c r="I162" t="s">
        <v>7</v>
      </c>
      <c r="J162" t="s">
        <v>39</v>
      </c>
      <c r="K162" t="s">
        <v>49</v>
      </c>
      <c r="L162" t="s">
        <v>42</v>
      </c>
      <c r="M162">
        <v>1</v>
      </c>
    </row>
    <row r="163" spans="1:13" x14ac:dyDescent="0.25">
      <c r="A163" s="2">
        <v>46225</v>
      </c>
      <c r="B163" s="1" t="str">
        <f ca="1">IF(Información1[[#This Row],[Fecha]]='Ajuste de fechas'!$A$2,"Día actual","Día anterior")</f>
        <v>Día anterior</v>
      </c>
      <c r="C163" t="s">
        <v>71</v>
      </c>
      <c r="D163" t="s">
        <v>72</v>
      </c>
      <c r="E163" t="s">
        <v>138</v>
      </c>
      <c r="F163" t="s">
        <v>26</v>
      </c>
      <c r="G163" t="s">
        <v>112</v>
      </c>
      <c r="H163" t="s">
        <v>57</v>
      </c>
      <c r="I163" t="s">
        <v>7</v>
      </c>
      <c r="J163" t="s">
        <v>39</v>
      </c>
      <c r="K163" t="s">
        <v>49</v>
      </c>
      <c r="L163" t="s">
        <v>42</v>
      </c>
      <c r="M163">
        <v>1</v>
      </c>
    </row>
    <row r="164" spans="1:13" x14ac:dyDescent="0.25">
      <c r="A164" s="2">
        <v>46226</v>
      </c>
      <c r="B164" s="1" t="str">
        <f ca="1">IF(Información1[[#This Row],[Fecha]]='Ajuste de fechas'!$A$2,"Día actual","Día anterior")</f>
        <v>Día actual</v>
      </c>
      <c r="C164" t="s">
        <v>59</v>
      </c>
      <c r="D164" t="s">
        <v>60</v>
      </c>
      <c r="E164" t="s">
        <v>294</v>
      </c>
      <c r="F164" t="s">
        <v>17</v>
      </c>
      <c r="G164" t="s">
        <v>244</v>
      </c>
      <c r="H164" t="s">
        <v>11</v>
      </c>
      <c r="I164" t="s">
        <v>7</v>
      </c>
      <c r="J164" t="s">
        <v>39</v>
      </c>
      <c r="K164" t="s">
        <v>61</v>
      </c>
      <c r="L164" t="s">
        <v>40</v>
      </c>
      <c r="M164">
        <v>1</v>
      </c>
    </row>
    <row r="165" spans="1:13" x14ac:dyDescent="0.25">
      <c r="A165" s="2">
        <v>46226</v>
      </c>
      <c r="B165" s="1" t="str">
        <f ca="1">IF(Información1[[#This Row],[Fecha]]='Ajuste de fechas'!$A$2,"Día actual","Día anterior")</f>
        <v>Día actual</v>
      </c>
      <c r="C165" t="s">
        <v>59</v>
      </c>
      <c r="D165" t="s">
        <v>60</v>
      </c>
      <c r="E165" t="s">
        <v>295</v>
      </c>
      <c r="F165" t="s">
        <v>19</v>
      </c>
      <c r="G165" t="s">
        <v>296</v>
      </c>
      <c r="H165" t="s">
        <v>11</v>
      </c>
      <c r="I165" t="s">
        <v>7</v>
      </c>
      <c r="J165" t="s">
        <v>43</v>
      </c>
      <c r="K165" t="s">
        <v>61</v>
      </c>
      <c r="L165" t="s">
        <v>40</v>
      </c>
      <c r="M165">
        <v>1</v>
      </c>
    </row>
    <row r="166" spans="1:13" x14ac:dyDescent="0.25">
      <c r="A166" s="2">
        <v>46226</v>
      </c>
      <c r="B166" s="1" t="str">
        <f ca="1">IF(Información1[[#This Row],[Fecha]]='Ajuste de fechas'!$A$2,"Día actual","Día anterior")</f>
        <v>Día actual</v>
      </c>
      <c r="C166" t="s">
        <v>59</v>
      </c>
      <c r="D166" t="s">
        <v>60</v>
      </c>
      <c r="E166" t="s">
        <v>297</v>
      </c>
      <c r="F166" t="s">
        <v>26</v>
      </c>
      <c r="G166" t="s">
        <v>112</v>
      </c>
      <c r="H166" t="s">
        <v>11</v>
      </c>
      <c r="I166" t="s">
        <v>7</v>
      </c>
      <c r="J166" t="s">
        <v>39</v>
      </c>
      <c r="K166" t="s">
        <v>61</v>
      </c>
      <c r="L166" t="s">
        <v>42</v>
      </c>
      <c r="M166">
        <v>1</v>
      </c>
    </row>
    <row r="167" spans="1:13" x14ac:dyDescent="0.25">
      <c r="A167" s="2">
        <v>46226</v>
      </c>
      <c r="B167" s="1" t="str">
        <f ca="1">IF(Información1[[#This Row],[Fecha]]='Ajuste de fechas'!$A$2,"Día actual","Día anterior")</f>
        <v>Día actual</v>
      </c>
      <c r="C167" t="s">
        <v>59</v>
      </c>
      <c r="D167" t="s">
        <v>60</v>
      </c>
      <c r="E167" t="s">
        <v>298</v>
      </c>
      <c r="F167" t="s">
        <v>54</v>
      </c>
      <c r="G167" t="s">
        <v>178</v>
      </c>
      <c r="H167" t="s">
        <v>11</v>
      </c>
      <c r="I167" t="s">
        <v>7</v>
      </c>
      <c r="J167" t="s">
        <v>24</v>
      </c>
      <c r="K167" t="s">
        <v>61</v>
      </c>
      <c r="L167" t="s">
        <v>40</v>
      </c>
      <c r="M167">
        <v>1</v>
      </c>
    </row>
    <row r="168" spans="1:13" x14ac:dyDescent="0.25">
      <c r="A168" s="2">
        <v>46226</v>
      </c>
      <c r="B168" s="1" t="str">
        <f ca="1">IF(Información1[[#This Row],[Fecha]]='Ajuste de fechas'!$A$2,"Día actual","Día anterior")</f>
        <v>Día actual</v>
      </c>
      <c r="C168" t="s">
        <v>59</v>
      </c>
      <c r="D168" t="s">
        <v>60</v>
      </c>
      <c r="E168" t="s">
        <v>299</v>
      </c>
      <c r="F168" t="s">
        <v>54</v>
      </c>
      <c r="G168" t="s">
        <v>111</v>
      </c>
      <c r="H168" t="s">
        <v>11</v>
      </c>
      <c r="I168" t="s">
        <v>25</v>
      </c>
      <c r="J168" t="s">
        <v>24</v>
      </c>
      <c r="K168" t="s">
        <v>61</v>
      </c>
      <c r="L168" t="s">
        <v>40</v>
      </c>
      <c r="M168">
        <v>1</v>
      </c>
    </row>
    <row r="169" spans="1:13" x14ac:dyDescent="0.25">
      <c r="A169" s="2">
        <v>46226</v>
      </c>
      <c r="B169" s="1" t="str">
        <f ca="1">IF(Información1[[#This Row],[Fecha]]='Ajuste de fechas'!$A$2,"Día actual","Día anterior")</f>
        <v>Día actual</v>
      </c>
      <c r="C169" t="s">
        <v>59</v>
      </c>
      <c r="D169" t="s">
        <v>60</v>
      </c>
      <c r="E169" t="s">
        <v>300</v>
      </c>
      <c r="F169" t="s">
        <v>54</v>
      </c>
      <c r="G169" t="s">
        <v>111</v>
      </c>
      <c r="H169" t="s">
        <v>11</v>
      </c>
      <c r="I169" t="s">
        <v>7</v>
      </c>
      <c r="J169" t="s">
        <v>24</v>
      </c>
      <c r="K169" t="s">
        <v>61</v>
      </c>
      <c r="L169" t="s">
        <v>40</v>
      </c>
      <c r="M169">
        <v>1</v>
      </c>
    </row>
    <row r="170" spans="1:13" x14ac:dyDescent="0.25">
      <c r="A170" s="2">
        <v>46226</v>
      </c>
      <c r="B170" s="1" t="str">
        <f ca="1">IF(Información1[[#This Row],[Fecha]]='Ajuste de fechas'!$A$2,"Día actual","Día anterior")</f>
        <v>Día actual</v>
      </c>
      <c r="C170" t="s">
        <v>59</v>
      </c>
      <c r="D170" t="s">
        <v>60</v>
      </c>
      <c r="E170" t="s">
        <v>260</v>
      </c>
      <c r="F170" t="s">
        <v>21</v>
      </c>
      <c r="G170" t="s">
        <v>261</v>
      </c>
      <c r="H170" t="s">
        <v>11</v>
      </c>
      <c r="I170" t="s">
        <v>7</v>
      </c>
      <c r="J170" t="s">
        <v>39</v>
      </c>
      <c r="K170" t="s">
        <v>61</v>
      </c>
      <c r="L170" t="s">
        <v>42</v>
      </c>
      <c r="M170">
        <v>1</v>
      </c>
    </row>
    <row r="171" spans="1:13" x14ac:dyDescent="0.25">
      <c r="A171" s="2">
        <v>46226</v>
      </c>
      <c r="B171" s="1" t="str">
        <f ca="1">IF(Información1[[#This Row],[Fecha]]='Ajuste de fechas'!$A$2,"Día actual","Día anterior")</f>
        <v>Día actual</v>
      </c>
      <c r="C171" t="s">
        <v>59</v>
      </c>
      <c r="D171" t="s">
        <v>60</v>
      </c>
      <c r="E171" t="s">
        <v>301</v>
      </c>
      <c r="F171" t="s">
        <v>24</v>
      </c>
      <c r="G171" t="s">
        <v>99</v>
      </c>
      <c r="H171" t="s">
        <v>11</v>
      </c>
      <c r="I171" t="s">
        <v>7</v>
      </c>
      <c r="J171" t="s">
        <v>24</v>
      </c>
      <c r="K171" t="s">
        <v>61</v>
      </c>
      <c r="L171" t="s">
        <v>40</v>
      </c>
      <c r="M171">
        <v>1</v>
      </c>
    </row>
    <row r="172" spans="1:13" x14ac:dyDescent="0.25">
      <c r="A172" s="2">
        <v>46226</v>
      </c>
      <c r="B172" s="1" t="str">
        <f ca="1">IF(Información1[[#This Row],[Fecha]]='Ajuste de fechas'!$A$2,"Día actual","Día anterior")</f>
        <v>Día actual</v>
      </c>
      <c r="C172" t="s">
        <v>59</v>
      </c>
      <c r="D172" t="s">
        <v>60</v>
      </c>
      <c r="E172" t="s">
        <v>302</v>
      </c>
      <c r="F172" t="s">
        <v>19</v>
      </c>
      <c r="G172" t="s">
        <v>196</v>
      </c>
      <c r="H172" t="s">
        <v>11</v>
      </c>
      <c r="I172" t="s">
        <v>7</v>
      </c>
      <c r="J172" t="s">
        <v>43</v>
      </c>
      <c r="K172" t="s">
        <v>61</v>
      </c>
      <c r="L172" t="s">
        <v>40</v>
      </c>
      <c r="M172">
        <v>1</v>
      </c>
    </row>
    <row r="173" spans="1:13" x14ac:dyDescent="0.25">
      <c r="A173" s="2">
        <v>46226</v>
      </c>
      <c r="B173" s="1" t="str">
        <f ca="1">IF(Información1[[#This Row],[Fecha]]='Ajuste de fechas'!$A$2,"Día actual","Día anterior")</f>
        <v>Día actual</v>
      </c>
      <c r="C173" t="s">
        <v>59</v>
      </c>
      <c r="D173" t="s">
        <v>60</v>
      </c>
      <c r="E173" t="s">
        <v>62</v>
      </c>
      <c r="F173" t="s">
        <v>19</v>
      </c>
      <c r="G173" t="s">
        <v>56</v>
      </c>
      <c r="H173" t="s">
        <v>11</v>
      </c>
      <c r="I173" t="s">
        <v>7</v>
      </c>
      <c r="J173" t="s">
        <v>43</v>
      </c>
      <c r="K173" t="s">
        <v>61</v>
      </c>
      <c r="L173" t="s">
        <v>90</v>
      </c>
      <c r="M173">
        <v>1</v>
      </c>
    </row>
    <row r="174" spans="1:13" x14ac:dyDescent="0.25">
      <c r="A174" s="2">
        <v>46226</v>
      </c>
      <c r="B174" s="1" t="str">
        <f ca="1">IF(Información1[[#This Row],[Fecha]]='Ajuste de fechas'!$A$2,"Día actual","Día anterior")</f>
        <v>Día actual</v>
      </c>
      <c r="C174" t="s">
        <v>59</v>
      </c>
      <c r="D174" t="s">
        <v>60</v>
      </c>
      <c r="E174" t="s">
        <v>303</v>
      </c>
      <c r="F174" t="s">
        <v>19</v>
      </c>
      <c r="G174" t="s">
        <v>221</v>
      </c>
      <c r="H174" t="s">
        <v>11</v>
      </c>
      <c r="I174" t="s">
        <v>7</v>
      </c>
      <c r="J174" t="s">
        <v>43</v>
      </c>
      <c r="K174" t="s">
        <v>61</v>
      </c>
      <c r="L174" t="s">
        <v>40</v>
      </c>
      <c r="M174">
        <v>1</v>
      </c>
    </row>
    <row r="175" spans="1:13" x14ac:dyDescent="0.25">
      <c r="A175" s="2">
        <v>46226</v>
      </c>
      <c r="B175" s="1" t="str">
        <f ca="1">IF(Información1[[#This Row],[Fecha]]='Ajuste de fechas'!$A$2,"Día actual","Día anterior")</f>
        <v>Día actual</v>
      </c>
      <c r="C175" t="s">
        <v>59</v>
      </c>
      <c r="D175" t="s">
        <v>60</v>
      </c>
      <c r="E175" t="s">
        <v>304</v>
      </c>
      <c r="F175" t="s">
        <v>19</v>
      </c>
      <c r="G175" t="s">
        <v>100</v>
      </c>
      <c r="H175" t="s">
        <v>11</v>
      </c>
      <c r="I175" t="s">
        <v>7</v>
      </c>
      <c r="J175" t="s">
        <v>43</v>
      </c>
      <c r="K175" t="s">
        <v>61</v>
      </c>
      <c r="L175" t="s">
        <v>40</v>
      </c>
      <c r="M175">
        <v>1</v>
      </c>
    </row>
    <row r="176" spans="1:13" x14ac:dyDescent="0.25">
      <c r="A176" s="2">
        <v>46226</v>
      </c>
      <c r="B176" s="1" t="str">
        <f ca="1">IF(Información1[[#This Row],[Fecha]]='Ajuste de fechas'!$A$2,"Día actual","Día anterior")</f>
        <v>Día actual</v>
      </c>
      <c r="C176" t="s">
        <v>59</v>
      </c>
      <c r="D176" t="s">
        <v>60</v>
      </c>
      <c r="E176" t="s">
        <v>305</v>
      </c>
      <c r="F176" t="s">
        <v>306</v>
      </c>
      <c r="G176" t="s">
        <v>307</v>
      </c>
      <c r="H176" t="s">
        <v>11</v>
      </c>
      <c r="I176" t="s">
        <v>7</v>
      </c>
      <c r="J176" t="s">
        <v>39</v>
      </c>
      <c r="K176" t="s">
        <v>61</v>
      </c>
      <c r="L176" t="s">
        <v>40</v>
      </c>
      <c r="M176">
        <v>1</v>
      </c>
    </row>
    <row r="177" spans="1:13" x14ac:dyDescent="0.25">
      <c r="A177" s="2">
        <v>46226</v>
      </c>
      <c r="B177" s="1" t="str">
        <f ca="1">IF(Información1[[#This Row],[Fecha]]='Ajuste de fechas'!$A$2,"Día actual","Día anterior")</f>
        <v>Día actual</v>
      </c>
      <c r="C177" t="s">
        <v>59</v>
      </c>
      <c r="D177" t="s">
        <v>60</v>
      </c>
      <c r="E177" t="s">
        <v>308</v>
      </c>
      <c r="F177" t="s">
        <v>54</v>
      </c>
      <c r="G177" t="s">
        <v>178</v>
      </c>
      <c r="H177" t="s">
        <v>11</v>
      </c>
      <c r="I177" t="s">
        <v>7</v>
      </c>
      <c r="J177" t="s">
        <v>24</v>
      </c>
      <c r="K177" t="s">
        <v>61</v>
      </c>
      <c r="L177" t="s">
        <v>40</v>
      </c>
      <c r="M177">
        <v>1</v>
      </c>
    </row>
    <row r="178" spans="1:13" x14ac:dyDescent="0.25">
      <c r="A178" s="2">
        <v>46226</v>
      </c>
      <c r="B178" s="1" t="str">
        <f ca="1">IF(Información1[[#This Row],[Fecha]]='Ajuste de fechas'!$A$2,"Día actual","Día anterior")</f>
        <v>Día actual</v>
      </c>
      <c r="C178" t="s">
        <v>29</v>
      </c>
      <c r="D178" t="s">
        <v>30</v>
      </c>
      <c r="E178" t="s">
        <v>309</v>
      </c>
      <c r="F178" t="s">
        <v>306</v>
      </c>
      <c r="G178" t="s">
        <v>307</v>
      </c>
      <c r="H178" t="s">
        <v>57</v>
      </c>
      <c r="I178" t="s">
        <v>7</v>
      </c>
      <c r="J178" t="s">
        <v>39</v>
      </c>
      <c r="K178" t="s">
        <v>27</v>
      </c>
      <c r="L178" t="s">
        <v>42</v>
      </c>
      <c r="M178">
        <v>1</v>
      </c>
    </row>
    <row r="179" spans="1:13" x14ac:dyDescent="0.25">
      <c r="A179" s="2">
        <v>46226</v>
      </c>
      <c r="B179" s="1" t="str">
        <f ca="1">IF(Información1[[#This Row],[Fecha]]='Ajuste de fechas'!$A$2,"Día actual","Día anterior")</f>
        <v>Día actual</v>
      </c>
      <c r="C179" t="s">
        <v>29</v>
      </c>
      <c r="D179" t="s">
        <v>30</v>
      </c>
      <c r="E179" t="s">
        <v>310</v>
      </c>
      <c r="F179" t="s">
        <v>22</v>
      </c>
      <c r="G179" t="s">
        <v>228</v>
      </c>
      <c r="H179" t="s">
        <v>57</v>
      </c>
      <c r="I179" t="s">
        <v>7</v>
      </c>
      <c r="J179" t="s">
        <v>44</v>
      </c>
      <c r="K179" t="s">
        <v>27</v>
      </c>
      <c r="L179" t="s">
        <v>40</v>
      </c>
      <c r="M179">
        <v>1</v>
      </c>
    </row>
    <row r="180" spans="1:13" x14ac:dyDescent="0.25">
      <c r="A180" s="2">
        <v>46226</v>
      </c>
      <c r="B180" s="1" t="str">
        <f ca="1">IF(Información1[[#This Row],[Fecha]]='Ajuste de fechas'!$A$2,"Día actual","Día anterior")</f>
        <v>Día actual</v>
      </c>
      <c r="C180" t="s">
        <v>29</v>
      </c>
      <c r="D180" t="s">
        <v>30</v>
      </c>
      <c r="E180" t="s">
        <v>311</v>
      </c>
      <c r="F180" t="s">
        <v>54</v>
      </c>
      <c r="G180" t="s">
        <v>111</v>
      </c>
      <c r="H180" t="s">
        <v>57</v>
      </c>
      <c r="I180" t="s">
        <v>7</v>
      </c>
      <c r="J180" t="s">
        <v>24</v>
      </c>
      <c r="K180" t="s">
        <v>27</v>
      </c>
      <c r="L180" t="s">
        <v>83</v>
      </c>
      <c r="M180">
        <v>1</v>
      </c>
    </row>
    <row r="181" spans="1:13" x14ac:dyDescent="0.25">
      <c r="A181" s="2">
        <v>46226</v>
      </c>
      <c r="B181" s="1" t="str">
        <f ca="1">IF(Información1[[#This Row],[Fecha]]='Ajuste de fechas'!$A$2,"Día actual","Día anterior")</f>
        <v>Día actual</v>
      </c>
      <c r="C181" t="s">
        <v>29</v>
      </c>
      <c r="D181" t="s">
        <v>30</v>
      </c>
      <c r="E181" t="s">
        <v>287</v>
      </c>
      <c r="F181" t="s">
        <v>15</v>
      </c>
      <c r="G181" t="s">
        <v>312</v>
      </c>
      <c r="H181" t="s">
        <v>57</v>
      </c>
      <c r="I181" t="s">
        <v>7</v>
      </c>
      <c r="J181" t="s">
        <v>39</v>
      </c>
      <c r="K181" t="s">
        <v>27</v>
      </c>
      <c r="L181" t="s">
        <v>40</v>
      </c>
      <c r="M181">
        <v>1</v>
      </c>
    </row>
    <row r="182" spans="1:13" x14ac:dyDescent="0.25">
      <c r="A182" s="2">
        <v>46226</v>
      </c>
      <c r="B182" s="1" t="str">
        <f ca="1">IF(Información1[[#This Row],[Fecha]]='Ajuste de fechas'!$A$2,"Día actual","Día anterior")</f>
        <v>Día actual</v>
      </c>
      <c r="C182" t="s">
        <v>29</v>
      </c>
      <c r="D182" t="s">
        <v>30</v>
      </c>
      <c r="E182" t="s">
        <v>313</v>
      </c>
      <c r="F182" t="s">
        <v>26</v>
      </c>
      <c r="G182" t="s">
        <v>112</v>
      </c>
      <c r="H182" t="s">
        <v>57</v>
      </c>
      <c r="I182" t="s">
        <v>12</v>
      </c>
      <c r="J182" t="s">
        <v>39</v>
      </c>
      <c r="K182" t="s">
        <v>27</v>
      </c>
      <c r="L182" t="s">
        <v>41</v>
      </c>
      <c r="M182">
        <v>1</v>
      </c>
    </row>
    <row r="183" spans="1:13" x14ac:dyDescent="0.25">
      <c r="A183" s="2">
        <v>46226</v>
      </c>
      <c r="B183" s="1" t="str">
        <f ca="1">IF(Información1[[#This Row],[Fecha]]='Ajuste de fechas'!$A$2,"Día actual","Día anterior")</f>
        <v>Día actual</v>
      </c>
      <c r="C183" t="s">
        <v>29</v>
      </c>
      <c r="D183" t="s">
        <v>30</v>
      </c>
      <c r="E183" t="s">
        <v>297</v>
      </c>
      <c r="F183" t="s">
        <v>26</v>
      </c>
      <c r="G183" t="s">
        <v>112</v>
      </c>
      <c r="H183" t="s">
        <v>57</v>
      </c>
      <c r="I183" t="s">
        <v>7</v>
      </c>
      <c r="J183" t="s">
        <v>39</v>
      </c>
      <c r="K183" t="s">
        <v>27</v>
      </c>
      <c r="L183" t="s">
        <v>42</v>
      </c>
      <c r="M183">
        <v>1</v>
      </c>
    </row>
    <row r="184" spans="1:13" x14ac:dyDescent="0.25">
      <c r="A184" s="2">
        <v>46226</v>
      </c>
      <c r="B184" s="1" t="str">
        <f ca="1">IF(Información1[[#This Row],[Fecha]]='Ajuste de fechas'!$A$2,"Día actual","Día anterior")</f>
        <v>Día actual</v>
      </c>
      <c r="C184" t="s">
        <v>29</v>
      </c>
      <c r="D184" t="s">
        <v>30</v>
      </c>
      <c r="E184" t="s">
        <v>314</v>
      </c>
      <c r="F184" t="s">
        <v>24</v>
      </c>
      <c r="G184" t="s">
        <v>315</v>
      </c>
      <c r="H184" t="s">
        <v>57</v>
      </c>
      <c r="I184" t="s">
        <v>7</v>
      </c>
      <c r="J184" t="s">
        <v>24</v>
      </c>
      <c r="K184" t="s">
        <v>27</v>
      </c>
      <c r="L184" t="s">
        <v>40</v>
      </c>
      <c r="M184">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46226</v>
      </c>
      <c r="B2" s="2">
        <f ca="1">A2-1</f>
        <v>46225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2026-07-23T23:54:34Z</dcterms:modified>
</cp:coreProperties>
</file>