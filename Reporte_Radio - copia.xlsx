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6A385046-2291-44A7-AEDA-899C6CFA676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58" i="2"/>
  <c r="B60" i="2"/>
  <c r="B62" i="2"/>
  <c r="B64" i="2"/>
  <c r="B66" i="2"/>
  <c r="B68" i="2"/>
  <c r="B70" i="2"/>
  <c r="B72" i="2"/>
  <c r="B74" i="2"/>
  <c r="B76" i="2"/>
  <c r="B78" i="2"/>
  <c r="B80" i="2"/>
  <c r="B82" i="2"/>
  <c r="B84" i="2"/>
  <c r="B86" i="2"/>
  <c r="B88" i="2"/>
  <c r="B90" i="2"/>
  <c r="B92" i="2"/>
  <c r="B94" i="2"/>
  <c r="B96" i="2"/>
  <c r="B98" i="2"/>
  <c r="B100" i="2"/>
  <c r="B102" i="2"/>
  <c r="B104" i="2"/>
  <c r="B106" i="2"/>
  <c r="B108" i="2"/>
  <c r="B110"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9" i="2"/>
  <c r="B61" i="2"/>
  <c r="B63" i="2"/>
  <c r="B65" i="2"/>
  <c r="B67" i="2"/>
  <c r="B69" i="2"/>
  <c r="B71" i="2"/>
  <c r="B73" i="2"/>
  <c r="B75" i="2"/>
  <c r="B77" i="2"/>
  <c r="B79" i="2"/>
  <c r="B81" i="2"/>
  <c r="B83" i="2"/>
  <c r="B85" i="2"/>
  <c r="B87" i="2"/>
  <c r="B89" i="2"/>
  <c r="B91" i="2"/>
  <c r="B93" i="2"/>
  <c r="B95" i="2"/>
  <c r="B97" i="2"/>
  <c r="B99" i="2"/>
  <c r="B101" i="2"/>
  <c r="B103" i="2"/>
  <c r="B105" i="2"/>
  <c r="B107" i="2"/>
  <c r="B10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<sst xmlns="http://schemas.openxmlformats.org/spreadsheetml/2006/main" count="1105" uniqueCount="254">
  <si>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</si>
  <si>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</si>
  <si>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</si>
  <si>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</si>
  <si>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</si>
  <si>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</si>
  <si>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</si>
  <si>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</si>
  <si>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</si>
  <si>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</si>
  <si>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</si>
  <si>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</si>
  <si>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</si>
  <si>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</si>
  <si>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</si>
  <si>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</si>
  <si>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</si>
  <si>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</si>
  <si>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</si>
  <si>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</si>
  <si>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</si>
  <si>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</si>
  <si>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</si>
  <si>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</si>
  <si>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</si>
  <si>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</si>
  <si>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</si>
  <si>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</si>
  <si>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</si>
  <si>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</si>
  <si>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</si>
  <si>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</si>
  <si>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</si>
  <si>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</si>
  <si>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</si>
  <si>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</si>
  <si>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</si>
  <si>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</si>
  <si>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</si>
  <si>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</si>
  <si>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</si>
  <si>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</si>
  <si>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</si>
  <si>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</si>
  <si>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</si>
  <si>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</si>
  <si>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</si>
  <si>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</si>
  <si>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</si>
  <si>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</si>
  <si>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</si>
  <si>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</si>
  <si>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</si>
  <si>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</si>
  <si>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</si>
  <si>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</si>
  <si>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</si>
  <si>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Fuga De Agua</t>
  </si>
  <si>
    <t>Eulalio Larrieta agradece Paola García y Lic. Sarahi Pineda, por estar atentas a los mensajes de la ciudadanía y por atenderlos.</t>
  </si>
  <si>
    <t>Radioescucha</t>
  </si>
  <si>
    <t>Bienestar</t>
  </si>
  <si>
    <t>Conmemoración Aniversario</t>
  </si>
  <si>
    <t>Planeación</t>
  </si>
  <si>
    <t>Tarifario de taxis</t>
  </si>
  <si>
    <t>Inatención</t>
  </si>
  <si>
    <t>Feria Pachuca</t>
  </si>
  <si>
    <t>Informe Sheinbaum</t>
  </si>
  <si>
    <t>Localización de cuerpo</t>
  </si>
  <si>
    <t>Semarnath</t>
  </si>
  <si>
    <t>Restauración Ecológica</t>
  </si>
  <si>
    <t>Comparecencias</t>
  </si>
  <si>
    <t>Sentencia</t>
  </si>
  <si>
    <t>Ke Buena 106.7 FM</t>
  </si>
  <si>
    <t>Noticias 106.7</t>
  </si>
  <si>
    <t>Cultura</t>
  </si>
  <si>
    <t>David Cárdenas</t>
  </si>
  <si>
    <t>Detención</t>
  </si>
  <si>
    <t>Atracción De Inversiones</t>
  </si>
  <si>
    <t>STPSH</t>
  </si>
  <si>
    <t>Movilidad laboral</t>
  </si>
  <si>
    <t>Socavón</t>
  </si>
  <si>
    <t>Combate Al Huachicol</t>
  </si>
  <si>
    <t>Dinámica demográfica</t>
  </si>
  <si>
    <t>Ley De Ingresos</t>
  </si>
  <si>
    <t>Covid 19</t>
  </si>
  <si>
    <t>Inseguridad Carretera</t>
  </si>
  <si>
    <t>Canal del Pueblo</t>
  </si>
  <si>
    <t>Vocales Radio</t>
  </si>
  <si>
    <t>A solo unos días de que concluya septiembre y se den a conocer las coordinaciones electorales de Morena en Hidalgo —tanto para diputaciones federales, locales como ayuntamientos—, el panorama político interno refleja división, opacidad y una evidente falta de acuerdos con sus aliados estratégicos. Durante el análisis político semanal entre el periodista Alberto González y el conductor Andrés Torres, se destacó la marcada distancia que prevalece entre Morena y los partidos del Trabajo (PT), Verde Ecologista (PVEM) y Nueva Alianza. A diferencia de procesos anteriores, la dirigencia estatal no ha emitido señales claras de unidad ni ha mostrado acuerdos grupales para consolidar la coalición a nivel local. Uno de los puntos más críticos señalados durante la conversación es la fractura con el PT. Pese a que a nivel nacional se insiste en mantener la unidad, en el ámbito local el PT ha amagado con competir en solitario si no se respetan los espacios en la mesa técnica de negociación. Esta postura pone en riesgo la mayoría simple de la alianza en el Congreso local y evidencia una ruptura de la que aún no hay registro de reconciliación. Asimismo, se cuestionó la falta de transparencia del dirigente estatal de Morena en manos de Marco Rico, cuya vocería ha sido relegada en temas fundamentales, dejando anuncios clave en manos de figuras como la secretaria de Organización, Marisol Ortega, ligada al Grupo Universidad. A ello se suma la molestia latente por los métodos de selección interna. En elecciones pasadas, Morena atribuyó sus candidaturas a encuestas que nunca se hicieron públicas, generando una "deuda de credibilidad" y demandas de desahogo que amenazan con dificultar la operación cicatriz de cara al registro oficial de candidatos previsto para marzo. Se habla de que a Raúl Badillo, quien era un muy buen activo en la Huasteca, pues ya no lo quieren. Con la reactivación de viejas alianzas del pasado político en la entidad, descalificaciones públicas a perfiles locales y la presencia de distintas "tribus" internas compitiendo por espacios en los distritos, la contienda dentro de Morena anticipa un escenario complejo donde la imposición de coordinadores podría derivar en una severa fractura interna antes del inicio formal de las campañas. Señalan el mal desempeño d alcaldes, lo que le jugará en contra a Morena en las próximas elecciones. Deben trabajar en los problemas y pugnas internas, porque eso les va a jugar también en contra. Asimismo, mencionaron la posible alanza de Gerardo Sosa con Miguel Osorio.</t>
  </si>
  <si>
    <t>Morena</t>
  </si>
  <si>
    <t>Alianzas Electorales</t>
  </si>
  <si>
    <t>TV LOCAL</t>
  </si>
  <si>
    <t>Partidos</t>
  </si>
  <si>
    <t>Andrés Torres Y Alberto Gonzálezz</t>
  </si>
  <si>
    <t>Arranca SEPH Feria para la Convivencia Escolar en Epazoyucan</t>
  </si>
  <si>
    <t>Convivencia Escolar</t>
  </si>
  <si>
    <t>Aldo Falcón</t>
  </si>
  <si>
    <t>Andrés Torres menciona que se habal de una alianza entre Gerando Sosa y Miguel Osorio Chong, esto con miras a los próximos procesos electorales.</t>
  </si>
  <si>
    <t>Andrés Torres</t>
  </si>
  <si>
    <t>Andrés Torres menciona que la semana pasada se informó en muchos medios sobre la separación de varios delegados en el país para ser investigados, incluido Canek Vázquez, delegado del Infonavit en Hidalgo. Esta noticia tuvo mucha resonancia, y algunos medios parecían celebrar la situación. Sin embargo, Canek Vázquez envió fotos a los medios donde aparece trabajando en su oficina y asegurando que sigue despachando desde allí.</t>
  </si>
  <si>
    <t>Corrupción</t>
  </si>
  <si>
    <t>Andrés Torres comenta que hace 3 o 4 meses, los taxistas que tiene concesión de Tasquillo pidieron ayuda al alcalde, "don Roñas", para enfrentar el aumento de taxis piratas en la zona. El alcalde accedió y fue a la Secretaría del Transporte con algunos taxistas. Sin embargo, al llegar allí, lo regañaron y le dijeron que él debía controlar la situación en su comunidad y no llevar problemas a la Secretaría. Como resultado, don Roñas ya no quiere involucrarse en el asunto porque recibió una reprimenda. Andrés señala que el alcalde debe recordar que fue elegido por el voto del pueblo y que tiene la responsabilidad de representar los intereses de toda la población de Tasquillo, no solo de algunos. A pesar del regaño, es su deber seguir trabajando en favor de los taxistas y la comunidad. Andrés critica que muchos funcionarios, incluido el alcalde, solo piensan en avanzar a un siguiente cargo, como los directores de Radio y Televisión de Hidalgo, en lugar de cumplir con sus deberes actuales. Esto refleja una falta de compromiso con el trabajo que tienen en sus puestos.</t>
  </si>
  <si>
    <t>Transporte pirata</t>
  </si>
  <si>
    <t>Andrés Torres: Pues no acaba de no acaba de digerirse el tema del incremento al transporte. Varios eh pues concesionarios, varios eh trabajadores del volante se manifiestan y dicen que pues la tarifa mínima de taxi debe de ser de 50 pesos, ¿no?, de hasta 50 pesos. Está muy muy complicado este asunto. No, no deja contento a nadie. Me llamó de la asociación de taxistas allá en Tasquillo, ahora le leo el mensaje, este Juan Fuentes y me dice así, textual: "Buenos días, Vocales. Vaya que la tarifa autorizada por Semoth no está mal, pero en Tasquillo hay que pensarlo respecto a aplicar la nueva tarifa porque hay tantos taxis piratas que es imposible competir con ellos porque ellos pues dan más barato, ellos cobran más barato. ¿Por qué? Pues porque no tienen concesión, porque no pagan impuestos, porque no pagan este ningún tipo de seguro ni nada. O sea, el taxi pirata es pues así un carro a la brava, ¿no? Bueno, dice, pues ¿cómo le vamos a hacer? Ojalá que la titular de la Secretaría de Transporte, Lizbeth Robles, pues instruya a su personal para actuar contra la piratería. Saludos y muy buenos días". Pues ese es un problema muy muy grave.</t>
  </si>
  <si>
    <t>Aumento Tarifa De Transporte</t>
  </si>
  <si>
    <t>La carretera a Pachuca- Huasca sigue cerrada debido a los trabajos de reparación. Es una obra federal y serán estas autoridades quienes hagan efectivos lo seguros de la obra.</t>
  </si>
  <si>
    <t>Carretera Huasca</t>
  </si>
  <si>
    <t>Dos oficiales de Mineral del Monte resultaron lesionados durante una persecución la noche de este domingo. De acuerdo con la dependencia, los oficiales marcaron el alto a un camión, el cual no acató, lo que generó una persecución. Al llegar a Atotonilco el Grande, el trailero los embistió, sacándolos del camino. Por dicho hecho, una oficial y un oficial resultaron lesionados, por lo que fueron atendidos por paramédicos de Protección Civil de Atotonilco el Grande.</t>
  </si>
  <si>
    <t>Atropellamiento de policía</t>
  </si>
  <si>
    <t>El viernes pasado la Asociación de Migrantes que está asentada en Dallas, Texas, de Don Miguel Estrada, tuvo conferencia de prensa en Pachuca para dar a conocer sus actividades y se quejó de un pasquín que anda extorsionando a los migrantes. Se menciona que el dueño de ese medio es ex trabajador de Radio y Televisión.</t>
  </si>
  <si>
    <t>Extorsión</t>
  </si>
  <si>
    <t>En algunas encuestas del distrito de Tulancingo apareció Dora Luz, como uno de los activos de Morena para esta región para una candidatura a la diputación federal.</t>
  </si>
  <si>
    <t>Candidaturas</t>
  </si>
  <si>
    <t>Morena, en la huasteca está por presentar a sus coordinadores electorales. Hay muchas apuestas por los perfiles, al igual por los aspirantes que buscan ser candidatos a algún cargo. En algunos medios ya se da por "muerto" a Raúl Badillo y hace menos de dos años era el "niño consentido".</t>
  </si>
  <si>
    <t>Aspirantes</t>
  </si>
  <si>
    <t>Una unidad de supervisión del Sistema Metropolitano eh se impactó contra un poste, lo que produjo su volcadura. Por este incidente dos personas resultaron lesionadas, las cuales tuvieron que ser atendidas en el lugar. Este incidente se presentó frente a la Plaza de Toros. Eh fue alrededor de la tarde, al parecer el exceso de velocidad y la falta de pericia fueron los factores que provocaron el percance vial. Andrés Torres: Muy bien. Bueno, pues llamó mucho la atención porque pues se supondría que los trabajadores del Sistema de Transporte en nuestro estado pues tendrían que ser los más prudentes, ¿no?, los que los que conducirían con eh pues sobre todo mayor observancia a los límites de velocidad. Este accidente se da por el exceso de velocidad que llevó a pues a estas personas a volcarse. Afortunadamente quedaron a un costado ahí en la parte de los eh pues las jardineras, los camellones, y bueno pues la libraron los dos tripulantes de este vehículo.</t>
  </si>
  <si>
    <t>Accidente de vehículo oficial</t>
  </si>
  <si>
    <t>Hay un descenso importante de temperatura, se vuelven a reportar muertes por COVID. Tenemos casi 19 muertes por COVID en lo que va del año. Tenga usted cuidado, hay que estar muy atentos a la salud de nuestros hijos, de la familia. Por favor, no se no se automedique. Si usted conoce o ve que alguien en casa pues presenta síntomas de como fiebre alta, gripa, escurrimiento nasal, malestar general, no se automedique, vaya al médico. Puede ser COVID, tenemos pues nuevamente ya encima la temporada invernal y, bueno, pues Hidalgo sigue reportando pocas, bueno, pocas muertes en promedio, pero seguimos reportando muertes por COVID de acuerdo a la Secretaría de Salud de nuestro estado.</t>
  </si>
  <si>
    <t>Andrés Torres informa que la Feria de Pachuca San Francisco 2026, que comenzó el jueves pasado. El gobernador Julio Menchaca Salazar, junto a su esposa la señora Edda Vite Ramos, del secretaro de Gobierno Guillermo Olivares Reyna y algunos miembros de su gabinete, inauguró oficialmente la feria cortando el listón y recorriendo las instalaciones. Hasta ahora, la feria ha tenido una gran afluencia de visitantes y se prevé que dure un mes lleno de celebraciones. Se mencionan los actos programados que dependen de los artistas y grupos que se presentan, especialmente en el Teatro del Pueblo y el Palenque. Este factor influye en la cantidad de personas que asisten, sobre todo por la tarde-noche. Se reporta que desde el inicio, la feria ha sido un éxito total y ha llenado sus instalaciones. Además, se ha anunciado un aumento del 20% en la tarifa de taxis en Pachuca, aunque algunos taxistas consideran que es insuficiente y piden una tarifa mínima de 50 pesos. También hay un operativo especial para garantizar la seguridad y movilidad alrededor de la feria, y el Tuzobús ha ampliado sus horarios para facilitar el transporte a los visitantes que regresan tarde a sus hogares. Hasta el momento, no ha habido incidentes negativos durante este evento y se seguirá informando sobre el desarrollo de la Feria de Pachuca San Francisco.</t>
  </si>
  <si>
    <t>Ultra 102.9 FM</t>
  </si>
  <si>
    <t>Ultra Noticias1</t>
  </si>
  <si>
    <t>Una mujer de 24 años fue detenida en Pachuca luego de que policías municipales descubrieran que contaba con una orden judicial por el delito de robo con violencia en el Estado de México. La intervención ocurrió mientras los agentes atendían una riña registrada en la vía pública. Durante el procedimiento, los uniformados verificaron los datos de las personas involucradas en Plataforma México. La consulta reveló un registro relacionado con una investigación por robo con violencia, así como un mandamiento judicial emitido en Nezahualcóyotl, Estado de México. Este hallazgo en la playa es tema de conversación en todo México.Scurarestr MX (https://scurarestr.com/fund) Tras confirmar la información, la mujer quedó bajo custodia de elementos de la Policía de Investigación, quienes realizarán el traslado correspondiente para cumplir con la orden judicial.</t>
  </si>
  <si>
    <t>Daniel Martínez</t>
  </si>
  <si>
    <t>Un hombre fue lesionado por impacto con arma de fuego en un intento de robo ocurrido sobre la autopista Arco Norte a la altura de Tula de Allende durante la madrugada del pasado viernes 25 de septiembre. Las primeras investigaciones señalan que el hombre viajaba sobre esa vialidad en compañía de una mujer a bordo de un vehículo tipo Jeep, cuando fue alcanzado por un grupo de sujetos armados. Los agresores intentaron obligar al conductor a detener la marcha para despojarlo de la unidad, sin embargo, al maniobrar el... el conductor para evitar el robo, los agresores le dispararon logrando herirlo para huir de inmediato de la zona. El hombre logró detenerse, logrando solicitar apoyo y llegando al sitio elementos de Guardia Nacional División Carreteras, así como paramédicos. Estos últimos, tras valorarlo, determinaron su traslado para que recibiera atención médica especializada. Mientras que el estado de salud del conductor del Jeep se reporta como delicado, la mujer que le acompañaba al momento de la agresión presentó un cuadro severo de crisis nerviosa, recibiendo atención especializada en el sitio. Las investigaciones respectivas al caso ya han sido iniciadas.</t>
  </si>
  <si>
    <t>Localizan cuerpo sin vida en canal de aguas para riego El cuerpo de un hombre fue localizado flotando entre aguas residuales dentro de un canal ubicado en el ejido de Santa María Nativitas, en la zona de Atengo, dentro del municipio de Tezontepec de Aldama. El hallazgo fue reportado la mañana del sábado 26 de septiembre, acudiendo al sitio elementos policiacos, quienes confirmaron la presencia del cuerpo de una persona flotando sobre las aguas del canal de aguas para riego. Tras realizar el rescate del cuerpo de las aguas, paramédicos conformaron que este ya no presentaba signos vitales. Hasta el momento no se ha establecido la identidad de la persona localizada sin vida, por lo que se espera que a partir de la investigación a cargo de la Procuraduría General de Justicia del Estado de Hidalgo se establezcan las causas del fallecimiento y demás detalles legales.</t>
  </si>
  <si>
    <t>Un niño de 12 años de edad resultó lesionado de su pierna izquierda por disparo con arma de fuego. El propio menor de edad la estaba manipulando cuando se accionó aparentemente en forma accidental. Elementos de Seguridad Pública y de atención de emergencias atendieron este reporte emitido en un domicilio en la colonia José Humberto Lugo dentro del municipio de Tizayuca. Ahí comprobaron la lesión que presentaba precisamente... ahora sí que siendo estabilizado de inmediato para posteriormente trasladarlo a un nosocomio cercano para su atención especializada. Ante la gravedad de este incidente y al tratarse también de un menor de edad en situación de vulnerabilidad, se solicitó la intervención inmediata del sistema DIF municipal para poder brindar el acompañamiento integral de eh... contención a la familia. Agentes de la Procuraduría General de Justicia del Estado de Hidalgo iniciaron investigaciones sobre el caso para poder establecer las responsabilidades legales respectivas a este caso</t>
  </si>
  <si>
    <t>Auxilio a la ciudadanía</t>
  </si>
  <si>
    <t>Izza Hernández</t>
  </si>
  <si>
    <t>CEDSPI impulsa certificación de intérpretes y traductores de lengua náhuatl</t>
  </si>
  <si>
    <t>Certificación de intérpretes</t>
  </si>
  <si>
    <t>No se reporta presencia de ejidatarios en el Carretera México- Tuxpan, solo hay colocada una cinta amarilla para delimitar el área de ampliación de la autopista, bajo el entendido de que no habrá trabajos hasta que tengan la reunión con autoridades estatales y federales. Sobremodo con la federal, quien llevan el tema de la expropiación. Hay comentarios que dicen que ya se les pagó desde hace 27 años, pero otras personas dicen que no y están en espera de que se le haga el pago por sus tierras.</t>
  </si>
  <si>
    <t>Ampliación carretera</t>
  </si>
  <si>
    <t>El día de hoy en las instalaciones del Instituto de Ciencias de la Salud (ICSA) de la Universidad Autónoma del Estado de Hidalgo (UAEH), inicia el reclutamiento de vacantes para enfermeras y enfermeros con experiencia para laborar en Alemania. Ya no hay registros, solo se realizarán las entrevistas.</t>
  </si>
  <si>
    <t>Obtiene Hidalgo seis galardones en la Premiación Nacional “Somos el Cambio 2026”</t>
  </si>
  <si>
    <t>Abigeato</t>
  </si>
  <si>
    <t>Impulsan jóvenes participación ciudadana para recuperar espacios de recreación en Tulancingo Más de 60 jóvenes tulancinguenses participaron en el Faenatón Juvenil, una jornada de limpieza y rehabilitación de espacios públicos que permitió intervenir cerca de dos kilómetros de la ciclopista de Tulancingo, desde la calle Primero de Mayo hasta las inmediaciones de la Clínica del ISSSTE. Durante la jornada, las y los participantes realizaron labores de limpieza y pintura de guarniciones en este espacio destinado a la recreación y la actividad física, contribuyendo a mejorar sus condiciones para el uso de las familias y personas que diariamente acuden a ejercitarse, caminar o realizar actividades al aire libre. La actividad fue impulsada mediante la colaboración entre la Instancia Municipal de la Juventud y el programa Jóvenes Construyendo el Futuro, como una estrategia para promover la participación social de las juventudes y fortalecer el sentido de responsabilidad comunitaria. El Faenatón Juvenil representa una muestra de cómo la participación ciudadana puede contribuir al cuidado y conservación de los espacios públicos. Mantener en buenas condiciones parques, ciclopistas, áreas deportivas y zonas de recreación requiere del trabajo permanente de las instituciones, pero también de la colaboración responsable de quienes hacen uso de estos lugares. La participación de las juventudes en este tipo de acciones también permite fortalecer valores como la solidaridad, el trabajo colaborativo, el compromiso social y el sentido de pertenencia, al involucrarlas directamente en el mejoramiento de los espacios que forman parte de su entorno cotidiano.</t>
  </si>
  <si>
    <t>Rehabilitación de espacios públicos</t>
  </si>
  <si>
    <t>Aseguran 165 ejemplares de cactáceas: fueron extraídas ilegalmente La Procuraduría Federal de Protección al Ambiente emitió un dictamen pericial e interpuso una denuncia formal por la extracción de 10 ejemplares de biznaga burra y 155 ejemplares de garambullo ,las cuales fueron extraídas ilegalmente por dos personas en el municipio de Cardonal. Los infractores fueron sorprendidos por habitantes de la comunidad de La Vega, cuando extraían las cactáceas y las cargaban en una camioneta; personal de Seguridad Pública municipal confiscó el vehículo y las cactáceas, y puso a disposición del Ministerio Público de la Federación a las personas. Posteriormente, la Fiscalía General de la República solicitó a la procuraduría presentar el dictamen pericial respecto a los ejemplares. Una vez efectuada la revisión, pesaje y cuantificación correspondiente, se determinó que se trataban de 10 ejemplares de biznaga burra, con un peso total de 331.5 kilogramos, y 155 partes o ejemplares de garambullo. Se conoció que algunos de los ejemplares fueron extraídos desde la raíz y otros en secciones. Los detenidos no pudieron acreditar la legal procedencia de los ejemplares conforme a la Ley General de Vida Silvestre, por lo que su aprovechamiento y posesión sin autorización de la Secretaría de Medio Ambiente y Recursos Naturales constituye un delito federal. La biznaga burra es una especie considerada en peligro de extinción dentro de la NOM-059-SEMARNAT-2010 y ambas cactáceas están enlistadas en el Apéndice II de la Convención sobre el Comercio Internacional de Especies Amenazadas de Fauna y Flora Silvestre (CITES). Por ello, la Procuraduría Federal de Protección al Ambiente interpuso una denuncia formal por delito ambiental contra la biodiversidad.</t>
  </si>
  <si>
    <t>Protección Biodiversidad</t>
  </si>
  <si>
    <t>Elementos de la Dirección de Bomberos y Protección Civil de Tulancingo rescataron un águila negra que fue localizada sobre una barda de aproximadamente tres metros de altura, en el Andador 2 de la colonia Adolfo López Mateos. El reporte fue atendido la tarde del sábado 26 de septiembre; los cuerpos de emergencia realizaron las maniobras necesarias para poner a salvo al ejemplar. Tras su rescate, el ave quedó bajo observación y valoración médica para conocer sus condiciones físicas y determinar si presenta alguna afectación. De acuerdo con los protocolos establecidos para la atención de fauna silvestre, el ejemplar permanece en el Zoológico de Tulancingo, donde recibe atención y vigilancia. Asimismo, se notificará a la Procuraduría Federal de Protección al Ambiente, autoridad competente, para que determine el destino final del ave conforme a la normatividad aplicable. La Dirección de Bomberos y Protección Civil de Tulancingo mantiene coordinación con las instancias correspondientes para garantizar la atención adecuada de la fauna silvestre y el cumplimiento de los protocolos establecidos para su protección.</t>
  </si>
  <si>
    <t>Rescate Animal</t>
  </si>
  <si>
    <t>Hidalgo, entre los estados del país con menor tasa de fecundidad: Encuesta El Estado de Hidalgo registra una de las tasas de fecundidad más bajas a nivel nacional, de acuerdo a los datos levantados por el Instituto Nacional de Estadística y Geografía (Inegi) dentro de la Encuesta Intercensal 2025. Los datos señalan que la tasa de fecundidad más baja se ubica Ciudad de México, con 0.8 hijas e hijos por mujer entre los 15 a 49 años de edad, seguido por Baja California, con 1.0. El Estado de México, Oaxaca, Guerrero, Yucatán, Quintana Roo, Morelos, Baja California Sur e Hidalgo, coinciden en una tasa de fecundidad de 1.1 hijas e hijos por mujer. La encuesta señala que el promedio nacional al respecto se ubicó en 1.2 hijas e hijos por mujer, señalando disminución, pues el indicador pasó de 1.9 en 2019 a 1.2 en 2024, lo que muestra una reducción de la fecundidad durante el periodo. Los datos reflejan que los menores promedios de hijas e hijos nacidos vivos se concentran principalmente en municipios urbanos y metropolitanos. Entre ellos se encuentran Mineral de la Reforma, con 1.54; Pachuca, con 1.55; Zempoala, con 1.65; Tula de Allende y Mineral del Monte, ambos con 1.85; Tepeapulco, con 1.87 y Zacualtipán de Ángeles, con 1.89. Mientras que las tasas más altas de fecundidad se localizan en municipios considerados como rurales; tal es el caso de Nicolás Flores registra 3.06 hijas e hijos nacidos vivos en promedio. Así como Xochiatipan, 2.98; Tlahuiltepa, 2.88; Huautla, 2.84; Pisaflores, 2.81; La Misión, 2.77; Yahualica y San Bartolo Tutotepec, 2.67 cada uno; Huehuetla, 2.64, y Lolotla, 2.63. La Encuesta Intercensal revela que las mujeres de 12 años y más sin escolaridad registraron un promedio de 5.1 hijas e hijos nacidos vivos. Mientras que entre quienes contaban con primaria el promedio fue de 3.3; con secundaria, de 1.9, y entre quienes tenían estudios de media superior o superior, de 1.2 hijos. Los datos refieren que los niveles de educación, así como los entornos sociales influyen en las tasas de fecundidad a nivel regional y municipal dentro del Estado de Hidalgo, así como en el resto del país.</t>
  </si>
  <si>
    <t>Radio Lobo 96.7 FM</t>
  </si>
  <si>
    <t>Enlace Noticias</t>
  </si>
  <si>
    <t>Nos vamos hasta Hidalgo: inaugura Julio Menchaca la Feria de San Francisco 2026. Del 24 de septiembre al 18 de octubre reunirá actividades culturales, artísticas, gastronómicas y comerciales. Entre música, gastronomía, artesanías y actividades para toda la familia, el gobernador Julio Menchaca inauguró la tradicional Feria de San Francisco 2026, que del 24 de septiembre al 18 de octubre recibirá a miles de visitantes nacionales y extranjeros. Durante el evento, el mandatario estatal destacó la transformación que ha tenido esta fiesta y el trabajo de quienes, desde distintos ámbitos, hacen posible que se consolide como un espacio para mostrar la riqueza cultural, artística y productiva de Hidalgo. Vaya que ha crecido la feria y vaya que ha sido reflejo del esfuerzo de muchas personas.</t>
  </si>
  <si>
    <t>Gina Lorenzo</t>
  </si>
  <si>
    <t>Y ¿qué creen? Taxistas independientes de Pachuca expresaron su inconformidad por la tarifa mínima de 45 pesos autorizada por la Secretaría de Movilidad y Transporte y propusieron elevarla a 50 pesos. Ellos dijeron pues que no, no están conformes con la tarifa a pesar del estudio que hizo la SEMOT para poder ver cuál era el incremento factible en el transporte público individual en los taxis.</t>
  </si>
  <si>
    <t>Y la Secretaría de Salud de Hidalgo llevó sus brigadas médicas a Acaxochitlán, donde realizó más de 2,200 acciones en beneficio de toda la población. Se ofrecieron consultas de medicina general, pediatría, ginecología, gerontología, odontología, mastografías y ultrasonidos.</t>
  </si>
  <si>
    <t>Brigadas De Salud</t>
  </si>
  <si>
    <t>En otra información, Hidalgo se ubica en el segundo lugar nacional por la reducción de la fecundidad adolescente, así lo informó el gobierno estatal en el marco del Día Mundial para la Prevención del Embarazo no Planificado en Adolescentes. E</t>
  </si>
  <si>
    <t>Prevención De Embarazo Adolescente</t>
  </si>
  <si>
    <t>La Secretaría de Medio Ambiente de Hidalgo realizará este viernes 2 de octubre una jornada de acopio de pilas y reforestación en la Unidad Deportiva Municipal de Pachuca. La actividad será de 9 de la mañana a 4 de la tarde; cada persona podrá entregar hasta un kilogramo de pilas alcalinas AA, AAA, C, D, de 9 volts y de botón. La SEMARNAT recomienda llevar las pilas en una caja de cartón separadas de objetos metálicos y si presentan daños o corrosión mantenerlas aisladas.</t>
  </si>
  <si>
    <t>Acopio de pilas</t>
  </si>
  <si>
    <t>Vamos a otros temas. En Tezontepec de Aldama fue localizado el cadáver de un hombre flotando en las aguas negras de un canal ubicado en el ejido de Santa María Nativitas, en la localidad de Atengo. El cuerpo permanece en calidad de desconocido y de acuerdo con los primeros reportes presentaría posibles huellas de tortura. Las autoridades determinarán la identidad y las causas de muerte.</t>
  </si>
  <si>
    <t>Pachuca autoridades estatales aseguraron más de 20 mil litros de hidrocarburo de presunta procedencia ilícita.</t>
  </si>
  <si>
    <t>Y siguiendo con el tema del huachicol en la región, en Tlahuelilpan la Fiscalía General de la República aseguró alrededor de 7,600 litros de hidrocarburo durante dos cateos realizados en la colonia Guadalupe. Las diligencias se efectuaron en predios colindantes donde también fueron decomisados 83 contenedores, mangueras, un taladro artesanal, nipples, válvulas y tres vehículos. Los cateos fueron realizados por la Fiscalía Federal, Policía Federal Ministerial y peritos de la Agencia de Investigación Criminal. El combustible y los objetos asegurados quedaron a disposición del Ministerio Público Federal que continúa con las investigaciones.</t>
  </si>
  <si>
    <t>Gabriel N fue sentenciado a 11 años y tres meses de prisión tras ser hallado penalmente responsable del robo de un vehículo de autotransporte federal de carga. La detención ocurrió sobre la carretera México-Querétaro en el municipio de Tepeji del Río cuando elementos de la Guardia Nacional recuperaron un tractocamión acoplado a una caja seca. Durante el operativo fueron asegurados Gabriel y David N; además fue asegurada un arma de fuego, nueve cartuchos, un cargador y cuatro casquillos. En audiencia de procedimiento abreviado, además de la pena de prisión, Gabriel N recibió una amonestación, la suspensión de sus derechos civiles y políticos, así como una sanción equivalente a 1,258 unidades de medida y actualización. En tanto, David N, también detenido, continúa con su proceso legal.</t>
  </si>
  <si>
    <t>Cambiamos radicalmente de tema y es que hablamos de huachicol. Hidalgo volvió a ocupar el primer lugar nacional en tomas clandestinas de hidrocarburo al concentrar cerca del 30 por ciento de las perforaciones ilegales detectadas en México durante el primer semestre de 2026. De acuerdo con datos oficiales en el estado fueron identificadas más de 1,460 tomas de un total nacional superior a 4,900. Cuautepec de Hinojosa encabeza la incidencia con 439 perforaciones a ductos de Pemex; le sigue Tepeapulco con 105, Santiago Tulantepec con 99, Nopala con 74, Singuilucan con alrededor de 70. Pese a los operativos, Hidalgo mantiene el primer lugar en robo de hidrocarburo.</t>
  </si>
  <si>
    <t>Tomas clandestinas</t>
  </si>
  <si>
    <t>Donde también están de fiesta, están de fiestas en Tepeji del Río. Y es que en el marco de la fiesta patronal en honor a San Francisco de Asís en Tepeji, la parroquia abrió las puertas a las exposiciones temporales, un espacio para contemplar, conocer la cultura de un patrimonio que forma parte de nuestra identidad. Así lo reconoció el párroco Miguel Ángel Rangel, y tras meditar sobre la riqueza que alberga nuestras raíces: “Párroco Miguel Ángel Rangel: Pues es un honor reconocer y aplaudir el extraordinario esfuerzo de estos historiadores y artistas que han hecho posible estas exposiciones culturales en este año 2026. Su dedicación, su legado que nos define, nos conecta con nuestro pasado y con nuestro futuro. “</t>
  </si>
  <si>
    <t>Fiesta patronal</t>
  </si>
  <si>
    <t>Y la secretaria de Turismo de Hidalgo, Elizabeth Quintanar Gómez, asistió al Aeropuerto Internacional Felipe Ángeles, al AIFA, donde se llevó a cabo la incorporación del décimo avión Embraer 190 E2 a la flota de Mexicana. En representación del gobernador Julio Menchaca Salazar, destacó que esta aeronave fortalece la conectividad aérea del país y abre nuevas oportunidades para el turismo, la cultura, el deporte, la salud y los negocios.</t>
  </si>
  <si>
    <t>Aifa</t>
  </si>
  <si>
    <t>Siete de la mañana once minutos. En otros temas, la Secretaría de Educación Pública de Hidalgo puso en marcha la Feria para la Convivencia Escolar en la Secundaria Técnica 29 Adolfo López Mateos de Pachuca de Soto. La jornada primera de esta estrategia durante el ciclo escolar 2026-2027 busca prevenir situaciones de violencia y promover ambientes escolares armónicos, inclusivos y democráticos.</t>
  </si>
  <si>
    <t>Donde también hubo inconformidad y se calentaron los ánimos fue en la región del Valle del Mezquital. Se anunció hace unos días que la consulta indígena se realizaría en el municipio de, en la comunidad del Tephé, en el municipio de Ixmiquilpan. Bueno, ahí ciudadanos ñañhús originarios de distintas comunidades del Valle del Mezquital fueron agredidos mientras daban lectura a un posicionamiento en contra del proceso de consulta y la falta de información sobre la propuesta de iniciativa de ley general de los derechos de los pueblos indígenas y afromexicanos. ¡Para, por favor, no violencia! ¡No violencia! ¡No violencia! ¡No estamos agrediendo! En este momento estamos diciendo y pidiendo manifestar nuestras ideas al interior de la asamblea regional... ¡Borra eso, borra eso! ¿Por qué le wiping arrebatando su teléfono? ¿Por qué le andan arrebatando su teléfono? Déjalo, déjalo, déjalo, hay que... Tómale la foto a los que están violentando... Estamos manifestando libremente, pacíficamente... No estamos ofendiéndolo... Oiga, tranquilo... Estamos manifestándonos libremente... Me están agrediendo... Lamentablemente señalan los las personas agredidas que esto en lugar de ser una consulta fue un evento más político y pues mire si usted le suma a que intentaron grabar esta agresión y que las personas hasta les tiraban los celulares pues sin duda pone en duda de juicio en tela de juicio pues esta situación de que si es o no una consulta o si se están manejando intereses políticos dentro de esta consulta que es muy necesaria y que se está repitiendo. Veremos qué es lo que sucede.</t>
  </si>
  <si>
    <t>Consulta Indígena</t>
  </si>
  <si>
    <t>Ya a las siete de la mañana con nueve minutos, vámonos a otros temas donde también hay inconformidad, pues es en la región de Tula, Tepeji. Y es que a dos años de que el gobierno federal declarara zona de restauración ecológica el área de influencia de la Presa Requena, la región sigue esperando resultados verificables. El decreto contempla una superficie de 36 mil 637 hectáreas distribuidas en ocho municipios con el objetivo de regenerar y recuperar las condiciones ambientales. Sin embargo, persisten los problemas de contaminación y la falta de información pública sobre avances, metas y cumplimiento de compromisos</t>
  </si>
  <si>
    <t>Y en otros temas, integrantes del ejido Mimila en Tulancingo detuvieron las obras de la ampliación de la autopista México Tuxpan. Exigen el pago de indemnización por el uso de los terrenos ocupados para dicha obra de ampliación. Señalan son tres kilómetros donde pasará la vía federal y aún no les dan certeza jurídica. “Tuvimos que llegar a esto porque hemos buscado el diálogo. Durante 25 años aproximadamente hemos tratado de que se solucione este problema y pues hasta ahorita no nos han solucionado ningún, bueno que no se ha solucionado la situación. La situación es la siguiente, no hay un decreto de expropiación en nuestro ejido. Hubo por ahí un pequeño pago que les dieron, pero sólo fue por ocupación mientras salía el decreto de expropiación, pero hasta ahorita no. “</t>
  </si>
  <si>
    <t>Protesta por obra</t>
  </si>
  <si>
    <t>Ya casi un año de la vaguada monzónica continúan desaparecidas cinco personas originarias de Tianguistengo. Usted recuerda esta vaguada en octubre de 2025 que dejó sin duda muchos daños, muchas pérdidas, pero aún siguen buscando estas cinco personas. Se trata de una familia de cuatro integrantes de Chapula y una de Tlacolula, informó el alcalde Febronio Rodríguez Villegas.</t>
  </si>
  <si>
    <t>Huracán Priscilla</t>
  </si>
  <si>
    <t>A partir de 2027 comenzará a operar el sistema de vigilancia epidemiológica de daños a la salud por contaminación del aire, informó la comisión ambiental de la megalópolis. Es muy interesante este proyecto porque el objetivo es medir cuántas consultas médicas relacionadas con enfermedades respiratorias y oculares se registran después de episodios de alta contaminación. Médicos de centros de salud ubicados en un radio de cuatro kilómetros alrededor de estaciones de monitoreo reportarán diariamente casos al Instituto Nacional de Salud Pública. Se analizarán padecimientos como resfriado común, sinusitis, bronquitis, asma, conjuntivitis y otitis para establecer su relación con contaminantes como ozono y partículas PM10 y PM2.5. Este programa piloto incluirá a la Ciudad de México, el Estado de México, Hidalgo, Morelos, Tlaxcala, Querétaro y Puebla. Recuerde que ya son más municipios del Estado de Hidalgo los que pertenecen a la zona metropolitana y por eso también se incluyen en este proyecto en este estudio para pues conocer los casos que de salud que están relacionados con la contaminación del aire. Los de Tula dirían pues creo que ya se tardaron. Aquí es un problema latente todos los días.</t>
  </si>
  <si>
    <t>Vigilancia Epidemiológica</t>
  </si>
  <si>
    <t>Vámonos a otra parte del estado y es que en Villa de Tezontepec fue colocada la primera piedra de la nueva planta de la empresa italiana Hi-Ref SPA, especializada en sistemas de climatización y refrigeración para centros de datos y telecomunicaciones.</t>
  </si>
  <si>
    <t>Sedeco</t>
  </si>
  <si>
    <t>Ya inició la feria San Francisco dos mil veintiséis en la capital del estado. El pasado jueves se inició con esta feria, pero el gobernador Julio Menchaca la inauguró en pasados días. De hecho, esta feria de San Francisco dos mil veintiséis se va a realizar del veinticuatro de septiembre al diechocho de octubre en la capital hidalguense. El mandatario destacó que este encuentro muestra la riqueza cultural, artística, gastronómica y productiva de Hidalgo.</t>
  </si>
  <si>
    <t>Comenta conductor sobre el reporte de las fugas de agua en Punta Azul : ¡Exacto! Es que ya nos pasaron un montón de fugas y ya las pasamos también, ya las reportamos y nadie hace... y nadie hace nada (Sarcasmo)</t>
  </si>
  <si>
    <t>Radioescucha dice: “Licenciado Larrieta, saludando nuevamente en el fraccionamiento Punto Azul a seguir reportando a CAASIM que haga caso de las fugas “</t>
  </si>
  <si>
    <t>Radioescucha Sr. Fidel dice : Muy buenos días. Pues aquí preguntando cuándo se irán a... a comedir a venir a arreglar la lateral del Puente Atirantado a la altura de los velatorios del IMSS. Se requiere de arreglarlo completo, no se requiere de machecitos».</t>
  </si>
  <si>
    <t>Radioescucha Sr. Castillo Dice: Buen día, Licenciado Larrieta y para todo el equipo de Panorama Informativo. Desde hace 15 días usted me brindó el apoyo para difundir un problema de una audiencia que solicité con el Gobernador del Estado. T</t>
  </si>
  <si>
    <t>Conductor hace un comentario sobre la supuesta salida de alummnos en la Plutarco: bueno, las cooperaciones que les dan al arranque del ciclo escolar, y tenemos poco que arrancamos, ¿ya no tienen dinero para comprar una pipa?». Bueno, van a decir «este Lalo metiche, ese viejito metiche ya cálmenlo, por favor, ya cálmen a ese viejito metiche», por favor, pero a mí se me hace... se me hace raro, ¿no? O sea, acaban de ingresar a clases, al ciclo escolar, les pidieron unas cuotas elevadísimas,</t>
  </si>
  <si>
    <t>Radioescucha reporta que en Escuela Plutarco Elias Calles, presuntamente informan que van a salir a las 10 de la mañana por falta de agua.</t>
  </si>
  <si>
    <t>La presidenta Claudia Sheinbaum concluyó este domingo 27 de septiembre de 2026 su gira nacional de rendición de cuentas denominada “Honestidad y resultados” con un evento masivo en el Zócalo de la Ciudad de México</t>
  </si>
  <si>
    <t>El Instituto de Seguridad y Servicios Sociales de los Trabajadores del Estado (ISSSTE) en Hidalgo invitó a trabajadoras, trabajadores, pensionadas y pensionados a mantener actualizada la vigencia de derechos de sus familiares, así como realizar oportunamente los trámites de registro, alta, baja y renovación. La subdelegada de Prestaciones, Alejandrina Ortega Pichardo, señaló que mantener vigente la documentación contribuye a garantizar la atención médica, particularmente en situaciones de emergencia, al evitar contratiempos en el área de urgencias.</t>
  </si>
  <si>
    <t>Promoción De La Salud</t>
  </si>
  <si>
    <t>La Fiscalía General de la República (FGR) aseguró alrededor de 7 mil 600 litros de una sustancia con características de hidrocarburo durante dos cateos realizados en domicilios de la colonia Guadalupe, en el municipio de Tlahuelilpan, Hidalgo. Las diligencias fueron autorizadas mediante órdenes de cateo emitidas por un juez especializado en el Sistema Penal Acusatorio, luego de que autoridades detectaran indicios relacionados con el almacenamiento de la sustancia en dos predios colindantes.</t>
  </si>
  <si>
    <t>La Secretaría de Movilidad y Transporte, a través de su organismo sectorizado, el Sistema de Transporte Convencional de Hidalgo, exhorta a las y los prestadores del servicio de taxi en los municipios de Pachuca y Mineral de la Reforma a cumplir con las obligaciones establecidas en la Ley de Movilidad y Transporte para el Estado de Hidalgo y su reglamento.</t>
  </si>
  <si>
    <t>Supervisión de Transporte</t>
  </si>
  <si>
    <t>La Secretaría de Cultura del Estado de Hidalgo llevó fuera de la entidad la gala conmemorativa por el 125.º aniversario de la Banda Sinfónica del Estado de Hidalgo (BSEH), presentada este jueves en el Teatro de la Reforma de Veracruz, recinto de la Secretaría de Cultura de Veracruz (Secver), dentro del programa Música 2026.</t>
  </si>
  <si>
    <t>Banda Sinfónica</t>
  </si>
  <si>
    <t>Entre música, gastronomía, artesanías y actividades para toda la familia, el gobernador Julio Menchaca inauguró la tradicional Feria de San Francisco 2026, que del 24 de septiembre al 18 de octubre recibirá a miles de visitantes nacionales y extranjeros.</t>
  </si>
  <si>
    <t>Gobierno</t>
  </si>
  <si>
    <t>La Unidad de Rehabilitación de Fauna Silvestre de Pachuca brinda atención médica especializada a un tigrillo hembra de aproximadamente cinco meses, rescatado en la comunidad de Tecpaco, municipio de Calnali, tras ser asegurado por la PROFEPA por encontrarse en posesión ilegal como mascota.</t>
  </si>
  <si>
    <t>Con una afluencia de alrededor de 55 mil visitantes en los primeros cuatro días, la Feria de San Francisco Pachuca Hidalgo 2026 reporta saldo blanco, informó el director general de la Operadora de Eventos de Hidalgo (OEEH), Marco Antonio Aranzabal Juárez. Durante la conferencia semanal de gobierno, el titular de la OEEH afirmó que la feria cumple con su objetivo de ofrecer un espacio de convivencia, entretenimiento, cultura y tradición para hidalguenses y visitantes de otros estados. Expuso que entre los puntos que han concentrado mayor interés se encuentra el pabellón artesanal, donde participan más de 140 artesanas y artesanos que tienen la posibilidad de exhibir y comercializar sus productos. “Este es un espacio que busca ofrecer una plataforma digna para los creadores hidalguenses y convertirse en uno de los primeros referentes que encuentran los visitantes al ingresar a la feria”. En la nave comercial, mencionó, se cuentan con más de 182 espacios, mientras que el pabellón turístico reúne propuestas relacionadas con pueblos con sabor, medicina tradicional y destinos con vocación turística. El funcionario adelantó que existe el compromiso de mantener este espacio de manera institucional durante los siguientes años de la feria, con el propósito de que artesanos y prestadores de servicios turísticos cuenten con una vitrina permanente para promocionar y comercializar sus productos. Como parte de la oferta de actividades, Aranzábal Juárez mencionó que el espectáculo circense ha logrado acumular más de 10 mil visitantes, mientras que el espectáculo de corte taurino en el lienzo charro ha recibido más de 7 mil 800 personas. El Palenque, por su parte, acumula tres noches de espectáculos y más de siete funciones, sin que hasta el momento se hayan registrado incidentes de consideración. “De acuerdo con los reportes de las autoridades municipales y estatales de seguridad, Protección Civil y Cruz Roja, hasta el momento únicamente se han registrado incidencias menores”. En los diferentes pabellones destinados a funciones infantiles, entre ellos el Auditorio Gota de Plata y el Foro de las Haciendas, se han desarrollado más de siete funciones con una participación superior a 7 mil 200 niñas y niños. En este sentido, reiteró la invitación a la población para asistir a las actividades del Festival Cultural Cervantino que se desarrollan en el Teatro San Francisco y el Auditorio Gota de Plata. Asimismo, el director general precisó que, tras las inquietudes expresadas por visitantes respecto al costo del estacionamiento (150 pesos), la empresa responsable aceptó reducir la tarifa a 120 pesos por tiempo libre dentro del recinto ferial. El funcionario explicó que la medida responde a las solicitudes de los asistentes y pidió a los visitantes verificar la tarifa oficial para evitar cobros superiores en estacionamientos ubicados en los alrededores. “Invitamos a la gente que no se deje sorprender en la periferia del recinto a pagar más o al estacionarse en la calle se vea sorprendida por una tarifa mayor”.</t>
  </si>
  <si>
    <t>Mañanera de Hidalgo</t>
  </si>
  <si>
    <t>Se ha emitido una ficha de búsqueda por parte de la Procuraduría con el folio FDBHGO-457-2026 para localizar a Paloma Hernández Vázquez, de 31 años de edad, quien fue vista por última vez el 25 de septiembre de 2026 en Tulancingo de Bravo. La persona desaparecida es de nacionalidad mexicana, complexión robusta, estatura aproximada de 1.65 metros, cabello largo, lacio y negro, y ojos café oscuro; el día de su desaparición vestía un vestido negro y zapatillas blancas, y como seña particular cuenta con una cicatriz quirúrgica horizontal por cesárea. Las autoridades y familiares solicitan el apoyo de la ciudadanía y ponen a disposición el número de Locatel (800 912 1314) para aportar cualquier información que ayude a dar con su paradero.</t>
  </si>
  <si>
    <t>Ficha De Búsqueda</t>
  </si>
  <si>
    <t>Con una inversión de 399 mil 322 pesos, el gobierno municipal de Cuautepec de Hinojosa concluyó la pavimentación hidráulica del callejón Adolfo López Mateos, en la localidad de Tezoquipa. La obra fue inaugurada por el presidente municipal, Jorge Hernández Araus, junto con autoridades locales y vecinos de la comunidad. Los trabajos abarcaron 297.63 metros cuadrados de concreto hidráulico, con 15 centímetros de espesor y una resistencia de 250 kg/cm². También se realizaron trabajos de excavación y relleno con tepetate para mejorar las condiciones de la vialidad. De acuerdo con el municipio, la obra beneficia directamente a 65 habitantes y tiene un impacto indirecto para alrededor de 927 personas, al facilitar el acceso y la movilidad en esta zona. Durante la inauguración, habitantes de Tezoquipa reconocieron la atención a una de las necesidades que habían señalado durante años. El alcalde señaló que las obras de infraestructura buscan mejorar las condiciones de las comunidades y destacó la participación de los vecinos para impulsar acciones en beneficio de la población.</t>
  </si>
  <si>
    <t>Pavimentación hidráulica</t>
  </si>
  <si>
    <t>Con el objetivo de garantizar el desarrollo seguro y ordenado de la Feria de San Francisco 2026, que se lleva a cabo hasta el 18 de octubre, la Secretaría de Seguridad Pública, Tránsito y Vialidad de Pachuca, implementa un operativo integral de vigilancia para salvaguardar la integridad física y patrimonial de las familias pachuqueñas y visitantes, por lo que el alcoholímetro de aplica todos los días de festejos. El presidente municipal, Jorge Reyes, destacó que la estrategia consiste en la coordinación de las distintas direcciones que integran la Secretaría de Seguridad Pública, con protocolos enfocados en la prevención de faltas administrativas y hechos delictivos, así como en la protección de niñas, niños, mujeres y grupos vulnerables. Como parte de las acciones preventivas, se reforzarán los controles de velocidad y los filtros de alcoholimetría para reducir riesgos de accidentes de tránsito y favorecer una convivencia segura durante los festejos.</t>
  </si>
  <si>
    <t>Más de 60 jóvenes tulancinguenses participaron en el Faenatón Juvenil, una jornada de limpieza y rehabilitación de espacios públicos que permitió intervenir cerca de dos kilómetros de la ciclopista de Tulancingo, desde la calle Primero de Mayo hasta las inmediaciones de la Clínica del ISSSTE. Durante la jornada, las y los participantes realizaron labores de limpieza y pintura de guarniciones en este espacio destinado a la recreación y la actividad física, contribuyendo a mejorar sus condiciones para el uso de las familias y personas que diariamente acuden a ejercitarse, caminar o realizar actividades al aire libre. La actividad fue impulsada mediante la colaboración entre la Instancia Municipal de la Juventud y el programa Jóvenes Construyendo el Futuro, como una estrategia para promover la participación social de las juventudes y fortalecer el sentido de responsabilidad comunitaria. El Faenatón Juvenil representa una muestra de cómo la participación ciudadana puede contribuir al cuidado y conservación de los espacios públicos. Mantener en buenas condiciones parques, ciclopistas, áreas deportivas y zonas de recreación requiere del trabajo permanente de las instituciones, pero también de la colaboración responsable de quienes hacen uso de estos lugares. La participación de las juventudes en este tipo de acciones también permite fortalecer valores como la solidaridad, el trabajo colaborativo, el compromiso social y el sentido de pertenencia, al involucrarlas directamente en el mejoramiento de los espacios que forman parte de su entorno cotidiano.</t>
  </si>
  <si>
    <t>Limpieza Urbana</t>
  </si>
  <si>
    <t>En apego a la instrucción del gobernador Julio Menchaca Salazar, la Semot, a través de su organismo sectorizado, el STCH, comenzaron los operativos de vigilancia y supervisión en diversos puntos de los municipios Pachuca de Soto y de Mineral de la Reforma, enfocados en que las personas conductoras cumplan con sus obligaciones establecidas en la Ley de Movilidad y Transporte para el Estado de Hidalgo y su Reglamento.</t>
  </si>
  <si>
    <t>Durante la conferencia de prensa del gobierno del estado de Hidalgo, la titular de la Secretaría de Turismo, Elizabeth Quintanar, informó que el próximo 5 de octubre se celebrará el Día de los Pueblos Mágicos, coincidiendo con el 25 aniversario de la declaratoria de estos sitios. Para conmemorar la fecha, se reunirán los nueve pueblos mágicos del estado durante un fin de semana largo (sábado a lunes) que incluirá exposiciones y mesas de diálogo. Asimismo, destacó que la Secretaría de Turismo Federal lanzó una invitación nacional para que más Pueblos Mágicos del país participen, tomando a Huasca de Ocampo —el primer pueblo mágico de México— como el ejemplo a seguir.</t>
  </si>
  <si>
    <t>Hidalgo reconoce expansión área de Mexicana en AIFA</t>
  </si>
  <si>
    <t>Inaugura Julio Menchaca la Feria de San Francisco 2026</t>
  </si>
  <si>
    <t>Durante la conferencia matutina del gobierno del estado, la secretaria de Cultura, Neyda Naranjo Baltazar, informó sobre las diversas participaciones de delegaciones hidalguenses en otras entidades, destacando la presencia de la Banda Sinfónica del Estado en Veracruz, artesanos en Tlaxcala y la próxima participación de la agrupación Xochipulco y el ballet folclórico de Pachuca en Tamaulipas. Asimismo, recordó que el 9 de octubre concluirá el registro para el concurso de "Tradiciones Vivas", el cual cuenta con una bolsa de 400,000 pesos y premios de hasta 80,000 pesos para promotores culturales. Finalmente, se anunció la intervención de la secretaria de Turismo, Elizabeth Quintanar Gómez, sobre el crecimiento de la aviación mexicana.</t>
  </si>
  <si>
    <t>Durante una entrevista en cabina la licenciada Viviana Pedraza Oropeza, representante del Instituto Nacional Electoral (INE), detalló los puntos de atención y los horarios que los módulos fijos y itinerantes mantendrán durante la semana en los municipios de la región de Tulancingo y la zona Otomí-Tepehua. Informó que los ciudadanos pueden realizar trámites como inscripción por mayoría de edad, cambios de domicilio o corrección de datos, recordando que la fecha límite para actualizar el padrón de cara al proceso electoral es el 25 de enero de 2027. Asimismo, recordó los requisitos indispensables: acta de nacimiento original, comprobante de domicilio reciente, identificación oficial con fotografía y, de ser necesario, la clave CURP.</t>
  </si>
  <si>
    <t>Credencialización</t>
  </si>
  <si>
    <t>Durante la conferencia matutina semanal del gobierno de Hidalgo, el secretario de Bienestar e Inclusión Social, Ricardo Gómez Moreno, informó sobre el impacto del pabellón artesanal en la Feria de Pachuca 2026, el cual contó con una inversión de 6.5 millones de pesos para su adecuación y se mantendrá de forma permanente para beneficiar a los artesanos locales. Detalló que 58 artesanos de distintas regiones se hospedan en los albergues de la avenida Revolución y Abasolo, recibiendo transporte y atención integral. Asimismo, destacó la entrega de apoyos económicos a 1,425 artesanos mediante concursos regionales, y adelantó su traslado a Cempoala para encabezar una jornada de capacitación técnica destinada a preservar y mejorar sus oficios tradicionales.</t>
  </si>
  <si>
    <t>Trabajadores médicos y enfermeras de diferentes hospitales y clínicas del Instituto Mexicano del Seguro Social (IMSS) anunciaron una marcha de protesta pacífica en Pachuca para el miércoles 30 de septiembre al mediodía, partiendo de la Plaza Juárez, con el fin de exigir una representación sindical digna, salarios acordes a sus funciones, el regreso del régimen de jubilaciones y pensiones (RJP) y mejores condiciones laborales. Previamente, solicitaron colocar lonas en sus unidades médicas y portar moños rojo con negro. Asimismo, informaron que realizarán otra movilización nacional en la Ciudad de México el jueves 1 de octubre, con información de La Silla Rota Hidalgo.</t>
  </si>
  <si>
    <t>Protesta sindical</t>
  </si>
  <si>
    <t>En vivo desde las instalaciones de la feria, en esta cobertura de NQ Radio, a la conferencia matutina semanal del gobierno del estado. En esta ocasión, los funcionarios que brindarán la información en esta conferencia son el secretario de bienestar e inclusión social, Ricardo Gómez Moreno; también estará la secretaria de cultura, Neyda Naranjo Baltazar; la secretaria de turismo, Elizabeth Quintanar Gómez; y el titular de la Operadora de Eventos del Estado de Hidalgo, Marco Antonio Aranzábal Juárez. En este momento, el mundo Pineda López, el titular de comunicación de Gobierno del Estado, está justamente presentando a quienes están participando en esta conferencia y además invitando a las personas a que a través de las plataformas digitales que se conectan con esta conferencia participen con sus comentarios, sus preguntas e inquietudes para fortalecer este ejercicio de comunicación que normalmente realizamos, o de manera más común, se realiza en la sala de prensa de la sede del Ejecutivo Estatal y eventualmente sale a otros recintos, como en esta ocasión. Es, por cierto, la segunda ocasión que esta conferencia se realiza en estas instalaciones de la feria, pero ya con la realización de esta feria que está en curso desde el jueves pasado y que se inauguró oficialmente por parte del gobernador Julio Menchaca el pasado viernes. Vamos a dejarlos en directo con el inicio de esta conferencia matutina semanal.</t>
  </si>
  <si>
    <t>OCSAD</t>
  </si>
  <si>
    <t>Elementos de la Dirección de Bomberos y Protección Civil de Tulancingo rescataron un águila negra que fue localizada sobre una barda de aproximadamente tres metros de altura, en el Andador 2 de la colonia Adolfo López Mateos. El reporte fue atendido alrededor de las 15:49 horas de este 26 de septiembre, cuando los cuerpos de emergencia realizaron las maniobras necesarias para poner a salvo al ejemplar. Tras su rescate, el ave quedó bajo observación y valoración médica para conocer sus condiciones físicas y determinar si presenta alguna afectación. De acuerdo con los protocolos establecidos para la atención de fauna silvestre, el ejemplar permanece en el Zoológico de Tulancingo, donde recibe atención y vigilancia. Asimismo, se notificará a la Procuraduría Federal de Protección al Ambiente (PROFEPA), autoridad competente para determinar el destino final del ave conforme a la normatividad aplicable. La Dirección de Bomberos y Protección Civil de Tulancingo mantiene coordinación con las instancias correspondientes para garantizar la atención adecuada de la fauna silvestre y el cumplimiento de los protocolos establecidos para su protección.</t>
  </si>
  <si>
    <t>Entrevista no cumplida</t>
  </si>
  <si>
    <t>El doctor Luis Téllez Reyes conmemoró el 55 aniversario del Instituto Tecnológico de Pachuca (ITP), destacando su trayectoria desde la construcción de sus instalaciones en 1970 y el inicio de sus actividades docentes en 1971. Señaló que la institución atiende a más de 5,000 estudiantes en 12 licenciaturas, una maestría y un doctorado, según cifras de su director Miguel Ángel Lee Rodríguez. Asimismo, resaltó que el Congreso del Estado reconoció su labor inscribiendo su nombre en letras de oro, y enfatizó los retos futuros de la institución frente a la inteligencia artificial, la investigación aplicada y el desarrollo sostenible.</t>
  </si>
  <si>
    <t>Colaboración José Luis Lima Morales, reflexionó sobre las próximas comparecencias de los secretarios del gobierno estatal ante el Congreso del Estado de Hidalgo. Señaló que los ciudadanos no deben ver estos eventos como un trámite administrativo, una pasarela política o un espectáculo de acarreados y movilizaciones, sino como un ejercicio genuino de rendición de cuentas. Destacó que se esperan funcionarios preparados, con conocimiento profundo de las problemáticas de la entidad, que expongan con claridad sus resultados, la inversión de los recursos públicos y los pendientes por resolver, recordando que el servicio público es una responsabilidad y no un privilegio.</t>
  </si>
  <si>
    <t>En su colaboración semanal, Gustavo Rosales destacó la participación de la delegación hidalguense en el Festival Olímpico de Box en Oaxtepec, Morelos, donde compitieron más de 400 atletas. Con el respaldo de la asociación y federación correspondiente, el representativo estatal obtuvo dos medallas de plata y dos de bronce. Los metales terciados fueron obtenidos por Emiliano Márquez (sub-20, 50 kg) y Alexander Martínez (48 kg), mientras que las preseas plateadas corrieron a cargo de Víctor Ávila e Israel Delgadillo. Asimismo, se reconoció el crecimiento de este deporte en municipios como Mineral de la Reforma, Apan, Tulancingo y Mineral del Monte. Por otro lado, en el ámbito internacional, se informó sobre la actuación de los ciclistas mexicanos en el mundial de ciclismo en Canadá. Tras superar controversias con su visado, Edgar "El Chucky" Cadena participó como gregario, finalizando en la posición 71, mientras que Isaac del Toro logró un destacado quinto lugar mundial tras recorrer una extenuante ruta de 220 kilómetros con un importante desnivel positivo.</t>
  </si>
  <si>
    <t>Justa Deportiva</t>
  </si>
  <si>
    <t>Con eventos culturales, artísticos y por supuesto turísticos. Va a ser conmemorado este próximo 5 de octubre el 25 aniversario del nombramiento de Huasca de Ocampo como primer Pueblo Mágico de México. Este anuncio fue realizado por Elizabeth Quintanar Gómez, quien es titular de la Secretaría de Turismo en el estado de Hidalgo, recordando que en esta fecha pues se celebra el Día Nacional de los Pueblos Mágicos en México. Y pues en la conmemoración, de hecho se tiene contemplado analizar... realizar, perdón, una feria con actividades culturales, artísticas, turísticas, por ejemplo, pues que inviten eh... pues a visitantes, obviamente también a descubrir pues el destino que dio origen de alguna forma a uno de los programas más emblemáticos del turismo en México. Los nueve pueblos mágicos estarán reunidos. "Es el pretexto pues ideal para ese fin de semana completo: sábado, domingo y lunes 5 de octubre, lo queremos celebrar exactamente el día que es de los Pueblos Mágicos", fue parte de lo que dijo la funcionaria estatal. Y pues la celebración va a incluir un tianguis en el que van a participar productores y artesanos de los pueblos mágicos en la entidad. Hablamos de Huasca de Ocampo, Mineral del Monte, Mineral del Chico, Huichapan, Tecozautla, Zimapán, Zempoala, Acaxochitlán y también Metztitlán. Y además también el Gobierno Federal extendió una invitación para que otros pueblos mágicos del país puedan participar en estas actividades y compartan sus experiencias, y a ello pues se agrega también la proyección de video mapping. De hecho que este es dedicado a Huasca, lo que se estaría realizando durante el fin de semana del aniversario y va a permanecer durante todo octubre. Y pues en este se estaría contando parte de la historia del municipio con referencias a su tradición minera y también a los principales atractivos pues que lo han eh... convertido en uno de los destinos turísticos más reconocidos de Hidalgo. Quintanar Gómez también destacó eh... pues que otra de las estrategias que ha dado resultados es el impulso al turismo cinematográfico al abrir las puertas del estado a producciones nacionales e internacionales. Y pues durante el último periodo, Hidalgo se ubicó también como el cuarto estado del país con mayor número de producciones audiovisuales al albergar 101 proyectos entre series, películas y también contenidos para plataformas y televisión. Parte de lo que se dijo fue lo siguiente: "Este dinamismo generó una derrama económica directa superior a los 10 millones de pesos, consolidando a Hidalgo como un destino seguro y competitivo también que ofrece una amplia diversidad de locaciones y las condiciones necesarias para el desarrollo de proyectos fílmicos", así lo enfatizó la funcionaria.</t>
  </si>
  <si>
    <t>Pueblos Mágicos</t>
  </si>
  <si>
    <t>Como resultado de acciones al combate al delito efectuadas por la Secretaría de Seguridad Pública de Hidalgo, se logró la detención de tres hombres por su participación en el asalto a una tienda de alimento para mascotas en el municipio de Zempoala, luego de que cometieran el robo e intentaran huir. De hecho, todo esto ocurrió tras recibir una llamada de auxilio a través de la línea de emergencias 911, donde se reportaba que tres masculinos habían amagado a los empleados de la tienda, de lo cual pues robaron mercancía y dinero en efectivo, para posteriormente huir a bordo de un automóvil Chevrolet Aveo color blanco con placas del Estado de México. Luego de la oportuna implementación de un operativo, y también con el apoyo del sistema de videovigilancia del Centro de Control, Comando, Comunicación, Cómputo, Coordinación e Inteligencia, el C5i Hidalgo, pues la unidad fue intervenida sobre la carretera Ciudad Sahagún-Emiliano Zapata, logrando la detención de los ocupantes. De hecho, los sujetos responden a las iniciales J. N. B. G., E. G. G. B. y también C. K. R. M., todos originarios del Estado de México, por lo que se exhorta a la población a que, pues en caso de reconocer a los sujetos que fueron publicados previamente, pues obviamente sí hagan y formalicen su denuncia.</t>
  </si>
  <si>
    <t>En la ciudad de Pachuca se reportó la volcadura de una camioneta. esto de una unidad de vigilancia operativa del Sistema de Transporte Metropolitano, el Tuzobús, que terminó volcada sobre el camellón del bulevar Felipe Ángeles en Pachuca luego de que aparentemente presentara una falla mecánica. El incidente se registró a la altura de la estación Vicente Segura del Tuzobús con dirección hacia el sur. De acuerdo con el Sistema Integrado de Transporte Masivo de Hidalgo, en la unidad viajaban dos personas que se encontraban realizando actividades relacionadas con sus funciones quienes no resultaron lesionadas. Durante el percance, la camioneta salió de la vialidad, impactó y derribó un poste de alumbrado público para finalmente quedar sobre el camellón con diversos daños materiales. Elementos de la Policía Estatal y otras corporaciones acudieron al sitio para atender la emergencia y llevar a cabo las diligencias correspondientes. El Sistema Integrado de Transporte Metropolitano señaló que de... que de manera preliminar el accidente estaría relacionado con una falla mecánica; sin embargo, no se ha detallado qué desperfecto presentó la unidad ni cómo ocurrió exactamente la volcadura.</t>
  </si>
  <si>
    <t>Resulta que el reporte sobre una persona sin vida movilizó a corporaciones de seguridad este lunes 28 de septiembre, luego de que un hombre fuera encontrado eh... cubierto con bolsas de plástico en la localidad de Santiago Tlapacoya. De hecho, el hallazgo se registró en una zona ubicada detrás de Ciudad del Conocimiento en los límites entre Pachuca y San Agustín Tlaxiaca. Al sitio acudieron policías municipales de Pachuca, elementos de la Secretaría de Seguridad Pública de Hidalgo. La persona localizada permanece en este momento en calidad de desconocida, mientras que hasta el momento pues tampoco se ha establecido como tal públicamente las condiciones en las que habría ocurrido el fallecimiento. Y el área fue asegurada por autoridades para poder preservar pues posibles indicios en tanto se realizan las diligencias correspondientes y se inicia también la investigación para determinar lo ocurrido.</t>
  </si>
  <si>
    <t>Durante los primeros días de la Feria San Francisco Pachuca 2026, alrededor de 38 personas han sido detenidas mediante el operativo del alcoholímetro, informó el presidente municipal Jorge Reyes Hernández. El alcalde señaló que la cifra corresponde al periodo comprendido entre el jueves y el domingo, días en los que se reforzó la aplicación del alcoholímetro debido a la realización de eventos de la feria. Tan solo el domingo fueron detenidas 12 personas por superar el límite permitido de alcohol. Exposiciones y convenciones Reyes Hernández explicó que el alcoholímetro se mantiene durante toda la semana, con mayor presencia en los eventos identificados como focos rojos mediante una semaforización que el ayuntamiento trabaja en coordinación con la Secretaría de Seguridad Pública estatal. Explicó que esta clasificación considera los eventos programados en la feria y particularmente aquellos realizados en el Palenque, con el objetivo de prevenir incidentes relacionados con el consumo de alcohol. El presidente municipal agregó que, pese al incremento de la actividad durante la feria, hasta ese momento el ayuntamiento reporta saldo blanco y no tiene registro de algún incidente mayor relacionado con los festejos.</t>
  </si>
  <si>
    <t>Resulta que las autoridades de Hidalgo dieron a conocer los resultados de los operativos de seguridad realizados durante la última semana, entre los que destacan el aseguramiento a más de 20,000 L de hidrocarburo y el desmantelamiento de cinco tomas clandestinas. De acuerdo con el Gabinete de Seguridad Estatal, uno de los principales aseguramientos ocurrió en un predio relacionado con acciones realizadas en Atitalaquia y también en Pachuca, donde fue localizado un túnel de alrededor de 30 m que presuntamente era utilizado para la extracción ilegal de combustible. Y pues en total fueron recuperados 20,900 L de hidrocarburo, además de 150 m de manguera de alta presión y 23 contenedores. Eh... mientras tanto pues en la zona de Tula-Tepeji, durante una revisión al ducto Tula-Salamanca, se localizaron y clausuraron cinco tomas clandestinas. Las acciones contra el narcomenudeo también dejaron resultados en nueve municipios con 14 personas detenidas y el aseguramiento de 2,443 dosis de distintas drogas, además de vehículos, teléfonos celulares y una báscula. Y pues entre otros operativos también fueron detenidas seis personas por hechos relacionados con robo y presunta tala ilegal, también se recuperaron vehículos y mercancía, entre ellos una camioneta que había sido robada momentos antes en la carretera Actopan-Tula. En cuanto a la búsqueda de personas, las autoridades reportaron la localización de 17 personas durante la última semana, además también se atendieron diversos eh... diversas afectaciones provocadas por las lluvias como caída de árboles, derrumbes y también bloqueos en caminos del estado.</t>
  </si>
  <si>
    <t>Reunión Gabinete De Seguridad</t>
  </si>
  <si>
    <t>Con el propósito de acercar información, orientación y herramientas de prevención a las y los adolescentes, el Sistema Municipal de Protección Integral de Niñas, Niños y Adolescentes (SIPINNA) Tulancingo, realizó este lunes 28 de septiembre, la Feria de la Salud Integral en la Escuela Secundaria Técnica No. 56, ubicada en la colonia El Paraíso. La jornada se desarrolló en el marco del Día Nacional para la Prevención del Embarazo en Adolescentes y el Día de Acción Global por el Aborto, mediante un trabajo coordinado entre dependencias municipales y estatales, así como asociaciones civiles y fundaciones. Participaron la Instancia Municipal de la Mujer, Juventud, CEAVIF, Sanidad, el Centro de Cultura Emocional de la Familia (CCEF), Procuraduría Municipal, Salud a tu Alcance, Jurisdicci ón Sanitaria y Prevención del Delito, entre otras instituciones. Como parte de la feria, se impartieron charlas e n diferentes aulas sobre violencia en el noviazgo, violencia de género, riesgos en el mundo virtual, grooming, salud bucal y educación sexual, con información dirigida a fortalecer la capacidad de las y los estudiantes para identificar situaciones de riesgo y conocer las alternativas de apoyo disponibles. También se convocó a madres y padres de familia, quienes recibieron información y testimonios relacionados con la prevención de adicciones, además de herramientas para identificar señales de alerta y saber cómo actuar ante una posible situación de consumo en sus hijas e hijos. La actividad incluyó una práctica de yoga como herramienta para la gestión de emociones, así como la aplicación de pruebas psicométricas orientadas a la detección de factores relacionados con adicciones. Durante la inauguración, el supervisor de zona, Salvador Limón, y la presidenta municipal, Lorena García Cázares, coincidieron en la importancia de fortalecer el acompañamiento de madres y padres durante la adolescencia, mediante supervisión, comunicación y orientación, respetando al mismo tiempo la privacidad y autonomía progresiva de las y los jóvenes. A través de estas acciones, SIPINNA Tulancingo busca que niñas, niños y adolescentes identifiquen a las instituciones y servicios a los que pueden acudir cuando necesiten orientación o apoyo, fortaleciendo una red de atención cercana y coordinada.</t>
  </si>
  <si>
    <t>Se ha anunciado en el Congreso de que se está haciendo ya la citación, incluso existe un calendario al respecto y sobre el calendario se señala que los secretarios, las secretarias del Gobierno del Estado de Hidalgo tienen que presentar sus resultados de este cuarto año de gobierno. Al respecto, Andrés Velásquez Vázquez, presidente de la Junta de Gobierno del Congreso del Estado de Hidalgo, dijo que el primer integrante del gabinete en presentarse entre las y los legisladores será Guillermo Olivares Reina, titulada Secretaria de Gobierno, encargado de la política interna en el Estado de Hidalgo el próximo 12 de octubre y ese mismo día, pero más tarde comparecerá la Secretaria de Cultura, Neyda Naranjo Baltazar. El líder del Congreso expuso que se realizará con el mismo formato del año pasado, con preguntas y respuestas y se dará mayor cobertura a las exposiciones en materia digital para que puedan demostrar sus avances. Durante estos actos se resguardará el orden para evitar que se repita el escenario del año pasado.</t>
  </si>
  <si>
    <t>Daniel Martínez: Y a mí me parece, insisto, que hay un asunto interesante en ello este, Izza. No están satanizando la prueba, ¡qué bueno! Este, y no soy matraquero no se me da la matraca la verdad. Qué bueno que este... en lugar de decir "¡Ay, la prueba! ¡Que quién sabe qué! ¡Que este... no responde a las necesidades de las niñas y de los niños!". Que más bien Natividad Castrejón en este sentido diga: "Sí tenemos broncas o podemos tener broncas, vamos a analizar para ver cuáles son las áreas de oportunidad o cuáles son los problemas que tenemos que solucionar", sobre todo en lo que tiene que ver con la comprensión de la lectura y con la resolución de problemas matemáticos, que son las dos principales circunstancias que tiene la prueba PISA, Izza. **Izza Hernández: Es correcto, Daniel, y sobre todo también estamos hablando de una medición que por parte de la SEPH Hidalgo les parece bastante interesante pues en cuestión de conocimientos y entre otras cosas, ¿no? Y medir también por región, por zonas urbanas, o sea, son muchos detalles, muchas cosas que, digo, realmente sí estarían sirviendo sobre todo pues para seguir retroalimentando finalmente la educación y que no se quede nada más en una evaluación de "pues si hicimos una evaluación y salió así", sino que realmente se hagan eh... pues de alguna forma las mejoras al respecto y estamos hablando sobre todo, Daniel, pues de del futuro, ¿no? **Daniel Martínez: ** O sea, no me amachen, no digan que si la prueba neoliberal y no sé qué rollo. O sea, finalmente las matemáticas y la comprensión de la lectura no sabe de tendencias este... políticas, es una cuestión de aprendizaje y de comprender las cosas que están a tu alrededor.</t>
  </si>
  <si>
    <t>PISA</t>
  </si>
  <si>
    <t>En lo que va del año en Hidalgo suman siete carpetas de investigación por el delito de aborto, pese a que en la entidad esa práctica fue despenalizada hace cinco años, por ello activistas exigieron a las autoridades estatales garantizar que ninguna mujer sea criminalizada por ejercer su derecho a decidir. Además, pidieron fortalecer la difusión de los servicios en unidades de salud pública y el abasto de medicamentos para la interrupción del embarazo en el marco del 28 de septiembre que es el Día de Acción Global por el Acceso al Aborto Legal y Seguro. Integrantes de Aquelarre Cihuacóatl, Pachuca Morada, y Red de Acompañantes, entre otras colectivas, realizaron distintas actividades para exigir que en Hidalgo exista realmente el acceso legal, libre y gratuito al aborto, ya que aún persisten barreras para acceder al servicio. “Nos llama la atención que en lo que vamos de 2026, hay siete carpetas abiertas por aborto en todo el estado, pero una de las cosas que no están disponibles a datos abiertos es por qué están abiertas las carpetas, a quién, qué o cuál es la situación”, comentaron. Detallaron que de las siete carpetas, dos son en Pachuca y el resto en Apan, Huejutla, Jacala, Tula y Tulancingo. Dijeron entender que existe confidencialidad en las investigaciones, sin embargo, consideraron importante que las autoridades revisen qué es lo que está sucediendo. “La razón por las que estas carpetas están abiertas, que tengamos la certeza de que se están aplicando los protocolos, la legislación como debe ser y que no sean carpetas que estén persiguiendo a mujeres que han abortado, ni por acudir a los servicios de salud ante una emergencia obstétrica”, expresaron. También pidieron fortalecer la difusión de los servicios, procedimientos y rutas de acceso, particularmente en las regiones con mayores barreras territoriales; brindar información accesible, cultural y lingüísticamente pertinente para las comunidades indígenas; y garantizar el abasto suficiente y permanente de los medicamentos e insumos necesarios para la atención del aborto.</t>
  </si>
  <si>
    <t>Aborto</t>
  </si>
  <si>
    <t>Tras los resultados de la prueba PISA 2025 la Secretaría de Educación Pública de Hidalgo realiza un análisis profundo para ver el alcance y todo el contexto también de los parámetros eh... que mide la evaluación internacional. Así lo informó el titular Natividad Castrejón Valdez, de hecho, el funcionario estatal adelantó que en octubre próximo estarán iniciando los ejercicios de integración académica en escuelas de nivel básico del estado para poder realizar como tal un diagnóstico en cuestión del conocimiento de los estudiantes en cuatro campos formativos. Recientemente de hecho la Organización para la Cooperación y el Desarrollo Económico dio a conocer los resultados del programa eh... pues para la Evaluación Internacional de Estudiantes PISA eh... por sus siglas en inglés. Además, también en México registró una caída en los puntajes de matemáticas y comprensión lectora en los estudiantes de 15 años y al respecto el titular de la SEPH Hidalgo indicó que, pues es una prueba a nivel global, por lo cual estaría haciendo falta contextualizar a nivel local y regional, además también de ver el contexto social, económico, cultural, geográfico pues de cada región para poder pues considerar, ¿no?, y ponderar también los resultados. En la prueba aplicada en 2025 participaron 305 estudiantes de Hidalgo, estos inscritos en eh... bachillerato. Sin embargo, dijo, la evaluación refleja los resultados de todo el país. Castrejón Valdez sí comentó que estarían buscando accesos a los datos de los jóvenes pues que fueron evaluados en el estado para poder conocer las evaluaciones. De hecho, señaló que desde el año pasado sí realizan en la entidad, obviamente también un censo general al que llaman ejercicios de integración académica que aplicaron en la totalidad también de la matrícula de primaria, secundaria también para poder evaluar estudiantes eh... en cuatro campos formativos. De hecho, creó también que los ejercicios de integradores les permite de alguna forma conocer la zona de desarrollo real de cada alumno para poder socializarla con los maestros eh... para que desde el inicio del ciclo pues tengan la información de cómo va su grupo, cuáles son las fortalezas, sus debilidades, conocimientos consolidados, cuáles están en proceso y cuáles están de manera deficiente. "Ahorita vamos a realizar nuevamente el ejercicio integrador de aprendizajes en octubre para que los maestros, las maestras tengan todo el año para poder trabajar con los alumnos de manera contextual y atendiendo también las necesidades de cada región", fue parte de lo que puntualizó. Finalmente es como estaría analizando SEPH Hidalgo estos resultados de la prueba...</t>
  </si>
  <si>
    <t>Empezando por lo que señala la Secretaría de Educación Pública del estado de Hidalgo, a mí me parece una postura más sana que estar satanizando… o sea, satanizando las pruebas. Me parece más adecuado el asunto de a ver: tienes una prueba, en este caso la PISA, que es una prueba de alcance internacional para definir cómo están aprendiendo y si están aprendiendo los eh chamacos en las aulas de clase, sobre todo cuestiones que tienen que ver con español, comprensión de la lectura, matemáticas, comprensión de las eh estadísticas y cifras y demás, para poder mejorar los procesos educativos.</t>
  </si>
  <si>
    <t>El ayuntamiento de Pachuca aprobó una tercera modificación presupuestal ante el recorte de 38 millones de pesos en participaciones federales que ha enfrentado el municipio durante 2026, informó el presidente municipal Jorge Reyes Hernández, quien señaló que el ajuste busca mantener recursos para infraestructura y servicios. El alcalde explicó que la reducción de este año se realizó en dos partes, una de 14 millones de pesos y otra de 24 millones, para sumar los 38 millones de pesos recortados hasta el momento. Recordó que durante 2025 el municipio también enfrentó una disminución de 14 millones de pesos en las participaciones federales. “Las modificaciones se van a los temas de infraestructura y de servicios, es en lo que más necesitamos o necesita la gente”, declaró Reyes Hernández al explicar el destino de los recursos de la tercera modificación presupuestal. Entre las acciones contempladas se encuentra la atención de instalaciones de Seguridad Pública que presentan deterioro, mediante trabajos de impermeabilización. En Obras Públicas se prevé la adquisición de equipo para pintar rayas y realizar trabajos de señalización de imagen urbana, además de rodillos compactadores y materiales para bacheo. “Ahorita tenemos ya 59 millones”, señaló el presidente municipal al referirse a los recursos con los que cuenta el ayuntamiento para realizar ajustes y atender las necesidades del cierre del ejercicio. En el área de Medio Ambiente, puntualizó que la modificación permitirá adquirir materiales, insumos y equipo para realizar cirugías y esterilizaciones. Mientras que Servicios Municipales contará con recursos para materiales y productos necesarios para ofrecer el servicio integral de embalsamamiento. Para compensar la reducción de las participaciones federales, el ayuntamiento también canceló o pospuso algunos proyectos considerados secundarios. Reyes Hernández mencionó la cancelación del proyecto para construir nichos en el panteón municipal y la compra de vehículos que estaba contemplada en Obras Públicas. “No afectamos el presupuesto en tareas indispensables”, afirmó el alcalde. Reyes Hernández señaló que el recorte de 38 millones de pesos corresponde a lo acumulado durante 2026 y sostuvo que se trata de una reducción en las participaciones federales que también afecta a otros municipios del país. “Es un recorte a nivel nacional”, dijo. El alcalde agregó que todavía falta concluir el último trimestre del año, por lo que el municipio permanecerá atento a posibles modificaciones adicionales en las participaciones federales.</t>
  </si>
  <si>
    <t>Modificación Presupuestal</t>
  </si>
  <si>
    <t>Hasta el primero de octubre tienen como plazo los 84 municipios de Hidalgo para poder enviar al Congreso de Hidalgo sus iniciativas de ley de ingresos para el ejercicio fiscal 2027. Con el fin de ser analizadas y aprobadas también en el pleno, así lo indicó el diputado Miguel Ángel Moreno Zamora y pues el legislador local confió en que los municipios no incurran en cobros excesivos para que no pues vuelvan a ser impugnadas. De hecho, también parte de lo que dijo fue lo siguiente: Sería un tema muy penoso que podamos estar teniendo estas situaciones cuando prácticamente ya van de salida. Fue parte de lo que señaló el legislador local. Recordó también que hicieron una capacitación con todos los municipios, tanto los organismos operadores de agua como también los ayuntamientos para poder traer pues los asuntos relacionados con cuotas y tarifas también del primer caso y leyes también de ingresos en el segundo. El presidente de la Comisión de Hacienda y Presupuesto del Congreso local confió en tener un buen tiempo para poder analizar las 84 leyes de ingresos. Y para que no incurran en cobros excesivos, no se estarían aprobando este tipo de cuestiones. Todo esto luego de que la Suprema Corte de Justicia de la Nación declaró la invalidez también de diversos cobros y tarifas establecidas en las leyes de ingresos de ocho municipios de Hidalgo para el ejercicio fiscal 2026. Tras resolver la acción inconstitucional promovida por la Comisión Nacional de los Derechos Humanos. Hasta el corte del 27 de septiembre, 79 municipios de Hidalgo, faltaban enviar sus proyectos de presupuesto del próximo año y ya que el congreso local solamente tenía registrado Atotonilco, bueno como tal el registro era Atotonilco el Grande, Pisa Flores, Tepetitlán, Tezontepec de Aldama, Yahualica y pues por otra parte el pasado 10 de septiembre concluyó precisamente el plazo para que los 35 órganos operadores de agua municipales, entregarán sus cuotas y también tarifas al Congreso de Hidalgo, también de acuerdo con el diputado, todos cumplieron en tiempo, por lo que la Comisión de Hacienda estaría analizando los documentos.</t>
  </si>
  <si>
    <t>Ayer hubo sesión de la Asamblea Municipal, la décimo octava extraordinaria, donde se presentó la propuesta para la ley de ingresos eventualmente a aplicarse el próximo año, dependiendo si existe aprobación al respecto por parte del Congreso del Estado de Hidalgo. La regidora Dora Luz Guzmán Flores hizo un reconocimiento al gobierno municipal de que cuando estaba haciendo la discusión de las cuotas y tarifas para los mercados municipales, se va a hacer una diferenciación entre el mercado Benito Juárez. Dora Luz Guzmán se refirió específicamente al Mercado Benito Juárez que está en el centro de la ciudad y el Solidaridad que está en la CONEA Guadalupe, señalando que sus locatarios no tienen los mismos niveles de ingresos en el norte de la ciudad que en el centro de la misma y eso fue condicionante para solicitar que se buscara alguna actividad, alguna estrategia, alguna forma de reactivar ese mercado que entiendo que en su momento en los años 90 se creó para descentralizar las actividades comerciales, el comercio popular en este caso de mercados, pero por alguna situación, si bien tuvo un jalón inicial, pues no ha tenido esa consolidación. Reiteró que el llamado fue hecho por la Región de la Luz Guzmán durante la celebración de la XVIII Sesión Extraordinaria Pública de la Asamblea Local, llevada a cabo el día de ayer en el marco de la presentación del proyecto para la ley de ingresos municipal del próximo año. Guzmán Flores reconoció que el gobierno municipal de Tulancingo ha considerado las características específicas del mercado mencionado, así como el Benito Juárez que será en el centro de la ciudad, para establecer la propuesta de cuotas y tarifas para aplicarse el siguiente año de acuerdo Asus características comerciales, de ingresos, etc. Señaló que el mercado solidaridad no tiene los mismos ingresos que el Juárez, por lo cual sus pagos de derechos se deberían considerar en forma parte. Coincidió con su compañero asambleísta Gastón Santos López en la necesidad de establecer una estrategia de posicionamiento del mercado solidaridad que signifique su impulso entre los habitantes de la Cona Guadalupe. La regidora Guzmán Flores destacó que la actualización de las cuotas y tarifas en los dos mercados citados se hizo tras diálogo entre los locatarios y autoridades municipales participaron para decirles cuáles eran sus temas que se tienen que atender. Por su parte, el regidor Santos López recordó que la Colonia Guadalupe es una de las que tiene mayor cantidad de población en el municipio, insistiendo en establecer una estrategia de posicionamiento de su mercado de solidaridad ubicado en esa demarcación. Respecto a las cuotas y tarifas aplicarse en el andador artesanal, también fue un tema que tocó Dora Luz Guzmán, el próximo a funcionar dentro de la zona de museos de Tulancingo. La regidora observó que no fueron incluidos dentro de la ley de ingresos municipal para el próximo año, por lo tanto pidió una explicación al respecto, recordando que los cobros de los locales de este andador estarán a cargo del sistema municipal. La explicación no se la brindaron a la regidora acerca de dónde quedó las cuotas del mercado para el próximo año y al final de cuentas la propuesta que se está haciendo es un ajuste a las tarifas, cuotas y demás del 3.2% respecto a lo que se paga actualmente considerando el porcentaje de inflación que se ha registrado en el transcurso de este 2026. La propuesta fue votada con 21 votos a favor, cero en contra y así como cero obtenciones, es decir, por unanimidad, tras lo cual será enviada al Congreso del Estado de Hidalgo para hacer análisis y eventual Entonces por aquí le vamos platicando para que vaya ajustando el bolsillo y los pagos correspondientes.</t>
  </si>
  <si>
    <t>Vía telefónica el reporte de Bombero y Protección Civil con Abner Yáñez informa de las diversas emergencias reportadas por la ciudadanía y que fueron atendidas.</t>
  </si>
  <si>
    <t>Abner Yáñez</t>
  </si>
  <si>
    <t>Participación</t>
  </si>
  <si>
    <t>Derivado del anuncio que se hizo justamente hace una semana de los ajustes a las tarifas de los taxis, empezando por Pachuca y Mayores de la Reforma y eventualmente ocurrirá en las otras cuatro regiones de las que se dividió el estado de Hidalgo, pues en principio el miércoles ya se publicaron los tarifarios, por lo tanto tendrían que comenzarse a aplicar a partir de ese momento no se han aplicado del todo. El viernes tuvo que salir la Secretaría de Movilidad y Transporte de Hidalgo a decirles con un tono medio pasivo, agresivo, digo oigan, tengan a uno tarifario, están publicados en el periódico oficial del estado de Hidalgo y por lo tanto los tienen que aplicar. Sin embargo, en el caso del Valle de Tulancigo, recordamos que en este espacio compartimos las declaraciones de Apolinar Ávila. González, dirigente de la Confederación de Transportistas Metropolitanos, uno de los grupos que precisamente representa al transporte público de pasajeros, en donde señalaba que esperaban tener una mesa de trabajo con las autoridades estatales para poder revisar el tema de los tarifarios, y en esa conversación también señala que hay rubros que se tienen que revisar, que han incrementado de manera importante, sobre todo el seguro. Para el pasajero seguro del viajero, que en un par de años, entre el 2024, 2025 y lo que va del 2026, ha subido más del 100% al pasar de 5000 a 12000 pesos promedio. El costo de lo que se tiene que pagar por este seguro, que ojalá que sea uno de los temas que consideras de movilidad y transporte de Hidalgo, en cuanto a los gastos que se tienen que realizar al momento de que les permitan hacer el ajuste, de acuerdo a las características demográficas, sociográficas, el estado que tiene en los caminos de las carreteras en la región Tulancingo. Recordamos que esto tiene, viene a colación porque Movilidad y Transporte de Hidalgo señaló que también está haciendo una revisión en las unidades para comprobar, confirmar si estas cuentan con los seguros vigentes para poder prestar el servicio en caso de que se presente algún accidente o alguna situación que se deba de atender. La dependencia estatal ha advertido que las unidades que no cuenten con el seguro podrían tener sanciones hasta llegar incluso a la revocación de la concesión para prestar el servicio. Al respecto, Ávila González señaló aseguró que se cuenta con una relación de las unidades que tienen vigente su seguro para el pasajero, pues conocemos como concesionario es el riesgo de no contar con él en cuanto a la renovación de la concesión correspondiente. El tema de este costo sería incluido dentro de la eventual discusión o mesa de trabajo que se pueda tener para revisar el tema de los tarifarios de los taxistas. El representante transportista confió que los costos de los seguros para pasajeros, así como otros aspectos, se tomen en cuenta para la conformación de los tarifarios para el servicio de taxis. En el contexto, insistió que para la implementación del taxímetro, también planteado por las movilidad de transporte de Hidalgo, se debe considerar el costo de los seguros, así como aspectos operativos, principalmente distancias y estado de los caminos y vialidades.</t>
  </si>
  <si>
    <t>Una de las personas que también tiene o tenía orden de aprehensión, ligado con el tema de presunto desvío de recursos públicos, es la hija de Gerardo Sosa Castelan, el rector de la Universidad Autónoma del Estado de Hidalgo, así como ex presidente del patronato universitario, que es una figura que se creó ahora sí que es profeso para la administración de los recursos de la universidad. Y entonces comienza a circular información acerca de esta detención, concretamente de Ana Carmen Sosa Craviotto, este una de sus hijas, quien fue ubicada y detenida en Argentina por autoridades internacionales. Es lo primero que conocemos. Entonces empezamos a buscar si había alguna este comunicación oficial por parte de la Fiscalía General de la República que a cargo del caso de la Unidad de Inteligencia Financiera. La detención se registró el entiendo que el 27 de agosto es lo que se señala, por parte de agentes de Interpol. Junto con la información empezó a circular una fotografía que ahí entiendo que es una fotografía, digamos que oficial, las que se toman de protocolo al momento en que se detiene una persona, pero sí me brinca que un mes después, que prácticamente un mes después, se comienza a difundir esta información en cuanto a la detención y coordinación con la policía de seguridad aeroportuaria en las instalaciones del Aeropuerto Internacional del Plumerillo en Mendoza, Argentina, cuando se encontraba la hija de Gerardo Sosa en proceso de abordaje de un vuelo a Chile. Esto derivó porque la Fiscalía General de la República en México le había girado una orden de aprehensión a Ana Cristina al ser considerada como socia de las constructoras junto a su padre y además le activó una fecha roja que se mantuvo activa desde el año 2020. Ana Carmen Sosa Carbierto fue trasladada desde el aeropuerto hasta la unidad número 732 del servicio penitenciario en Mendoza, aunque su abogado logró sacarla para que su lugar cumpla prisión domiciliaria mientras espera ser extraditada, es decir, en este momento ya está en prisión domiciliaria. La aprehensión de Sosa Caravioto deriva de la causa penal 263 / 2020 abierta por delincuencia organizada y operaciones con recursos de procedencia ilícita por 58.2 millones de pesos en los que su padre Gerardo Sosa también está involucrado. De acuerdo con el expediente la joven junto a su segunda hermana Adriana Sosa Caravioto tuvieron una presunta participación en la estructura financiera de lavado de dinero en la que fueron aparentemente beneficiarias de transferencias millonarias desde empresas fachada como la llamada contabilidad del Siglo 21 las 7 transferencias detectadas ocurrieron entre los meses de marzo del 2014 y marzo del 2018, siendo un monto total de 806769 pesos. Ana Carmen, quien de profesiones licenciado en negocios, también aparecía vinculada como socia en las empresas constructoras de su padre, entre ellas inmobiliaria constructora y arrendadora yolo, cuya accionista principal es Damián Sosa Castelán, hermano de Gerardo Sosa Castelán, quién logró un sobre seguimiento parcial de la causa penal en su contra</t>
  </si>
  <si>
    <t>UAEH</t>
  </si>
  <si>
    <t>Cuentas UAEH</t>
  </si>
  <si>
    <t>El gobierno municipal de Tulancingo continúa la gestión para la construcción de un distribuidor vial que estaría conectando la zona Huapalcalco con la autopista México Tuxpan, actualmente en trabajos de ampliación en esta región. Al respecto, la alcaldesa Lorena García Cázares señaló que el proyecto vial está de alguna forma en análisis sobre el punto carretero, donde podría establecerse la conexión. “Ya se realizó un análisis para determinar la ubicación más adecuada para este acceso; la siguiente semana vamos a establecer reuniones con las autoridades correspondientes para poder avanzar en la autorización, para que en cuanto lleguen a ese tramo, esto ya sea un hecho”. También se plantea de alguna forma que el distribuidor permita agilizar la circulación vehicular dentro de la Región Tulancingo, así como también evitar accidentes sobre el Corredor Vial San José. Todo esto a partir de que el proyecto de interconexión vial se considera a la altura de la Universidad Politécnica de Tulancingo, una zona donde existe planicie de alguna forma, a diferencia del Corredor Vial San José, donde el acceso hacia la Región pues está embajada. Por lo cual se siguen con las gestiones para poder concretar la construcción de la vialidad de entrada y también de salida del Valle de Tulancingo, antes de que las obras de ampliación lleguen hasta la zona donde se tiene considerada la interconexión. Sobre el costo de esta obra vial, la alcaldesa señaló que aún no existe como una cifra, lo que estaría dependiendo también del análisis del proyecto listo, para ser presentado ante autoridades federales, García Cáceres dijo, pues conocer que las actuales obras de ampliación y modernización también de la autopista México Tuxpan dentro de la región Tulancingo tienen como tal avance adelantado a lo que se ha tenido considerado también las metas. Esta obra está a cargo de la Secretaría de Infraestructura, Comunicaciones y Transportes, con el objetivo de atender la modernización y la ampliación también vial hasta la Sierra Norte de Puebla. La alcaldesa de Tulancingo señaló que tanto las actuales obras como la eventual interconexión hacia el valle pues sería de las más importantes realizadas en el periodo eh de su gobierno municipal.</t>
  </si>
  <si>
    <t>Andrés Torres menciona que Los Hijos del Pueblo han presentado un listado de posibles candidatos a diputaciones federales de Morena en varios distritos. Para el Distrito 1, se mencionan a Alfredo San Román Duval, actual presidente municipal de Huejutla, y Maricarmen Mandujano, subsecretaria de Educación originaria de Huejutla. En el Distrito 2, que pertenece a Ixmiquilpan, están Emanuel Hernández, el alcalde actual, y la diputada Lisset Marcelino. Se señala que Emanuel ha expresado su deseo de ser candidato, pero Lisset representa a un grupo fuerte dentro de Morena, lo que complica las cosas para él. En el Distrito 3, que es Actopan, se manejan como posibles candidatos a Israel Félix y Tatiana Ángeles Moreno, quien ha mostrado interés en ser candidata a la gubernatura. Israel Félix ha estado trabajando con Morena por un tiempo y ya ha realizado varios eventos en este distrito. Para Tulancingo, en el Distrito 4, se mencionan a Damián Sosa Castelán y Dora Luz Castelán, quien es prima de Sosa Castelán y ha sido diputada local y ha buscado la presidencia municipal de Acaxochitlán. El Distrito 5, correspondiente a Tula, podría tener como candidatos a Miguel Ángel Tello, actual Secretario de Planeación, y Tania Porras. El Distrito 6, que pertenece a Pachuca, tiene como posibles candidatos a Rebeca Aladro Echeverría y Jorge Reyes, el actual alcalde, quien se encuentra bien posicionado en las encuestas. Se discute la situación de Rebeca, quien ha tenido dificultades en subir en las encuestas. Para el Distrito 7, que es Tepeapulco, se mencionan a Susana Ángeles y Sinuhé Ramírez, actual alcalde de Zempoala. Se señala que Susana tiene una buena relación con la presidenta Claudia Sheinbaum, mientras que se duda de las posibilidades de Sinuhé, quien ha perdido el peso político que alguna vez tuvo y no aceptó una candidatura en el pasado. Andrés Torres concluye comentando que el ambiente político está caliente, y que pronto se dará a conocer la lista de los coordinadores electorales en los distritos federales de Hidalgo, seguida por los coordinadores municipales y luego los candidatos a diputaciones locales.</t>
  </si>
  <si>
    <t>Carmen Sosa Cravioto fue detenida en el aeropuerto Francisco Gabrielli en Mendoza, Argentina, cuando intentaba viajar hacia Chile. Tenía una ficha roja de la Interpol emitida a petición de la Fiscalía General de la República (FGR) de México por el delito de operaciones con recursos de procedencia ilícita. Un juez argentino le otorgó prisión domiciliaria mientras se tramita su proceso de extradición a México. Andrés Torres explica que se enteró del caso tras ser contactado por una abogada en Argentina para localizar a los abogados de la familia en México.</t>
  </si>
  <si>
    <t>Clausuran túnel y cinco tomas clandestinas para sustracción de hidrocarburo</t>
  </si>
  <si>
    <t>Coordinación entre estados, respuesta clara y contundente para la paz y seguridad: Julio Menchaca</t>
  </si>
  <si>
    <t>Coordinación interestatal</t>
  </si>
  <si>
    <t>El cuerpo sin vida de un hombre, envuelto en plástico, fue localizado en una zona despoblada situada en los límites territoriales entre los municipios de Pachuca y San Agustín Tlaxiaca. De acuerdo con reportes de la policía estatal, el hallazgo se derivó de una llamada de emergencia anónima que alertó a las corporaciones de seguridad sobre la presencia de un bulto con características sospechosas. Tras el aviso, elementos de la policía municipal se trasladaron al lugar de los hechos para corroborar el reporte. Al arribar al lugar, los oficiales localizaron este cuerpo dentro de bolsas de plástico. El lugar fue acordonado para que elementos de la Procuraduría General de Justicia e inicie la carpeta de investigación correspondiente.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</si>
</sst>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0" tableType="queryTable" totalsRowShown="0">
  <autoFilter ref="A1:M11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0"/>
  <sheetViews>
    <sheetView tabSelected="1" topLeftCell="A11" workbookViewId="0">
      <selection activeCell="C18" sqref="C18"/>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4.42578125" bestFit="1" customWidth="1"/>
    <col min="8" max="8" width="12.42578125" bestFit="1" customWidth="1"/>
    <col min="9" max="9" width="11.140625" bestFit="1" customWidth="1"/>
    <col min="10" max="10" width="25.7109375" bestFit="1" customWidth="1"/>
    <col min="11" max="11" width="31" bestFit="1" customWidth="1"/>
    <col min="12" max="12" width="21.42578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46293</v>
      </c>
      <c r="B2" s="1" t="str">
        <f ca="1">IF(Información1[[#This Row],[Fecha]]='Ajuste de fechas'!$A$2,"Día actual","Día anterior")</f>
        <v>Día anterior</v>
      </c>
      <c r="C2" t="s">
        <v>86</v>
      </c>
      <c r="D2" t="s">
        <v>87</v>
      </c>
      <c r="E2" t="s">
        <v>88</v>
      </c>
      <c r="F2" t="s">
        <v>89</v>
      </c>
      <c r="G2" t="s">
        <v>90</v>
      </c>
      <c r="H2" t="s">
        <v>91</v>
      </c>
      <c r="I2" t="s">
        <v>7</v>
      </c>
      <c r="J2" t="s">
        <v>92</v>
      </c>
      <c r="K2" t="s">
        <v>93</v>
      </c>
      <c r="L2" t="s">
        <v>32</v>
      </c>
      <c r="M2">
        <v>1</v>
      </c>
    </row>
    <row r="3" spans="1:13" x14ac:dyDescent="0.25">
      <c r="A3" s="2">
        <v>46293</v>
      </c>
      <c r="B3" s="1" t="str">
        <f ca="1">IF(Información1[[#This Row],[Fecha]]='Ajuste de fechas'!$A$2,"Día actual","Día anterior")</f>
        <v>Día anterior</v>
      </c>
      <c r="C3" t="s">
        <v>86</v>
      </c>
      <c r="D3" t="s">
        <v>87</v>
      </c>
      <c r="E3" t="s">
        <v>94</v>
      </c>
      <c r="F3" t="s">
        <v>17</v>
      </c>
      <c r="G3" t="s">
        <v>95</v>
      </c>
      <c r="H3" t="s">
        <v>91</v>
      </c>
      <c r="I3" t="s">
        <v>7</v>
      </c>
      <c r="J3" t="s">
        <v>30</v>
      </c>
      <c r="K3" t="s">
        <v>96</v>
      </c>
      <c r="L3" t="s">
        <v>33</v>
      </c>
      <c r="M3">
        <v>1</v>
      </c>
    </row>
    <row r="4" spans="1:13" x14ac:dyDescent="0.25">
      <c r="A4" s="2">
        <v>46293</v>
      </c>
      <c r="B4" s="1" t="str">
        <f ca="1">IF(Información1[[#This Row],[Fecha]]='Ajuste de fechas'!$A$2,"Día actual","Día anterior")</f>
        <v>Día anterior</v>
      </c>
      <c r="C4" t="s">
        <v>86</v>
      </c>
      <c r="D4" t="s">
        <v>87</v>
      </c>
      <c r="E4" t="s">
        <v>97</v>
      </c>
      <c r="F4" t="s">
        <v>20</v>
      </c>
      <c r="G4" t="s">
        <v>90</v>
      </c>
      <c r="H4" t="s">
        <v>91</v>
      </c>
      <c r="I4" t="s">
        <v>7</v>
      </c>
      <c r="J4" t="s">
        <v>20</v>
      </c>
      <c r="K4" t="s">
        <v>98</v>
      </c>
      <c r="L4" t="s">
        <v>31</v>
      </c>
      <c r="M4">
        <v>1</v>
      </c>
    </row>
    <row r="5" spans="1:13" x14ac:dyDescent="0.25">
      <c r="A5" s="2">
        <v>46293</v>
      </c>
      <c r="B5" s="1" t="str">
        <f ca="1">IF(Información1[[#This Row],[Fecha]]='Ajuste de fechas'!$A$2,"Día actual","Día anterior")</f>
        <v>Día anterior</v>
      </c>
      <c r="C5" t="s">
        <v>86</v>
      </c>
      <c r="D5" t="s">
        <v>87</v>
      </c>
      <c r="E5" t="s">
        <v>99</v>
      </c>
      <c r="F5" t="s">
        <v>18</v>
      </c>
      <c r="G5" t="s">
        <v>100</v>
      </c>
      <c r="H5" t="s">
        <v>91</v>
      </c>
      <c r="I5" t="s">
        <v>7</v>
      </c>
      <c r="J5" t="s">
        <v>35</v>
      </c>
      <c r="K5" t="s">
        <v>98</v>
      </c>
      <c r="L5" t="s">
        <v>31</v>
      </c>
      <c r="M5">
        <v>1</v>
      </c>
    </row>
    <row r="6" spans="1:13" x14ac:dyDescent="0.25">
      <c r="A6" s="2">
        <v>46293</v>
      </c>
      <c r="B6" s="1" t="str">
        <f ca="1">IF(Información1[[#This Row],[Fecha]]='Ajuste de fechas'!$A$2,"Día actual","Día anterior")</f>
        <v>Día anterior</v>
      </c>
      <c r="C6" t="s">
        <v>86</v>
      </c>
      <c r="D6" t="s">
        <v>87</v>
      </c>
      <c r="E6" t="s">
        <v>101</v>
      </c>
      <c r="F6" t="s">
        <v>15</v>
      </c>
      <c r="G6" t="s">
        <v>102</v>
      </c>
      <c r="H6" t="s">
        <v>91</v>
      </c>
      <c r="I6" t="s">
        <v>21</v>
      </c>
      <c r="J6" t="s">
        <v>34</v>
      </c>
      <c r="K6" t="s">
        <v>98</v>
      </c>
      <c r="L6" t="s">
        <v>32</v>
      </c>
      <c r="M6">
        <v>1</v>
      </c>
    </row>
    <row r="7" spans="1:13" x14ac:dyDescent="0.25">
      <c r="A7" s="2">
        <v>46293</v>
      </c>
      <c r="B7" s="1" t="str">
        <f ca="1">IF(Información1[[#This Row],[Fecha]]='Ajuste de fechas'!$A$2,"Día actual","Día anterior")</f>
        <v>Día anterior</v>
      </c>
      <c r="C7" t="s">
        <v>86</v>
      </c>
      <c r="D7" t="s">
        <v>87</v>
      </c>
      <c r="E7" t="s">
        <v>103</v>
      </c>
      <c r="F7" t="s">
        <v>13</v>
      </c>
      <c r="G7" t="s">
        <v>104</v>
      </c>
      <c r="H7" t="s">
        <v>91</v>
      </c>
      <c r="I7" t="s">
        <v>21</v>
      </c>
      <c r="J7" t="s">
        <v>30</v>
      </c>
      <c r="K7" t="s">
        <v>98</v>
      </c>
      <c r="L7" t="s">
        <v>31</v>
      </c>
      <c r="M7">
        <v>1</v>
      </c>
    </row>
    <row r="8" spans="1:13" x14ac:dyDescent="0.25">
      <c r="A8" s="2">
        <v>46293</v>
      </c>
      <c r="B8" s="1" t="str">
        <f ca="1">IF(Información1[[#This Row],[Fecha]]='Ajuste de fechas'!$A$2,"Día actual","Día anterior")</f>
        <v>Día anterior</v>
      </c>
      <c r="C8" t="s">
        <v>86</v>
      </c>
      <c r="D8" t="s">
        <v>87</v>
      </c>
      <c r="E8" t="s">
        <v>105</v>
      </c>
      <c r="F8" t="s">
        <v>18</v>
      </c>
      <c r="G8" t="s">
        <v>106</v>
      </c>
      <c r="H8" t="s">
        <v>91</v>
      </c>
      <c r="I8" t="s">
        <v>7</v>
      </c>
      <c r="J8" t="s">
        <v>35</v>
      </c>
      <c r="K8" t="s">
        <v>98</v>
      </c>
      <c r="L8" t="s">
        <v>31</v>
      </c>
      <c r="M8">
        <v>1</v>
      </c>
    </row>
    <row r="9" spans="1:13" x14ac:dyDescent="0.25">
      <c r="A9" s="2">
        <v>46293</v>
      </c>
      <c r="B9" s="1" t="str">
        <f ca="1">IF(Información1[[#This Row],[Fecha]]='Ajuste de fechas'!$A$2,"Día actual","Día anterior")</f>
        <v>Día anterior</v>
      </c>
      <c r="C9" t="s">
        <v>86</v>
      </c>
      <c r="D9" t="s">
        <v>87</v>
      </c>
      <c r="E9" t="s">
        <v>107</v>
      </c>
      <c r="F9" t="s">
        <v>15</v>
      </c>
      <c r="G9" t="s">
        <v>108</v>
      </c>
      <c r="H9" t="s">
        <v>91</v>
      </c>
      <c r="I9" t="s">
        <v>7</v>
      </c>
      <c r="J9" t="s">
        <v>34</v>
      </c>
      <c r="K9" t="s">
        <v>96</v>
      </c>
      <c r="L9" t="s">
        <v>31</v>
      </c>
      <c r="M9">
        <v>1</v>
      </c>
    </row>
    <row r="10" spans="1:13" x14ac:dyDescent="0.25">
      <c r="A10" s="2">
        <v>46293</v>
      </c>
      <c r="B10" s="1" t="str">
        <f ca="1">IF(Información1[[#This Row],[Fecha]]='Ajuste de fechas'!$A$2,"Día actual","Día anterior")</f>
        <v>Día anterior</v>
      </c>
      <c r="C10" t="s">
        <v>86</v>
      </c>
      <c r="D10" t="s">
        <v>87</v>
      </c>
      <c r="E10" t="s">
        <v>109</v>
      </c>
      <c r="F10" t="s">
        <v>20</v>
      </c>
      <c r="G10" t="s">
        <v>110</v>
      </c>
      <c r="H10" t="s">
        <v>91</v>
      </c>
      <c r="I10" t="s">
        <v>7</v>
      </c>
      <c r="J10" t="s">
        <v>20</v>
      </c>
      <c r="K10" t="s">
        <v>98</v>
      </c>
      <c r="L10" t="s">
        <v>31</v>
      </c>
      <c r="M10">
        <v>1</v>
      </c>
    </row>
    <row r="11" spans="1:13" x14ac:dyDescent="0.25">
      <c r="A11" s="2">
        <v>46293</v>
      </c>
      <c r="B11" s="1" t="str">
        <f ca="1">IF(Información1[[#This Row],[Fecha]]='Ajuste de fechas'!$A$2,"Día actual","Día anterior")</f>
        <v>Día anterior</v>
      </c>
      <c r="C11" t="s">
        <v>86</v>
      </c>
      <c r="D11" t="s">
        <v>87</v>
      </c>
      <c r="E11" t="s">
        <v>111</v>
      </c>
      <c r="F11" t="s">
        <v>89</v>
      </c>
      <c r="G11" t="s">
        <v>112</v>
      </c>
      <c r="H11" t="s">
        <v>91</v>
      </c>
      <c r="I11" t="s">
        <v>7</v>
      </c>
      <c r="J11" t="s">
        <v>92</v>
      </c>
      <c r="K11" t="s">
        <v>98</v>
      </c>
      <c r="L11" t="s">
        <v>31</v>
      </c>
      <c r="M11">
        <v>1</v>
      </c>
    </row>
    <row r="12" spans="1:13" x14ac:dyDescent="0.25">
      <c r="A12" s="2">
        <v>46293</v>
      </c>
      <c r="B12" s="1" t="str">
        <f ca="1">IF(Información1[[#This Row],[Fecha]]='Ajuste de fechas'!$A$2,"Día actual","Día anterior")</f>
        <v>Día anterior</v>
      </c>
      <c r="C12" t="s">
        <v>86</v>
      </c>
      <c r="D12" t="s">
        <v>87</v>
      </c>
      <c r="E12" t="s">
        <v>113</v>
      </c>
      <c r="F12" t="s">
        <v>89</v>
      </c>
      <c r="G12" t="s">
        <v>114</v>
      </c>
      <c r="H12" t="s">
        <v>91</v>
      </c>
      <c r="I12" t="s">
        <v>7</v>
      </c>
      <c r="J12" t="s">
        <v>92</v>
      </c>
      <c r="K12" t="s">
        <v>98</v>
      </c>
      <c r="L12" t="s">
        <v>31</v>
      </c>
      <c r="M12">
        <v>1</v>
      </c>
    </row>
    <row r="13" spans="1:13" x14ac:dyDescent="0.25">
      <c r="A13" s="2">
        <v>46293</v>
      </c>
      <c r="B13" s="1" t="str">
        <f ca="1">IF(Información1[[#This Row],[Fecha]]='Ajuste de fechas'!$A$2,"Día actual","Día anterior")</f>
        <v>Día anterior</v>
      </c>
      <c r="C13" t="s">
        <v>86</v>
      </c>
      <c r="D13" t="s">
        <v>87</v>
      </c>
      <c r="E13" t="s">
        <v>115</v>
      </c>
      <c r="F13" t="s">
        <v>13</v>
      </c>
      <c r="G13" t="s">
        <v>116</v>
      </c>
      <c r="H13" t="s">
        <v>91</v>
      </c>
      <c r="I13" t="s">
        <v>21</v>
      </c>
      <c r="J13" t="s">
        <v>30</v>
      </c>
      <c r="K13" t="s">
        <v>98</v>
      </c>
      <c r="L13" t="s">
        <v>31</v>
      </c>
      <c r="M13">
        <v>1</v>
      </c>
    </row>
    <row r="14" spans="1:13" x14ac:dyDescent="0.25">
      <c r="A14" s="2">
        <v>46293</v>
      </c>
      <c r="B14" s="1" t="str">
        <f ca="1">IF(Información1[[#This Row],[Fecha]]='Ajuste de fechas'!$A$2,"Día actual","Día anterior")</f>
        <v>Día anterior</v>
      </c>
      <c r="C14" t="s">
        <v>86</v>
      </c>
      <c r="D14" t="s">
        <v>87</v>
      </c>
      <c r="E14" t="s">
        <v>117</v>
      </c>
      <c r="F14" t="s">
        <v>45</v>
      </c>
      <c r="G14" t="s">
        <v>84</v>
      </c>
      <c r="H14" t="s">
        <v>91</v>
      </c>
      <c r="I14" t="s">
        <v>7</v>
      </c>
      <c r="J14" t="s">
        <v>30</v>
      </c>
      <c r="K14" t="s">
        <v>98</v>
      </c>
      <c r="L14" t="s">
        <v>31</v>
      </c>
      <c r="M14">
        <v>1</v>
      </c>
    </row>
    <row r="15" spans="1:13" x14ac:dyDescent="0.25">
      <c r="A15" s="2">
        <v>46293</v>
      </c>
      <c r="B15" s="1" t="str">
        <f ca="1">IF(Información1[[#This Row],[Fecha]]='Ajuste de fechas'!$A$2,"Día actual","Día anterior")</f>
        <v>Día anterior</v>
      </c>
      <c r="C15" t="s">
        <v>86</v>
      </c>
      <c r="D15" t="s">
        <v>87</v>
      </c>
      <c r="E15" t="s">
        <v>118</v>
      </c>
      <c r="F15" t="s">
        <v>22</v>
      </c>
      <c r="G15" t="s">
        <v>65</v>
      </c>
      <c r="H15" t="s">
        <v>91</v>
      </c>
      <c r="I15" t="s">
        <v>10</v>
      </c>
      <c r="J15" t="s">
        <v>30</v>
      </c>
      <c r="K15" t="s">
        <v>98</v>
      </c>
      <c r="L15" t="s">
        <v>31</v>
      </c>
      <c r="M15">
        <v>1</v>
      </c>
    </row>
    <row r="16" spans="1:13" x14ac:dyDescent="0.25">
      <c r="A16" s="2">
        <v>46293</v>
      </c>
      <c r="B16" s="1" t="str">
        <f ca="1">IF(Información1[[#This Row],[Fecha]]='Ajuste de fechas'!$A$2,"Día actual","Día anterior")</f>
        <v>Día anterior</v>
      </c>
      <c r="C16" t="s">
        <v>119</v>
      </c>
      <c r="D16" t="s">
        <v>120</v>
      </c>
      <c r="E16" t="s">
        <v>121</v>
      </c>
      <c r="F16" t="s">
        <v>15</v>
      </c>
      <c r="G16" t="s">
        <v>76</v>
      </c>
      <c r="H16" t="s">
        <v>46</v>
      </c>
      <c r="I16" t="s">
        <v>7</v>
      </c>
      <c r="J16" t="s">
        <v>34</v>
      </c>
      <c r="K16" t="s">
        <v>122</v>
      </c>
      <c r="L16" t="s">
        <v>31</v>
      </c>
      <c r="M16">
        <v>1</v>
      </c>
    </row>
    <row r="17" spans="1:13" x14ac:dyDescent="0.25">
      <c r="A17" s="2">
        <v>46293</v>
      </c>
      <c r="B17" s="1" t="str">
        <f ca="1">IF(Información1[[#This Row],[Fecha]]='Ajuste de fechas'!$A$2,"Día actual","Día anterior")</f>
        <v>Día anterior</v>
      </c>
      <c r="C17" t="s">
        <v>119</v>
      </c>
      <c r="D17" t="s">
        <v>120</v>
      </c>
      <c r="E17" t="s">
        <v>123</v>
      </c>
      <c r="F17" t="s">
        <v>18</v>
      </c>
      <c r="G17" t="s">
        <v>85</v>
      </c>
      <c r="H17" t="s">
        <v>46</v>
      </c>
      <c r="I17" t="s">
        <v>21</v>
      </c>
      <c r="J17" t="s">
        <v>35</v>
      </c>
      <c r="K17" t="s">
        <v>122</v>
      </c>
      <c r="L17" t="s">
        <v>31</v>
      </c>
      <c r="M17">
        <v>1</v>
      </c>
    </row>
    <row r="18" spans="1:13" x14ac:dyDescent="0.25">
      <c r="A18" s="2">
        <v>46293</v>
      </c>
      <c r="B18" s="1" t="str">
        <f ca="1">IF(Información1[[#This Row],[Fecha]]='Ajuste de fechas'!$A$2,"Día actual","Día anterior")</f>
        <v>Día anterior</v>
      </c>
      <c r="C18" t="s">
        <v>119</v>
      </c>
      <c r="D18" t="s">
        <v>120</v>
      </c>
      <c r="E18" t="s">
        <v>124</v>
      </c>
      <c r="F18" t="s">
        <v>54</v>
      </c>
      <c r="G18" t="s">
        <v>67</v>
      </c>
      <c r="H18" t="s">
        <v>46</v>
      </c>
      <c r="I18" t="s">
        <v>7</v>
      </c>
      <c r="J18" t="s">
        <v>30</v>
      </c>
      <c r="K18" t="s">
        <v>122</v>
      </c>
      <c r="L18" t="s">
        <v>31</v>
      </c>
      <c r="M18">
        <v>1</v>
      </c>
    </row>
    <row r="19" spans="1:13" x14ac:dyDescent="0.25">
      <c r="A19" s="2">
        <v>46293</v>
      </c>
      <c r="B19" s="1" t="str">
        <f ca="1">IF(Información1[[#This Row],[Fecha]]='Ajuste de fechas'!$A$2,"Día actual","Día anterior")</f>
        <v>Día anterior</v>
      </c>
      <c r="C19" t="s">
        <v>119</v>
      </c>
      <c r="D19" t="s">
        <v>120</v>
      </c>
      <c r="E19" t="s">
        <v>125</v>
      </c>
      <c r="F19" t="s">
        <v>15</v>
      </c>
      <c r="G19" t="s">
        <v>126</v>
      </c>
      <c r="H19" t="s">
        <v>46</v>
      </c>
      <c r="I19" t="s">
        <v>7</v>
      </c>
      <c r="J19" t="s">
        <v>34</v>
      </c>
      <c r="K19" t="s">
        <v>127</v>
      </c>
      <c r="L19" t="s">
        <v>31</v>
      </c>
      <c r="M19">
        <v>1</v>
      </c>
    </row>
    <row r="20" spans="1:13" x14ac:dyDescent="0.25">
      <c r="A20" s="2">
        <v>46293</v>
      </c>
      <c r="B20" s="1" t="str">
        <f ca="1">IF(Información1[[#This Row],[Fecha]]='Ajuste de fechas'!$A$2,"Día actual","Día anterior")</f>
        <v>Día anterior</v>
      </c>
      <c r="C20" t="s">
        <v>119</v>
      </c>
      <c r="D20" t="s">
        <v>120</v>
      </c>
      <c r="E20" t="s">
        <v>128</v>
      </c>
      <c r="F20" t="s">
        <v>62</v>
      </c>
      <c r="G20" t="s">
        <v>129</v>
      </c>
      <c r="H20" t="s">
        <v>46</v>
      </c>
      <c r="I20" t="s">
        <v>7</v>
      </c>
      <c r="J20" t="s">
        <v>30</v>
      </c>
      <c r="K20" t="s">
        <v>122</v>
      </c>
      <c r="L20" t="s">
        <v>33</v>
      </c>
      <c r="M20">
        <v>1</v>
      </c>
    </row>
    <row r="21" spans="1:13" x14ac:dyDescent="0.25">
      <c r="A21" s="2">
        <v>46293</v>
      </c>
      <c r="B21" s="1" t="str">
        <f ca="1">IF(Información1[[#This Row],[Fecha]]='Ajuste de fechas'!$A$2,"Día actual","Día anterior")</f>
        <v>Día anterior</v>
      </c>
      <c r="C21" t="s">
        <v>119</v>
      </c>
      <c r="D21" t="s">
        <v>120</v>
      </c>
      <c r="E21" t="s">
        <v>130</v>
      </c>
      <c r="F21" t="s">
        <v>18</v>
      </c>
      <c r="G21" t="s">
        <v>131</v>
      </c>
      <c r="H21" t="s">
        <v>46</v>
      </c>
      <c r="I21" t="s">
        <v>21</v>
      </c>
      <c r="J21" t="s">
        <v>35</v>
      </c>
      <c r="K21" t="s">
        <v>122</v>
      </c>
      <c r="L21" t="s">
        <v>31</v>
      </c>
      <c r="M21">
        <v>1</v>
      </c>
    </row>
    <row r="22" spans="1:13" x14ac:dyDescent="0.25">
      <c r="A22" s="2">
        <v>46293</v>
      </c>
      <c r="B22" s="1" t="str">
        <f ca="1">IF(Información1[[#This Row],[Fecha]]='Ajuste de fechas'!$A$2,"Día actual","Día anterior")</f>
        <v>Día anterior</v>
      </c>
      <c r="C22" t="s">
        <v>119</v>
      </c>
      <c r="D22" t="s">
        <v>120</v>
      </c>
      <c r="E22" t="s">
        <v>132</v>
      </c>
      <c r="F22" t="s">
        <v>78</v>
      </c>
      <c r="G22" t="s">
        <v>79</v>
      </c>
      <c r="H22" t="s">
        <v>46</v>
      </c>
      <c r="I22" t="s">
        <v>7</v>
      </c>
      <c r="J22" t="s">
        <v>30</v>
      </c>
      <c r="K22" t="s">
        <v>122</v>
      </c>
      <c r="L22" t="s">
        <v>31</v>
      </c>
      <c r="M22">
        <v>1</v>
      </c>
    </row>
    <row r="23" spans="1:13" x14ac:dyDescent="0.25">
      <c r="A23" s="2">
        <v>46293</v>
      </c>
      <c r="B23" s="1" t="str">
        <f ca="1">IF(Información1[[#This Row],[Fecha]]='Ajuste de fechas'!$A$2,"Día actual","Día anterior")</f>
        <v>Día anterior</v>
      </c>
      <c r="C23" t="s">
        <v>119</v>
      </c>
      <c r="D23" t="s">
        <v>120</v>
      </c>
      <c r="E23" t="s">
        <v>133</v>
      </c>
      <c r="F23" t="s">
        <v>17</v>
      </c>
      <c r="G23" t="s">
        <v>134</v>
      </c>
      <c r="H23" t="s">
        <v>46</v>
      </c>
      <c r="I23" t="s">
        <v>7</v>
      </c>
      <c r="J23" t="s">
        <v>30</v>
      </c>
      <c r="K23" t="s">
        <v>122</v>
      </c>
      <c r="L23" t="s">
        <v>33</v>
      </c>
      <c r="M23">
        <v>1</v>
      </c>
    </row>
    <row r="24" spans="1:13" x14ac:dyDescent="0.25">
      <c r="A24" s="2">
        <v>46293</v>
      </c>
      <c r="B24" s="1" t="str">
        <f ca="1">IF(Información1[[#This Row],[Fecha]]='Ajuste de fechas'!$A$2,"Día actual","Día anterior")</f>
        <v>Día anterior</v>
      </c>
      <c r="C24" t="s">
        <v>119</v>
      </c>
      <c r="D24" t="s">
        <v>120</v>
      </c>
      <c r="E24" t="s">
        <v>135</v>
      </c>
      <c r="F24" t="s">
        <v>15</v>
      </c>
      <c r="G24" t="s">
        <v>136</v>
      </c>
      <c r="H24" t="s">
        <v>46</v>
      </c>
      <c r="I24" t="s">
        <v>7</v>
      </c>
      <c r="J24" t="s">
        <v>34</v>
      </c>
      <c r="K24" t="s">
        <v>122</v>
      </c>
      <c r="L24" t="s">
        <v>31</v>
      </c>
      <c r="M24">
        <v>1</v>
      </c>
    </row>
    <row r="25" spans="1:13" x14ac:dyDescent="0.25">
      <c r="A25" s="2">
        <v>46293</v>
      </c>
      <c r="B25" s="1" t="str">
        <f ca="1">IF(Información1[[#This Row],[Fecha]]='Ajuste de fechas'!$A$2,"Día actual","Día anterior")</f>
        <v>Día anterior</v>
      </c>
      <c r="C25" t="s">
        <v>119</v>
      </c>
      <c r="D25" t="s">
        <v>120</v>
      </c>
      <c r="E25" t="s">
        <v>137</v>
      </c>
      <c r="F25" t="s">
        <v>18</v>
      </c>
      <c r="G25" t="s">
        <v>138</v>
      </c>
      <c r="H25" t="s">
        <v>46</v>
      </c>
      <c r="I25" t="s">
        <v>7</v>
      </c>
      <c r="J25" t="s">
        <v>35</v>
      </c>
      <c r="K25" t="s">
        <v>122</v>
      </c>
      <c r="L25" t="s">
        <v>31</v>
      </c>
      <c r="M25">
        <v>1</v>
      </c>
    </row>
    <row r="26" spans="1:13" x14ac:dyDescent="0.25">
      <c r="A26" s="2">
        <v>46293</v>
      </c>
      <c r="B26" s="1" t="str">
        <f ca="1">IF(Información1[[#This Row],[Fecha]]='Ajuste de fechas'!$A$2,"Día actual","Día anterior")</f>
        <v>Día anterior</v>
      </c>
      <c r="C26" t="s">
        <v>119</v>
      </c>
      <c r="D26" t="s">
        <v>120</v>
      </c>
      <c r="E26" t="s">
        <v>139</v>
      </c>
      <c r="F26" t="s">
        <v>15</v>
      </c>
      <c r="G26" t="s">
        <v>140</v>
      </c>
      <c r="H26" t="s">
        <v>46</v>
      </c>
      <c r="I26" t="s">
        <v>7</v>
      </c>
      <c r="J26" t="s">
        <v>34</v>
      </c>
      <c r="K26" t="s">
        <v>122</v>
      </c>
      <c r="L26" t="s">
        <v>31</v>
      </c>
      <c r="M26">
        <v>1</v>
      </c>
    </row>
    <row r="27" spans="1:13" x14ac:dyDescent="0.25">
      <c r="A27" s="2">
        <v>46293</v>
      </c>
      <c r="B27" s="1" t="str">
        <f ca="1">IF(Información1[[#This Row],[Fecha]]='Ajuste de fechas'!$A$2,"Día actual","Día anterior")</f>
        <v>Día anterior</v>
      </c>
      <c r="C27" t="s">
        <v>119</v>
      </c>
      <c r="D27" t="s">
        <v>120</v>
      </c>
      <c r="E27" t="s">
        <v>141</v>
      </c>
      <c r="F27" t="s">
        <v>18</v>
      </c>
      <c r="G27" t="s">
        <v>82</v>
      </c>
      <c r="H27" t="s">
        <v>46</v>
      </c>
      <c r="I27" t="s">
        <v>7</v>
      </c>
      <c r="J27" t="s">
        <v>35</v>
      </c>
      <c r="K27" t="s">
        <v>122</v>
      </c>
      <c r="L27" t="s">
        <v>31</v>
      </c>
      <c r="M27">
        <v>1</v>
      </c>
    </row>
    <row r="28" spans="1:13" x14ac:dyDescent="0.25">
      <c r="A28" s="2">
        <v>46293</v>
      </c>
      <c r="B28" s="1" t="str">
        <f ca="1">IF(Información1[[#This Row],[Fecha]]='Ajuste de fechas'!$A$2,"Día actual","Día anterior")</f>
        <v>Día anterior</v>
      </c>
      <c r="C28" t="s">
        <v>142</v>
      </c>
      <c r="D28" t="s">
        <v>143</v>
      </c>
      <c r="E28" t="s">
        <v>144</v>
      </c>
      <c r="F28" t="s">
        <v>22</v>
      </c>
      <c r="G28" t="s">
        <v>65</v>
      </c>
      <c r="H28" t="s">
        <v>46</v>
      </c>
      <c r="I28" t="s">
        <v>7</v>
      </c>
      <c r="J28" t="s">
        <v>30</v>
      </c>
      <c r="K28" t="s">
        <v>145</v>
      </c>
      <c r="L28" t="s">
        <v>31</v>
      </c>
      <c r="M28">
        <v>1</v>
      </c>
    </row>
    <row r="29" spans="1:13" x14ac:dyDescent="0.25">
      <c r="A29" s="2">
        <v>46293</v>
      </c>
      <c r="B29" s="1" t="str">
        <f ca="1">IF(Información1[[#This Row],[Fecha]]='Ajuste de fechas'!$A$2,"Día actual","Día anterior")</f>
        <v>Día anterior</v>
      </c>
      <c r="C29" t="s">
        <v>51</v>
      </c>
      <c r="D29" t="s">
        <v>52</v>
      </c>
      <c r="E29" t="s">
        <v>146</v>
      </c>
      <c r="F29" t="s">
        <v>13</v>
      </c>
      <c r="G29" t="s">
        <v>63</v>
      </c>
      <c r="H29" t="s">
        <v>46</v>
      </c>
      <c r="I29" t="s">
        <v>7</v>
      </c>
      <c r="J29" t="s">
        <v>30</v>
      </c>
      <c r="K29" t="s">
        <v>53</v>
      </c>
      <c r="L29" t="s">
        <v>31</v>
      </c>
      <c r="M29">
        <v>1</v>
      </c>
    </row>
    <row r="30" spans="1:13" x14ac:dyDescent="0.25">
      <c r="A30" s="2">
        <v>46293</v>
      </c>
      <c r="B30" s="1" t="str">
        <f ca="1">IF(Información1[[#This Row],[Fecha]]='Ajuste de fechas'!$A$2,"Día actual","Día anterior")</f>
        <v>Día anterior</v>
      </c>
      <c r="C30" t="s">
        <v>51</v>
      </c>
      <c r="D30" t="s">
        <v>52</v>
      </c>
      <c r="E30" t="s">
        <v>147</v>
      </c>
      <c r="F30" t="s">
        <v>45</v>
      </c>
      <c r="G30" t="s">
        <v>148</v>
      </c>
      <c r="H30" t="s">
        <v>46</v>
      </c>
      <c r="I30" t="s">
        <v>7</v>
      </c>
      <c r="J30" t="s">
        <v>30</v>
      </c>
      <c r="K30" t="s">
        <v>53</v>
      </c>
      <c r="L30" t="s">
        <v>31</v>
      </c>
      <c r="M30">
        <v>1</v>
      </c>
    </row>
    <row r="31" spans="1:13" x14ac:dyDescent="0.25">
      <c r="A31" s="2">
        <v>46293</v>
      </c>
      <c r="B31" s="1" t="str">
        <f ca="1">IF(Información1[[#This Row],[Fecha]]='Ajuste de fechas'!$A$2,"Día actual","Día anterior")</f>
        <v>Día anterior</v>
      </c>
      <c r="C31" t="s">
        <v>51</v>
      </c>
      <c r="D31" t="s">
        <v>52</v>
      </c>
      <c r="E31" t="s">
        <v>149</v>
      </c>
      <c r="F31" t="s">
        <v>42</v>
      </c>
      <c r="G31" t="s">
        <v>150</v>
      </c>
      <c r="H31" t="s">
        <v>46</v>
      </c>
      <c r="I31" t="s">
        <v>7</v>
      </c>
      <c r="J31" t="s">
        <v>30</v>
      </c>
      <c r="K31" t="s">
        <v>53</v>
      </c>
      <c r="L31" t="s">
        <v>31</v>
      </c>
      <c r="M31">
        <v>1</v>
      </c>
    </row>
    <row r="32" spans="1:13" x14ac:dyDescent="0.25">
      <c r="A32" s="2">
        <v>46293</v>
      </c>
      <c r="B32" s="1" t="str">
        <f ca="1">IF(Información1[[#This Row],[Fecha]]='Ajuste de fechas'!$A$2,"Día actual","Día anterior")</f>
        <v>Día anterior</v>
      </c>
      <c r="C32" t="s">
        <v>51</v>
      </c>
      <c r="D32" t="s">
        <v>52</v>
      </c>
      <c r="E32" t="s">
        <v>151</v>
      </c>
      <c r="F32" t="s">
        <v>68</v>
      </c>
      <c r="G32" t="s">
        <v>152</v>
      </c>
      <c r="H32" t="s">
        <v>46</v>
      </c>
      <c r="I32" t="s">
        <v>7</v>
      </c>
      <c r="J32" t="s">
        <v>30</v>
      </c>
      <c r="K32" t="s">
        <v>53</v>
      </c>
      <c r="L32" t="s">
        <v>31</v>
      </c>
      <c r="M32">
        <v>1</v>
      </c>
    </row>
    <row r="33" spans="1:13" x14ac:dyDescent="0.25">
      <c r="A33" s="2">
        <v>46293</v>
      </c>
      <c r="B33" s="1" t="str">
        <f ca="1">IF(Información1[[#This Row],[Fecha]]='Ajuste de fechas'!$A$2,"Día actual","Día anterior")</f>
        <v>Día anterior</v>
      </c>
      <c r="C33" t="s">
        <v>51</v>
      </c>
      <c r="D33" t="s">
        <v>52</v>
      </c>
      <c r="E33" t="s">
        <v>153</v>
      </c>
      <c r="F33" t="s">
        <v>15</v>
      </c>
      <c r="G33" t="s">
        <v>67</v>
      </c>
      <c r="H33" t="s">
        <v>46</v>
      </c>
      <c r="I33" t="s">
        <v>7</v>
      </c>
      <c r="J33" t="s">
        <v>34</v>
      </c>
      <c r="K33" t="s">
        <v>53</v>
      </c>
      <c r="L33" t="s">
        <v>31</v>
      </c>
      <c r="M33">
        <v>1</v>
      </c>
    </row>
    <row r="34" spans="1:13" x14ac:dyDescent="0.25">
      <c r="A34" s="2">
        <v>46293</v>
      </c>
      <c r="B34" s="1" t="str">
        <f ca="1">IF(Información1[[#This Row],[Fecha]]='Ajuste de fechas'!$A$2,"Día actual","Día anterior")</f>
        <v>Día anterior</v>
      </c>
      <c r="C34" t="s">
        <v>51</v>
      </c>
      <c r="D34" t="s">
        <v>52</v>
      </c>
      <c r="E34" t="s">
        <v>154</v>
      </c>
      <c r="F34" t="s">
        <v>19</v>
      </c>
      <c r="G34" t="s">
        <v>81</v>
      </c>
      <c r="H34" t="s">
        <v>46</v>
      </c>
      <c r="I34" t="s">
        <v>7</v>
      </c>
      <c r="J34" t="s">
        <v>30</v>
      </c>
      <c r="K34" t="s">
        <v>53</v>
      </c>
      <c r="L34" t="s">
        <v>31</v>
      </c>
      <c r="M34">
        <v>1</v>
      </c>
    </row>
    <row r="35" spans="1:13" x14ac:dyDescent="0.25">
      <c r="A35" s="2">
        <v>46293</v>
      </c>
      <c r="B35" s="1" t="str">
        <f ca="1">IF(Información1[[#This Row],[Fecha]]='Ajuste de fechas'!$A$2,"Día actual","Día anterior")</f>
        <v>Día anterior</v>
      </c>
      <c r="C35" t="s">
        <v>51</v>
      </c>
      <c r="D35" t="s">
        <v>52</v>
      </c>
      <c r="E35" t="s">
        <v>155</v>
      </c>
      <c r="F35" t="s">
        <v>18</v>
      </c>
      <c r="G35" t="s">
        <v>81</v>
      </c>
      <c r="H35" t="s">
        <v>46</v>
      </c>
      <c r="I35" t="s">
        <v>7</v>
      </c>
      <c r="J35" t="s">
        <v>35</v>
      </c>
      <c r="K35" t="s">
        <v>53</v>
      </c>
      <c r="L35" t="s">
        <v>31</v>
      </c>
      <c r="M35">
        <v>1</v>
      </c>
    </row>
    <row r="36" spans="1:13" x14ac:dyDescent="0.25">
      <c r="A36" s="2">
        <v>46293</v>
      </c>
      <c r="B36" s="1" t="str">
        <f ca="1">IF(Información1[[#This Row],[Fecha]]='Ajuste de fechas'!$A$2,"Día actual","Día anterior")</f>
        <v>Día anterior</v>
      </c>
      <c r="C36" t="s">
        <v>51</v>
      </c>
      <c r="D36" t="s">
        <v>52</v>
      </c>
      <c r="E36" t="s">
        <v>156</v>
      </c>
      <c r="F36" t="s">
        <v>54</v>
      </c>
      <c r="G36" t="s">
        <v>71</v>
      </c>
      <c r="H36" t="s">
        <v>46</v>
      </c>
      <c r="I36" t="s">
        <v>7</v>
      </c>
      <c r="J36" t="s">
        <v>30</v>
      </c>
      <c r="K36" t="s">
        <v>53</v>
      </c>
      <c r="L36" t="s">
        <v>31</v>
      </c>
      <c r="M36">
        <v>1</v>
      </c>
    </row>
    <row r="37" spans="1:13" x14ac:dyDescent="0.25">
      <c r="A37" s="2">
        <v>46293</v>
      </c>
      <c r="B37" s="1" t="str">
        <f ca="1">IF(Información1[[#This Row],[Fecha]]='Ajuste de fechas'!$A$2,"Día actual","Día anterior")</f>
        <v>Día anterior</v>
      </c>
      <c r="C37" t="s">
        <v>51</v>
      </c>
      <c r="D37" t="s">
        <v>52</v>
      </c>
      <c r="E37" t="s">
        <v>157</v>
      </c>
      <c r="F37" t="s">
        <v>18</v>
      </c>
      <c r="G37" t="s">
        <v>158</v>
      </c>
      <c r="H37" t="s">
        <v>46</v>
      </c>
      <c r="I37" t="s">
        <v>21</v>
      </c>
      <c r="J37" t="s">
        <v>35</v>
      </c>
      <c r="K37" t="s">
        <v>53</v>
      </c>
      <c r="L37" t="s">
        <v>31</v>
      </c>
      <c r="M37">
        <v>1</v>
      </c>
    </row>
    <row r="38" spans="1:13" x14ac:dyDescent="0.25">
      <c r="A38" s="2">
        <v>46293</v>
      </c>
      <c r="B38" s="1" t="str">
        <f ca="1">IF(Información1[[#This Row],[Fecha]]='Ajuste de fechas'!$A$2,"Día actual","Día anterior")</f>
        <v>Día anterior</v>
      </c>
      <c r="C38" t="s">
        <v>51</v>
      </c>
      <c r="D38" t="s">
        <v>52</v>
      </c>
      <c r="E38" t="s">
        <v>159</v>
      </c>
      <c r="F38" t="s">
        <v>15</v>
      </c>
      <c r="G38" t="s">
        <v>160</v>
      </c>
      <c r="H38" t="s">
        <v>46</v>
      </c>
      <c r="I38" t="s">
        <v>7</v>
      </c>
      <c r="J38" t="s">
        <v>34</v>
      </c>
      <c r="K38" t="s">
        <v>53</v>
      </c>
      <c r="L38" t="s">
        <v>31</v>
      </c>
      <c r="M38">
        <v>1</v>
      </c>
    </row>
    <row r="39" spans="1:13" x14ac:dyDescent="0.25">
      <c r="A39" s="2">
        <v>46293</v>
      </c>
      <c r="B39" s="1" t="str">
        <f ca="1">IF(Información1[[#This Row],[Fecha]]='Ajuste de fechas'!$A$2,"Día actual","Día anterior")</f>
        <v>Día anterior</v>
      </c>
      <c r="C39" t="s">
        <v>51</v>
      </c>
      <c r="D39" t="s">
        <v>52</v>
      </c>
      <c r="E39" t="s">
        <v>161</v>
      </c>
      <c r="F39" t="s">
        <v>56</v>
      </c>
      <c r="G39" t="s">
        <v>162</v>
      </c>
      <c r="H39" t="s">
        <v>46</v>
      </c>
      <c r="I39" t="s">
        <v>7</v>
      </c>
      <c r="J39" t="s">
        <v>30</v>
      </c>
      <c r="K39" t="s">
        <v>53</v>
      </c>
      <c r="L39" t="s">
        <v>31</v>
      </c>
      <c r="M39">
        <v>1</v>
      </c>
    </row>
    <row r="40" spans="1:13" x14ac:dyDescent="0.25">
      <c r="A40" s="2">
        <v>46293</v>
      </c>
      <c r="B40" s="1" t="str">
        <f ca="1">IF(Información1[[#This Row],[Fecha]]='Ajuste de fechas'!$A$2,"Día actual","Día anterior")</f>
        <v>Día anterior</v>
      </c>
      <c r="C40" t="s">
        <v>51</v>
      </c>
      <c r="D40" t="s">
        <v>52</v>
      </c>
      <c r="E40" t="s">
        <v>163</v>
      </c>
      <c r="F40" t="s">
        <v>17</v>
      </c>
      <c r="G40" t="s">
        <v>95</v>
      </c>
      <c r="H40" t="s">
        <v>46</v>
      </c>
      <c r="I40" t="s">
        <v>7</v>
      </c>
      <c r="J40" t="s">
        <v>30</v>
      </c>
      <c r="K40" t="s">
        <v>53</v>
      </c>
      <c r="L40" t="s">
        <v>31</v>
      </c>
      <c r="M40">
        <v>1</v>
      </c>
    </row>
    <row r="41" spans="1:13" x14ac:dyDescent="0.25">
      <c r="A41" s="2">
        <v>46293</v>
      </c>
      <c r="B41" s="1" t="str">
        <f ca="1">IF(Información1[[#This Row],[Fecha]]='Ajuste de fechas'!$A$2,"Día actual","Día anterior")</f>
        <v>Día anterior</v>
      </c>
      <c r="C41" t="s">
        <v>51</v>
      </c>
      <c r="D41" t="s">
        <v>52</v>
      </c>
      <c r="E41" t="s">
        <v>164</v>
      </c>
      <c r="F41" t="s">
        <v>18</v>
      </c>
      <c r="G41" t="s">
        <v>165</v>
      </c>
      <c r="H41" t="s">
        <v>46</v>
      </c>
      <c r="I41" t="s">
        <v>7</v>
      </c>
      <c r="J41" t="s">
        <v>35</v>
      </c>
      <c r="K41" t="s">
        <v>53</v>
      </c>
      <c r="L41" t="s">
        <v>31</v>
      </c>
      <c r="M41">
        <v>1</v>
      </c>
    </row>
    <row r="42" spans="1:13" x14ac:dyDescent="0.25">
      <c r="A42" s="2">
        <v>46293</v>
      </c>
      <c r="B42" s="1" t="str">
        <f ca="1">IF(Información1[[#This Row],[Fecha]]='Ajuste de fechas'!$A$2,"Día actual","Día anterior")</f>
        <v>Día anterior</v>
      </c>
      <c r="C42" t="s">
        <v>51</v>
      </c>
      <c r="D42" t="s">
        <v>52</v>
      </c>
      <c r="E42" t="s">
        <v>166</v>
      </c>
      <c r="F42" t="s">
        <v>18</v>
      </c>
      <c r="G42" t="s">
        <v>69</v>
      </c>
      <c r="H42" t="s">
        <v>46</v>
      </c>
      <c r="I42" t="s">
        <v>7</v>
      </c>
      <c r="J42" t="s">
        <v>35</v>
      </c>
      <c r="K42" t="s">
        <v>53</v>
      </c>
      <c r="L42" t="s">
        <v>31</v>
      </c>
      <c r="M42">
        <v>1</v>
      </c>
    </row>
    <row r="43" spans="1:13" x14ac:dyDescent="0.25">
      <c r="A43" s="2">
        <v>46293</v>
      </c>
      <c r="B43" s="1" t="str">
        <f ca="1">IF(Información1[[#This Row],[Fecha]]='Ajuste de fechas'!$A$2,"Día actual","Día anterior")</f>
        <v>Día anterior</v>
      </c>
      <c r="C43" t="s">
        <v>51</v>
      </c>
      <c r="D43" t="s">
        <v>52</v>
      </c>
      <c r="E43" t="s">
        <v>167</v>
      </c>
      <c r="F43" t="s">
        <v>15</v>
      </c>
      <c r="G43" t="s">
        <v>168</v>
      </c>
      <c r="H43" t="s">
        <v>46</v>
      </c>
      <c r="I43" t="s">
        <v>7</v>
      </c>
      <c r="J43" t="s">
        <v>34</v>
      </c>
      <c r="K43" t="s">
        <v>53</v>
      </c>
      <c r="L43" t="s">
        <v>31</v>
      </c>
      <c r="M43">
        <v>1</v>
      </c>
    </row>
    <row r="44" spans="1:13" x14ac:dyDescent="0.25">
      <c r="A44" s="2">
        <v>46293</v>
      </c>
      <c r="B44" s="1" t="str">
        <f ca="1">IF(Información1[[#This Row],[Fecha]]='Ajuste de fechas'!$A$2,"Día actual","Día anterior")</f>
        <v>Día anterior</v>
      </c>
      <c r="C44" t="s">
        <v>51</v>
      </c>
      <c r="D44" t="s">
        <v>52</v>
      </c>
      <c r="E44" t="s">
        <v>169</v>
      </c>
      <c r="F44" t="s">
        <v>15</v>
      </c>
      <c r="G44" t="s">
        <v>170</v>
      </c>
      <c r="H44" t="s">
        <v>46</v>
      </c>
      <c r="I44" t="s">
        <v>7</v>
      </c>
      <c r="J44" t="s">
        <v>34</v>
      </c>
      <c r="K44" t="s">
        <v>53</v>
      </c>
      <c r="L44" t="s">
        <v>31</v>
      </c>
      <c r="M44">
        <v>1</v>
      </c>
    </row>
    <row r="45" spans="1:13" x14ac:dyDescent="0.25">
      <c r="A45" s="2">
        <v>46293</v>
      </c>
      <c r="B45" s="1" t="str">
        <f ca="1">IF(Información1[[#This Row],[Fecha]]='Ajuste de fechas'!$A$2,"Día actual","Día anterior")</f>
        <v>Día anterior</v>
      </c>
      <c r="C45" t="s">
        <v>51</v>
      </c>
      <c r="D45" t="s">
        <v>52</v>
      </c>
      <c r="E45" t="s">
        <v>171</v>
      </c>
      <c r="F45" t="s">
        <v>18</v>
      </c>
      <c r="G45" t="s">
        <v>172</v>
      </c>
      <c r="H45" t="s">
        <v>46</v>
      </c>
      <c r="I45" t="s">
        <v>7</v>
      </c>
      <c r="J45" t="s">
        <v>35</v>
      </c>
      <c r="K45" t="s">
        <v>53</v>
      </c>
      <c r="L45" t="s">
        <v>31</v>
      </c>
      <c r="M45">
        <v>1</v>
      </c>
    </row>
    <row r="46" spans="1:13" x14ac:dyDescent="0.25">
      <c r="A46" s="2">
        <v>46293</v>
      </c>
      <c r="B46" s="1" t="str">
        <f ca="1">IF(Información1[[#This Row],[Fecha]]='Ajuste de fechas'!$A$2,"Día actual","Día anterior")</f>
        <v>Día anterior</v>
      </c>
      <c r="C46" t="s">
        <v>51</v>
      </c>
      <c r="D46" t="s">
        <v>52</v>
      </c>
      <c r="E46" t="s">
        <v>173</v>
      </c>
      <c r="F46" t="s">
        <v>174</v>
      </c>
      <c r="G46" t="s">
        <v>77</v>
      </c>
      <c r="H46" t="s">
        <v>46</v>
      </c>
      <c r="I46" t="s">
        <v>7</v>
      </c>
      <c r="J46" t="s">
        <v>30</v>
      </c>
      <c r="K46" t="s">
        <v>53</v>
      </c>
      <c r="L46" t="s">
        <v>31</v>
      </c>
      <c r="M46">
        <v>1</v>
      </c>
    </row>
    <row r="47" spans="1:13" x14ac:dyDescent="0.25">
      <c r="A47" s="2">
        <v>46293</v>
      </c>
      <c r="B47" s="1" t="str">
        <f ca="1">IF(Información1[[#This Row],[Fecha]]='Ajuste de fechas'!$A$2,"Día actual","Día anterior")</f>
        <v>Día anterior</v>
      </c>
      <c r="C47" t="s">
        <v>51</v>
      </c>
      <c r="D47" t="s">
        <v>52</v>
      </c>
      <c r="E47" t="s">
        <v>175</v>
      </c>
      <c r="F47" t="s">
        <v>22</v>
      </c>
      <c r="G47" t="s">
        <v>65</v>
      </c>
      <c r="H47" t="s">
        <v>46</v>
      </c>
      <c r="I47" t="s">
        <v>7</v>
      </c>
      <c r="J47" t="s">
        <v>30</v>
      </c>
      <c r="K47" t="s">
        <v>53</v>
      </c>
      <c r="L47" t="s">
        <v>31</v>
      </c>
      <c r="M47">
        <v>1</v>
      </c>
    </row>
    <row r="48" spans="1:13" x14ac:dyDescent="0.25">
      <c r="A48" s="2">
        <v>46293</v>
      </c>
      <c r="B48" s="1" t="str">
        <f ca="1">IF(Información1[[#This Row],[Fecha]]='Ajuste de fechas'!$A$2,"Día actual","Día anterior")</f>
        <v>Día anterior</v>
      </c>
      <c r="C48" t="s">
        <v>8</v>
      </c>
      <c r="D48" t="s">
        <v>9</v>
      </c>
      <c r="E48" t="s">
        <v>176</v>
      </c>
      <c r="F48" t="s">
        <v>6</v>
      </c>
      <c r="G48" t="s">
        <v>64</v>
      </c>
      <c r="H48" t="s">
        <v>46</v>
      </c>
      <c r="I48" t="s">
        <v>21</v>
      </c>
      <c r="J48" t="s">
        <v>30</v>
      </c>
      <c r="K48" t="s">
        <v>11</v>
      </c>
      <c r="L48" t="s">
        <v>32</v>
      </c>
      <c r="M48">
        <v>1</v>
      </c>
    </row>
    <row r="49" spans="1:13" x14ac:dyDescent="0.25">
      <c r="A49" s="2">
        <v>46293</v>
      </c>
      <c r="B49" s="1" t="str">
        <f ca="1">IF(Información1[[#This Row],[Fecha]]='Ajuste de fechas'!$A$2,"Día actual","Día anterior")</f>
        <v>Día anterior</v>
      </c>
      <c r="C49" t="s">
        <v>8</v>
      </c>
      <c r="D49" t="s">
        <v>9</v>
      </c>
      <c r="E49" t="s">
        <v>177</v>
      </c>
      <c r="F49" t="s">
        <v>6</v>
      </c>
      <c r="G49" t="s">
        <v>57</v>
      </c>
      <c r="H49" t="s">
        <v>46</v>
      </c>
      <c r="I49" t="s">
        <v>21</v>
      </c>
      <c r="J49" t="s">
        <v>30</v>
      </c>
      <c r="K49" t="s">
        <v>59</v>
      </c>
      <c r="L49" t="s">
        <v>32</v>
      </c>
      <c r="M49">
        <v>1</v>
      </c>
    </row>
    <row r="50" spans="1:13" x14ac:dyDescent="0.25">
      <c r="A50" s="2">
        <v>46293</v>
      </c>
      <c r="B50" s="1" t="str">
        <f ca="1">IF(Información1[[#This Row],[Fecha]]='Ajuste de fechas'!$A$2,"Día actual","Día anterior")</f>
        <v>Día anterior</v>
      </c>
      <c r="C50" t="s">
        <v>8</v>
      </c>
      <c r="D50" t="s">
        <v>9</v>
      </c>
      <c r="E50" t="s">
        <v>178</v>
      </c>
      <c r="F50" t="s">
        <v>6</v>
      </c>
      <c r="G50" t="s">
        <v>80</v>
      </c>
      <c r="H50" t="s">
        <v>46</v>
      </c>
      <c r="I50" t="s">
        <v>21</v>
      </c>
      <c r="J50" t="s">
        <v>30</v>
      </c>
      <c r="K50" t="s">
        <v>59</v>
      </c>
      <c r="L50" t="s">
        <v>32</v>
      </c>
      <c r="M50">
        <v>1</v>
      </c>
    </row>
    <row r="51" spans="1:13" x14ac:dyDescent="0.25">
      <c r="A51" s="2">
        <v>46293</v>
      </c>
      <c r="B51" s="1" t="str">
        <f ca="1">IF(Información1[[#This Row],[Fecha]]='Ajuste de fechas'!$A$2,"Día actual","Día anterior")</f>
        <v>Día anterior</v>
      </c>
      <c r="C51" t="s">
        <v>8</v>
      </c>
      <c r="D51" t="s">
        <v>9</v>
      </c>
      <c r="E51" t="s">
        <v>179</v>
      </c>
      <c r="F51" t="s">
        <v>42</v>
      </c>
      <c r="G51" t="s">
        <v>64</v>
      </c>
      <c r="H51" t="s">
        <v>46</v>
      </c>
      <c r="I51" t="s">
        <v>21</v>
      </c>
      <c r="J51" t="s">
        <v>30</v>
      </c>
      <c r="K51" t="s">
        <v>59</v>
      </c>
      <c r="L51" t="s">
        <v>32</v>
      </c>
      <c r="M51">
        <v>1</v>
      </c>
    </row>
    <row r="52" spans="1:13" x14ac:dyDescent="0.25">
      <c r="A52" s="2">
        <v>46293</v>
      </c>
      <c r="B52" s="1" t="str">
        <f ca="1">IF(Información1[[#This Row],[Fecha]]='Ajuste de fechas'!$A$2,"Día actual","Día anterior")</f>
        <v>Día anterior</v>
      </c>
      <c r="C52" t="s">
        <v>8</v>
      </c>
      <c r="D52" t="s">
        <v>9</v>
      </c>
      <c r="E52" t="s">
        <v>180</v>
      </c>
      <c r="F52" t="s">
        <v>17</v>
      </c>
      <c r="G52" t="s">
        <v>44</v>
      </c>
      <c r="H52" t="s">
        <v>46</v>
      </c>
      <c r="I52" t="s">
        <v>21</v>
      </c>
      <c r="J52" t="s">
        <v>30</v>
      </c>
      <c r="K52" t="s">
        <v>11</v>
      </c>
      <c r="L52" t="s">
        <v>32</v>
      </c>
      <c r="M52">
        <v>1</v>
      </c>
    </row>
    <row r="53" spans="1:13" x14ac:dyDescent="0.25">
      <c r="A53" s="2">
        <v>46293</v>
      </c>
      <c r="B53" s="1" t="str">
        <f ca="1">IF(Información1[[#This Row],[Fecha]]='Ajuste de fechas'!$A$2,"Día actual","Día anterior")</f>
        <v>Día anterior</v>
      </c>
      <c r="C53" t="s">
        <v>8</v>
      </c>
      <c r="D53" t="s">
        <v>9</v>
      </c>
      <c r="E53" t="s">
        <v>181</v>
      </c>
      <c r="F53" t="s">
        <v>17</v>
      </c>
      <c r="G53" t="s">
        <v>44</v>
      </c>
      <c r="H53" t="s">
        <v>46</v>
      </c>
      <c r="I53" t="s">
        <v>21</v>
      </c>
      <c r="J53" t="s">
        <v>30</v>
      </c>
      <c r="K53" t="s">
        <v>59</v>
      </c>
      <c r="L53" t="s">
        <v>32</v>
      </c>
      <c r="M53">
        <v>1</v>
      </c>
    </row>
    <row r="54" spans="1:13" x14ac:dyDescent="0.25">
      <c r="A54" s="2">
        <v>46293</v>
      </c>
      <c r="B54" s="1" t="str">
        <f ca="1">IF(Información1[[#This Row],[Fecha]]='Ajuste de fechas'!$A$2,"Día actual","Día anterior")</f>
        <v>Día anterior</v>
      </c>
      <c r="C54" t="s">
        <v>8</v>
      </c>
      <c r="D54" t="s">
        <v>9</v>
      </c>
      <c r="E54" t="s">
        <v>182</v>
      </c>
      <c r="F54" t="s">
        <v>18</v>
      </c>
      <c r="G54" t="s">
        <v>66</v>
      </c>
      <c r="H54" t="s">
        <v>46</v>
      </c>
      <c r="I54" t="s">
        <v>7</v>
      </c>
      <c r="J54" t="s">
        <v>35</v>
      </c>
      <c r="K54" t="s">
        <v>11</v>
      </c>
      <c r="L54" t="s">
        <v>31</v>
      </c>
      <c r="M54">
        <v>1</v>
      </c>
    </row>
    <row r="55" spans="1:13" x14ac:dyDescent="0.25">
      <c r="A55" s="2">
        <v>46293</v>
      </c>
      <c r="B55" s="1" t="str">
        <f ca="1">IF(Información1[[#This Row],[Fecha]]='Ajuste de fechas'!$A$2,"Día actual","Día anterior")</f>
        <v>Día anterior</v>
      </c>
      <c r="C55" t="s">
        <v>8</v>
      </c>
      <c r="D55" t="s">
        <v>9</v>
      </c>
      <c r="E55" t="s">
        <v>183</v>
      </c>
      <c r="F55" t="s">
        <v>18</v>
      </c>
      <c r="G55" t="s">
        <v>184</v>
      </c>
      <c r="H55" t="s">
        <v>46</v>
      </c>
      <c r="I55" t="s">
        <v>7</v>
      </c>
      <c r="J55" t="s">
        <v>35</v>
      </c>
      <c r="K55" t="s">
        <v>11</v>
      </c>
      <c r="L55" t="s">
        <v>31</v>
      </c>
      <c r="M55">
        <v>1</v>
      </c>
    </row>
    <row r="56" spans="1:13" x14ac:dyDescent="0.25">
      <c r="A56" s="2">
        <v>46293</v>
      </c>
      <c r="B56" s="1" t="str">
        <f ca="1">IF(Información1[[#This Row],[Fecha]]='Ajuste de fechas'!$A$2,"Día actual","Día anterior")</f>
        <v>Día anterior</v>
      </c>
      <c r="C56" t="s">
        <v>8</v>
      </c>
      <c r="D56" t="s">
        <v>9</v>
      </c>
      <c r="E56" t="s">
        <v>185</v>
      </c>
      <c r="F56" t="s">
        <v>18</v>
      </c>
      <c r="G56" t="s">
        <v>81</v>
      </c>
      <c r="H56" t="s">
        <v>46</v>
      </c>
      <c r="I56" t="s">
        <v>7</v>
      </c>
      <c r="J56" t="s">
        <v>35</v>
      </c>
      <c r="K56" t="s">
        <v>11</v>
      </c>
      <c r="L56" t="s">
        <v>31</v>
      </c>
      <c r="M56">
        <v>1</v>
      </c>
    </row>
    <row r="57" spans="1:13" x14ac:dyDescent="0.25">
      <c r="A57" s="2">
        <v>46293</v>
      </c>
      <c r="B57" s="1" t="str">
        <f ca="1">IF(Información1[[#This Row],[Fecha]]='Ajuste de fechas'!$A$2,"Día actual","Día anterior")</f>
        <v>Día anterior</v>
      </c>
      <c r="C57" t="s">
        <v>8</v>
      </c>
      <c r="D57" t="s">
        <v>9</v>
      </c>
      <c r="E57" t="s">
        <v>186</v>
      </c>
      <c r="F57" t="s">
        <v>13</v>
      </c>
      <c r="G57" t="s">
        <v>187</v>
      </c>
      <c r="H57" t="s">
        <v>46</v>
      </c>
      <c r="I57" t="s">
        <v>7</v>
      </c>
      <c r="J57" t="s">
        <v>30</v>
      </c>
      <c r="K57" t="s">
        <v>11</v>
      </c>
      <c r="L57" t="s">
        <v>31</v>
      </c>
      <c r="M57">
        <v>1</v>
      </c>
    </row>
    <row r="58" spans="1:13" x14ac:dyDescent="0.25">
      <c r="A58" s="2">
        <v>46293</v>
      </c>
      <c r="B58" s="1" t="str">
        <f ca="1">IF(Información1[[#This Row],[Fecha]]='Ajuste de fechas'!$A$2,"Día actual","Día anterior")</f>
        <v>Día anterior</v>
      </c>
      <c r="C58" t="s">
        <v>8</v>
      </c>
      <c r="D58" t="s">
        <v>9</v>
      </c>
      <c r="E58" t="s">
        <v>188</v>
      </c>
      <c r="F58" t="s">
        <v>74</v>
      </c>
      <c r="G58" t="s">
        <v>189</v>
      </c>
      <c r="H58" t="s">
        <v>46</v>
      </c>
      <c r="I58" t="s">
        <v>7</v>
      </c>
      <c r="J58" t="s">
        <v>30</v>
      </c>
      <c r="K58" t="s">
        <v>11</v>
      </c>
      <c r="L58" t="s">
        <v>31</v>
      </c>
      <c r="M58">
        <v>1</v>
      </c>
    </row>
    <row r="59" spans="1:13" x14ac:dyDescent="0.25">
      <c r="A59" s="2">
        <v>46293</v>
      </c>
      <c r="B59" s="1" t="str">
        <f ca="1">IF(Información1[[#This Row],[Fecha]]='Ajuste de fechas'!$A$2,"Día actual","Día anterior")</f>
        <v>Día anterior</v>
      </c>
      <c r="C59" t="s">
        <v>8</v>
      </c>
      <c r="D59" t="s">
        <v>9</v>
      </c>
      <c r="E59" t="s">
        <v>190</v>
      </c>
      <c r="F59" t="s">
        <v>191</v>
      </c>
      <c r="G59" t="s">
        <v>65</v>
      </c>
      <c r="H59" t="s">
        <v>46</v>
      </c>
      <c r="I59" t="s">
        <v>7</v>
      </c>
      <c r="J59" t="s">
        <v>30</v>
      </c>
      <c r="K59" t="s">
        <v>11</v>
      </c>
      <c r="L59" t="s">
        <v>31</v>
      </c>
      <c r="M59">
        <v>1</v>
      </c>
    </row>
    <row r="60" spans="1:13" x14ac:dyDescent="0.25">
      <c r="A60" s="2">
        <v>46293</v>
      </c>
      <c r="B60" s="1" t="str">
        <f ca="1">IF(Información1[[#This Row],[Fecha]]='Ajuste de fechas'!$A$2,"Día actual","Día anterior")</f>
        <v>Día anterior</v>
      </c>
      <c r="C60" t="s">
        <v>8</v>
      </c>
      <c r="D60" t="s">
        <v>9</v>
      </c>
      <c r="E60" t="s">
        <v>192</v>
      </c>
      <c r="F60" t="s">
        <v>15</v>
      </c>
      <c r="G60" t="s">
        <v>23</v>
      </c>
      <c r="H60" t="s">
        <v>46</v>
      </c>
      <c r="I60" t="s">
        <v>7</v>
      </c>
      <c r="J60" t="s">
        <v>34</v>
      </c>
      <c r="K60" t="s">
        <v>11</v>
      </c>
      <c r="L60" t="s">
        <v>31</v>
      </c>
      <c r="M60">
        <v>1</v>
      </c>
    </row>
    <row r="61" spans="1:13" x14ac:dyDescent="0.25">
      <c r="A61" s="2">
        <v>46293</v>
      </c>
      <c r="B61" s="1" t="str">
        <f ca="1">IF(Información1[[#This Row],[Fecha]]='Ajuste de fechas'!$A$2,"Día actual","Día anterior")</f>
        <v>Día anterior</v>
      </c>
      <c r="C61" t="s">
        <v>8</v>
      </c>
      <c r="D61" t="s">
        <v>9</v>
      </c>
      <c r="E61" t="s">
        <v>16</v>
      </c>
      <c r="F61" t="s">
        <v>15</v>
      </c>
      <c r="G61" t="s">
        <v>23</v>
      </c>
      <c r="H61" t="s">
        <v>46</v>
      </c>
      <c r="I61" t="s">
        <v>10</v>
      </c>
      <c r="J61" t="s">
        <v>34</v>
      </c>
      <c r="K61" t="s">
        <v>11</v>
      </c>
      <c r="L61" t="s">
        <v>32</v>
      </c>
      <c r="M61">
        <v>1</v>
      </c>
    </row>
    <row r="62" spans="1:13" x14ac:dyDescent="0.25">
      <c r="A62" s="2">
        <v>46293</v>
      </c>
      <c r="B62" s="1" t="str">
        <f ca="1">IF(Información1[[#This Row],[Fecha]]='Ajuste de fechas'!$A$2,"Día actual","Día anterior")</f>
        <v>Día anterior</v>
      </c>
      <c r="C62" t="s">
        <v>8</v>
      </c>
      <c r="D62" t="s">
        <v>9</v>
      </c>
      <c r="E62" t="s">
        <v>14</v>
      </c>
      <c r="F62" t="s">
        <v>15</v>
      </c>
      <c r="G62" t="s">
        <v>23</v>
      </c>
      <c r="H62" t="s">
        <v>46</v>
      </c>
      <c r="I62" t="s">
        <v>10</v>
      </c>
      <c r="J62" t="s">
        <v>34</v>
      </c>
      <c r="K62" t="s">
        <v>11</v>
      </c>
      <c r="L62" t="s">
        <v>32</v>
      </c>
      <c r="M62">
        <v>1</v>
      </c>
    </row>
    <row r="63" spans="1:13" x14ac:dyDescent="0.25">
      <c r="A63" s="2">
        <v>46293</v>
      </c>
      <c r="B63" s="1" t="str">
        <f ca="1">IF(Información1[[#This Row],[Fecha]]='Ajuste de fechas'!$A$2,"Día actual","Día anterior")</f>
        <v>Día anterior</v>
      </c>
      <c r="C63" t="s">
        <v>8</v>
      </c>
      <c r="D63" t="s">
        <v>9</v>
      </c>
      <c r="E63" t="s">
        <v>41</v>
      </c>
      <c r="F63" t="s">
        <v>39</v>
      </c>
      <c r="G63" t="s">
        <v>23</v>
      </c>
      <c r="H63" t="s">
        <v>46</v>
      </c>
      <c r="I63" t="s">
        <v>10</v>
      </c>
      <c r="J63" t="s">
        <v>20</v>
      </c>
      <c r="K63" t="s">
        <v>11</v>
      </c>
      <c r="L63" t="s">
        <v>32</v>
      </c>
      <c r="M63">
        <v>1</v>
      </c>
    </row>
    <row r="64" spans="1:13" x14ac:dyDescent="0.25">
      <c r="A64" s="2">
        <v>46293</v>
      </c>
      <c r="B64" s="1" t="str">
        <f ca="1">IF(Información1[[#This Row],[Fecha]]='Ajuste de fechas'!$A$2,"Día actual","Día anterior")</f>
        <v>Día anterior</v>
      </c>
      <c r="C64" t="s">
        <v>8</v>
      </c>
      <c r="D64" t="s">
        <v>9</v>
      </c>
      <c r="E64" t="s">
        <v>43</v>
      </c>
      <c r="F64" t="s">
        <v>42</v>
      </c>
      <c r="G64" t="s">
        <v>23</v>
      </c>
      <c r="H64" t="s">
        <v>46</v>
      </c>
      <c r="I64" t="s">
        <v>10</v>
      </c>
      <c r="J64" t="s">
        <v>30</v>
      </c>
      <c r="K64" t="s">
        <v>11</v>
      </c>
      <c r="L64" t="s">
        <v>32</v>
      </c>
      <c r="M64">
        <v>1</v>
      </c>
    </row>
    <row r="65" spans="1:13" x14ac:dyDescent="0.25">
      <c r="A65" s="2">
        <v>46293</v>
      </c>
      <c r="B65" s="1" t="str">
        <f ca="1">IF(Información1[[#This Row],[Fecha]]='Ajuste de fechas'!$A$2,"Día actual","Día anterior")</f>
        <v>Día anterior</v>
      </c>
      <c r="C65" t="s">
        <v>8</v>
      </c>
      <c r="D65" t="s">
        <v>9</v>
      </c>
      <c r="E65" t="s">
        <v>12</v>
      </c>
      <c r="F65" t="s">
        <v>13</v>
      </c>
      <c r="G65" t="s">
        <v>23</v>
      </c>
      <c r="H65" t="s">
        <v>46</v>
      </c>
      <c r="I65" t="s">
        <v>10</v>
      </c>
      <c r="J65" t="s">
        <v>30</v>
      </c>
      <c r="K65" t="s">
        <v>11</v>
      </c>
      <c r="L65" t="s">
        <v>32</v>
      </c>
      <c r="M65">
        <v>1</v>
      </c>
    </row>
    <row r="66" spans="1:13" x14ac:dyDescent="0.25">
      <c r="A66" s="2">
        <v>46293</v>
      </c>
      <c r="B66" s="1" t="str">
        <f ca="1">IF(Información1[[#This Row],[Fecha]]='Ajuste de fechas'!$A$2,"Día actual","Día anterior")</f>
        <v>Día anterior</v>
      </c>
      <c r="C66" t="s">
        <v>8</v>
      </c>
      <c r="D66" t="s">
        <v>9</v>
      </c>
      <c r="E66" t="s">
        <v>58</v>
      </c>
      <c r="F66" t="s">
        <v>6</v>
      </c>
      <c r="G66" t="s">
        <v>23</v>
      </c>
      <c r="H66" t="s">
        <v>46</v>
      </c>
      <c r="I66" t="s">
        <v>10</v>
      </c>
      <c r="J66" t="s">
        <v>30</v>
      </c>
      <c r="K66" t="s">
        <v>11</v>
      </c>
      <c r="L66" t="s">
        <v>32</v>
      </c>
      <c r="M66">
        <v>1</v>
      </c>
    </row>
    <row r="67" spans="1:13" x14ac:dyDescent="0.25">
      <c r="A67" s="2">
        <v>46293</v>
      </c>
      <c r="B67" s="1" t="str">
        <f ca="1">IF(Información1[[#This Row],[Fecha]]='Ajuste de fechas'!$A$2,"Día actual","Día anterior")</f>
        <v>Día anterior</v>
      </c>
      <c r="C67" t="s">
        <v>47</v>
      </c>
      <c r="D67" t="s">
        <v>55</v>
      </c>
      <c r="E67" t="s">
        <v>94</v>
      </c>
      <c r="F67" t="s">
        <v>17</v>
      </c>
      <c r="G67" t="s">
        <v>95</v>
      </c>
      <c r="H67" t="s">
        <v>46</v>
      </c>
      <c r="I67" t="s">
        <v>7</v>
      </c>
      <c r="J67" t="s">
        <v>30</v>
      </c>
      <c r="K67" t="s">
        <v>49</v>
      </c>
      <c r="L67" t="s">
        <v>33</v>
      </c>
      <c r="M67">
        <v>1</v>
      </c>
    </row>
    <row r="68" spans="1:13" x14ac:dyDescent="0.25">
      <c r="A68" s="2">
        <v>46293</v>
      </c>
      <c r="B68" s="1" t="str">
        <f ca="1">IF(Información1[[#This Row],[Fecha]]='Ajuste de fechas'!$A$2,"Día actual","Día anterior")</f>
        <v>Día anterior</v>
      </c>
      <c r="C68" t="s">
        <v>47</v>
      </c>
      <c r="D68" t="s">
        <v>55</v>
      </c>
      <c r="E68" t="s">
        <v>193</v>
      </c>
      <c r="F68" t="s">
        <v>56</v>
      </c>
      <c r="G68" t="s">
        <v>194</v>
      </c>
      <c r="H68" t="s">
        <v>46</v>
      </c>
      <c r="I68" t="s">
        <v>7</v>
      </c>
      <c r="J68" t="s">
        <v>30</v>
      </c>
      <c r="K68" t="s">
        <v>49</v>
      </c>
      <c r="L68" t="s">
        <v>31</v>
      </c>
      <c r="M68">
        <v>1</v>
      </c>
    </row>
    <row r="69" spans="1:13" x14ac:dyDescent="0.25">
      <c r="A69" s="2">
        <v>46293</v>
      </c>
      <c r="B69" s="1" t="str">
        <f ca="1">IF(Información1[[#This Row],[Fecha]]='Ajuste de fechas'!$A$2,"Día actual","Día anterior")</f>
        <v>Día anterior</v>
      </c>
      <c r="C69" t="s">
        <v>47</v>
      </c>
      <c r="D69" t="s">
        <v>55</v>
      </c>
      <c r="E69" t="s">
        <v>195</v>
      </c>
      <c r="F69" t="s">
        <v>54</v>
      </c>
      <c r="G69" t="s">
        <v>196</v>
      </c>
      <c r="H69" t="s">
        <v>46</v>
      </c>
      <c r="I69" t="s">
        <v>7</v>
      </c>
      <c r="J69" t="s">
        <v>30</v>
      </c>
      <c r="K69" t="s">
        <v>49</v>
      </c>
      <c r="L69" t="s">
        <v>31</v>
      </c>
      <c r="M69">
        <v>1</v>
      </c>
    </row>
    <row r="70" spans="1:13" x14ac:dyDescent="0.25">
      <c r="A70" s="2">
        <v>46293</v>
      </c>
      <c r="B70" s="1" t="str">
        <f ca="1">IF(Información1[[#This Row],[Fecha]]='Ajuste de fechas'!$A$2,"Día actual","Día anterior")</f>
        <v>Día anterior</v>
      </c>
      <c r="C70" t="s">
        <v>47</v>
      </c>
      <c r="D70" t="s">
        <v>55</v>
      </c>
      <c r="E70" t="s">
        <v>197</v>
      </c>
      <c r="F70" t="s">
        <v>15</v>
      </c>
      <c r="G70" t="s">
        <v>198</v>
      </c>
      <c r="H70" t="s">
        <v>46</v>
      </c>
      <c r="I70" t="s">
        <v>7</v>
      </c>
      <c r="J70" t="s">
        <v>34</v>
      </c>
      <c r="K70" t="s">
        <v>49</v>
      </c>
      <c r="L70" t="s">
        <v>31</v>
      </c>
      <c r="M70">
        <v>1</v>
      </c>
    </row>
    <row r="71" spans="1:13" x14ac:dyDescent="0.25">
      <c r="A71" s="2">
        <v>46293</v>
      </c>
      <c r="B71" s="1" t="str">
        <f ca="1">IF(Información1[[#This Row],[Fecha]]='Ajuste de fechas'!$A$2,"Día actual","Día anterior")</f>
        <v>Día anterior</v>
      </c>
      <c r="C71" t="s">
        <v>47</v>
      </c>
      <c r="D71" t="s">
        <v>55</v>
      </c>
      <c r="E71" t="s">
        <v>199</v>
      </c>
      <c r="F71" t="s">
        <v>15</v>
      </c>
      <c r="G71" t="s">
        <v>65</v>
      </c>
      <c r="H71" t="s">
        <v>46</v>
      </c>
      <c r="I71" t="s">
        <v>7</v>
      </c>
      <c r="J71" t="s">
        <v>34</v>
      </c>
      <c r="K71" t="s">
        <v>49</v>
      </c>
      <c r="L71" t="s">
        <v>31</v>
      </c>
      <c r="M71">
        <v>1</v>
      </c>
    </row>
    <row r="72" spans="1:13" x14ac:dyDescent="0.25">
      <c r="A72" s="2">
        <v>46293</v>
      </c>
      <c r="B72" s="1" t="str">
        <f ca="1">IF(Información1[[#This Row],[Fecha]]='Ajuste de fechas'!$A$2,"Día actual","Día anterior")</f>
        <v>Día anterior</v>
      </c>
      <c r="C72" t="s">
        <v>47</v>
      </c>
      <c r="D72" t="s">
        <v>55</v>
      </c>
      <c r="E72" t="s">
        <v>200</v>
      </c>
      <c r="F72" t="s">
        <v>15</v>
      </c>
      <c r="G72" t="s">
        <v>201</v>
      </c>
      <c r="H72" t="s">
        <v>46</v>
      </c>
      <c r="I72" t="s">
        <v>7</v>
      </c>
      <c r="J72" t="s">
        <v>34</v>
      </c>
      <c r="K72" t="s">
        <v>49</v>
      </c>
      <c r="L72" t="s">
        <v>31</v>
      </c>
      <c r="M72">
        <v>1</v>
      </c>
    </row>
    <row r="73" spans="1:13" x14ac:dyDescent="0.25">
      <c r="A73" s="2">
        <v>46293</v>
      </c>
      <c r="B73" s="1" t="str">
        <f ca="1">IF(Información1[[#This Row],[Fecha]]='Ajuste de fechas'!$A$2,"Día actual","Día anterior")</f>
        <v>Día anterior</v>
      </c>
      <c r="C73" t="s">
        <v>72</v>
      </c>
      <c r="D73" t="s">
        <v>73</v>
      </c>
      <c r="E73" t="s">
        <v>202</v>
      </c>
      <c r="F73" t="s">
        <v>13</v>
      </c>
      <c r="G73" t="s">
        <v>187</v>
      </c>
      <c r="H73" t="s">
        <v>46</v>
      </c>
      <c r="I73" t="s">
        <v>7</v>
      </c>
      <c r="J73" t="s">
        <v>30</v>
      </c>
      <c r="K73" t="s">
        <v>75</v>
      </c>
      <c r="L73" t="s">
        <v>33</v>
      </c>
      <c r="M73">
        <v>1</v>
      </c>
    </row>
    <row r="74" spans="1:13" x14ac:dyDescent="0.25">
      <c r="A74" s="2">
        <v>46293</v>
      </c>
      <c r="B74" s="1" t="str">
        <f ca="1">IF(Información1[[#This Row],[Fecha]]='Ajuste de fechas'!$A$2,"Día actual","Día anterior")</f>
        <v>Día anterior</v>
      </c>
      <c r="C74" t="s">
        <v>72</v>
      </c>
      <c r="D74" t="s">
        <v>73</v>
      </c>
      <c r="E74" t="s">
        <v>203</v>
      </c>
      <c r="F74" t="s">
        <v>56</v>
      </c>
      <c r="G74" t="s">
        <v>194</v>
      </c>
      <c r="H74" t="s">
        <v>46</v>
      </c>
      <c r="I74" t="s">
        <v>7</v>
      </c>
      <c r="J74" t="s">
        <v>30</v>
      </c>
      <c r="K74" t="s">
        <v>75</v>
      </c>
      <c r="L74" t="s">
        <v>31</v>
      </c>
      <c r="M74">
        <v>1</v>
      </c>
    </row>
    <row r="75" spans="1:13" x14ac:dyDescent="0.25">
      <c r="A75" s="2">
        <v>46293</v>
      </c>
      <c r="B75" s="1" t="str">
        <f ca="1">IF(Información1[[#This Row],[Fecha]]='Ajuste de fechas'!$A$2,"Día actual","Día anterior")</f>
        <v>Día anterior</v>
      </c>
      <c r="C75" t="s">
        <v>72</v>
      </c>
      <c r="D75" t="s">
        <v>73</v>
      </c>
      <c r="E75" t="s">
        <v>204</v>
      </c>
      <c r="F75" t="s">
        <v>56</v>
      </c>
      <c r="G75" t="s">
        <v>162</v>
      </c>
      <c r="H75" t="s">
        <v>46</v>
      </c>
      <c r="I75" t="s">
        <v>7</v>
      </c>
      <c r="J75" t="s">
        <v>30</v>
      </c>
      <c r="K75" t="s">
        <v>75</v>
      </c>
      <c r="L75" t="s">
        <v>33</v>
      </c>
      <c r="M75">
        <v>1</v>
      </c>
    </row>
    <row r="76" spans="1:13" x14ac:dyDescent="0.25">
      <c r="A76" s="2">
        <v>46293</v>
      </c>
      <c r="B76" s="1" t="str">
        <f ca="1">IF(Información1[[#This Row],[Fecha]]='Ajuste de fechas'!$A$2,"Día actual","Día anterior")</f>
        <v>Día anterior</v>
      </c>
      <c r="C76" t="s">
        <v>72</v>
      </c>
      <c r="D76" t="s">
        <v>73</v>
      </c>
      <c r="E76" t="s">
        <v>205</v>
      </c>
      <c r="F76" t="s">
        <v>22</v>
      </c>
      <c r="G76" t="s">
        <v>65</v>
      </c>
      <c r="H76" t="s">
        <v>46</v>
      </c>
      <c r="I76" t="s">
        <v>7</v>
      </c>
      <c r="J76" t="s">
        <v>30</v>
      </c>
      <c r="K76" t="s">
        <v>75</v>
      </c>
      <c r="L76" t="s">
        <v>33</v>
      </c>
      <c r="M76">
        <v>1</v>
      </c>
    </row>
    <row r="77" spans="1:13" x14ac:dyDescent="0.25">
      <c r="A77" s="2">
        <v>46293</v>
      </c>
      <c r="B77" s="1" t="str">
        <f ca="1">IF(Información1[[#This Row],[Fecha]]='Ajuste de fechas'!$A$2,"Día actual","Día anterior")</f>
        <v>Día anterior</v>
      </c>
      <c r="C77" t="s">
        <v>47</v>
      </c>
      <c r="D77" t="s">
        <v>48</v>
      </c>
      <c r="E77" t="s">
        <v>206</v>
      </c>
      <c r="F77" t="s">
        <v>74</v>
      </c>
      <c r="G77" t="s">
        <v>194</v>
      </c>
      <c r="H77" t="s">
        <v>46</v>
      </c>
      <c r="I77" t="s">
        <v>7</v>
      </c>
      <c r="J77" t="s">
        <v>30</v>
      </c>
      <c r="K77" t="s">
        <v>50</v>
      </c>
      <c r="L77" t="s">
        <v>31</v>
      </c>
      <c r="M77">
        <v>1</v>
      </c>
    </row>
    <row r="78" spans="1:13" x14ac:dyDescent="0.25">
      <c r="A78" s="2">
        <v>46293</v>
      </c>
      <c r="B78" s="1" t="str">
        <f ca="1">IF(Información1[[#This Row],[Fecha]]='Ajuste de fechas'!$A$2,"Día actual","Día anterior")</f>
        <v>Día anterior</v>
      </c>
      <c r="C78" t="s">
        <v>47</v>
      </c>
      <c r="D78" t="s">
        <v>48</v>
      </c>
      <c r="E78" t="s">
        <v>207</v>
      </c>
      <c r="F78" t="s">
        <v>20</v>
      </c>
      <c r="G78" t="s">
        <v>208</v>
      </c>
      <c r="H78" t="s">
        <v>46</v>
      </c>
      <c r="I78" t="s">
        <v>7</v>
      </c>
      <c r="J78" t="s">
        <v>20</v>
      </c>
      <c r="K78" t="s">
        <v>49</v>
      </c>
      <c r="L78" t="s">
        <v>40</v>
      </c>
      <c r="M78">
        <v>1</v>
      </c>
    </row>
    <row r="79" spans="1:13" x14ac:dyDescent="0.25">
      <c r="A79" s="2">
        <v>46293</v>
      </c>
      <c r="B79" s="1" t="str">
        <f ca="1">IF(Información1[[#This Row],[Fecha]]='Ajuste de fechas'!$A$2,"Día actual","Día anterior")</f>
        <v>Día anterior</v>
      </c>
      <c r="C79" t="s">
        <v>47</v>
      </c>
      <c r="D79" t="s">
        <v>48</v>
      </c>
      <c r="E79" t="s">
        <v>209</v>
      </c>
      <c r="F79" t="s">
        <v>60</v>
      </c>
      <c r="G79" t="s">
        <v>194</v>
      </c>
      <c r="H79" t="s">
        <v>46</v>
      </c>
      <c r="I79" t="s">
        <v>7</v>
      </c>
      <c r="J79" t="s">
        <v>30</v>
      </c>
      <c r="K79" t="s">
        <v>50</v>
      </c>
      <c r="L79" t="s">
        <v>31</v>
      </c>
      <c r="M79">
        <v>1</v>
      </c>
    </row>
    <row r="80" spans="1:13" x14ac:dyDescent="0.25">
      <c r="A80" s="2">
        <v>46293</v>
      </c>
      <c r="B80" s="1" t="str">
        <f ca="1">IF(Información1[[#This Row],[Fecha]]='Ajuste de fechas'!$A$2,"Día actual","Día anterior")</f>
        <v>Día anterior</v>
      </c>
      <c r="C80" t="s">
        <v>47</v>
      </c>
      <c r="D80" t="s">
        <v>48</v>
      </c>
      <c r="E80" t="s">
        <v>210</v>
      </c>
      <c r="F80" t="s">
        <v>18</v>
      </c>
      <c r="G80" t="s">
        <v>211</v>
      </c>
      <c r="H80" t="s">
        <v>46</v>
      </c>
      <c r="I80" t="s">
        <v>21</v>
      </c>
      <c r="J80" t="s">
        <v>35</v>
      </c>
      <c r="K80" t="s">
        <v>49</v>
      </c>
      <c r="L80" t="s">
        <v>31</v>
      </c>
      <c r="M80">
        <v>1</v>
      </c>
    </row>
    <row r="81" spans="1:13" x14ac:dyDescent="0.25">
      <c r="A81" s="2">
        <v>46293</v>
      </c>
      <c r="B81" s="1" t="str">
        <f ca="1">IF(Información1[[#This Row],[Fecha]]='Ajuste de fechas'!$A$2,"Día actual","Día anterior")</f>
        <v>Día anterior</v>
      </c>
      <c r="C81" t="s">
        <v>47</v>
      </c>
      <c r="D81" t="s">
        <v>48</v>
      </c>
      <c r="E81" t="s">
        <v>212</v>
      </c>
      <c r="F81" t="s">
        <v>213</v>
      </c>
      <c r="G81" t="s">
        <v>194</v>
      </c>
      <c r="H81" t="s">
        <v>46</v>
      </c>
      <c r="I81" t="s">
        <v>7</v>
      </c>
      <c r="J81" t="s">
        <v>30</v>
      </c>
      <c r="K81" t="s">
        <v>50</v>
      </c>
      <c r="L81" t="s">
        <v>31</v>
      </c>
      <c r="M81">
        <v>1</v>
      </c>
    </row>
    <row r="82" spans="1:13" x14ac:dyDescent="0.25">
      <c r="A82" s="2">
        <v>46293</v>
      </c>
      <c r="B82" s="1" t="str">
        <f ca="1">IF(Información1[[#This Row],[Fecha]]='Ajuste de fechas'!$A$2,"Día actual","Día anterior")</f>
        <v>Día anterior</v>
      </c>
      <c r="C82" t="s">
        <v>47</v>
      </c>
      <c r="D82" t="s">
        <v>48</v>
      </c>
      <c r="E82" t="s">
        <v>214</v>
      </c>
      <c r="F82" t="s">
        <v>15</v>
      </c>
      <c r="G82" t="s">
        <v>140</v>
      </c>
      <c r="H82" t="s">
        <v>46</v>
      </c>
      <c r="I82" t="s">
        <v>7</v>
      </c>
      <c r="J82" t="s">
        <v>34</v>
      </c>
      <c r="K82" t="s">
        <v>49</v>
      </c>
      <c r="L82" t="s">
        <v>215</v>
      </c>
      <c r="M82">
        <v>1</v>
      </c>
    </row>
    <row r="83" spans="1:13" x14ac:dyDescent="0.25">
      <c r="A83" s="2">
        <v>46293</v>
      </c>
      <c r="B83" s="1" t="str">
        <f ca="1">IF(Información1[[#This Row],[Fecha]]='Ajuste de fechas'!$A$2,"Día actual","Día anterior")</f>
        <v>Día anterior</v>
      </c>
      <c r="C83" t="s">
        <v>47</v>
      </c>
      <c r="D83" t="s">
        <v>48</v>
      </c>
      <c r="E83" t="s">
        <v>216</v>
      </c>
      <c r="F83" t="s">
        <v>39</v>
      </c>
      <c r="G83" t="s">
        <v>61</v>
      </c>
      <c r="H83" t="s">
        <v>46</v>
      </c>
      <c r="I83" t="s">
        <v>7</v>
      </c>
      <c r="J83" t="s">
        <v>20</v>
      </c>
      <c r="K83" t="s">
        <v>50</v>
      </c>
      <c r="L83" t="s">
        <v>32</v>
      </c>
      <c r="M83">
        <v>1</v>
      </c>
    </row>
    <row r="84" spans="1:13" x14ac:dyDescent="0.25">
      <c r="A84" s="2">
        <v>46293</v>
      </c>
      <c r="B84" s="1" t="str">
        <f ca="1">IF(Información1[[#This Row],[Fecha]]='Ajuste de fechas'!$A$2,"Día actual","Día anterior")</f>
        <v>Día anterior</v>
      </c>
      <c r="C84" t="s">
        <v>47</v>
      </c>
      <c r="D84" t="s">
        <v>48</v>
      </c>
      <c r="E84" t="s">
        <v>217</v>
      </c>
      <c r="F84" t="s">
        <v>191</v>
      </c>
      <c r="G84" t="s">
        <v>70</v>
      </c>
      <c r="H84" t="s">
        <v>46</v>
      </c>
      <c r="I84" t="s">
        <v>7</v>
      </c>
      <c r="J84" t="s">
        <v>30</v>
      </c>
      <c r="K84" t="s">
        <v>50</v>
      </c>
      <c r="L84" t="s">
        <v>32</v>
      </c>
      <c r="M84">
        <v>1</v>
      </c>
    </row>
    <row r="85" spans="1:13" x14ac:dyDescent="0.25">
      <c r="A85" s="2">
        <v>46293</v>
      </c>
      <c r="B85" s="1" t="str">
        <f ca="1">IF(Información1[[#This Row],[Fecha]]='Ajuste de fechas'!$A$2,"Día actual","Día anterior")</f>
        <v>Día anterior</v>
      </c>
      <c r="C85" t="s">
        <v>47</v>
      </c>
      <c r="D85" t="s">
        <v>48</v>
      </c>
      <c r="E85" t="s">
        <v>218</v>
      </c>
      <c r="F85" t="s">
        <v>20</v>
      </c>
      <c r="G85" t="s">
        <v>219</v>
      </c>
      <c r="H85" t="s">
        <v>46</v>
      </c>
      <c r="I85" t="s">
        <v>10</v>
      </c>
      <c r="J85" t="s">
        <v>20</v>
      </c>
      <c r="K85" t="s">
        <v>50</v>
      </c>
      <c r="L85" t="s">
        <v>31</v>
      </c>
      <c r="M85">
        <v>1</v>
      </c>
    </row>
    <row r="86" spans="1:13" x14ac:dyDescent="0.25">
      <c r="A86" s="2">
        <v>46294</v>
      </c>
      <c r="B86" s="1" t="str">
        <f ca="1">IF(Información1[[#This Row],[Fecha]]='Ajuste de fechas'!$A$2,"Día actual","Día anterior")</f>
        <v>Día actual</v>
      </c>
      <c r="C86" t="s">
        <v>119</v>
      </c>
      <c r="D86" t="s">
        <v>120</v>
      </c>
      <c r="E86" t="s">
        <v>220</v>
      </c>
      <c r="F86" t="s">
        <v>56</v>
      </c>
      <c r="G86" t="s">
        <v>221</v>
      </c>
      <c r="H86" t="s">
        <v>46</v>
      </c>
      <c r="I86" t="s">
        <v>7</v>
      </c>
      <c r="J86" t="s">
        <v>30</v>
      </c>
      <c r="K86" t="s">
        <v>127</v>
      </c>
      <c r="L86" t="s">
        <v>31</v>
      </c>
      <c r="M86">
        <v>1</v>
      </c>
    </row>
    <row r="87" spans="1:13" x14ac:dyDescent="0.25">
      <c r="A87" s="2">
        <v>46294</v>
      </c>
      <c r="B87" s="1" t="str">
        <f ca="1">IF(Información1[[#This Row],[Fecha]]='Ajuste de fechas'!$A$2,"Día actual","Día anterior")</f>
        <v>Día actual</v>
      </c>
      <c r="C87" t="s">
        <v>119</v>
      </c>
      <c r="D87" t="s">
        <v>120</v>
      </c>
      <c r="E87" t="s">
        <v>222</v>
      </c>
      <c r="F87" t="s">
        <v>19</v>
      </c>
      <c r="G87" t="s">
        <v>76</v>
      </c>
      <c r="H87" t="s">
        <v>46</v>
      </c>
      <c r="I87" t="s">
        <v>7</v>
      </c>
      <c r="J87" t="s">
        <v>30</v>
      </c>
      <c r="K87" t="s">
        <v>127</v>
      </c>
      <c r="L87" t="s">
        <v>31</v>
      </c>
      <c r="M87">
        <v>1</v>
      </c>
    </row>
    <row r="88" spans="1:13" x14ac:dyDescent="0.25">
      <c r="A88" s="2">
        <v>46294</v>
      </c>
      <c r="B88" s="1" t="str">
        <f ca="1">IF(Información1[[#This Row],[Fecha]]='Ajuste de fechas'!$A$2,"Día actual","Día anterior")</f>
        <v>Día actual</v>
      </c>
      <c r="C88" t="s">
        <v>119</v>
      </c>
      <c r="D88" t="s">
        <v>120</v>
      </c>
      <c r="E88" t="s">
        <v>223</v>
      </c>
      <c r="F88" t="s">
        <v>13</v>
      </c>
      <c r="G88" t="s">
        <v>116</v>
      </c>
      <c r="H88" t="s">
        <v>46</v>
      </c>
      <c r="I88" t="s">
        <v>7</v>
      </c>
      <c r="J88" t="s">
        <v>30</v>
      </c>
      <c r="K88" t="s">
        <v>122</v>
      </c>
      <c r="L88" t="s">
        <v>31</v>
      </c>
      <c r="M88">
        <v>1</v>
      </c>
    </row>
    <row r="89" spans="1:13" x14ac:dyDescent="0.25">
      <c r="A89" s="2">
        <v>46294</v>
      </c>
      <c r="B89" s="1" t="str">
        <f ca="1">IF(Información1[[#This Row],[Fecha]]='Ajuste de fechas'!$A$2,"Día actual","Día anterior")</f>
        <v>Día actual</v>
      </c>
      <c r="C89" t="s">
        <v>119</v>
      </c>
      <c r="D89" t="s">
        <v>120</v>
      </c>
      <c r="E89" t="s">
        <v>224</v>
      </c>
      <c r="F89" t="s">
        <v>54</v>
      </c>
      <c r="G89" t="s">
        <v>67</v>
      </c>
      <c r="H89" t="s">
        <v>46</v>
      </c>
      <c r="I89" t="s">
        <v>7</v>
      </c>
      <c r="J89" t="s">
        <v>30</v>
      </c>
      <c r="K89" t="s">
        <v>127</v>
      </c>
      <c r="L89" t="s">
        <v>31</v>
      </c>
      <c r="M89">
        <v>1</v>
      </c>
    </row>
    <row r="90" spans="1:13" x14ac:dyDescent="0.25">
      <c r="A90" s="2">
        <v>46294</v>
      </c>
      <c r="B90" s="1" t="str">
        <f ca="1">IF(Información1[[#This Row],[Fecha]]='Ajuste de fechas'!$A$2,"Día actual","Día anterior")</f>
        <v>Día actual</v>
      </c>
      <c r="C90" t="s">
        <v>119</v>
      </c>
      <c r="D90" t="s">
        <v>120</v>
      </c>
      <c r="E90" t="s">
        <v>225</v>
      </c>
      <c r="F90" t="s">
        <v>15</v>
      </c>
      <c r="G90" t="s">
        <v>65</v>
      </c>
      <c r="H90" t="s">
        <v>46</v>
      </c>
      <c r="I90" t="s">
        <v>7</v>
      </c>
      <c r="J90" t="s">
        <v>34</v>
      </c>
      <c r="K90" t="s">
        <v>122</v>
      </c>
      <c r="L90" t="s">
        <v>31</v>
      </c>
      <c r="M90">
        <v>1</v>
      </c>
    </row>
    <row r="91" spans="1:13" x14ac:dyDescent="0.25">
      <c r="A91" s="2">
        <v>46294</v>
      </c>
      <c r="B91" s="1" t="str">
        <f ca="1">IF(Información1[[#This Row],[Fecha]]='Ajuste de fechas'!$A$2,"Día actual","Día anterior")</f>
        <v>Día actual</v>
      </c>
      <c r="C91" t="s">
        <v>119</v>
      </c>
      <c r="D91" t="s">
        <v>120</v>
      </c>
      <c r="E91" t="s">
        <v>226</v>
      </c>
      <c r="F91" t="s">
        <v>22</v>
      </c>
      <c r="G91" t="s">
        <v>227</v>
      </c>
      <c r="H91" t="s">
        <v>46</v>
      </c>
      <c r="I91" t="s">
        <v>7</v>
      </c>
      <c r="J91" t="s">
        <v>30</v>
      </c>
      <c r="K91" t="s">
        <v>127</v>
      </c>
      <c r="L91" t="s">
        <v>31</v>
      </c>
      <c r="M91">
        <v>1</v>
      </c>
    </row>
    <row r="92" spans="1:13" x14ac:dyDescent="0.25">
      <c r="A92" s="2">
        <v>46294</v>
      </c>
      <c r="B92" s="1" t="str">
        <f ca="1">IF(Información1[[#This Row],[Fecha]]='Ajuste de fechas'!$A$2,"Día actual","Día anterior")</f>
        <v>Día actual</v>
      </c>
      <c r="C92" t="s">
        <v>119</v>
      </c>
      <c r="D92" t="s">
        <v>120</v>
      </c>
      <c r="E92" t="s">
        <v>228</v>
      </c>
      <c r="F92" t="s">
        <v>15</v>
      </c>
      <c r="G92" t="s">
        <v>150</v>
      </c>
      <c r="H92" t="s">
        <v>46</v>
      </c>
      <c r="I92" t="s">
        <v>7</v>
      </c>
      <c r="J92" t="s">
        <v>34</v>
      </c>
      <c r="K92" t="s">
        <v>127</v>
      </c>
      <c r="L92" t="s">
        <v>31</v>
      </c>
      <c r="M92">
        <v>1</v>
      </c>
    </row>
    <row r="93" spans="1:13" x14ac:dyDescent="0.25">
      <c r="A93" s="2">
        <v>46294</v>
      </c>
      <c r="B93" s="1" t="str">
        <f ca="1">IF(Información1[[#This Row],[Fecha]]='Ajuste de fechas'!$A$2,"Día actual","Día anterior")</f>
        <v>Día actual</v>
      </c>
      <c r="C93" t="s">
        <v>119</v>
      </c>
      <c r="D93" t="s">
        <v>120</v>
      </c>
      <c r="E93" t="s">
        <v>229</v>
      </c>
      <c r="F93" t="s">
        <v>39</v>
      </c>
      <c r="G93" t="s">
        <v>70</v>
      </c>
      <c r="H93" t="s">
        <v>46</v>
      </c>
      <c r="I93" t="s">
        <v>7</v>
      </c>
      <c r="J93" t="s">
        <v>20</v>
      </c>
      <c r="K93" t="s">
        <v>122</v>
      </c>
      <c r="L93" t="s">
        <v>31</v>
      </c>
      <c r="M93">
        <v>1</v>
      </c>
    </row>
    <row r="94" spans="1:13" x14ac:dyDescent="0.25">
      <c r="A94" s="2">
        <v>46294</v>
      </c>
      <c r="B94" s="1" t="str">
        <f ca="1">IF(Información1[[#This Row],[Fecha]]='Ajuste de fechas'!$A$2,"Día actual","Día anterior")</f>
        <v>Día actual</v>
      </c>
      <c r="C94" t="s">
        <v>119</v>
      </c>
      <c r="D94" t="s">
        <v>120</v>
      </c>
      <c r="E94" t="s">
        <v>230</v>
      </c>
      <c r="F94" t="s">
        <v>17</v>
      </c>
      <c r="G94" t="s">
        <v>231</v>
      </c>
      <c r="H94" t="s">
        <v>46</v>
      </c>
      <c r="I94" t="s">
        <v>10</v>
      </c>
      <c r="J94" t="s">
        <v>30</v>
      </c>
      <c r="K94" t="s">
        <v>122</v>
      </c>
      <c r="L94" t="s">
        <v>32</v>
      </c>
      <c r="M94">
        <v>1</v>
      </c>
    </row>
    <row r="95" spans="1:13" x14ac:dyDescent="0.25">
      <c r="A95" s="2">
        <v>46294</v>
      </c>
      <c r="B95" s="1" t="str">
        <f ca="1">IF(Información1[[#This Row],[Fecha]]='Ajuste de fechas'!$A$2,"Día actual","Día anterior")</f>
        <v>Día actual</v>
      </c>
      <c r="C95" t="s">
        <v>119</v>
      </c>
      <c r="D95" t="s">
        <v>120</v>
      </c>
      <c r="E95" t="s">
        <v>232</v>
      </c>
      <c r="F95" t="s">
        <v>54</v>
      </c>
      <c r="G95" t="s">
        <v>233</v>
      </c>
      <c r="H95" t="s">
        <v>46</v>
      </c>
      <c r="I95" t="s">
        <v>7</v>
      </c>
      <c r="J95" t="s">
        <v>30</v>
      </c>
      <c r="K95" t="s">
        <v>122</v>
      </c>
      <c r="L95" t="s">
        <v>31</v>
      </c>
      <c r="M95">
        <v>1</v>
      </c>
    </row>
    <row r="96" spans="1:13" x14ac:dyDescent="0.25">
      <c r="A96" s="2">
        <v>46294</v>
      </c>
      <c r="B96" s="1" t="str">
        <f ca="1">IF(Información1[[#This Row],[Fecha]]='Ajuste de fechas'!$A$2,"Día actual","Día anterior")</f>
        <v>Día actual</v>
      </c>
      <c r="C96" t="s">
        <v>119</v>
      </c>
      <c r="D96" t="s">
        <v>120</v>
      </c>
      <c r="E96" t="s">
        <v>234</v>
      </c>
      <c r="F96" t="s">
        <v>17</v>
      </c>
      <c r="G96" t="s">
        <v>231</v>
      </c>
      <c r="H96" t="s">
        <v>46</v>
      </c>
      <c r="I96" t="s">
        <v>7</v>
      </c>
      <c r="J96" t="s">
        <v>30</v>
      </c>
      <c r="K96" t="s">
        <v>127</v>
      </c>
      <c r="L96" t="s">
        <v>31</v>
      </c>
      <c r="M96">
        <v>1</v>
      </c>
    </row>
    <row r="97" spans="1:13" x14ac:dyDescent="0.25">
      <c r="A97" s="2">
        <v>46294</v>
      </c>
      <c r="B97" s="1" t="str">
        <f ca="1">IF(Información1[[#This Row],[Fecha]]='Ajuste de fechas'!$A$2,"Día actual","Día anterior")</f>
        <v>Día actual</v>
      </c>
      <c r="C97" t="s">
        <v>119</v>
      </c>
      <c r="D97" t="s">
        <v>120</v>
      </c>
      <c r="E97" t="s">
        <v>235</v>
      </c>
      <c r="F97" t="s">
        <v>17</v>
      </c>
      <c r="G97" t="s">
        <v>231</v>
      </c>
      <c r="H97" t="s">
        <v>46</v>
      </c>
      <c r="I97" t="s">
        <v>10</v>
      </c>
      <c r="J97" t="s">
        <v>30</v>
      </c>
      <c r="K97" t="s">
        <v>122</v>
      </c>
      <c r="L97" t="s">
        <v>32</v>
      </c>
      <c r="M97">
        <v>1</v>
      </c>
    </row>
    <row r="98" spans="1:13" x14ac:dyDescent="0.25">
      <c r="A98" s="2">
        <v>46294</v>
      </c>
      <c r="B98" s="1" t="str">
        <f ca="1">IF(Información1[[#This Row],[Fecha]]='Ajuste de fechas'!$A$2,"Día actual","Día anterior")</f>
        <v>Día actual</v>
      </c>
      <c r="C98" t="s">
        <v>119</v>
      </c>
      <c r="D98" t="s">
        <v>120</v>
      </c>
      <c r="E98" t="s">
        <v>236</v>
      </c>
      <c r="F98" t="s">
        <v>15</v>
      </c>
      <c r="G98" t="s">
        <v>237</v>
      </c>
      <c r="H98" t="s">
        <v>46</v>
      </c>
      <c r="I98" t="s">
        <v>7</v>
      </c>
      <c r="J98" t="s">
        <v>34</v>
      </c>
      <c r="K98" t="s">
        <v>127</v>
      </c>
      <c r="L98" t="s">
        <v>31</v>
      </c>
      <c r="M98">
        <v>1</v>
      </c>
    </row>
    <row r="99" spans="1:13" x14ac:dyDescent="0.25">
      <c r="A99" s="2">
        <v>46294</v>
      </c>
      <c r="B99" s="1" t="str">
        <f ca="1">IF(Información1[[#This Row],[Fecha]]='Ajuste de fechas'!$A$2,"Día actual","Día anterior")</f>
        <v>Día actual</v>
      </c>
      <c r="C99" t="s">
        <v>119</v>
      </c>
      <c r="D99" t="s">
        <v>120</v>
      </c>
      <c r="E99" t="s">
        <v>238</v>
      </c>
      <c r="F99" t="s">
        <v>39</v>
      </c>
      <c r="G99" t="s">
        <v>83</v>
      </c>
      <c r="H99" t="s">
        <v>46</v>
      </c>
      <c r="I99" t="s">
        <v>7</v>
      </c>
      <c r="J99" t="s">
        <v>20</v>
      </c>
      <c r="K99" t="s">
        <v>127</v>
      </c>
      <c r="L99" t="s">
        <v>31</v>
      </c>
      <c r="M99">
        <v>1</v>
      </c>
    </row>
    <row r="100" spans="1:13" x14ac:dyDescent="0.25">
      <c r="A100" s="2">
        <v>46294</v>
      </c>
      <c r="B100" s="1" t="str">
        <f ca="1">IF(Información1[[#This Row],[Fecha]]='Ajuste de fechas'!$A$2,"Día actual","Día anterior")</f>
        <v>Día actual</v>
      </c>
      <c r="C100" t="s">
        <v>119</v>
      </c>
      <c r="D100" t="s">
        <v>120</v>
      </c>
      <c r="E100" t="s">
        <v>239</v>
      </c>
      <c r="F100" t="s">
        <v>15</v>
      </c>
      <c r="G100" t="s">
        <v>83</v>
      </c>
      <c r="H100" t="s">
        <v>46</v>
      </c>
      <c r="I100" t="s">
        <v>7</v>
      </c>
      <c r="J100" t="s">
        <v>34</v>
      </c>
      <c r="K100" t="s">
        <v>122</v>
      </c>
      <c r="L100" t="s">
        <v>31</v>
      </c>
      <c r="M100">
        <v>1</v>
      </c>
    </row>
    <row r="101" spans="1:13" x14ac:dyDescent="0.25">
      <c r="A101" s="2">
        <v>46294</v>
      </c>
      <c r="B101" s="1" t="str">
        <f ca="1">IF(Información1[[#This Row],[Fecha]]='Ajuste de fechas'!$A$2,"Día actual","Día anterior")</f>
        <v>Día actual</v>
      </c>
      <c r="C101" t="s">
        <v>119</v>
      </c>
      <c r="D101" t="s">
        <v>120</v>
      </c>
      <c r="E101" t="s">
        <v>240</v>
      </c>
      <c r="F101" t="s">
        <v>15</v>
      </c>
      <c r="G101" t="s">
        <v>126</v>
      </c>
      <c r="H101" t="s">
        <v>46</v>
      </c>
      <c r="I101" t="s">
        <v>7</v>
      </c>
      <c r="J101" t="s">
        <v>34</v>
      </c>
      <c r="K101" t="s">
        <v>241</v>
      </c>
      <c r="L101" t="s">
        <v>242</v>
      </c>
      <c r="M101">
        <v>1</v>
      </c>
    </row>
    <row r="102" spans="1:13" x14ac:dyDescent="0.25">
      <c r="A102" s="2">
        <v>46294</v>
      </c>
      <c r="B102" s="1" t="str">
        <f ca="1">IF(Información1[[#This Row],[Fecha]]='Ajuste de fechas'!$A$2,"Día actual","Día anterior")</f>
        <v>Día actual</v>
      </c>
      <c r="C102" t="s">
        <v>119</v>
      </c>
      <c r="D102" t="s">
        <v>120</v>
      </c>
      <c r="E102" t="s">
        <v>243</v>
      </c>
      <c r="F102" t="s">
        <v>13</v>
      </c>
      <c r="G102" t="s">
        <v>104</v>
      </c>
      <c r="H102" t="s">
        <v>46</v>
      </c>
      <c r="I102" t="s">
        <v>7</v>
      </c>
      <c r="J102" t="s">
        <v>30</v>
      </c>
      <c r="K102" t="s">
        <v>122</v>
      </c>
      <c r="L102" t="s">
        <v>31</v>
      </c>
      <c r="M102">
        <v>1</v>
      </c>
    </row>
    <row r="103" spans="1:13" x14ac:dyDescent="0.25">
      <c r="A103" s="2">
        <v>46294</v>
      </c>
      <c r="B103" s="1" t="str">
        <f ca="1">IF(Información1[[#This Row],[Fecha]]='Ajuste de fechas'!$A$2,"Día actual","Día anterior")</f>
        <v>Día actual</v>
      </c>
      <c r="C103" t="s">
        <v>119</v>
      </c>
      <c r="D103" t="s">
        <v>120</v>
      </c>
      <c r="E103" t="s">
        <v>94</v>
      </c>
      <c r="F103" t="s">
        <v>17</v>
      </c>
      <c r="G103" t="s">
        <v>95</v>
      </c>
      <c r="H103" t="s">
        <v>46</v>
      </c>
      <c r="I103" t="s">
        <v>7</v>
      </c>
      <c r="J103" t="s">
        <v>30</v>
      </c>
      <c r="K103" t="s">
        <v>127</v>
      </c>
      <c r="L103" t="s">
        <v>33</v>
      </c>
      <c r="M103">
        <v>1</v>
      </c>
    </row>
    <row r="104" spans="1:13" x14ac:dyDescent="0.25">
      <c r="A104" s="2">
        <v>46294</v>
      </c>
      <c r="B104" s="1" t="str">
        <f ca="1">IF(Información1[[#This Row],[Fecha]]='Ajuste de fechas'!$A$2,"Día actual","Día anterior")</f>
        <v>Día actual</v>
      </c>
      <c r="C104" t="s">
        <v>119</v>
      </c>
      <c r="D104" t="s">
        <v>120</v>
      </c>
      <c r="E104" t="s">
        <v>244</v>
      </c>
      <c r="F104" t="s">
        <v>245</v>
      </c>
      <c r="G104" t="s">
        <v>246</v>
      </c>
      <c r="H104" t="s">
        <v>46</v>
      </c>
      <c r="I104" t="s">
        <v>7</v>
      </c>
      <c r="J104" t="s">
        <v>20</v>
      </c>
      <c r="K104" t="s">
        <v>122</v>
      </c>
      <c r="L104" t="s">
        <v>31</v>
      </c>
      <c r="M104">
        <v>1</v>
      </c>
    </row>
    <row r="105" spans="1:13" x14ac:dyDescent="0.25">
      <c r="A105" s="2">
        <v>46294</v>
      </c>
      <c r="B105" s="1" t="str">
        <f ca="1">IF(Información1[[#This Row],[Fecha]]='Ajuste de fechas'!$A$2,"Día actual","Día anterior")</f>
        <v>Día actual</v>
      </c>
      <c r="C105" t="s">
        <v>119</v>
      </c>
      <c r="D105" t="s">
        <v>120</v>
      </c>
      <c r="E105" t="s">
        <v>247</v>
      </c>
      <c r="F105" t="s">
        <v>15</v>
      </c>
      <c r="G105" t="s">
        <v>131</v>
      </c>
      <c r="H105" t="s">
        <v>46</v>
      </c>
      <c r="I105" t="s">
        <v>7</v>
      </c>
      <c r="J105" t="s">
        <v>34</v>
      </c>
      <c r="K105" t="s">
        <v>127</v>
      </c>
      <c r="L105" t="s">
        <v>31</v>
      </c>
      <c r="M105">
        <v>1</v>
      </c>
    </row>
    <row r="106" spans="1:13" x14ac:dyDescent="0.25">
      <c r="A106" s="2">
        <v>46294</v>
      </c>
      <c r="B106" s="1" t="str">
        <f ca="1">IF(Información1[[#This Row],[Fecha]]='Ajuste de fechas'!$A$2,"Día actual","Día anterior")</f>
        <v>Día actual</v>
      </c>
      <c r="C106" t="s">
        <v>86</v>
      </c>
      <c r="D106" t="s">
        <v>87</v>
      </c>
      <c r="E106" t="s">
        <v>248</v>
      </c>
      <c r="F106" t="s">
        <v>89</v>
      </c>
      <c r="G106" t="s">
        <v>112</v>
      </c>
      <c r="H106" t="s">
        <v>91</v>
      </c>
      <c r="I106" t="s">
        <v>7</v>
      </c>
      <c r="J106" t="s">
        <v>92</v>
      </c>
      <c r="K106" t="s">
        <v>98</v>
      </c>
      <c r="L106" t="s">
        <v>31</v>
      </c>
      <c r="M106">
        <v>1</v>
      </c>
    </row>
    <row r="107" spans="1:13" x14ac:dyDescent="0.25">
      <c r="A107" s="2">
        <v>46294</v>
      </c>
      <c r="B107" s="1" t="str">
        <f ca="1">IF(Información1[[#This Row],[Fecha]]='Ajuste de fechas'!$A$2,"Día actual","Día anterior")</f>
        <v>Día actual</v>
      </c>
      <c r="C107" t="s">
        <v>86</v>
      </c>
      <c r="D107" t="s">
        <v>87</v>
      </c>
      <c r="E107" t="s">
        <v>249</v>
      </c>
      <c r="F107" t="s">
        <v>245</v>
      </c>
      <c r="G107" t="s">
        <v>246</v>
      </c>
      <c r="H107" t="s">
        <v>91</v>
      </c>
      <c r="I107" t="s">
        <v>7</v>
      </c>
      <c r="J107" t="s">
        <v>20</v>
      </c>
      <c r="K107" t="s">
        <v>98</v>
      </c>
      <c r="L107" t="s">
        <v>31</v>
      </c>
      <c r="M107">
        <v>1</v>
      </c>
    </row>
    <row r="108" spans="1:13" x14ac:dyDescent="0.25">
      <c r="A108" s="2">
        <v>46294</v>
      </c>
      <c r="B108" s="1" t="str">
        <f ca="1">IF(Información1[[#This Row],[Fecha]]='Ajuste de fechas'!$A$2,"Día actual","Día anterior")</f>
        <v>Día actual</v>
      </c>
      <c r="C108" t="s">
        <v>86</v>
      </c>
      <c r="D108" t="s">
        <v>87</v>
      </c>
      <c r="E108" t="s">
        <v>250</v>
      </c>
      <c r="F108" t="s">
        <v>22</v>
      </c>
      <c r="G108" t="s">
        <v>227</v>
      </c>
      <c r="H108" t="s">
        <v>91</v>
      </c>
      <c r="I108" t="s">
        <v>7</v>
      </c>
      <c r="J108" t="s">
        <v>30</v>
      </c>
      <c r="K108" t="s">
        <v>98</v>
      </c>
      <c r="L108" t="s">
        <v>33</v>
      </c>
      <c r="M108">
        <v>1</v>
      </c>
    </row>
    <row r="109" spans="1:13" x14ac:dyDescent="0.25">
      <c r="A109" s="2">
        <v>46294</v>
      </c>
      <c r="B109" s="1" t="str">
        <f ca="1">IF(Información1[[#This Row],[Fecha]]='Ajuste de fechas'!$A$2,"Día actual","Día anterior")</f>
        <v>Día actual</v>
      </c>
      <c r="C109" t="s">
        <v>86</v>
      </c>
      <c r="D109" t="s">
        <v>87</v>
      </c>
      <c r="E109" t="s">
        <v>251</v>
      </c>
      <c r="F109" t="s">
        <v>22</v>
      </c>
      <c r="G109" t="s">
        <v>252</v>
      </c>
      <c r="H109" t="s">
        <v>91</v>
      </c>
      <c r="I109" t="s">
        <v>7</v>
      </c>
      <c r="J109" t="s">
        <v>30</v>
      </c>
      <c r="K109" t="s">
        <v>98</v>
      </c>
      <c r="L109" t="s">
        <v>33</v>
      </c>
      <c r="M109">
        <v>1</v>
      </c>
    </row>
    <row r="110" spans="1:13" x14ac:dyDescent="0.25">
      <c r="A110" s="2">
        <v>46294</v>
      </c>
      <c r="B110" s="1" t="str">
        <f ca="1">IF(Información1[[#This Row],[Fecha]]='Ajuste de fechas'!$A$2,"Día actual","Día anterior")</f>
        <v>Día actual</v>
      </c>
      <c r="C110" t="s">
        <v>86</v>
      </c>
      <c r="D110" t="s">
        <v>87</v>
      </c>
      <c r="E110" t="s">
        <v>253</v>
      </c>
      <c r="F110" t="s">
        <v>54</v>
      </c>
      <c r="G110" t="s">
        <v>67</v>
      </c>
      <c r="H110" t="s">
        <v>91</v>
      </c>
      <c r="I110" t="s">
        <v>7</v>
      </c>
      <c r="J110" t="s">
        <v>30</v>
      </c>
      <c r="K110" t="s">
        <v>98</v>
      </c>
      <c r="L110" t="s">
        <v>31</v>
      </c>
      <c r="M1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46294</v>
      </c>
      <c r="B2" s="2">
        <f ca="1">A2-1</f>
        <v>46293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2026-09-29T23:20:54Z</dcterms:modified>
</cp:coreProperties>
</file>