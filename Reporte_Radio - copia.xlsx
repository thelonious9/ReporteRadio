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B2F79924-DCB4-4B52-9A52-7FAF4A19AFD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101" i="2"/>
  <c r="B103" i="2"/>
  <c r="B105" i="2"/>
  <c r="B107" i="2"/>
  <c r="B109" i="2"/>
  <c r="B111" i="2"/>
  <c r="B113" i="2"/>
  <c r="B115" i="2"/>
  <c r="B116" i="2"/>
  <c r="B118" i="2"/>
  <c r="B120" i="2"/>
  <c r="B122" i="2"/>
  <c r="B124" i="2"/>
  <c r="B126" i="2"/>
  <c r="B128" i="2"/>
  <c r="B130" i="2"/>
  <c r="B132" i="2"/>
  <c r="B134" i="2"/>
  <c r="B136" i="2"/>
  <c r="B138" i="2"/>
  <c r="B139" i="2"/>
  <c r="B141" i="2"/>
  <c r="B143" i="2"/>
  <c r="B145" i="2"/>
  <c r="B147" i="2"/>
  <c r="B149" i="2"/>
  <c r="B150" i="2"/>
  <c r="B152" i="2"/>
  <c r="B154" i="2"/>
  <c r="B156" i="2"/>
  <c r="B157" i="2"/>
  <c r="B159" i="2"/>
  <c r="B173" i="2"/>
  <c r="B175" i="2"/>
  <c r="B176" i="2"/>
  <c r="B177" i="2"/>
  <c r="B178" i="2"/>
  <c r="B179" i="2"/>
  <c r="B180" i="2"/>
  <c r="B181" i="2"/>
  <c r="B182" i="2"/>
  <c r="B183" i="2"/>
  <c r="B184" i="2"/>
  <c r="B186" i="2"/>
  <c r="B188" i="2"/>
  <c r="B190" i="2"/>
  <c r="B192" i="2"/>
  <c r="B194" i="2"/>
  <c r="B196" i="2"/>
  <c r="B198" i="2"/>
  <c r="B200" i="2"/>
  <c r="B202" i="2"/>
  <c r="B204" i="2"/>
  <c r="B205" i="2"/>
  <c r="B207" i="2"/>
  <c r="B209" i="2"/>
  <c r="B211" i="2"/>
  <c r="B213" i="2"/>
  <c r="B214" i="2"/>
  <c r="B216" i="2"/>
  <c r="B218"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2" i="2"/>
  <c r="B104" i="2"/>
  <c r="B106" i="2"/>
  <c r="B108" i="2"/>
  <c r="B110" i="2"/>
  <c r="B112" i="2"/>
  <c r="B114" i="2"/>
  <c r="B117" i="2"/>
  <c r="B119" i="2"/>
  <c r="B121" i="2"/>
  <c r="B123" i="2"/>
  <c r="B125" i="2"/>
  <c r="B127" i="2"/>
  <c r="B129" i="2"/>
  <c r="B131" i="2"/>
  <c r="B133" i="2"/>
  <c r="B135" i="2"/>
  <c r="B137" i="2"/>
  <c r="B140" i="2"/>
  <c r="B142" i="2"/>
  <c r="B144" i="2"/>
  <c r="B146" i="2"/>
  <c r="B148" i="2"/>
  <c r="B151" i="2"/>
  <c r="B153" i="2"/>
  <c r="B155" i="2"/>
  <c r="B158" i="2"/>
  <c r="B160" i="2"/>
  <c r="B161" i="2"/>
  <c r="B162" i="2"/>
  <c r="B163" i="2"/>
  <c r="B164" i="2"/>
  <c r="B165" i="2"/>
  <c r="B166" i="2"/>
  <c r="B167" i="2"/>
  <c r="B168" i="2"/>
  <c r="B169" i="2"/>
  <c r="B170" i="2"/>
  <c r="B171" i="2"/>
  <c r="B172" i="2"/>
  <c r="B174" i="2"/>
  <c r="B185" i="2"/>
  <c r="B187" i="2"/>
  <c r="B189" i="2"/>
  <c r="B191" i="2"/>
  <c r="B193" i="2"/>
  <c r="B195" i="2"/>
  <c r="B197" i="2"/>
  <c r="B199" i="2"/>
  <c r="B201" i="2"/>
  <c r="B203" i="2"/>
  <c r="B206" i="2"/>
  <c r="B208" i="2"/>
  <c r="B210" i="2"/>
  <c r="B212" i="2"/>
  <c r="B215" i="2"/>
  <c r="B21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<sst xmlns="http://schemas.openxmlformats.org/spreadsheetml/2006/main" count="2180" uniqueCount="364">
  <si>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</si>
  <si>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</si>
  <si>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</si>
  <si>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</si>
  <si>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</si>
  <si>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</si>
  <si>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</si>
  <si>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</si>
  <si>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</si>
  <si>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</si>
  <si>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</si>
  <si>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</si>
  <si>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</si>
  <si>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</si>
  <si>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</si>
  <si>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</si>
  <si>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</si>
  <si>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</si>
  <si>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</si>
  <si>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</si>
  <si>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</si>
  <si>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</si>
  <si>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</si>
  <si>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</si>
  <si>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SSH</t>
  </si>
  <si>
    <t>Otros</t>
  </si>
  <si>
    <t>Negativa</t>
  </si>
  <si>
    <t>Gobernador</t>
  </si>
  <si>
    <t>Andrés Torres</t>
  </si>
  <si>
    <t>Ke Buena 106.7 FM</t>
  </si>
  <si>
    <t>David Cárdenas</t>
  </si>
  <si>
    <t>Noticias 106.7</t>
  </si>
  <si>
    <t>Súper Stéreo 100.5 FM</t>
  </si>
  <si>
    <t>Rodolfo López</t>
  </si>
  <si>
    <t>Enfoque Regional Meridiano</t>
  </si>
  <si>
    <t>Enfoque Regional Matutino</t>
  </si>
  <si>
    <t>Juan Carlos Santamaria</t>
  </si>
  <si>
    <t>TV local</t>
  </si>
  <si>
    <t>Auxilio a la ciudadanía</t>
  </si>
  <si>
    <t>Canal del Pueblo</t>
  </si>
  <si>
    <t>Vocales Radio</t>
  </si>
  <si>
    <t>NQ 90.1 FM</t>
  </si>
  <si>
    <t>Jesús Riveros</t>
  </si>
  <si>
    <t>Enlace Hidalgo1</t>
  </si>
  <si>
    <t>Enlace Hidalgo2</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</si>
  <si>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</si>
  <si>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</si>
  <si>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</si>
  <si>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</si>
  <si>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</si>
  <si>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</si>
  <si>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</si>
  <si>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</si>
  <si>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</si>
  <si>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</si>
  <si>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</si>
  <si>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</si>
  <si>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</si>
  <si>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</si>
  <si>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</si>
  <si>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</si>
  <si>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</si>
  <si>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</si>
  <si>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</si>
  <si>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</si>
  <si>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</si>
  <si>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</si>
  <si>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</si>
  <si>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DIFH</t>
  </si>
  <si>
    <t>Saderh</t>
  </si>
  <si>
    <t>Eulalio Larrieta agradece a Edith Balderas de la Secretaria de Educación Pública.</t>
  </si>
  <si>
    <t>Bienestar</t>
  </si>
  <si>
    <t>Radiodifusoras</t>
  </si>
  <si>
    <t>Alerta Meteorológica</t>
  </si>
  <si>
    <t>La Poderosa Tuxpan 93.1 FM</t>
  </si>
  <si>
    <t>Combate a la delincuencia</t>
  </si>
  <si>
    <t>Contraloría</t>
  </si>
  <si>
    <t>Turismo</t>
  </si>
  <si>
    <t>Delegación</t>
  </si>
  <si>
    <t>Iniciativa</t>
  </si>
  <si>
    <t>Modernización Tuzobús</t>
  </si>
  <si>
    <t>Rehabilitación Vial</t>
  </si>
  <si>
    <t>Mosco Culex</t>
  </si>
  <si>
    <t>Radio Lobo 96.7 FM</t>
  </si>
  <si>
    <t>Hidalgo en Los Pinos</t>
  </si>
  <si>
    <t>Cultura</t>
  </si>
  <si>
    <t>NN Nuestras Noticias Zona Norte</t>
  </si>
  <si>
    <t>Liz Argüelles</t>
  </si>
  <si>
    <t>Aumento Tarifa De Transporte</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</si>
  <si>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</si>
  <si>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Entrevista pautada</t>
  </si>
  <si>
    <t>Huracán Priscilla</t>
  </si>
  <si>
    <t>Control lirio acuático</t>
  </si>
  <si>
    <t>Gobierno</t>
  </si>
  <si>
    <t>Abasto De Agua</t>
  </si>
  <si>
    <t>Rubén Rocha</t>
  </si>
  <si>
    <t>Cambios En El Gabinete</t>
  </si>
  <si>
    <t>OCSAD</t>
  </si>
  <si>
    <t>Ministerio Público obtuvo la vinculación a proceso para probable responsable de homicidio doloso agravado.</t>
  </si>
  <si>
    <t>PGJEH</t>
  </si>
  <si>
    <t>Vinculación A Proceso</t>
  </si>
  <si>
    <t>Fortalecimiento Policiaco</t>
  </si>
  <si>
    <t>Reunión Gabinete De Seguridad</t>
  </si>
  <si>
    <t>Semarnath</t>
  </si>
  <si>
    <t>Canal 12 Huejutla</t>
  </si>
  <si>
    <t>Contacto Informativo M</t>
  </si>
  <si>
    <t>Despacho</t>
  </si>
  <si>
    <t>Queja transporte público</t>
  </si>
  <si>
    <t>Ministerio Público obtuvo la vinculación a proceso para probable responsable de homicidio doloso agravado</t>
  </si>
  <si>
    <t>Milton Cortés: El día de ayer, la Subsecretaría de Protección Civil y Gestión de Riesgos del Estado advirtió por las lluvias y ráfagas de viento. En Acayuca, Zapotlán de Juárez los fuertes vientos ocasionaron que el techo de una bodega textil resultara afectado, situación que fue atendida oportunamente por Protección Civil el lugar, sin que se reporten personas afectadas. Asimismo, en Progreso de Obregón se presentaron afectaciones por las lluvias como caídas de postes y bardas, situaciones que se atendieron.</t>
  </si>
  <si>
    <t>Atención Afectaciones Por Lluvias</t>
  </si>
  <si>
    <t>Andrés Torres en respuesta a un radioescucha que comenta: felicidades por las nuevas unidades del Tuzobús, esperemos que mejore el servicio y no solamente sea un parche temporal. En las redes sociales circula el rumor de que no son unidades nuevas, que solamente las pintaron; señala que son unidades nuevas y que el retraso de su llegada se derivó por temas en la aduana.</t>
  </si>
  <si>
    <t>Andrés Torres comenta que antes las concesiones para las notarías eran otorgadas de manera discrecional y que con esta iniciativa presentada por el gobernador ahora se busca que se haga dentro de un marco legal. Una iniciativa muy buena para evitar que se otorguen a las amistades.</t>
  </si>
  <si>
    <t>Menchaca impulsa la transformación de la función notarial en Hidalgo</t>
  </si>
  <si>
    <t>El día de hoy habrá sesión en el Congreso en donde se analizarán diversas iniciativas.</t>
  </si>
  <si>
    <t>Congreso</t>
  </si>
  <si>
    <t>Trabajo legislativo</t>
  </si>
  <si>
    <t>Andrés Torres destaca que las unidades nuevas del Tuzobús son de la marca Mercedes Benz y se ha elegido esta marca por su durabilidad y buena operación. Las unidades cuentan con nueva cromática y su entrega se retrasó un poco por temas de la aduana.</t>
  </si>
  <si>
    <t>El gobernador postea en sus redes sociales: ¡38 NUEVAS UNIDADES ALIMENTADORAS! Están listas para ampliar la cobertura y mejorar el servicio de transporte por el mismo costo del pasaje. Seguimos avanzando con estas nuevas unidades por la transformación y la movilidad.</t>
  </si>
  <si>
    <t>Se llevó a cabo la Reunión del Gabinete de Seguridad y en sus redes sociales el gobernador posteó: El gobernador Julio Menchaca encabezó la reunión mensual de gabinete, donde junto al secretario Alejandro Velázquez y el secretario técnico Enrique López, se abordaron temas prioritarios y se dio seguimiento a las acciones en favor de la ciudadanía. Trabajo coordinado para avanzar con resultados para avanzar con resultados. Esta reunión semanal es organizada por la Secretaría del Despacho del gobernador Julio Menchaca. También el gobernador posteó: Definimos acciones para el fortalecimiento y ampliar sus beneficios en favor de las familias hidalguenses.</t>
  </si>
  <si>
    <t>Andrés Torres informa que se quemó el transformador y no tienen electricidad, por lo que la señal del 1010 AM de El Vocero Huasteco está fuera del aire, pero sí se escuchan en 92.7 FM. Se está trabajando para resolver la situación a más de tres semanas de sucedido esto..</t>
  </si>
  <si>
    <t>Andrés Torres hace un reconocimiento a la Secretaría de Obras Públicas por la buena logística que se tiene en la obra del bulevar Santa Catarían, pues contra todos los pronósticos, el tráfico ha fluido muy bien en este lugar.</t>
  </si>
  <si>
    <t>Durante un recorrido por la terminal Téllez del Tuzobús, la titular de la Secretaría de Movilidad y Transporte (Semoth), Lyzbeth Robles Gutiérrez, informó que ya se cuenta con 38 nuevas unidades destinadas a fortalecer las rutas alimentadoras del sistema, cada una con capacidad para 50 personas usuarias. Las unidades incorporadas cuentan con tecnología de monitoreo en tiempo real y sistemas de videovigilancia conectados al centro de control, lo que permitirá mejorar la seguridad y eficiencia en los traslados. La funcionaria destacó que, como parte de la estrategia para fortalecer este sistema de transporte , se llevará a cabo un rediseño de rutas con el objetivo de ampliar la cobertura hacia colonias y fraccionamientos que actualmente no cuentan con acceso al servicio, atendiendo así una de las principales demandas de la población. La renovación de la flota no implicará un incremento en la tarifa, la cual se mantendrá en 10 pesos como costo general y en cinco pesos para personas con discapacidad y adultas mayores con tarjeta preferente. Las nuevas unidades cumplen con la nrmativa ambiental Euro 6, lo que permite reducir significativamente las emisiones contaminantes y avanzar hacia un sistema de transporte más sustentable.</t>
  </si>
  <si>
    <t>La presidenta Claudia Sheinbaum informó que la Secretaría de Relaciones Exteriores (SRE) mandó una nota diplomática a Estados Unidos para indicar que lo enviado para sustentar la solicitud de detenciones provisionales con fines de extradición contra 10 personas, entre ellos el gobernador con licencia, Rubén Rocha, no constituyen una prueba.</t>
  </si>
  <si>
    <t>La titular de Cultura, Neyda Naranjo dijo que la creación del Museo de la Ciudad aún se encuentra en etapa preliminar y sin un monto de inversión definido, debido a que a que el proyecto depende de un diagnóstico técnico y legal que se realiza. Señaló que se requiere una evaluación profunda de las condiciones físicas del edificio y la regularización legal del mismo, para lo cual se trabaja en coordinación con el INAH.</t>
  </si>
  <si>
    <t>Museo de la Ciudad</t>
  </si>
  <si>
    <t>Fue publicado en el Periódico Oficial del Estado de Hidalgo, en su edición del 5 de mayo, el acuerdo con el que se autoriza el incremento en 20 por ciento a las tarifas de transporte público colectivo de pasajeros en la entidad. Sin embargo, los concesionarios deberán hacer la solicitud ante la Secretaría de Movilidad y Transporte del Estado de Hidalgo (Semoth), la solicitud para aplicar el ajuste a su respectiva tarifa. El numeral quinto del acuerdo señala que: “Las personas concesionarias del servicio de transporte público, en la modalidad de colectivo, deberán iniciar el trámite correspondiente ante las unidades administrativas competentes del Sistema de Transporte Convencional de Hidalgo, a efecto de obtener el tarifario actualizado, de acuerdo con el municipio y la ruta autorizada, de conformidad con los respectivos montos determinados en el Anexo del dictamen técnico, siendo ambos parte integrante del presente Acuerdo”.</t>
  </si>
  <si>
    <t>En México se realizará hoy a las 11 de mañana el Primer Simulacro Nacional.</t>
  </si>
  <si>
    <t>Simulacro Sismo</t>
  </si>
  <si>
    <t>SSPH detiene a dos distribuidores de sustancias ilícitas en Actopan</t>
  </si>
  <si>
    <t>Combate Al Narcomenudeo</t>
  </si>
  <si>
    <t>Durante la noche de este lunes se registró una pelea múltiple en el fraccionamiento El Mio Cid, del municipio de Tizayuca, según reportes de las autoridades participaron al menos 15 personas. Los hechos se registraron sobre circuito pirules en inmediaciones de un depósito de cervezas, los involucrados se encontraban ingiriendo bebidas alcohólicas y tras una acalorada discusión comenzaron a agredirse a golpes y hasta con machetes. Tras recibir el reporte mediante el Cecopaz oficiales de seguridad ciudadana se trasladaron hasta el lugar de los hechos en coordinación con paramédicos de Protección Civil y Bomberos quienes trasladaron a uno de los afectados al HGZ Número 33 para su atención médica.</t>
  </si>
  <si>
    <t>Durante cateo por narcomenudeo, PGJEH detuvo a siete personas en posesión de narcóticos, armas de fuego y equipo táctico</t>
  </si>
  <si>
    <t>Agentes de la División de Investigación de la Procuraduría General de Justicia del Estado de Hidalgo (PGJEH), ejecutaron orden de aprehensión contra una persona identificada como A. F. A. G., a quien se le investiga por homicidio calificado en agravio de cuatro personas y homicidio calificado en grado de tentativa en agravio de una. Los hechos que se le imputan al probable responsable ocurrieron en mayo de 2022, cuando el ahora aprehendido en compañía de otra persona, dispararon armas de fuego contra las víctimas, en las inmediaciones del mercado 1 de mayo, de Pachuca. Personal de la PGJEH, inició las indagatorias y se allegó de datos de prueba con los que solicitó la orden de aprehensión contra A. F. A. G., misma que fue concedida y ejecutada este 4 de mayo por elementos de la Agencia de Investigación Criminal.</t>
  </si>
  <si>
    <t>Aprehensión</t>
  </si>
  <si>
    <t>El titular de la Secretaría de Infraestructura, Comunicaciones y Transportes (SICT) en Hidalgo, Pablo Olvera Sánchez, informó en conferencia de prensa que se destinarán 200 millones de pesos para concluir los trabajos de la nueva carretera Real del Monte-Huasca, como parte del programa de Construcción y Modernización de Carreteras Federales. En este presupuesto se considera la iluminación de dos túneles que quedaron en penumbras tras el robo de cable (El Mineral y Vicente Guerrero), este último considerado el segundo de mayor extensión en el país, con 700 metros lineales. En tanto, señaló que hace dos semanas fue repuesto el cable sustraído en el túnel Omitlán que cuenta con 435 metros lineales. Entre otras acciones, explicó, se incluyen trabajos de estabilización de taludes y medidas para la mitigación de impactos ambientales.</t>
  </si>
  <si>
    <t>Carretera Huasca</t>
  </si>
  <si>
    <t>El gobernador de Hidalgo, Julio Menchaca Salazar, informó que el proyecto del Centro Administrativo de Atención para el Pueblo (CASP), que se construye sobre en el bulevar Felipe Ángeles, presenta un avance superior al 50 por ciento, por lo que se prevé que la obra quede concluida en diciembre de este año y comience a operar en el primer trimestre de 2027. El gobernador adelantó que próximamente se anunciarán modificaciones en la zona del bulevar Felipe Ángeles para mejorar la movilidad y accesos al complejo administrativo. Indicó que ya se han sostenido acercamientos con el Tecnológico de Monterrey y que se recuperó un espacio detrás del Teletón para habilitar nuevas vialidades.</t>
  </si>
  <si>
    <t>Complejo Gubernamental</t>
  </si>
  <si>
    <t>Daniel Martínez comenta que el proyecto denominado Centro Administrativo y de Servicios para el Pueblo (CASP), con una inversión de 2, 771, 385, 214 pesos; poco menos de la tercera parte de lo que se destinó en principio para la rehabilitación de infraestructura social dañada por la vaguada monzónica, así como la reubicación de las casas afectadas. En este sentido, comenta que han existido críticas de que es un monto muy alto para la construcción de edificios y es un presupuesto que se pudo aplicar en obras y acciones. En su opinión, dice, que solo espera que la construcción de este edificio se rentable y se debe fortalecer el tema de la atención en los Centros Regionales Administrativos del estado, porque se tiene la sensación de que la inversión se está centralizando e Hidalgo también es la Huasteca, Valle del Mezquital, Valle de Tulancingo; etc. hace flat inversión también en los espacios descentralizados para atención de la población.</t>
  </si>
  <si>
    <t>El gobierno de Hidalgo aportará recursos para obras complementarias de vivienda, mientras que la federación se encargará de la reubicación de familias afectadas por la vaguada monzónica, informó María Esther Ramírez Vargas, secretaria de Hacienda estatal. La funcionaria indicó que hay una bolsa de 4 mil millones de pesos, aunque el monto específico para dicha infraestructura se definirá conforme a los expedientes técnicos. La proyección inicial para la reconstrucción de 28 municipios afectados fue por 8 mil 115 millones 506 mil 952 pesos; del total, el 71 por ciento lo aportará el Gobierno de México y el 29 por ciento restante la entidad hidalguense. Play Video La edificación de casas estará a cargo de la Secretaría de Desarrollo Agrario, Territorial y Urbano (Sedatu); sin embargo, Ramírez Vargas señaló que “aun cuando se trabaja de la mano con el gobierno federal”, también se invertirá dinero estatal. Del total estatal, 2 mil millones son economías que corresponden al año pasado y los 2 mil millones de pesos restantes fueron presupuestados para este ejercicio fiscal, explicó.</t>
  </si>
  <si>
    <t>Hacienda</t>
  </si>
  <si>
    <t>86 familias provenientes de diez localidades del municipio de San Bartolo Tutotepec, están identificadas para ser reubicadas, debido a los daños registradas en sus viviendas derivado de las torrenciales lluvias registradas en octubre del año pasado. Lo anterior fue informado por el alcalde Ubaldo González Vargas, señalando que ya se tienen identificados tres predios donde podrían construirse las nuevas viviendas, los cuales están siendo revisados por instancias federales y estatales para determinar su viabilidad. En las revisiones participan la Secretaría de Desarrollo Agrario, Territorial y Urbano y la Secretaría de Vivienda, entre otras dependencias, cuyos representantes ya realizaron recorridos y censos familia por familia para verificar daños, recabar documentación y confirmar quiénes están dispuestos a ser reubicados. El alcalde reconoció que, al tratarse de un proyecto con financiamiento federal y estatal, aún no se tiene precisión sobre los montos de inversión ni sobre los tiempos exactos de ejecución. Sin embargo, existe la posibilidad de que la construcción de las viviendas inicie en el transcurso de este año, una vez que se concluyan los estudios de viabilidad de los predios.</t>
  </si>
  <si>
    <t>Reubicación de viviendas</t>
  </si>
  <si>
    <t>La Secretaría del Bienestar federal seleccionó para este año a mil 438 comunidades indígenas de Hidalgo que serán beneficiarias del programa FAISPIAM, cantidad que redujo ligeramente en comparación con las mil 441 localidades que recibieron recursos de ese fondo federal durante 2025. Recientemente la dependencia federal publicó el acuerdo para dar a conocer las variables y fuentes de información disponibles para la aplicación de la fórmula de distribución del Fondo de Aportaciones para la Infraestructura Social de los Pueblos y Comunidades Indígenas y Afromexicanas (FAISPIAM) del ejercicio 2026. En todo el país el monto total asignado al componente FAISPIAM para las comunidades indígenas asciende a 13 mil 506 millones 70 mil 241 pesos; sin embargo la dependencia federal no precisó el recurso que le corresponde a cada estado. Al respecto, el delegado de Programas para el Bienestar en Hidalgo, Abraham Mendoza Zenteno indicó que próximamente darán a conocer la cantidad total que llegará a la entidad derivado de ese fondo federal y el nombre de las comunidades beneficiadas. Mientras tanto, están terminando de planear la programación de las asambleas en las comunidades indígenas las cuales se llevarán a cabo durante mayo y parte de la primera semana de junio, dijo.</t>
  </si>
  <si>
    <t>Programas Del Bienestar</t>
  </si>
  <si>
    <t>En Cabina Verónica Domínguez relata que el 10 de mayo se cumple un año sin ver a su hija derivado de que su ex pareja se llevó a la niña a Nuevo León y ha obstruido el vínculo parental. Acusa que en Pachuca su ex pareja trabajaba como servidor público y esto le facilitó hacer uso de influencias y lo sigue haciendo ahora en Escobedo, Nuevo León. Asevera que en Hidalgo las autoridades se lavaron las manos. "La jueza del Primero de los Familiar Beatriz Nieto Beltrán Velázquez, se lavó las manos y por solicitud del padre de su hija remitió el expediente a Nuevo León aún viendo muchas inconsistencias en el caso." asegura seguirá luchando por su hija.</t>
  </si>
  <si>
    <t>ITESA impulsa economía social con participación en red estatal NODESS</t>
  </si>
  <si>
    <t>Economía social</t>
  </si>
  <si>
    <t>Radioescucha: dos semanas que no sube el agua a los tinacos en la zona de Caltengo.</t>
  </si>
  <si>
    <t>Vía telefónica el reporte de Bombero y Protección Civil con Abner Yáñez informa que se atendieron incendios de pasto seco y basura, entre otras emergencias reportadas por la ciudadanía. Asimismo se atendieron dos incendios forestales.</t>
  </si>
  <si>
    <t>Limpieza de afluentes y mantenimiento de vasos de agua, sobre todo represas ubicadas en la zona alta de Santiago Tulantepec, son las recomendaciones realizadas por personal de la Comisión Nacional del Agua (Conagua) delegación Hidalgo. Edmundo Hernández Chimal, director municipal de Bomberos y Protección Civil, acompañó a los representantes de la instancia federal en el recorrido realizado hace unos días en distintos puntos del municipio. En la zona de Altepemila, se recomendó hacer deshierbe en las dos represas así como en los canales para riego agrícola con objetivo de evitar posibles anegamientos e incluso inundaciones durante la temporada de lluvias. Para la represa ubicada en Las Marianas, ubicada en los límites con el municipio de Singuilucan, se recomendó desenzolvar y también deshierbar el dren, pues no tiene vertedor, sólo un tubo por el cual se desfoga el agua. En la localidad de Sangre de Cristo, durante la anterior administración municipal se colocó una costalera para prevenir anegamientos por desborde de las aguas de las dos represas existentes, además de trazar el cauce de ambos vaso de agua.</t>
  </si>
  <si>
    <t>Desazolve</t>
  </si>
  <si>
    <t>Durante la primera quincena de verificaciones en tianguis, plazas y puestos con manejo de alimentos, el Gobierno Municipal de Tulancingo reporta un balance positivo, reflejo de avances significativos en la aplicación de medidas obligatorias en materia de seguridad y protección civil. Actualmente, los tianguis del PST, del jueves, Solidaridad, Paraíso, Napateco y Vicente Guerrero cuentan con extintores y aplican la colocación de barreras físicas alrededor de cocinas, estufas y comales; además, en cumplimiento de la normativa vigente, únicamente utilizan tanques de gas de 10 kilogramos. En materia de capacitación, los tianguistas del PST y del tradicional tianguis del jueves recibieron formación teórico-práctica por parte de la Dirección de Protección Civil, enfocada en el manejo adecuado de extintores. En espacios como el tianguis Solidaridad, se ha contado con la presencia de personal de Protección Civil del Estado de Hidalgo, lo que ha permitido ampliar los alcances de las inspecciones y fortalecer los resultados obtenidos.</t>
  </si>
  <si>
    <t>Prevención De Riesgos</t>
  </si>
  <si>
    <t>Debido a las altas temperaturas, en lo que va del año en Hidalgo ya se reportó el primer caso de golpe de calor y correspondió a un paciente de 75 años. En el corte de la semana 15 se tienen identificados 44 casos de deshidratación. La Secretaría de Salud de Hidalgo (SSH) dio a conocer que en abril se registró un caso de golpe de calor en un hombre originario del municipio de Emiliano de Zapata, ya que los días 9 y 11 del mes pasado la temperatura máxima fue de 37 grados. Detalló que es el único caso en este 2026. Por otra parte, la Dirección General de Epidemiología (DGE) de la Secretaría de Salud federal reveló que de enero hasta la primera quincena de abril en Hidalgo se registraron 44 casos de deshidratación, cifra que incrementó en comparación con 13 pacientes reportados el mismo periodo del 2025. Del total de casos de deshidratación en el estado, 22 son de pacientes mujeres y 22 de hombres, además la dependencia federal reportó dos casos de quemaduras solares, una mujer y un hombre.</t>
  </si>
  <si>
    <t>Golpe de calor</t>
  </si>
  <si>
    <t>El 85 por ciento de agresores sexuales hacia infancias y adolescencias se encuentran en el entorno familiar o son personas de confianza, señalan estudios realizados sobre seguridad a dicho grupo de población. El dato fue otorgado por Abigail de la Cruz, presidenta de Fundación Naho, que se encarga de la prevención y atención a la violencia sexual. Por lo cual señaló que es importante fortalecer la comunicación y con ello la confianza entre los integrantes de la familia y con ello disminuir la posibilidad de que se registren casos de agresiones sexuales. Para ello, entre otras acciones, la fundación ha realizado entre octubre del año pasado y marzo de este, 15 talleres y conversatorios para dar a conocer las señales de alerta sobre dichas agresiones. En total se ha impactado a 12 mil 970 personas, entre estudiantes, madres, padres de familia y tutores, así como a educadores, administrativos y personal de apoyo de las comunidades educativas atendidas. De la Cruz señaló que en dichas actividades se han tocado temas como la prevención del abuso sexual infantil, educación sexual y el conocimiento, así como las señales de alerta para atender el tema. También se tocan temas como el grooming y los riesgos digitales, así como el uso seguro de la internet y las redes sociales.</t>
  </si>
  <si>
    <t>Abuso Sexual</t>
  </si>
  <si>
    <t>TV Cable hidalguense Canal 6</t>
  </si>
  <si>
    <t>Contigo Noticias</t>
  </si>
  <si>
    <t>Nacionales Conade</t>
  </si>
  <si>
    <t>TSJEH</t>
  </si>
  <si>
    <t>Influyentismo</t>
  </si>
  <si>
    <t>Más de 37 millones de personas participaron en el Primer Simulacro Nacional 2026 en México el 6 de mayo, marcando una participación histórica en el 40 aniversario de Protección Civil. El ejercicio, realizado a las 11:00 horas, involucró 167 mil 810 inmuebles en 2,421 municipios bajo diversas hipótesis de riesgo, incluyendo un sismo de magnitud 8.2.</t>
  </si>
  <si>
    <t>Tener un terreno “en regla” sigue siendo un pendiente para muchas familias, y en Tulancingo ya se están moviendo para cambiar esa realidad. A través de la Dirección de Ordenamiento Territorial y Agrario (DOTA), el gobierno municipal ha puesto en marcha un trabajo que combina asesoría gratuita, coordinación con otras dependencias y prevención de conflictos, con el objetivo de reducir la informalidad en asentamientos. En lo que va de la actual administración, decenas de familias han recibido apoyo para regularizar sus predios en zonas como El Paraíso, Zapotlán de Allende y Mimila. Los resultados ya se empiezan a notar: se han entregado 127 títulos de propiedad y 37 escrituras en colonias como El Paraíso, Paraíso Norte, Ahuehuetitla e Industrial. La estrategia no va sola. De acuerdo con la alcaldesa, se trabaja de la mano con instancias estatales y federales para ampliar el alcance. Por ejemplo, se proyecta la entrega de cerca de 400 escrituras en el Ejido El Paraíso, además de avances en la regularización de nueve polígonos más en coordinación con autoridades federales. Esto abriría la puerta para que colonias como Lomas del Pedregal, Las Américas y Ahuehuetitla accedan por primera vez a la certeza jurídica de su patrimonio, un paso clave para poder heredar, vender o invertir sin riesgos legales. Al mismo tiempo, el municipio ha reforzado campañas para alertar sobre fraudes en la venta de terrenos irregulares, un problema que suele afectar a quienes buscan comprar patrimonio a bajo costo. La apuesta, aseguran autoridades, es clara: que más familias pasen de la incertidumbre a tener documentos en regla y tranquilidad sobre su patrimonio.</t>
  </si>
  <si>
    <t>Certeza jurídica</t>
  </si>
  <si>
    <t>Respecto a la nota del aumento tarifa de transporte, Jesús Riveros e Irving Sánchez hacen llamado a los operadores del transporte ya que, en ocasiones son groseros, no manejan con responsabilidad, conducen con música todo volumen, además de que no respetan el pago a personas de la tercera edad, sobre todo en las rutas de Tulancingo-Cuautepec, aunado a lo anterior, la mayoría de las unidades están en mal estado. Derivado de los anterior comparten los números de teléfono para que las y los ciudadanos puedan emitir sus quejas correspondientes.</t>
  </si>
  <si>
    <t>A partir de este miércoles, entra en vigor la actualización de las tarifas para la prestación del servicio público de transporte de pasajeros en su modalidad colectiva en Hidalgo. La medida cobró validez tras ser publicado el acuerdo correspondiente ayer 5 de mayo de 2026 en el Periódico Oficial del Estado de Hidalgo. Entre las obligaciones previstas en los artículos los concesionarios del transporte público en Hidalgo están obligados a tener sus tarifarios actualizados y visibles en las unidades, conforme a las disposiciones de la Secretaría de Movilidad y Transporte de Hidalgo (Semoth) y el Sistema de Transporte Convencional de Hidalgo.</t>
  </si>
  <si>
    <t>Este 5 de mayo, cerca de 350 jóvenes hidalguenses, residentes de la zona metropolitana de Pachuca, se incorporaron al Servicio Militar Nacional y rindieron protesta en la 18 Zona Militar. Se les informó de las acciones que llevarán a cabo durante el año de servicio que prestarán al país. En el día en que se rememora la Batalla de Puebla, los nacidos entre 2007 y 2008 presentaron su documentación para el inicio de la prestación del servicio y adiestramiento básico que deben realizar de manera obligatoria los varones; mientras que para las mujeres es opcional.</t>
  </si>
  <si>
    <t>Servicio militar</t>
  </si>
  <si>
    <t>Gobierno de Hidalgo participa en el Primer Simulacro Nacional 2026</t>
  </si>
  <si>
    <t>Economía Creativa</t>
  </si>
  <si>
    <t>El más reciente reporte del Servicio Nacional de Sanidad, Inocuidad y Calidad Agroalimentaria sobre el gusano barrenador, encendió alertas en el Valle del Mezquital al ubicar casos en los municipios de Cardonal e Ixmiquilpan, en cada unas de las demarcaciones se registra un caso. El gobierno municipal en Cardonal emitió un comunicado en el que menciona la existencia de posibles casos en la demarcación, por lo que llamó a la implementación de estrategias y medidas sanitarias en mascotas y ganado. Mientras que, en Ixmiquilpan, las autoridades locales no han emitido postura alguna ni han proporcionado datos sobre el caso referido en el reporte, manteniendo en incertidumbre a la ciudadanía La plaga del gusano barrenador puede generar afectaciones graves, principalmente en el ganado, si no se atiende de manera oportuna y con protocolos adecuados.</t>
  </si>
  <si>
    <t>Gusano barrenador</t>
  </si>
  <si>
    <t>Durante cateo por narcomenudeo, PGJEH detuvo a siete personas en posesión de narcóticos, armas de fuego y equipo táctico.</t>
  </si>
  <si>
    <t>Policía Estatal detiene a responsables de asalto a comercio en Tizayuca.</t>
  </si>
  <si>
    <t>El Congreso del Estado de Hidalgo participa activamente en los Simulacros Nacionales, incluyendo la edición del 6 de mayo de 2026, con hipótesis de sismo de magnitud 8.2. Estas acciones fortalecen la cultura de protección civil, evacuando ordenadamente a personal y visitantes para prevenir riesgos, con la activación de brigadas internas y alerta sísmica. (AUDIO AVV).</t>
  </si>
  <si>
    <t>Respecto al boletín de Contraloría sobre el “Buzón Digital” locutor David Cárdenas comentó que es una medida muy buena, porque si bien es cierto que, cuando uno no está de acuerdo con el servicio que recibe, hay que hacer una llamada, hay que hacer la observación, pero, cuando nos brindan el servicio que estamos esperando y consideramos que se está realizando adecuadamente, también es justo hacer el reconocimiento a la labor que se realiza. Muchas veces se señala (es su trabajo) pero siempre habrá un gran estímulo cuando reconocemos el trabajo que están haciendo los demás en nuestro favor, es bueno saber que ha un teléfono de ida, pero también de regreso.</t>
  </si>
  <si>
    <t>Buzón digital</t>
  </si>
  <si>
    <t>Buzón digital fortalece la participación social y la transparencia</t>
  </si>
  <si>
    <t>Más cobertura y mejor servicio: Tuzobús se fortalece sin afectar el bolsillo de las familias.</t>
  </si>
  <si>
    <t>Locutor Jesús Riveros da lectura a comentario de radioescuchas que se pronuncian sobre el aumento de tarifa al transporte público, piden que ojalá con este aumento, se mejoren las condiciones de las unidades, el trato de los choferes y se contraten choferes responsables y educados.</t>
  </si>
  <si>
    <t>Entrevista vía telefónica Apolinar Ávila González, representante y dirigente de la Unión de Transportistas Metropolitanos del Estado de Hidalgo - Habló sobre el aumento a la tarifa de transporte público, mismo que ya fue publicado en el POEH, por lo que, será responsabilidad de los concesionarios realizar el trámite de las nuevas tarifas, además de que trabajarán en los compromisos establecidos con la Semot.</t>
  </si>
  <si>
    <t>Columna a media semana “El hombre es su palabra” decía el maestro de la oratoria, José Muñoz Cota; Y si alguien supo hacer de la palabra el instrumento para destacar su figura, fue el hidalguense Augusto Ponce Coronado, abogado y doctor en Ciencia Política; sus amigos y conocidos más cercanos lo llamaban cariñosamente “El socio”, pero la mayoría de quienes lo conocieron se referían a él como maestro, por sus destacadísimas virtudes como orador, cualidad que le mereció reconocimiento y respeto durante su vida que lamentablemente se apagó este martes, no así, su ejemplo y recuerdo como sobresaliente servidor público. Descanse en Paz don Augusto.</t>
  </si>
  <si>
    <t>Condolencias</t>
  </si>
  <si>
    <t>Joel Sánchez</t>
  </si>
  <si>
    <t>Columna a media semana - Aunque pasó casi inadvertida, en la Comision de Derechos Humanos del Estado de Hidalgo, se suscitó la destitución de Briseida Eugenia Martínez Rosales como titular de la Visitaduría General del organismo, designándose en su lugar a Enrique de Jesús Pérez Garnica; pero no es un movimiento cualquiera, sino que surge a dos semanas de que la activista Pamela Alvasanto, denunció por medio de redes sociales, el haber recibido amenazas por parte de la ahora ex-funcionaria, persona que además fue señalada en diversas ocasiones por los trabajadores de la CDHEH, por el maltrato hacia a ellos, práctica que también se le atribuye a su presidenta Ana Karen Parra Bonilla. Qué descaro, que en vez de proteger los DDHH, terminen amenazando a quienes buscan su apoyo.</t>
  </si>
  <si>
    <t>CDHEH</t>
  </si>
  <si>
    <t>Destitución</t>
  </si>
  <si>
    <t>Columna a media semana - Quien no parece atinarle a la selección de los funcionarios que integran su equipo de trabajo, es el presidente municipal de Mineral de la Reforma, Eduardo Medécigo Rubio, pues hace unos días se dieron a conocer 5 movimientos y enroques en diversas dependencias de la administración pública; sobresale la designación de Pablo Jaramillo Alvarez como nuevo secretario general, pero no por su perfil, sino por ser el tercero en ocupar dicho cargo y eso que apenas va la mitad del periodo de gobierno; sustituye a Jesús Escamilla Baños que antes reemplazó a Abdón Suárez Alvarado. Con esto suman más de 12 cambios en el gabinete municipal, lo que es visto ya como signo de mucha inestabilidad interna.</t>
  </si>
  <si>
    <t>Columna a media semana - El gobierno municipal de Pachuca que preside el alcalde Jorge Alberto Reyes, descalificó las afirmaciones de un medio de comunicación de la CDMX, que divulgó un presunto desvío millonario en contratos de obra pública y servicios con recursos federales durante el 2024; de acuerdo al ayuntamiento, no hay ninguna observación o daño al erario en dicho ejercicio fiscal. De ser cierto es muy buena noticia para los pachuqueños, pero en especial para Jorge Reyes y su antecesor Sergio Baños Rubio que gobernó los primeros 8 meses de ese año, por lo que la aclaración llega en muy buen momento para frenar todo tipo de especulaciones.</t>
  </si>
  <si>
    <t>Desvío de recursos</t>
  </si>
  <si>
    <t>Columna a media semana - Durante la puesta en operación de 232 modernas patrullas y la entrega de equipamiento táctico para servicio de los hidalguenses, el secretario de Seguridad Pública del estado, Salvador Cruz Neri, rindió un breve informe de labores de su gestión, como si se estuviese despidiendo. Según él se han recuperado 6 millones 548 mil 364 litros de combustible robado y detenido a 347 personas relacionadas; también habló de la recuperación de cientos de vehículos y- el decomiso de miles de dosis de drogas; Y aunque todo suena bien, presumió que en coordinación con otras instancias de los 3 órdenes de gobierno, han asegurado a 5 mil 465 individuos vinculados a diversos ilícitos, lo cual suena extraño y a cuentas alegres, porque si fuera cierto, la población penitenciaria estaría casi al doble.</t>
  </si>
  <si>
    <t>Transforma SIPDUS camino rural en vialidad pavimentada en localidad de Francisco I. Madero</t>
  </si>
  <si>
    <t>Pavimentación</t>
  </si>
  <si>
    <t>Narcolaboratorio</t>
  </si>
  <si>
    <t>Entrevista vía telefónica Neyda Naranjo, secretaria de Cultura - Hidalgo en Los Pinos - Habló sobre la participación de “Hidalgo en Los Pinos” el próximo 9 y 10 de mayo, con el objetivo de visibilizar la riqueza cultural de la entidad y promover el patrimonio vivo de sus comunidades, se contará con una amplia oferta gastronómica y artesanal con productos de diferentes regiones del Estado. Dicho evento, contará con la participación de representantes de 50 municipios. “Hidalgo llegará a Los Pinos para compartir lo que somos, nuestra cultura viva, diversa y orgullosa que transforma desde nuestras raíces”, expresó.</t>
  </si>
  <si>
    <t>A partir de este miércoles, entra en vigor la actualización de las tarifas para la prestación del servicio público de transporte de pasajeros en su modalidad colectiva en Hidalgo. La medida cobró validez tras ser publicado el acuerdo correspondiente ayer 5 de mayo de 2026 en el Periódico Oficial del Estado de Hidalgo. El acuerdo publicado en el POEH señala a las personas concesionarias y conductoras del servicio de transporte público en la modalidad de colectivo que deberán cumplir estrictamente con las obligaciones establecidas en la Ley de Movilidad y Transporte para el Estado de Hidalgo y su Reglamento, así como en los términos y condiciones bajo los cuales les fueron otorgadas las concesiones. Entre las obligaciones previstas en los artículos 151 y 152 de la citada ley, destaca la exigencia de realizar mantenimiento preventivo y correctivo a los vehículos para garantizar condiciones físico-mecánicas óptimas que aseguren la integridad de los usuarios. Asimismo, tanto concesionarios como conductores están obligados a asistir a programas de capacitación y profesionalización para brindar un trato digno y respetuoso a la ciudadanía.</t>
  </si>
  <si>
    <t>Senado de la República autorizó el ingreso temporal de personal militar de Estados Unidos para participar en labores de adiestramiento en territorio mexicano, incluyendo el estado de Hidalgo. La aprobación solicitada por la presidenta Claudia Sheinbaum fue respaldada por mayoría legislativa con 105 votos a favor y 3 en contra. El despliegue se va a desarrollar durante un periodo de 77 días, entre agosto y octubre, y va a abarcar actividades en Hidalgo, así como en los estados de Campeche y Estado de México.</t>
  </si>
  <si>
    <t>Adiestramiento militar</t>
  </si>
  <si>
    <t>Entrevista grabada subsecretario de Protección Civil en el Estado de Hidalgo, Román Bernal Díaz, quien habló sobre las temperaturas de hasta 40 y 45 grados em la Huasteca, hizo hincapié en las recomendaciones para evitar sufrir de un golpe de calor o de deshidratación, AUDIO APOYO</t>
  </si>
  <si>
    <t>Entrevista grabada subsecretario de Protección Civil en el Estado de Hidalgo, Román Bernal Díaz, quien habló sobre las temperaturas de hasta 40 y 45 grados. ¿Cuál es el nivel de riesgo actual para la población? Bueno, en relación a las temperaturas, el nivel de riesgos, estar expuestos durante largos periodos de tiempo a los rayos del sol. Esto nos puede provocar afectaciones en la salud directamente. Podría ser un golpe de calor, una deshidratación o quemaduras en la piel. ¿Qué zonas del Estado están en mayor alerta por justamente golpe de calor? Sí, miren, las temperaturas máximas que se van a registrar el día de hoy es en la zona de la Huasteca. Vamos a tener temperaturas que van a oscilar de 35, 40, incluso hasta 45 grados en algunos puntos.</t>
  </si>
  <si>
    <t>Radioescucha reporta que ayer tomó un taxi a las 9 de la noche y le cobró $80.00 pesos de Plaza Bella a la Aquiles; no son ni 2 kilómetros.</t>
  </si>
  <si>
    <t>Alteración tarifa de transporte</t>
  </si>
  <si>
    <t>Eulalio Larrieta agradece a Carlos Gamiño por estar al pendiente de temas</t>
  </si>
  <si>
    <t>A partir de este 6 de mayo, entró en vigor el ajuste a las tarifas del transporte público en Hidalgo, luego de su publicación oficial en el periódico oficial del estado de Hidalgo. La medida, anunciada previamente por la Secretaría de Movilidad y Transporte, aplica para las mil doscientas setenta y dos rutas que operan en la entidad bajo la modalidad de servicio colectivo.De acuerdo con el decreto, el incremento en el costo del pasaje varía según el tipo de recorrido y servicio, con ajustes que van desde los dos hasta los veinticuatro pesos. La actualización tarifaria se implementa apenas dos días después de su anuncio, formalizando así un cambio que impacta directamente en la movilidad diaria de miles de usuarios en el estado, AUDIO APOYO</t>
  </si>
  <si>
    <t>Hablando del aumento a la tarifa del transporte público, ya se hizo el ajuste, Aún no se ha publicado en el periódico oficial del estado y no ha entrado en vigor; de hecho, usted se enteró, aquí, en Enfoque Regional, de este ajuste, ya está definido, vienen dos cambios importantes, el aumento del veinte por ciento, y un esquema de tarifas escalonadas. Aún no se ha publicado en el periódico oficial del estado y no ha entrado en vigor. Esto significa que el costo del pasaje ya no será igual para todos, sino que dependerá de la distancia recorrida, principalmente en rutas colectivas que operan en Pachuca, Mineral de la Reforma, Zempoala, y municipios cercanos, también estamos hablando, por ejemplo, municipios como Tecozautla, Cardonal, también de la Sierra Baja, que de la Sierra Alta, que tienen diferentes tarifas de acuerdo a los recorridos que se realizan, por eso, este esquema de tarifas escalonadas. El aumento busca, dijo el gobernador Julio Menchaca Salazar, mejorar la calidad del servicio. Se buscó el equilibrio, había, ya fueron varios años que no había un aumento, este, se analizaron las solicitudes de los transportistas, pero también la economía de los usuarios.Ya se anunció, pero aún no ha sido publicado en el periódico oficial del gobierno del estado. Es decir, aún no se puede aplicar este aumento hasta que sea publicado en el periódico. Porque ya algunos choferes, algunos concesionarios, ya se adelantaron desde ayer.</t>
  </si>
  <si>
    <t>Policía Estatal detiene a responsables de asalto a comercio en Tizayuca</t>
  </si>
  <si>
    <t>En Atitalaquia, personal de la Agencia de Investigación Criminal de la Procuraduría General de Justicia del estado de Hidalgo, mediante cateo por narcomenudeo, detuvo a siete personas en posesión de armas de fuego, cartuchos útiles, equipo táctico, y sustancias con apariencia de estupefacientes. En las acciones ministeriales que se llevaron a cabo en la colonia Dendhóse aseguraron chalecos balísticos, vehículos, dos armas largas y dos armas cortas, las cuatro con cargadores abastecidos, además de chalecos balísticos y cartuchos útiles.Las personas detenidas y un adolescente de identidad reservada, pues ya fueron puestos a disposición de las autoridades correspondientes.</t>
  </si>
  <si>
    <t>En Atitalaquia, personal de la Agencia de Investigación Criminal de la Procuraduría General de Justicia del estado de Hidalgo, mediante cateo por narcomenudeo, detuvo a siete personas en posesión de armas de fuego, cartuchos útiles, equipo táctico, y sustancias con apariencia de estupefacientes. En las acciones ministeriales que se llevaron a cabo en la colonia Dendhóse aseguraron chalecos balísticos, vehículos, dos armas largas y dos armas cortas, las cuatro con cargadores abastecidos, además de chalecos balísticos y cartuchos útiles.Las personas detenidas y un adolescente de identidad reservada, pues ya fueron puestos a disposición de las autoridades correspondientes. Los indicios asegurados quedaron también a disposición del Ministerio Público. Las personas detenidas serán presentadas ante un juez de control para que, pues, se dicte una fecha de audiencia inicial y que se pueda dar la vinculación a proceso en cuanto continúen las investigaciones / PGJEH/Bol.034/2026</t>
  </si>
  <si>
    <t>Durante un evento encabezado por el gobernador Julio Menchaca Salazar, enfocado en el fortalecimiento de los servicios públicos, en coordinación con Pemex, se dio a conocer este importante anuncio. El representante de Pemex, Raúl Ojeda, informó que se contempla la entrega de maquinaria destinada a en la presa Endhó, una de las principales demandas en materia ambiental.</t>
  </si>
  <si>
    <t>"NN Nuestras Noticias ""El Resumen"""</t>
  </si>
  <si>
    <t>Tomás Sosa</t>
  </si>
  <si>
    <t>Radioescucha en Avenida de la Palma, la que inicia por la casa de la tercera edad; están varias coladeras del drenaje profundo; ya están en muy malas condiciones.</t>
  </si>
  <si>
    <t>Drenaje</t>
  </si>
  <si>
    <t>Familiares de Roberto N. se manifestaron en la Procuraduría de Hidalgo. Exigen justicia y la detención del presunto responsable de su muerte. La protesta surge ante la nula captura del presunto homicida, plenamente identificado como Alexis, quien el pasado 28 de febrero terminó con la vida de José Roberto tras una disputa en un bar en Tlanalapa. AUDIO APOYO.Jonathan Valdez, titular de la Unidad Especializada en Investigación de Homicidios, confirma la existencia de una orden de aprehensión vigente. En la práctica, el presunto asesino continúa evadiendo la acción de la ley</t>
  </si>
  <si>
    <t>Exigen esclarecer homicidio</t>
  </si>
  <si>
    <t>Presidentas y presidentes municipales de Hidalgo expresaron su agradecimiento al gobierno estatal por la entrega de patrullas y equipo táctico destinados a reforzar las labores de seguridad pública en sus demarcaciones. Señalaron que estos recursos permitirán mejorar la capacidad de respuesta de las corporaciones policiales, así como fortalecer la vigilancia y prevención del delito en colonias y comunidades.Los ediles coincidieron en que el trabajo coordinado entre los tres órdenes de gobierno es clave para garantizar la tranquilidad de la población, por lo que destacaron la importancia de continuar impulsando acciones conjuntas en materia de seguridad. Es de verdad que muy fortalecido, agradezco mucho a nuestro amigo el gobernador Julio Menchaca por todo el apoyo que les tengo. La verdad que ha sido una situación compleja, pero no difícil. AUDIO DE APOYO</t>
  </si>
  <si>
    <t>El Gobierno Municipal de Mineral de la Reforma precisó que la intervención en un domicilio particular derivó de una denuncia ante la Unidad Especializada en la Investigación de Delitos Contra los Animales de la Procuraduría General de Justicia del Estado de Hidalgo. El operativo, realizado en apoyo a la autoridad ministerial, contó con la participación de la Secretaría de Seguridad Ciudadana, la Dirección K9 y especialistas del Hospital con Garra para verificar el bienestar animal.Durante la inspección, el personal fue atendido por Juan “N”, quien se identificó como tutor de los caninos; en el sitio se detectó el hacinamiento de aproximadamente 20 animales en un área de apenas 15 a 20 metros cuadrados. Ante el hallazgo de estas condiciones de resguardo y salud, se notificó al responsable que sería citado para dar seguimiento al procedimiento legal correspondiente en la carpeta de investigación.</t>
  </si>
  <si>
    <t>Maltrato animal</t>
  </si>
  <si>
    <t>Más cobertura y mejor servicio: Tuzobús se fortalece sin afectar el bolsillo de las familias, AUDIO APOYO</t>
  </si>
  <si>
    <t>Gina Lorenzo</t>
  </si>
  <si>
    <t>Habitantes de comunidades cercanas a la presa Endhó detuvieron los trabajos del tren México - Querétaro en el tramo correspondiente a Nopala de Villagrán. Alrededor de 250 pobladores se concentraron en la zona de San Sebastián para exigir una respuesta inmediata de autoridades federales, estatales y municipales ante las condiciones que aseguran afectan su salud y calidad de vida. El reclamo central gira en torno a la proliferación del mosco cúlex y la expansión de lirio acuático, AUDIO APOYO</t>
  </si>
  <si>
    <t>ENLACE CON RAQUEL LINARES DESDE MICHIMALOYA. Da cuenta que se reúnen los pobladores en el centro de la comunidad para manifestarse en el tema de la plaga mosco cúlex en presa Endhó-.Desde el centro de Michimaloya, Tula de Allende se dirigen a San Sebastián para bloquear los accesos a la construcción del Tren México-Querétaro. Es una manifestación de tiempo indefinido. Buscan que autoridades federales (Semarnat o Conagua) se presenten para cumplir las minutas de trabajo ya firmadas. Enfatizaron que no habrá bloqueos carreteros. En caso de ir al Arco Norte, la acción consistiría únicamente en el levantamiento de plumas en las casetas para permitir el paso libre.Alrededor de 40 personas de diversos municipios como Tula y Tepetitlán. Se espera que el contingente aumente conforme avance el día.</t>
  </si>
  <si>
    <t>Es entendible la situación que están viviendo estos pobladores, eh, platicando con ellos, comentan que ya a las cinco de la tarde, pues tienen que cerrar ventanas, puertas, eh, para evitar que los mosquitos entren a sus domicilios, y así tienen que estar adentro de sus casas, sin poder salir, pero también ya hay una respuesta por parte del gobierno federal, Félix Brambilla, de Conagua, anunció que se iba a iniciar ya con las fumigaciones, eh, ya se tiene un calendario, de hecho, de fumigación para estas comunidades, vamos a, o estamos ya, intentando tener comunicación con, por parte del gobierno federal, para que explique cómo será este plan de fumigación, y así combatir la presencia del mosco cúlex</t>
  </si>
  <si>
    <t>Hoy, pobladores de las comunidades que abarcan la presa Endhó, saldrán a manifestarse tras su hartazgo por la presencia del mosco cúlex, el aumento de este mosquito a causa del lirio acuático del embalse. No permitirán que sigan los trabajos del tren México – Querétaro. Además aducen que abrirán las casetas del Arco norte; que su manifestación es Pacífica pero que lamentan tener que hacerlo pues ya es insoportable la situación. Los pobladores se mantienen firmes en la convocatoria (7:00 a.m.) y advierten que no se detendrán hasta que el impacto de la plaga disminuya notablemente mediante acciones reales y no solo promesas en papel.AUDIO DE APOYO MANIFESTANTES</t>
  </si>
  <si>
    <t>La compañera Claudia Alcántara, tuvo oportunidad de conversar con el presidente municipal de Tula de Allende, Cristhian Martínez, acerca de la gira de trabajo que se está realizando en esta administración para hacer entrega de las obras públicas, también conocer las necesidades de los habitantes y eventos por motivo del 10 de Mayo, AUDIO APOYO</t>
  </si>
  <si>
    <t>Obras De Infraestructura</t>
  </si>
  <si>
    <t>Enlace Noticias</t>
  </si>
  <si>
    <t>Transforma SIPDUS camino rural en vialidad pavimentada en localidad de Francisco I. Madero.</t>
  </si>
  <si>
    <t>Radioescucha reporta a las urban que van para Pachuquilla - Piracantos pasan manejando a gran velocidad por Avenida Magisterio.</t>
  </si>
  <si>
    <t>En Hidalgo, el simulacro fue encabezado desde Palacio de Gobierno en Pachuca por el gobernador Julio Menchaca Salazar y coordinado por el subsecretario de protección civil Román Bernal Díaz, como parte de las acciones para fortalecer la cultura de prevención ante emergencias.AUDIO APOYO</t>
  </si>
  <si>
    <t>Este miércoles seis de mayo se llevó a cabo el primer simulacro nacional 2026 en todo el país bajo la hipótesis de un sismo de magnitud 8.2 con epicentro en la costa de Guerrero. El ejercicio incluyó la activación de alertas a través de altavoces y registró una amplia participación de la ciudadanía.</t>
  </si>
  <si>
    <t>Comento conductor Eulalio Larrieta que hoy miércoles 6 de mayo, a las 11:00 horas, el primer simulacro nacional del año</t>
  </si>
  <si>
    <t>Radioescucha reporta que el verificentro de Actopan no tenía caso de hacer la cita porque tardas más de 3 horas en el sol; me dijeron que la copia que llevaba no pasaba, y si las llevas, de todos modos te cobran; fue un caos.</t>
  </si>
  <si>
    <t>Verificentros</t>
  </si>
  <si>
    <t>La Procuraduría General de Justicia del Estado de Hidalgo informó que a través de la unidad especializada para la investigación de homicidios dolosos y narcomenudeo, se obtuvo la vinculación a proceso de una persona identificada con iniciales GVE por su probable responsabilidad en el delito de homicidio doloso agravado. Los hechos ocurrieron el pasado trece de abril de dos mil veintiséis, al interior de un domicilio ubicado en la colonia Antorchas, en el municipio de Tizayuca, donde una menor de un año de edad perdió la vida tras ser agredida. Derivado de las investigaciones, el Ministerio Público reunió los datos de pruebas necesarios para solicitar una orden de aprehensión, la cual fue cumplimentada por agentes de la División de Investigación. Ya en audiencia, la autoridad judicial determinó la vinculación a proceso de la imputada y dictó como medida cautelar la prisión preventiva oficiosa</t>
  </si>
  <si>
    <t>La Secretaría de Seguridad Pública, Tránsito y Vialidad de Pachuca informó que, gracias a una respuesta inmediata y coordinación interinstitucional, se logró la localización y resguardo de dos adolescentes que contaban con una ficha de búsqueda activa en la Ciudad de México. El hallazgo ocurrió en un inmueble de la colonia Santa Julia, específicamente sobre la calle Pasadizo, tras una solicitud de colaboración de las autoridades capitalinas. Este operativo representa un seguimiento exitoso a los protocolos de búsqueda regional. Recientemente, se ha intensificado la vigilancia en zonas residenciales de la capital hidalguense para detectar paraderos de personas reportadas como no localizadas en estados vecinos.</t>
  </si>
  <si>
    <t>Localización de persona</t>
  </si>
  <si>
    <t>Con el objetivo de combatir la plaga del escarabajo descortezador que afecta árboles de la especie oyamel en la comunidad de San Miguel Cerezo, el Ayuntamiento de Pachuca y la Comisión Nacional Forestal realizaron la firma de convenio de colaboración para la integración de brigadas de saneamiento forestal. En el evento participaron el alcalde de Pachuca, Jorge Reyes; el secretario de Medio Ambiente y Desarrollo Sustentable del municipio, Ricardo Miguel Arroyo Tinoco; representantes de la CONAFOR y el regidor Manelich Mondragón. Durante el acto se informó que estas acciones permitirán intervenir alrededor de 2 mil hectáreas de zona forestal, mediante un programa de trabajo proyectado para desarrollarse durante ocho meses.</t>
  </si>
  <si>
    <t>Gusano Descortezador</t>
  </si>
  <si>
    <t>Mara Olvera y su columna Ajedrez Político habla del posicionamiento del gobernador Julio Menchaca en el ranking de los 5 mejores gobernadores del país, esto a pesar del golpeteo político por parte de detractores como Carolina Viggiano. Destaca que este posicionamiento se debe a la buena labor en favor de los hidalguenses.</t>
  </si>
  <si>
    <t>Aprobación Gobernador</t>
  </si>
  <si>
    <t>Mara Olvera</t>
  </si>
  <si>
    <t>Anuncia Edda Vite mejoras a los Centros de Rehabilitación Integral Regional en Hidalgo</t>
  </si>
  <si>
    <t>El día de ayer Miguel Tello estuvo en Apan reuniéndose con productores de cebada, revisando la agenda para atender las principales demandas como el agua, fertilizantes y la venta de su producto.</t>
  </si>
  <si>
    <t>Cebaderos</t>
  </si>
  <si>
    <t>En un ambiente lleno de alegría, reconocimiento y convivencia, se llevó a cabo el emotivo “Homenaje a la Mujer” con motivo de las celebraciones del Día de las Madres El evento contó con la presencia del secretario general, Said Vargas Sáenz, secretario general de la sección XV del Sindicato Nacional de Trabajadores de la Educación (SNTE) quien destacó la entrega, fortaleza y amor de las mujeres que forman parte del magisterio y de las familias hidalguenses Durante esta celebración también estuvo presente Natividad Castrejón Valdez, secretario de educación de Hidalgo, quien compartió este momento especial con maestras y trabajadoras de la educación</t>
  </si>
  <si>
    <t>Día de la madre</t>
  </si>
  <si>
    <t>Transmisión de un audio mediante el cual el Secretario de Educación Pública, Natividad Castejón hace una invitación a la muestra de "Hidalgo en los Pinos" el 9 y 10 de mayo en el Complejo Cultural de Los pinos en la Ciudad de México.</t>
  </si>
  <si>
    <t>Arrancan en Yahualica las Rutas de la Transformación</t>
  </si>
  <si>
    <t>Ruta de la Transformación</t>
  </si>
  <si>
    <t>Gobierno de Hidalgo y Pemex consolidan alianza para el fortalecimiento de servicios públicos</t>
  </si>
  <si>
    <t>Donación Pemex</t>
  </si>
  <si>
    <t>Ayer el gobernador julio Menchaca participó en el simulacro nacional de sismo.</t>
  </si>
  <si>
    <t>Simulacro sismo</t>
  </si>
  <si>
    <t>Andrés Torres señala que le piden que les recuerde a las autoridades, sobre todo a las municipales, para que se hagan fumigaciones en la presa Endhó porque hay una plaga de mosco culex que a veces hace imposible salir de las casas por la enorme cantidad de moscos. La Semarnath a nivel estatal y federal realizan trabajos en el lugar, pero la gente pide atención.</t>
  </si>
  <si>
    <t>Andrés Torres en respuesta a un radioescucha que pregunta por qué ya no publica su sección "AEIOU", dice que es debido a la carga de trabajo y la falta de personal, sumado a que todo lo que necesitan para trabajar es propiedad privada, porque ni una grabadora o un lápiz les dan en su centro de trabajo. Asegura que trabajan con "pura buena voluntad"</t>
  </si>
  <si>
    <t>hoy el gobernador Julio Menchaca estará en Yahualica con la Ruta de la Transformación a las 10:45 de la mañana y en Atlapexco alrededor del mediodía.</t>
  </si>
  <si>
    <t>Emanuel Hernández, alcalde Ixmiquilpan anunció cambios en su gabinete al nombrar a Jaime González como nuevo Secretario municipal, quien dijo, es su compañerito del kinder y a ver si con este se lleva bien. Anunció más cambios entre ellos la remoción del cargo de Ernesto Espinosa del área de Reglamentos de quien aún no se tienen sustituto.</t>
  </si>
  <si>
    <t>Dentro de las instalaciones de la presidencia municipal de Mineral de la Reforma, ayer una mujer intentó quietarse la vida. Se dice que es trabajadora del ayuntamiento, que padece una enfermedad importante y no cuenta con los medicamentos necesarios para atender su enfermedad. Fue atendida y se encuentra fuera de peligro. La información trascendió por más que quisieron ocultarlo y decir que esto sucedió en el kisoco.</t>
  </si>
  <si>
    <t>Evitan suicidio</t>
  </si>
  <si>
    <t>Se espera que hoy vecinos de Xochihuacán bloqueen la carretera México-Sahagún, esto en protesta porque las autoridades municipales no hacen limpieza de los canales de aguas negras.</t>
  </si>
  <si>
    <t>Andrés Torres informa que se quemó el transformador y no tienen electricidad, por lo que la señal del 1010 AM de El Vocero Huasteco está fuera del aire, pero sí se escuchan en 92.7 FM. Si no se cuenta con gasolina, menos con diesel para prender las plantas de energía de la estación. Está fuera del aire la estación insignia de la Radio Estatal, la que transmite en náhuatl y castellano. Se está trabajando para resolver la situación a casi un mes de sucedido esto.</t>
  </si>
  <si>
    <t>Se reporta un fuerte incendio en la comunidad de El Sótano, municipio de Jacala, dentro del Parque Nacional Los Mármoles. Personas de los cuerpos de emergencia del municipio y de la Semarnath continúan con las labores de combate y control del incendio.</t>
  </si>
  <si>
    <t>Incendios forestales</t>
  </si>
  <si>
    <t>Un acto de extrema crueldad animal en Huejutla, provocó enojo e indignación entre habitantes y activistas, quienes exigieron la pronta identificación y sanción de los responsables. De acuerdo con denunciantes, sujetos desconocidos prendieron fuego a un perro, causándole lesiones graves en la parte trasera del cuerpo. El animal murió a consecuencia de las quemaduras. Una persona que se encontraba en la zona intervino para auxiliarlo; sin embargo, las heridas resultaron letales. Organizaciones y defensores de los derechos de los animales en Hidalgo solicitaron a la ciudadanía aportar información que permita ubicar a los agresores y presentar la denuncia correspondiente ante el Ministerio Público. Subrayaron que este tipo de hechos no pueden quedar impunes.</t>
  </si>
  <si>
    <t>Tras señalamientos de posibles sacrificios en Mineral de la Reforma, la Dirección de Bienestar Animal negó las acusaciones y mencionó que hay 70 gatos y perros bajo el resguardo del ayuntamiento, asimismo, el alcalde Eduardo Medécigo aseveró que las mascotas son prioridad para su administración municipal. En entrevista con medios de comunicación, el encargado del Hospital con Garra, Juan Miguel Trejo Reyes, informó que un total de 175 perros y gatos han sido dados en adopción responsable desde el inicio de la actual administración municipal.</t>
  </si>
  <si>
    <t>Bienestar Animal</t>
  </si>
  <si>
    <t>La intervención en el espacio ocupado como resguardo de animales de compañía, fue en atención al acompañamiento de la Procuraduría General de Justicia estatal, tras denuncia sobre las malas condiciones en que vivían animales de compañía, señaló el ayuntamiento de Mineral de la Reforma. De acuerdo con el municipio la intervención referida se dio en respuesta a una denuncia presentada ante la Unidad Especializada en la Investigación de Delitos Contra los Animales de la Procuraduría General de Justicia del Estado de Hidalgo, instancia competente para conocer y dar seguimiento. En atención a la solicitud ministerial, la Secretaría de Seguridad Ciudadana municipal, a través de la dirección K9, así como personal especializado del Hospital con Garra, acudieron a verificar las condiciones de resguardo, salud y bienestar de los animales señalados en la carpeta de investigación. Al arribar al lugar referido, Juan les manifestó ser tutor de los caninos, pero en la inspección visual se constató la presencia de cerca de 20 animales en un espacio aproximadamente de 15 a 20 metros cuadrados, por lo que se le informó que sería citado por la autoridad competente para dar seguimiento al procedimiento legal en curso.</t>
  </si>
  <si>
    <t>Una mujer de aproximadamente 50 años de edad, en aparente estado de crisis, se provocó lesiones menores en una de sus extremidades superiores con la ayuda de un artículo punzocortante en las inmediaciones de las instalaciones del Sistema DIF municipal de Mineral de la Reforma. La situación se registró alrededor del mediodía del miércoles 6 de mayo, siendo atendida de inmediato la mujer, identificada por las iniciales de su nombre, A.M.L.M., por personal médico del organismo asistencial municipal. Gracias a esta oportuna intervención, se evitó que las lesiones pusieran en riesgo la integridad de la mujer. Se informó que la persona en cuestión mantiene un tratamiento médico, de acuerdo con su historial clínico, la mujer se ha sometido a diversos estudios físicos y neurológicos, resultando con enfermedades psiquiátricas. No fue necesaria su hospitalización, sin embargo fue llevada a su domicilio con el apoyo de un médico, así como de personal de la Unidad de Primer Contacto del Sistema DIF, y quedó en resguardo de familiares.</t>
  </si>
  <si>
    <t>Por presuntos actos de violencia política contra las mujeres en razón de género, la presidenta municipal de Apan, Zorayda Robles Barrera, presentó una denuncia en contra del regidor morenista Carlos Derik Olvera Sumano. La alcaldesa evitó acudir al Tribunal Electoral del Estado de Hidalgo (TEEH) y en su lugar ingresó la denuncia ante la Comisión Nacional de Honestidad y Justicia (CNHJ) de Movimiento de Regeneración Nacional (Morena), pues son emanados del mismo instituto político. De acuerdo con el expediente CNHJ-HGO-117/2026, la queja fue recibida el 24 de febrero de este año por el órgano interno del partido. En el documento, la presidenta municipal también acusa presuntos actos de “denostación, calumnia, falta de probidad en el ejercicio del cargo público y posibles actos de corrupción”. La Comisión Nacional de Honestidad y Justicia informó que el recurso fue admitido el 15 de abril pasado y se concedió al regidor un plazo de 48 horas para responder a las acusaciones formuladas en su contra. Sin embargo, el escrito de contestación fue enviado fuera del plazo establecido en el reglamento interno de Morena, pues la respuesta llegó el 22 de abril, cuando el límite había vencido desde el 19 del mismo mes.</t>
  </si>
  <si>
    <t>Violencia Política De Género</t>
  </si>
  <si>
    <t>El presidente del Colegio de Notarios del Estado de Hidalgo, Pedro Luis Noble Monterrubio, confirmó la existencia de investigaciones en la Procuraduría estatal por el delito de suplantación de funciones, debido a que se hicieron pasar por notarios y emitieron documentos sin validez, pero se negó a especificar el número de casos. En la sesión de este miércoles, se presentó ante el Congreso local el oficio GEH/029/2026 enviado por el gobernador estatal, Julio Menchaca Salazar; esto para la creación de la Ley del Notario para el Estado de Hidalgo. La iniciativa con proyecto de decreto fue turnada a la Primera Comisión Permanente de Legislación y Puntos Constitucionales para estudio, análisis y resolución correspondiente. En entrevista con medios de comunicación, Noble Monterrubio mencionó que el Colegio acudió al Poder Legislativo para ponerse a las órdenes de los diputados, pero aseguró que son respetuosos de los tiempos legislativos y su objetivo no es presionar para la dictaminación de la propuesta. "Somos respetuosos de los tiempos del congreso... (La iniciativa) es un trabajo de más de 50 sesiones, fueron casi 3 años de trabajo de estudios semanales con funcionarios de gobierno, con notarios, académicos y con la intervención del Colegio Nacional de Notarios", expresó sobre el documento presentado. Pedro Luis Noble confirmó a medios de comunicación que el Colegio de Notarios del Estado de Hidalgo detectó a varias personas que se hacían pasar por titulares de notarías públicas y emitían documentos sin validez oficial, por lo que los casos fueron informados a la Procuraduría General de Justicia del Estado de Hidalgo (PGJEH).</t>
  </si>
  <si>
    <t>Usurpación De Funciones</t>
  </si>
  <si>
    <t>Rehabilitación CRIRH</t>
  </si>
  <si>
    <t>Radioescucha: llevo mucho tiempo sin agua y he pagado mi toma y solo se echan la bolita y no resuelven.</t>
  </si>
  <si>
    <t>SEPH y SNTE reconocen a más de 2 mil trabajadoras de la educación</t>
  </si>
  <si>
    <t>Vía telefónica Neyda Naranjo, secretaria de Cultura informó sobre la participación de “Hidalgo en Los Pinos” el próximo 9 y 10 de mayo, con el objetivo de visibilizar la riqueza cultural de la entidad y promover el patrimonio vivo de sus comunidades, se contará con una amplia oferta gastronómica y artesanal con productos de difeentes regiones del Estado. Dicho evento, contará con la participación de representantes de 50 municipios.</t>
  </si>
  <si>
    <t>Hidalgo en los Pinos</t>
  </si>
  <si>
    <t>El avance del gusano barrenador del ganado, continúa generando preocupación en Hidalgo, donde su presencia no solo se mantiene, sino que sigue expandiéndose en distintas regiones del estado. En un periodo de apenas cuatro días, la cifra de casos reportados registró un aumento significativo, lo que confirma que el control de esta plaga aún enfrenta importantes desafíos. De acuerdo con el más reciente corte, los contagios pasaron de 420, contabilizados al 30 de abril de 2026, a un total de 460 al 4 de mayo. Es decir, se sumaron 40 nuevos casos en menos de una semana, lo que refleja una propagación acelerada. Con este panorama, Hidalgo se ubica actualmente en la posición número once a nivel nacional en cuanto a incidencia de esta problemática sanitaria. Más allá del incremento en los casos, uno de los aspectos que más llama la atención es la rápida dispersión geográfica. Según información actualizada del Servicio Nacional de Sanidad, Inocuidad y Calidad Agroalimentaria (Senasica), la presencia del gusano barrenador ya se ha extendido a 58 municipios. Cabe recalcar que apenas unos días antes, el registro contemplaba 52 demarcaciones. En otras palabras, la plaga alcanzó seis nuevos municipios en un lapso muy corto, lo que evidencia la velocidad con la que se está desplazando dentro del estado. El reporte técnico también detalla que, de los casos detectados, al menos 125 continúan activos. Esto significa que aún representan un foco de riesgo para la propagación del parásito, ya que pueden convertirse en nuevos puntos de contagio si no se atienden de manera oportuna.</t>
  </si>
  <si>
    <t>En la misma jornada que habitantes de la ribera de la presa Endhó se manifestaron para exigir la erradicación del mosco cúlex, el Gobernador del Estado de Hidalgo, Julio Menchaca, se comprometió a realizar acciones para ello. La mañana del miércoles 6 de mayo, pobladores de la zona bloquearon el acceso en las comunidades de San Antonio y Michimaloya, sobre la carretera a Macua en Tula de Allende. Otro grupo de personas se manifestaron en las inmediaciones de las obras del Tren México – Querétaro, sobre la carretera San Antonio – Héroes Carranza, dentro del municipio de Tula. A los bloqueos se sumaron habitantes de la localidad de San Sebastián de Juárez, municipio de Nopala de Villagrán, también afectados por la plaga de mosco. Los manifestantes señalaron que la proliferación del mosco cúlex afecta la salud de la población, así como de animales de granja y de compañía. Previo a la manifestación, la alcaldesa de Tepetitlán señaló que desde hace meses se había señalado que a partir del aumento de temperaturas la proliferación del insecto aumentaría. Enfatizó que inicialmente parecía un problema en zonas cercanas a la ribera de la presa, hoy se ha extendido a todo el municipio e incluso a localidades aledañas, afectando la calidad de vida de la población. La alcaldesa señaló que las medidas implementadas hasta ahora no han sido efectivas; ya que las fumigaciones se realizan mediante termonebulización, técnica que está matando a la fauna menos al mosco cúlex, el cual incluso ha desarrollado resistencia. En un evento desarrollado en la misma jornada, el gobernador de Hidalgo, Julio Menchaca Salazar reconoció que la proliferación de esta planta representa un problema cíclico que afecta directamente a las comunidades cercanas a la presa Endhó. En dicho evento, se anunció que Petróleos Mexicanos aportará maquinaria especializada, con un costo estimado entre 25 y 28 millones de pesos, además de diésel para su operación. Se explicó que el equipo será destinado a la limpieza del cuerpo de agua, en coordinación con instancias como la Comisión Nacional del Agua y la Secretaría de la Defensa Nacional, que ya han brindado apoyo previo. Menchaca destacó que, además de retirar el lirio, se busca impulsar proyectos para su aprovechamiento, con el objetivo de generar alternativas productivas a partir de este recurso.</t>
  </si>
  <si>
    <t>Lirio Acuático</t>
  </si>
  <si>
    <t>Radioescuchas reportan que en el transporte público ya les están cobrando la nueva tarifa, aún sin contar con el tarifario correspondiente.</t>
  </si>
  <si>
    <t>A través de la Dirección de Ordenamiento Territorial y Agrario (DOTA), una de las pocas instancias de su tipo en Hidalgo, el gobierno de Tulancingo combina atención ciudadana, coordinación institucional y prevención de conflictos, con el objetivo de reducir la informalidad en asentamientos humanos. En lo que va de la administración, ciudadanos han recibido asesoría gratuita para regularizar predios ubicados en zonas como los ejidos El Paraíso, Zapotlán de Allende y Mimila. Como resultado, se han concretado 127 títulos de propiedad y 37 escrituras en colonias como El Paraíso, Paraíso Norte, Ahuehuetitla e Industrial, mientras otros procesos continúan en curso. El enfoque del municipio, de acuerdo a la alcaldesa Lorena García Cazares, se sustenta en la articulación con instancias estatales y federales. “En coordinación con la Comisión Estatal de Vivienda, se proyecta la entrega de cerca de 400 escrituras en el Ejido El Paraíso durante la actual administración. Asimismo, mediante un convenio con el Instituto Nacional del Suelo Sustentable, se avanza en la regularización de nueve polígonos adicionales” detalló la presidenta municipal. Este esfuerzo permitirá que colonias como Lomas del Pedregal, Las Américas y Ahuehuetitla accedan por primera vez a alrededor de 400 escrituras, ampliando el acceso a la legalidad patrimonial.</t>
  </si>
  <si>
    <t>Instituciones públicas, empresas privadas, particulares, responsables de asociaciones y organizaciones deben realizar sus capacitaciones en materia de protección civil, así como establecer sus protocolos de evacuación y atención a emergencias. Así lo señaló Jesús García Ávila, director de Bomberos y Protección Civil en Tulancingo, en el marco del primer simulacro nacional, donde el gobierno municipal participó este miércoles 6 de mayo. “Tenemos qué acostumbrarnos a que deben de hacer sus ejercicios de simulacros y evacuación”, señaló en invitación para que tanto las instituciones públicas como los particulares conformen sus respectivos comités de Protección Civil y se capaciten en prevención y atención a emergencias. De acuerdo al mando, en Tulancingo sólo se registró ante la Coordinación Nacional de Protección Civil para participar en este primer simulacro, sólo el gobierno municipal y una clínica. García Ávila afirmó que se hizo el llamado para hacer el registro a los consultores de Protección Civil de varias instituciones, escuelas y particulares en Tulancingo, para que participaran en el simulacro nacional. En el caso del edificio de la alcaldía, en el simulacro llevado a cabo este miércoles 6 de mayo se disminuyeron los tiempos de evacuación de 4 minutos con 11 segundos registrados el año pasado a 3 minutos con 53 segundos en esta ocasión.</t>
  </si>
  <si>
    <t>Fue publicado en el Periódico Oficial del Estado de Hidalgo, en su edición del 5 de mayo, el acuerdo con el que se autoriza el incremento en 20 por ciento a las tarifas de transporte público colectivo de pasajeros en la entidad. Sin embargo, los concesionarios deberán hacer la solicitud ante la Secretaría de Movilidad y Transporte del Estado de Hidalgo (Semoth), la solicitud para aplicar el ajuste a su respectiva tarifa. El numeral quinto del acuerdo señala que: “Las personas concesionarias del servicio de transporte público, en la modalidad de colectivo, deberán iniciar el trámite correspondiente ante las unidades administrativas competentes del Sistema de Transporte Convencional de Hidalgo, a efecto de obtener el tarifario actualizado, de acuerdo con el municipio y la ruta autorizada, de conformidad con los respectivos montos determinados en el Anexo del dictamen técnico, siendo ambos parte integrante del presente Acuerdo”. “Una vez que se dé cumplimiento al párrafo que antecede, las personas concesionarias del servicio de transporte público en la modalidad colectivo, deberán de portar el tarifario autorizado en un lugar visible sin que obstaculice la visibilidad hacia el exterior”. Se prevé que a partir de este fin de semana, de manera paulatina, se comiencen a aplicar las nuevas tarifas con el ajuste porcentual señalado.</t>
  </si>
  <si>
    <t>“Tenemos qué cambiar como sociedad el ´chip´, y considerar lo que realmente necesita un niño”, enfatizó Edda Vite Ramos, Presidenta del Patronato del Sistema DIF Hidalgo, al referirse a las solicitudes recibidas por parte de personas en otorgar un nuevo hogar a una niña, un niño o un adolescente. “Tenemos el concepto de que todo mundo queremos bebés de un año que estén sanos, que estén bonitos y que les auguremos que van a ser excelentes estudiantes”. Consideró que lo primordial es considerar el bienestar que se le debe garantizar a la persona a quien se le otorga un nuevo hogar. Vite Ramos señaló, por ejemplo, que “hay niños discapacitados y nos los solicitan”, así como quienes provienen de entornos sociales complicados, por lo que se les debe brindar atenciones y cuidados para su desarrollo emocional y físico, entre los principales aspectos. La Presidenta del organismo asistencial en el Estado de Hidalgo señaló que el más alto porcentaje de posibilidad de contar con un nuevo hogar, son niñas y niños menores de un año de edad.</t>
  </si>
  <si>
    <t>Adopción De Menores</t>
  </si>
  <si>
    <t>Ante el importante incremento de suicidios, sobre todo entre adolescentes, el diputado en el Congreso del Estado de Hidalgo, Marco Antonio Mendoza Bustamante, presentó una iniciativa para implementar acciones preventivas, sobre todo en planteles escolares. Con ello se busca reformar la Ley de Educación del Estado de Hidalgo, con objetivo de implementar programas de capacitación dirigidos a docentes y alumnos, a efecto de detectar los posibles casos de suicidio. El legislador local señaló que se ha registrado un alza en la entidad en materia de suicidio estudiantil y adolescente entre 2024 y 2025, incluso superando las cifras a las de homicidios en la entidad, con 126 casos en total. Los casos se han registrado principalmente en las zonas metropolitanas de Pachuca, Tulancingo y Tizayuca, con un importante registro de personas entre los 15 a 19 años de edad. Por lo que propuso establecer un trabajo coordinado entre autoridades educativas, el sector salud, los municipios y las sociedades de padres de familia para implementar los programas señalados.</t>
  </si>
  <si>
    <t>Este jueves y viernes el gobernador del estado Julio Menchaca Salazar reanudará las Rutas de la Transformación en la huasteca hidalguense. Estaremos informando por supuesto al respecto.</t>
  </si>
  <si>
    <t>El día de ayer Hidalgo abrió actividad en la disciplina de natación, donde el hidalguense Derek Hernández logró un destacado cuarto lugar en la prueba 200 metros mariposa, separándose tan solo un segundo del podio, las actividades se desarrollan en la ciudad de León, Guanajuato, donde los atletas continúan trabajando en cada prueba.</t>
  </si>
  <si>
    <t>La secretaría de bienestar alertó sobre una página falsa que ofrece un supuesto apoyo de 2550 pesos por el día de las madres, niega que exista este bono para las mamás y por favor no se deje sorprender, vamos con la información nacional.</t>
  </si>
  <si>
    <t>Alerta De Fraude</t>
  </si>
  <si>
    <t>Vía telefónica durante su participación semanal David Cárdenas y el tema del posicionamiento del gobierno federal en el caso del gobernador de Sinaloa, Rubén Rocha Moya.</t>
  </si>
  <si>
    <t>El subsecretario de Protección Civil y Gestión de Riesgos del Estado de Hidalgo, el doctor Román Bernal Díaz, advirtió sobre las altas temperaturas que se registrarán en los próximos días, las cuales incrementan el riesgo de incendios forestales y de pastizales. En este contexto, el funcionario emitió recomendaciones dirigidas a la población para prevenir afectaciones a la salud como golpes de calor ante estas condiciones climáticas.</t>
  </si>
  <si>
    <t>En este momento son las 11 de la mañana en punto, en donde da inicio el primer simulacro nacional 2026 al cual el estado de Hidalgo se une. Ya podemos escuchar la alarma de emergencia, la cual está dando inicio a la evacuación de las personas. Igualmente en algunos dispositivos móviles se puede estar escuchando en este momento la alarma de emergencia. En unos momentos más estaremos viendo como aquí en el edificio de Palacio de Gobierno, el cual se encuentra a mis espaldas, las personas trabajadoras empiezan a evacuar este edificio, localizando las rutas establecidas previamente, localizando también las salidas de emergencia. Durante el ejercicio, el Subsecretario de Protección Civil y Gestión de Riesgos del Estado, Román Bernal Díaz, dio a conocer los datos técnicos del simulacro. Estos indicadores permiten evaluar la capacidad de respuesta y la efectividad de los protocolos aplicados durante este tipo de ejercicios preventivos. Por su parte, el gobernador del estado emitió un mensaje en el que destacó la importancia de este tipo de actividades, al señalar que los simulacros fortalecen la cultura de la prevención y preparan a la población para actuar de manera oportuna ante una emergencia, contribuyendo así a salvaguardar vidas.</t>
  </si>
  <si>
    <t>El titular de la Unidad de Planeación y Prospectiva, Miguel Ángel Tello Vargas, habló acerca de la tecnificación de los distritos de Riego. "Hay que recordar que el programa de tecnificación tiene varios componentes. Existen los componentes que tienen que ver con la mejora en los canales principales secundarios, que el avance creo que es bastante considerable. Su gran mayoría de los 3 puntos donde se están construyendo, que es la región de Ixmiquilpan, la región de Tula, Tlahuelilpan."</t>
  </si>
  <si>
    <t>Tecnificación De Riego</t>
  </si>
  <si>
    <t>El diputado federal por la huasteca, Daniel Andrade se refirió a la próxima visita a esta región del mandatario estatal y señaló que seguramente traerá anuncios importantes como cada vez que va. Destacó que gracias al gobernador se cuenta con nuevos caminos rurales.</t>
  </si>
  <si>
    <t>El gobernador de Hidalgo, Julio Menchaca Salazar, ha reconocido la situación crítica que viven los habitantes de la zona de la Presa Endhó (Tula de Allende/Tepetitlán) debido a la contaminación, el lirio acuático y la plaga de mosco culex. Julio Menchaca destacó que con el apoyo de Pemex aportará maquinaria y el apoyo de la Secretaría de la Defensa Nacional (SEDENA) y la Marina se realizan los trabajos de saneamiento.</t>
  </si>
  <si>
    <t>El gobernador de Hidalgo, Julio Menchaca Salazar, confirmó un aumento en la tarifa del transporte público colectivo (combis) en mayo de 2026, pasando de $10 a $12 pesos en la zona metropolitana de Pachuca. Esta medida fue justificada tras no haberse autorizado incrementos durante más de cuatro años, periodo en el cual los costos de operación, combustibles y mantenimiento aumentaron para los concesionarios.</t>
  </si>
  <si>
    <t>Para garantizar el derecho a la educación en Tulancingo, la presidenta municipal Lorena García Cázares encabezó la firma de seis nuevos convenios con instituciones educativas de Tulancingo y Pachuca, con el objetivo de abrir mayores oportunidades de becas, descuentos en titulación, servicio social, prácticas profesionales y estadías. Durante el evento, la alcaldesa destacó la importancia de acompañar los proyectos de vida de las y los estudiantes en todos los niveles educativos; por ello, a la fecha, más de mil alumnos han participado en servicio social, prácticas profesionales o estadías en distintas áreas de la administración municipal, oportunidad que se mantendrá vigente durante todo el año.</t>
  </si>
  <si>
    <t>Firma De Convenio</t>
  </si>
  <si>
    <t>Locutor Jesús Riveros da lectura a comentario de radioescucha comenta sobre el aumento de la tarifa de transporte público, señala que no fue mucho el aumento, es considerable, pero, la molestia como usuarios es que las unidades se encuentran en malas condiciones, además de que los choferes conducen sin precaución, con música a todo volumen son groseros y no respetan a adultos mayores.</t>
  </si>
  <si>
    <t>Locutor Jesús Riveros da lectura a comentario de radioescucha que pregunta, si con el aumento a la tarifa de transporte público, también le van a aumentar el sueldo a los choferes o si toda la ganancia será para los concesionarios; también pregunta si este aumento servirá para que mejores las condiciones de las unidades y que los choferes conduzcan con educación vial.</t>
  </si>
  <si>
    <t>Locutor Irving Sánchez comparte su experiencia en el transporte público ya con el nuevo aumento de tarifa, destaca la cultura de respeto de los usuarios y de los choferes en la ruta Cuautepec-Tulancingo, da a conocer las impresiones del nuevo aumento tanto por parte del os choferes como por parte de la ciudadanía, destacando que es un aumento justo ya que tenía mucho que no se aumentaba, una necesidad por parte de los concesionarios. En ese sentido, se destaca que no se niegan al aumento, pero solicitan que las unidades se encuentren en mejores condiciones, así como un trato digno por parte de los conductores.</t>
  </si>
  <si>
    <t>Irving Sánchez</t>
  </si>
  <si>
    <t>Una planta carnívora de apenas tres centímetros, con capacidad para atrapar insectos mediante secreciones pegajosas, fue identificada como una nueva especie en Hidalgo. El hallazgo amplía el inventario biológico del estado y evidencia que persisten vacíos en la exploración de ecosistemas clave. La especie fue nombrada Pinguicula brendae, perteneciente a la familia Lentibulariaceae. El descubrimiento lo realizaron Ernesto Chanes Rodríguez Ramírez y Agustina Rosa Andrés Hernández, investigadores de la Facultad de Ciencias Biológicas de la Benemérita Universidad Autónoma de Puebla (BUAP), en colaboración con Hiro Shimai, del Glasgow Botanic Gardens, en Escocia.</t>
  </si>
  <si>
    <t>Conservación Biodiversidad</t>
  </si>
  <si>
    <t>La Comisión Nacional del Agua, a través de la Dirección Local Hidalgo se sumó esta mañana al Simulacro Nacional bajo la hipótesis de sismo con magnitud 8.2 con epicentro en la costa de Guerrero, al noroeste de Acapulco, entre Petatlán y Coyuca de Benítez. Con estas acciones, el Gobierno de México promueve la cultura de protección civil a fin de contribuir a salvar vidas, preparando a la población para saber cómo actuar ante emergencias reales.</t>
  </si>
  <si>
    <t>El municipio de Jacala de Ledezma se encuentra en estado de alerta tras el inicio de un incendio forestal que ya ha afectado a las comunidades de El Sótano y El Cajón. Las llamas comenzaron la noche de este miércoles y se extendieron rápidamente debido a las condiciones climáticas de la región. Brigadistas de Protección Civil Municipal, elementos de Seguridad Pública y ciudadanos voluntarios se sumaron a las labores de combate. Sin embargo, las autoridades informaron que la oscuridad y el terreno dificultaron el acceso a la zona durante la madrugada, por lo que las tareas de mitigación se retomaron a primera hora de este jueves. Hasta el momento, el fuego ha consumido árboles y hierba, pero las autoridades han descartado la existencia de personas lesionadas. El avance del incendio hacia un segundo punto de la demarcación ha complicado las maniobras de control, por lo que el personal especializado mantiene vigilancia permanente en el área. Actualmente, se desconocen las causas que originaron el siniestro en la comunidad de El Sótano. Las labores de los cuerpos de emergencia continúan activas con el objetivo de sofocar las llamas y evitar que el fuego alcance zonas habitadas o continúe devastando la flora local.</t>
  </si>
  <si>
    <t>Unidad de Planeación y Prospectiva da seguimiento a proyectos prioritarios.</t>
  </si>
  <si>
    <t>Imagen Urbana</t>
  </si>
  <si>
    <t>En un tiempo de 2 minutos con 45 segundos fueron desalojadas las oficinas del Congreso de Hidalgo, con la evacuación de 348 personas de las diferentes áreas, como parte del primer Simulacro Nacional 2026. Andrés Velázquez Vázquez, presidente de la Junta de Gobierno del Congreso local, reconoció la participación de los trabajadores del Poder Legislativo y de visitantes, además precisó que el número de personas evacuadas de la Torre Legislativa fueron 201.</t>
  </si>
  <si>
    <t>Estudiante de UTEC gana dos oros en Olimpiada Nacional CONADE (AUDIO NCV).</t>
  </si>
  <si>
    <t>Respecto al boletín sobre la alianza entre el Gobierno de Hidalgo y Pemex, locutor David Cárdenas destaca que, Alejandro Velázquez Mendoza ha sido enlace importante en estas actividades, en donde empresas cumplen con su responsabilidad y compromiso social y se convierten en aliados de Gobierno del Estado para mejoras en distintas áreas del Estado de Hidalgo. (AUDIO AVM).</t>
  </si>
  <si>
    <t>Gobierno de Hidalgo y Pemex consolidan alianza para el fortalecimiento de servicios públicos (AUDIO JMS); AUDIO RAUL OJEDA).</t>
  </si>
  <si>
    <t>Arrancan en Yahualica las Rutas de la Transformación.</t>
  </si>
  <si>
    <t>El director del Centro INAH Hidalgo, Manuel Villarruel Vázquez, y la Secretaria de Cultura, Educación, Deporte y Juventud de Tulancingo, Guadalupe Rodríguez Uribe, sostuvieron una reunión con habitantes de la comunidad Huapalcalco para informar sobre los avances del proyecto de conservación y restauración que se ejecuta en la Zona Arqueológica. Durante la presentación se dio a conocer que Huapalcalco es una de las cuatro zonas arqueológicas intervenidas en Hidalgo mediante un proyecto validado por el Consejo Nacional del INAH, bajo estrictos lineamientos para la protección y conservación del patrimonio nacional. Como parte de las acciones, se realizan trabajos de mejoramiento de infraestructura para visitantes, entre ellos la rehabilitación de sanitarios, espacios de servicio y áreas destinadas a actividades culturales y de atención al público. Asimismo, se habilitarán áreas administrativas para talleres, orientación a visitantes y espacios de exhibición y exposiciones. El proyecto también contempla el empedrado de la calle Morelos, principal acceso a la zona arqueológica. Entre las labores de conservación destacan trabajos de deshierbe, limpieza, reparación de estructuras, eliminación de grafitis en áreas con pinturas rupestres, colocación de malla ciclónica en aproximadamente 130 metros cuadrados y la instalación de señalética para fortalecer la experiencia turística y proteger el patrimonio histórico. Especialistas del INAH Hidalgo señalaron que el objetivo principal de esta intervención es la conservación y restauración integral del sitio, abierto al público desde la década de 1950, y no la exploración arqueológica, aunque confirmaron que se realizaron hallazgos importantes en recientes fechas. También se reconoció la participación ciudadana y el respaldo de habitantes de Tulancingo que colaboran en la preservación del sitio y en la promoción de la conciencia social sobre la importancia histórica y cultural de Huapalcalco. En representación del gobierno municipal, Guadalupe Rodríguez Uribe reiteró que la alcaldesa Lorena García Cázares mantiene plena disposición para colaborar en todas las acciones que impulsen la conservación, promoción y fortalecimiento de este patrimonio histórico del país.</t>
  </si>
  <si>
    <t>Zona Arqueológica</t>
  </si>
  <si>
    <t>Derivado de la coordinación interinstitucional y la respuesta inmediata de la Secretaría de Seguridad Pública, Tránsito y Vialidad Pachuca a través de la Dirección de Prevención del Delito, fueron localizados y resguardados dos adolescentes que contaban con ficha de búsqueda vigente en la Ciudad de México. Los hechos se registraron en un inmueble ubicado sobre la calle Pasadizo, en la colonia Santa Julia, donde elementos municipales desplegaron un operativo tras una solicitud de colaboración emitida por la Cédula de Búsqueda de Personas de la Policía de la Ciudad de México.</t>
  </si>
  <si>
    <t>Locutor Juan Carlos Santamaría informa que, respeto a los reportes por falta de agua en el municipio de Singuilucan, ya han sido proporcionados a Caasim, la titular del área de comunicación Sarahy Pineda ha solicitado apoyo con los números de contacto para establecer comunicación directa con las y los usuarios.</t>
  </si>
  <si>
    <t>Atención a la ciudadanía</t>
  </si>
  <si>
    <t>Juan Carlos Peña</t>
  </si>
  <si>
    <t>En su colaboración semanal, Gustavo Rosales habló sobre la participación de los deportistas hidalguenses en los “Nacionales Conde”, al corte del 2 de mayo, Hidalgo se sitúa en la décimo tercera posición con 22 metales, de las cuales, ocho son de oro, 11 de plata y tres de bronce. En las primeras posiciones marchan Jalisco con 361 preseas, Nuevo León con 191 en la segunda posición y en la tercera posición Aguascalientes con 62 medallas.</t>
  </si>
  <si>
    <t>Locutor Jesús Riveros da lectura a comentario de radioescucha que reporta, que ya le cobraron el pasaje con el nuevo aumento a la tarifa de transporte público, sin embargo, la colectiva aún no tiene pegada la actualización de la nueva tarifa.</t>
  </si>
  <si>
    <t>Presentarán en Hidalgo la obra “Beatrice, desvelos, cantos y penas”.</t>
  </si>
  <si>
    <t>Evento Cultural</t>
  </si>
  <si>
    <t>La Semot, a través de su organismo sectorizado, el STCH, informa a la ciudadanía que este martes 5 de mayo de 2026 se publicó en el Periódico Oficial del Estado de Hidalgo el acuerdo por el que se establece la actualización de las tarifas por el pago de la prestación del servicio público de transporte de pasajeros en la modalidad colectivo.</t>
  </si>
  <si>
    <t>Impulsa Hidalgo la profesionalización turística rumbo a la temporada mundialista.</t>
  </si>
  <si>
    <t>Capacitación turística</t>
  </si>
  <si>
    <t>Unidad de Planeación y Prospectiva da seguimiento a proyectos prioritarios (AUDIO MATV).</t>
  </si>
  <si>
    <t>Gobierno de Hidalgo y Pemex consolidan alianza para el fortalecimiento de servicios públicos (AUDIO JMS); (AUDIO AVM);(AUDIO RAUL OJEDA)</t>
  </si>
  <si>
    <t>Últimos días de registro al programa Embajadores Juventud 2026.</t>
  </si>
  <si>
    <t>Embajadores de la juventud</t>
  </si>
  <si>
    <t>Radioescucha reporta falta de agua en la colonia Morelos</t>
  </si>
  <si>
    <t>Radioescucha que lleva más de 15 días sin agua en San Bartolo en Venustiano Carranza.</t>
  </si>
  <si>
    <t>Radioescucha reporta falta de agua en la Aquiles Serdán</t>
  </si>
  <si>
    <t>Radioescucha reporta falta de agua en Zona Plateada</t>
  </si>
  <si>
    <t>Radioescucha Elena Vargas reporta falta de agua en San Bartolo en calle Oaxaca</t>
  </si>
  <si>
    <t>Es que a partir de ayer entró en vigor la nueva tarifa para el transporte público dada a conocer el pasado lunes en la conferencia de prensa matutina. Esto ocurre, hay que señalarlo, luego de que las nuevas tarifas fueron publicadas este cinco de mayo en el periódico oficial del estado de Hidalgo. Ya es oficial, ya es un hecho, así es que pues los aumentos en la tarifa del transporte colectivo de las combis, como le conocemos, ya aumentó el 20 por ciento. Si usted pagaba 10 pesos ahora tendrá que pagar 12. ¡Ojo! Es el 20 por ciento y también hay una tarifa escalonada que seguramente será y tendrá que ser publicada en las unidades colectivas que usted utiliza. Ahí tendrá que estar por parte de las autoridades, de la secretaría de movilidad, los costos y las tarifas ya con el ajuste. En los taxis no está permitido el aumento, así es que no nos pasemos de abusivos y hay que estar muy atentos a esta situación</t>
  </si>
  <si>
    <t>Presenta de la al término del evento la declaración del gobernador JMS sobre la problemática que enfrentan los pobladores ribereños por las afectaciones que sufren por el lirio y el mosco en la presa Endhó. JMS:::::Es un tema Pone en riesgo la tranquilidad de las personas, es un tema muy complejo y estamos trabajando en coordinación con el Gobierno Federal.. ROZ::: La presidenta instruyó a PEMEX y CONAGUA, de acuerdo a los que Usted le solicitó Gobernador para intervenir en la resolución del problema.</t>
  </si>
  <si>
    <t>La alianza entre el gobierno de Hidalgo y Pemex se traduce hoy en beneficios tangibles para la población. Con una inversión que supera los 84 millones de pesos, el gobernador Julio Menchaca Salazar anunció la llegada de equipo clave para fortalecer el estado: desde una unidad médica móvil y un camión de bomberos, hasta 6 mil toneladas de asfalto para mejorar las carreteras. Este apoyo, entregado en el C5i, no solo refuerza la infraestructura y la protección civil, sino que también suma esfuerzos en una deuda histórica: la limpieza de la presa Endhó. Entre el equipo destaca una pavimentadora y servicios de salud que operarán de manera itinerante, demostrando que la soberanía energética también se refleja en mejores servicios para las familias hidalguenses. Raúl Ojeda Zubieta anunció que Pemex colaborará con la administración estatal en los trabajos de limpieza de la presa Endhó, a través de una máquina especializada y un millón de litros de diésel para su funcionamiento.</t>
  </si>
  <si>
    <t>Radioescucha más de un mes que estan arreglando un drenaje y nada más no lo terminan</t>
  </si>
  <si>
    <t>Inicia el Curso Hidalgo de Envejecimiento Saludable en la Casa de Día Tlaxcoapan</t>
  </si>
  <si>
    <t>Envejecimiento saludable</t>
  </si>
  <si>
    <t>El Ayuntamiento de Pachuca y la Comisión Nacional Forestal (CONAFOR) firmaron un convenio de colaboración para la integración de brigadas de saneamiento forestal, con el objetivo de combatir la plaga del escarabajo descortezador que afecta árboles de la especie oyamel en la comunidad de San Miguel Cerezo.Serán intervenidas alrededor de 2 mil hectáreas de zona forestal con un programa de trabajo proyectado para desarrollarse durante ocho meses.El saneamiento forestal contará con la participación de un técnico especializado de la CONAFOR, de dos brigadas integradas por ocho elementos en total, quienes realizarán labores de detección, control y manejo de la plaga para evitar su propagación y reducir el impacto ambiental en la zona.</t>
  </si>
  <si>
    <t>Vía telefónica Play Hernández cocinero tradicional de Santiago de Anaya con el tema Hidalgo en Los Pinos</t>
  </si>
  <si>
    <t>Jackeline Vázquez</t>
  </si>
  <si>
    <t>Esperan derrama superior a un millón de pesos en Los Pinos</t>
  </si>
  <si>
    <t>Bernal Díaz, Subsecretario de Protección Civil. Román informó que en los primeros 5 meses de este 2026, se registraron incendios forestales y de pastizales; la mayoría fueron provocados, generando daños al medio ambiente. AUDIO APOYO</t>
  </si>
  <si>
    <t>JMS Responde a pregunta de Verónica Jiménez en relación al proyecto que tiene la UAEH para aprovechar el lirio que se saca de la presa: JMS: Claro que apoyo a mi universidad… también tenemos en las Universidades públicas trabajos en la material…</t>
  </si>
  <si>
    <t>Lirio acuático</t>
  </si>
  <si>
    <t>Radioescucha reporta colectiva de La Loma, entre las 3 o 4 de la tarde; al momento de bajar el cafre, cerró la puerta y me golpeó fuertemente mi brazo. Soy una persona de la tercera edad.</t>
  </si>
  <si>
    <t>Vía telefónica, Jorge Reyes presidente municipal de Pachuca sobre el tema : sobre la restauración del jardín del arte. .El día de mañana damos la inauguración de esta rehabilitación y esta eh los murales que acaban de hacer nuestros grandes artistas, ya el día de mañana estamos convocando después de mediodía todos los artistas a la gente que quiera eh formar parte de y la verdad es que quedó muy padre eh recuperar este espacios, como lo habíamos diciendo es algo que ya se tenía que hacer, sobre todo en ese espacio específicamente el jardín del arte que estuvo muy abandonado durante muchos años</t>
  </si>
  <si>
    <t>Rehabilitación de espacios públicos</t>
  </si>
  <si>
    <t>Entrevista grabada Mayela Godínez Alarcón, Gerente de Planificación Hídrica de la Conagua. Hemos tratado de escuchar todas las voces y la de ustedes es muy importante porque si hay un malestar por parte de la población, pero no quiere decir que no esté nada haciendo el gobierno, sino que pues las acciones se están emprendiendo, se están realizando y requieren mucha paciencia porque este problema no es de hace cinco años, diez años. Es un problema histórico que se ha venido aquejando en la región y con base en esto, pues me gustaría mencionar que ustedes ya tienen una estrategia importante de fumigación, que por eso tenemos la comunicación contigo. ¿Nos podrías compartir este calendario, esta estrategia de fumigación que se está implementando ya en la zona desde el pasado viernes? “Claro, Rodolfo, es muy importante lo que mencionas y quisiera aclarar un poco que esto no es sólo una estrategia enfocada en la fumigación. La fumigación para nosotros es una parte de la estrategia, un punto..El Gobierno de México, en coordinación con diversas dependencias federales y estatales, está implementando un Plan de Recuperación Integral de la Presa Endhó. Este plan busca solucionar de raíz la plaga de mosquitos y la contaminación hídrica mediante una estrategia científica que va más allá de la simple fumigación, involucrando a especialistas nacionales e internacionales. Tanto el locutor como la entrevistada reconocen que existe un sentimiento negativo acumulado debido a la longevidad del problema: El locutor menciona que existe un "malestar por parte de la población" debido a que este problema no es reciente, sino que se ha padecido por décadas. Mayela Godínez admite que las manifestaciones de octubre de 2025 fueron "muy válidas" debido a la saturación de lirio y mosquitos.</t>
  </si>
  <si>
    <t>Restauración Ecológica</t>
  </si>
  <si>
    <t>Radioescucha pide poner topes en Ferrocarril Central</t>
  </si>
  <si>
    <t>Topes vehiculares</t>
  </si>
  <si>
    <t>Comenta conductor Eulalio Larrieta, que los de Caasim estan arreglando una fuga en el Río de las Avenidas y siguen sin terminar</t>
  </si>
  <si>
    <t>Zanjas Caasim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</si>
</sst>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8" tableType="queryTable" totalsRowShown="0">
  <autoFilter ref="A1:M218" xr:uid="{717AF3FA-E95C-4D17-A1C9-B8D7CBE34EF0}"/>
  <tableColumns count="13">
    <tableColumn id="1" xr3:uid="{EB19E952-2F9B-4E64-9A19-C7B52F571890}" uniqueName="1" name="Fecha" queryTableFieldId="1" dataDxfId="0"/>
    <tableColumn id="11" xr3:uid="{A48192A8-75D4-491A-AE26-6A961BCFF6FF}" uniqueName="11" name="Día" queryTableFieldId="11" dataDxfId="10">
      <calculatedColumnFormula>IF(Información1[[#This Row],[Fecha]]='Ajuste de fechas'!$A$2,"Día actual","Día anterior")</calculatedColumnFormula>
    </tableColumn>
    <tableColumn id="12" xr3:uid="{4F30991B-1882-48AE-BBBC-64FCA8279BA1}" uniqueName="12" name="Radiodifusora" queryTableFieldId="12" dataDxfId="9"/>
    <tableColumn id="13" xr3:uid="{517B0A2C-DF6B-4794-9C97-29B5F886839A}" uniqueName="13" name="Programa" queryTableFieldId="13"/>
    <tableColumn id="3" xr3:uid="{3DD51BE0-FD5E-43FC-B095-76D2D204B603}" uniqueName="3" name="Titular" queryTableFieldId="3" dataDxfId="8"/>
    <tableColumn id="6" xr3:uid="{26FEF469-35CF-4C60-A1AE-6CF1039F413A}" uniqueName="6" name="Dependencia" queryTableFieldId="6" dataDxfId="7"/>
    <tableColumn id="9" xr3:uid="{A1DC7DCD-8016-4C54-B5CE-B9D28C1CC171}" uniqueName="9" name="Tema" queryTableFieldId="9" dataDxfId="6"/>
    <tableColumn id="8" xr3:uid="{B82BEC87-3598-42A1-B8B9-34F0762C5BB2}" uniqueName="8" name="Canal" queryTableFieldId="8" dataDxfId="5"/>
    <tableColumn id="10" xr3:uid="{692FF757-1020-40D1-A4F6-D548E7C4E980}" uniqueName="10" name="Estatus" queryTableFieldId="10" dataDxfId="4"/>
    <tableColumn id="14" xr3:uid="{C39741D3-700F-486E-B020-D2528DDA6016}" uniqueName="14" name="Clasificación" queryTableFieldId="14" dataDxfId="3"/>
    <tableColumn id="15" xr3:uid="{33A7D71D-EB15-4FD0-8031-4FF610A857BA}" uniqueName="15" name="Autor" queryTableFieldId="15" dataDxfId="2"/>
    <tableColumn id="16" xr3:uid="{B0698B4E-43A3-42F4-8099-288A9107B833}" uniqueName="16" name="Género" queryTableFieldId="16" dataDxfId="1"/>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8"/>
  <sheetViews>
    <sheetView tabSelected="1" workbookViewId="0">
      <selection activeCell="A2" sqref="A2:A218"/>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5703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52</v>
      </c>
      <c r="C1" t="s">
        <v>53</v>
      </c>
      <c r="D1" t="s">
        <v>54</v>
      </c>
      <c r="E1" t="s">
        <v>1</v>
      </c>
      <c r="F1" t="s">
        <v>2</v>
      </c>
      <c r="G1" t="s">
        <v>4</v>
      </c>
      <c r="H1" t="s">
        <v>3</v>
      </c>
      <c r="I1" t="s">
        <v>5</v>
      </c>
      <c r="J1" t="s">
        <v>55</v>
      </c>
      <c r="K1" t="s">
        <v>56</v>
      </c>
      <c r="L1" t="s">
        <v>57</v>
      </c>
      <c r="M1" t="s">
        <v>65</v>
      </c>
    </row>
    <row r="2" spans="1:13" x14ac:dyDescent="0.25">
      <c r="A2" s="2">
        <v>46148</v>
      </c>
      <c r="B2" s="1" t="str">
        <f ca="1">IF(Información1[[#This Row],[Fecha]]='Ajuste de fechas'!$A$2,"Día actual","Día anterior")</f>
        <v>Día anterior</v>
      </c>
      <c r="C2" t="s">
        <v>39</v>
      </c>
      <c r="D2" t="s">
        <v>40</v>
      </c>
      <c r="E2" t="s">
        <v>109</v>
      </c>
      <c r="F2" t="s">
        <v>19</v>
      </c>
      <c r="G2" t="s">
        <v>110</v>
      </c>
      <c r="H2" t="s">
        <v>37</v>
      </c>
      <c r="I2" t="s">
        <v>7</v>
      </c>
      <c r="J2" t="s">
        <v>62</v>
      </c>
      <c r="K2" t="s">
        <v>28</v>
      </c>
      <c r="L2" t="s">
        <v>59</v>
      </c>
      <c r="M2">
        <v>6</v>
      </c>
    </row>
    <row r="3" spans="1:13" x14ac:dyDescent="0.25">
      <c r="A3" s="2">
        <v>46148</v>
      </c>
      <c r="B3" s="1" t="str">
        <f ca="1">IF(Información1[[#This Row],[Fecha]]='Ajuste de fechas'!$A$2,"Día actual","Día anterior")</f>
        <v>Día anterior</v>
      </c>
      <c r="C3" t="s">
        <v>39</v>
      </c>
      <c r="D3" t="s">
        <v>40</v>
      </c>
      <c r="E3" t="s">
        <v>109</v>
      </c>
      <c r="F3" t="s">
        <v>15</v>
      </c>
      <c r="G3" t="s">
        <v>73</v>
      </c>
      <c r="H3" t="s">
        <v>37</v>
      </c>
      <c r="I3" t="s">
        <v>7</v>
      </c>
      <c r="J3" t="s">
        <v>58</v>
      </c>
      <c r="K3" t="s">
        <v>28</v>
      </c>
      <c r="L3" t="s">
        <v>59</v>
      </c>
      <c r="M3">
        <v>3</v>
      </c>
    </row>
    <row r="4" spans="1:13" x14ac:dyDescent="0.25">
      <c r="A4" s="2">
        <v>46148</v>
      </c>
      <c r="B4" s="1" t="str">
        <f ca="1">IF(Información1[[#This Row],[Fecha]]='Ajuste de fechas'!$A$2,"Día actual","Día anterior")</f>
        <v>Día anterior</v>
      </c>
      <c r="C4" t="s">
        <v>39</v>
      </c>
      <c r="D4" t="s">
        <v>40</v>
      </c>
      <c r="E4" t="s">
        <v>111</v>
      </c>
      <c r="F4" t="s">
        <v>17</v>
      </c>
      <c r="G4" t="s">
        <v>80</v>
      </c>
      <c r="H4" t="s">
        <v>37</v>
      </c>
      <c r="I4" t="s">
        <v>12</v>
      </c>
      <c r="J4" t="s">
        <v>58</v>
      </c>
      <c r="K4" t="s">
        <v>28</v>
      </c>
      <c r="L4" t="s">
        <v>60</v>
      </c>
      <c r="M4">
        <v>3</v>
      </c>
    </row>
    <row r="5" spans="1:13" x14ac:dyDescent="0.25">
      <c r="A5" s="2">
        <v>46148</v>
      </c>
      <c r="B5" s="1" t="str">
        <f ca="1">IF(Información1[[#This Row],[Fecha]]='Ajuste de fechas'!$A$2,"Día actual","Día anterior")</f>
        <v>Día anterior</v>
      </c>
      <c r="C5" t="s">
        <v>39</v>
      </c>
      <c r="D5" t="s">
        <v>40</v>
      </c>
      <c r="E5" t="s">
        <v>112</v>
      </c>
      <c r="F5" t="s">
        <v>106</v>
      </c>
      <c r="G5" t="s">
        <v>79</v>
      </c>
      <c r="H5" t="s">
        <v>37</v>
      </c>
      <c r="I5" t="s">
        <v>12</v>
      </c>
      <c r="J5" t="s">
        <v>58</v>
      </c>
      <c r="K5" t="s">
        <v>28</v>
      </c>
      <c r="L5" t="s">
        <v>60</v>
      </c>
      <c r="M5">
        <v>3</v>
      </c>
    </row>
    <row r="6" spans="1:13" x14ac:dyDescent="0.25">
      <c r="A6" s="2">
        <v>46148</v>
      </c>
      <c r="B6" s="1" t="str">
        <f ca="1">IF(Información1[[#This Row],[Fecha]]='Ajuste de fechas'!$A$2,"Día actual","Día anterior")</f>
        <v>Día anterior</v>
      </c>
      <c r="C6" t="s">
        <v>39</v>
      </c>
      <c r="D6" t="s">
        <v>40</v>
      </c>
      <c r="E6" t="s">
        <v>113</v>
      </c>
      <c r="F6" t="s">
        <v>106</v>
      </c>
      <c r="G6" t="s">
        <v>79</v>
      </c>
      <c r="H6" t="s">
        <v>37</v>
      </c>
      <c r="I6" t="s">
        <v>7</v>
      </c>
      <c r="J6" t="s">
        <v>58</v>
      </c>
      <c r="K6" t="s">
        <v>28</v>
      </c>
      <c r="L6" t="s">
        <v>61</v>
      </c>
      <c r="M6">
        <v>3</v>
      </c>
    </row>
    <row r="7" spans="1:13" x14ac:dyDescent="0.25">
      <c r="A7" s="2">
        <v>46148</v>
      </c>
      <c r="B7" s="1" t="str">
        <f ca="1">IF(Información1[[#This Row],[Fecha]]='Ajuste de fechas'!$A$2,"Día actual","Día anterior")</f>
        <v>Día anterior</v>
      </c>
      <c r="C7" t="s">
        <v>39</v>
      </c>
      <c r="D7" t="s">
        <v>40</v>
      </c>
      <c r="E7" t="s">
        <v>114</v>
      </c>
      <c r="F7" t="s">
        <v>115</v>
      </c>
      <c r="G7" t="s">
        <v>116</v>
      </c>
      <c r="H7" t="s">
        <v>37</v>
      </c>
      <c r="I7" t="s">
        <v>7</v>
      </c>
      <c r="J7" t="s">
        <v>25</v>
      </c>
      <c r="K7" t="s">
        <v>28</v>
      </c>
      <c r="L7" t="s">
        <v>59</v>
      </c>
      <c r="M7">
        <v>3</v>
      </c>
    </row>
    <row r="8" spans="1:13" x14ac:dyDescent="0.25">
      <c r="A8" s="2">
        <v>46148</v>
      </c>
      <c r="B8" s="1" t="str">
        <f ca="1">IF(Información1[[#This Row],[Fecha]]='Ajuste de fechas'!$A$2,"Día actual","Día anterior")</f>
        <v>Día anterior</v>
      </c>
      <c r="C8" t="s">
        <v>39</v>
      </c>
      <c r="D8" t="s">
        <v>40</v>
      </c>
      <c r="E8" t="s">
        <v>117</v>
      </c>
      <c r="F8" t="s">
        <v>17</v>
      </c>
      <c r="G8" t="s">
        <v>80</v>
      </c>
      <c r="H8" t="s">
        <v>37</v>
      </c>
      <c r="I8" t="s">
        <v>7</v>
      </c>
      <c r="J8" t="s">
        <v>58</v>
      </c>
      <c r="K8" t="s">
        <v>28</v>
      </c>
      <c r="L8" t="s">
        <v>60</v>
      </c>
      <c r="M8">
        <v>3</v>
      </c>
    </row>
    <row r="9" spans="1:13" x14ac:dyDescent="0.25">
      <c r="A9" s="2">
        <v>46148</v>
      </c>
      <c r="B9" s="1" t="str">
        <f ca="1">IF(Información1[[#This Row],[Fecha]]='Ajuste de fechas'!$A$2,"Día actual","Día anterior")</f>
        <v>Día anterior</v>
      </c>
      <c r="C9" t="s">
        <v>39</v>
      </c>
      <c r="D9" t="s">
        <v>40</v>
      </c>
      <c r="E9" t="s">
        <v>118</v>
      </c>
      <c r="F9" t="s">
        <v>27</v>
      </c>
      <c r="G9" t="s">
        <v>80</v>
      </c>
      <c r="H9" t="s">
        <v>37</v>
      </c>
      <c r="I9" t="s">
        <v>7</v>
      </c>
      <c r="J9" t="s">
        <v>58</v>
      </c>
      <c r="K9" t="s">
        <v>28</v>
      </c>
      <c r="L9" t="s">
        <v>59</v>
      </c>
      <c r="M9">
        <v>3</v>
      </c>
    </row>
    <row r="10" spans="1:13" x14ac:dyDescent="0.25">
      <c r="A10" s="2">
        <v>46148</v>
      </c>
      <c r="B10" s="1" t="str">
        <f ca="1">IF(Información1[[#This Row],[Fecha]]='Ajuste de fechas'!$A$2,"Día actual","Día anterior")</f>
        <v>Día anterior</v>
      </c>
      <c r="C10" t="s">
        <v>39</v>
      </c>
      <c r="D10" t="s">
        <v>40</v>
      </c>
      <c r="E10" t="s">
        <v>119</v>
      </c>
      <c r="F10" t="s">
        <v>27</v>
      </c>
      <c r="G10" t="s">
        <v>102</v>
      </c>
      <c r="H10" t="s">
        <v>37</v>
      </c>
      <c r="I10" t="s">
        <v>7</v>
      </c>
      <c r="J10" t="s">
        <v>58</v>
      </c>
      <c r="K10" t="s">
        <v>28</v>
      </c>
      <c r="L10" t="s">
        <v>59</v>
      </c>
      <c r="M10">
        <v>3</v>
      </c>
    </row>
    <row r="11" spans="1:13" x14ac:dyDescent="0.25">
      <c r="A11" s="2">
        <v>46148</v>
      </c>
      <c r="B11" s="1" t="str">
        <f ca="1">IF(Información1[[#This Row],[Fecha]]='Ajuste de fechas'!$A$2,"Día actual","Día anterior")</f>
        <v>Día anterior</v>
      </c>
      <c r="C11" t="s">
        <v>39</v>
      </c>
      <c r="D11" t="s">
        <v>40</v>
      </c>
      <c r="E11" t="s">
        <v>120</v>
      </c>
      <c r="F11" t="s">
        <v>15</v>
      </c>
      <c r="G11" t="s">
        <v>72</v>
      </c>
      <c r="H11" t="s">
        <v>37</v>
      </c>
      <c r="I11" t="s">
        <v>7</v>
      </c>
      <c r="J11" t="s">
        <v>58</v>
      </c>
      <c r="K11" t="s">
        <v>28</v>
      </c>
      <c r="L11" t="s">
        <v>59</v>
      </c>
      <c r="M11">
        <v>3</v>
      </c>
    </row>
    <row r="12" spans="1:13" x14ac:dyDescent="0.25">
      <c r="A12" s="2">
        <v>46148</v>
      </c>
      <c r="B12" s="1" t="str">
        <f ca="1">IF(Información1[[#This Row],[Fecha]]='Ajuste de fechas'!$A$2,"Día actual","Día anterior")</f>
        <v>Día anterior</v>
      </c>
      <c r="C12" t="s">
        <v>39</v>
      </c>
      <c r="D12" t="s">
        <v>40</v>
      </c>
      <c r="E12" t="s">
        <v>121</v>
      </c>
      <c r="F12" t="s">
        <v>6</v>
      </c>
      <c r="G12" t="s">
        <v>81</v>
      </c>
      <c r="H12" t="s">
        <v>37</v>
      </c>
      <c r="I12" t="s">
        <v>12</v>
      </c>
      <c r="J12" t="s">
        <v>58</v>
      </c>
      <c r="K12" t="s">
        <v>28</v>
      </c>
      <c r="L12" t="s">
        <v>60</v>
      </c>
      <c r="M12">
        <v>3</v>
      </c>
    </row>
    <row r="13" spans="1:13" x14ac:dyDescent="0.25">
      <c r="A13" s="2">
        <v>46148</v>
      </c>
      <c r="B13" s="1" t="str">
        <f ca="1">IF(Información1[[#This Row],[Fecha]]='Ajuste de fechas'!$A$2,"Día actual","Día anterior")</f>
        <v>Día anterior</v>
      </c>
      <c r="C13" t="s">
        <v>46</v>
      </c>
      <c r="D13" t="s">
        <v>47</v>
      </c>
      <c r="E13" t="s">
        <v>122</v>
      </c>
      <c r="F13" t="s">
        <v>17</v>
      </c>
      <c r="G13" t="s">
        <v>80</v>
      </c>
      <c r="H13" t="s">
        <v>11</v>
      </c>
      <c r="I13" t="s">
        <v>7</v>
      </c>
      <c r="J13" t="s">
        <v>58</v>
      </c>
      <c r="K13" t="s">
        <v>48</v>
      </c>
      <c r="L13" t="s">
        <v>59</v>
      </c>
      <c r="M13">
        <v>2</v>
      </c>
    </row>
    <row r="14" spans="1:13" x14ac:dyDescent="0.25">
      <c r="A14" s="2">
        <v>46148</v>
      </c>
      <c r="B14" s="1" t="str">
        <f ca="1">IF(Información1[[#This Row],[Fecha]]='Ajuste de fechas'!$A$2,"Día actual","Día anterior")</f>
        <v>Día anterior</v>
      </c>
      <c r="C14" t="s">
        <v>46</v>
      </c>
      <c r="D14" t="s">
        <v>47</v>
      </c>
      <c r="E14" t="s">
        <v>123</v>
      </c>
      <c r="F14" t="s">
        <v>22</v>
      </c>
      <c r="G14" t="s">
        <v>95</v>
      </c>
      <c r="H14" t="s">
        <v>11</v>
      </c>
      <c r="I14" t="s">
        <v>7</v>
      </c>
      <c r="J14" t="s">
        <v>63</v>
      </c>
      <c r="K14" t="s">
        <v>48</v>
      </c>
      <c r="L14" t="s">
        <v>59</v>
      </c>
      <c r="M14">
        <v>2</v>
      </c>
    </row>
    <row r="15" spans="1:13" x14ac:dyDescent="0.25">
      <c r="A15" s="2">
        <v>46148</v>
      </c>
      <c r="B15" s="1" t="str">
        <f ca="1">IF(Información1[[#This Row],[Fecha]]='Ajuste de fechas'!$A$2,"Día actual","Día anterior")</f>
        <v>Día anterior</v>
      </c>
      <c r="C15" t="s">
        <v>46</v>
      </c>
      <c r="D15" t="s">
        <v>47</v>
      </c>
      <c r="E15" t="s">
        <v>124</v>
      </c>
      <c r="F15" t="s">
        <v>85</v>
      </c>
      <c r="G15" t="s">
        <v>125</v>
      </c>
      <c r="H15" t="s">
        <v>11</v>
      </c>
      <c r="I15" t="s">
        <v>7</v>
      </c>
      <c r="J15" t="s">
        <v>58</v>
      </c>
      <c r="K15" t="s">
        <v>48</v>
      </c>
      <c r="L15" t="s">
        <v>59</v>
      </c>
      <c r="M15">
        <v>2</v>
      </c>
    </row>
    <row r="16" spans="1:13" x14ac:dyDescent="0.25">
      <c r="A16" s="2">
        <v>46148</v>
      </c>
      <c r="B16" s="1" t="str">
        <f ca="1">IF(Información1[[#This Row],[Fecha]]='Ajuste de fechas'!$A$2,"Día actual","Día anterior")</f>
        <v>Día anterior</v>
      </c>
      <c r="C16" t="s">
        <v>46</v>
      </c>
      <c r="D16" t="s">
        <v>47</v>
      </c>
      <c r="E16" t="s">
        <v>126</v>
      </c>
      <c r="F16" t="s">
        <v>17</v>
      </c>
      <c r="G16" t="s">
        <v>88</v>
      </c>
      <c r="H16" t="s">
        <v>11</v>
      </c>
      <c r="I16" t="s">
        <v>7</v>
      </c>
      <c r="J16" t="s">
        <v>58</v>
      </c>
      <c r="K16" t="s">
        <v>48</v>
      </c>
      <c r="L16" t="s">
        <v>59</v>
      </c>
      <c r="M16">
        <v>2</v>
      </c>
    </row>
    <row r="17" spans="1:13" x14ac:dyDescent="0.25">
      <c r="A17" s="2">
        <v>46148</v>
      </c>
      <c r="B17" s="1" t="str">
        <f ca="1">IF(Información1[[#This Row],[Fecha]]='Ajuste de fechas'!$A$2,"Día actual","Día anterior")</f>
        <v>Día anterior</v>
      </c>
      <c r="C17" t="s">
        <v>46</v>
      </c>
      <c r="D17" t="s">
        <v>47</v>
      </c>
      <c r="E17" t="s">
        <v>127</v>
      </c>
      <c r="F17" t="s">
        <v>22</v>
      </c>
      <c r="G17" t="s">
        <v>128</v>
      </c>
      <c r="H17" t="s">
        <v>11</v>
      </c>
      <c r="I17" t="s">
        <v>7</v>
      </c>
      <c r="J17" t="s">
        <v>63</v>
      </c>
      <c r="K17" t="s">
        <v>48</v>
      </c>
      <c r="L17" t="s">
        <v>59</v>
      </c>
      <c r="M17">
        <v>2</v>
      </c>
    </row>
    <row r="18" spans="1:13" x14ac:dyDescent="0.25">
      <c r="A18" s="2">
        <v>46148</v>
      </c>
      <c r="B18" s="1" t="str">
        <f ca="1">IF(Información1[[#This Row],[Fecha]]='Ajuste de fechas'!$A$2,"Día actual","Día anterior")</f>
        <v>Día anterior</v>
      </c>
      <c r="C18" t="s">
        <v>46</v>
      </c>
      <c r="D18" t="s">
        <v>47</v>
      </c>
      <c r="E18" t="s">
        <v>129</v>
      </c>
      <c r="F18" t="s">
        <v>23</v>
      </c>
      <c r="G18" t="s">
        <v>130</v>
      </c>
      <c r="H18" t="s">
        <v>11</v>
      </c>
      <c r="I18" t="s">
        <v>7</v>
      </c>
      <c r="J18" t="s">
        <v>58</v>
      </c>
      <c r="K18" t="s">
        <v>48</v>
      </c>
      <c r="L18" t="s">
        <v>61</v>
      </c>
      <c r="M18">
        <v>2</v>
      </c>
    </row>
    <row r="19" spans="1:13" x14ac:dyDescent="0.25">
      <c r="A19" s="2">
        <v>46148</v>
      </c>
      <c r="B19" s="1" t="str">
        <f ca="1">IF(Información1[[#This Row],[Fecha]]='Ajuste de fechas'!$A$2,"Día actual","Día anterior")</f>
        <v>Día anterior</v>
      </c>
      <c r="C19" t="s">
        <v>46</v>
      </c>
      <c r="D19" t="s">
        <v>47</v>
      </c>
      <c r="E19" t="s">
        <v>131</v>
      </c>
      <c r="F19" t="s">
        <v>19</v>
      </c>
      <c r="G19" t="s">
        <v>38</v>
      </c>
      <c r="H19" t="s">
        <v>11</v>
      </c>
      <c r="I19" t="s">
        <v>7</v>
      </c>
      <c r="J19" t="s">
        <v>62</v>
      </c>
      <c r="K19" t="s">
        <v>48</v>
      </c>
      <c r="L19" t="s">
        <v>59</v>
      </c>
      <c r="M19">
        <v>2</v>
      </c>
    </row>
    <row r="20" spans="1:13" x14ac:dyDescent="0.25">
      <c r="A20" s="2">
        <v>46148</v>
      </c>
      <c r="B20" s="1" t="str">
        <f ca="1">IF(Información1[[#This Row],[Fecha]]='Ajuste de fechas'!$A$2,"Día actual","Día anterior")</f>
        <v>Día anterior</v>
      </c>
      <c r="C20" t="s">
        <v>46</v>
      </c>
      <c r="D20" t="s">
        <v>47</v>
      </c>
      <c r="E20" t="s">
        <v>132</v>
      </c>
      <c r="F20" t="s">
        <v>99</v>
      </c>
      <c r="G20" t="s">
        <v>130</v>
      </c>
      <c r="H20" t="s">
        <v>11</v>
      </c>
      <c r="I20" t="s">
        <v>7</v>
      </c>
      <c r="J20" t="s">
        <v>58</v>
      </c>
      <c r="K20" t="s">
        <v>48</v>
      </c>
      <c r="L20" t="s">
        <v>61</v>
      </c>
      <c r="M20">
        <v>2</v>
      </c>
    </row>
    <row r="21" spans="1:13" x14ac:dyDescent="0.25">
      <c r="A21" s="2">
        <v>46148</v>
      </c>
      <c r="B21" s="1" t="str">
        <f ca="1">IF(Información1[[#This Row],[Fecha]]='Ajuste de fechas'!$A$2,"Día actual","Día anterior")</f>
        <v>Día anterior</v>
      </c>
      <c r="C21" t="s">
        <v>46</v>
      </c>
      <c r="D21" t="s">
        <v>47</v>
      </c>
      <c r="E21" t="s">
        <v>133</v>
      </c>
      <c r="F21" t="s">
        <v>99</v>
      </c>
      <c r="G21" t="s">
        <v>134</v>
      </c>
      <c r="H21" t="s">
        <v>11</v>
      </c>
      <c r="I21" t="s">
        <v>7</v>
      </c>
      <c r="J21" t="s">
        <v>58</v>
      </c>
      <c r="K21" t="s">
        <v>48</v>
      </c>
      <c r="L21" t="s">
        <v>59</v>
      </c>
      <c r="M21">
        <v>2</v>
      </c>
    </row>
    <row r="22" spans="1:13" x14ac:dyDescent="0.25">
      <c r="A22" s="2">
        <v>46148</v>
      </c>
      <c r="B22" s="1" t="str">
        <f ca="1">IF(Información1[[#This Row],[Fecha]]='Ajuste de fechas'!$A$2,"Día actual","Día anterior")</f>
        <v>Día anterior</v>
      </c>
      <c r="C22" t="s">
        <v>46</v>
      </c>
      <c r="D22" t="s">
        <v>47</v>
      </c>
      <c r="E22" t="s">
        <v>98</v>
      </c>
      <c r="F22" t="s">
        <v>99</v>
      </c>
      <c r="G22" t="s">
        <v>100</v>
      </c>
      <c r="H22" t="s">
        <v>11</v>
      </c>
      <c r="I22" t="s">
        <v>7</v>
      </c>
      <c r="J22" t="s">
        <v>58</v>
      </c>
      <c r="K22" t="s">
        <v>48</v>
      </c>
      <c r="L22" t="s">
        <v>61</v>
      </c>
      <c r="M22">
        <v>2</v>
      </c>
    </row>
    <row r="23" spans="1:13" x14ac:dyDescent="0.25">
      <c r="A23" s="2">
        <v>46148</v>
      </c>
      <c r="B23" s="1" t="str">
        <f ca="1">IF(Información1[[#This Row],[Fecha]]='Ajuste de fechas'!$A$2,"Día actual","Día anterior")</f>
        <v>Día anterior</v>
      </c>
      <c r="C23" t="s">
        <v>46</v>
      </c>
      <c r="D23" t="s">
        <v>47</v>
      </c>
      <c r="E23" t="s">
        <v>135</v>
      </c>
      <c r="F23" t="s">
        <v>22</v>
      </c>
      <c r="G23" t="s">
        <v>136</v>
      </c>
      <c r="H23" t="s">
        <v>11</v>
      </c>
      <c r="I23" t="s">
        <v>26</v>
      </c>
      <c r="J23" t="s">
        <v>63</v>
      </c>
      <c r="K23" t="s">
        <v>48</v>
      </c>
      <c r="L23" t="s">
        <v>59</v>
      </c>
      <c r="M23">
        <v>1</v>
      </c>
    </row>
    <row r="24" spans="1:13" x14ac:dyDescent="0.25">
      <c r="A24" s="2">
        <v>46148</v>
      </c>
      <c r="B24" s="1" t="str">
        <f ca="1">IF(Información1[[#This Row],[Fecha]]='Ajuste de fechas'!$A$2,"Día actual","Día anterior")</f>
        <v>Día anterior</v>
      </c>
      <c r="C24" t="s">
        <v>46</v>
      </c>
      <c r="D24" t="s">
        <v>47</v>
      </c>
      <c r="E24" t="s">
        <v>137</v>
      </c>
      <c r="F24" t="s">
        <v>27</v>
      </c>
      <c r="G24" t="s">
        <v>138</v>
      </c>
      <c r="H24" t="s">
        <v>11</v>
      </c>
      <c r="I24" t="s">
        <v>26</v>
      </c>
      <c r="J24" t="s">
        <v>58</v>
      </c>
      <c r="K24" t="s">
        <v>48</v>
      </c>
      <c r="L24" t="s">
        <v>59</v>
      </c>
      <c r="M24">
        <v>1</v>
      </c>
    </row>
    <row r="25" spans="1:13" x14ac:dyDescent="0.25">
      <c r="A25" s="2">
        <v>46148</v>
      </c>
      <c r="B25" s="1" t="str">
        <f ca="1">IF(Información1[[#This Row],[Fecha]]='Ajuste de fechas'!$A$2,"Día actual","Día anterior")</f>
        <v>Día anterior</v>
      </c>
      <c r="C25" t="s">
        <v>46</v>
      </c>
      <c r="D25" t="s">
        <v>47</v>
      </c>
      <c r="E25" t="s">
        <v>139</v>
      </c>
      <c r="F25" t="s">
        <v>93</v>
      </c>
      <c r="H25" t="s">
        <v>11</v>
      </c>
      <c r="I25" t="s">
        <v>26</v>
      </c>
      <c r="J25" t="s">
        <v>58</v>
      </c>
      <c r="K25" t="s">
        <v>48</v>
      </c>
      <c r="L25" t="s">
        <v>60</v>
      </c>
      <c r="M25">
        <v>1</v>
      </c>
    </row>
    <row r="26" spans="1:13" x14ac:dyDescent="0.25">
      <c r="A26" s="2">
        <v>46148</v>
      </c>
      <c r="B26" s="1" t="str">
        <f ca="1">IF(Información1[[#This Row],[Fecha]]='Ajuste de fechas'!$A$2,"Día actual","Día anterior")</f>
        <v>Día anterior</v>
      </c>
      <c r="C26" t="s">
        <v>46</v>
      </c>
      <c r="D26" t="s">
        <v>47</v>
      </c>
      <c r="E26" t="s">
        <v>140</v>
      </c>
      <c r="F26" t="s">
        <v>141</v>
      </c>
      <c r="G26" t="s">
        <v>91</v>
      </c>
      <c r="H26" t="s">
        <v>11</v>
      </c>
      <c r="I26" t="s">
        <v>7</v>
      </c>
      <c r="J26" t="s">
        <v>58</v>
      </c>
      <c r="K26" t="s">
        <v>48</v>
      </c>
      <c r="L26" t="s">
        <v>59</v>
      </c>
      <c r="M26">
        <v>2</v>
      </c>
    </row>
    <row r="27" spans="1:13" x14ac:dyDescent="0.25">
      <c r="A27" s="2">
        <v>46148</v>
      </c>
      <c r="B27" s="1" t="str">
        <f ca="1">IF(Información1[[#This Row],[Fecha]]='Ajuste de fechas'!$A$2,"Día actual","Día anterior")</f>
        <v>Día anterior</v>
      </c>
      <c r="C27" t="s">
        <v>46</v>
      </c>
      <c r="D27" t="s">
        <v>47</v>
      </c>
      <c r="E27" t="s">
        <v>142</v>
      </c>
      <c r="F27" t="s">
        <v>19</v>
      </c>
      <c r="G27" t="s">
        <v>143</v>
      </c>
      <c r="H27" t="s">
        <v>11</v>
      </c>
      <c r="I27" t="s">
        <v>7</v>
      </c>
      <c r="J27" t="s">
        <v>62</v>
      </c>
      <c r="K27" t="s">
        <v>48</v>
      </c>
      <c r="L27" t="s">
        <v>59</v>
      </c>
      <c r="M27">
        <v>2</v>
      </c>
    </row>
    <row r="28" spans="1:13" x14ac:dyDescent="0.25">
      <c r="A28" s="2">
        <v>46148</v>
      </c>
      <c r="B28" s="1" t="str">
        <f ca="1">IF(Información1[[#This Row],[Fecha]]='Ajuste de fechas'!$A$2,"Día actual","Día anterior")</f>
        <v>Día anterior</v>
      </c>
      <c r="C28" t="s">
        <v>46</v>
      </c>
      <c r="D28" t="s">
        <v>47</v>
      </c>
      <c r="E28" t="s">
        <v>144</v>
      </c>
      <c r="F28" t="s">
        <v>78</v>
      </c>
      <c r="G28" t="s">
        <v>145</v>
      </c>
      <c r="H28" t="s">
        <v>11</v>
      </c>
      <c r="I28" t="s">
        <v>7</v>
      </c>
      <c r="J28" t="s">
        <v>25</v>
      </c>
      <c r="K28" t="s">
        <v>48</v>
      </c>
      <c r="L28" t="s">
        <v>59</v>
      </c>
      <c r="M28">
        <v>2</v>
      </c>
    </row>
    <row r="29" spans="1:13" x14ac:dyDescent="0.25">
      <c r="A29" s="2">
        <v>46148</v>
      </c>
      <c r="B29" s="1" t="str">
        <f ca="1">IF(Información1[[#This Row],[Fecha]]='Ajuste de fechas'!$A$2,"Día actual","Día anterior")</f>
        <v>Día anterior</v>
      </c>
      <c r="C29" t="s">
        <v>46</v>
      </c>
      <c r="D29" t="s">
        <v>47</v>
      </c>
      <c r="E29" t="s">
        <v>146</v>
      </c>
      <c r="F29" t="s">
        <v>99</v>
      </c>
      <c r="H29" t="s">
        <v>11</v>
      </c>
      <c r="I29" t="s">
        <v>26</v>
      </c>
      <c r="J29" t="s">
        <v>58</v>
      </c>
      <c r="K29" t="s">
        <v>48</v>
      </c>
      <c r="L29" t="s">
        <v>64</v>
      </c>
      <c r="M29">
        <v>1</v>
      </c>
    </row>
    <row r="30" spans="1:13" x14ac:dyDescent="0.25">
      <c r="A30" s="2">
        <v>46148</v>
      </c>
      <c r="B30" s="1" t="str">
        <f ca="1">IF(Información1[[#This Row],[Fecha]]='Ajuste de fechas'!$A$2,"Día actual","Día anterior")</f>
        <v>Día anterior</v>
      </c>
      <c r="C30" t="s">
        <v>46</v>
      </c>
      <c r="D30" t="s">
        <v>47</v>
      </c>
      <c r="E30" t="s">
        <v>147</v>
      </c>
      <c r="F30" t="s">
        <v>21</v>
      </c>
      <c r="G30" t="s">
        <v>148</v>
      </c>
      <c r="H30" t="s">
        <v>11</v>
      </c>
      <c r="I30" t="s">
        <v>7</v>
      </c>
      <c r="J30" t="s">
        <v>58</v>
      </c>
      <c r="K30" t="s">
        <v>48</v>
      </c>
      <c r="L30" t="s">
        <v>61</v>
      </c>
      <c r="M30">
        <v>2</v>
      </c>
    </row>
    <row r="31" spans="1:13" x14ac:dyDescent="0.25">
      <c r="A31" s="2">
        <v>46148</v>
      </c>
      <c r="B31" s="1" t="str">
        <f ca="1">IF(Información1[[#This Row],[Fecha]]='Ajuste de fechas'!$A$2,"Día actual","Día anterior")</f>
        <v>Día anterior</v>
      </c>
      <c r="C31" t="s">
        <v>46</v>
      </c>
      <c r="D31" t="s">
        <v>47</v>
      </c>
      <c r="E31" t="s">
        <v>149</v>
      </c>
      <c r="F31" t="s">
        <v>19</v>
      </c>
      <c r="G31" t="s">
        <v>94</v>
      </c>
      <c r="H31" t="s">
        <v>11</v>
      </c>
      <c r="I31" t="s">
        <v>26</v>
      </c>
      <c r="J31" t="s">
        <v>62</v>
      </c>
      <c r="K31" t="s">
        <v>9</v>
      </c>
      <c r="L31" t="s">
        <v>60</v>
      </c>
      <c r="M31">
        <v>2</v>
      </c>
    </row>
    <row r="32" spans="1:13" x14ac:dyDescent="0.25">
      <c r="A32" s="2">
        <v>46148</v>
      </c>
      <c r="B32" s="1" t="str">
        <f ca="1">IF(Información1[[#This Row],[Fecha]]='Ajuste de fechas'!$A$2,"Día actual","Día anterior")</f>
        <v>Día anterior</v>
      </c>
      <c r="C32" t="s">
        <v>46</v>
      </c>
      <c r="D32" t="s">
        <v>47</v>
      </c>
      <c r="E32" t="s">
        <v>150</v>
      </c>
      <c r="F32" t="s">
        <v>19</v>
      </c>
      <c r="G32" t="s">
        <v>38</v>
      </c>
      <c r="H32" t="s">
        <v>11</v>
      </c>
      <c r="I32" t="s">
        <v>7</v>
      </c>
      <c r="J32" t="s">
        <v>62</v>
      </c>
      <c r="K32" t="s">
        <v>48</v>
      </c>
      <c r="L32" t="s">
        <v>59</v>
      </c>
      <c r="M32">
        <v>2</v>
      </c>
    </row>
    <row r="33" spans="1:13" x14ac:dyDescent="0.25">
      <c r="A33" s="2">
        <v>46148</v>
      </c>
      <c r="B33" s="1" t="str">
        <f ca="1">IF(Información1[[#This Row],[Fecha]]='Ajuste de fechas'!$A$2,"Día actual","Día anterior")</f>
        <v>Día anterior</v>
      </c>
      <c r="C33" t="s">
        <v>46</v>
      </c>
      <c r="D33" t="s">
        <v>47</v>
      </c>
      <c r="E33" t="s">
        <v>151</v>
      </c>
      <c r="F33" t="s">
        <v>19</v>
      </c>
      <c r="G33" t="s">
        <v>152</v>
      </c>
      <c r="H33" t="s">
        <v>11</v>
      </c>
      <c r="I33" t="s">
        <v>7</v>
      </c>
      <c r="J33" t="s">
        <v>62</v>
      </c>
      <c r="K33" t="s">
        <v>48</v>
      </c>
      <c r="L33" t="s">
        <v>59</v>
      </c>
      <c r="M33">
        <v>2</v>
      </c>
    </row>
    <row r="34" spans="1:13" x14ac:dyDescent="0.25">
      <c r="A34" s="2">
        <v>46148</v>
      </c>
      <c r="B34" s="1" t="str">
        <f ca="1">IF(Información1[[#This Row],[Fecha]]='Ajuste de fechas'!$A$2,"Día actual","Día anterior")</f>
        <v>Día anterior</v>
      </c>
      <c r="C34" t="s">
        <v>46</v>
      </c>
      <c r="D34" t="s">
        <v>47</v>
      </c>
      <c r="E34" t="s">
        <v>153</v>
      </c>
      <c r="F34" t="s">
        <v>19</v>
      </c>
      <c r="G34" t="s">
        <v>154</v>
      </c>
      <c r="H34" t="s">
        <v>11</v>
      </c>
      <c r="I34" t="s">
        <v>7</v>
      </c>
      <c r="J34" t="s">
        <v>62</v>
      </c>
      <c r="K34" t="s">
        <v>48</v>
      </c>
      <c r="L34" t="s">
        <v>59</v>
      </c>
      <c r="M34">
        <v>2</v>
      </c>
    </row>
    <row r="35" spans="1:13" x14ac:dyDescent="0.25">
      <c r="A35" s="2">
        <v>46148</v>
      </c>
      <c r="B35" s="1" t="str">
        <f ca="1">IF(Información1[[#This Row],[Fecha]]='Ajuste de fechas'!$A$2,"Día actual","Día anterior")</f>
        <v>Día anterior</v>
      </c>
      <c r="C35" t="s">
        <v>46</v>
      </c>
      <c r="D35" t="s">
        <v>47</v>
      </c>
      <c r="E35" t="s">
        <v>155</v>
      </c>
      <c r="F35" t="s">
        <v>24</v>
      </c>
      <c r="G35" t="s">
        <v>156</v>
      </c>
      <c r="H35" t="s">
        <v>11</v>
      </c>
      <c r="I35" t="s">
        <v>7</v>
      </c>
      <c r="J35" t="s">
        <v>58</v>
      </c>
      <c r="K35" t="s">
        <v>48</v>
      </c>
      <c r="L35" t="s">
        <v>59</v>
      </c>
      <c r="M35">
        <v>2</v>
      </c>
    </row>
    <row r="36" spans="1:13" x14ac:dyDescent="0.25">
      <c r="A36" s="2">
        <v>46148</v>
      </c>
      <c r="B36" s="1" t="str">
        <f ca="1">IF(Información1[[#This Row],[Fecha]]='Ajuste de fechas'!$A$2,"Día actual","Día anterior")</f>
        <v>Día anterior</v>
      </c>
      <c r="C36" t="s">
        <v>46</v>
      </c>
      <c r="D36" t="s">
        <v>47</v>
      </c>
      <c r="E36" t="s">
        <v>157</v>
      </c>
      <c r="F36" t="s">
        <v>25</v>
      </c>
      <c r="G36" t="s">
        <v>158</v>
      </c>
      <c r="H36" t="s">
        <v>11</v>
      </c>
      <c r="I36" t="s">
        <v>7</v>
      </c>
      <c r="J36" t="s">
        <v>25</v>
      </c>
      <c r="K36" t="s">
        <v>48</v>
      </c>
      <c r="L36" t="s">
        <v>59</v>
      </c>
      <c r="M36">
        <v>2</v>
      </c>
    </row>
    <row r="37" spans="1:13" x14ac:dyDescent="0.25">
      <c r="A37" s="2">
        <v>46148</v>
      </c>
      <c r="B37" s="1" t="str">
        <f ca="1">IF(Información1[[#This Row],[Fecha]]='Ajuste de fechas'!$A$2,"Día actual","Día anterior")</f>
        <v>Día anterior</v>
      </c>
      <c r="C37" t="s">
        <v>46</v>
      </c>
      <c r="D37" t="s">
        <v>47</v>
      </c>
      <c r="E37" t="s">
        <v>135</v>
      </c>
      <c r="F37" t="s">
        <v>22</v>
      </c>
      <c r="G37" t="s">
        <v>136</v>
      </c>
      <c r="H37" t="s">
        <v>11</v>
      </c>
      <c r="I37" t="s">
        <v>7</v>
      </c>
      <c r="J37" t="s">
        <v>63</v>
      </c>
      <c r="K37" t="s">
        <v>48</v>
      </c>
      <c r="L37" t="s">
        <v>59</v>
      </c>
      <c r="M37">
        <v>1</v>
      </c>
    </row>
    <row r="38" spans="1:13" x14ac:dyDescent="0.25">
      <c r="A38" s="2">
        <v>46148</v>
      </c>
      <c r="B38" s="1" t="str">
        <f ca="1">IF(Información1[[#This Row],[Fecha]]='Ajuste de fechas'!$A$2,"Día actual","Día anterior")</f>
        <v>Día anterior</v>
      </c>
      <c r="C38" t="s">
        <v>46</v>
      </c>
      <c r="D38" t="s">
        <v>47</v>
      </c>
      <c r="E38" t="s">
        <v>137</v>
      </c>
      <c r="F38" t="s">
        <v>27</v>
      </c>
      <c r="G38" t="s">
        <v>138</v>
      </c>
      <c r="H38" t="s">
        <v>11</v>
      </c>
      <c r="I38" t="s">
        <v>7</v>
      </c>
      <c r="J38" t="s">
        <v>58</v>
      </c>
      <c r="K38" t="s">
        <v>48</v>
      </c>
      <c r="L38" t="s">
        <v>59</v>
      </c>
      <c r="M38">
        <v>1</v>
      </c>
    </row>
    <row r="39" spans="1:13" x14ac:dyDescent="0.25">
      <c r="A39" s="2">
        <v>46148</v>
      </c>
      <c r="B39" s="1" t="str">
        <f ca="1">IF(Información1[[#This Row],[Fecha]]='Ajuste de fechas'!$A$2,"Día actual","Día anterior")</f>
        <v>Día anterior</v>
      </c>
      <c r="C39" t="s">
        <v>46</v>
      </c>
      <c r="D39" t="s">
        <v>47</v>
      </c>
      <c r="E39" t="s">
        <v>139</v>
      </c>
      <c r="F39" t="s">
        <v>93</v>
      </c>
      <c r="G39" t="s">
        <v>138</v>
      </c>
      <c r="H39" t="s">
        <v>11</v>
      </c>
      <c r="I39" t="s">
        <v>26</v>
      </c>
      <c r="J39" t="s">
        <v>58</v>
      </c>
      <c r="K39" t="s">
        <v>48</v>
      </c>
      <c r="L39" t="s">
        <v>60</v>
      </c>
      <c r="M39">
        <v>1</v>
      </c>
    </row>
    <row r="40" spans="1:13" x14ac:dyDescent="0.25">
      <c r="A40" s="2">
        <v>46148</v>
      </c>
      <c r="B40" s="1" t="str">
        <f ca="1">IF(Información1[[#This Row],[Fecha]]='Ajuste de fechas'!$A$2,"Día actual","Día anterior")</f>
        <v>Día anterior</v>
      </c>
      <c r="C40" t="s">
        <v>46</v>
      </c>
      <c r="D40" t="s">
        <v>47</v>
      </c>
      <c r="E40" t="s">
        <v>146</v>
      </c>
      <c r="F40" t="s">
        <v>162</v>
      </c>
      <c r="G40" t="s">
        <v>163</v>
      </c>
      <c r="H40" t="s">
        <v>11</v>
      </c>
      <c r="I40" t="s">
        <v>26</v>
      </c>
      <c r="J40" t="s">
        <v>25</v>
      </c>
      <c r="K40" t="s">
        <v>48</v>
      </c>
      <c r="L40" t="s">
        <v>64</v>
      </c>
      <c r="M40">
        <v>1</v>
      </c>
    </row>
    <row r="41" spans="1:13" x14ac:dyDescent="0.25">
      <c r="A41" s="2">
        <v>46148</v>
      </c>
      <c r="B41" s="1" t="str">
        <f ca="1">IF(Información1[[#This Row],[Fecha]]='Ajuste de fechas'!$A$2,"Día actual","Día anterior")</f>
        <v>Día anterior</v>
      </c>
      <c r="C41" t="s">
        <v>41</v>
      </c>
      <c r="D41" t="s">
        <v>44</v>
      </c>
      <c r="E41" t="s">
        <v>164</v>
      </c>
      <c r="F41" t="s">
        <v>22</v>
      </c>
      <c r="G41" t="s">
        <v>128</v>
      </c>
      <c r="H41" t="s">
        <v>11</v>
      </c>
      <c r="I41" t="s">
        <v>7</v>
      </c>
      <c r="J41" t="s">
        <v>63</v>
      </c>
      <c r="K41" t="s">
        <v>42</v>
      </c>
      <c r="L41" t="s">
        <v>59</v>
      </c>
      <c r="M41">
        <v>1</v>
      </c>
    </row>
    <row r="42" spans="1:13" x14ac:dyDescent="0.25">
      <c r="A42" s="2">
        <v>46148</v>
      </c>
      <c r="B42" s="1" t="str">
        <f ca="1">IF(Información1[[#This Row],[Fecha]]='Ajuste de fechas'!$A$2,"Día actual","Día anterior")</f>
        <v>Día anterior</v>
      </c>
      <c r="C42" t="s">
        <v>41</v>
      </c>
      <c r="D42" t="s">
        <v>44</v>
      </c>
      <c r="E42" t="s">
        <v>165</v>
      </c>
      <c r="F42" t="s">
        <v>19</v>
      </c>
      <c r="G42" t="s">
        <v>166</v>
      </c>
      <c r="H42" t="s">
        <v>11</v>
      </c>
      <c r="I42" t="s">
        <v>7</v>
      </c>
      <c r="J42" t="s">
        <v>62</v>
      </c>
      <c r="K42" t="s">
        <v>42</v>
      </c>
      <c r="L42" t="s">
        <v>59</v>
      </c>
      <c r="M42">
        <v>1</v>
      </c>
    </row>
    <row r="43" spans="1:13" x14ac:dyDescent="0.25">
      <c r="A43" s="2">
        <v>46148</v>
      </c>
      <c r="B43" s="1" t="str">
        <f ca="1">IF(Información1[[#This Row],[Fecha]]='Ajuste de fechas'!$A$2,"Día actual","Día anterior")</f>
        <v>Día anterior</v>
      </c>
      <c r="C43" t="s">
        <v>41</v>
      </c>
      <c r="D43" t="s">
        <v>44</v>
      </c>
      <c r="E43" t="s">
        <v>167</v>
      </c>
      <c r="F43" t="s">
        <v>17</v>
      </c>
      <c r="G43" t="s">
        <v>88</v>
      </c>
      <c r="H43" t="s">
        <v>11</v>
      </c>
      <c r="I43" t="s">
        <v>7</v>
      </c>
      <c r="J43" t="s">
        <v>58</v>
      </c>
      <c r="K43" t="s">
        <v>42</v>
      </c>
      <c r="L43" t="s">
        <v>60</v>
      </c>
      <c r="M43">
        <v>1</v>
      </c>
    </row>
    <row r="44" spans="1:13" x14ac:dyDescent="0.25">
      <c r="A44" s="2">
        <v>46148</v>
      </c>
      <c r="B44" s="1" t="str">
        <f ca="1">IF(Información1[[#This Row],[Fecha]]='Ajuste de fechas'!$A$2,"Día actual","Día anterior")</f>
        <v>Día anterior</v>
      </c>
      <c r="C44" t="s">
        <v>41</v>
      </c>
      <c r="D44" t="s">
        <v>44</v>
      </c>
      <c r="E44" t="s">
        <v>168</v>
      </c>
      <c r="F44" t="s">
        <v>17</v>
      </c>
      <c r="G44" t="s">
        <v>88</v>
      </c>
      <c r="H44" t="s">
        <v>11</v>
      </c>
      <c r="I44" t="s">
        <v>7</v>
      </c>
      <c r="J44" t="s">
        <v>58</v>
      </c>
      <c r="K44" t="s">
        <v>42</v>
      </c>
      <c r="L44" t="s">
        <v>59</v>
      </c>
      <c r="M44">
        <v>1</v>
      </c>
    </row>
    <row r="45" spans="1:13" x14ac:dyDescent="0.25">
      <c r="A45" s="2">
        <v>46148</v>
      </c>
      <c r="B45" s="1" t="str">
        <f ca="1">IF(Información1[[#This Row],[Fecha]]='Ajuste de fechas'!$A$2,"Día actual","Día anterior")</f>
        <v>Día anterior</v>
      </c>
      <c r="C45" t="s">
        <v>29</v>
      </c>
      <c r="D45" t="s">
        <v>31</v>
      </c>
      <c r="E45" t="s">
        <v>169</v>
      </c>
      <c r="F45" t="s">
        <v>22</v>
      </c>
      <c r="G45" t="s">
        <v>170</v>
      </c>
      <c r="H45" t="s">
        <v>11</v>
      </c>
      <c r="I45" t="s">
        <v>7</v>
      </c>
      <c r="J45" t="s">
        <v>63</v>
      </c>
      <c r="K45" t="s">
        <v>30</v>
      </c>
      <c r="L45" t="s">
        <v>59</v>
      </c>
      <c r="M45">
        <v>1</v>
      </c>
    </row>
    <row r="46" spans="1:13" x14ac:dyDescent="0.25">
      <c r="A46" s="2">
        <v>46148</v>
      </c>
      <c r="B46" s="1" t="str">
        <f ca="1">IF(Información1[[#This Row],[Fecha]]='Ajuste de fechas'!$A$2,"Día actual","Día anterior")</f>
        <v>Día anterior</v>
      </c>
      <c r="C46" t="s">
        <v>29</v>
      </c>
      <c r="D46" t="s">
        <v>31</v>
      </c>
      <c r="E46" t="s">
        <v>171</v>
      </c>
      <c r="F46" t="s">
        <v>27</v>
      </c>
      <c r="G46" t="s">
        <v>128</v>
      </c>
      <c r="H46" t="s">
        <v>11</v>
      </c>
      <c r="I46" t="s">
        <v>7</v>
      </c>
      <c r="J46" t="s">
        <v>58</v>
      </c>
      <c r="K46" t="s">
        <v>30</v>
      </c>
      <c r="L46" t="s">
        <v>61</v>
      </c>
      <c r="M46">
        <v>1</v>
      </c>
    </row>
    <row r="47" spans="1:13" x14ac:dyDescent="0.25">
      <c r="A47" s="2">
        <v>46148</v>
      </c>
      <c r="B47" s="1" t="str">
        <f ca="1">IF(Información1[[#This Row],[Fecha]]='Ajuste de fechas'!$A$2,"Día actual","Día anterior")</f>
        <v>Día anterior</v>
      </c>
      <c r="C47" t="s">
        <v>29</v>
      </c>
      <c r="D47" t="s">
        <v>31</v>
      </c>
      <c r="E47" t="s">
        <v>129</v>
      </c>
      <c r="F47" t="s">
        <v>23</v>
      </c>
      <c r="G47" t="s">
        <v>130</v>
      </c>
      <c r="H47" t="s">
        <v>11</v>
      </c>
      <c r="I47" t="s">
        <v>7</v>
      </c>
      <c r="J47" t="s">
        <v>58</v>
      </c>
      <c r="K47" t="s">
        <v>30</v>
      </c>
      <c r="L47" t="s">
        <v>61</v>
      </c>
      <c r="M47">
        <v>1</v>
      </c>
    </row>
    <row r="48" spans="1:13" x14ac:dyDescent="0.25">
      <c r="A48" s="2">
        <v>46148</v>
      </c>
      <c r="B48" s="1" t="str">
        <f ca="1">IF(Información1[[#This Row],[Fecha]]='Ajuste de fechas'!$A$2,"Día actual","Día anterior")</f>
        <v>Día anterior</v>
      </c>
      <c r="C48" t="s">
        <v>29</v>
      </c>
      <c r="D48" t="s">
        <v>31</v>
      </c>
      <c r="E48" t="s">
        <v>147</v>
      </c>
      <c r="F48" t="s">
        <v>21</v>
      </c>
      <c r="G48" t="s">
        <v>172</v>
      </c>
      <c r="H48" t="s">
        <v>11</v>
      </c>
      <c r="I48" t="s">
        <v>7</v>
      </c>
      <c r="J48" t="s">
        <v>58</v>
      </c>
      <c r="K48" t="s">
        <v>30</v>
      </c>
      <c r="L48" t="s">
        <v>61</v>
      </c>
      <c r="M48">
        <v>1</v>
      </c>
    </row>
    <row r="49" spans="1:13" x14ac:dyDescent="0.25">
      <c r="A49" s="2">
        <v>46148</v>
      </c>
      <c r="B49" s="1" t="str">
        <f ca="1">IF(Información1[[#This Row],[Fecha]]='Ajuste de fechas'!$A$2,"Día actual","Día anterior")</f>
        <v>Día anterior</v>
      </c>
      <c r="C49" t="s">
        <v>29</v>
      </c>
      <c r="D49" t="s">
        <v>31</v>
      </c>
      <c r="E49" t="s">
        <v>173</v>
      </c>
      <c r="F49" t="s">
        <v>69</v>
      </c>
      <c r="G49" t="s">
        <v>174</v>
      </c>
      <c r="H49" t="s">
        <v>11</v>
      </c>
      <c r="I49" t="s">
        <v>7</v>
      </c>
      <c r="J49" t="s">
        <v>58</v>
      </c>
      <c r="K49" t="s">
        <v>30</v>
      </c>
      <c r="L49" t="s">
        <v>59</v>
      </c>
      <c r="M49">
        <v>1</v>
      </c>
    </row>
    <row r="50" spans="1:13" x14ac:dyDescent="0.25">
      <c r="A50" s="2">
        <v>46148</v>
      </c>
      <c r="B50" s="1" t="str">
        <f ca="1">IF(Información1[[#This Row],[Fecha]]='Ajuste de fechas'!$A$2,"Día actual","Día anterior")</f>
        <v>Día anterior</v>
      </c>
      <c r="C50" t="s">
        <v>29</v>
      </c>
      <c r="D50" t="s">
        <v>31</v>
      </c>
      <c r="E50" t="s">
        <v>175</v>
      </c>
      <c r="F50" t="s">
        <v>99</v>
      </c>
      <c r="G50" t="s">
        <v>130</v>
      </c>
      <c r="H50" t="s">
        <v>11</v>
      </c>
      <c r="I50" t="s">
        <v>7</v>
      </c>
      <c r="J50" t="s">
        <v>58</v>
      </c>
      <c r="K50" t="s">
        <v>30</v>
      </c>
      <c r="L50" t="s">
        <v>61</v>
      </c>
      <c r="M50">
        <v>1</v>
      </c>
    </row>
    <row r="51" spans="1:13" x14ac:dyDescent="0.25">
      <c r="A51" s="2">
        <v>46148</v>
      </c>
      <c r="B51" s="1" t="str">
        <f ca="1">IF(Información1[[#This Row],[Fecha]]='Ajuste de fechas'!$A$2,"Día actual","Día anterior")</f>
        <v>Día anterior</v>
      </c>
      <c r="C51" t="s">
        <v>29</v>
      </c>
      <c r="D51" t="s">
        <v>31</v>
      </c>
      <c r="E51" t="s">
        <v>176</v>
      </c>
      <c r="F51" t="s">
        <v>23</v>
      </c>
      <c r="G51" t="s">
        <v>75</v>
      </c>
      <c r="H51" t="s">
        <v>11</v>
      </c>
      <c r="I51" t="s">
        <v>7</v>
      </c>
      <c r="J51" t="s">
        <v>58</v>
      </c>
      <c r="K51" t="s">
        <v>30</v>
      </c>
      <c r="L51" t="s">
        <v>61</v>
      </c>
      <c r="M51">
        <v>1</v>
      </c>
    </row>
    <row r="52" spans="1:13" x14ac:dyDescent="0.25">
      <c r="A52" s="2">
        <v>46148</v>
      </c>
      <c r="B52" s="1" t="str">
        <f ca="1">IF(Información1[[#This Row],[Fecha]]='Ajuste de fechas'!$A$2,"Día actual","Día anterior")</f>
        <v>Día anterior</v>
      </c>
      <c r="C52" t="s">
        <v>29</v>
      </c>
      <c r="D52" t="s">
        <v>31</v>
      </c>
      <c r="E52" t="s">
        <v>177</v>
      </c>
      <c r="F52" t="s">
        <v>115</v>
      </c>
      <c r="G52" t="s">
        <v>128</v>
      </c>
      <c r="H52" t="s">
        <v>11</v>
      </c>
      <c r="I52" t="s">
        <v>7</v>
      </c>
      <c r="J52" t="s">
        <v>25</v>
      </c>
      <c r="K52" t="s">
        <v>30</v>
      </c>
      <c r="L52" t="s">
        <v>59</v>
      </c>
      <c r="M52">
        <v>1</v>
      </c>
    </row>
    <row r="53" spans="1:13" x14ac:dyDescent="0.25">
      <c r="A53" s="2">
        <v>46148</v>
      </c>
      <c r="B53" s="1" t="str">
        <f ca="1">IF(Información1[[#This Row],[Fecha]]='Ajuste de fechas'!$A$2,"Día actual","Día anterior")</f>
        <v>Día anterior</v>
      </c>
      <c r="C53" t="s">
        <v>29</v>
      </c>
      <c r="D53" t="s">
        <v>31</v>
      </c>
      <c r="E53" t="s">
        <v>178</v>
      </c>
      <c r="F53" t="s">
        <v>76</v>
      </c>
      <c r="G53" t="s">
        <v>179</v>
      </c>
      <c r="H53" t="s">
        <v>11</v>
      </c>
      <c r="I53" t="s">
        <v>12</v>
      </c>
      <c r="J53" t="s">
        <v>58</v>
      </c>
      <c r="K53" t="s">
        <v>30</v>
      </c>
      <c r="L53" t="s">
        <v>60</v>
      </c>
      <c r="M53">
        <v>1</v>
      </c>
    </row>
    <row r="54" spans="1:13" x14ac:dyDescent="0.25">
      <c r="A54" s="2">
        <v>46148</v>
      </c>
      <c r="B54" s="1" t="str">
        <f ca="1">IF(Información1[[#This Row],[Fecha]]='Ajuste de fechas'!$A$2,"Día actual","Día anterior")</f>
        <v>Día anterior</v>
      </c>
      <c r="C54" t="s">
        <v>29</v>
      </c>
      <c r="D54" t="s">
        <v>31</v>
      </c>
      <c r="E54" t="s">
        <v>180</v>
      </c>
      <c r="F54" t="s">
        <v>76</v>
      </c>
      <c r="G54" t="s">
        <v>179</v>
      </c>
      <c r="H54" t="s">
        <v>11</v>
      </c>
      <c r="I54" t="s">
        <v>7</v>
      </c>
      <c r="J54" t="s">
        <v>58</v>
      </c>
      <c r="K54" t="s">
        <v>30</v>
      </c>
      <c r="L54" t="s">
        <v>61</v>
      </c>
      <c r="M54">
        <v>1</v>
      </c>
    </row>
    <row r="55" spans="1:13" x14ac:dyDescent="0.25">
      <c r="A55" s="2">
        <v>46148</v>
      </c>
      <c r="B55" s="1" t="str">
        <f ca="1">IF(Información1[[#This Row],[Fecha]]='Ajuste de fechas'!$A$2,"Día actual","Día anterior")</f>
        <v>Día anterior</v>
      </c>
      <c r="C55" t="s">
        <v>29</v>
      </c>
      <c r="D55" t="s">
        <v>31</v>
      </c>
      <c r="E55" t="s">
        <v>181</v>
      </c>
      <c r="F55" t="s">
        <v>97</v>
      </c>
      <c r="G55" t="s">
        <v>80</v>
      </c>
      <c r="H55" t="s">
        <v>11</v>
      </c>
      <c r="I55" t="s">
        <v>7</v>
      </c>
      <c r="J55" t="s">
        <v>58</v>
      </c>
      <c r="K55" t="s">
        <v>30</v>
      </c>
      <c r="L55" t="s">
        <v>61</v>
      </c>
      <c r="M55">
        <v>1</v>
      </c>
    </row>
    <row r="56" spans="1:13" x14ac:dyDescent="0.25">
      <c r="A56" s="2">
        <v>46148</v>
      </c>
      <c r="B56" s="1" t="str">
        <f ca="1">IF(Información1[[#This Row],[Fecha]]='Ajuste de fechas'!$A$2,"Día actual","Día anterior")</f>
        <v>Día anterior</v>
      </c>
      <c r="C56" t="s">
        <v>41</v>
      </c>
      <c r="D56" t="s">
        <v>43</v>
      </c>
      <c r="E56" t="s">
        <v>182</v>
      </c>
      <c r="F56" t="s">
        <v>17</v>
      </c>
      <c r="G56" t="s">
        <v>88</v>
      </c>
      <c r="H56" t="s">
        <v>11</v>
      </c>
      <c r="I56" t="s">
        <v>7</v>
      </c>
      <c r="J56" t="s">
        <v>58</v>
      </c>
      <c r="K56" t="s">
        <v>9</v>
      </c>
      <c r="L56" t="s">
        <v>60</v>
      </c>
      <c r="M56">
        <v>1</v>
      </c>
    </row>
    <row r="57" spans="1:13" x14ac:dyDescent="0.25">
      <c r="A57" s="2">
        <v>46148</v>
      </c>
      <c r="B57" s="1" t="str">
        <f ca="1">IF(Información1[[#This Row],[Fecha]]='Ajuste de fechas'!$A$2,"Día actual","Día anterior")</f>
        <v>Día anterior</v>
      </c>
      <c r="C57" t="s">
        <v>41</v>
      </c>
      <c r="D57" t="s">
        <v>43</v>
      </c>
      <c r="E57" t="s">
        <v>183</v>
      </c>
      <c r="F57" t="s">
        <v>25</v>
      </c>
      <c r="G57" t="s">
        <v>88</v>
      </c>
      <c r="H57" t="s">
        <v>11</v>
      </c>
      <c r="I57" t="s">
        <v>7</v>
      </c>
      <c r="J57" t="s">
        <v>25</v>
      </c>
      <c r="K57" t="s">
        <v>42</v>
      </c>
      <c r="L57" t="s">
        <v>64</v>
      </c>
      <c r="M57">
        <v>1</v>
      </c>
    </row>
    <row r="58" spans="1:13" x14ac:dyDescent="0.25">
      <c r="A58" s="2">
        <v>46148</v>
      </c>
      <c r="B58" s="1" t="str">
        <f ca="1">IF(Información1[[#This Row],[Fecha]]='Ajuste de fechas'!$A$2,"Día actual","Día anterior")</f>
        <v>Día anterior</v>
      </c>
      <c r="C58" t="s">
        <v>41</v>
      </c>
      <c r="D58" t="s">
        <v>43</v>
      </c>
      <c r="E58" t="s">
        <v>184</v>
      </c>
      <c r="F58" t="s">
        <v>25</v>
      </c>
      <c r="G58" t="s">
        <v>185</v>
      </c>
      <c r="H58" t="s">
        <v>11</v>
      </c>
      <c r="I58" t="s">
        <v>7</v>
      </c>
      <c r="J58" t="s">
        <v>25</v>
      </c>
      <c r="K58" t="s">
        <v>186</v>
      </c>
      <c r="L58" t="s">
        <v>60</v>
      </c>
      <c r="M58">
        <v>1</v>
      </c>
    </row>
    <row r="59" spans="1:13" x14ac:dyDescent="0.25">
      <c r="A59" s="2">
        <v>46148</v>
      </c>
      <c r="B59" s="1" t="str">
        <f ca="1">IF(Información1[[#This Row],[Fecha]]='Ajuste de fechas'!$A$2,"Día actual","Día anterior")</f>
        <v>Día anterior</v>
      </c>
      <c r="C59" t="s">
        <v>41</v>
      </c>
      <c r="D59" t="s">
        <v>43</v>
      </c>
      <c r="E59" t="s">
        <v>187</v>
      </c>
      <c r="F59" t="s">
        <v>188</v>
      </c>
      <c r="G59" t="s">
        <v>189</v>
      </c>
      <c r="H59" t="s">
        <v>11</v>
      </c>
      <c r="I59" t="s">
        <v>26</v>
      </c>
      <c r="J59" t="s">
        <v>25</v>
      </c>
      <c r="K59" t="s">
        <v>186</v>
      </c>
      <c r="L59" t="s">
        <v>60</v>
      </c>
      <c r="M59">
        <v>1</v>
      </c>
    </row>
    <row r="60" spans="1:13" x14ac:dyDescent="0.25">
      <c r="A60" s="2">
        <v>46148</v>
      </c>
      <c r="B60" s="1" t="str">
        <f ca="1">IF(Información1[[#This Row],[Fecha]]='Ajuste de fechas'!$A$2,"Día actual","Día anterior")</f>
        <v>Día anterior</v>
      </c>
      <c r="C60" t="s">
        <v>41</v>
      </c>
      <c r="D60" t="s">
        <v>43</v>
      </c>
      <c r="E60" t="s">
        <v>190</v>
      </c>
      <c r="F60" t="s">
        <v>19</v>
      </c>
      <c r="G60" t="s">
        <v>96</v>
      </c>
      <c r="H60" t="s">
        <v>11</v>
      </c>
      <c r="I60" t="s">
        <v>26</v>
      </c>
      <c r="J60" t="s">
        <v>62</v>
      </c>
      <c r="K60" t="s">
        <v>186</v>
      </c>
      <c r="L60" t="s">
        <v>60</v>
      </c>
      <c r="M60">
        <v>1</v>
      </c>
    </row>
    <row r="61" spans="1:13" x14ac:dyDescent="0.25">
      <c r="A61" s="2">
        <v>46148</v>
      </c>
      <c r="B61" s="1" t="str">
        <f ca="1">IF(Información1[[#This Row],[Fecha]]='Ajuste de fechas'!$A$2,"Día actual","Día anterior")</f>
        <v>Día anterior</v>
      </c>
      <c r="C61" t="s">
        <v>41</v>
      </c>
      <c r="D61" t="s">
        <v>43</v>
      </c>
      <c r="E61" t="s">
        <v>191</v>
      </c>
      <c r="F61" t="s">
        <v>19</v>
      </c>
      <c r="G61" t="s">
        <v>192</v>
      </c>
      <c r="H61" t="s">
        <v>11</v>
      </c>
      <c r="I61" t="s">
        <v>7</v>
      </c>
      <c r="J61" t="s">
        <v>62</v>
      </c>
      <c r="K61" t="s">
        <v>186</v>
      </c>
      <c r="L61" t="s">
        <v>60</v>
      </c>
      <c r="M61">
        <v>1</v>
      </c>
    </row>
    <row r="62" spans="1:13" x14ac:dyDescent="0.25">
      <c r="A62" s="2">
        <v>46148</v>
      </c>
      <c r="B62" s="1" t="str">
        <f ca="1">IF(Información1[[#This Row],[Fecha]]='Ajuste de fechas'!$A$2,"Día actual","Día anterior")</f>
        <v>Día anterior</v>
      </c>
      <c r="C62" t="s">
        <v>41</v>
      </c>
      <c r="D62" t="s">
        <v>43</v>
      </c>
      <c r="E62" t="s">
        <v>193</v>
      </c>
      <c r="F62" t="s">
        <v>23</v>
      </c>
      <c r="G62" t="s">
        <v>101</v>
      </c>
      <c r="H62" t="s">
        <v>11</v>
      </c>
      <c r="I62" t="s">
        <v>26</v>
      </c>
      <c r="J62" t="s">
        <v>58</v>
      </c>
      <c r="K62" t="s">
        <v>186</v>
      </c>
      <c r="L62" t="s">
        <v>60</v>
      </c>
      <c r="M62">
        <v>1</v>
      </c>
    </row>
    <row r="63" spans="1:13" x14ac:dyDescent="0.25">
      <c r="A63" s="2">
        <v>46148</v>
      </c>
      <c r="B63" s="1" t="str">
        <f ca="1">IF(Información1[[#This Row],[Fecha]]='Ajuste de fechas'!$A$2,"Día actual","Día anterior")</f>
        <v>Día anterior</v>
      </c>
      <c r="C63" t="s">
        <v>41</v>
      </c>
      <c r="D63" t="s">
        <v>43</v>
      </c>
      <c r="E63" t="s">
        <v>181</v>
      </c>
      <c r="F63" t="s">
        <v>97</v>
      </c>
      <c r="G63" t="s">
        <v>80</v>
      </c>
      <c r="H63" t="s">
        <v>11</v>
      </c>
      <c r="I63" t="s">
        <v>7</v>
      </c>
      <c r="J63" t="s">
        <v>58</v>
      </c>
      <c r="K63" t="s">
        <v>36</v>
      </c>
      <c r="L63" t="s">
        <v>61</v>
      </c>
      <c r="M63">
        <v>1</v>
      </c>
    </row>
    <row r="64" spans="1:13" x14ac:dyDescent="0.25">
      <c r="A64" s="2">
        <v>46148</v>
      </c>
      <c r="B64" s="1" t="str">
        <f ca="1">IF(Información1[[#This Row],[Fecha]]='Ajuste de fechas'!$A$2,"Día actual","Día anterior")</f>
        <v>Día anterior</v>
      </c>
      <c r="C64" t="s">
        <v>41</v>
      </c>
      <c r="D64" t="s">
        <v>43</v>
      </c>
      <c r="E64" t="s">
        <v>194</v>
      </c>
      <c r="F64" t="s">
        <v>6</v>
      </c>
      <c r="G64" t="s">
        <v>195</v>
      </c>
      <c r="H64" t="s">
        <v>11</v>
      </c>
      <c r="I64" t="s">
        <v>7</v>
      </c>
      <c r="J64" t="s">
        <v>58</v>
      </c>
      <c r="K64" t="s">
        <v>36</v>
      </c>
      <c r="L64" t="s">
        <v>61</v>
      </c>
      <c r="M64">
        <v>1</v>
      </c>
    </row>
    <row r="65" spans="1:13" x14ac:dyDescent="0.25">
      <c r="A65" s="2">
        <v>46148</v>
      </c>
      <c r="B65" s="1" t="str">
        <f ca="1">IF(Información1[[#This Row],[Fecha]]='Ajuste de fechas'!$A$2,"Día actual","Día anterior")</f>
        <v>Día anterior</v>
      </c>
      <c r="C65" t="s">
        <v>41</v>
      </c>
      <c r="D65" t="s">
        <v>43</v>
      </c>
      <c r="E65" t="s">
        <v>175</v>
      </c>
      <c r="F65" t="s">
        <v>99</v>
      </c>
      <c r="G65" t="s">
        <v>196</v>
      </c>
      <c r="H65" t="s">
        <v>11</v>
      </c>
      <c r="I65" t="s">
        <v>7</v>
      </c>
      <c r="J65" t="s">
        <v>58</v>
      </c>
      <c r="K65" t="s">
        <v>36</v>
      </c>
      <c r="L65" t="s">
        <v>61</v>
      </c>
      <c r="M65">
        <v>1</v>
      </c>
    </row>
    <row r="66" spans="1:13" x14ac:dyDescent="0.25">
      <c r="A66" s="2">
        <v>46148</v>
      </c>
      <c r="B66" s="1" t="str">
        <f ca="1">IF(Información1[[#This Row],[Fecha]]='Ajuste de fechas'!$A$2,"Día actual","Día anterior")</f>
        <v>Día anterior</v>
      </c>
      <c r="C66" t="s">
        <v>41</v>
      </c>
      <c r="D66" t="s">
        <v>43</v>
      </c>
      <c r="E66" t="s">
        <v>176</v>
      </c>
      <c r="F66" t="s">
        <v>23</v>
      </c>
      <c r="G66" t="s">
        <v>75</v>
      </c>
      <c r="H66" t="s">
        <v>11</v>
      </c>
      <c r="I66" t="s">
        <v>7</v>
      </c>
      <c r="J66" t="s">
        <v>58</v>
      </c>
      <c r="K66" t="s">
        <v>36</v>
      </c>
      <c r="L66" t="s">
        <v>61</v>
      </c>
      <c r="M66">
        <v>1</v>
      </c>
    </row>
    <row r="67" spans="1:13" x14ac:dyDescent="0.25">
      <c r="A67" s="2">
        <v>46148</v>
      </c>
      <c r="B67" s="1" t="str">
        <f ca="1">IF(Información1[[#This Row],[Fecha]]='Ajuste de fechas'!$A$2,"Día actual","Día anterior")</f>
        <v>Día anterior</v>
      </c>
      <c r="C67" t="s">
        <v>41</v>
      </c>
      <c r="D67" t="s">
        <v>43</v>
      </c>
      <c r="E67" t="s">
        <v>197</v>
      </c>
      <c r="F67" t="s">
        <v>85</v>
      </c>
      <c r="G67" t="s">
        <v>84</v>
      </c>
      <c r="H67" t="s">
        <v>11</v>
      </c>
      <c r="I67" t="s">
        <v>12</v>
      </c>
      <c r="J67" t="s">
        <v>58</v>
      </c>
      <c r="K67" t="s">
        <v>36</v>
      </c>
      <c r="L67" t="s">
        <v>90</v>
      </c>
      <c r="M67">
        <v>1</v>
      </c>
    </row>
    <row r="68" spans="1:13" x14ac:dyDescent="0.25">
      <c r="A68" s="2">
        <v>46148</v>
      </c>
      <c r="B68" s="1" t="str">
        <f ca="1">IF(Información1[[#This Row],[Fecha]]='Ajuste de fechas'!$A$2,"Día actual","Día anterior")</f>
        <v>Día anterior</v>
      </c>
      <c r="C68" t="s">
        <v>41</v>
      </c>
      <c r="D68" t="s">
        <v>43</v>
      </c>
      <c r="E68" t="s">
        <v>198</v>
      </c>
      <c r="F68" t="s">
        <v>17</v>
      </c>
      <c r="G68" t="s">
        <v>88</v>
      </c>
      <c r="H68" t="s">
        <v>11</v>
      </c>
      <c r="I68" t="s">
        <v>7</v>
      </c>
      <c r="J68" t="s">
        <v>58</v>
      </c>
      <c r="K68" t="s">
        <v>42</v>
      </c>
      <c r="L68" t="s">
        <v>59</v>
      </c>
      <c r="M68">
        <v>1</v>
      </c>
    </row>
    <row r="69" spans="1:13" x14ac:dyDescent="0.25">
      <c r="A69" s="2">
        <v>46148</v>
      </c>
      <c r="B69" s="1" t="str">
        <f ca="1">IF(Información1[[#This Row],[Fecha]]='Ajuste de fechas'!$A$2,"Día actual","Día anterior")</f>
        <v>Día anterior</v>
      </c>
      <c r="C69" t="s">
        <v>32</v>
      </c>
      <c r="D69" t="s">
        <v>34</v>
      </c>
      <c r="E69" t="s">
        <v>199</v>
      </c>
      <c r="F69" t="s">
        <v>22</v>
      </c>
      <c r="G69" t="s">
        <v>200</v>
      </c>
      <c r="H69" t="s">
        <v>11</v>
      </c>
      <c r="I69" t="s">
        <v>7</v>
      </c>
      <c r="J69" t="s">
        <v>63</v>
      </c>
      <c r="K69" t="s">
        <v>50</v>
      </c>
      <c r="L69" t="s">
        <v>59</v>
      </c>
      <c r="M69">
        <v>1</v>
      </c>
    </row>
    <row r="70" spans="1:13" x14ac:dyDescent="0.25">
      <c r="A70" s="2">
        <v>46148</v>
      </c>
      <c r="B70" s="1" t="str">
        <f ca="1">IF(Información1[[#This Row],[Fecha]]='Ajuste de fechas'!$A$2,"Día actual","Día anterior")</f>
        <v>Día anterior</v>
      </c>
      <c r="C70" t="s">
        <v>32</v>
      </c>
      <c r="D70" t="s">
        <v>34</v>
      </c>
      <c r="E70" t="s">
        <v>201</v>
      </c>
      <c r="F70" t="s">
        <v>15</v>
      </c>
      <c r="G70" t="s">
        <v>73</v>
      </c>
      <c r="H70" t="s">
        <v>11</v>
      </c>
      <c r="I70" t="s">
        <v>7</v>
      </c>
      <c r="J70" t="s">
        <v>58</v>
      </c>
      <c r="K70" t="s">
        <v>50</v>
      </c>
      <c r="L70" t="s">
        <v>64</v>
      </c>
      <c r="M70">
        <v>1</v>
      </c>
    </row>
    <row r="71" spans="1:13" x14ac:dyDescent="0.25">
      <c r="A71" s="2">
        <v>46148</v>
      </c>
      <c r="B71" s="1" t="str">
        <f ca="1">IF(Información1[[#This Row],[Fecha]]='Ajuste de fechas'!$A$2,"Día actual","Día anterior")</f>
        <v>Día anterior</v>
      </c>
      <c r="C71" t="s">
        <v>32</v>
      </c>
      <c r="D71" t="s">
        <v>35</v>
      </c>
      <c r="E71" t="s">
        <v>202</v>
      </c>
      <c r="F71" t="s">
        <v>15</v>
      </c>
      <c r="G71" t="s">
        <v>73</v>
      </c>
      <c r="H71" t="s">
        <v>11</v>
      </c>
      <c r="I71" t="s">
        <v>7</v>
      </c>
      <c r="J71" t="s">
        <v>58</v>
      </c>
      <c r="K71" t="s">
        <v>33</v>
      </c>
      <c r="L71" t="s">
        <v>64</v>
      </c>
      <c r="M71">
        <v>1</v>
      </c>
    </row>
    <row r="72" spans="1:13" x14ac:dyDescent="0.25">
      <c r="A72" s="2">
        <v>46148</v>
      </c>
      <c r="B72" s="1" t="str">
        <f ca="1">IF(Información1[[#This Row],[Fecha]]='Ajuste de fechas'!$A$2,"Día actual","Día anterior")</f>
        <v>Día anterior</v>
      </c>
      <c r="C72" t="s">
        <v>8</v>
      </c>
      <c r="D72" t="s">
        <v>10</v>
      </c>
      <c r="E72" t="s">
        <v>203</v>
      </c>
      <c r="F72" t="s">
        <v>17</v>
      </c>
      <c r="G72" t="s">
        <v>204</v>
      </c>
      <c r="H72" t="s">
        <v>11</v>
      </c>
      <c r="I72" t="s">
        <v>26</v>
      </c>
      <c r="J72" t="s">
        <v>58</v>
      </c>
      <c r="K72" t="s">
        <v>9</v>
      </c>
      <c r="L72" t="s">
        <v>60</v>
      </c>
      <c r="M72">
        <v>1</v>
      </c>
    </row>
    <row r="73" spans="1:13" x14ac:dyDescent="0.25">
      <c r="A73" s="2">
        <v>46148</v>
      </c>
      <c r="B73" s="1" t="str">
        <f ca="1">IF(Información1[[#This Row],[Fecha]]='Ajuste de fechas'!$A$2,"Día actual","Día anterior")</f>
        <v>Día anterior</v>
      </c>
      <c r="C73" t="s">
        <v>8</v>
      </c>
      <c r="D73" t="s">
        <v>10</v>
      </c>
      <c r="E73" t="s">
        <v>20</v>
      </c>
      <c r="F73" t="s">
        <v>19</v>
      </c>
      <c r="G73" t="s">
        <v>49</v>
      </c>
      <c r="H73" t="s">
        <v>11</v>
      </c>
      <c r="I73" t="s">
        <v>12</v>
      </c>
      <c r="J73" t="s">
        <v>62</v>
      </c>
      <c r="K73" t="s">
        <v>14</v>
      </c>
      <c r="L73" t="s">
        <v>60</v>
      </c>
      <c r="M73">
        <v>1</v>
      </c>
    </row>
    <row r="74" spans="1:13" x14ac:dyDescent="0.25">
      <c r="A74" s="2">
        <v>46148</v>
      </c>
      <c r="B74" s="1" t="str">
        <f ca="1">IF(Información1[[#This Row],[Fecha]]='Ajuste de fechas'!$A$2,"Día actual","Día anterior")</f>
        <v>Día anterior</v>
      </c>
      <c r="C74" t="s">
        <v>8</v>
      </c>
      <c r="D74" t="s">
        <v>10</v>
      </c>
      <c r="E74" t="s">
        <v>18</v>
      </c>
      <c r="F74" t="s">
        <v>19</v>
      </c>
      <c r="G74" t="s">
        <v>49</v>
      </c>
      <c r="H74" t="s">
        <v>11</v>
      </c>
      <c r="I74" t="s">
        <v>12</v>
      </c>
      <c r="J74" t="s">
        <v>62</v>
      </c>
      <c r="K74" t="s">
        <v>14</v>
      </c>
      <c r="L74" t="s">
        <v>60</v>
      </c>
      <c r="M74">
        <v>1</v>
      </c>
    </row>
    <row r="75" spans="1:13" x14ac:dyDescent="0.25">
      <c r="A75" s="2">
        <v>46148</v>
      </c>
      <c r="B75" s="1" t="str">
        <f ca="1">IF(Información1[[#This Row],[Fecha]]='Ajuste de fechas'!$A$2,"Día actual","Día anterior")</f>
        <v>Día anterior</v>
      </c>
      <c r="C75" t="s">
        <v>8</v>
      </c>
      <c r="D75" t="s">
        <v>10</v>
      </c>
      <c r="E75" t="s">
        <v>205</v>
      </c>
      <c r="F75" t="s">
        <v>115</v>
      </c>
      <c r="G75" t="s">
        <v>49</v>
      </c>
      <c r="H75" t="s">
        <v>11</v>
      </c>
      <c r="I75" t="s">
        <v>12</v>
      </c>
      <c r="J75" t="s">
        <v>25</v>
      </c>
      <c r="K75" t="s">
        <v>14</v>
      </c>
      <c r="L75" t="s">
        <v>60</v>
      </c>
      <c r="M75">
        <v>1</v>
      </c>
    </row>
    <row r="76" spans="1:13" x14ac:dyDescent="0.25">
      <c r="A76" s="2">
        <v>46148</v>
      </c>
      <c r="B76" s="1" t="str">
        <f ca="1">IF(Información1[[#This Row],[Fecha]]='Ajuste de fechas'!$A$2,"Día actual","Día anterior")</f>
        <v>Día anterior</v>
      </c>
      <c r="C76" t="s">
        <v>8</v>
      </c>
      <c r="D76" t="s">
        <v>10</v>
      </c>
      <c r="E76" t="s">
        <v>70</v>
      </c>
      <c r="F76" t="s">
        <v>21</v>
      </c>
      <c r="G76" t="s">
        <v>49</v>
      </c>
      <c r="H76" t="s">
        <v>11</v>
      </c>
      <c r="I76" t="s">
        <v>12</v>
      </c>
      <c r="J76" t="s">
        <v>58</v>
      </c>
      <c r="K76" t="s">
        <v>14</v>
      </c>
      <c r="L76" t="s">
        <v>60</v>
      </c>
      <c r="M76">
        <v>1</v>
      </c>
    </row>
    <row r="77" spans="1:13" x14ac:dyDescent="0.25">
      <c r="A77" s="2">
        <v>46148</v>
      </c>
      <c r="B77" s="1" t="str">
        <f ca="1">IF(Información1[[#This Row],[Fecha]]='Ajuste de fechas'!$A$2,"Día actual","Día anterior")</f>
        <v>Día anterior</v>
      </c>
      <c r="C77" t="s">
        <v>8</v>
      </c>
      <c r="D77" t="s">
        <v>10</v>
      </c>
      <c r="E77" t="s">
        <v>13</v>
      </c>
      <c r="F77" t="s">
        <v>15</v>
      </c>
      <c r="G77" t="s">
        <v>49</v>
      </c>
      <c r="H77" t="s">
        <v>11</v>
      </c>
      <c r="I77" t="s">
        <v>12</v>
      </c>
      <c r="J77" t="s">
        <v>58</v>
      </c>
      <c r="K77" t="s">
        <v>14</v>
      </c>
      <c r="L77" t="s">
        <v>60</v>
      </c>
      <c r="M77">
        <v>1</v>
      </c>
    </row>
    <row r="78" spans="1:13" x14ac:dyDescent="0.25">
      <c r="A78" s="2">
        <v>46148</v>
      </c>
      <c r="B78" s="1" t="str">
        <f ca="1">IF(Información1[[#This Row],[Fecha]]='Ajuste de fechas'!$A$2,"Día actual","Día anterior")</f>
        <v>Día anterior</v>
      </c>
      <c r="C78" t="s">
        <v>8</v>
      </c>
      <c r="D78" t="s">
        <v>10</v>
      </c>
      <c r="E78" t="s">
        <v>16</v>
      </c>
      <c r="F78" t="s">
        <v>17</v>
      </c>
      <c r="G78" t="s">
        <v>49</v>
      </c>
      <c r="H78" t="s">
        <v>11</v>
      </c>
      <c r="I78" t="s">
        <v>12</v>
      </c>
      <c r="J78" t="s">
        <v>58</v>
      </c>
      <c r="K78" t="s">
        <v>14</v>
      </c>
      <c r="L78" t="s">
        <v>60</v>
      </c>
      <c r="M78">
        <v>1</v>
      </c>
    </row>
    <row r="79" spans="1:13" x14ac:dyDescent="0.25">
      <c r="A79" s="2">
        <v>46148</v>
      </c>
      <c r="B79" s="1" t="str">
        <f ca="1">IF(Información1[[#This Row],[Fecha]]='Ajuste de fechas'!$A$2,"Día actual","Día anterior")</f>
        <v>Día anterior</v>
      </c>
      <c r="C79" t="s">
        <v>8</v>
      </c>
      <c r="D79" t="s">
        <v>10</v>
      </c>
      <c r="E79" t="s">
        <v>51</v>
      </c>
      <c r="F79" t="s">
        <v>6</v>
      </c>
      <c r="G79" t="s">
        <v>49</v>
      </c>
      <c r="H79" t="s">
        <v>11</v>
      </c>
      <c r="I79" t="s">
        <v>12</v>
      </c>
      <c r="J79" t="s">
        <v>58</v>
      </c>
      <c r="K79" t="s">
        <v>14</v>
      </c>
      <c r="L79" t="s">
        <v>60</v>
      </c>
      <c r="M79">
        <v>1</v>
      </c>
    </row>
    <row r="80" spans="1:13" x14ac:dyDescent="0.25">
      <c r="A80" s="2">
        <v>46148</v>
      </c>
      <c r="B80" s="1" t="str">
        <f ca="1">IF(Información1[[#This Row],[Fecha]]='Ajuste de fechas'!$A$2,"Día actual","Día anterior")</f>
        <v>Día anterior</v>
      </c>
      <c r="C80" t="s">
        <v>32</v>
      </c>
      <c r="D80" t="s">
        <v>34</v>
      </c>
      <c r="E80" t="s">
        <v>206</v>
      </c>
      <c r="F80" t="s">
        <v>27</v>
      </c>
      <c r="G80" t="s">
        <v>88</v>
      </c>
      <c r="H80" t="s">
        <v>11</v>
      </c>
      <c r="I80" t="s">
        <v>7</v>
      </c>
      <c r="J80" t="s">
        <v>58</v>
      </c>
      <c r="K80" t="s">
        <v>50</v>
      </c>
      <c r="L80" t="s">
        <v>59</v>
      </c>
      <c r="M80">
        <v>1</v>
      </c>
    </row>
    <row r="81" spans="1:13" x14ac:dyDescent="0.25">
      <c r="A81" s="2">
        <v>46148</v>
      </c>
      <c r="B81" s="1" t="str">
        <f ca="1">IF(Información1[[#This Row],[Fecha]]='Ajuste de fechas'!$A$2,"Día actual","Día anterior")</f>
        <v>Día anterior</v>
      </c>
      <c r="C81" t="s">
        <v>32</v>
      </c>
      <c r="D81" t="s">
        <v>35</v>
      </c>
      <c r="E81" t="s">
        <v>207</v>
      </c>
      <c r="F81" t="s">
        <v>17</v>
      </c>
      <c r="G81" t="s">
        <v>88</v>
      </c>
      <c r="H81" t="s">
        <v>11</v>
      </c>
      <c r="I81" t="s">
        <v>7</v>
      </c>
      <c r="J81" t="s">
        <v>58</v>
      </c>
      <c r="K81" t="s">
        <v>33</v>
      </c>
      <c r="L81" t="s">
        <v>59</v>
      </c>
      <c r="M81">
        <v>1</v>
      </c>
    </row>
    <row r="82" spans="1:13" x14ac:dyDescent="0.25">
      <c r="A82" s="2">
        <v>46148</v>
      </c>
      <c r="B82" s="1" t="str">
        <f ca="1">IF(Información1[[#This Row],[Fecha]]='Ajuste de fechas'!$A$2,"Día actual","Día anterior")</f>
        <v>Día anterior</v>
      </c>
      <c r="C82" t="s">
        <v>8</v>
      </c>
      <c r="D82" t="s">
        <v>10</v>
      </c>
      <c r="E82" t="s">
        <v>208</v>
      </c>
      <c r="F82" t="s">
        <v>23</v>
      </c>
      <c r="G82" t="s">
        <v>75</v>
      </c>
      <c r="H82" t="s">
        <v>11</v>
      </c>
      <c r="I82" t="s">
        <v>7</v>
      </c>
      <c r="J82" t="s">
        <v>58</v>
      </c>
      <c r="K82" t="s">
        <v>14</v>
      </c>
      <c r="L82" t="s">
        <v>61</v>
      </c>
      <c r="M82">
        <v>1</v>
      </c>
    </row>
    <row r="83" spans="1:13" x14ac:dyDescent="0.25">
      <c r="A83" s="2">
        <v>46148</v>
      </c>
      <c r="B83" s="1" t="str">
        <f ca="1">IF(Información1[[#This Row],[Fecha]]='Ajuste de fechas'!$A$2,"Día actual","Día anterior")</f>
        <v>Día anterior</v>
      </c>
      <c r="C83" t="s">
        <v>32</v>
      </c>
      <c r="D83" t="s">
        <v>34</v>
      </c>
      <c r="E83" t="s">
        <v>209</v>
      </c>
      <c r="F83" t="s">
        <v>99</v>
      </c>
      <c r="G83" t="s">
        <v>130</v>
      </c>
      <c r="H83" t="s">
        <v>11</v>
      </c>
      <c r="I83" t="s">
        <v>7</v>
      </c>
      <c r="J83" t="s">
        <v>58</v>
      </c>
      <c r="K83" t="s">
        <v>50</v>
      </c>
      <c r="L83" t="s">
        <v>59</v>
      </c>
      <c r="M83">
        <v>1</v>
      </c>
    </row>
    <row r="84" spans="1:13" x14ac:dyDescent="0.25">
      <c r="A84" s="2">
        <v>46148</v>
      </c>
      <c r="B84" s="1" t="str">
        <f ca="1">IF(Información1[[#This Row],[Fecha]]='Ajuste de fechas'!$A$2,"Día actual","Día anterior")</f>
        <v>Día anterior</v>
      </c>
      <c r="C84" t="s">
        <v>32</v>
      </c>
      <c r="D84" t="s">
        <v>35</v>
      </c>
      <c r="E84" t="s">
        <v>210</v>
      </c>
      <c r="F84" t="s">
        <v>99</v>
      </c>
      <c r="G84" t="s">
        <v>130</v>
      </c>
      <c r="H84" t="s">
        <v>11</v>
      </c>
      <c r="I84" t="s">
        <v>7</v>
      </c>
      <c r="J84" t="s">
        <v>58</v>
      </c>
      <c r="K84" t="s">
        <v>33</v>
      </c>
      <c r="L84" t="s">
        <v>59</v>
      </c>
      <c r="M84">
        <v>1</v>
      </c>
    </row>
    <row r="85" spans="1:13" x14ac:dyDescent="0.25">
      <c r="A85" s="2">
        <v>46148</v>
      </c>
      <c r="B85" s="1" t="str">
        <f ca="1">IF(Información1[[#This Row],[Fecha]]='Ajuste de fechas'!$A$2,"Día actual","Día anterior")</f>
        <v>Día anterior</v>
      </c>
      <c r="C85" t="s">
        <v>8</v>
      </c>
      <c r="D85" t="s">
        <v>10</v>
      </c>
      <c r="E85" t="s">
        <v>129</v>
      </c>
      <c r="F85" t="s">
        <v>23</v>
      </c>
      <c r="G85" t="s">
        <v>130</v>
      </c>
      <c r="H85" t="s">
        <v>11</v>
      </c>
      <c r="I85" t="s">
        <v>7</v>
      </c>
      <c r="J85" t="s">
        <v>58</v>
      </c>
      <c r="K85" t="s">
        <v>14</v>
      </c>
      <c r="L85" t="s">
        <v>61</v>
      </c>
      <c r="M85">
        <v>1</v>
      </c>
    </row>
    <row r="86" spans="1:13" x14ac:dyDescent="0.25">
      <c r="A86" s="2">
        <v>46148</v>
      </c>
      <c r="B86" s="1" t="str">
        <f ca="1">IF(Información1[[#This Row],[Fecha]]='Ajuste de fechas'!$A$2,"Día actual","Día anterior")</f>
        <v>Día anterior</v>
      </c>
      <c r="C86" t="s">
        <v>32</v>
      </c>
      <c r="D86" t="s">
        <v>34</v>
      </c>
      <c r="E86" t="s">
        <v>211</v>
      </c>
      <c r="F86" t="s">
        <v>27</v>
      </c>
      <c r="G86" t="s">
        <v>92</v>
      </c>
      <c r="H86" t="s">
        <v>11</v>
      </c>
      <c r="I86" t="s">
        <v>7</v>
      </c>
      <c r="J86" t="s">
        <v>58</v>
      </c>
      <c r="K86" t="s">
        <v>50</v>
      </c>
      <c r="L86" t="s">
        <v>59</v>
      </c>
      <c r="M86">
        <v>1</v>
      </c>
    </row>
    <row r="87" spans="1:13" x14ac:dyDescent="0.25">
      <c r="A87" s="2">
        <v>46148</v>
      </c>
      <c r="B87" s="1" t="str">
        <f ca="1">IF(Información1[[#This Row],[Fecha]]='Ajuste de fechas'!$A$2,"Día actual","Día anterior")</f>
        <v>Día anterior</v>
      </c>
      <c r="C87" t="s">
        <v>8</v>
      </c>
      <c r="D87" t="s">
        <v>10</v>
      </c>
      <c r="E87" t="s">
        <v>214</v>
      </c>
      <c r="F87" t="s">
        <v>6</v>
      </c>
      <c r="G87" t="s">
        <v>215</v>
      </c>
      <c r="H87" t="s">
        <v>11</v>
      </c>
      <c r="I87" t="s">
        <v>26</v>
      </c>
      <c r="J87" t="s">
        <v>58</v>
      </c>
      <c r="K87" t="s">
        <v>9</v>
      </c>
      <c r="L87" t="s">
        <v>60</v>
      </c>
      <c r="M87">
        <v>1</v>
      </c>
    </row>
    <row r="88" spans="1:13" x14ac:dyDescent="0.25">
      <c r="A88" s="2">
        <v>46148</v>
      </c>
      <c r="B88" s="1" t="str">
        <f ca="1">IF(Información1[[#This Row],[Fecha]]='Ajuste de fechas'!$A$2,"Día actual","Día anterior")</f>
        <v>Día anterior</v>
      </c>
      <c r="C88" t="s">
        <v>32</v>
      </c>
      <c r="D88" t="s">
        <v>34</v>
      </c>
      <c r="E88" t="s">
        <v>216</v>
      </c>
      <c r="F88" t="s">
        <v>99</v>
      </c>
      <c r="G88" t="s">
        <v>217</v>
      </c>
      <c r="H88" t="s">
        <v>11</v>
      </c>
      <c r="I88" t="s">
        <v>26</v>
      </c>
      <c r="J88" t="s">
        <v>58</v>
      </c>
      <c r="K88" t="s">
        <v>50</v>
      </c>
      <c r="L88" t="s">
        <v>59</v>
      </c>
      <c r="M88">
        <v>1</v>
      </c>
    </row>
    <row r="89" spans="1:13" x14ac:dyDescent="0.25">
      <c r="A89" s="2">
        <v>46148</v>
      </c>
      <c r="B89" s="1" t="str">
        <f ca="1">IF(Información1[[#This Row],[Fecha]]='Ajuste de fechas'!$A$2,"Día actual","Día anterior")</f>
        <v>Día anterior</v>
      </c>
      <c r="C89" t="s">
        <v>32</v>
      </c>
      <c r="D89" t="s">
        <v>35</v>
      </c>
      <c r="E89" t="s">
        <v>216</v>
      </c>
      <c r="F89" t="s">
        <v>99</v>
      </c>
      <c r="G89" t="s">
        <v>217</v>
      </c>
      <c r="H89" t="s">
        <v>11</v>
      </c>
      <c r="I89" t="s">
        <v>26</v>
      </c>
      <c r="J89" t="s">
        <v>58</v>
      </c>
      <c r="K89" t="s">
        <v>33</v>
      </c>
      <c r="L89" t="s">
        <v>59</v>
      </c>
      <c r="M89">
        <v>1</v>
      </c>
    </row>
    <row r="90" spans="1:13" x14ac:dyDescent="0.25">
      <c r="A90" s="2">
        <v>46148</v>
      </c>
      <c r="B90" s="1" t="str">
        <f ca="1">IF(Información1[[#This Row],[Fecha]]='Ajuste de fechas'!$A$2,"Día actual","Día anterior")</f>
        <v>Día anterior</v>
      </c>
      <c r="C90" t="s">
        <v>32</v>
      </c>
      <c r="D90" t="s">
        <v>35</v>
      </c>
      <c r="E90" t="s">
        <v>218</v>
      </c>
      <c r="F90" t="s">
        <v>27</v>
      </c>
      <c r="G90" t="s">
        <v>101</v>
      </c>
      <c r="H90" t="s">
        <v>11</v>
      </c>
      <c r="I90" t="s">
        <v>7</v>
      </c>
      <c r="J90" t="s">
        <v>58</v>
      </c>
      <c r="K90" t="s">
        <v>33</v>
      </c>
      <c r="L90" t="s">
        <v>59</v>
      </c>
      <c r="M90">
        <v>1</v>
      </c>
    </row>
    <row r="91" spans="1:13" x14ac:dyDescent="0.25">
      <c r="A91" s="2">
        <v>46148</v>
      </c>
      <c r="B91" s="1" t="str">
        <f ca="1">IF(Información1[[#This Row],[Fecha]]='Ajuste de fechas'!$A$2,"Día actual","Día anterior")</f>
        <v>Día anterior</v>
      </c>
      <c r="C91" t="s">
        <v>8</v>
      </c>
      <c r="D91" t="s">
        <v>10</v>
      </c>
      <c r="E91" t="s">
        <v>89</v>
      </c>
      <c r="F91" t="s">
        <v>85</v>
      </c>
      <c r="G91" t="s">
        <v>84</v>
      </c>
      <c r="H91" t="s">
        <v>11</v>
      </c>
      <c r="I91" t="s">
        <v>7</v>
      </c>
      <c r="J91" t="s">
        <v>58</v>
      </c>
      <c r="K91" t="s">
        <v>14</v>
      </c>
      <c r="L91" t="s">
        <v>90</v>
      </c>
      <c r="M91">
        <v>1</v>
      </c>
    </row>
    <row r="92" spans="1:13" x14ac:dyDescent="0.25">
      <c r="A92" s="2">
        <v>46148</v>
      </c>
      <c r="B92" s="1" t="str">
        <f ca="1">IF(Información1[[#This Row],[Fecha]]='Ajuste de fechas'!$A$2,"Día actual","Día anterior")</f>
        <v>Día anterior</v>
      </c>
      <c r="C92" t="s">
        <v>8</v>
      </c>
      <c r="D92" t="s">
        <v>10</v>
      </c>
      <c r="E92" t="s">
        <v>219</v>
      </c>
      <c r="F92" t="s">
        <v>19</v>
      </c>
      <c r="G92" t="s">
        <v>220</v>
      </c>
      <c r="H92" t="s">
        <v>11</v>
      </c>
      <c r="I92" t="s">
        <v>7</v>
      </c>
      <c r="J92" t="s">
        <v>62</v>
      </c>
      <c r="K92" t="s">
        <v>14</v>
      </c>
      <c r="L92" t="s">
        <v>59</v>
      </c>
      <c r="M92">
        <v>1</v>
      </c>
    </row>
    <row r="93" spans="1:13" x14ac:dyDescent="0.25">
      <c r="A93" s="2">
        <v>46148</v>
      </c>
      <c r="B93" s="1" t="str">
        <f ca="1">IF(Información1[[#This Row],[Fecha]]='Ajuste de fechas'!$A$2,"Día actual","Día anterior")</f>
        <v>Día anterior</v>
      </c>
      <c r="C93" t="s">
        <v>74</v>
      </c>
      <c r="D93" t="s">
        <v>86</v>
      </c>
      <c r="E93" t="s">
        <v>221</v>
      </c>
      <c r="F93" t="s">
        <v>97</v>
      </c>
      <c r="G93" t="s">
        <v>80</v>
      </c>
      <c r="H93" t="s">
        <v>11</v>
      </c>
      <c r="I93" t="s">
        <v>7</v>
      </c>
      <c r="J93" t="s">
        <v>58</v>
      </c>
      <c r="K93" t="s">
        <v>222</v>
      </c>
      <c r="L93" t="s">
        <v>61</v>
      </c>
      <c r="M93">
        <v>1</v>
      </c>
    </row>
    <row r="94" spans="1:13" x14ac:dyDescent="0.25">
      <c r="A94" s="2">
        <v>46148</v>
      </c>
      <c r="B94" s="1" t="str">
        <f ca="1">IF(Información1[[#This Row],[Fecha]]='Ajuste de fechas'!$A$2,"Día actual","Día anterior")</f>
        <v>Día anterior</v>
      </c>
      <c r="C94" t="s">
        <v>32</v>
      </c>
      <c r="D94" t="s">
        <v>34</v>
      </c>
      <c r="E94" t="s">
        <v>223</v>
      </c>
      <c r="F94" t="s">
        <v>22</v>
      </c>
      <c r="G94" t="s">
        <v>82</v>
      </c>
      <c r="H94" t="s">
        <v>11</v>
      </c>
      <c r="I94" t="s">
        <v>7</v>
      </c>
      <c r="J94" t="s">
        <v>63</v>
      </c>
      <c r="K94" t="s">
        <v>50</v>
      </c>
      <c r="L94" t="s">
        <v>59</v>
      </c>
      <c r="M94">
        <v>1</v>
      </c>
    </row>
    <row r="95" spans="1:13" x14ac:dyDescent="0.25">
      <c r="A95" s="2">
        <v>46148</v>
      </c>
      <c r="B95" s="1" t="str">
        <f ca="1">IF(Información1[[#This Row],[Fecha]]='Ajuste de fechas'!$A$2,"Día actual","Día anterior")</f>
        <v>Día anterior</v>
      </c>
      <c r="C95" t="s">
        <v>32</v>
      </c>
      <c r="D95" t="s">
        <v>35</v>
      </c>
      <c r="E95" t="s">
        <v>224</v>
      </c>
      <c r="F95" t="s">
        <v>22</v>
      </c>
      <c r="G95" t="s">
        <v>82</v>
      </c>
      <c r="H95" t="s">
        <v>11</v>
      </c>
      <c r="I95" t="s">
        <v>7</v>
      </c>
      <c r="J95" t="s">
        <v>63</v>
      </c>
      <c r="K95" t="s">
        <v>33</v>
      </c>
      <c r="L95" t="s">
        <v>59</v>
      </c>
      <c r="M95">
        <v>1</v>
      </c>
    </row>
    <row r="96" spans="1:13" x14ac:dyDescent="0.25">
      <c r="A96" s="2">
        <v>46148</v>
      </c>
      <c r="B96" s="1" t="str">
        <f ca="1">IF(Información1[[#This Row],[Fecha]]='Ajuste de fechas'!$A$2,"Día actual","Día anterior")</f>
        <v>Día anterior</v>
      </c>
      <c r="C96" t="s">
        <v>32</v>
      </c>
      <c r="D96" t="s">
        <v>35</v>
      </c>
      <c r="E96" t="s">
        <v>225</v>
      </c>
      <c r="F96" t="s">
        <v>22</v>
      </c>
      <c r="G96" t="s">
        <v>82</v>
      </c>
      <c r="H96" t="s">
        <v>11</v>
      </c>
      <c r="I96" t="s">
        <v>7</v>
      </c>
      <c r="J96" t="s">
        <v>63</v>
      </c>
      <c r="K96" t="s">
        <v>33</v>
      </c>
      <c r="L96" t="s">
        <v>60</v>
      </c>
      <c r="M96">
        <v>1</v>
      </c>
    </row>
    <row r="97" spans="1:13" x14ac:dyDescent="0.25">
      <c r="A97" s="2">
        <v>46148</v>
      </c>
      <c r="B97" s="1" t="str">
        <f ca="1">IF(Información1[[#This Row],[Fecha]]='Ajuste de fechas'!$A$2,"Día actual","Día anterior")</f>
        <v>Día anterior</v>
      </c>
      <c r="C97" t="s">
        <v>32</v>
      </c>
      <c r="D97" t="s">
        <v>35</v>
      </c>
      <c r="E97" t="s">
        <v>226</v>
      </c>
      <c r="F97" t="s">
        <v>22</v>
      </c>
      <c r="G97" t="s">
        <v>82</v>
      </c>
      <c r="H97" t="s">
        <v>11</v>
      </c>
      <c r="I97" t="s">
        <v>7</v>
      </c>
      <c r="J97" t="s">
        <v>63</v>
      </c>
      <c r="K97" t="s">
        <v>33</v>
      </c>
      <c r="L97" t="s">
        <v>59</v>
      </c>
      <c r="M97">
        <v>1</v>
      </c>
    </row>
    <row r="98" spans="1:13" x14ac:dyDescent="0.25">
      <c r="A98" s="2">
        <v>46148</v>
      </c>
      <c r="B98" s="1" t="str">
        <f ca="1">IF(Información1[[#This Row],[Fecha]]='Ajuste de fechas'!$A$2,"Día actual","Día anterior")</f>
        <v>Día anterior</v>
      </c>
      <c r="C98" t="s">
        <v>32</v>
      </c>
      <c r="D98" t="s">
        <v>34</v>
      </c>
      <c r="E98" t="s">
        <v>227</v>
      </c>
      <c r="F98" t="s">
        <v>19</v>
      </c>
      <c r="G98" t="s">
        <v>228</v>
      </c>
      <c r="H98" t="s">
        <v>11</v>
      </c>
      <c r="I98" t="s">
        <v>7</v>
      </c>
      <c r="J98" t="s">
        <v>62</v>
      </c>
      <c r="K98" t="s">
        <v>50</v>
      </c>
      <c r="L98" t="s">
        <v>64</v>
      </c>
      <c r="M98">
        <v>1</v>
      </c>
    </row>
    <row r="99" spans="1:13" x14ac:dyDescent="0.25">
      <c r="A99" s="2">
        <v>46148</v>
      </c>
      <c r="B99" s="1" t="str">
        <f ca="1">IF(Información1[[#This Row],[Fecha]]='Ajuste de fechas'!$A$2,"Día actual","Día anterior")</f>
        <v>Día anterior</v>
      </c>
      <c r="C99" t="s">
        <v>83</v>
      </c>
      <c r="D99" t="s">
        <v>229</v>
      </c>
      <c r="E99" t="s">
        <v>230</v>
      </c>
      <c r="F99" t="s">
        <v>6</v>
      </c>
      <c r="G99" t="s">
        <v>195</v>
      </c>
      <c r="H99" t="s">
        <v>11</v>
      </c>
      <c r="I99" t="s">
        <v>7</v>
      </c>
      <c r="J99" t="s">
        <v>58</v>
      </c>
      <c r="K99" t="s">
        <v>222</v>
      </c>
      <c r="L99" t="s">
        <v>61</v>
      </c>
      <c r="M99">
        <v>1</v>
      </c>
    </row>
    <row r="100" spans="1:13" x14ac:dyDescent="0.25">
      <c r="A100" s="2">
        <v>46148</v>
      </c>
      <c r="B100" s="1" t="str">
        <f ca="1">IF(Información1[[#This Row],[Fecha]]='Ajuste de fechas'!$A$2,"Día actual","Día anterior")</f>
        <v>Día anterior</v>
      </c>
      <c r="C100" t="s">
        <v>8</v>
      </c>
      <c r="D100" t="s">
        <v>10</v>
      </c>
      <c r="E100" t="s">
        <v>231</v>
      </c>
      <c r="F100" t="s">
        <v>17</v>
      </c>
      <c r="G100" t="s">
        <v>107</v>
      </c>
      <c r="H100" t="s">
        <v>11</v>
      </c>
      <c r="I100" t="s">
        <v>26</v>
      </c>
      <c r="J100" t="s">
        <v>58</v>
      </c>
      <c r="K100" t="s">
        <v>9</v>
      </c>
      <c r="L100" t="s">
        <v>60</v>
      </c>
      <c r="M100">
        <v>1</v>
      </c>
    </row>
    <row r="101" spans="1:13" x14ac:dyDescent="0.25">
      <c r="A101" s="2">
        <v>46148</v>
      </c>
      <c r="B101" s="1" t="str">
        <f ca="1">IF(Información1[[#This Row],[Fecha]]='Ajuste de fechas'!$A$2,"Día actual","Día anterior")</f>
        <v>Día anterior</v>
      </c>
      <c r="C101" t="s">
        <v>32</v>
      </c>
      <c r="D101" t="s">
        <v>34</v>
      </c>
      <c r="E101" t="s">
        <v>232</v>
      </c>
      <c r="F101" t="s">
        <v>15</v>
      </c>
      <c r="G101" t="s">
        <v>128</v>
      </c>
      <c r="H101" t="s">
        <v>11</v>
      </c>
      <c r="I101" t="s">
        <v>7</v>
      </c>
      <c r="J101" t="s">
        <v>58</v>
      </c>
      <c r="K101" t="s">
        <v>50</v>
      </c>
      <c r="L101" t="s">
        <v>59</v>
      </c>
      <c r="M101">
        <v>1</v>
      </c>
    </row>
    <row r="102" spans="1:13" x14ac:dyDescent="0.25">
      <c r="A102" s="2">
        <v>46148</v>
      </c>
      <c r="B102" s="1" t="str">
        <f ca="1">IF(Información1[[#This Row],[Fecha]]='Ajuste de fechas'!$A$2,"Día actual","Día anterior")</f>
        <v>Día anterior</v>
      </c>
      <c r="C102" t="s">
        <v>32</v>
      </c>
      <c r="D102" t="s">
        <v>34</v>
      </c>
      <c r="E102" t="s">
        <v>233</v>
      </c>
      <c r="F102" t="s">
        <v>25</v>
      </c>
      <c r="G102" t="s">
        <v>128</v>
      </c>
      <c r="H102" t="s">
        <v>11</v>
      </c>
      <c r="I102" t="s">
        <v>7</v>
      </c>
      <c r="J102" t="s">
        <v>25</v>
      </c>
      <c r="K102" t="s">
        <v>50</v>
      </c>
      <c r="L102" t="s">
        <v>59</v>
      </c>
      <c r="M102">
        <v>1</v>
      </c>
    </row>
    <row r="103" spans="1:13" x14ac:dyDescent="0.25">
      <c r="A103" s="2">
        <v>46148</v>
      </c>
      <c r="B103" s="1" t="str">
        <f ca="1">IF(Información1[[#This Row],[Fecha]]='Ajuste de fechas'!$A$2,"Día actual","Día anterior")</f>
        <v>Día anterior</v>
      </c>
      <c r="C103" t="s">
        <v>8</v>
      </c>
      <c r="D103" t="s">
        <v>10</v>
      </c>
      <c r="E103" t="s">
        <v>234</v>
      </c>
      <c r="F103" t="s">
        <v>25</v>
      </c>
      <c r="G103" t="s">
        <v>128</v>
      </c>
      <c r="H103" t="s">
        <v>11</v>
      </c>
      <c r="I103" t="s">
        <v>7</v>
      </c>
      <c r="J103" t="s">
        <v>25</v>
      </c>
      <c r="K103" t="s">
        <v>14</v>
      </c>
      <c r="L103" t="s">
        <v>59</v>
      </c>
      <c r="M103">
        <v>1</v>
      </c>
    </row>
    <row r="104" spans="1:13" x14ac:dyDescent="0.25">
      <c r="A104" s="2">
        <v>46148</v>
      </c>
      <c r="B104" s="1" t="str">
        <f ca="1">IF(Información1[[#This Row],[Fecha]]='Ajuste de fechas'!$A$2,"Día actual","Día anterior")</f>
        <v>Día anterior</v>
      </c>
      <c r="C104" t="s">
        <v>8</v>
      </c>
      <c r="D104" t="s">
        <v>10</v>
      </c>
      <c r="E104" t="s">
        <v>235</v>
      </c>
      <c r="F104" t="s">
        <v>103</v>
      </c>
      <c r="G104" t="s">
        <v>236</v>
      </c>
      <c r="H104" t="s">
        <v>11</v>
      </c>
      <c r="I104" t="s">
        <v>26</v>
      </c>
      <c r="J104" t="s">
        <v>58</v>
      </c>
      <c r="K104" t="s">
        <v>9</v>
      </c>
      <c r="L104" t="s">
        <v>60</v>
      </c>
      <c r="M104">
        <v>1</v>
      </c>
    </row>
    <row r="105" spans="1:13" x14ac:dyDescent="0.25">
      <c r="A105" s="2">
        <v>46148</v>
      </c>
      <c r="B105" s="1" t="str">
        <f ca="1">IF(Información1[[#This Row],[Fecha]]='Ajuste de fechas'!$A$2,"Día actual","Día anterior")</f>
        <v>Día anterior</v>
      </c>
      <c r="C105" t="s">
        <v>32</v>
      </c>
      <c r="D105" t="s">
        <v>35</v>
      </c>
      <c r="E105" t="s">
        <v>237</v>
      </c>
      <c r="F105" t="s">
        <v>99</v>
      </c>
      <c r="G105" t="s">
        <v>100</v>
      </c>
      <c r="H105" t="s">
        <v>11</v>
      </c>
      <c r="I105" t="s">
        <v>7</v>
      </c>
      <c r="J105" t="s">
        <v>58</v>
      </c>
      <c r="K105" t="s">
        <v>33</v>
      </c>
      <c r="L105" t="s">
        <v>59</v>
      </c>
      <c r="M105">
        <v>1</v>
      </c>
    </row>
    <row r="106" spans="1:13" x14ac:dyDescent="0.25">
      <c r="A106" s="2">
        <v>46148</v>
      </c>
      <c r="B106" s="1" t="str">
        <f ca="1">IF(Información1[[#This Row],[Fecha]]='Ajuste de fechas'!$A$2,"Día actual","Día anterior")</f>
        <v>Día anterior</v>
      </c>
      <c r="C106" t="s">
        <v>8</v>
      </c>
      <c r="D106" t="s">
        <v>10</v>
      </c>
      <c r="E106" t="s">
        <v>108</v>
      </c>
      <c r="F106" t="s">
        <v>99</v>
      </c>
      <c r="G106" t="s">
        <v>100</v>
      </c>
      <c r="H106" t="s">
        <v>11</v>
      </c>
      <c r="I106" t="s">
        <v>7</v>
      </c>
      <c r="J106" t="s">
        <v>58</v>
      </c>
      <c r="K106" t="s">
        <v>14</v>
      </c>
      <c r="L106" t="s">
        <v>61</v>
      </c>
      <c r="M106">
        <v>1</v>
      </c>
    </row>
    <row r="107" spans="1:13" x14ac:dyDescent="0.25">
      <c r="A107" s="2">
        <v>46149</v>
      </c>
      <c r="B107" s="1" t="str">
        <f ca="1">IF(Información1[[#This Row],[Fecha]]='Ajuste de fechas'!$A$2,"Día actual","Día anterior")</f>
        <v>Día actual</v>
      </c>
      <c r="C107" t="s">
        <v>39</v>
      </c>
      <c r="D107" t="s">
        <v>40</v>
      </c>
      <c r="E107" t="s">
        <v>238</v>
      </c>
      <c r="F107" t="s">
        <v>19</v>
      </c>
      <c r="G107" t="s">
        <v>239</v>
      </c>
      <c r="H107" t="s">
        <v>37</v>
      </c>
      <c r="I107" t="s">
        <v>7</v>
      </c>
      <c r="J107" t="s">
        <v>62</v>
      </c>
      <c r="K107" t="s">
        <v>28</v>
      </c>
      <c r="L107" t="s">
        <v>59</v>
      </c>
      <c r="M107">
        <v>3</v>
      </c>
    </row>
    <row r="108" spans="1:13" x14ac:dyDescent="0.25">
      <c r="A108" s="2">
        <v>46149</v>
      </c>
      <c r="B108" s="1" t="str">
        <f ca="1">IF(Información1[[#This Row],[Fecha]]='Ajuste de fechas'!$A$2,"Día actual","Día anterior")</f>
        <v>Día actual</v>
      </c>
      <c r="C108" t="s">
        <v>39</v>
      </c>
      <c r="D108" t="s">
        <v>40</v>
      </c>
      <c r="E108" t="s">
        <v>240</v>
      </c>
      <c r="F108" t="s">
        <v>19</v>
      </c>
      <c r="G108" t="s">
        <v>241</v>
      </c>
      <c r="H108" t="s">
        <v>37</v>
      </c>
      <c r="I108" t="s">
        <v>7</v>
      </c>
      <c r="J108" t="s">
        <v>62</v>
      </c>
      <c r="K108" t="s">
        <v>28</v>
      </c>
      <c r="L108" t="s">
        <v>59</v>
      </c>
      <c r="M108">
        <v>3</v>
      </c>
    </row>
    <row r="109" spans="1:13" x14ac:dyDescent="0.25">
      <c r="A109" s="2">
        <v>46149</v>
      </c>
      <c r="B109" s="1" t="str">
        <f ca="1">IF(Información1[[#This Row],[Fecha]]='Ajuste de fechas'!$A$2,"Día actual","Día anterior")</f>
        <v>Día actual</v>
      </c>
      <c r="C109" t="s">
        <v>39</v>
      </c>
      <c r="D109" t="s">
        <v>40</v>
      </c>
      <c r="E109" t="s">
        <v>242</v>
      </c>
      <c r="F109" t="s">
        <v>27</v>
      </c>
      <c r="G109" t="s">
        <v>243</v>
      </c>
      <c r="H109" t="s">
        <v>37</v>
      </c>
      <c r="I109" t="s">
        <v>12</v>
      </c>
      <c r="J109" t="s">
        <v>58</v>
      </c>
      <c r="K109" t="s">
        <v>244</v>
      </c>
      <c r="L109" t="s">
        <v>60</v>
      </c>
      <c r="M109">
        <v>3</v>
      </c>
    </row>
    <row r="110" spans="1:13" x14ac:dyDescent="0.25">
      <c r="A110" s="2">
        <v>46149</v>
      </c>
      <c r="B110" s="1" t="str">
        <f ca="1">IF(Información1[[#This Row],[Fecha]]='Ajuste de fechas'!$A$2,"Día actual","Día anterior")</f>
        <v>Día actual</v>
      </c>
      <c r="C110" t="s">
        <v>39</v>
      </c>
      <c r="D110" t="s">
        <v>40</v>
      </c>
      <c r="E110" t="s">
        <v>245</v>
      </c>
      <c r="F110" t="s">
        <v>68</v>
      </c>
      <c r="H110" t="s">
        <v>37</v>
      </c>
      <c r="I110" t="s">
        <v>7</v>
      </c>
      <c r="J110" t="s">
        <v>58</v>
      </c>
      <c r="K110" t="s">
        <v>28</v>
      </c>
      <c r="L110" t="s">
        <v>61</v>
      </c>
      <c r="M110">
        <v>2</v>
      </c>
    </row>
    <row r="111" spans="1:13" x14ac:dyDescent="0.25">
      <c r="A111" s="2">
        <v>46149</v>
      </c>
      <c r="B111" s="1" t="str">
        <f ca="1">IF(Información1[[#This Row],[Fecha]]='Ajuste de fechas'!$A$2,"Día actual","Día anterior")</f>
        <v>Día actual</v>
      </c>
      <c r="C111" t="s">
        <v>39</v>
      </c>
      <c r="D111" t="s">
        <v>40</v>
      </c>
      <c r="E111" t="s">
        <v>246</v>
      </c>
      <c r="F111" t="s">
        <v>45</v>
      </c>
      <c r="G111" t="s">
        <v>247</v>
      </c>
      <c r="H111" t="s">
        <v>37</v>
      </c>
      <c r="I111" t="s">
        <v>7</v>
      </c>
      <c r="J111" t="s">
        <v>58</v>
      </c>
      <c r="K111" t="s">
        <v>28</v>
      </c>
      <c r="L111" t="s">
        <v>59</v>
      </c>
      <c r="M111">
        <v>3</v>
      </c>
    </row>
    <row r="112" spans="1:13" x14ac:dyDescent="0.25">
      <c r="A112" s="2">
        <v>46149</v>
      </c>
      <c r="B112" s="1" t="str">
        <f ca="1">IF(Información1[[#This Row],[Fecha]]='Ajuste de fechas'!$A$2,"Día actual","Día anterior")</f>
        <v>Día actual</v>
      </c>
      <c r="C112" t="s">
        <v>39</v>
      </c>
      <c r="D112" t="s">
        <v>40</v>
      </c>
      <c r="E112" t="s">
        <v>248</v>
      </c>
      <c r="F112" t="s">
        <v>25</v>
      </c>
      <c r="G112" t="s">
        <v>249</v>
      </c>
      <c r="H112" t="s">
        <v>37</v>
      </c>
      <c r="I112" t="s">
        <v>7</v>
      </c>
      <c r="J112" t="s">
        <v>25</v>
      </c>
      <c r="K112" t="s">
        <v>28</v>
      </c>
      <c r="L112" t="s">
        <v>59</v>
      </c>
      <c r="M112">
        <v>2</v>
      </c>
    </row>
    <row r="113" spans="1:13" x14ac:dyDescent="0.25">
      <c r="A113" s="2">
        <v>46149</v>
      </c>
      <c r="B113" s="1" t="str">
        <f ca="1">IF(Información1[[#This Row],[Fecha]]='Ajuste de fechas'!$A$2,"Día actual","Día anterior")</f>
        <v>Día actual</v>
      </c>
      <c r="C113" t="s">
        <v>39</v>
      </c>
      <c r="D113" t="s">
        <v>40</v>
      </c>
      <c r="E113" t="s">
        <v>250</v>
      </c>
      <c r="F113" t="s">
        <v>21</v>
      </c>
      <c r="G113" t="s">
        <v>84</v>
      </c>
      <c r="H113" t="s">
        <v>37</v>
      </c>
      <c r="I113" t="s">
        <v>7</v>
      </c>
      <c r="J113" t="s">
        <v>58</v>
      </c>
      <c r="K113" t="s">
        <v>28</v>
      </c>
      <c r="L113" t="s">
        <v>59</v>
      </c>
      <c r="M113">
        <v>3</v>
      </c>
    </row>
    <row r="114" spans="1:13" x14ac:dyDescent="0.25">
      <c r="A114" s="2">
        <v>46149</v>
      </c>
      <c r="B114" s="1" t="str">
        <f ca="1">IF(Información1[[#This Row],[Fecha]]='Ajuste de fechas'!$A$2,"Día actual","Día anterior")</f>
        <v>Día actual</v>
      </c>
      <c r="C114" t="s">
        <v>39</v>
      </c>
      <c r="D114" t="s">
        <v>40</v>
      </c>
      <c r="E114" t="s">
        <v>251</v>
      </c>
      <c r="F114" t="s">
        <v>27</v>
      </c>
      <c r="G114" t="s">
        <v>252</v>
      </c>
      <c r="H114" t="s">
        <v>37</v>
      </c>
      <c r="I114" t="s">
        <v>7</v>
      </c>
      <c r="J114" t="s">
        <v>58</v>
      </c>
      <c r="K114" t="s">
        <v>28</v>
      </c>
      <c r="L114" t="s">
        <v>61</v>
      </c>
      <c r="M114">
        <v>3</v>
      </c>
    </row>
    <row r="115" spans="1:13" x14ac:dyDescent="0.25">
      <c r="A115" s="2">
        <v>46149</v>
      </c>
      <c r="B115" s="1" t="str">
        <f ca="1">IF(Información1[[#This Row],[Fecha]]='Ajuste de fechas'!$A$2,"Día actual","Día anterior")</f>
        <v>Día actual</v>
      </c>
      <c r="C115" t="s">
        <v>39</v>
      </c>
      <c r="D115" t="s">
        <v>40</v>
      </c>
      <c r="E115" t="s">
        <v>253</v>
      </c>
      <c r="F115" t="s">
        <v>27</v>
      </c>
      <c r="G115" t="s">
        <v>254</v>
      </c>
      <c r="H115" t="s">
        <v>37</v>
      </c>
      <c r="I115" t="s">
        <v>7</v>
      </c>
      <c r="J115" t="s">
        <v>58</v>
      </c>
      <c r="K115" t="s">
        <v>28</v>
      </c>
      <c r="L115" t="s">
        <v>61</v>
      </c>
      <c r="M115">
        <v>3</v>
      </c>
    </row>
    <row r="116" spans="1:13" x14ac:dyDescent="0.25">
      <c r="A116" s="2">
        <v>46149</v>
      </c>
      <c r="B116" s="1" t="str">
        <f ca="1">IF(Información1[[#This Row],[Fecha]]='Ajuste de fechas'!$A$2,"Día actual","Día anterior")</f>
        <v>Día actual</v>
      </c>
      <c r="C116" t="s">
        <v>39</v>
      </c>
      <c r="D116" t="s">
        <v>40</v>
      </c>
      <c r="E116" t="s">
        <v>255</v>
      </c>
      <c r="F116" t="s">
        <v>27</v>
      </c>
      <c r="G116" t="s">
        <v>256</v>
      </c>
      <c r="H116" t="s">
        <v>37</v>
      </c>
      <c r="I116" t="s">
        <v>7</v>
      </c>
      <c r="J116" t="s">
        <v>58</v>
      </c>
      <c r="K116" t="s">
        <v>28</v>
      </c>
      <c r="L116" t="s">
        <v>59</v>
      </c>
      <c r="M116">
        <v>3</v>
      </c>
    </row>
    <row r="117" spans="1:13" x14ac:dyDescent="0.25">
      <c r="A117" s="2">
        <v>46149</v>
      </c>
      <c r="B117" s="1" t="str">
        <f ca="1">IF(Información1[[#This Row],[Fecha]]='Ajuste de fechas'!$A$2,"Día actual","Día anterior")</f>
        <v>Día actual</v>
      </c>
      <c r="C117" t="s">
        <v>39</v>
      </c>
      <c r="D117" t="s">
        <v>40</v>
      </c>
      <c r="E117" t="s">
        <v>257</v>
      </c>
      <c r="F117" t="s">
        <v>103</v>
      </c>
      <c r="G117" t="s">
        <v>82</v>
      </c>
      <c r="H117" t="s">
        <v>37</v>
      </c>
      <c r="I117" t="s">
        <v>26</v>
      </c>
      <c r="J117" t="s">
        <v>58</v>
      </c>
      <c r="K117" t="s">
        <v>28</v>
      </c>
      <c r="L117" t="s">
        <v>59</v>
      </c>
      <c r="M117">
        <v>3</v>
      </c>
    </row>
    <row r="118" spans="1:13" x14ac:dyDescent="0.25">
      <c r="A118" s="2">
        <v>46149</v>
      </c>
      <c r="B118" s="1" t="str">
        <f ca="1">IF(Información1[[#This Row],[Fecha]]='Ajuste de fechas'!$A$2,"Día actual","Día anterior")</f>
        <v>Día actual</v>
      </c>
      <c r="C118" t="s">
        <v>39</v>
      </c>
      <c r="D118" t="s">
        <v>40</v>
      </c>
      <c r="E118" t="s">
        <v>258</v>
      </c>
      <c r="F118" t="s">
        <v>15</v>
      </c>
      <c r="H118" t="s">
        <v>37</v>
      </c>
      <c r="I118" t="s">
        <v>26</v>
      </c>
      <c r="J118" t="s">
        <v>58</v>
      </c>
      <c r="K118" t="s">
        <v>28</v>
      </c>
      <c r="L118" t="s">
        <v>60</v>
      </c>
      <c r="M118">
        <v>3</v>
      </c>
    </row>
    <row r="119" spans="1:13" x14ac:dyDescent="0.25">
      <c r="A119" s="2">
        <v>46149</v>
      </c>
      <c r="B119" s="1" t="str">
        <f ca="1">IF(Información1[[#This Row],[Fecha]]='Ajuste de fechas'!$A$2,"Día actual","Día anterior")</f>
        <v>Día actual</v>
      </c>
      <c r="C119" t="s">
        <v>39</v>
      </c>
      <c r="D119" t="s">
        <v>40</v>
      </c>
      <c r="E119" t="s">
        <v>259</v>
      </c>
      <c r="F119" t="s">
        <v>27</v>
      </c>
      <c r="G119" t="s">
        <v>252</v>
      </c>
      <c r="H119" t="s">
        <v>37</v>
      </c>
      <c r="I119" t="s">
        <v>7</v>
      </c>
      <c r="J119" t="s">
        <v>58</v>
      </c>
      <c r="K119" t="s">
        <v>28</v>
      </c>
      <c r="L119" t="s">
        <v>59</v>
      </c>
      <c r="M119">
        <v>3</v>
      </c>
    </row>
    <row r="120" spans="1:13" x14ac:dyDescent="0.25">
      <c r="A120" s="2">
        <v>46149</v>
      </c>
      <c r="B120" s="1" t="str">
        <f ca="1">IF(Información1[[#This Row],[Fecha]]='Ajuste de fechas'!$A$2,"Día actual","Día anterior")</f>
        <v>Día actual</v>
      </c>
      <c r="C120" t="s">
        <v>39</v>
      </c>
      <c r="D120" t="s">
        <v>40</v>
      </c>
      <c r="E120" t="s">
        <v>260</v>
      </c>
      <c r="F120" t="s">
        <v>19</v>
      </c>
      <c r="G120" t="s">
        <v>96</v>
      </c>
      <c r="H120" t="s">
        <v>37</v>
      </c>
      <c r="I120" t="s">
        <v>26</v>
      </c>
      <c r="J120" t="s">
        <v>62</v>
      </c>
      <c r="K120" t="s">
        <v>28</v>
      </c>
      <c r="L120" t="s">
        <v>59</v>
      </c>
      <c r="M120">
        <v>3</v>
      </c>
    </row>
    <row r="121" spans="1:13" x14ac:dyDescent="0.25">
      <c r="A121" s="2">
        <v>46149</v>
      </c>
      <c r="B121" s="1" t="str">
        <f ca="1">IF(Información1[[#This Row],[Fecha]]='Ajuste de fechas'!$A$2,"Día actual","Día anterior")</f>
        <v>Día actual</v>
      </c>
      <c r="C121" t="s">
        <v>39</v>
      </c>
      <c r="D121" t="s">
        <v>40</v>
      </c>
      <c r="E121" t="s">
        <v>261</v>
      </c>
      <c r="F121" t="s">
        <v>19</v>
      </c>
      <c r="G121" t="s">
        <v>262</v>
      </c>
      <c r="H121" t="s">
        <v>37</v>
      </c>
      <c r="I121" t="s">
        <v>26</v>
      </c>
      <c r="J121" t="s">
        <v>62</v>
      </c>
      <c r="K121" t="s">
        <v>28</v>
      </c>
      <c r="L121" t="s">
        <v>59</v>
      </c>
      <c r="M121">
        <v>3</v>
      </c>
    </row>
    <row r="122" spans="1:13" x14ac:dyDescent="0.25">
      <c r="A122" s="2">
        <v>46149</v>
      </c>
      <c r="B122" s="1" t="str">
        <f ca="1">IF(Información1[[#This Row],[Fecha]]='Ajuste de fechas'!$A$2,"Día actual","Día anterior")</f>
        <v>Día actual</v>
      </c>
      <c r="C122" t="s">
        <v>39</v>
      </c>
      <c r="D122" t="s">
        <v>40</v>
      </c>
      <c r="E122" t="s">
        <v>263</v>
      </c>
      <c r="F122" t="s">
        <v>19</v>
      </c>
      <c r="G122" t="s">
        <v>152</v>
      </c>
      <c r="H122" t="s">
        <v>37</v>
      </c>
      <c r="I122" t="s">
        <v>26</v>
      </c>
      <c r="J122" t="s">
        <v>62</v>
      </c>
      <c r="K122" t="s">
        <v>28</v>
      </c>
      <c r="L122" t="s">
        <v>59</v>
      </c>
      <c r="M122">
        <v>3</v>
      </c>
    </row>
    <row r="123" spans="1:13" x14ac:dyDescent="0.25">
      <c r="A123" s="2">
        <v>46149</v>
      </c>
      <c r="B123" s="1" t="str">
        <f ca="1">IF(Información1[[#This Row],[Fecha]]='Ajuste de fechas'!$A$2,"Día actual","Día anterior")</f>
        <v>Día actual</v>
      </c>
      <c r="C123" t="s">
        <v>39</v>
      </c>
      <c r="D123" t="s">
        <v>40</v>
      </c>
      <c r="E123" t="s">
        <v>264</v>
      </c>
      <c r="F123" t="s">
        <v>15</v>
      </c>
      <c r="G123" t="s">
        <v>72</v>
      </c>
      <c r="H123" t="s">
        <v>37</v>
      </c>
      <c r="I123" t="s">
        <v>26</v>
      </c>
      <c r="J123" t="s">
        <v>58</v>
      </c>
      <c r="K123" t="s">
        <v>28</v>
      </c>
      <c r="L123" t="s">
        <v>59</v>
      </c>
      <c r="M123">
        <v>3</v>
      </c>
    </row>
    <row r="124" spans="1:13" x14ac:dyDescent="0.25">
      <c r="A124" s="2">
        <v>46149</v>
      </c>
      <c r="B124" s="1" t="str">
        <f ca="1">IF(Información1[[#This Row],[Fecha]]='Ajuste de fechas'!$A$2,"Día actual","Día anterior")</f>
        <v>Día actual</v>
      </c>
      <c r="C124" t="s">
        <v>39</v>
      </c>
      <c r="D124" t="s">
        <v>40</v>
      </c>
      <c r="E124" t="s">
        <v>265</v>
      </c>
      <c r="F124" t="s">
        <v>103</v>
      </c>
      <c r="G124" t="s">
        <v>266</v>
      </c>
      <c r="H124" t="s">
        <v>37</v>
      </c>
      <c r="I124" t="s">
        <v>7</v>
      </c>
      <c r="J124" t="s">
        <v>58</v>
      </c>
      <c r="K124" t="s">
        <v>28</v>
      </c>
      <c r="L124" t="s">
        <v>59</v>
      </c>
      <c r="M124">
        <v>3</v>
      </c>
    </row>
    <row r="125" spans="1:13" x14ac:dyDescent="0.25">
      <c r="A125" s="2">
        <v>46149</v>
      </c>
      <c r="B125" s="1" t="str">
        <f ca="1">IF(Información1[[#This Row],[Fecha]]='Ajuste de fechas'!$A$2,"Día actual","Día anterior")</f>
        <v>Día actual</v>
      </c>
      <c r="C125" t="s">
        <v>46</v>
      </c>
      <c r="D125" t="s">
        <v>47</v>
      </c>
      <c r="E125" t="s">
        <v>267</v>
      </c>
      <c r="F125" t="s">
        <v>25</v>
      </c>
      <c r="G125" t="s">
        <v>220</v>
      </c>
      <c r="H125" t="s">
        <v>11</v>
      </c>
      <c r="I125" t="s">
        <v>7</v>
      </c>
      <c r="J125" t="s">
        <v>25</v>
      </c>
      <c r="K125" t="s">
        <v>48</v>
      </c>
      <c r="L125" t="s">
        <v>59</v>
      </c>
      <c r="M125">
        <v>2</v>
      </c>
    </row>
    <row r="126" spans="1:13" x14ac:dyDescent="0.25">
      <c r="A126" s="2">
        <v>46149</v>
      </c>
      <c r="B126" s="1" t="str">
        <f ca="1">IF(Información1[[#This Row],[Fecha]]='Ajuste de fechas'!$A$2,"Día actual","Día anterior")</f>
        <v>Día actual</v>
      </c>
      <c r="C126" t="s">
        <v>46</v>
      </c>
      <c r="D126" t="s">
        <v>47</v>
      </c>
      <c r="E126" t="s">
        <v>268</v>
      </c>
      <c r="F126" t="s">
        <v>19</v>
      </c>
      <c r="G126" t="s">
        <v>269</v>
      </c>
      <c r="H126" t="s">
        <v>11</v>
      </c>
      <c r="I126" t="s">
        <v>7</v>
      </c>
      <c r="J126" t="s">
        <v>62</v>
      </c>
      <c r="K126" t="s">
        <v>48</v>
      </c>
      <c r="L126" t="s">
        <v>59</v>
      </c>
      <c r="M126">
        <v>2</v>
      </c>
    </row>
    <row r="127" spans="1:13" x14ac:dyDescent="0.25">
      <c r="A127" s="2">
        <v>46149</v>
      </c>
      <c r="B127" s="1" t="str">
        <f ca="1">IF(Información1[[#This Row],[Fecha]]='Ajuste de fechas'!$A$2,"Día actual","Día anterior")</f>
        <v>Día actual</v>
      </c>
      <c r="C127" t="s">
        <v>46</v>
      </c>
      <c r="D127" t="s">
        <v>47</v>
      </c>
      <c r="E127" t="s">
        <v>270</v>
      </c>
      <c r="F127" t="s">
        <v>19</v>
      </c>
      <c r="G127" t="s">
        <v>220</v>
      </c>
      <c r="H127" t="s">
        <v>11</v>
      </c>
      <c r="I127" t="s">
        <v>7</v>
      </c>
      <c r="J127" t="s">
        <v>62</v>
      </c>
      <c r="K127" t="s">
        <v>48</v>
      </c>
      <c r="L127" t="s">
        <v>59</v>
      </c>
      <c r="M127">
        <v>2</v>
      </c>
    </row>
    <row r="128" spans="1:13" x14ac:dyDescent="0.25">
      <c r="A128" s="2">
        <v>46149</v>
      </c>
      <c r="B128" s="1" t="str">
        <f ca="1">IF(Información1[[#This Row],[Fecha]]='Ajuste de fechas'!$A$2,"Día actual","Día anterior")</f>
        <v>Día actual</v>
      </c>
      <c r="C128" t="s">
        <v>46</v>
      </c>
      <c r="D128" t="s">
        <v>47</v>
      </c>
      <c r="E128" t="s">
        <v>271</v>
      </c>
      <c r="F128" t="s">
        <v>19</v>
      </c>
      <c r="G128" t="s">
        <v>262</v>
      </c>
      <c r="H128" t="s">
        <v>11</v>
      </c>
      <c r="I128" t="s">
        <v>7</v>
      </c>
      <c r="J128" t="s">
        <v>62</v>
      </c>
      <c r="K128" t="s">
        <v>48</v>
      </c>
      <c r="L128" t="s">
        <v>59</v>
      </c>
      <c r="M128">
        <v>2</v>
      </c>
    </row>
    <row r="129" spans="1:13" x14ac:dyDescent="0.25">
      <c r="A129" s="2">
        <v>46149</v>
      </c>
      <c r="B129" s="1" t="str">
        <f ca="1">IF(Información1[[#This Row],[Fecha]]='Ajuste de fechas'!$A$2,"Día actual","Día anterior")</f>
        <v>Día actual</v>
      </c>
      <c r="C129" t="s">
        <v>46</v>
      </c>
      <c r="D129" t="s">
        <v>47</v>
      </c>
      <c r="E129" t="s">
        <v>272</v>
      </c>
      <c r="F129" t="s">
        <v>19</v>
      </c>
      <c r="G129" t="s">
        <v>273</v>
      </c>
      <c r="H129" t="s">
        <v>11</v>
      </c>
      <c r="I129" t="s">
        <v>7</v>
      </c>
      <c r="J129" t="s">
        <v>62</v>
      </c>
      <c r="K129" t="s">
        <v>48</v>
      </c>
      <c r="L129" t="s">
        <v>59</v>
      </c>
      <c r="M129">
        <v>2</v>
      </c>
    </row>
    <row r="130" spans="1:13" x14ac:dyDescent="0.25">
      <c r="A130" s="2">
        <v>46149</v>
      </c>
      <c r="B130" s="1" t="str">
        <f ca="1">IF(Información1[[#This Row],[Fecha]]='Ajuste de fechas'!$A$2,"Día actual","Día anterior")</f>
        <v>Día actual</v>
      </c>
      <c r="C130" t="s">
        <v>46</v>
      </c>
      <c r="D130" t="s">
        <v>47</v>
      </c>
      <c r="E130" t="s">
        <v>274</v>
      </c>
      <c r="F130" t="s">
        <v>25</v>
      </c>
      <c r="G130" t="s">
        <v>275</v>
      </c>
      <c r="H130" t="s">
        <v>11</v>
      </c>
      <c r="I130" t="s">
        <v>7</v>
      </c>
      <c r="J130" t="s">
        <v>25</v>
      </c>
      <c r="K130" t="s">
        <v>48</v>
      </c>
      <c r="L130" t="s">
        <v>59</v>
      </c>
      <c r="M130">
        <v>2</v>
      </c>
    </row>
    <row r="131" spans="1:13" x14ac:dyDescent="0.25">
      <c r="A131" s="2">
        <v>46149</v>
      </c>
      <c r="B131" s="1" t="str">
        <f ca="1">IF(Información1[[#This Row],[Fecha]]='Ajuste de fechas'!$A$2,"Día actual","Día anterior")</f>
        <v>Día actual</v>
      </c>
      <c r="C131" t="s">
        <v>46</v>
      </c>
      <c r="D131" t="s">
        <v>47</v>
      </c>
      <c r="E131" t="s">
        <v>245</v>
      </c>
      <c r="F131" t="s">
        <v>68</v>
      </c>
      <c r="G131" t="s">
        <v>276</v>
      </c>
      <c r="H131" t="s">
        <v>11</v>
      </c>
      <c r="I131" t="s">
        <v>7</v>
      </c>
      <c r="J131" t="s">
        <v>58</v>
      </c>
      <c r="K131" t="s">
        <v>48</v>
      </c>
      <c r="L131" t="s">
        <v>61</v>
      </c>
      <c r="M131">
        <v>2</v>
      </c>
    </row>
    <row r="132" spans="1:13" x14ac:dyDescent="0.25">
      <c r="A132" s="2">
        <v>46149</v>
      </c>
      <c r="B132" s="1" t="str">
        <f ca="1">IF(Información1[[#This Row],[Fecha]]='Ajuste de fechas'!$A$2,"Día actual","Día anterior")</f>
        <v>Día actual</v>
      </c>
      <c r="C132" t="s">
        <v>46</v>
      </c>
      <c r="D132" t="s">
        <v>47</v>
      </c>
      <c r="E132" t="s">
        <v>277</v>
      </c>
      <c r="F132" t="s">
        <v>19</v>
      </c>
      <c r="G132" t="s">
        <v>94</v>
      </c>
      <c r="H132" t="s">
        <v>11</v>
      </c>
      <c r="I132" t="s">
        <v>26</v>
      </c>
      <c r="J132" t="s">
        <v>62</v>
      </c>
      <c r="K132" t="s">
        <v>9</v>
      </c>
      <c r="L132" t="s">
        <v>60</v>
      </c>
      <c r="M132">
        <v>2</v>
      </c>
    </row>
    <row r="133" spans="1:13" x14ac:dyDescent="0.25">
      <c r="A133" s="2">
        <v>46149</v>
      </c>
      <c r="B133" s="1" t="str">
        <f ca="1">IF(Información1[[#This Row],[Fecha]]='Ajuste de fechas'!$A$2,"Día actual","Día anterior")</f>
        <v>Día actual</v>
      </c>
      <c r="C133" t="s">
        <v>46</v>
      </c>
      <c r="D133" t="s">
        <v>47</v>
      </c>
      <c r="E133" t="s">
        <v>278</v>
      </c>
      <c r="F133" t="s">
        <v>21</v>
      </c>
      <c r="G133" t="s">
        <v>249</v>
      </c>
      <c r="H133" t="s">
        <v>11</v>
      </c>
      <c r="I133" t="s">
        <v>7</v>
      </c>
      <c r="J133" t="s">
        <v>58</v>
      </c>
      <c r="K133" t="s">
        <v>48</v>
      </c>
      <c r="L133" t="s">
        <v>61</v>
      </c>
      <c r="M133">
        <v>2</v>
      </c>
    </row>
    <row r="134" spans="1:13" x14ac:dyDescent="0.25">
      <c r="A134" s="2">
        <v>46149</v>
      </c>
      <c r="B134" s="1" t="str">
        <f ca="1">IF(Información1[[#This Row],[Fecha]]='Ajuste de fechas'!$A$2,"Día actual","Día anterior")</f>
        <v>Día actual</v>
      </c>
      <c r="C134" t="s">
        <v>46</v>
      </c>
      <c r="D134" t="s">
        <v>47</v>
      </c>
      <c r="E134" t="s">
        <v>279</v>
      </c>
      <c r="F134" t="s">
        <v>85</v>
      </c>
      <c r="G134" t="s">
        <v>280</v>
      </c>
      <c r="H134" t="s">
        <v>11</v>
      </c>
      <c r="I134" t="s">
        <v>7</v>
      </c>
      <c r="J134" t="s">
        <v>58</v>
      </c>
      <c r="K134" t="s">
        <v>48</v>
      </c>
      <c r="L134" t="s">
        <v>90</v>
      </c>
      <c r="M134">
        <v>2</v>
      </c>
    </row>
    <row r="135" spans="1:13" x14ac:dyDescent="0.25">
      <c r="A135" s="2">
        <v>46149</v>
      </c>
      <c r="B135" s="1" t="str">
        <f ca="1">IF(Información1[[#This Row],[Fecha]]='Ajuste de fechas'!$A$2,"Día actual","Día anterior")</f>
        <v>Día actual</v>
      </c>
      <c r="C135" t="s">
        <v>46</v>
      </c>
      <c r="D135" t="s">
        <v>47</v>
      </c>
      <c r="E135" t="s">
        <v>281</v>
      </c>
      <c r="F135" t="s">
        <v>69</v>
      </c>
      <c r="G135" t="s">
        <v>174</v>
      </c>
      <c r="H135" t="s">
        <v>11</v>
      </c>
      <c r="I135" t="s">
        <v>7</v>
      </c>
      <c r="J135" t="s">
        <v>58</v>
      </c>
      <c r="K135" t="s">
        <v>48</v>
      </c>
      <c r="L135" t="s">
        <v>59</v>
      </c>
      <c r="M135">
        <v>2</v>
      </c>
    </row>
    <row r="136" spans="1:13" x14ac:dyDescent="0.25">
      <c r="A136" s="2">
        <v>46149</v>
      </c>
      <c r="B136" s="1" t="str">
        <f ca="1">IF(Información1[[#This Row],[Fecha]]='Ajuste de fechas'!$A$2,"Día actual","Día anterior")</f>
        <v>Día actual</v>
      </c>
      <c r="C136" t="s">
        <v>46</v>
      </c>
      <c r="D136" t="s">
        <v>47</v>
      </c>
      <c r="E136" t="s">
        <v>253</v>
      </c>
      <c r="F136" t="s">
        <v>27</v>
      </c>
      <c r="G136" t="s">
        <v>254</v>
      </c>
      <c r="H136" t="s">
        <v>37</v>
      </c>
      <c r="I136" t="s">
        <v>7</v>
      </c>
      <c r="J136" t="s">
        <v>58</v>
      </c>
      <c r="K136" t="s">
        <v>48</v>
      </c>
      <c r="L136" t="s">
        <v>61</v>
      </c>
      <c r="M136">
        <v>2</v>
      </c>
    </row>
    <row r="137" spans="1:13" x14ac:dyDescent="0.25">
      <c r="A137" s="2">
        <v>46149</v>
      </c>
      <c r="B137" s="1" t="str">
        <f ca="1">IF(Información1[[#This Row],[Fecha]]='Ajuste de fechas'!$A$2,"Día actual","Día anterior")</f>
        <v>Día actual</v>
      </c>
      <c r="C137" t="s">
        <v>46</v>
      </c>
      <c r="D137" t="s">
        <v>47</v>
      </c>
      <c r="E137" t="s">
        <v>282</v>
      </c>
      <c r="F137" t="s">
        <v>27</v>
      </c>
      <c r="G137" t="s">
        <v>283</v>
      </c>
      <c r="H137" t="s">
        <v>37</v>
      </c>
      <c r="I137" t="s">
        <v>7</v>
      </c>
      <c r="J137" t="s">
        <v>58</v>
      </c>
      <c r="K137" t="s">
        <v>48</v>
      </c>
      <c r="L137" t="s">
        <v>59</v>
      </c>
      <c r="M137">
        <v>2</v>
      </c>
    </row>
    <row r="138" spans="1:13" x14ac:dyDescent="0.25">
      <c r="A138" s="2">
        <v>46149</v>
      </c>
      <c r="B138" s="1" t="str">
        <f ca="1">IF(Información1[[#This Row],[Fecha]]='Ajuste de fechas'!$A$2,"Día actual","Día anterior")</f>
        <v>Día actual</v>
      </c>
      <c r="C138" t="s">
        <v>46</v>
      </c>
      <c r="D138" t="s">
        <v>47</v>
      </c>
      <c r="E138" t="s">
        <v>284</v>
      </c>
      <c r="F138" t="s">
        <v>17</v>
      </c>
      <c r="G138" t="s">
        <v>88</v>
      </c>
      <c r="H138" t="s">
        <v>11</v>
      </c>
      <c r="I138" t="s">
        <v>26</v>
      </c>
      <c r="J138" t="s">
        <v>58</v>
      </c>
      <c r="K138" t="s">
        <v>48</v>
      </c>
      <c r="L138" t="s">
        <v>59</v>
      </c>
      <c r="M138">
        <v>2</v>
      </c>
    </row>
    <row r="139" spans="1:13" x14ac:dyDescent="0.25">
      <c r="A139" s="2">
        <v>46149</v>
      </c>
      <c r="B139" s="1" t="str">
        <f ca="1">IF(Información1[[#This Row],[Fecha]]='Ajuste de fechas'!$A$2,"Día actual","Día anterior")</f>
        <v>Día actual</v>
      </c>
      <c r="C139" t="s">
        <v>46</v>
      </c>
      <c r="D139" t="s">
        <v>47</v>
      </c>
      <c r="E139" t="s">
        <v>285</v>
      </c>
      <c r="F139" t="s">
        <v>19</v>
      </c>
      <c r="G139" t="s">
        <v>166</v>
      </c>
      <c r="H139" t="s">
        <v>37</v>
      </c>
      <c r="I139" t="s">
        <v>7</v>
      </c>
      <c r="J139" t="s">
        <v>62</v>
      </c>
      <c r="K139" t="s">
        <v>48</v>
      </c>
      <c r="L139" t="s">
        <v>59</v>
      </c>
      <c r="M139">
        <v>2</v>
      </c>
    </row>
    <row r="140" spans="1:13" x14ac:dyDescent="0.25">
      <c r="A140" s="2">
        <v>46149</v>
      </c>
      <c r="B140" s="1" t="str">
        <f ca="1">IF(Información1[[#This Row],[Fecha]]='Ajuste de fechas'!$A$2,"Día actual","Día anterior")</f>
        <v>Día actual</v>
      </c>
      <c r="C140" t="s">
        <v>46</v>
      </c>
      <c r="D140" t="s">
        <v>47</v>
      </c>
      <c r="E140" t="s">
        <v>286</v>
      </c>
      <c r="F140" t="s">
        <v>19</v>
      </c>
      <c r="G140" t="s">
        <v>128</v>
      </c>
      <c r="H140" t="s">
        <v>37</v>
      </c>
      <c r="I140" t="s">
        <v>7</v>
      </c>
      <c r="J140" t="s">
        <v>62</v>
      </c>
      <c r="K140" t="s">
        <v>48</v>
      </c>
      <c r="L140" t="s">
        <v>59</v>
      </c>
      <c r="M140">
        <v>2</v>
      </c>
    </row>
    <row r="141" spans="1:13" x14ac:dyDescent="0.25">
      <c r="A141" s="2">
        <v>46149</v>
      </c>
      <c r="B141" s="1" t="str">
        <f ca="1">IF(Información1[[#This Row],[Fecha]]='Ajuste de fechas'!$A$2,"Día actual","Día anterior")</f>
        <v>Día actual</v>
      </c>
      <c r="C141" t="s">
        <v>46</v>
      </c>
      <c r="D141" t="s">
        <v>47</v>
      </c>
      <c r="E141" t="s">
        <v>287</v>
      </c>
      <c r="F141" t="s">
        <v>17</v>
      </c>
      <c r="G141" t="s">
        <v>88</v>
      </c>
      <c r="H141" t="s">
        <v>37</v>
      </c>
      <c r="I141" t="s">
        <v>7</v>
      </c>
      <c r="J141" t="s">
        <v>58</v>
      </c>
      <c r="K141" t="s">
        <v>48</v>
      </c>
      <c r="L141" t="s">
        <v>59</v>
      </c>
      <c r="M141">
        <v>2</v>
      </c>
    </row>
    <row r="142" spans="1:13" x14ac:dyDescent="0.25">
      <c r="A142" s="2">
        <v>46149</v>
      </c>
      <c r="B142" s="1" t="str">
        <f ca="1">IF(Información1[[#This Row],[Fecha]]='Ajuste de fechas'!$A$2,"Día actual","Día anterior")</f>
        <v>Día actual</v>
      </c>
      <c r="C142" t="s">
        <v>46</v>
      </c>
      <c r="D142" t="s">
        <v>47</v>
      </c>
      <c r="E142" t="s">
        <v>288</v>
      </c>
      <c r="F142" t="s">
        <v>68</v>
      </c>
      <c r="G142" t="s">
        <v>289</v>
      </c>
      <c r="H142" t="s">
        <v>37</v>
      </c>
      <c r="I142" t="s">
        <v>7</v>
      </c>
      <c r="J142" t="s">
        <v>58</v>
      </c>
      <c r="K142" t="s">
        <v>48</v>
      </c>
      <c r="L142" t="s">
        <v>59</v>
      </c>
      <c r="M142">
        <v>1</v>
      </c>
    </row>
    <row r="143" spans="1:13" x14ac:dyDescent="0.25">
      <c r="A143" s="2">
        <v>46149</v>
      </c>
      <c r="B143" s="1" t="str">
        <f ca="1">IF(Información1[[#This Row],[Fecha]]='Ajuste de fechas'!$A$2,"Día actual","Día anterior")</f>
        <v>Día actual</v>
      </c>
      <c r="C143" t="s">
        <v>46</v>
      </c>
      <c r="D143" t="s">
        <v>47</v>
      </c>
      <c r="E143" t="s">
        <v>290</v>
      </c>
      <c r="F143" t="s">
        <v>115</v>
      </c>
      <c r="G143" t="s">
        <v>79</v>
      </c>
      <c r="H143" t="s">
        <v>37</v>
      </c>
      <c r="I143" t="s">
        <v>7</v>
      </c>
      <c r="J143" t="s">
        <v>25</v>
      </c>
      <c r="K143" t="s">
        <v>48</v>
      </c>
      <c r="L143" t="s">
        <v>59</v>
      </c>
      <c r="M143">
        <v>2</v>
      </c>
    </row>
    <row r="144" spans="1:13" x14ac:dyDescent="0.25">
      <c r="A144" s="2">
        <v>46148</v>
      </c>
      <c r="B144" s="1" t="str">
        <f ca="1">IF(Información1[[#This Row],[Fecha]]='Ajuste de fechas'!$A$2,"Día actual","Día anterior")</f>
        <v>Día anterior</v>
      </c>
      <c r="C144" t="s">
        <v>159</v>
      </c>
      <c r="D144" t="s">
        <v>160</v>
      </c>
      <c r="E144" t="s">
        <v>291</v>
      </c>
      <c r="F144" t="s">
        <v>27</v>
      </c>
      <c r="G144" t="s">
        <v>252</v>
      </c>
      <c r="H144" t="s">
        <v>37</v>
      </c>
      <c r="I144" t="s">
        <v>7</v>
      </c>
      <c r="J144" t="s">
        <v>58</v>
      </c>
      <c r="K144" t="s">
        <v>36</v>
      </c>
      <c r="L144" t="s">
        <v>59</v>
      </c>
      <c r="M144">
        <v>1</v>
      </c>
    </row>
    <row r="145" spans="1:13" x14ac:dyDescent="0.25">
      <c r="A145" s="2">
        <v>46148</v>
      </c>
      <c r="B145" s="1" t="str">
        <f ca="1">IF(Información1[[#This Row],[Fecha]]='Ajuste de fechas'!$A$2,"Día actual","Día anterior")</f>
        <v>Día anterior</v>
      </c>
      <c r="C145" t="s">
        <v>159</v>
      </c>
      <c r="D145" t="s">
        <v>160</v>
      </c>
      <c r="E145" t="s">
        <v>292</v>
      </c>
      <c r="F145" t="s">
        <v>21</v>
      </c>
      <c r="G145" t="s">
        <v>161</v>
      </c>
      <c r="H145" t="s">
        <v>37</v>
      </c>
      <c r="I145" t="s">
        <v>7</v>
      </c>
      <c r="J145" t="s">
        <v>58</v>
      </c>
      <c r="K145" t="s">
        <v>36</v>
      </c>
      <c r="L145" t="s">
        <v>59</v>
      </c>
      <c r="M145">
        <v>1</v>
      </c>
    </row>
    <row r="146" spans="1:13" x14ac:dyDescent="0.25">
      <c r="A146" s="2">
        <v>46148</v>
      </c>
      <c r="B146" s="1" t="str">
        <f ca="1">IF(Información1[[#This Row],[Fecha]]='Ajuste de fechas'!$A$2,"Día actual","Día anterior")</f>
        <v>Día anterior</v>
      </c>
      <c r="C146" t="s">
        <v>159</v>
      </c>
      <c r="D146" t="s">
        <v>160</v>
      </c>
      <c r="E146" t="s">
        <v>293</v>
      </c>
      <c r="F146" t="s">
        <v>22</v>
      </c>
      <c r="G146" t="s">
        <v>294</v>
      </c>
      <c r="H146" t="s">
        <v>37</v>
      </c>
      <c r="I146" t="s">
        <v>7</v>
      </c>
      <c r="J146" t="s">
        <v>63</v>
      </c>
      <c r="K146" t="s">
        <v>36</v>
      </c>
      <c r="L146" t="s">
        <v>59</v>
      </c>
      <c r="M146">
        <v>1</v>
      </c>
    </row>
    <row r="147" spans="1:13" x14ac:dyDescent="0.25">
      <c r="A147" s="2">
        <v>46148</v>
      </c>
      <c r="B147" s="1" t="str">
        <f ca="1">IF(Información1[[#This Row],[Fecha]]='Ajuste de fechas'!$A$2,"Día actual","Día anterior")</f>
        <v>Día anterior</v>
      </c>
      <c r="C147" t="s">
        <v>159</v>
      </c>
      <c r="D147" t="s">
        <v>160</v>
      </c>
      <c r="E147" t="s">
        <v>295</v>
      </c>
      <c r="F147" t="s">
        <v>22</v>
      </c>
      <c r="G147" t="s">
        <v>95</v>
      </c>
      <c r="H147" t="s">
        <v>37</v>
      </c>
      <c r="I147" t="s">
        <v>7</v>
      </c>
      <c r="J147" t="s">
        <v>63</v>
      </c>
      <c r="K147" t="s">
        <v>36</v>
      </c>
      <c r="L147" t="s">
        <v>60</v>
      </c>
      <c r="M147">
        <v>1</v>
      </c>
    </row>
    <row r="148" spans="1:13" x14ac:dyDescent="0.25">
      <c r="A148" s="2">
        <v>46148</v>
      </c>
      <c r="B148" s="1" t="str">
        <f ca="1">IF(Información1[[#This Row],[Fecha]]='Ajuste de fechas'!$A$2,"Día actual","Día anterior")</f>
        <v>Día anterior</v>
      </c>
      <c r="C148" t="s">
        <v>159</v>
      </c>
      <c r="D148" t="s">
        <v>160</v>
      </c>
      <c r="E148" t="s">
        <v>296</v>
      </c>
      <c r="F148" t="s">
        <v>15</v>
      </c>
      <c r="G148" t="s">
        <v>154</v>
      </c>
      <c r="H148" t="s">
        <v>37</v>
      </c>
      <c r="I148" t="s">
        <v>7</v>
      </c>
      <c r="J148" t="s">
        <v>58</v>
      </c>
      <c r="K148" t="s">
        <v>36</v>
      </c>
      <c r="L148" t="s">
        <v>59</v>
      </c>
      <c r="M148">
        <v>1</v>
      </c>
    </row>
    <row r="149" spans="1:13" x14ac:dyDescent="0.25">
      <c r="A149" s="2">
        <v>46148</v>
      </c>
      <c r="B149" s="1" t="str">
        <f ca="1">IF(Información1[[#This Row],[Fecha]]='Ajuste de fechas'!$A$2,"Día actual","Día anterior")</f>
        <v>Día anterior</v>
      </c>
      <c r="C149" t="s">
        <v>159</v>
      </c>
      <c r="D149" t="s">
        <v>160</v>
      </c>
      <c r="E149" t="s">
        <v>297</v>
      </c>
      <c r="F149" t="s">
        <v>27</v>
      </c>
      <c r="G149" t="s">
        <v>128</v>
      </c>
      <c r="H149" t="s">
        <v>37</v>
      </c>
      <c r="I149" t="s">
        <v>7</v>
      </c>
      <c r="J149" t="s">
        <v>58</v>
      </c>
      <c r="K149" t="s">
        <v>36</v>
      </c>
      <c r="L149" t="s">
        <v>59</v>
      </c>
      <c r="M149">
        <v>1</v>
      </c>
    </row>
    <row r="150" spans="1:13" x14ac:dyDescent="0.25">
      <c r="A150" s="2">
        <v>46148</v>
      </c>
      <c r="B150" s="1" t="str">
        <f ca="1">IF(Información1[[#This Row],[Fecha]]='Ajuste de fechas'!$A$2,"Día actual","Día anterior")</f>
        <v>Día anterior</v>
      </c>
      <c r="C150" t="s">
        <v>159</v>
      </c>
      <c r="D150" t="s">
        <v>160</v>
      </c>
      <c r="E150" t="s">
        <v>298</v>
      </c>
      <c r="F150" t="s">
        <v>45</v>
      </c>
      <c r="G150" t="s">
        <v>299</v>
      </c>
      <c r="H150" t="s">
        <v>37</v>
      </c>
      <c r="I150" t="s">
        <v>7</v>
      </c>
      <c r="J150" t="s">
        <v>58</v>
      </c>
      <c r="K150" t="s">
        <v>36</v>
      </c>
      <c r="L150" t="s">
        <v>59</v>
      </c>
      <c r="M150">
        <v>1</v>
      </c>
    </row>
    <row r="151" spans="1:13" x14ac:dyDescent="0.25">
      <c r="A151" s="2">
        <v>46148</v>
      </c>
      <c r="B151" s="1" t="str">
        <f ca="1">IF(Información1[[#This Row],[Fecha]]='Ajuste de fechas'!$A$2,"Día actual","Día anterior")</f>
        <v>Día anterior</v>
      </c>
      <c r="C151" t="s">
        <v>159</v>
      </c>
      <c r="D151" t="s">
        <v>160</v>
      </c>
      <c r="E151" t="s">
        <v>300</v>
      </c>
      <c r="F151" t="s">
        <v>27</v>
      </c>
      <c r="H151" t="s">
        <v>37</v>
      </c>
      <c r="I151" t="s">
        <v>12</v>
      </c>
      <c r="J151" t="s">
        <v>58</v>
      </c>
      <c r="K151" t="s">
        <v>36</v>
      </c>
      <c r="L151" t="s">
        <v>59</v>
      </c>
      <c r="M151">
        <v>1</v>
      </c>
    </row>
    <row r="152" spans="1:13" x14ac:dyDescent="0.25">
      <c r="A152" s="2">
        <v>46148</v>
      </c>
      <c r="B152" s="1" t="str">
        <f ca="1">IF(Información1[[#This Row],[Fecha]]='Ajuste de fechas'!$A$2,"Día actual","Día anterior")</f>
        <v>Día anterior</v>
      </c>
      <c r="C152" t="s">
        <v>159</v>
      </c>
      <c r="D152" t="s">
        <v>160</v>
      </c>
      <c r="E152" t="s">
        <v>301</v>
      </c>
      <c r="F152" t="s">
        <v>27</v>
      </c>
      <c r="G152" t="s">
        <v>283</v>
      </c>
      <c r="H152" t="s">
        <v>37</v>
      </c>
      <c r="I152" t="s">
        <v>7</v>
      </c>
      <c r="J152" t="s">
        <v>58</v>
      </c>
      <c r="K152" t="s">
        <v>36</v>
      </c>
      <c r="L152" t="s">
        <v>59</v>
      </c>
      <c r="M152">
        <v>1</v>
      </c>
    </row>
    <row r="153" spans="1:13" x14ac:dyDescent="0.25">
      <c r="A153" s="2">
        <v>46148</v>
      </c>
      <c r="B153" s="1" t="str">
        <f ca="1">IF(Información1[[#This Row],[Fecha]]='Ajuste de fechas'!$A$2,"Día actual","Día anterior")</f>
        <v>Día anterior</v>
      </c>
      <c r="C153" t="s">
        <v>159</v>
      </c>
      <c r="D153" t="s">
        <v>160</v>
      </c>
      <c r="E153" t="s">
        <v>302</v>
      </c>
      <c r="F153" t="s">
        <v>27</v>
      </c>
      <c r="G153" t="s">
        <v>88</v>
      </c>
      <c r="H153" t="s">
        <v>37</v>
      </c>
      <c r="I153" t="s">
        <v>7</v>
      </c>
      <c r="J153" t="s">
        <v>58</v>
      </c>
      <c r="K153" t="s">
        <v>36</v>
      </c>
      <c r="L153" t="s">
        <v>59</v>
      </c>
      <c r="M153">
        <v>1</v>
      </c>
    </row>
    <row r="154" spans="1:13" x14ac:dyDescent="0.25">
      <c r="A154" s="2">
        <v>46148</v>
      </c>
      <c r="B154" s="1" t="str">
        <f ca="1">IF(Información1[[#This Row],[Fecha]]='Ajuste de fechas'!$A$2,"Día actual","Día anterior")</f>
        <v>Día anterior</v>
      </c>
      <c r="C154" t="s">
        <v>159</v>
      </c>
      <c r="D154" t="s">
        <v>160</v>
      </c>
      <c r="E154" t="s">
        <v>253</v>
      </c>
      <c r="F154" t="s">
        <v>27</v>
      </c>
      <c r="G154" t="s">
        <v>254</v>
      </c>
      <c r="H154" t="s">
        <v>37</v>
      </c>
      <c r="I154" t="s">
        <v>7</v>
      </c>
      <c r="J154" t="s">
        <v>58</v>
      </c>
      <c r="K154" t="s">
        <v>36</v>
      </c>
      <c r="L154" t="s">
        <v>61</v>
      </c>
      <c r="M154">
        <v>1</v>
      </c>
    </row>
    <row r="155" spans="1:13" x14ac:dyDescent="0.25">
      <c r="A155" s="2">
        <v>46149</v>
      </c>
      <c r="B155" s="1" t="str">
        <f ca="1">IF(Información1[[#This Row],[Fecha]]='Ajuste de fechas'!$A$2,"Día actual","Día anterior")</f>
        <v>Día actual</v>
      </c>
      <c r="C155" t="s">
        <v>46</v>
      </c>
      <c r="D155" t="s">
        <v>47</v>
      </c>
      <c r="E155" t="s">
        <v>288</v>
      </c>
      <c r="F155" t="s">
        <v>68</v>
      </c>
      <c r="G155" t="s">
        <v>289</v>
      </c>
      <c r="H155" t="s">
        <v>11</v>
      </c>
      <c r="I155" t="s">
        <v>7</v>
      </c>
      <c r="J155" t="s">
        <v>58</v>
      </c>
      <c r="K155" t="s">
        <v>48</v>
      </c>
      <c r="L155" t="s">
        <v>59</v>
      </c>
      <c r="M155">
        <v>1</v>
      </c>
    </row>
    <row r="156" spans="1:13" x14ac:dyDescent="0.25">
      <c r="A156" s="2">
        <v>46149</v>
      </c>
      <c r="B156" s="1" t="str">
        <f ca="1">IF(Información1[[#This Row],[Fecha]]='Ajuste de fechas'!$A$2,"Día actual","Día anterior")</f>
        <v>Día actual</v>
      </c>
      <c r="C156" t="s">
        <v>39</v>
      </c>
      <c r="D156" t="s">
        <v>40</v>
      </c>
      <c r="E156" t="s">
        <v>245</v>
      </c>
      <c r="F156" t="s">
        <v>68</v>
      </c>
      <c r="G156" t="s">
        <v>276</v>
      </c>
      <c r="H156" t="s">
        <v>37</v>
      </c>
      <c r="I156" t="s">
        <v>7</v>
      </c>
      <c r="J156" t="s">
        <v>58</v>
      </c>
      <c r="K156" t="s">
        <v>28</v>
      </c>
      <c r="L156" t="s">
        <v>61</v>
      </c>
      <c r="M156">
        <v>1</v>
      </c>
    </row>
    <row r="157" spans="1:13" x14ac:dyDescent="0.25">
      <c r="A157" s="2">
        <v>46149</v>
      </c>
      <c r="B157" s="1" t="str">
        <f ca="1">IF(Información1[[#This Row],[Fecha]]='Ajuste de fechas'!$A$2,"Día actual","Día anterior")</f>
        <v>Día actual</v>
      </c>
      <c r="C157" t="s">
        <v>39</v>
      </c>
      <c r="D157" t="s">
        <v>40</v>
      </c>
      <c r="E157" t="s">
        <v>278</v>
      </c>
      <c r="F157" t="s">
        <v>21</v>
      </c>
      <c r="G157" t="s">
        <v>249</v>
      </c>
      <c r="H157" t="s">
        <v>37</v>
      </c>
      <c r="I157" t="s">
        <v>7</v>
      </c>
      <c r="J157" t="s">
        <v>58</v>
      </c>
      <c r="K157" t="s">
        <v>28</v>
      </c>
      <c r="L157" t="s">
        <v>61</v>
      </c>
      <c r="M157">
        <v>1</v>
      </c>
    </row>
    <row r="158" spans="1:13" x14ac:dyDescent="0.25">
      <c r="A158" s="2">
        <v>46149</v>
      </c>
      <c r="B158" s="1" t="str">
        <f ca="1">IF(Información1[[#This Row],[Fecha]]='Ajuste de fechas'!$A$2,"Día actual","Día anterior")</f>
        <v>Día actual</v>
      </c>
      <c r="C158" t="s">
        <v>41</v>
      </c>
      <c r="D158" t="s">
        <v>44</v>
      </c>
      <c r="E158" t="s">
        <v>303</v>
      </c>
      <c r="F158" t="s">
        <v>19</v>
      </c>
      <c r="G158" t="s">
        <v>304</v>
      </c>
      <c r="H158" t="s">
        <v>11</v>
      </c>
      <c r="I158" t="s">
        <v>7</v>
      </c>
      <c r="J158" t="s">
        <v>62</v>
      </c>
      <c r="K158" t="s">
        <v>42</v>
      </c>
      <c r="L158" t="s">
        <v>59</v>
      </c>
      <c r="M158">
        <v>1</v>
      </c>
    </row>
    <row r="159" spans="1:13" x14ac:dyDescent="0.25">
      <c r="A159" s="2">
        <v>46149</v>
      </c>
      <c r="B159" s="1" t="str">
        <f ca="1">IF(Información1[[#This Row],[Fecha]]='Ajuste de fechas'!$A$2,"Día actual","Día anterior")</f>
        <v>Día actual</v>
      </c>
      <c r="C159" t="s">
        <v>41</v>
      </c>
      <c r="D159" t="s">
        <v>44</v>
      </c>
      <c r="E159" t="s">
        <v>305</v>
      </c>
      <c r="F159" t="s">
        <v>17</v>
      </c>
      <c r="G159" t="s">
        <v>88</v>
      </c>
      <c r="H159" t="s">
        <v>11</v>
      </c>
      <c r="I159" t="s">
        <v>7</v>
      </c>
      <c r="J159" t="s">
        <v>58</v>
      </c>
      <c r="K159" t="s">
        <v>9</v>
      </c>
      <c r="L159" t="s">
        <v>60</v>
      </c>
      <c r="M159">
        <v>1</v>
      </c>
    </row>
    <row r="160" spans="1:13" x14ac:dyDescent="0.25">
      <c r="A160" s="2">
        <v>46149</v>
      </c>
      <c r="B160" s="1" t="str">
        <f ca="1">IF(Información1[[#This Row],[Fecha]]='Ajuste de fechas'!$A$2,"Día actual","Día anterior")</f>
        <v>Día actual</v>
      </c>
      <c r="C160" t="s">
        <v>41</v>
      </c>
      <c r="D160" t="s">
        <v>44</v>
      </c>
      <c r="E160" t="s">
        <v>306</v>
      </c>
      <c r="F160" t="s">
        <v>17</v>
      </c>
      <c r="G160" t="s">
        <v>88</v>
      </c>
      <c r="H160" t="s">
        <v>11</v>
      </c>
      <c r="I160" t="s">
        <v>7</v>
      </c>
      <c r="J160" t="s">
        <v>58</v>
      </c>
      <c r="K160" t="s">
        <v>9</v>
      </c>
      <c r="L160" t="s">
        <v>60</v>
      </c>
      <c r="M160">
        <v>1</v>
      </c>
    </row>
    <row r="161" spans="1:13" x14ac:dyDescent="0.25">
      <c r="A161" s="2">
        <v>46149</v>
      </c>
      <c r="B161" s="1" t="str">
        <f ca="1">IF(Información1[[#This Row],[Fecha]]='Ajuste de fechas'!$A$2,"Día actual","Día anterior")</f>
        <v>Día actual</v>
      </c>
      <c r="C161" t="s">
        <v>41</v>
      </c>
      <c r="D161" t="s">
        <v>44</v>
      </c>
      <c r="E161" t="s">
        <v>307</v>
      </c>
      <c r="F161" t="s">
        <v>17</v>
      </c>
      <c r="G161" t="s">
        <v>88</v>
      </c>
      <c r="H161" t="s">
        <v>11</v>
      </c>
      <c r="I161" t="s">
        <v>7</v>
      </c>
      <c r="J161" t="s">
        <v>58</v>
      </c>
      <c r="K161" t="s">
        <v>308</v>
      </c>
      <c r="L161" t="s">
        <v>60</v>
      </c>
      <c r="M161">
        <v>1</v>
      </c>
    </row>
    <row r="162" spans="1:13" x14ac:dyDescent="0.25">
      <c r="A162" s="2">
        <v>46149</v>
      </c>
      <c r="B162" s="1" t="str">
        <f ca="1">IF(Información1[[#This Row],[Fecha]]='Ajuste de fechas'!$A$2,"Día actual","Día anterior")</f>
        <v>Día actual</v>
      </c>
      <c r="C162" t="s">
        <v>29</v>
      </c>
      <c r="D162" t="s">
        <v>31</v>
      </c>
      <c r="E162" t="s">
        <v>309</v>
      </c>
      <c r="F162" t="s">
        <v>25</v>
      </c>
      <c r="G162" t="s">
        <v>310</v>
      </c>
      <c r="H162" t="s">
        <v>11</v>
      </c>
      <c r="I162" t="s">
        <v>7</v>
      </c>
      <c r="J162" t="s">
        <v>25</v>
      </c>
      <c r="K162" t="s">
        <v>30</v>
      </c>
      <c r="L162" t="s">
        <v>59</v>
      </c>
      <c r="M162">
        <v>1</v>
      </c>
    </row>
    <row r="163" spans="1:13" x14ac:dyDescent="0.25">
      <c r="A163" s="2">
        <v>46149</v>
      </c>
      <c r="B163" s="1" t="str">
        <f ca="1">IF(Información1[[#This Row],[Fecha]]='Ajuste de fechas'!$A$2,"Día actual","Día anterior")</f>
        <v>Día actual</v>
      </c>
      <c r="C163" t="s">
        <v>29</v>
      </c>
      <c r="D163" t="s">
        <v>31</v>
      </c>
      <c r="E163" t="s">
        <v>311</v>
      </c>
      <c r="F163" t="s">
        <v>22</v>
      </c>
      <c r="G163" t="s">
        <v>128</v>
      </c>
      <c r="H163" t="s">
        <v>11</v>
      </c>
      <c r="I163" t="s">
        <v>7</v>
      </c>
      <c r="J163" t="s">
        <v>63</v>
      </c>
      <c r="K163" t="s">
        <v>30</v>
      </c>
      <c r="L163" t="s">
        <v>59</v>
      </c>
      <c r="M163">
        <v>1</v>
      </c>
    </row>
    <row r="164" spans="1:13" x14ac:dyDescent="0.25">
      <c r="A164" s="2">
        <v>46149</v>
      </c>
      <c r="B164" s="1" t="str">
        <f ca="1">IF(Información1[[#This Row],[Fecha]]='Ajuste de fechas'!$A$2,"Día actual","Día anterior")</f>
        <v>Día actual</v>
      </c>
      <c r="C164" t="s">
        <v>29</v>
      </c>
      <c r="D164" t="s">
        <v>31</v>
      </c>
      <c r="E164" t="s">
        <v>312</v>
      </c>
      <c r="F164" t="s">
        <v>19</v>
      </c>
      <c r="G164" t="s">
        <v>266</v>
      </c>
      <c r="H164" t="s">
        <v>11</v>
      </c>
      <c r="I164" t="s">
        <v>7</v>
      </c>
      <c r="J164" t="s">
        <v>62</v>
      </c>
      <c r="K164" t="s">
        <v>30</v>
      </c>
      <c r="L164" t="s">
        <v>59</v>
      </c>
      <c r="M164">
        <v>1</v>
      </c>
    </row>
    <row r="165" spans="1:13" x14ac:dyDescent="0.25">
      <c r="A165" s="2">
        <v>46149</v>
      </c>
      <c r="B165" s="1" t="str">
        <f ca="1">IF(Información1[[#This Row],[Fecha]]='Ajuste de fechas'!$A$2,"Día actual","Día anterior")</f>
        <v>Día actual</v>
      </c>
      <c r="C165" t="s">
        <v>29</v>
      </c>
      <c r="D165" t="s">
        <v>31</v>
      </c>
      <c r="E165" t="s">
        <v>313</v>
      </c>
      <c r="F165" t="s">
        <v>45</v>
      </c>
      <c r="G165" t="s">
        <v>314</v>
      </c>
      <c r="H165" t="s">
        <v>11</v>
      </c>
      <c r="I165" t="s">
        <v>7</v>
      </c>
      <c r="J165" t="s">
        <v>58</v>
      </c>
      <c r="K165" t="s">
        <v>30</v>
      </c>
      <c r="L165" t="s">
        <v>61</v>
      </c>
      <c r="M165">
        <v>1</v>
      </c>
    </row>
    <row r="166" spans="1:13" x14ac:dyDescent="0.25">
      <c r="A166" s="2">
        <v>46149</v>
      </c>
      <c r="B166" s="1" t="str">
        <f ca="1">IF(Información1[[#This Row],[Fecha]]='Ajuste de fechas'!$A$2,"Día actual","Día anterior")</f>
        <v>Día actual</v>
      </c>
      <c r="C166" t="s">
        <v>29</v>
      </c>
      <c r="D166" t="s">
        <v>31</v>
      </c>
      <c r="E166" t="s">
        <v>315</v>
      </c>
      <c r="F166" t="s">
        <v>115</v>
      </c>
      <c r="G166" t="s">
        <v>128</v>
      </c>
      <c r="H166" t="s">
        <v>11</v>
      </c>
      <c r="I166" t="s">
        <v>7</v>
      </c>
      <c r="J166" t="s">
        <v>25</v>
      </c>
      <c r="K166" t="s">
        <v>30</v>
      </c>
      <c r="L166" t="s">
        <v>59</v>
      </c>
      <c r="M166">
        <v>1</v>
      </c>
    </row>
    <row r="167" spans="1:13" x14ac:dyDescent="0.25">
      <c r="A167" s="2">
        <v>46149</v>
      </c>
      <c r="B167" s="1" t="str">
        <f ca="1">IF(Información1[[#This Row],[Fecha]]='Ajuste de fechas'!$A$2,"Día actual","Día anterior")</f>
        <v>Día actual</v>
      </c>
      <c r="C167" t="s">
        <v>29</v>
      </c>
      <c r="D167" t="s">
        <v>31</v>
      </c>
      <c r="E167" t="s">
        <v>171</v>
      </c>
      <c r="F167" t="s">
        <v>27</v>
      </c>
      <c r="G167" t="s">
        <v>128</v>
      </c>
      <c r="H167" t="s">
        <v>11</v>
      </c>
      <c r="I167" t="s">
        <v>7</v>
      </c>
      <c r="J167" t="s">
        <v>58</v>
      </c>
      <c r="K167" t="s">
        <v>30</v>
      </c>
      <c r="L167" t="s">
        <v>61</v>
      </c>
      <c r="M167">
        <v>1</v>
      </c>
    </row>
    <row r="168" spans="1:13" x14ac:dyDescent="0.25">
      <c r="A168" s="2">
        <v>46149</v>
      </c>
      <c r="B168" s="1" t="str">
        <f ca="1">IF(Información1[[#This Row],[Fecha]]='Ajuste de fechas'!$A$2,"Día actual","Día anterior")</f>
        <v>Día actual</v>
      </c>
      <c r="C168" t="s">
        <v>29</v>
      </c>
      <c r="D168" t="s">
        <v>31</v>
      </c>
      <c r="E168" t="s">
        <v>316</v>
      </c>
      <c r="F168" t="s">
        <v>21</v>
      </c>
      <c r="G168" t="s">
        <v>161</v>
      </c>
      <c r="H168" t="s">
        <v>11</v>
      </c>
      <c r="I168" t="s">
        <v>7</v>
      </c>
      <c r="J168" t="s">
        <v>58</v>
      </c>
      <c r="K168" t="s">
        <v>30</v>
      </c>
      <c r="L168" t="s">
        <v>61</v>
      </c>
      <c r="M168">
        <v>1</v>
      </c>
    </row>
    <row r="169" spans="1:13" x14ac:dyDescent="0.25">
      <c r="A169" s="2">
        <v>46149</v>
      </c>
      <c r="B169" s="1" t="str">
        <f ca="1">IF(Información1[[#This Row],[Fecha]]='Ajuste de fechas'!$A$2,"Día actual","Día anterior")</f>
        <v>Día actual</v>
      </c>
      <c r="C169" t="s">
        <v>29</v>
      </c>
      <c r="D169" t="s">
        <v>31</v>
      </c>
      <c r="E169" t="s">
        <v>245</v>
      </c>
      <c r="F169" t="s">
        <v>68</v>
      </c>
      <c r="G169" t="s">
        <v>276</v>
      </c>
      <c r="H169" t="s">
        <v>11</v>
      </c>
      <c r="I169" t="s">
        <v>7</v>
      </c>
      <c r="J169" t="s">
        <v>58</v>
      </c>
      <c r="K169" t="s">
        <v>30</v>
      </c>
      <c r="L169" t="s">
        <v>61</v>
      </c>
      <c r="M169">
        <v>1</v>
      </c>
    </row>
    <row r="170" spans="1:13" x14ac:dyDescent="0.25">
      <c r="A170" s="2">
        <v>46149</v>
      </c>
      <c r="B170" s="1" t="str">
        <f ca="1">IF(Información1[[#This Row],[Fecha]]='Ajuste de fechas'!$A$2,"Día actual","Día anterior")</f>
        <v>Día actual</v>
      </c>
      <c r="C170" t="s">
        <v>29</v>
      </c>
      <c r="D170" t="s">
        <v>31</v>
      </c>
      <c r="E170" t="s">
        <v>317</v>
      </c>
      <c r="F170" t="s">
        <v>106</v>
      </c>
      <c r="G170" t="s">
        <v>254</v>
      </c>
      <c r="H170" t="s">
        <v>11</v>
      </c>
      <c r="I170" t="s">
        <v>12</v>
      </c>
      <c r="J170" t="s">
        <v>58</v>
      </c>
      <c r="K170" t="s">
        <v>30</v>
      </c>
      <c r="L170" t="s">
        <v>60</v>
      </c>
      <c r="M170">
        <v>1</v>
      </c>
    </row>
    <row r="171" spans="1:13" x14ac:dyDescent="0.25">
      <c r="A171" s="2">
        <v>46149</v>
      </c>
      <c r="B171" s="1" t="str">
        <f ca="1">IF(Información1[[#This Row],[Fecha]]='Ajuste de fechas'!$A$2,"Día actual","Día anterior")</f>
        <v>Día actual</v>
      </c>
      <c r="C171" t="s">
        <v>29</v>
      </c>
      <c r="D171" t="s">
        <v>31</v>
      </c>
      <c r="E171" t="s">
        <v>318</v>
      </c>
      <c r="F171" t="s">
        <v>27</v>
      </c>
      <c r="G171" t="s">
        <v>254</v>
      </c>
      <c r="H171" t="s">
        <v>11</v>
      </c>
      <c r="I171" t="s">
        <v>7</v>
      </c>
      <c r="J171" t="s">
        <v>58</v>
      </c>
      <c r="K171" t="s">
        <v>30</v>
      </c>
      <c r="L171" t="s">
        <v>61</v>
      </c>
      <c r="M171">
        <v>1</v>
      </c>
    </row>
    <row r="172" spans="1:13" x14ac:dyDescent="0.25">
      <c r="A172" s="2">
        <v>46149</v>
      </c>
      <c r="B172" s="1" t="str">
        <f ca="1">IF(Información1[[#This Row],[Fecha]]='Ajuste de fechas'!$A$2,"Día actual","Día anterior")</f>
        <v>Día actual</v>
      </c>
      <c r="C172" t="s">
        <v>29</v>
      </c>
      <c r="D172" t="s">
        <v>31</v>
      </c>
      <c r="E172" t="s">
        <v>319</v>
      </c>
      <c r="F172" t="s">
        <v>97</v>
      </c>
      <c r="G172" t="s">
        <v>252</v>
      </c>
      <c r="H172" t="s">
        <v>11</v>
      </c>
      <c r="I172" t="s">
        <v>7</v>
      </c>
      <c r="J172" t="s">
        <v>58</v>
      </c>
      <c r="K172" t="s">
        <v>30</v>
      </c>
      <c r="L172" t="s">
        <v>61</v>
      </c>
      <c r="M172">
        <v>1</v>
      </c>
    </row>
    <row r="173" spans="1:13" x14ac:dyDescent="0.25">
      <c r="A173" s="2">
        <v>46149</v>
      </c>
      <c r="B173" s="1" t="str">
        <f ca="1">IF(Información1[[#This Row],[Fecha]]='Ajuste de fechas'!$A$2,"Día actual","Día anterior")</f>
        <v>Día actual</v>
      </c>
      <c r="C173" t="s">
        <v>41</v>
      </c>
      <c r="D173" t="s">
        <v>43</v>
      </c>
      <c r="E173" t="s">
        <v>320</v>
      </c>
      <c r="F173" t="s">
        <v>19</v>
      </c>
      <c r="G173" t="s">
        <v>321</v>
      </c>
      <c r="H173" t="s">
        <v>11</v>
      </c>
      <c r="I173" t="s">
        <v>7</v>
      </c>
      <c r="J173" t="s">
        <v>62</v>
      </c>
      <c r="K173" t="s">
        <v>42</v>
      </c>
      <c r="L173" t="s">
        <v>59</v>
      </c>
      <c r="M173">
        <v>1</v>
      </c>
    </row>
    <row r="174" spans="1:13" x14ac:dyDescent="0.25">
      <c r="A174" s="2">
        <v>46149</v>
      </c>
      <c r="B174" s="1" t="str">
        <f ca="1">IF(Información1[[#This Row],[Fecha]]='Ajuste de fechas'!$A$2,"Día actual","Día anterior")</f>
        <v>Día actual</v>
      </c>
      <c r="C174" t="s">
        <v>41</v>
      </c>
      <c r="D174" t="s">
        <v>43</v>
      </c>
      <c r="E174" t="s">
        <v>322</v>
      </c>
      <c r="F174" t="s">
        <v>19</v>
      </c>
      <c r="G174" t="s">
        <v>239</v>
      </c>
      <c r="H174" t="s">
        <v>11</v>
      </c>
      <c r="I174" t="s">
        <v>7</v>
      </c>
      <c r="J174" t="s">
        <v>62</v>
      </c>
      <c r="K174" t="s">
        <v>36</v>
      </c>
      <c r="L174" t="s">
        <v>59</v>
      </c>
      <c r="M174">
        <v>1</v>
      </c>
    </row>
    <row r="175" spans="1:13" x14ac:dyDescent="0.25">
      <c r="A175" s="2">
        <v>46149</v>
      </c>
      <c r="B175" s="1" t="str">
        <f ca="1">IF(Información1[[#This Row],[Fecha]]='Ajuste de fechas'!$A$2,"Día actual","Día anterior")</f>
        <v>Día actual</v>
      </c>
      <c r="C175" t="s">
        <v>41</v>
      </c>
      <c r="D175" t="s">
        <v>43</v>
      </c>
      <c r="E175" t="s">
        <v>323</v>
      </c>
      <c r="F175" t="s">
        <v>6</v>
      </c>
      <c r="G175" t="s">
        <v>324</v>
      </c>
      <c r="H175" t="s">
        <v>11</v>
      </c>
      <c r="I175" t="s">
        <v>12</v>
      </c>
      <c r="J175" t="s">
        <v>58</v>
      </c>
      <c r="K175" t="s">
        <v>325</v>
      </c>
      <c r="L175" t="s">
        <v>60</v>
      </c>
      <c r="M175">
        <v>1</v>
      </c>
    </row>
    <row r="176" spans="1:13" x14ac:dyDescent="0.25">
      <c r="A176" s="2">
        <v>46149</v>
      </c>
      <c r="B176" s="1" t="str">
        <f ca="1">IF(Información1[[#This Row],[Fecha]]='Ajuste de fechas'!$A$2,"Día actual","Día anterior")</f>
        <v>Día actual</v>
      </c>
      <c r="C176" t="s">
        <v>41</v>
      </c>
      <c r="D176" t="s">
        <v>43</v>
      </c>
      <c r="E176" t="s">
        <v>326</v>
      </c>
      <c r="F176" t="s">
        <v>21</v>
      </c>
      <c r="G176" t="s">
        <v>161</v>
      </c>
      <c r="H176" t="s">
        <v>11</v>
      </c>
      <c r="I176" t="s">
        <v>7</v>
      </c>
      <c r="J176" t="s">
        <v>58</v>
      </c>
      <c r="K176" t="s">
        <v>36</v>
      </c>
      <c r="L176" t="s">
        <v>59</v>
      </c>
      <c r="M176">
        <v>1</v>
      </c>
    </row>
    <row r="177" spans="1:13" x14ac:dyDescent="0.25">
      <c r="A177" s="2">
        <v>46149</v>
      </c>
      <c r="B177" s="1" t="str">
        <f ca="1">IF(Información1[[#This Row],[Fecha]]='Ajuste de fechas'!$A$2,"Día actual","Día anterior")</f>
        <v>Día actual</v>
      </c>
      <c r="C177" t="s">
        <v>41</v>
      </c>
      <c r="D177" t="s">
        <v>43</v>
      </c>
      <c r="E177" t="s">
        <v>327</v>
      </c>
      <c r="F177" t="s">
        <v>17</v>
      </c>
      <c r="G177" t="s">
        <v>88</v>
      </c>
      <c r="H177" t="s">
        <v>11</v>
      </c>
      <c r="I177" t="s">
        <v>7</v>
      </c>
      <c r="J177" t="s">
        <v>58</v>
      </c>
      <c r="K177" t="s">
        <v>9</v>
      </c>
      <c r="L177" t="s">
        <v>60</v>
      </c>
      <c r="M177">
        <v>1</v>
      </c>
    </row>
    <row r="178" spans="1:13" x14ac:dyDescent="0.25">
      <c r="A178" s="2">
        <v>46149</v>
      </c>
      <c r="B178" s="1" t="str">
        <f ca="1">IF(Información1[[#This Row],[Fecha]]='Ajuste de fechas'!$A$2,"Día actual","Día anterior")</f>
        <v>Día actual</v>
      </c>
      <c r="C178" t="s">
        <v>41</v>
      </c>
      <c r="D178" t="s">
        <v>43</v>
      </c>
      <c r="E178" t="s">
        <v>328</v>
      </c>
      <c r="F178" t="s">
        <v>85</v>
      </c>
      <c r="G178" t="s">
        <v>329</v>
      </c>
      <c r="H178" t="s">
        <v>11</v>
      </c>
      <c r="I178" t="s">
        <v>7</v>
      </c>
      <c r="J178" t="s">
        <v>58</v>
      </c>
      <c r="K178" t="s">
        <v>36</v>
      </c>
      <c r="L178" t="s">
        <v>61</v>
      </c>
      <c r="M178">
        <v>1</v>
      </c>
    </row>
    <row r="179" spans="1:13" x14ac:dyDescent="0.25">
      <c r="A179" s="2">
        <v>46149</v>
      </c>
      <c r="B179" s="1" t="str">
        <f ca="1">IF(Información1[[#This Row],[Fecha]]='Ajuste de fechas'!$A$2,"Día actual","Día anterior")</f>
        <v>Día actual</v>
      </c>
      <c r="C179" t="s">
        <v>41</v>
      </c>
      <c r="D179" t="s">
        <v>43</v>
      </c>
      <c r="E179" t="s">
        <v>330</v>
      </c>
      <c r="F179" t="s">
        <v>17</v>
      </c>
      <c r="G179" t="s">
        <v>88</v>
      </c>
      <c r="H179" t="s">
        <v>11</v>
      </c>
      <c r="I179" t="s">
        <v>7</v>
      </c>
      <c r="J179" t="s">
        <v>58</v>
      </c>
      <c r="K179" t="s">
        <v>42</v>
      </c>
      <c r="L179" t="s">
        <v>61</v>
      </c>
      <c r="M179">
        <v>1</v>
      </c>
    </row>
    <row r="180" spans="1:13" x14ac:dyDescent="0.25">
      <c r="A180" s="2">
        <v>46149</v>
      </c>
      <c r="B180" s="1" t="str">
        <f ca="1">IF(Información1[[#This Row],[Fecha]]='Ajuste de fechas'!$A$2,"Día actual","Día anterior")</f>
        <v>Día actual</v>
      </c>
      <c r="C180" t="s">
        <v>41</v>
      </c>
      <c r="D180" t="s">
        <v>43</v>
      </c>
      <c r="E180" t="s">
        <v>331</v>
      </c>
      <c r="F180" t="s">
        <v>77</v>
      </c>
      <c r="G180" t="s">
        <v>332</v>
      </c>
      <c r="H180" t="s">
        <v>11</v>
      </c>
      <c r="I180" t="s">
        <v>7</v>
      </c>
      <c r="J180" t="s">
        <v>58</v>
      </c>
      <c r="K180" t="s">
        <v>36</v>
      </c>
      <c r="L180" t="s">
        <v>61</v>
      </c>
      <c r="M180">
        <v>1</v>
      </c>
    </row>
    <row r="181" spans="1:13" x14ac:dyDescent="0.25">
      <c r="A181" s="2">
        <v>46149</v>
      </c>
      <c r="B181" s="1" t="str">
        <f ca="1">IF(Información1[[#This Row],[Fecha]]='Ajuste de fechas'!$A$2,"Día actual","Día anterior")</f>
        <v>Día actual</v>
      </c>
      <c r="C181" t="s">
        <v>41</v>
      </c>
      <c r="D181" t="s">
        <v>43</v>
      </c>
      <c r="E181" t="s">
        <v>333</v>
      </c>
      <c r="F181" t="s">
        <v>45</v>
      </c>
      <c r="G181" t="s">
        <v>314</v>
      </c>
      <c r="H181" t="s">
        <v>11</v>
      </c>
      <c r="I181" t="s">
        <v>7</v>
      </c>
      <c r="J181" t="s">
        <v>58</v>
      </c>
      <c r="K181" t="s">
        <v>36</v>
      </c>
      <c r="L181" t="s">
        <v>61</v>
      </c>
      <c r="M181">
        <v>1</v>
      </c>
    </row>
    <row r="182" spans="1:13" x14ac:dyDescent="0.25">
      <c r="A182" s="2">
        <v>46149</v>
      </c>
      <c r="B182" s="1" t="str">
        <f ca="1">IF(Información1[[#This Row],[Fecha]]='Ajuste de fechas'!$A$2,"Día actual","Día anterior")</f>
        <v>Día actual</v>
      </c>
      <c r="C182" t="s">
        <v>41</v>
      </c>
      <c r="D182" t="s">
        <v>43</v>
      </c>
      <c r="E182" t="s">
        <v>319</v>
      </c>
      <c r="F182" t="s">
        <v>97</v>
      </c>
      <c r="G182" t="s">
        <v>252</v>
      </c>
      <c r="H182" t="s">
        <v>11</v>
      </c>
      <c r="I182" t="s">
        <v>7</v>
      </c>
      <c r="J182" t="s">
        <v>58</v>
      </c>
      <c r="K182" t="s">
        <v>36</v>
      </c>
      <c r="L182" t="s">
        <v>61</v>
      </c>
      <c r="M182">
        <v>1</v>
      </c>
    </row>
    <row r="183" spans="1:13" x14ac:dyDescent="0.25">
      <c r="A183" s="2">
        <v>46149</v>
      </c>
      <c r="B183" s="1" t="str">
        <f ca="1">IF(Información1[[#This Row],[Fecha]]='Ajuste de fechas'!$A$2,"Día actual","Día anterior")</f>
        <v>Día actual</v>
      </c>
      <c r="C183" t="s">
        <v>41</v>
      </c>
      <c r="D183" t="s">
        <v>43</v>
      </c>
      <c r="E183" t="s">
        <v>334</v>
      </c>
      <c r="F183" t="s">
        <v>27</v>
      </c>
      <c r="G183" t="s">
        <v>254</v>
      </c>
      <c r="H183" t="s">
        <v>11</v>
      </c>
      <c r="I183" t="s">
        <v>7</v>
      </c>
      <c r="J183" t="s">
        <v>58</v>
      </c>
      <c r="K183" t="s">
        <v>36</v>
      </c>
      <c r="L183" t="s">
        <v>61</v>
      </c>
      <c r="M183">
        <v>1</v>
      </c>
    </row>
    <row r="184" spans="1:13" x14ac:dyDescent="0.25">
      <c r="A184" s="2">
        <v>46149</v>
      </c>
      <c r="B184" s="1" t="str">
        <f ca="1">IF(Información1[[#This Row],[Fecha]]='Ajuste de fechas'!$A$2,"Día actual","Día anterior")</f>
        <v>Día actual</v>
      </c>
      <c r="C184" t="s">
        <v>41</v>
      </c>
      <c r="D184" t="s">
        <v>43</v>
      </c>
      <c r="E184" t="s">
        <v>335</v>
      </c>
      <c r="F184" t="s">
        <v>71</v>
      </c>
      <c r="G184" t="s">
        <v>336</v>
      </c>
      <c r="H184" t="s">
        <v>11</v>
      </c>
      <c r="I184" t="s">
        <v>7</v>
      </c>
      <c r="J184" t="s">
        <v>58</v>
      </c>
      <c r="K184" t="s">
        <v>36</v>
      </c>
      <c r="L184" t="s">
        <v>61</v>
      </c>
      <c r="M184">
        <v>1</v>
      </c>
    </row>
    <row r="185" spans="1:13" x14ac:dyDescent="0.25">
      <c r="A185" s="2">
        <v>46149</v>
      </c>
      <c r="B185" s="1" t="str">
        <f ca="1">IF(Información1[[#This Row],[Fecha]]='Ajuste de fechas'!$A$2,"Día actual","Día anterior")</f>
        <v>Día actual</v>
      </c>
      <c r="C185" t="s">
        <v>8</v>
      </c>
      <c r="D185" t="s">
        <v>10</v>
      </c>
      <c r="E185" t="s">
        <v>337</v>
      </c>
      <c r="F185" t="s">
        <v>6</v>
      </c>
      <c r="G185" t="s">
        <v>94</v>
      </c>
      <c r="H185" t="s">
        <v>11</v>
      </c>
      <c r="I185" t="s">
        <v>26</v>
      </c>
      <c r="J185" t="s">
        <v>58</v>
      </c>
      <c r="K185" t="s">
        <v>9</v>
      </c>
      <c r="L185" t="s">
        <v>60</v>
      </c>
      <c r="M185">
        <v>2</v>
      </c>
    </row>
    <row r="186" spans="1:13" x14ac:dyDescent="0.25">
      <c r="A186" s="2">
        <v>46149</v>
      </c>
      <c r="B186" s="1" t="str">
        <f ca="1">IF(Información1[[#This Row],[Fecha]]='Ajuste de fechas'!$A$2,"Día actual","Día anterior")</f>
        <v>Día actual</v>
      </c>
      <c r="C186" t="s">
        <v>8</v>
      </c>
      <c r="D186" t="s">
        <v>10</v>
      </c>
      <c r="E186" t="s">
        <v>338</v>
      </c>
      <c r="F186" t="s">
        <v>6</v>
      </c>
      <c r="G186" t="s">
        <v>94</v>
      </c>
      <c r="H186" t="s">
        <v>11</v>
      </c>
      <c r="I186" t="s">
        <v>26</v>
      </c>
      <c r="J186" t="s">
        <v>58</v>
      </c>
      <c r="K186" t="s">
        <v>9</v>
      </c>
      <c r="L186" t="s">
        <v>60</v>
      </c>
      <c r="M186">
        <v>2</v>
      </c>
    </row>
    <row r="187" spans="1:13" x14ac:dyDescent="0.25">
      <c r="A187" s="2">
        <v>46149</v>
      </c>
      <c r="B187" s="1" t="str">
        <f ca="1">IF(Información1[[#This Row],[Fecha]]='Ajuste de fechas'!$A$2,"Día actual","Día anterior")</f>
        <v>Día actual</v>
      </c>
      <c r="C187" t="s">
        <v>8</v>
      </c>
      <c r="D187" t="s">
        <v>10</v>
      </c>
      <c r="E187" t="s">
        <v>339</v>
      </c>
      <c r="F187" t="s">
        <v>6</v>
      </c>
      <c r="G187" t="s">
        <v>94</v>
      </c>
      <c r="H187" t="s">
        <v>11</v>
      </c>
      <c r="I187" t="s">
        <v>26</v>
      </c>
      <c r="J187" t="s">
        <v>58</v>
      </c>
      <c r="K187" t="s">
        <v>9</v>
      </c>
      <c r="L187" t="s">
        <v>60</v>
      </c>
      <c r="M187">
        <v>2</v>
      </c>
    </row>
    <row r="188" spans="1:13" x14ac:dyDescent="0.25">
      <c r="A188" s="2">
        <v>46149</v>
      </c>
      <c r="B188" s="1" t="str">
        <f ca="1">IF(Información1[[#This Row],[Fecha]]='Ajuste de fechas'!$A$2,"Día actual","Día anterior")</f>
        <v>Día actual</v>
      </c>
      <c r="C188" t="s">
        <v>8</v>
      </c>
      <c r="D188" t="s">
        <v>10</v>
      </c>
      <c r="E188" t="s">
        <v>340</v>
      </c>
      <c r="F188" t="s">
        <v>6</v>
      </c>
      <c r="G188" t="s">
        <v>94</v>
      </c>
      <c r="H188" t="s">
        <v>11</v>
      </c>
      <c r="I188" t="s">
        <v>26</v>
      </c>
      <c r="J188" t="s">
        <v>58</v>
      </c>
      <c r="K188" t="s">
        <v>9</v>
      </c>
      <c r="L188" t="s">
        <v>60</v>
      </c>
      <c r="M188">
        <v>2</v>
      </c>
    </row>
    <row r="189" spans="1:13" x14ac:dyDescent="0.25">
      <c r="A189" s="2">
        <v>46149</v>
      </c>
      <c r="B189" s="1" t="str">
        <f ca="1">IF(Información1[[#This Row],[Fecha]]='Ajuste de fechas'!$A$2,"Día actual","Día anterior")</f>
        <v>Día actual</v>
      </c>
      <c r="C189" t="s">
        <v>8</v>
      </c>
      <c r="D189" t="s">
        <v>10</v>
      </c>
      <c r="E189" t="s">
        <v>341</v>
      </c>
      <c r="F189" t="s">
        <v>6</v>
      </c>
      <c r="G189" t="s">
        <v>94</v>
      </c>
      <c r="H189" t="s">
        <v>11</v>
      </c>
      <c r="I189" t="s">
        <v>26</v>
      </c>
      <c r="J189" t="s">
        <v>58</v>
      </c>
      <c r="K189" t="s">
        <v>9</v>
      </c>
      <c r="L189" t="s">
        <v>60</v>
      </c>
      <c r="M189">
        <v>2</v>
      </c>
    </row>
    <row r="190" spans="1:13" x14ac:dyDescent="0.25">
      <c r="A190" s="2">
        <v>46149</v>
      </c>
      <c r="B190" s="1" t="str">
        <f ca="1">IF(Información1[[#This Row],[Fecha]]='Ajuste de fechas'!$A$2,"Día actual","Día anterior")</f>
        <v>Día actual</v>
      </c>
      <c r="C190" t="s">
        <v>8</v>
      </c>
      <c r="D190" t="s">
        <v>10</v>
      </c>
      <c r="E190" t="s">
        <v>20</v>
      </c>
      <c r="F190" t="s">
        <v>19</v>
      </c>
      <c r="G190" t="s">
        <v>49</v>
      </c>
      <c r="H190" t="s">
        <v>11</v>
      </c>
      <c r="I190" t="s">
        <v>12</v>
      </c>
      <c r="J190" t="s">
        <v>62</v>
      </c>
      <c r="K190" t="s">
        <v>14</v>
      </c>
      <c r="L190" t="s">
        <v>60</v>
      </c>
      <c r="M190">
        <v>2</v>
      </c>
    </row>
    <row r="191" spans="1:13" x14ac:dyDescent="0.25">
      <c r="A191" s="2">
        <v>46149</v>
      </c>
      <c r="B191" s="1" t="str">
        <f ca="1">IF(Información1[[#This Row],[Fecha]]='Ajuste de fechas'!$A$2,"Día actual","Día anterior")</f>
        <v>Día actual</v>
      </c>
      <c r="C191" t="s">
        <v>8</v>
      </c>
      <c r="D191" t="s">
        <v>10</v>
      </c>
      <c r="E191" t="s">
        <v>18</v>
      </c>
      <c r="F191" t="s">
        <v>19</v>
      </c>
      <c r="G191" t="s">
        <v>49</v>
      </c>
      <c r="H191" t="s">
        <v>11</v>
      </c>
      <c r="I191" t="s">
        <v>12</v>
      </c>
      <c r="J191" t="s">
        <v>62</v>
      </c>
      <c r="K191" t="s">
        <v>14</v>
      </c>
      <c r="L191" t="s">
        <v>60</v>
      </c>
      <c r="M191">
        <v>2</v>
      </c>
    </row>
    <row r="192" spans="1:13" x14ac:dyDescent="0.25">
      <c r="A192" s="2">
        <v>46149</v>
      </c>
      <c r="B192" s="1" t="str">
        <f ca="1">IF(Información1[[#This Row],[Fecha]]='Ajuste de fechas'!$A$2,"Día actual","Día anterior")</f>
        <v>Día actual</v>
      </c>
      <c r="C192" t="s">
        <v>8</v>
      </c>
      <c r="D192" t="s">
        <v>10</v>
      </c>
      <c r="E192" t="s">
        <v>13</v>
      </c>
      <c r="F192" t="s">
        <v>15</v>
      </c>
      <c r="G192" t="s">
        <v>49</v>
      </c>
      <c r="H192" t="s">
        <v>11</v>
      </c>
      <c r="I192" t="s">
        <v>12</v>
      </c>
      <c r="J192" t="s">
        <v>58</v>
      </c>
      <c r="K192" t="s">
        <v>14</v>
      </c>
      <c r="L192" t="s">
        <v>60</v>
      </c>
      <c r="M192">
        <v>2</v>
      </c>
    </row>
    <row r="193" spans="1:13" x14ac:dyDescent="0.25">
      <c r="A193" s="2">
        <v>46149</v>
      </c>
      <c r="B193" s="1" t="str">
        <f ca="1">IF(Información1[[#This Row],[Fecha]]='Ajuste de fechas'!$A$2,"Día actual","Día anterior")</f>
        <v>Día actual</v>
      </c>
      <c r="C193" t="s">
        <v>8</v>
      </c>
      <c r="D193" t="s">
        <v>10</v>
      </c>
      <c r="E193" t="s">
        <v>16</v>
      </c>
      <c r="F193" t="s">
        <v>17</v>
      </c>
      <c r="G193" t="s">
        <v>49</v>
      </c>
      <c r="H193" t="s">
        <v>11</v>
      </c>
      <c r="I193" t="s">
        <v>12</v>
      </c>
      <c r="J193" t="s">
        <v>58</v>
      </c>
      <c r="K193" t="s">
        <v>14</v>
      </c>
      <c r="L193" t="s">
        <v>60</v>
      </c>
      <c r="M193">
        <v>2</v>
      </c>
    </row>
    <row r="194" spans="1:13" x14ac:dyDescent="0.25">
      <c r="A194" s="2">
        <v>46149</v>
      </c>
      <c r="B194" s="1" t="str">
        <f ca="1">IF(Información1[[#This Row],[Fecha]]='Ajuste de fechas'!$A$2,"Día actual","Día anterior")</f>
        <v>Día actual</v>
      </c>
      <c r="C194" t="s">
        <v>8</v>
      </c>
      <c r="D194" t="s">
        <v>10</v>
      </c>
      <c r="E194" t="s">
        <v>51</v>
      </c>
      <c r="F194" t="s">
        <v>6</v>
      </c>
      <c r="G194" t="s">
        <v>49</v>
      </c>
      <c r="H194" t="s">
        <v>11</v>
      </c>
      <c r="I194" t="s">
        <v>12</v>
      </c>
      <c r="J194" t="s">
        <v>58</v>
      </c>
      <c r="K194" t="s">
        <v>14</v>
      </c>
      <c r="L194" t="s">
        <v>60</v>
      </c>
      <c r="M194">
        <v>2</v>
      </c>
    </row>
    <row r="195" spans="1:13" x14ac:dyDescent="0.25">
      <c r="A195" s="2">
        <v>46149</v>
      </c>
      <c r="B195" s="1" t="str">
        <f ca="1">IF(Información1[[#This Row],[Fecha]]='Ajuste de fechas'!$A$2,"Día actual","Día anterior")</f>
        <v>Día actual</v>
      </c>
      <c r="C195" t="s">
        <v>32</v>
      </c>
      <c r="D195" t="s">
        <v>35</v>
      </c>
      <c r="E195" t="s">
        <v>342</v>
      </c>
      <c r="F195" t="s">
        <v>17</v>
      </c>
      <c r="G195" t="s">
        <v>88</v>
      </c>
      <c r="H195" t="s">
        <v>11</v>
      </c>
      <c r="I195" t="s">
        <v>7</v>
      </c>
      <c r="J195" t="s">
        <v>58</v>
      </c>
      <c r="K195" t="s">
        <v>33</v>
      </c>
      <c r="L195" t="s">
        <v>59</v>
      </c>
      <c r="M195">
        <v>2</v>
      </c>
    </row>
    <row r="196" spans="1:13" x14ac:dyDescent="0.25">
      <c r="A196" s="2">
        <v>46149</v>
      </c>
      <c r="B196" s="1" t="str">
        <f ca="1">IF(Información1[[#This Row],[Fecha]]='Ajuste de fechas'!$A$2,"Día actual","Día anterior")</f>
        <v>Día actual</v>
      </c>
      <c r="C196" t="s">
        <v>8</v>
      </c>
      <c r="D196" t="s">
        <v>10</v>
      </c>
      <c r="E196" t="s">
        <v>330</v>
      </c>
      <c r="F196" t="s">
        <v>17</v>
      </c>
      <c r="G196" t="s">
        <v>88</v>
      </c>
      <c r="H196" t="s">
        <v>11</v>
      </c>
      <c r="I196" t="s">
        <v>7</v>
      </c>
      <c r="J196" t="s">
        <v>58</v>
      </c>
      <c r="K196" t="s">
        <v>14</v>
      </c>
      <c r="L196" t="s">
        <v>61</v>
      </c>
      <c r="M196">
        <v>2</v>
      </c>
    </row>
    <row r="197" spans="1:13" x14ac:dyDescent="0.25">
      <c r="A197" s="2">
        <v>46149</v>
      </c>
      <c r="B197" s="1" t="str">
        <f ca="1">IF(Información1[[#This Row],[Fecha]]='Ajuste de fechas'!$A$2,"Día actual","Día anterior")</f>
        <v>Día actual</v>
      </c>
      <c r="C197" t="s">
        <v>74</v>
      </c>
      <c r="D197" t="s">
        <v>212</v>
      </c>
      <c r="E197" t="s">
        <v>180</v>
      </c>
      <c r="F197" t="s">
        <v>76</v>
      </c>
      <c r="G197" t="s">
        <v>179</v>
      </c>
      <c r="H197" t="s">
        <v>11</v>
      </c>
      <c r="I197" t="s">
        <v>7</v>
      </c>
      <c r="J197" t="s">
        <v>58</v>
      </c>
      <c r="K197" t="s">
        <v>213</v>
      </c>
      <c r="L197" t="s">
        <v>61</v>
      </c>
      <c r="M197">
        <v>1</v>
      </c>
    </row>
    <row r="198" spans="1:13" x14ac:dyDescent="0.25">
      <c r="A198" s="2">
        <v>46149</v>
      </c>
      <c r="B198" s="1" t="str">
        <f ca="1">IF(Información1[[#This Row],[Fecha]]='Ajuste de fechas'!$A$2,"Día actual","Día anterior")</f>
        <v>Día actual</v>
      </c>
      <c r="C198" t="s">
        <v>32</v>
      </c>
      <c r="D198" t="s">
        <v>35</v>
      </c>
      <c r="E198" t="s">
        <v>343</v>
      </c>
      <c r="F198" t="s">
        <v>27</v>
      </c>
      <c r="G198" t="s">
        <v>92</v>
      </c>
      <c r="H198" t="s">
        <v>11</v>
      </c>
      <c r="I198" t="s">
        <v>7</v>
      </c>
      <c r="J198" t="s">
        <v>58</v>
      </c>
      <c r="K198" t="s">
        <v>33</v>
      </c>
      <c r="L198" t="s">
        <v>59</v>
      </c>
      <c r="M198">
        <v>2</v>
      </c>
    </row>
    <row r="199" spans="1:13" x14ac:dyDescent="0.25">
      <c r="A199" s="2">
        <v>46149</v>
      </c>
      <c r="B199" s="1" t="str">
        <f ca="1">IF(Información1[[#This Row],[Fecha]]='Ajuste de fechas'!$A$2,"Día actual","Día anterior")</f>
        <v>Día actual</v>
      </c>
      <c r="C199" t="s">
        <v>74</v>
      </c>
      <c r="D199" t="s">
        <v>86</v>
      </c>
      <c r="E199" t="s">
        <v>334</v>
      </c>
      <c r="F199" t="s">
        <v>27</v>
      </c>
      <c r="G199" t="s">
        <v>254</v>
      </c>
      <c r="H199" t="s">
        <v>11</v>
      </c>
      <c r="I199" t="s">
        <v>7</v>
      </c>
      <c r="J199" t="s">
        <v>58</v>
      </c>
      <c r="K199" t="s">
        <v>87</v>
      </c>
      <c r="L199" t="s">
        <v>61</v>
      </c>
      <c r="M199">
        <v>2</v>
      </c>
    </row>
    <row r="200" spans="1:13" x14ac:dyDescent="0.25">
      <c r="A200" s="2">
        <v>46149</v>
      </c>
      <c r="B200" s="1" t="str">
        <f ca="1">IF(Información1[[#This Row],[Fecha]]='Ajuste de fechas'!$A$2,"Día actual","Día anterior")</f>
        <v>Día actual</v>
      </c>
      <c r="C200" t="s">
        <v>32</v>
      </c>
      <c r="D200" t="s">
        <v>35</v>
      </c>
      <c r="E200" t="s">
        <v>344</v>
      </c>
      <c r="F200" t="s">
        <v>27</v>
      </c>
      <c r="G200" t="s">
        <v>254</v>
      </c>
      <c r="H200" t="s">
        <v>11</v>
      </c>
      <c r="I200" t="s">
        <v>7</v>
      </c>
      <c r="J200" t="s">
        <v>58</v>
      </c>
      <c r="K200" t="s">
        <v>33</v>
      </c>
      <c r="L200" t="s">
        <v>59</v>
      </c>
      <c r="M200">
        <v>2</v>
      </c>
    </row>
    <row r="201" spans="1:13" x14ac:dyDescent="0.25">
      <c r="A201" s="2">
        <v>46149</v>
      </c>
      <c r="B201" s="1" t="str">
        <f ca="1">IF(Información1[[#This Row],[Fecha]]='Ajuste de fechas'!$A$2,"Día actual","Día anterior")</f>
        <v>Día actual</v>
      </c>
      <c r="C201" t="s">
        <v>8</v>
      </c>
      <c r="D201" t="s">
        <v>10</v>
      </c>
      <c r="E201" t="s">
        <v>253</v>
      </c>
      <c r="F201" t="s">
        <v>27</v>
      </c>
      <c r="G201" t="s">
        <v>254</v>
      </c>
      <c r="H201" t="s">
        <v>11</v>
      </c>
      <c r="I201" t="s">
        <v>7</v>
      </c>
      <c r="J201" t="s">
        <v>58</v>
      </c>
      <c r="K201" t="s">
        <v>14</v>
      </c>
      <c r="L201" t="s">
        <v>61</v>
      </c>
      <c r="M201">
        <v>2</v>
      </c>
    </row>
    <row r="202" spans="1:13" x14ac:dyDescent="0.25">
      <c r="A202" s="2">
        <v>46149</v>
      </c>
      <c r="B202" s="1" t="str">
        <f ca="1">IF(Información1[[#This Row],[Fecha]]='Ajuste de fechas'!$A$2,"Día actual","Día anterior")</f>
        <v>Día actual</v>
      </c>
      <c r="C202" t="s">
        <v>8</v>
      </c>
      <c r="D202" t="s">
        <v>10</v>
      </c>
      <c r="E202" t="s">
        <v>345</v>
      </c>
      <c r="F202" t="s">
        <v>6</v>
      </c>
      <c r="G202" t="s">
        <v>215</v>
      </c>
      <c r="H202" t="s">
        <v>11</v>
      </c>
      <c r="I202" t="s">
        <v>26</v>
      </c>
      <c r="J202" t="s">
        <v>58</v>
      </c>
      <c r="K202" t="s">
        <v>9</v>
      </c>
      <c r="L202" t="s">
        <v>60</v>
      </c>
      <c r="M202">
        <v>2</v>
      </c>
    </row>
    <row r="203" spans="1:13" x14ac:dyDescent="0.25">
      <c r="A203" s="2">
        <v>46149</v>
      </c>
      <c r="B203" s="1" t="str">
        <f ca="1">IF(Información1[[#This Row],[Fecha]]='Ajuste de fechas'!$A$2,"Día actual","Día anterior")</f>
        <v>Día actual</v>
      </c>
      <c r="C203" t="s">
        <v>74</v>
      </c>
      <c r="D203" t="s">
        <v>212</v>
      </c>
      <c r="E203" t="s">
        <v>147</v>
      </c>
      <c r="F203" t="s">
        <v>21</v>
      </c>
      <c r="G203" t="s">
        <v>148</v>
      </c>
      <c r="H203" t="s">
        <v>11</v>
      </c>
      <c r="I203" t="s">
        <v>7</v>
      </c>
      <c r="J203" t="s">
        <v>58</v>
      </c>
      <c r="K203" t="s">
        <v>213</v>
      </c>
      <c r="L203" t="s">
        <v>61</v>
      </c>
      <c r="M203">
        <v>1</v>
      </c>
    </row>
    <row r="204" spans="1:13" x14ac:dyDescent="0.25">
      <c r="A204" s="2">
        <v>46149</v>
      </c>
      <c r="B204" s="1" t="str">
        <f ca="1">IF(Información1[[#This Row],[Fecha]]='Ajuste de fechas'!$A$2,"Día actual","Día anterior")</f>
        <v>Día actual</v>
      </c>
      <c r="C204" t="s">
        <v>74</v>
      </c>
      <c r="D204" t="s">
        <v>212</v>
      </c>
      <c r="E204" t="s">
        <v>346</v>
      </c>
      <c r="F204" t="s">
        <v>71</v>
      </c>
      <c r="G204" t="s">
        <v>347</v>
      </c>
      <c r="H204" t="s">
        <v>11</v>
      </c>
      <c r="I204" t="s">
        <v>7</v>
      </c>
      <c r="J204" t="s">
        <v>58</v>
      </c>
      <c r="K204" t="s">
        <v>213</v>
      </c>
      <c r="L204" t="s">
        <v>61</v>
      </c>
      <c r="M204">
        <v>1</v>
      </c>
    </row>
    <row r="205" spans="1:13" x14ac:dyDescent="0.25">
      <c r="A205" s="2">
        <v>46149</v>
      </c>
      <c r="B205" s="1" t="str">
        <f ca="1">IF(Información1[[#This Row],[Fecha]]='Ajuste de fechas'!$A$2,"Día actual","Día anterior")</f>
        <v>Día actual</v>
      </c>
      <c r="C205" t="s">
        <v>8</v>
      </c>
      <c r="D205" t="s">
        <v>10</v>
      </c>
      <c r="E205" t="s">
        <v>348</v>
      </c>
      <c r="F205" t="s">
        <v>19</v>
      </c>
      <c r="G205" t="s">
        <v>241</v>
      </c>
      <c r="H205" t="s">
        <v>11</v>
      </c>
      <c r="I205" t="s">
        <v>7</v>
      </c>
      <c r="J205" t="s">
        <v>62</v>
      </c>
      <c r="K205" t="s">
        <v>14</v>
      </c>
      <c r="L205" t="s">
        <v>59</v>
      </c>
      <c r="M205">
        <v>2</v>
      </c>
    </row>
    <row r="206" spans="1:13" x14ac:dyDescent="0.25">
      <c r="A206" s="2">
        <v>46149</v>
      </c>
      <c r="B206" s="1" t="str">
        <f ca="1">IF(Información1[[#This Row],[Fecha]]='Ajuste de fechas'!$A$2,"Día actual","Día anterior")</f>
        <v>Día actual</v>
      </c>
      <c r="C206" t="s">
        <v>104</v>
      </c>
      <c r="D206" t="s">
        <v>105</v>
      </c>
      <c r="E206" t="s">
        <v>349</v>
      </c>
      <c r="F206" t="s">
        <v>85</v>
      </c>
      <c r="G206" t="s">
        <v>84</v>
      </c>
      <c r="H206" t="s">
        <v>11</v>
      </c>
      <c r="I206" t="s">
        <v>12</v>
      </c>
      <c r="J206" t="s">
        <v>58</v>
      </c>
      <c r="K206" t="s">
        <v>350</v>
      </c>
      <c r="L206" t="s">
        <v>90</v>
      </c>
      <c r="M206">
        <v>2</v>
      </c>
    </row>
    <row r="207" spans="1:13" x14ac:dyDescent="0.25">
      <c r="A207" s="2">
        <v>46149</v>
      </c>
      <c r="B207" s="1" t="str">
        <f ca="1">IF(Información1[[#This Row],[Fecha]]='Ajuste de fechas'!$A$2,"Día actual","Día anterior")</f>
        <v>Día actual</v>
      </c>
      <c r="C207" t="s">
        <v>8</v>
      </c>
      <c r="D207" t="s">
        <v>10</v>
      </c>
      <c r="E207" t="s">
        <v>351</v>
      </c>
      <c r="F207" t="s">
        <v>97</v>
      </c>
      <c r="G207" t="s">
        <v>84</v>
      </c>
      <c r="H207" t="s">
        <v>11</v>
      </c>
      <c r="I207" t="s">
        <v>7</v>
      </c>
      <c r="J207" t="s">
        <v>58</v>
      </c>
      <c r="K207" t="s">
        <v>14</v>
      </c>
      <c r="L207" t="s">
        <v>61</v>
      </c>
      <c r="M207">
        <v>2</v>
      </c>
    </row>
    <row r="208" spans="1:13" x14ac:dyDescent="0.25">
      <c r="A208" s="2">
        <v>46149</v>
      </c>
      <c r="B208" s="1" t="str">
        <f ca="1">IF(Información1[[#This Row],[Fecha]]='Ajuste de fechas'!$A$2,"Día actual","Día anterior")</f>
        <v>Día actual</v>
      </c>
      <c r="C208" t="s">
        <v>74</v>
      </c>
      <c r="D208" t="s">
        <v>86</v>
      </c>
      <c r="E208" t="s">
        <v>333</v>
      </c>
      <c r="F208" t="s">
        <v>45</v>
      </c>
      <c r="G208" t="s">
        <v>314</v>
      </c>
      <c r="H208" t="s">
        <v>11</v>
      </c>
      <c r="I208" t="s">
        <v>7</v>
      </c>
      <c r="J208" t="s">
        <v>58</v>
      </c>
      <c r="K208" t="s">
        <v>87</v>
      </c>
      <c r="L208" t="s">
        <v>61</v>
      </c>
      <c r="M208">
        <v>2</v>
      </c>
    </row>
    <row r="209" spans="1:13" x14ac:dyDescent="0.25">
      <c r="A209" s="2">
        <v>46149</v>
      </c>
      <c r="B209" s="1" t="str">
        <f ca="1">IF(Información1[[#This Row],[Fecha]]='Ajuste de fechas'!$A$2,"Día actual","Día anterior")</f>
        <v>Día actual</v>
      </c>
      <c r="C209" t="s">
        <v>8</v>
      </c>
      <c r="D209" t="s">
        <v>10</v>
      </c>
      <c r="E209" t="s">
        <v>352</v>
      </c>
      <c r="F209" t="s">
        <v>15</v>
      </c>
      <c r="G209" t="s">
        <v>266</v>
      </c>
      <c r="H209" t="s">
        <v>11</v>
      </c>
      <c r="I209" t="s">
        <v>7</v>
      </c>
      <c r="J209" t="s">
        <v>58</v>
      </c>
      <c r="K209" t="s">
        <v>14</v>
      </c>
      <c r="L209" t="s">
        <v>61</v>
      </c>
      <c r="M209">
        <v>2</v>
      </c>
    </row>
    <row r="210" spans="1:13" x14ac:dyDescent="0.25">
      <c r="A210" s="2">
        <v>46149</v>
      </c>
      <c r="B210" s="1" t="str">
        <f ca="1">IF(Información1[[#This Row],[Fecha]]='Ajuste de fechas'!$A$2,"Día actual","Día anterior")</f>
        <v>Día actual</v>
      </c>
      <c r="C210" t="s">
        <v>32</v>
      </c>
      <c r="D210" t="s">
        <v>35</v>
      </c>
      <c r="E210" t="s">
        <v>353</v>
      </c>
      <c r="F210" t="s">
        <v>27</v>
      </c>
      <c r="G210" t="s">
        <v>354</v>
      </c>
      <c r="H210" t="s">
        <v>11</v>
      </c>
      <c r="I210" t="s">
        <v>7</v>
      </c>
      <c r="J210" t="s">
        <v>58</v>
      </c>
      <c r="K210" t="s">
        <v>33</v>
      </c>
      <c r="L210" t="s">
        <v>59</v>
      </c>
      <c r="M210">
        <v>2</v>
      </c>
    </row>
    <row r="211" spans="1:13" x14ac:dyDescent="0.25">
      <c r="A211" s="2">
        <v>46149</v>
      </c>
      <c r="B211" s="1" t="str">
        <f ca="1">IF(Información1[[#This Row],[Fecha]]='Ajuste de fechas'!$A$2,"Día actual","Día anterior")</f>
        <v>Día actual</v>
      </c>
      <c r="C211" t="s">
        <v>8</v>
      </c>
      <c r="D211" t="s">
        <v>10</v>
      </c>
      <c r="E211" t="s">
        <v>355</v>
      </c>
      <c r="F211" t="s">
        <v>17</v>
      </c>
      <c r="G211" t="s">
        <v>107</v>
      </c>
      <c r="H211" t="s">
        <v>11</v>
      </c>
      <c r="I211" t="s">
        <v>26</v>
      </c>
      <c r="J211" t="s">
        <v>58</v>
      </c>
      <c r="K211" t="s">
        <v>9</v>
      </c>
      <c r="L211" t="s">
        <v>60</v>
      </c>
      <c r="M211">
        <v>2</v>
      </c>
    </row>
    <row r="212" spans="1:13" x14ac:dyDescent="0.25">
      <c r="A212" s="2">
        <v>46149</v>
      </c>
      <c r="B212" s="1" t="str">
        <f ca="1">IF(Información1[[#This Row],[Fecha]]='Ajuste de fechas'!$A$2,"Día actual","Día anterior")</f>
        <v>Día actual</v>
      </c>
      <c r="C212" t="s">
        <v>8</v>
      </c>
      <c r="D212" t="s">
        <v>10</v>
      </c>
      <c r="E212" t="s">
        <v>356</v>
      </c>
      <c r="F212" t="s">
        <v>19</v>
      </c>
      <c r="G212" t="s">
        <v>357</v>
      </c>
      <c r="H212" t="s">
        <v>11</v>
      </c>
      <c r="I212" t="s">
        <v>7</v>
      </c>
      <c r="J212" t="s">
        <v>62</v>
      </c>
      <c r="K212" t="s">
        <v>14</v>
      </c>
      <c r="L212" t="s">
        <v>64</v>
      </c>
      <c r="M212">
        <v>2</v>
      </c>
    </row>
    <row r="213" spans="1:13" x14ac:dyDescent="0.25">
      <c r="A213" s="2">
        <v>46149</v>
      </c>
      <c r="B213" s="1" t="str">
        <f ca="1">IF(Información1[[#This Row],[Fecha]]='Ajuste de fechas'!$A$2,"Día actual","Día anterior")</f>
        <v>Día actual</v>
      </c>
      <c r="C213" t="s">
        <v>32</v>
      </c>
      <c r="D213" t="s">
        <v>35</v>
      </c>
      <c r="E213" t="s">
        <v>358</v>
      </c>
      <c r="F213" t="s">
        <v>22</v>
      </c>
      <c r="G213" t="s">
        <v>359</v>
      </c>
      <c r="H213" t="s">
        <v>11</v>
      </c>
      <c r="I213" t="s">
        <v>7</v>
      </c>
      <c r="J213" t="s">
        <v>63</v>
      </c>
      <c r="K213" t="s">
        <v>33</v>
      </c>
      <c r="L213" t="s">
        <v>64</v>
      </c>
      <c r="M213">
        <v>2</v>
      </c>
    </row>
    <row r="214" spans="1:13" x14ac:dyDescent="0.25">
      <c r="A214" s="2">
        <v>46149</v>
      </c>
      <c r="B214" s="1" t="str">
        <f ca="1">IF(Información1[[#This Row],[Fecha]]='Ajuste de fechas'!$A$2,"Día actual","Día anterior")</f>
        <v>Día actual</v>
      </c>
      <c r="C214" t="s">
        <v>8</v>
      </c>
      <c r="D214" t="s">
        <v>10</v>
      </c>
      <c r="E214" t="s">
        <v>360</v>
      </c>
      <c r="F214" t="s">
        <v>19</v>
      </c>
      <c r="G214" t="s">
        <v>361</v>
      </c>
      <c r="H214" t="s">
        <v>11</v>
      </c>
      <c r="I214" t="s">
        <v>7</v>
      </c>
      <c r="J214" t="s">
        <v>62</v>
      </c>
      <c r="K214" t="s">
        <v>9</v>
      </c>
      <c r="L214" t="s">
        <v>60</v>
      </c>
      <c r="M214">
        <v>2</v>
      </c>
    </row>
    <row r="215" spans="1:13" x14ac:dyDescent="0.25">
      <c r="A215" s="2">
        <v>46149</v>
      </c>
      <c r="B215" s="1" t="str">
        <f ca="1">IF(Información1[[#This Row],[Fecha]]='Ajuste de fechas'!$A$2,"Día actual","Día anterior")</f>
        <v>Día actual</v>
      </c>
      <c r="C215" t="s">
        <v>8</v>
      </c>
      <c r="D215" t="s">
        <v>10</v>
      </c>
      <c r="E215" t="s">
        <v>362</v>
      </c>
      <c r="F215" t="s">
        <v>6</v>
      </c>
      <c r="G215" t="s">
        <v>363</v>
      </c>
      <c r="H215" t="s">
        <v>11</v>
      </c>
      <c r="I215" t="s">
        <v>26</v>
      </c>
      <c r="J215" t="s">
        <v>58</v>
      </c>
      <c r="K215" t="s">
        <v>14</v>
      </c>
      <c r="L215" t="s">
        <v>60</v>
      </c>
      <c r="M215">
        <v>2</v>
      </c>
    </row>
    <row r="216" spans="1:13" x14ac:dyDescent="0.25">
      <c r="A216" s="2">
        <v>46148</v>
      </c>
      <c r="B216" s="1" t="str">
        <f ca="1">IF(Información1[[#This Row],[Fecha]]='Ajuste de fechas'!$A$2,"Día actual","Día anterior")</f>
        <v>Día anterior</v>
      </c>
      <c r="C216" t="s">
        <v>74</v>
      </c>
      <c r="D216" t="s">
        <v>212</v>
      </c>
      <c r="E216" t="s">
        <v>180</v>
      </c>
      <c r="F216" t="s">
        <v>76</v>
      </c>
      <c r="G216" t="s">
        <v>179</v>
      </c>
      <c r="H216" t="s">
        <v>11</v>
      </c>
      <c r="I216" t="s">
        <v>7</v>
      </c>
      <c r="J216" t="s">
        <v>58</v>
      </c>
      <c r="K216" t="s">
        <v>213</v>
      </c>
      <c r="L216" t="s">
        <v>61</v>
      </c>
      <c r="M216">
        <v>1</v>
      </c>
    </row>
    <row r="217" spans="1:13" x14ac:dyDescent="0.25">
      <c r="A217" s="2">
        <v>46148</v>
      </c>
      <c r="B217" s="1" t="str">
        <f ca="1">IF(Información1[[#This Row],[Fecha]]='Ajuste de fechas'!$A$2,"Día actual","Día anterior")</f>
        <v>Día anterior</v>
      </c>
      <c r="C217" t="s">
        <v>74</v>
      </c>
      <c r="D217" t="s">
        <v>212</v>
      </c>
      <c r="E217" t="s">
        <v>147</v>
      </c>
      <c r="F217" t="s">
        <v>21</v>
      </c>
      <c r="G217" t="s">
        <v>148</v>
      </c>
      <c r="H217" t="s">
        <v>11</v>
      </c>
      <c r="I217" t="s">
        <v>7</v>
      </c>
      <c r="J217" t="s">
        <v>58</v>
      </c>
      <c r="K217" t="s">
        <v>213</v>
      </c>
      <c r="L217" t="s">
        <v>61</v>
      </c>
      <c r="M217">
        <v>1</v>
      </c>
    </row>
    <row r="218" spans="1:13" x14ac:dyDescent="0.25">
      <c r="A218" s="2">
        <v>46148</v>
      </c>
      <c r="B218" s="1" t="str">
        <f ca="1">IF(Información1[[#This Row],[Fecha]]='Ajuste de fechas'!$A$2,"Día actual","Día anterior")</f>
        <v>Día anterior</v>
      </c>
      <c r="C218" t="s">
        <v>74</v>
      </c>
      <c r="D218" t="s">
        <v>212</v>
      </c>
      <c r="E218" t="s">
        <v>346</v>
      </c>
      <c r="F218" t="s">
        <v>71</v>
      </c>
      <c r="G218" t="s">
        <v>347</v>
      </c>
      <c r="H218" t="s">
        <v>11</v>
      </c>
      <c r="I218" t="s">
        <v>7</v>
      </c>
      <c r="J218" t="s">
        <v>58</v>
      </c>
      <c r="K218" t="s">
        <v>213</v>
      </c>
      <c r="L218" t="s">
        <v>61</v>
      </c>
      <c r="M21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66</v>
      </c>
      <c r="B1" t="s">
        <v>67</v>
      </c>
    </row>
    <row r="2" spans="1:2" x14ac:dyDescent="0.25">
      <c r="A2" s="2">
        <f ca="1">TODAY()</f>
        <v>46149</v>
      </c>
      <c r="B2" s="2">
        <f ca="1">A2-1</f>
        <v>46148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2026-05-08T01:23:33Z</dcterms:modified>
</cp:coreProperties>
</file>