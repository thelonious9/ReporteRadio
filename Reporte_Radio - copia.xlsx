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C836D3C2-1E4D-444E-9E94-DC5F276C8BA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83" i="2"/>
  <c r="B85" i="2"/>
  <c r="B87" i="2"/>
  <c r="B89" i="2"/>
  <c r="B91" i="2"/>
  <c r="B93" i="2"/>
  <c r="B95" i="2"/>
  <c r="B97" i="2"/>
  <c r="B99" i="2"/>
  <c r="B101" i="2"/>
  <c r="B102" i="2"/>
  <c r="B104" i="2"/>
  <c r="B106" i="2"/>
  <c r="B108" i="2"/>
  <c r="B110" i="2"/>
  <c r="B112" i="2"/>
  <c r="B114" i="2"/>
  <c r="B116" i="2"/>
  <c r="B118" i="2"/>
  <c r="B119" i="2"/>
  <c r="B120" i="2"/>
  <c r="B121" i="2"/>
  <c r="B123" i="2"/>
  <c r="B124" i="2"/>
  <c r="B125" i="2"/>
  <c r="B127" i="2"/>
  <c r="B129" i="2"/>
  <c r="B131" i="2"/>
  <c r="B133" i="2"/>
  <c r="B135" i="2"/>
  <c r="B137" i="2"/>
  <c r="B139" i="2"/>
  <c r="B141" i="2"/>
  <c r="B144" i="2"/>
  <c r="B146" i="2"/>
  <c r="B149" i="2"/>
  <c r="B151" i="2"/>
  <c r="B154" i="2"/>
  <c r="B155" i="2"/>
  <c r="B157" i="2"/>
  <c r="B159"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4" i="2"/>
  <c r="B86" i="2"/>
  <c r="B88" i="2"/>
  <c r="B90" i="2"/>
  <c r="B92" i="2"/>
  <c r="B94" i="2"/>
  <c r="B96" i="2"/>
  <c r="B98" i="2"/>
  <c r="B100" i="2"/>
  <c r="B103" i="2"/>
  <c r="B105" i="2"/>
  <c r="B107" i="2"/>
  <c r="B109" i="2"/>
  <c r="B111" i="2"/>
  <c r="B113" i="2"/>
  <c r="B115" i="2"/>
  <c r="B117" i="2"/>
  <c r="B122" i="2"/>
  <c r="B126" i="2"/>
  <c r="B128" i="2"/>
  <c r="B130" i="2"/>
  <c r="B132" i="2"/>
  <c r="B134" i="2"/>
  <c r="B136" i="2"/>
  <c r="B138" i="2"/>
  <c r="B140" i="2"/>
  <c r="B142" i="2"/>
  <c r="B143" i="2"/>
  <c r="B145" i="2"/>
  <c r="B147" i="2"/>
  <c r="B148" i="2"/>
  <c r="B150" i="2"/>
  <c r="B152" i="2"/>
  <c r="B153" i="2"/>
  <c r="B156" i="2"/>
  <c r="B15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<sst xmlns="http://schemas.openxmlformats.org/spreadsheetml/2006/main" count="1595" uniqueCount="315">
  <si>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</si>
  <si>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</si>
  <si>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</si>
  <si>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</si>
  <si>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</si>
  <si>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</si>
  <si>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</si>
  <si>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</si>
  <si>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</si>
  <si>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</si>
  <si>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</si>
  <si>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</si>
  <si>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</si>
  <si>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</si>
  <si>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</si>
  <si>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</si>
  <si>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</si>
  <si>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</si>
  <si>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</si>
  <si>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</si>
  <si>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</si>
  <si>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</si>
  <si>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</si>
  <si>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</si>
  <si>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</si>
  <si>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</si>
  <si>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</si>
  <si>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</si>
  <si>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</si>
  <si>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</si>
  <si>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</si>
  <si>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</si>
  <si>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</si>
  <si>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</si>
  <si>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</si>
  <si>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</si>
  <si>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</si>
  <si>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</si>
  <si>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</si>
  <si>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</si>
  <si>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</si>
  <si>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</si>
  <si>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</si>
  <si>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</si>
  <si>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</si>
  <si>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</si>
  <si>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</si>
  <si>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</si>
  <si>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</si>
  <si>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</si>
  <si>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</si>
  <si>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</si>
  <si>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</si>
  <si>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</si>
  <si>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</si>
  <si>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</si>
  <si>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</si>
  <si>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</si>
  <si>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</si>
  <si>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</si>
  <si>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</si>
  <si>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</si>
  <si>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</si>
  <si>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</si>
  <si>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</si>
  <si>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</si>
  <si>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</si>
  <si>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</si>
  <si>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</si>
  <si>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</si>
  <si>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</si>
  <si>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</si>
  <si>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</si>
  <si>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</si>
  <si>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</si>
  <si>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</si>
  <si>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Rutas de la Reconstrucción</t>
  </si>
  <si>
    <t>OCSAD</t>
  </si>
  <si>
    <t>Feria Del Libro</t>
  </si>
  <si>
    <t>Turismo</t>
  </si>
  <si>
    <t>Saderh</t>
  </si>
  <si>
    <t>Sedeco</t>
  </si>
  <si>
    <t>Enlace Noticias</t>
  </si>
  <si>
    <t>Combate a la delincuencia</t>
  </si>
  <si>
    <t>Eulalio Larrieta agradece a Carlos Gamiño por estar al pendiente de temas.</t>
  </si>
  <si>
    <t>Combate Al Huachicol</t>
  </si>
  <si>
    <t>ZMVM</t>
  </si>
  <si>
    <t>Despacho</t>
  </si>
  <si>
    <t>Reubicación de viviendas</t>
  </si>
  <si>
    <t>SSH</t>
  </si>
  <si>
    <t>Entrevista pautada</t>
  </si>
  <si>
    <t>Cultura</t>
  </si>
  <si>
    <t>Día de los pueblos indígenas</t>
  </si>
  <si>
    <t>Arte sacro</t>
  </si>
  <si>
    <t>STPSH</t>
  </si>
  <si>
    <t>Radiodifusoras</t>
  </si>
  <si>
    <t>Bacheo</t>
  </si>
  <si>
    <t>DIFH</t>
  </si>
  <si>
    <t>Rehabilitación Vial</t>
  </si>
  <si>
    <t>Iniciativa</t>
  </si>
  <si>
    <t>Combate Al Narcomenudeo</t>
  </si>
  <si>
    <t>Queja transporte público</t>
  </si>
  <si>
    <t>Infraestructura escolar</t>
  </si>
  <si>
    <t>Plan Nacional De Vivienda</t>
  </si>
  <si>
    <t>Olimpiada de informática</t>
  </si>
  <si>
    <t>Covid 19</t>
  </si>
  <si>
    <t>Hacienda</t>
  </si>
  <si>
    <t>Huachicol</t>
  </si>
  <si>
    <t>Limpieza Urbana</t>
  </si>
  <si>
    <t>Órgano Interno de Control</t>
  </si>
  <si>
    <t>Reforestación</t>
  </si>
  <si>
    <t>Coordinación Interinstitucional</t>
  </si>
  <si>
    <t>Justa Deportiva</t>
  </si>
  <si>
    <t>Vigilancia Epidemiológica</t>
  </si>
  <si>
    <t>Robo de vehículo</t>
  </si>
  <si>
    <t>Adolescentes celebran sus 15 años con el respaldo de la Familia DIF Hidalgo</t>
  </si>
  <si>
    <t>Casa de adolescentes</t>
  </si>
  <si>
    <t>Bienestar</t>
  </si>
  <si>
    <t>Concurso artesanal</t>
  </si>
  <si>
    <t>Agencia de Investigación Criminal detiene a dos hombres en posesión de narcóticos y un arma de fuego</t>
  </si>
  <si>
    <t>SSPH asegura a tres presuntos generadores de violencia en Villa de Tezontepec</t>
  </si>
  <si>
    <t>Gobierno de Hidalgo regresa a Acaxochitlán con seguimiento a planteamientos ciudadanos.</t>
  </si>
  <si>
    <t>Mesas de acercamiento</t>
  </si>
  <si>
    <t>Una camioneta fue robada con violencia durante los primeros minutos de este viernes en la comunidad Mangas, en el municipio Tezontepec de Aldama, Hidalgo, luego de que hombres armados interceptaran a su conductor. De acuerdo con la información disponible, el asalto quedó registrado por cámaras de videovigilancia instaladas en la zona.En las imágenes se observa a dos sujetos que viajaban a bordo de una motocicleta, con el rostro cubierto, quienes amenazaron con un arma de fuego al conductor para obligarlo a descender de la unidad.</t>
  </si>
  <si>
    <t>Tras la balacera registrada la tarde de este jueves en la colonia Santa Matilde, al sur de Pachuca, habría derivado de un posible intento de robo, de acuerdo con la información preliminar dada a conocer por el presidente municipal, Jorge Alberto Reyes Hernández.</t>
  </si>
  <si>
    <t>Ataque Armado</t>
  </si>
  <si>
    <t>Tras haber sido robada hace 19 años, la imagen de Santa Rosa de Lima —pieza escultórica de profundo valor histórico y cultural datada en el siglo XVII— fue restituida formalmente a la parroquia de Santa Mónica, en el municipio de Epazoyucan. El acto protocolario fue encabezado por el secretario técnico del INAH, José Luis Perea González, con la presencia de autoridades eclesiásticas y habitantes de la comunidad, quienes celebraron la recuperación del patrimonio espiritual del municipio</t>
  </si>
  <si>
    <t>Un comité de científicos y especialistas recomendó al gobierno de México prohibir actividades de extracción de gas natural de yacimientos no convencionales, conocidas como fracking, en la región de la cuenca Tampico-Misantla, la cual incluye parte de la Huasteca y la Sierra Otomí Tepehua de Hidalgo.Criterios de protección social, biodiversidad y densidad demográfica, fueron los motivos que los especialistas argumentaron durante la conferencia de prensa en Palacio Nacional para prohibir actividades de aprovechamiento de yacimientos no convencionales de gas natural en esta región del país, Según el mapa elaborado por los investigadores, en la sierra Otomí-Tepehua se prohibirá el fracking en la región de Huehuetla y parte de San Bartolo Tutotepec. La Huasteca no se permitirá esta actividad en Xochitlipan, parte de Yahualica, Atlapexco, Huazalingo y Huejutla, así como Huautla, San Felipe Orizatlán y Jaltocán. AUDIO APOYO</t>
  </si>
  <si>
    <t>Fracking</t>
  </si>
  <si>
    <t>Ayer en Tula se llevó a cabo la presentación del estudio hidrogeológico de las aguas subterráneas de la región Tula, elaborado por el doctor Salvador Rangel González, explicó que la ingeniería que utiliza un relleno sanitario no permite que exista penetración en el subsuelo de algún producto contaminante a las fuentes de agua que pasan de manera subterránea, AUDIO APOYO</t>
  </si>
  <si>
    <t>Relleno Sanitario</t>
  </si>
  <si>
    <t>La deportaciones en Hidalgo, no aumentan ahora están separando familias en Estados Unidos, de enero-mayo del 2026, llevamos 2386 repatriaciones registradas en la frontera por el Instituto Nacional de Migración. De esas 2386, 2225 son varones y solo 159 son mujeres, bajado el número de deportados respecto de años anteriores y sobre todo en la administración Biden y mucho menos en la de Obama. Pero sí es una realidad que el tema de las deportaciones de migrantes sufrió una transformación a raíz de la llegada de Trump a la presidencia, informo Manuel Enrique Aranda, Director General de Atención al Migrante en Hidalgo, AUDIO APOYO</t>
  </si>
  <si>
    <t>Deportaciones</t>
  </si>
  <si>
    <t>Casa de Adolescente</t>
  </si>
  <si>
    <t>En cabina, Viridiana Cornejo, diputada federal del distrito de Tula, y Maxel Uziel Quijano, ganador de la medalla de plata de la Olimpiada Hidalguense de Informática 2026, con el joven talentoso originario de Tezontepec de Aldama. La diputada informó sobre el apoyo que da a los jóvenes para participar en distintas actividades y sobre el proceso que realizó el joven para llegar a participar en la Olimpiada de Informática.</t>
  </si>
  <si>
    <t>Regidores del municipio de Apan denunciaron posibles irregularidades en los procesos licitatorios para la adquisición de mezcla asfáltica bajo la administración de la alcaldesa Zoraida Robles. De acuerdo con los ediles, la propuesta presentada al ayuntamiento pretende adquirir la tonelada de insumo en 2,966 pesos, cuando el precio de mercado cotiza en 1,350 pesos, lo que representa un sobreprecio superior al 100 % sin incluir el costo de aplicación.</t>
  </si>
  <si>
    <t>Irregularidades alcalde</t>
  </si>
  <si>
    <t>Familias de barbacoyeros de la comunidad de Dajiedhi en el municipio de Actopan, organizarán el próximo lunes 10 de agosto la cocción comunitaria de 100 borregos en un solo horno tradicional para festejar su fiesta patronal. El evento culinario, considerado uno de los más grandes del país en su tipo, ofrecerá degustación gratuita de consomé y tacos para los asistentes a la festividad.</t>
  </si>
  <si>
    <t>Festival Gastronómico</t>
  </si>
  <si>
    <t>Acompañadas por autoridades del gabinete estatal e integrantes de la sociedad civil que fungieron como padrinos, 12 jóvenes bajo resguardo en la Casa de la Adolescente y de Transición celebraron su fiesta de 15 años. La presidenta del Patronato del Sistema DIF Hidalgo, Edda Vite Ramos, reconoció el esfuerzo de las festejadas y ratificó el compromiso de la institución para dar seguimiento integral a su desarrollo personal, técnico y académico.</t>
  </si>
  <si>
    <t>El Consejo de Ciencia, Tecnología e Innovación de Hidalgo (CITNOVA) publicó el dictamen de la convocatoria de Becas de Posgrado de Excelencia para el Extranjero. De un total de 58 postulantes, 23 profesionales hidalguenses resultaron seleccionados para recibir un apoyo económico único de 360 mil pesos por persona, con una bolsa total asignada de 8.2 millones de pesos para estudios de maestría</t>
  </si>
  <si>
    <t>Becas De Posgrado</t>
  </si>
  <si>
    <t>El Gobierno del Estado entregó galardones e incentivos económicos a creadores locales en el Concurso Regional de Bordados y Textiles Otomí-Tepehua, reconociendo a 15 artesanos de Tenango de Doria y Acaxochitlán. El máximo galardón fue otorgado a Alejandro Rojas Guzmán por la elaboración de un mantel bordado en punto de cruz, al tiempo que se entregaron reconocimientos en Tlanchinol a representantes de la Huasteca hidalguense.</t>
  </si>
  <si>
    <t>La directora del Centro de Conciliación Laboral del Estado de Hidalgo, Mariela Valero Mota, dio a conocer que en lo que va del año 2026 se han concertado 3,169 convenios de solución entre empleadores y trabajadores, logrando una recuperación superior a los 121 millones de pesos. Asimismo, destacó que la entidad mantiene el primer lugar nacional en velocidad de resolución con un promedio de 21 días por expediente.</t>
  </si>
  <si>
    <t>Conciliación Laboral</t>
  </si>
  <si>
    <t>El Sistema Nacional de Vigilancia Epidemiológica informó que Hidalgo acumuló 40,735 casos de enfermedades diarreicas agudas en lo que va del año, tras sumar 1,503 nuevos diagnósticos en la última semana evaluada. La Secretaría de Salud de la entidad detalló que se mantiene un monitoreo especial por las altas temperaturas en los municipios de Pachuca, Tulancingo, Ixmiquilpan, Actopan y Tula. AUDIO DE APOYO</t>
  </si>
  <si>
    <t>De acuerdo con el informe oficial de Petróleos Mexicanos correspondiente al primer cuatrimestre del año, Hidalgo se colocó nuevamente a la cabeza nacional en la incidencia de perforaciones ilegales a ductos con 986 tomas clandestinas detectadas. A nivel país se contabilizaron 3,836 perforaciones, donde la entidad hidalguense y Jalisco concentraron de manera conjunta el 45 % del total de ordeña registrado en el territorio nacional.</t>
  </si>
  <si>
    <t>La Fiscalía General de la República ordenó la inspección judicial de un terreno ubicado en el poblado de Buenavista, municipio de Nopala de Villagrán, tras una denuncia formal formulada por Seguridad Física de Pemex. En la intervención se confirmó la localización de una toma clandestina con válvulas, niples, coples y mangueras de alta presión conectadas a los ductos de la empresa pública.</t>
  </si>
  <si>
    <t>En acciones independientes encabezadas por la Agencia de Investigación Criminal, dos hombres fueron puestos a disposición del Ministerio Público acusados de delitos contra la salud. En Ajacuba se detuvo en flagrancia a un sujeto armado con un revólver y dosis de marihuana, mientras que en Mineral de la Reforma se cumplimentó la captura del individuo identificado como J.P.P. por la comercialización ilícita de enervantes.</t>
  </si>
  <si>
    <t>La Secretaría de Seguridad Pública de Hidalgo, la Guardia Nacional y la Procuraduría de Justicia del Estado realizaron tres cateos simultáneos en las colonias Benito Juárez y Morelos de Villa de Tezontepec. El operativo permitió la captura de tres hombres considerados generadores de violencia, a quienes se les decomisaron 563 dosis de probable marihuana, 186 dosis de presunto cristal y una motocicleta sin identificaciones.</t>
  </si>
  <si>
    <t>En una acción coordinada entre la Guardia Nacional, el Ejército Mexicano y la SSPH, cuatro personas (dos hombres y dos mujeres) fueron aseguradas en el municipio de Tula de Allende. A los detenidos se les decomisaron dos armas cortas tipo escuadra calibre 9 milímetros y una granada de humo, quedando a disposición de la subsede de la FGR para determinar su situación legal.</t>
  </si>
  <si>
    <t>Policías municipales de Ajacuba detuvieron a un sujeto en la comunidad de Tecomatlán tras ser acusado del delito de extorsión. Los hechos ocurrieron cuando el implicado acudió a un establecimiento comercial a exigir el pago por cobro de piso, momento en que el encargado del negocio reaccionó encerrándolo dentro del local para solicitar la intervención inmediata de las fuerzas del orden.</t>
  </si>
  <si>
    <t>Detención</t>
  </si>
  <si>
    <t>En seguimiento a una denuncia anónima, la Policía Federal Ministerial de la FGR ejecutó una orden de cateo en la comunidad de San Jerónimo Tlamaco, municipio de Atitalaquia. Durante la diligencia judicial se aseguró a una persona en posesión de 7,450 litros de hidrocarburo, 86 bidones, tres mangueras de alta presión, una motobomba y siete vehículos involucrados en el almacenamiento ilícito de combustible.</t>
  </si>
  <si>
    <t>Del 10 de agosto al 30 de septiembre, la Secretaría de Bienestar e Inclusión Social y la Secretaría de Educación Pública ofrecerán a nivel nacional dos capacitaciones gratuitas en modalidad virtual enfocadas en el envejecimiento saludable y la formación de personas cuidadoras. La directora del Instituto para la Atención de las y los Adultos Mayores, Penélope Apodaca, confirmó que la formación se impartirá a través de la plataforma Aprende MX y emitirá constancias con validez oficial. AUDIO DE APOYO</t>
  </si>
  <si>
    <t>Envejecimiento saludable</t>
  </si>
  <si>
    <t>El Gobierno del Estado de Hidalgo y la Secretaría de Infraestructura, Comunicaciones y Transportes anunciaron la licitación pública para la rehabilitación integral del tramo Zacualtipán-Tehuetlán, perteneciente a la carretera federal Pachuca-Huejutla. La obra abarcará una longitud de 99.5 kilómetros con una inversión de 2,277 millones de pesos, reduciendo hasta en 30 minutos los tiempos de traslado para más de 250 mil habitantes de seis municipios de la Sierra y Huasteca hidalguense. AUDIO DE APOYO</t>
  </si>
  <si>
    <t>En su visita al municipio de Metztitlán como parte de las Rutas de la Transformación, el gobernador Julio Menchaca Salazar informó la entrega de 3.3 millones de pesos en apoyos productivos para 258 familias de la región. Asimismo, detalló que en coordinación con la SICT se ejecutan más de 331 millones de pesos en la red carretera de la zona, a los que se suman 212 millones de pesos destinados a proyectos estatales para la pavimentación de calles y la rehabilitación de los sistemas de agua potable y drenaje sanitario en el primer cuadro del municipio. AUDIO DE APOYO</t>
  </si>
  <si>
    <t>Tras haber sido robada hace 19 años, la imagen de Santa Rosa de Lima —pieza escultórica de profundo valor histórico y cultural datada en el siglo XVII— fue restituida formalmente a la parroquia de Santa Mónica, en el municipio de Epazoyucan. El acto protocolario fue encabezado por el secretario técnico del INAH, José Luis Perea González, con la presencia de autoridades eclesiásticas y habitantes de la comunidad, quienes celebraron la recuperación del patrimonio espiritual del municipio. AUDIO DE APOYO.</t>
  </si>
  <si>
    <t>Radioescucha reporta que el día de ayer volvieron a arrojar su agua de drenaje al canal que cruza por Infonavit de Santa Julia; pide apoyo de las autoridades de la Semarnath, ya que es un olor insoportable.</t>
  </si>
  <si>
    <t>Semarnath</t>
  </si>
  <si>
    <t>Drenaje</t>
  </si>
  <si>
    <t>Radioescucha Alejandro Carpinteiro comenta: ¿De qué privilegios gozan los conductores del transporte público, al pasarse la luz roja de los semáforos? Además, lo hacen enfrente de la policía.</t>
  </si>
  <si>
    <t>Radioescucha reporta nuevamente no tenemos agua en calle Valle Dorado, Mz.7 en Palmar y ya mero llega el recibo</t>
  </si>
  <si>
    <t>Participación semanal de Mtro. Julio Valera con el tema: Ampliación de la zona metropolitana del Valle de México. Seguramente ya escucharon el término zona metropolitana, esto significa que hace algunos años era muy fácil distinguir los municipios, tenían un espacio entre uno y otro, pero con el crecimiento de la población, de las viviendas, de las actividades económicas, esos municipios fueron creciendo hasta prácticamente unirse. Hoy podemos cruzar de un municipio a otro sin darnos cuenta. Por eso existen las zonas metropolitanas, para que los distintos gobiernos trabajen coordinadamente y encuentren soluciones conjuntas en lugar de hacerlo cada uno por separado. Recientemente se aprobó la ampliación de la Zona Metropolitana del Valle de México, que integra 84 municipios de la CDMX, Edomex, Hidalgo y Morelos; estamos hablando de una de las regiones urbanas más importantes de América Latina. Para Hidalgo representa un paso muy importante; hasta hace poco Tizayuca era el único municipio que pertenece a la Zona Metropolitana; ahora se incorporan Atitalaquia, Atotinilco de Tula, Tolcayuca, Villa de Tezontepec, Tepeji del Río y Tlaxcoapan, sumando 8 municipios hidalguenses, y esto significa que se podrán coordinar mejor proyectos regionales. Se viene una etapa muy importante: la elaboración del programa de ordenamiento de esta zona metropolitana; este será sometido a consulta pública, por eso es importante que la ciudadanía conozca y participe en todos estos procesos.</t>
  </si>
  <si>
    <t>Accidente vehicular reportado la mañana de este viernes sobre la carretera Actopan-Pachuca, a la altura de la comunidad de La Loma, donde al menos cuatro vehículos se encuentran involucrados.</t>
  </si>
  <si>
    <t>Accidente Vial</t>
  </si>
  <si>
    <t>Vía telefónica Ing. Arq. Francisco Lugo Espinosa, es el Secretario de Obras Públicas, Desarrollo Urbano, Vivienda y Movilidad del Ayuntamiento de Pachuca, con el tema: Recorrido con bacheos en diferentes calles de la capital</t>
  </si>
  <si>
    <t>La Unidad de Rehabilitación de Fauna Silvestre Pachuca recibió el pasado 14 de julio en sus instalaciones a una cría de mono aullador de manto, mismo que forma parte de las tres especies de monos mexicanos catalogadas en peligro de extinción.Desde su ingreso, el ejemplar recibió atención especializada las 24 horas del día, incluyendo cuidados específicos en su alimentación y monitoreo permanente por parte de personal capacitado, con el objetivo de garantizar su bienestar y adecuada recuperación.Debido a que esta especie requiere condiciones particulares para su desarrollo, se realizaron las gestiones correspondientes ante la Procuraduría Federal de Protección al Ambiente (PROFEPA) para su traslado a un espacio que cuente con la infraestructura y experiencia necesarias para su rehabilitación integral.Como resultado de la coordinación con centros especializados en fauna, el ejemplar será trasladado a la Unidad de Manejo de Vida Silvestre (UMA) “Los Susurros”, ubicada en Palenque, Chiapas, donde continuará su proceso de rehabilitación, una vez concluido su desarrollo, podrá ser reintegrado a su hábitat natural.Cabe destacar que es la primera ocasión en que esta Unidad recibe y atiende a un mono aullador, acción que representa un avance significativo en los esfuerzos institucionales para la conservación de especies prioritarias en México.</t>
  </si>
  <si>
    <t>Rehabilitación animal</t>
  </si>
  <si>
    <t>Como parte de las acciones para acercar oportunidades de vivienda a las y los trabajadores hidalguenses, el INFONAVIT llevará a cabo una jornada de registro para el programa Vivienda para el Bienestar en el municipio de Mineral de la Reforma.La atención se brindará el próximo *domingo 9 de agosto*, en un horario de 9:00 a 14:00 horas, en el *Parque Siglo XXI*, ubicado en el fraccionamiento La Providencia.</t>
  </si>
  <si>
    <t>Con el propósito de reconocer e impulsar el talento, la creatividad y el compromiso social de las nuevas generaciones, el Ayuntamiento de Mineral de la Reforma, a través del Instituto Municipal de la Juventud, realizará la entrega del Premio Municipal de la Juventud 2026.Esta distinción busca visibilizar las trayectorias e iniciativas de jóvenes que, mediante su trabajo, generan beneficios y contribuyen al desarrollo de sus comunidades.La ceremonia será encabezada por el presidente municipal de Mineral de la Reforma, Eduardo Medécigo Rubio, el viernes 21 de agosto, a las 17:00 horas, en las instalaciones de la Universidad Tecnológica de Mineral de la Reforma.</t>
  </si>
  <si>
    <t>Premio Municipal</t>
  </si>
  <si>
    <t>Inicia SIPDUS sustitución de pavimento por concreto hidráulico en el bulevar Felipe Ángeles</t>
  </si>
  <si>
    <t>La 26.ª Feria Internacional del Libro Infantil y Juvenil Hidalgo 2026 continuará los días 6 y 7 de agosto con propuestas gratuitas que vinculan los libros con el teatro, la música, la narración y la creación artística, en distintos espacios del Parque Cultural Hidalguense.el viernes 7 de agosto, las actividades iniciarán a las 10:00 horas, en el Foro Hidalgo, con Manti: Las aventuras musicales de una cobijita, propuesta de Teatro UAEH.Durante el día habrá narraciones orales, espacios de ilustración, talleres y presentaciones de libros, entre ellas La leyenda de Mayahuel y el árbol de las mil maravillas y Topiltzin: el pequeño Quetzalcóatl.Uno de los momentos relevantes de esta fecha será la entrega del Premio Bellas Artes de Traducción Literaria Margarita Michelena 2026 a Melina Balcázar y Mario Bojórquez; la ceremonia está programada a las 18:00 horas en el vestíbulo. Posteriormente, a las 19:00 horas, Los Tlacuilos ofrecerán un espectáculo musical en el Foro Hidalgo.</t>
  </si>
  <si>
    <t>Cobaeh proyecta nuevos planteles y mejoras en infraestructura educativa</t>
  </si>
  <si>
    <t>La Fiscalía General de la República (FGR) ejecutó una orden de cateo en un local ubicado en una plaza comercial en el bulevar Nuevo Hidalgo, en Pachuca, donde operaban máquinas tragamonedas sin los permisos correspondientes. La investigación inició en atención a una denuncia anónima, en la que ciudadanos alertaron al agente del Ministerio Público de la Federación (MPF) adscrito a la Fiscalía Especializada de Control Regional (Fecor) en Hidalgo sobre el riesgo que implica para la sociedad este tipo de negocios, por lo que la FGR solicitó y obtuvo del juez de Control autorización para ejecutar la orden. Durante el operativo, el MPF, elementos de la Policía Federal Ministerial y peritos de la institución ingresaron al inmueble y aseguraron una terminal de pago, 36 máquinas tragamonedas y 156 mil 68 pesos; además, detuvieron a una persona, cuya situación jurídica será resuelta por el MPF conforme a derecho.</t>
  </si>
  <si>
    <t>Cateo</t>
  </si>
  <si>
    <t>Vía telefónica Prisco Manuel Gutiérrez, titular de la Comisión Estatal para el Desarrollo Sostenible de los Pueblos Indígenas (CEDSPI) informó que está en la Huasteca, preparándose para el trigésimo primer aniversario del Día Internacional de los Pueblos Indígenas. Esta fecha es importante porque se reconoce el valioso aporte de los pueblos indígenas a la humanidad, lo cual ha sido reconocido por la ONU y la OIT desde 1957. En el Gobierno de la Transformación, bajo el liderazgo del gobernador Julio Menchaca, celebramos por cuarto año esta conmemoración. Se rendirá homenaje a las parteras tradicionales, quienes han apoyado la vida en sus comunidades desde el embarazo hasta el postparto, cuidando los conocimientos ancestrales y el patrimonio biocultural en el Estado de Hidalgo. En Atlapexco, la primera etapa de la Casa de la Mujer está casi lista. Se ha trabajado en conjunto con el Fondo de Población de la ONU para documentar los conocimientos de las parteras y médicos tradicionales. Este acompañamiento no busca enseñar a las parteras, ya que poseen grandes habilidades, sino reconocer su trabajo y hacer que sean visibilizadas. En la reunión con el presidente municipal se entregará la autorización para la segunda etapa de la Casa, que cuenta con una inversión de más de 30 millones de pesos para que la partería tradicional siga desarrollándose. La Casa de la Mujer Indígena en Atlapexco ya puede funcionar. Está equipada y se están llevando a cabo actividades de acompañamiento. Actualmente se espera una licencia de funcionamiento de COFEPRIS. El programa "Guardianas de Vida" apoya a mujeres practicantes de partería y médicos tradicionales, y se espera ayudar a más de 1.900 mujeres en este segundo año. En Tenango de Doria, la construcción de la Casa va en un 50% y se prevé que incluirá áreas para atención y recuperación. La conmemoración del Día Internacional de los Pueblos Indígenas será en Huejutla del 7 al 9 de agosto, con un macro pabellón donde participarán artesanos, parteras, médicos tradicionales y representantes de diferentes regiones. Se promoverá el intercambio cultural y la preservación de las tradiciones.</t>
  </si>
  <si>
    <t>Vía telefónica Roberto Rico, integrante de la Coordinación Jurídica de Gobierno del estado habla sobre los despojos de viviendas que últimamente se han dado en la ciudad de México, Puebla, Veracruz e Hidalgo; entre otros estados. Explica cómo operan las personas que se dedican a estos despojos y las acciones legales que se deben hacer para recuperar la propiedad.</t>
  </si>
  <si>
    <t>Despojo</t>
  </si>
  <si>
    <t>El Gobierno Municipal de Tulancingo, a través de la Instancia Municipal de la Juventud, concluyó el periodo de inscripción para participar en el Premio Municipal de la Juventud 2026, convocatoria que registró un total de 30 propuestas de jóvenes interesados en obtener este reconocimiento. La convocatoria, difundida durante las últimas semanas, estuvo dirigida a personas de entre 17 y 29 años de edad, quienes presentaron proyectos, trayectorias y acciones destacadas en beneficio de la sociedad, en alguna de las cuatro categorías: Ciencia y tecnología, arte urbano, activismo y liderazgo comunitario ambiental, y extraordinaria por trayectoria. La titular de la Instancia Municipal de la Juventud, Dania Méndez Jiménez, informó que, una vez concluida la etapa de recepción de expedientes, iniciará el proceso de revisión y evaluación de las propuestas por parte del jurado, conforme a las bases establecidas en la convocatoria.</t>
  </si>
  <si>
    <t>Hay descontento en la Escuela Primaria Aquiles Serdán de Tulancingo, que surge por la preocupación de padres de familia ante el daño estructural y el riesgo de colapso en algunos salones de clases, además del anuncio oficial de su demolición y reconstrucción total sin que exista claridad ni fechas precisas sobre el inicio de las obras o la reubicación de los alumnos. Así como si los trabajos serán terminados antes de que inicien las clases, los alumnos serán reubicados en otra sede o cómo será la logística.</t>
  </si>
  <si>
    <t>Reconstrucción de escuela</t>
  </si>
  <si>
    <t>En Tulancingo opera la Escuela de Campo “Colmena Viva”, cuyo objetivo es que sobre todo los jóvenes se acerquen para aprender y aplicar conocimientos en la producción de miel y sus derivados. Lo anterior fue señalado por Guadalupe Rendón Escamilla, Técnica agroecológica del Programa de Acompañamiento Técnico de las Escuelas de Campo, programa a cargo del gobierno federal. Señaló que la primera explicación que se ofrece a los participantes, es la importancia de las abejas como agentes polinizadores, gracias a lo cual es posible el desarrollo de cultivos, así como de zonas con vegetación. “Se piensa que el único beneficio de la apicultura es obtener la miel, y va más allá; es garantizar la existencia de las abejas, para que estas a su vez ayuden en el desarrollo de cultivos y podamos contar con otros alimentos”, señaló la especialista. La Escuela de Campo en Tulancingo cuenta con doce alumnos, quienes se reúnen en grupo un par de veces a la semana; en el transcurso del mes se hacen recorridos por los espacios que cada uno de ellos tienen para el desarrollo de sus apiarios. Rendón Escamilla señaló que formar parte de la Escuela del Campo no tiene costo alguno, sólo se requiere por parte de los interesados que estos cuenten con un espacio adecuado para el desarrollo de sus respectivos apiarios. En el Estado de Hidalgo actualmente hay tres técnicos para el desarrollo de estas enseñanzas, ubicados en la Huasteca, la Sierra Otomí Tepehua y uno más para las asesorías en el resto de la entidad. En el caso de Tulancingo, la Escuela de Campo opera con el apoyo de la Secretaría municipal del Campo, a donde se pueden dirigir los interesados en participar.</t>
  </si>
  <si>
    <t>Apicultura</t>
  </si>
  <si>
    <t>El inmueble asegurado por la Fiscalía General de la República (FGR) en el parque industrial de Tizayuca por presuntamente operar un centro clandestino de procesamiento de combustibles, ya había sido suspendido por el gobierno municipal debido a violaciones en materia ambiental. De acuerdo con el sello de clausura colocado por la Dirección de Ecología y Medio Ambiente fechado este año, el ayuntamiento de Tizayuca detectó en las instalaciones de la empresa Lete descargas ilegales de residuos químicos al sistema de drenaje. De acuerdo con un recorrido realizado por El Universal Hidalgo, se pudo constatar que el complejo está delimitado por un portón verde en donde se colocaron los sellos de “asegurado” de la FGR y la Fiscalía Especializada en Materia de Delincuencia Organizada, así como el de clausura total de la Secretaría de Infraestructura, Control Urbano, Ecología, Servicios Públicos Municipales de Tizayuca. El inmueble se ubica sobre la calle Sur 2 del parque industrial. La vialidad permanece parcialmente cerrada debido a trabajos de reencarpetamiento con concreto hidráulico. Frente al predio se localiza la empresa Voltran; a un costado, San Remo de México, y en la parte posterior, la empresa Puratos. En el sitio ya no había elementos de seguridad. Un trabajador de una empresa, ubicada en las inmediaciones, narró que en Lete manejaban productos químicos y solventes de manera habitual. Indicó que ya se rumoraba que en dicho complejo se procesaba posible combustible de procedencia ilícita, debido a que comercializaban y compraban este material, sin saber su procedencia. Durante 2026, la dirección de Ecología y Medio Ambiente colocó sellos de clausura en el inmueble que alberga las instalaciones de Lete, tras detectar presuntas descargas ilegales de residuos químicos al sistema de drenaje. Tales descargas, según las autoridades municipales, desembocaban en el afluente del río Papalote, lo que generaba afectaciones ambientales para miles de habitantes de las colonias cercanas. Incluso, en noviembre de 2021 autoridades municipales clausuraron temporalmente esta empresa, responsable del derrame de químicos y contaminar en una de las arterias del río que cruza diversas localidades del sur del municipio. De acuerdo con su sitio oficial, las actividades de la empresa consisten en el tratamiento de aguas residuales provenientes de procesos industriales, recuperación de solventes mediante destilación, además de la distribución de solventes especializados.</t>
  </si>
  <si>
    <t>Pachuca encabeza la lista de municipios con mayor número de reportes de personas desaparecidas o no localizadas en Hidalgo durante los primeros siete meses de 2026, de acuerdo con el Registro Nacional de Personas Desaparecidas y No Localizadas. Entre enero y julio de este año, la capital del estado acumuló 104 reportes, seguida de Mineral de la Reforma con 65, Tizayuca con 47, Tulancingo con 46 y Tula con 30, convirtiéndose en los municipios con mayor incidencia. En ese mismo periodo, Hidalgo registró 549 reportes de desaparición. De ese total, 450 personas fueron localizadas, 20 de ellas sin vida, mientras que 99 continúan sin ser encontradas Las cifras de la Comisión Nacional de Búsqueda también muestran que los hombres representan la mayoría de los reportes, con 297 casos, frente a 252 mujeres. Además, el número de denuncias disminuyó 27.8 por ciento en comparación con el mismo periodo de 2025.</t>
  </si>
  <si>
    <t>Desapariciones</t>
  </si>
  <si>
    <t>Tulancingo registró 103 carpetas de investigación por el delito de robo a negocios durante el primer semestre de 2026, lo que lo colocó entre los municipios con mayor incidencia de este ilícito en Hidalgo, de acuerdo con cifras del Secretariado Ejecutivo del Sistema Nacional de Seguridad Pública (SESNSP). Del total de casos registrados, 53 fueron cometidos con violencia y 50 sin violencia lo que refleja una incidencia equilibrada en ambas modalidades. Con estas cifras, Tulancingo ocupó el tercer lugar a nivel estatal con el robo a comercio únicamente por debajo de Pachuca con 223 casos y de Tizayuca con 157. En todo Hidalgo entre enero y junio del 2026 fueron iniciadas al menos 990 carpetas de investigación por este delito, por lo que Tulancingo concentró poco más del 10% de robos a negocios.</t>
  </si>
  <si>
    <t>Incidencia Delictiva</t>
  </si>
  <si>
    <t>Como parte de las acciones para acercar oportunidades de vivienda a las y los trabajadores hidalguenses, el INFONAVIT llevará a cabo una jornada de registro para el programa Vivienda para el Bienestar en el municipio de Mineral de la Reforma. La atención se brindará el próximo domingo 9 de agosto, en un horario de 9:00 a 14:00 horas, en el Parque Siglo XXI, ubicado en el fraccionamiento La Providencia. La jornada está dirigida a trabajadoras y trabajadores que cotizan al INFONAVIT, principalmente a quienes perciben entre uno y dos salarios mínimos, con el propósito de facilitar su incorporación al programa.</t>
  </si>
  <si>
    <t>Publican resultados de becas de Posgrados de Excelencia para Maestría en el Extranjero</t>
  </si>
  <si>
    <t>El gobernador Julio Menchaca estará hoy en el Centro gerontológico a las 10:45 para realizar acciones en favor de las personas adultas mayores.</t>
  </si>
  <si>
    <t>Apoyo a adultos mayores</t>
  </si>
  <si>
    <t>En la plaza principal de Huazalingo a las 4 de la tarde estará el Secretario de Gobierno, Guillermo Olivares para llevar las Mesas de acercamiento.</t>
  </si>
  <si>
    <t>La coordinación entre instituciones fortalece las estrategias de atención y contribuye a brindar mejores servicios de salud para la población. En representación de la secretaria de Salud, Vanesa Escalante Arroyo, la subsecretaria de Salud Pública, Diana Reyes Gómez, participó en la Reunión Ordinaria del Consejo Directivo de la Delegación IMSS Hidalgo, un espacio de diálogo y coordinación que impulsa el trabajo conjunto para fortalecer la atención médica en beneficio de las y los hidalguenses.</t>
  </si>
  <si>
    <t>Andrés Torres en respuesta a un radioescucha que señala que en el carretera tramo de Zacualtipán a Molango hay diesel derramado y los automovilistas están derrapando, hace un llamado a la SCiT y recuerda que este tramo es el que anunció el gobernador ayer que se va a rehabilitar.</t>
  </si>
  <si>
    <t>Rehabilitación carretera</t>
  </si>
  <si>
    <t>el gobernador publicó en sus redes sociales: En Zacualtipán estamos realizando obras que mejorarán la movilidad y la calidad de vida de las familias. Hoy supervisamos los avances en la rehabilitación de caminos en el municipio.</t>
  </si>
  <si>
    <t>El gobernador publicó en sus redes sociales: En Metztitlán, hicimos entrega de apoyos del DIFH, Programas del Pueblo y equipamiento para el campo. Seguimos sumando esfuerzos para respaldar a las familias, fortalecer la economía de los hogares y acompañar la recuperación de las comunidades.</t>
  </si>
  <si>
    <t>Andrés Torres comenta que la estación del 1010 AM "El Vocero Huasteco" está por cumplir 3 años de haberse inaugurado. Recuerda que esta es una concesión Nueva y que fue el gobernador quien la inauguró y a quien agradece por su compromiso con la radio estatal.</t>
  </si>
  <si>
    <t>Para este 06 de agosto se pronostican intervalos de chubascos (5 a 25 mm), temperaturas máximas de 35 a 40 °C en el noreste de Hidalgo y rachas de viento de hasta 60 km/h.</t>
  </si>
  <si>
    <t>Alerta Meteorológica</t>
  </si>
  <si>
    <t>Dan seguimiento a planteamientos ciudadanos en Acaxochitlán</t>
  </si>
  <si>
    <t>Anuncian rehabilitación del tramo Zacualtipán-Tehuetlán</t>
  </si>
  <si>
    <t>Destinan más de 212 mdp para obras en Metztitlán</t>
  </si>
  <si>
    <t>Las lluvias de las últimas semanas no solo han dejado calles mojadas en Tulancingo; también aceleraron el crecimiento de pasto y maleza en parques, jardines y áreas verdes del municipio. Ante esta situación, las cuadrillas de Parques y Jardines incrementaron los trabajos de mantenimiento y actualmente atienden hasta tres espacios públicos por día, donde retiran entre dos y tres toneladas de vegetación durante cada jornada. El municipio cuenta con 262 áreas verdes públicas, por lo que el personal realiza recorridos constantes por colonias y comunidades para evitar que la maleza llegue a banquetas, zonas de convivencia y otros espacios de uso común. Entre los puntos atendidos recientemente se encuentran Adolfo Ruiz Cortines, colonia Estrella, Jardines del Sur, Plan de Ayala y Jaltepec. Los trabajos continuarán en el sendero municipal, a la altura de Jardines del Sur; el bulevar Miguel Hidalgo y la comunidad de Napateco. Para estas labores, la Jefatura de Parques y Jardines cuenta con 32 jardineros y auxiliares, distribuidos entre los espacios que tienen mantenimiento permanente y las cuadrillas que recorren distintos sectores del municipio.</t>
  </si>
  <si>
    <t>UTSH fortalece formación clínica de estudiantes en el Hospital del Niño DIF</t>
  </si>
  <si>
    <t>Prácticas clínicas</t>
  </si>
  <si>
    <t>El Instituto Hidalguense de Educación (IHE), a través de la Dirección de Programas Curriculares y del Programa Estatal de Lectura y Escritura, realizó jornadas de capacitación y entregó acervo bibliográfico en escuelas de Mineral de la Reforma y Tulancingo de Bravo. Las acciones buscan fortalecer las bibliotecas escolares como espacios de aprendizaje, además de promover la formación de lectoras y lectores desde la educación básica. El secretario de Educación Pública de Hidalgo y titular del IHE, Natividad Castrejón Valdez, destacó que estas jornadas forman parte de las estrategias para fomentar la lectura, la escritura y el acceso al conocimiento.</t>
  </si>
  <si>
    <t>Biblioteca escolar</t>
  </si>
  <si>
    <t>Mediante cateo, en Tula de Allende se detuvo a dos personas y se aseguraron armas de fuego, narcóticos y vehículos.</t>
  </si>
  <si>
    <t>La diputada Karla Perales advirtió que Hidalgo no está fuera de esta problemática y pidió avanzar con una ley para prevenir la captación de niñas, niños y adolescentes por grupos delictivos. Hidalgo no está fuera del problema del reclutamiento de niñas, niños y adolescentes por parte de grupos delictivos. Aunque el número de casos reconocidos en la entidad es menor al registrado en otros estados, para la diputada Karla Perales Arrieta esto es suficiente para encender las alertas y reforzar las medidas de prevención. Durante un posicionamiento en el Congreso de Hidalgo, la legisladora de Movimiento Ciudadano señaló que cada caso implica mucho más que una cifra, pues detrás existen menores expuestos a violencia, pérdida de oportunidades y vulneraciones a sus derechos. Por ello, planteó que la respuesta no debe limitarse a actuar cuando el reclutamiento ya ocurrió, sino establecer mecanismos que permitan detectar y evitar los intentos de captación antes de que sucedan. Perales Arrieta recordó que en el Congreso ya fue presentada una iniciativa para crear la Ley para Prevenir, Atender y Erradicar el Reclutamiento de Niñas, Niños y Adolescentes en el Estado de Hidalgo, con la que se busca establecer reglas específicas para enfrentar este fenómeno. La propuesta contempla crear políticas permanentes de prevención, mecanismos de coordinación entre autoridades estatales y municipales, acciones para restituir los derechos de las víctimas y un Comité para la Prevención, Atención y Erradicación del Reclutamiento de Niñas, Niños y Adolescentes. También plantea crear un registro estatal y un programa institucional que permitan conocer cuántos casos existen y cómo se presenta el problema en Hidalgo. La intención es contar con información que sirva para diseñar estrategias de prevención y atención.</t>
  </si>
  <si>
    <t>Tres perfiles fueron presentados para ocupar la titularidad del Órgano Interno de Control del ayuntamiento de Alfajayucan, sin embargo, únicamente uno cumplió con la totalidad de los requisitos establecidos en la convocatoria, así se dio a conocer este viernes durante la sesión ordinaria de la Comisión Especial encargada del proceso de selección. De acuerdo con lo expuesto durante la sesión, el presidente municipal Julio Agustín Cruz Tovar indicó que únicamente se recibieron tres propuestas, la de Rubén Nogal, Jaime Alejandro Monroy Bautista y Evelin Guadalupe Ramírez Gómez. Los expedientes fueron sometidos a revisión para verificar el cumplimiento de los requisitos establecidos en la convocatoria y en el marco normativo municipal. Tras este análisis, se informó que únicamente Evelin Guadalupe Ramírez Gómez cumplió con la totalidad de los requisitos solicitados para continuar dentro del proceso de selección. Basado en lo anterior, la Comisión Especial acordó llevar a cabo una nueva sesión ordinaria el próximo martes 11 de agosto, en la que Evelin Guadalupe Ramírez Gómez deberá presentar su proyecto o ensayo, mediante el cual expondrá su propuesta de trabajo y las razones por las que considera que cuenta con el perfil para encabezar el Órgano Interno de Control.</t>
  </si>
  <si>
    <t>Concluyen Asambleas Informativas para la Relocalización; familias recibirán apoyo único</t>
  </si>
  <si>
    <t>Entregan Premio Bellas Artes de Traducción Literaria Margarita Michelena 2026</t>
  </si>
  <si>
    <t>Premio Margarita Michelena</t>
  </si>
  <si>
    <t>Gobierno de Hidalgo reconoce labor de parteras tradicionales en el Día Internacional de los Pueblos Indígenas</t>
  </si>
  <si>
    <t>Inicia construcción del Parador Turístico en el Cardonal para fortalecer la actividad turística y comercial</t>
  </si>
  <si>
    <t>Parador turístico</t>
  </si>
  <si>
    <t>SSPH recupera 90 mil litros de hidrocarburo robado en Tula y Singuilucan</t>
  </si>
  <si>
    <t>SSPH lanza Segunda Convocatoria 2026 para Policía Penitenciario y Procesal</t>
  </si>
  <si>
    <t>Reclutamiento</t>
  </si>
  <si>
    <t>Anuncian la Expo Financiera Hidalgo edición 2026</t>
  </si>
  <si>
    <t>Expo Financiera</t>
  </si>
  <si>
    <t>Julio Menchaca entrega dos millones de plantas para reforestar los 84 municipios (AUDIO JMS)</t>
  </si>
  <si>
    <t>En su colaboración semanal, Gustavo Rosales habló sobre la destacada participación de la delegación mexicana en los Juegos Centroamericanos del Caribe y Santo Domingo 2026, al cerrar la competencia en la primera posición tras conseguir 407 medallas: 167 de oro, 125 de plata y 115 de bronce.</t>
  </si>
  <si>
    <t>Debido a la gran participación de la ciudadanía, el Gobierno Municipal de Tulancingo anunció la ampliación de las Jornadas de Unidades Médicas Móviles, con servicios de salud gratuitos para las familias. Las jornadas se realizan del 10 al 14 de agosto, el registro comenzará diariamente a las 9:00 horas y la atención estará sujeta a la afluencia, por lo que se recomienda acudir con anticipación. Entre los servicios disponibles se encuentran ultrasonido obstétrico, electrocardiogramas, medición de glucosa, triglicéridos y colesterol, consulta médica general, atención nutricional y odontológica, además de medicamentos gratuitos de acuerdo con la valoración médica. La alcaldesa Lorena García señaló que esta ampliación responde a la importante participación registrada durante la primera semana de actividades. Las jornadas son resultado de la colaboración entre el Gobierno Municipal de Tulancingo, PEMEX y la Secretaría del Despacho del Gobernador del Estado de Hidalgo, con el propósito de acercar servicios médicos gratuitos y fortalecer la prevención.</t>
  </si>
  <si>
    <t>Unidad Médica Móvil</t>
  </si>
  <si>
    <t>La Secretaría de Seguridad Ciudadana de Mineral de la Reforma localizó este domingo a un adolescente de 16 años que había sido reportado como no localizado el sábado anterior, tras dirigirse a una zona de cerros. La búsqueda inició tras el reporte de desaparición. Personal de videovigilancia del C5i y del C2 identificó una posible ubicación, lo que permitió el despliegue de elementos de la Policía Preventiva, la Unidad de Reacción y el equipo de Drones. El adolescente fue hallado en un terreno ubicado a espaldas de la primaria Juvencio García Escamilla, en la colonia Colinas de Plata. De acuerdo con el reporte oficial, el joven presentaba deshidratación y abrasiones en las extremidades inferiores. Personal de Protección Civil Municipal realizó una valoración médica en el sitio, determinando que no requería traslado hospitalario. Posteriormente, el menor fue llevado a las instalaciones de la Secretaría de Seguridad Ciudadana para seguir los protocolos establecidos en conjunto con la Procuraduría Municipal de Protección de Niñas, Niños y Adolescentes.</t>
  </si>
  <si>
    <t>Localización de persona</t>
  </si>
  <si>
    <t>Elementos de la Secretaría de Seguridad Pública, Tránsito y Vialidad de Pachuca detuvieron a cuatro personas presuntamente relacionadas con el robo a una mujer en un comercio en Venta Prieta, quienes intentaban salir de la ciudad con dirección a la Ciudad de México. Tras recibir el reporte, C4 activó un dispositivo de búsqueda, luego de que la afectada informara que los responsables habían huido a bordo de un vehículo Kia blanco, con placas del Estado de México. Minutos después, los agentes localizaron la unidad sobre el bulevar Felipe Ángeles, a la altura de la SEP. Al verificar que sus ocupantes coincidían con las características proporcionadas, procedieron a intervenirlos. Durante la revisión, los ocupantes presuntamente ofrecieron a los policías teléfonos celulares, dinero en efectivo y mercancía adquirida en tiendas departamentales. En la inspección del vehículo se localizaron además cinco bolsas tipo ziploc con material granulado, cuyas características eran similares a las de una sustancia ilícita.</t>
  </si>
  <si>
    <t>En su participación durante la conferencia mañanera, Óscar “El Conejo” Pérez habló sobre la tercera edición de la Gimnasiada 2026 que se realizará del 11 al 20 de septiembre en la Ciudad Deportiva de Alto Rendimiento y las instalaciones de la Universidad Autónoma del Estado de Hidalgo. También informó, que se encuentra en pláticas con la Conade para posicionar a Hidalgo como sede de la Olimpiada Nacional Conade 2027.</t>
  </si>
  <si>
    <t>Mañanera de Hidalgo</t>
  </si>
  <si>
    <t>Durante su participación en la conferencia mañanera, Analinn Rivera Delgado, titular de la dirección de Atención al Pueblo de la secretaría del Despacho del Gobernador, habló sobre los acercamientos con la población casa por casa, a través de las asambleas y mediante las mesas de atención en las que han participado 193 servidoras y servidores públicos. Destacó, que mediante estos ejercicios de acercamiento ha podido detectar diversos casos de personas afectadas, mismo que serán atendidos de manera particular acorde la naturaleza de cada uno.</t>
  </si>
  <si>
    <t>Durante la intervención en la conferencia mañanera de Hidalgo, el delegado de la Sedatu en la entidad, Julio Manuel Valera Piedras explicó el proceso de apoyo a las comunidades afectadas por la vaguada monzónica de octubre pasado; también habló acerca de las asambleas donde se ha informado a la población sobre los riesgos que corren al permanecer en algunas comunidades y las alternativas de relocalización que les están ofreciendo con coordinación el gobierno Federal y el gobierno del Estado. (AUDIO JMVP)</t>
  </si>
  <si>
    <t>En su intervención durante la conferencia mañanera, Mónica Mixtega, titular de la Semarnarth destacó lo sucedido este fin de semana, con las Jornada Nacional de Reforestación. (AUDIO MMT)</t>
  </si>
  <si>
    <t>Al finalizar su participación durante la conferencia matutina, la secretaria de Hacienda, Esther Ramírez destacó algunas cifras importantes, como, la disminución de la deuda de Hidalgo en un 42 por ciento, el aumento en los ingresos propios en el orden del 96 por ciento, lo que ha dado como resultado que el Sistema de Administración Tributaria coloque a Hidalgo en el primer lugar nacional de eficiencia recaudatoria. Más que números y porcentajes, se trata de honestidad y eficiencia en el manejo de los recursos, que sean utilizados en beneficio de la población, expresó Esther Ramírez y concluyó con una frase contundente: “El ejercicio de las finanzas públicas debe servir para consolidar el presente, sin comprometer el futuro”.</t>
  </si>
  <si>
    <t>En su participación durante la conferencia matutina, la secretaria de Hacienda, Esther Ramírez Vargas, dio a conocer los detalles de cómo Hidalgo tiene el primer lugar nacional en participaciones federales , expresó que dicha situación se da, gracias al manejo de las finanzas en la entidad, se informó que Hidalgo tiene este lugar con 8.0 por ciento de crecimiento por encima del 6,4 de Durango; el 6.3 de Zacatecas y el muy distante 3.2 de Chiapas.</t>
  </si>
  <si>
    <t>En vivo desde la conferencia semanal matutina del Gobierno de Hidalgo, Juan Carlos Santamaría informó sobre el inicio de la conferencia matutina en donde el coordinador de Comunicación, Edmundo Pineda se encuentra presentando a las personas que estarán dando la información esta mañana. Se observa en el presídium a la secretaria de Medio Ambiente y Recursos Naturales, Mónica Mixtega Trejo, cabe recordar que, este in de semana se llevó a cabo la Jornada Nacional de Reforestación y en el estado de Hidalgo se entregaron dos millones árboles para los 84 municipios; está también, María Esther Ramírez Vargas, secretaria de Hacienda en la entidad; el titular del Instituto Hidalguense del Deporte, Óscar “el Conejo” Pérez y el representante de la Sedatu en Hidalgo, Julio Manuel Valera Piedras, son quienes conforman el presídium y quienes estarán informando acerca del desarrollo de las actividades en cada una de las áreas que les corresponden, ante la presencia de las y los compañeros de los medios de comunicación de las diferentes regiones. (AUDIO EPL).</t>
  </si>
  <si>
    <t>Julio Menchaca entrega dos millones de plantas para reforestar los 84 municipios</t>
  </si>
  <si>
    <t>Radioescucha Sr. Gama reporta falta de agua en el Atorón</t>
  </si>
  <si>
    <t>Radioescucha reporta falta de agua en Manzana 7, Valle del Palmar</t>
  </si>
  <si>
    <t>Radioescucha Sr . Fernandez reporta falta de agua en Fraccionamiento Minerales y lo mas curioso que las construcciones si tienen agua</t>
  </si>
  <si>
    <t>La Comisión de Agua y Alcantarillado de Sistemas Intermunicipales (Caasim) informó que realizará trabajos de mantenimiento en su infraestructura hidráulica, por lo que algunas colonias de Pachuca, Hidalgo, tendrán una interrupción temporal en el servicio de agua potable durante los próximos días. De acuerdo con el organismo, las labores se llevarán a cabo en el múltiple de salida de la línea que conduce del rebombeo La Paz 1 al tanque Cubitos 2, trabajos necesarios para mejorar la operación del sistema de distribución.La suspensión del servicio comenzará a partir de las 06:00 horas del martes 11 de agosto de 2026 en diversas zonas de la capital hidalguense.</t>
  </si>
  <si>
    <t>Una persona perdió la vida y tres más resultaron lesionadas tras un ataque armado en Atotonilco de Tula, ocurrido durante la noche en un depósito de cerveza ubicado sobre el bulevar Paseos de la Pradera.Deribado de este operativo 3 personas presuntamente implicadas fueron detenidas.</t>
  </si>
  <si>
    <t>Un hombre de 40 años perdió la vida tras ser atacado con un arma de fuego la noche del sábado en la localidad de Tehuetlán, municipio de Huejutla de Reyes, Hidalgo.El hecho ocurrió alrededor de las 20:30 horas del 8 de agosto, en la entrada de la comunidad, específicamente en el Barrio Corralillo,</t>
  </si>
  <si>
    <t>Un hombre resultó herido por impactos de arma de fuego sobre la calle 5 de mayo, en la zona centro de Tula de Allende, lo que generó la movilización de corporaciones policiales y de emergencia. La víctima fue traslada a un nosocomio para su atención médica, mientras que peritos de la PGJEH recabaron casquillos percutidos en la vía pública. Tras la divulgación de grabaciones de videovigilancia, el establecimiento Bar 303 aclaró mediante un comunicado que la agresión ocurrió en la calle al momento que el afectado se retiraba del lugar.</t>
  </si>
  <si>
    <t>Julio Menchaca promueve el bienestar integral de las personas adultas mayores, AUDIO APOYO</t>
  </si>
  <si>
    <t>Atención a adultos mayores</t>
  </si>
  <si>
    <t>En cabina, participación de Jorge Hernández, director de Comunicación Social del Ayuntamiento de Pachuca, con el tema: Finaliza bacheo en la Plutarco, avenida 8 y 9, este miércoles estaremos en “Colonia x Colonia” en San Antonio el Desmonte; continúa bacheo en varias colonias de Pachuca.</t>
  </si>
  <si>
    <t>La Secretaría de Agricultura y Desarrollo Rural de Hidalgo inició la atención al público en sus nuevas instalaciones del Centro Administrativo del Bienestar y Desarrollo Rural, situadas en la calle General Vicente Segura #400, colonia Revolución, en Pachuca. El titular de la Saderh, Napoleón González Pérez, destacó además la conmemoración del 147 aniversario del natalicio de Emiliano Zapata, reafirmando el compromiso institucional con el sector campesino.</t>
  </si>
  <si>
    <t>Cambio de Sede</t>
  </si>
  <si>
    <t>Respecto a las inconformidades manifestadas por habitantes de Tula ante proyectos como el parque fotovoltaico o el relleno sanitario, el gobernador Julio Menchaca Salazar precisó que las obras públicas e inversiones privadas deben socializarse y contar con el consenso poblacional y la normativa ambiental. Señaló que en algunos casos existen inquietudes legítimas y en otros actores políticos involucrados, pero reiteró que su administración no impondrá proyectos contra la voluntad social. AUDIO DE APOYO</t>
  </si>
  <si>
    <t>Cancelación de proyectos</t>
  </si>
  <si>
    <t>El Instituto Hidalguense de Educación (IHE), a través de la Dirección de Programas Curriculares y del Programa Estatal de Lectura y Escritura, realizó jornadas de capacitación y entregó acervo bibliográfico en escuelas de Mineral de la Reforma y Tulancingo de Bravo, con el propósito de fortalecer las Bibliotecas Escolares como espacios de aprendizaje y formación de lectoras y lectores.</t>
  </si>
  <si>
    <t>Capacitación</t>
  </si>
  <si>
    <t>La Fiscalía General de la República (FGR) ejecutó un cateo en un local ubicado en una plaza comercial sobre el boulevard Miguel Hidalgo, en el municipio de Pachuca, donde presuntamente operaban máquinas tragamonedas sin los permisos correspondientes, en probable violación a la Ley Federal de Juegos y Sorteos.Como resultado del operativo fueron aseguradas 36 máquinas tragamonedas, una terminal de pago, 156 mil 68 pesos en efectivo y una persona fue detenida.</t>
  </si>
  <si>
    <t>La presidencia municipal de Tizayuca confirmó que el centro clandestino de procesamiento de combustible recientemente descubierto por la Fiscalía General de la República (FGR), ya había sido objeto de actuaciones administrativas por incumplir la normatividad ambiental. Además, la autoridad municipal expuso que las investigaciones relacionadas con posibles delitos en materia de hidrocarburos corresponden exclusivamente a las autoridades federales.</t>
  </si>
  <si>
    <t>Elementos de la Secretaría de Seguridad Pública de Hidalgo (SSPH) recuperaron cinco unidades y 90 mil litros de hidrocarburo robados durante operativos simultáneos en Tula de Allende y Singuilucan. Las acciones formaron parte de los trabajos coordinados de prevención, vigilancia y disuasión para combatir el robo de hidrocarburos en la entidad.</t>
  </si>
  <si>
    <t>En dos operativos estratégicos, la Secretaría de Seguridad Pública de Hidalgo recuperó 90 mil litros de combustible y dos tractocamiones con reporte de robo. Sobre la carretera Arco Norte, a la altura de Tula de Allende, se aseguró un tráiler con dos autotanques que transportaba 60 mil litros de hidrocarburo sustraído en la vía Tula-Tlahuelilpan. En tanto, en Singuilucan se intervino una unidad con un autotanque que trasladaba 30 mil litros del producto.</t>
  </si>
  <si>
    <t>Mediante un cateo ejecutado por elementos de la Agencia de Investigación Criminal (AIC), la Procuraduría General de Justicia de Hidalgo (PGJEH) detuvo a dos hombres y aseguró sustancias con características de narcóticos, armas de fuego, un cargador y diversos vehículos.La intervención ministerial tuvo lugar en un inmueble de la colonia El Llano Primera Sección, perteneciente al municipio de Tula de Allende.En el lugar, los agentes aseguraron hierba verde con apariencia de marihuana y material sólido blanco granulado con características de la droga conocida como cristal.</t>
  </si>
  <si>
    <t>El Instituto Tecnológico Superior del Occidente del Estado de Hidalgo (ITSOEH) signó un acuerdo de colaboración con la Sección 35 del Sindicato de Trabajadores Petroleros de la República Mexicana (STPRM). El director de la casa de estudios, David Jorge Gómez, explicó que el convenio facilitará esquemas de capacitación, intercambio tecnológico, proyectos de investigación conjunta y prácticas formativas en entornos productivos reales para los universitarios.</t>
  </si>
  <si>
    <t>Convenio De Colaboración</t>
  </si>
  <si>
    <t>De acuerdo con el reporte epidemiológico de la Secretaría de Salud con corte al 3 de agosto, en Hidalgo se han registrado 132 casos de COVID-19 y 9 fallecimientos por esta causa.En las últimas semanas se registraron 17 contagios. Al nivel nacional, Hidalgo se ubica como la entidad con más fallecimientos por COVID-19 y en tercer lugar con más contagios</t>
  </si>
  <si>
    <t>De acuerdo con el reporte epidemiológico de la Secretaría de Salud con corte al 3 de agosto, en Hidalgo se han registrado 132 casos de COVID-19 y 9 fallecimientos por esta causa.En las últimas semanas se registraron 17 contagios. Al nivel nacional, Hidalgo se ubica como la entidad con más fallecimientos por COVID-19 y en tercer lugar con más contagios.En cuanto a casos de influenza, se registran 15 casos y cero defunciones.</t>
  </si>
  <si>
    <t>Un elemento en activo de la Policía Municipal de Villa de Tezontepec, identificado como J.V.P.V., fue capturado durante una intervención ejecutada por la SSPH, la PGJEH, la Defensa y la Guardia Nacional el pasado 6 de agosto. El agente laboraba en tareas de vigilancia comunitaria mientras presuntamente colaboraba con un grupo delictivo vinculado a delitos de robo y narcomenudeo en la región.</t>
  </si>
  <si>
    <t>Detención de policía</t>
  </si>
  <si>
    <t>Gobierno de Hidalgo reconoce labor de parteras tradicionales en el Día Internacional de los Pueblos Indígenas, AUDIO APOYO</t>
  </si>
  <si>
    <t>En el marco del Día Internacional de los Pueblos Indígenas y el festival Tlactoli 2026 realizado en Huejutla, el Gobierno del Estado reconoció el trabajo ancestral de las parteras comunitarias. El titular de la Unidad de Planeación y Prospectiva, Miguel Ángel Tello Vargas, subrayó la vigencia de las raíces culturales, la lengua náhuatl y los conocimientos tradicionales en la Huasteca hidalguense, AUDIO DE APOYO</t>
  </si>
  <si>
    <t>Radioescucha reporta nuevamente volvieron a arrojar su agua de drenaje al canal que cruza por Infonavit de Santa Julia; pide apoyo de las autoridades de la Semarnath, ya que es un olor insoportable.</t>
  </si>
  <si>
    <t>Desde la creación de la colonia El Saucillo, habitantes de las calles 13 de Septiembre y 21 de Marzo solicitaron la introducción de servicios básicos, sin obtener una respuesta por parte de las autoridades locales en turno; para dar solución a una demanda histórica, el alcalde de Mineral de la Reforma, Eduardo Medécigo Rubio, puso en marcha la construcción del drenaje sanitario en dichos puntos.El presidente municipal confirmó que, desde el inicio de su administración, se consideró esta obra como prioritaria. “Esta calle, clave para la movilidad, formará parte de un circuito que interconectará la ciudad con vialidades como Providencia, Chavarría y Petróleos, permitiendo un acceso más ágil y evitando los embotellamientos en estas zonas”, recalcó.Eduardo Medécigo puntualizó que esta obra es complementaria a la que se realiza en la avenida 19 de Marzo, de la misma colonia, proyecto considerado como pionero a nivel nacional, ya que se planeó la construcción de un pozo de infiltración, con una capacidad de un millón de litros cúbicos.</t>
  </si>
  <si>
    <t>Hidalgo, entre los seis mejores estados del país en educación superior</t>
  </si>
  <si>
    <t>Eficiencia terminal</t>
  </si>
  <si>
    <t>El secretario de Educación Pública de Hidalgo, Natividad Castrejón Valdés, dio a conocer que la entidad ascendió a la sexta posición nacional en eficiencia terminal universitaria, al pasar de 76.7 % de egreso en el ciclo 2021-2022 a 83.7 % en el periodo 2024-2025. El funcionario señaló que la meta del gobierno estatal es alcanzar hasta un 88 % al cierre del sexenio, enfocado en evitar la deserción durante la transición de secundaria a bachillerato. AUDIO DE APOYO</t>
  </si>
  <si>
    <t>Vía telefónica Horacio Ríos Cano, subsecretario de Fomento Económico de la Sedeco, con el tema: Expo financiará Hidalgo 2026. Comentó que el próximo 19 de agosto se llevará a cabo la edición 2026 de la Expo Financiera, en donde se presenta al sector empresarial y al público en general una cantidad de alternativas de financiamiento para fortalecer sus negocios o realizar sus proyectos. El evento está abierto al público en general; principalmente está dirigido a micro, pequeñas y medianas empresas.</t>
  </si>
  <si>
    <t>Con la finalidad de impulsar la lectura y escritura en educación básica, la Secretaría de Educación Pública entregó nuevos lotes de libros y capacitación pedagógica en planteles de Mineral de la Reforma y Tulancingo. En Mineral de la Reforma se benefició a 1,353 alumnos de nueve escuelas primarias, mientras que en Tulancingo se fortaleció la biblioteca escolar de la primaria Justo Sierra en favor de 220 estudiantes.</t>
  </si>
  <si>
    <t>Fomento A La Lectura</t>
  </si>
  <si>
    <t>Unidad de Planeación avanza en la elaboración del Plan Maestro de Imagen Urbana de la Zona Metropolitana de Tulancingo, AUDIO APOYO</t>
  </si>
  <si>
    <t>Imagen Urbana</t>
  </si>
  <si>
    <t>Radioescucha reporta que en el hospital que está en Madero, las enfermeras y doctores no la quisieron atender, que porque la herida que tenía no necesitaba sutura.</t>
  </si>
  <si>
    <t>Inatención</t>
  </si>
  <si>
    <t>Un incendio que se extendió por más de 30 horas en el relleno sanitario del municipio de Jacala de Ledezma fue sofocado en su totalidad por brigadas de la Guardia Nacional, la Secretaría de la Defensa Nacional, la SSPH y Protección Civil. La alcaldesa Kendra Martínez Sánchez confirmó que el fuego fue iniciado de manera intencional por un particular, por lo que el ayuntamiento interpondrá la denuncia correspondiente ante la PGJEH. AUDIO DE APOYO</t>
  </si>
  <si>
    <t>Incendio de basurero</t>
  </si>
  <si>
    <t>Radioescucha reporta nuevamente un tráiler que pasa por calle Arrayanes en la colonia Piracantos, es una unidad muy pesada, y ya rompió varias tomas de agua; es de una ferretería. El chofer dice que el dueño es amigo del gobernador y por eso no le van a hacer nada</t>
  </si>
  <si>
    <t>Influyentismo</t>
  </si>
  <si>
    <t>Ante el reciente reconocimiento por parte de autoridades estatales de la existencia de casos de reclutamiento de niñas, niños y adolescentes por parte de organizaciones delictivas en Hidalgo, la diputada Karla Perales Arrieta, del grupo legislativo de Movimiento Ciudadano, hizo un llamado a avanzar en la aprobación de la iniciativa de ley que busca prevenir, atender y erradicar este fenómeno en la entidad.Durante un posicionamiento en el Congreso del Estado, la legisladora destacó que, aunque la incidencia registrada en Hidalgo es menor en comparación con otras entidades del país, el hecho de que existan casos confirma que el estado no es ajeno a una problemática que vulnera gravemente los derechos de la niñez y la adolescencia.Subrayó que detrás de cada caso existe una historia marcada por la violencia, la interrupción de proyectos de vida y la vulneración de derechos fundamentales, por lo que la prevención debe prevalecer sobre cualquier acción reactiva.</t>
  </si>
  <si>
    <t>La investigadora Yuridia Mercado Flores, de la Universidad Politécnica de Pachuca (UPP), encabeza el desarrollo de una alternativa biológica a base de microorganismos capaces de potenciar hasta un 40 % el rendimiento del maíz criollo. El proyecto agrobiotecnológico combate hongos e infecciones en cultivos de maíz, granada y café, con el objetivo de reducir el uso de fertilizantes químicos en el Valle del Mezquital. AUDIO DE APOYO</t>
  </si>
  <si>
    <t>Investigación académica</t>
  </si>
  <si>
    <t>Radioescucha pide apoyo para limpieza en boulevard que va para Tulipanes, tiene mucha hierba, pide el programa de parques y jardines.</t>
  </si>
  <si>
    <t>Un joven de 24 años de edad fue localizado con vida, inconsciente, con varias lesiones en parte de su cuerpo. Fue encontrado en camino al Chirgo en la comunidad de Bomintzha, ubicada en el municipio de Tula de Allende, todo parece indicar que tuvo un accidente con una motocicleta que manejaba.</t>
  </si>
  <si>
    <t>Un joven de 16 años de edad, reportado como desaparecido tras salir hacia la zona de cerros en Mineral de la Reforma, fue ubicado con vida en un predio del fraccionamiento Colinas de Plata. El hallazgo se logró mediante el despliegue de drones del C2 municipal y agentes preventivos; el menor presentó deshidratación leve y raspaduras que no requirieron hospitalización.</t>
  </si>
  <si>
    <t>Mónica Mixtega fue cuestionada sobre los trabajos para combatir el lirio acuático en la presa Endhó, comentó se trabaja en una estrategia para la trituración, y también mencionó que los trabajos se realizan en acompañamiento de la Federación. El día de hoy se trabaja con las tres máquinas trituradoras, pidiendo a la ciudadanía paciencia, ya que estas máquinas trabajan dos turnos y, en las condiciones en las que trabajan, a veces hacen difíciles las maniobras. Confirmo que la federación mandará más maquinaria en el mes de septiembre para seguir con los trabajos, AUDIO APOYO</t>
  </si>
  <si>
    <t>Durante la sesión de preguntas y respuestas en la conferencia de los lunes de gobierno de Hidalgo, la secretaria del Medio Ambiente, aquí en Hidalgo, Mónica Mixtega, fue cuestionada sobre el proyecto del relleno sanitario de Tula, que se ubica en el terreno ubicado 7 mezquites, AUDIO APOYO</t>
  </si>
  <si>
    <t>Durante la conferencia de los lunes del gobierno de Hidalgo, la secretaria de Hacienda, Esther Ramírez Vargas , informó que el Estado obtuvo el primer lugar nacional del Fondo Nacional de Participaciones hacia el fortalecimiento de los recursos propios, dijo que esto es evidencia de la construcción de un Estado con finanzas sanas, AUDIO APOYO</t>
  </si>
  <si>
    <t>En representación del secretario de Gobierno, Guillermo Olivares Reyna, la subsecretaria de Desarrollo Político, Bertha Miranda Rodríguez, encabezó la sesión de seguimiento a las Mesas de Acercamiento para la Paz y el Bienestar en el municipio de Huazalingo. Durante la jornada, funcionarios de los tres órdenes de gobierno rindieron cuentas sobre solicitudes en materia de educación, salud, seguridad y asuntos agrarios. AUDIO DE APOYO</t>
  </si>
  <si>
    <t>La secretaria de Turismo de Hidalgo, Elizabeth Quintanar Gómez, anunció el arranque de la primera etapa de construcción del Parador Turístico Cardonal, proyecto que requerirá una inversión global de 56 millones de pesos. El espacio contará con estacionamiento para autobuses, nueve locales gastronómicos, áreas para medicina tradicional, artesanías y un foro cultural para impulsar la economía de la zona. AUDIO DE APOYO.</t>
  </si>
  <si>
    <t>La Secretaría de Bienestar e Inclusión Social ha entregado más de 27 mil tarjetas bancarias de los programas "Bienestar y Desarrollo" y "Madres Trabajadoras", dispersando una bolsa de 270 millones de pesos. La dependencia prevé cerrar esta fase con 39 mil beneficiarios atendidos en zonas de alta marginación y municipios afectados por contingencias meteorológicas.</t>
  </si>
  <si>
    <t>Programas Del Pueblo</t>
  </si>
  <si>
    <t>Radioescucha reporta las colectivas, son cafres al manejar, se pasan los altos ,son pesimas y tenemos siempre que esperarlas</t>
  </si>
  <si>
    <t>En el marco de la Jornada Nacional de Reforestación 2026 convocada por la presidenta de México, Claudia Sheinbaum Pardo, el gobernador Julio Menchaca Salazar encabezó la distribución de dos millones de plantas forestales desde el Parque Nacional El Chico para los 84 municipios de Hidalgo. Ante más de mil voluntarios, el mandatario destacó que estas acciones fortalecen los programas "Reforestar para Transformar" y "Esferas de Vida", además de combatir las afectaciones causadas por el gusano descortezador en zonas arboladas de la entidad. AUDIO APOYO</t>
  </si>
  <si>
    <t>Hoy inicia SIPDUS sustitución de pavimento por concreto hidráulico en el bulevar Felipe Ángeles</t>
  </si>
  <si>
    <t>Concluyen Asambleas informativas para la Relocalización;familias recibirán apoyo único</t>
  </si>
  <si>
    <t>Un masculino resultó con lesiones de bala tras sostener una riña contra sujetos desconocidos en las inmediaciones de la colonia El Bondo, perteneciente al municipio de Mixquiahuala. Cuerpos de seguridad implementaron un operativo de búsqueda en la zona sin registrar la detención de personas vinculadas al incidente.</t>
  </si>
  <si>
    <t>riña</t>
  </si>
  <si>
    <t>Un comando de tres sujetos perpetró un robo al interior de la sucursal Coppel ubicada en Plaza Alameda, Tizayuca, apoderándose de 66 equipos de telefonía celular y diversos aparatos electrodomésticos. Tras el atraco, elementos de la policía municipal emprendieron una persecución sobre la vía pública hacia Tecámac, Estado de México, donde los presuntos delincuentes lograron darse a la fuga.</t>
  </si>
  <si>
    <t>Robo a comercio</t>
  </si>
  <si>
    <t>Un hombre identificado como Jesús “N” fue sentenciado a cuatro años de prisión por el delito de portación de arma de fuego de uso exclusivo de las Fuerzas Armadas, luego de que la Fiscalía General de la República (FGR) acreditó su responsabilidad.La condena fue dictada por un juez de control mediante un procedimiento abreviado. Además de la pena de cárcel, se le impuso una multa, una amonestación, la suspensión de sus derechos civiles y políticos, así como el decomiso del arma y demás objetos bélicos asegurados. Los hechos se originaron tras su detención en la colonia Tianguistengo La Romera, en el municipio de Tepeji del Río</t>
  </si>
  <si>
    <t>Sentencia</t>
  </si>
  <si>
    <t>A través de la estrategia "Superagentes", la Secretaría de la Contraloría de Hidalgo participó en el evento Innovakids "Transforma tu Futuro", capacitando a más de 100 niñas y niños en dinámicas sobre honestidad, transparencia y combate a la corrupción. El contralor Álvaro Bardales Ramírez enfatizó que la formación ética infantil es determinante para consolidar instituciones transparentes.</t>
  </si>
  <si>
    <t>Contraloría</t>
  </si>
  <si>
    <t>Súper Agentes</t>
  </si>
  <si>
    <t>Radioescucha reporta vialidad en mal estado, calle Juan Diego en la colonia Guadalupe</t>
  </si>
  <si>
    <t>Vialidad En Mal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</si>
</sst>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9" tableType="queryTable" totalsRowShown="0">
  <autoFilter ref="A1:M15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9"/>
  <sheetViews>
    <sheetView tabSelected="1" workbookViewId="0"/>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29"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46241</v>
      </c>
      <c r="B2" s="1" t="str">
        <f ca="1">IF(Información1[[#This Row],[Fecha]]='Ajuste de fechas'!$A$2,"Día actual","Día anterior")</f>
        <v>Día anterior</v>
      </c>
      <c r="C2" t="s">
        <v>28</v>
      </c>
      <c r="D2" t="s">
        <v>65</v>
      </c>
      <c r="E2" t="s">
        <v>123</v>
      </c>
      <c r="F2" t="s">
        <v>19</v>
      </c>
      <c r="G2" t="s">
        <v>114</v>
      </c>
      <c r="H2" t="s">
        <v>11</v>
      </c>
      <c r="I2" t="s">
        <v>7</v>
      </c>
      <c r="J2" t="s">
        <v>43</v>
      </c>
      <c r="K2" t="s">
        <v>66</v>
      </c>
      <c r="L2" t="s">
        <v>40</v>
      </c>
      <c r="M2">
        <v>1</v>
      </c>
    </row>
    <row r="3" spans="1:13" x14ac:dyDescent="0.25">
      <c r="A3" s="2">
        <v>46241</v>
      </c>
      <c r="B3" s="1" t="str">
        <f ca="1">IF(Información1[[#This Row],[Fecha]]='Ajuste de fechas'!$A$2,"Día actual","Día anterior")</f>
        <v>Día anterior</v>
      </c>
      <c r="C3" t="s">
        <v>28</v>
      </c>
      <c r="D3" t="s">
        <v>65</v>
      </c>
      <c r="E3" t="s">
        <v>124</v>
      </c>
      <c r="F3" t="s">
        <v>19</v>
      </c>
      <c r="G3" t="s">
        <v>125</v>
      </c>
      <c r="H3" t="s">
        <v>11</v>
      </c>
      <c r="I3" t="s">
        <v>7</v>
      </c>
      <c r="J3" t="s">
        <v>43</v>
      </c>
      <c r="K3" t="s">
        <v>66</v>
      </c>
      <c r="L3" t="s">
        <v>40</v>
      </c>
      <c r="M3">
        <v>1</v>
      </c>
    </row>
    <row r="4" spans="1:13" x14ac:dyDescent="0.25">
      <c r="A4" s="2">
        <v>46241</v>
      </c>
      <c r="B4" s="1" t="str">
        <f ca="1">IF(Información1[[#This Row],[Fecha]]='Ajuste de fechas'!$A$2,"Día actual","Día anterior")</f>
        <v>Día anterior</v>
      </c>
      <c r="C4" t="s">
        <v>28</v>
      </c>
      <c r="D4" t="s">
        <v>65</v>
      </c>
      <c r="E4" t="s">
        <v>126</v>
      </c>
      <c r="F4" t="s">
        <v>22</v>
      </c>
      <c r="G4" t="s">
        <v>93</v>
      </c>
      <c r="H4" t="s">
        <v>11</v>
      </c>
      <c r="I4" t="s">
        <v>7</v>
      </c>
      <c r="J4" t="s">
        <v>44</v>
      </c>
      <c r="K4" t="s">
        <v>66</v>
      </c>
      <c r="L4" t="s">
        <v>40</v>
      </c>
      <c r="M4">
        <v>1</v>
      </c>
    </row>
    <row r="5" spans="1:13" x14ac:dyDescent="0.25">
      <c r="A5" s="2">
        <v>46241</v>
      </c>
      <c r="B5" s="1" t="str">
        <f ca="1">IF(Información1[[#This Row],[Fecha]]='Ajuste de fechas'!$A$2,"Día actual","Día anterior")</f>
        <v>Día anterior</v>
      </c>
      <c r="C5" t="s">
        <v>28</v>
      </c>
      <c r="D5" t="s">
        <v>65</v>
      </c>
      <c r="E5" t="s">
        <v>127</v>
      </c>
      <c r="F5" t="s">
        <v>22</v>
      </c>
      <c r="G5" t="s">
        <v>128</v>
      </c>
      <c r="H5" t="s">
        <v>11</v>
      </c>
      <c r="I5" t="s">
        <v>7</v>
      </c>
      <c r="J5" t="s">
        <v>44</v>
      </c>
      <c r="K5" t="s">
        <v>66</v>
      </c>
      <c r="L5" t="s">
        <v>40</v>
      </c>
      <c r="M5">
        <v>1</v>
      </c>
    </row>
    <row r="6" spans="1:13" x14ac:dyDescent="0.25">
      <c r="A6" s="2">
        <v>46241</v>
      </c>
      <c r="B6" s="1" t="str">
        <f ca="1">IF(Información1[[#This Row],[Fecha]]='Ajuste de fechas'!$A$2,"Día actual","Día anterior")</f>
        <v>Día anterior</v>
      </c>
      <c r="C6" t="s">
        <v>28</v>
      </c>
      <c r="D6" t="s">
        <v>65</v>
      </c>
      <c r="E6" t="s">
        <v>129</v>
      </c>
      <c r="F6" t="s">
        <v>24</v>
      </c>
      <c r="G6" t="s">
        <v>130</v>
      </c>
      <c r="H6" t="s">
        <v>11</v>
      </c>
      <c r="I6" t="s">
        <v>7</v>
      </c>
      <c r="J6" t="s">
        <v>24</v>
      </c>
      <c r="K6" t="s">
        <v>66</v>
      </c>
      <c r="L6" t="s">
        <v>40</v>
      </c>
      <c r="M6">
        <v>1</v>
      </c>
    </row>
    <row r="7" spans="1:13" x14ac:dyDescent="0.25">
      <c r="A7" s="2">
        <v>46241</v>
      </c>
      <c r="B7" s="1" t="str">
        <f ca="1">IF(Información1[[#This Row],[Fecha]]='Ajuste de fechas'!$A$2,"Día actual","Día anterior")</f>
        <v>Día anterior</v>
      </c>
      <c r="C7" t="s">
        <v>28</v>
      </c>
      <c r="D7" t="s">
        <v>65</v>
      </c>
      <c r="E7" t="s">
        <v>131</v>
      </c>
      <c r="F7" t="s">
        <v>117</v>
      </c>
      <c r="G7" t="s">
        <v>132</v>
      </c>
      <c r="H7" t="s">
        <v>11</v>
      </c>
      <c r="I7" t="s">
        <v>7</v>
      </c>
      <c r="J7" t="s">
        <v>39</v>
      </c>
      <c r="K7" t="s">
        <v>66</v>
      </c>
      <c r="L7" t="s">
        <v>40</v>
      </c>
      <c r="M7">
        <v>1</v>
      </c>
    </row>
    <row r="8" spans="1:13" x14ac:dyDescent="0.25">
      <c r="A8" s="2">
        <v>46241</v>
      </c>
      <c r="B8" s="1" t="str">
        <f ca="1">IF(Información1[[#This Row],[Fecha]]='Ajuste de fechas'!$A$2,"Día actual","Día anterior")</f>
        <v>Día anterior</v>
      </c>
      <c r="C8" t="s">
        <v>28</v>
      </c>
      <c r="D8" t="s">
        <v>65</v>
      </c>
      <c r="E8" t="s">
        <v>121</v>
      </c>
      <c r="F8" t="s">
        <v>15</v>
      </c>
      <c r="G8" t="s">
        <v>122</v>
      </c>
      <c r="H8" t="s">
        <v>11</v>
      </c>
      <c r="I8" t="s">
        <v>7</v>
      </c>
      <c r="J8" t="s">
        <v>39</v>
      </c>
      <c r="K8" t="s">
        <v>66</v>
      </c>
      <c r="L8" t="s">
        <v>42</v>
      </c>
      <c r="M8">
        <v>1</v>
      </c>
    </row>
    <row r="9" spans="1:13" x14ac:dyDescent="0.25">
      <c r="A9" s="2">
        <v>46241</v>
      </c>
      <c r="B9" s="1" t="str">
        <f ca="1">IF(Información1[[#This Row],[Fecha]]='Ajuste de fechas'!$A$2,"Día actual","Día anterior")</f>
        <v>Día anterior</v>
      </c>
      <c r="C9" t="s">
        <v>28</v>
      </c>
      <c r="D9" t="s">
        <v>65</v>
      </c>
      <c r="E9" t="s">
        <v>115</v>
      </c>
      <c r="F9" t="s">
        <v>97</v>
      </c>
      <c r="G9" t="s">
        <v>133</v>
      </c>
      <c r="H9" t="s">
        <v>11</v>
      </c>
      <c r="I9" t="s">
        <v>7</v>
      </c>
      <c r="J9" t="s">
        <v>39</v>
      </c>
      <c r="K9" t="s">
        <v>66</v>
      </c>
      <c r="L9" t="s">
        <v>42</v>
      </c>
      <c r="M9">
        <v>1</v>
      </c>
    </row>
    <row r="10" spans="1:13" x14ac:dyDescent="0.25">
      <c r="A10" s="2">
        <v>46241</v>
      </c>
      <c r="B10" s="1" t="str">
        <f ca="1">IF(Información1[[#This Row],[Fecha]]='Ajuste de fechas'!$A$2,"Día actual","Día anterior")</f>
        <v>Día anterior</v>
      </c>
      <c r="C10" t="s">
        <v>28</v>
      </c>
      <c r="D10" t="s">
        <v>65</v>
      </c>
      <c r="E10" t="s">
        <v>134</v>
      </c>
      <c r="F10" t="s">
        <v>24</v>
      </c>
      <c r="G10" t="s">
        <v>104</v>
      </c>
      <c r="H10" t="s">
        <v>11</v>
      </c>
      <c r="I10" t="s">
        <v>7</v>
      </c>
      <c r="J10" t="s">
        <v>24</v>
      </c>
      <c r="K10" t="s">
        <v>66</v>
      </c>
      <c r="L10" t="s">
        <v>70</v>
      </c>
      <c r="M10">
        <v>1</v>
      </c>
    </row>
    <row r="11" spans="1:13" x14ac:dyDescent="0.25">
      <c r="A11" s="2">
        <v>46241</v>
      </c>
      <c r="B11" s="1" t="str">
        <f ca="1">IF(Información1[[#This Row],[Fecha]]='Ajuste de fechas'!$A$2,"Día actual","Día anterior")</f>
        <v>Día anterior</v>
      </c>
      <c r="C11" t="s">
        <v>28</v>
      </c>
      <c r="D11" t="s">
        <v>72</v>
      </c>
      <c r="E11" t="s">
        <v>135</v>
      </c>
      <c r="F11" t="s">
        <v>19</v>
      </c>
      <c r="G11" t="s">
        <v>136</v>
      </c>
      <c r="H11" t="s">
        <v>11</v>
      </c>
      <c r="I11" t="s">
        <v>25</v>
      </c>
      <c r="J11" t="s">
        <v>43</v>
      </c>
      <c r="K11" t="s">
        <v>73</v>
      </c>
      <c r="L11" t="s">
        <v>40</v>
      </c>
      <c r="M11">
        <v>1</v>
      </c>
    </row>
    <row r="12" spans="1:13" x14ac:dyDescent="0.25">
      <c r="A12" s="2">
        <v>46241</v>
      </c>
      <c r="B12" s="1" t="str">
        <f ca="1">IF(Información1[[#This Row],[Fecha]]='Ajuste de fechas'!$A$2,"Día actual","Día anterior")</f>
        <v>Día anterior</v>
      </c>
      <c r="C12" t="s">
        <v>28</v>
      </c>
      <c r="D12" t="s">
        <v>72</v>
      </c>
      <c r="E12" t="s">
        <v>137</v>
      </c>
      <c r="F12" t="s">
        <v>19</v>
      </c>
      <c r="G12" t="s">
        <v>138</v>
      </c>
      <c r="H12" t="s">
        <v>11</v>
      </c>
      <c r="I12" t="s">
        <v>7</v>
      </c>
      <c r="J12" t="s">
        <v>43</v>
      </c>
      <c r="K12" t="s">
        <v>73</v>
      </c>
      <c r="L12" t="s">
        <v>40</v>
      </c>
      <c r="M12">
        <v>1</v>
      </c>
    </row>
    <row r="13" spans="1:13" x14ac:dyDescent="0.25">
      <c r="A13" s="2">
        <v>46241</v>
      </c>
      <c r="B13" s="1" t="str">
        <f ca="1">IF(Información1[[#This Row],[Fecha]]='Ajuste de fechas'!$A$2,"Día actual","Día anterior")</f>
        <v>Día anterior</v>
      </c>
      <c r="C13" t="s">
        <v>28</v>
      </c>
      <c r="D13" t="s">
        <v>72</v>
      </c>
      <c r="E13" t="s">
        <v>139</v>
      </c>
      <c r="F13" t="s">
        <v>97</v>
      </c>
      <c r="G13" t="s">
        <v>133</v>
      </c>
      <c r="H13" t="s">
        <v>11</v>
      </c>
      <c r="I13" t="s">
        <v>7</v>
      </c>
      <c r="J13" t="s">
        <v>39</v>
      </c>
      <c r="K13" t="s">
        <v>73</v>
      </c>
      <c r="L13" t="s">
        <v>40</v>
      </c>
      <c r="M13">
        <v>1</v>
      </c>
    </row>
    <row r="14" spans="1:13" x14ac:dyDescent="0.25">
      <c r="A14" s="2">
        <v>46241</v>
      </c>
      <c r="B14" s="1" t="str">
        <f ca="1">IF(Información1[[#This Row],[Fecha]]='Ajuste de fechas'!$A$2,"Día actual","Día anterior")</f>
        <v>Día anterior</v>
      </c>
      <c r="C14" t="s">
        <v>28</v>
      </c>
      <c r="D14" t="s">
        <v>72</v>
      </c>
      <c r="E14" t="s">
        <v>140</v>
      </c>
      <c r="F14" t="s">
        <v>31</v>
      </c>
      <c r="G14" t="s">
        <v>141</v>
      </c>
      <c r="H14" t="s">
        <v>11</v>
      </c>
      <c r="I14" t="s">
        <v>7</v>
      </c>
      <c r="J14" t="s">
        <v>39</v>
      </c>
      <c r="K14" t="s">
        <v>73</v>
      </c>
      <c r="L14" t="s">
        <v>40</v>
      </c>
      <c r="M14">
        <v>1</v>
      </c>
    </row>
    <row r="15" spans="1:13" x14ac:dyDescent="0.25">
      <c r="A15" s="2">
        <v>46241</v>
      </c>
      <c r="B15" s="1" t="str">
        <f ca="1">IF(Información1[[#This Row],[Fecha]]='Ajuste de fechas'!$A$2,"Día actual","Día anterior")</f>
        <v>Día anterior</v>
      </c>
      <c r="C15" t="s">
        <v>28</v>
      </c>
      <c r="D15" t="s">
        <v>72</v>
      </c>
      <c r="E15" t="s">
        <v>142</v>
      </c>
      <c r="F15" t="s">
        <v>117</v>
      </c>
      <c r="G15" t="s">
        <v>118</v>
      </c>
      <c r="H15" t="s">
        <v>11</v>
      </c>
      <c r="I15" t="s">
        <v>7</v>
      </c>
      <c r="J15" t="s">
        <v>39</v>
      </c>
      <c r="K15" t="s">
        <v>73</v>
      </c>
      <c r="L15" t="s">
        <v>40</v>
      </c>
      <c r="M15">
        <v>1</v>
      </c>
    </row>
    <row r="16" spans="1:13" x14ac:dyDescent="0.25">
      <c r="A16" s="2">
        <v>46241</v>
      </c>
      <c r="B16" s="1" t="str">
        <f ca="1">IF(Información1[[#This Row],[Fecha]]='Ajuste de fechas'!$A$2,"Día actual","Día anterior")</f>
        <v>Día anterior</v>
      </c>
      <c r="C16" t="s">
        <v>28</v>
      </c>
      <c r="D16" t="s">
        <v>72</v>
      </c>
      <c r="E16" t="s">
        <v>143</v>
      </c>
      <c r="F16" t="s">
        <v>94</v>
      </c>
      <c r="G16" t="s">
        <v>144</v>
      </c>
      <c r="H16" t="s">
        <v>11</v>
      </c>
      <c r="I16" t="s">
        <v>7</v>
      </c>
      <c r="J16" t="s">
        <v>39</v>
      </c>
      <c r="K16" t="s">
        <v>73</v>
      </c>
      <c r="L16" t="s">
        <v>40</v>
      </c>
      <c r="M16">
        <v>1</v>
      </c>
    </row>
    <row r="17" spans="1:13" x14ac:dyDescent="0.25">
      <c r="A17" s="2">
        <v>46241</v>
      </c>
      <c r="B17" s="1" t="str">
        <f ca="1">IF(Información1[[#This Row],[Fecha]]='Ajuste de fechas'!$A$2,"Día actual","Día anterior")</f>
        <v>Día anterior</v>
      </c>
      <c r="C17" t="s">
        <v>28</v>
      </c>
      <c r="D17" t="s">
        <v>72</v>
      </c>
      <c r="E17" t="s">
        <v>145</v>
      </c>
      <c r="F17" t="s">
        <v>89</v>
      </c>
      <c r="G17" t="s">
        <v>113</v>
      </c>
      <c r="H17" t="s">
        <v>11</v>
      </c>
      <c r="I17" t="s">
        <v>7</v>
      </c>
      <c r="J17" t="s">
        <v>39</v>
      </c>
      <c r="K17" t="s">
        <v>73</v>
      </c>
      <c r="L17" t="s">
        <v>40</v>
      </c>
      <c r="M17">
        <v>1</v>
      </c>
    </row>
    <row r="18" spans="1:13" x14ac:dyDescent="0.25">
      <c r="A18" s="2">
        <v>46241</v>
      </c>
      <c r="B18" s="1" t="str">
        <f ca="1">IF(Información1[[#This Row],[Fecha]]='Ajuste de fechas'!$A$2,"Día actual","Día anterior")</f>
        <v>Día anterior</v>
      </c>
      <c r="C18" t="s">
        <v>28</v>
      </c>
      <c r="D18" t="s">
        <v>72</v>
      </c>
      <c r="E18" t="s">
        <v>146</v>
      </c>
      <c r="F18" t="s">
        <v>22</v>
      </c>
      <c r="G18" t="s">
        <v>107</v>
      </c>
      <c r="H18" t="s">
        <v>11</v>
      </c>
      <c r="I18" t="s">
        <v>7</v>
      </c>
      <c r="J18" t="s">
        <v>44</v>
      </c>
      <c r="K18" t="s">
        <v>73</v>
      </c>
      <c r="L18" t="s">
        <v>40</v>
      </c>
      <c r="M18">
        <v>1</v>
      </c>
    </row>
    <row r="19" spans="1:13" x14ac:dyDescent="0.25">
      <c r="A19" s="2">
        <v>46241</v>
      </c>
      <c r="B19" s="1" t="str">
        <f ca="1">IF(Información1[[#This Row],[Fecha]]='Ajuste de fechas'!$A$2,"Día actual","Día anterior")</f>
        <v>Día anterior</v>
      </c>
      <c r="C19" t="s">
        <v>28</v>
      </c>
      <c r="D19" t="s">
        <v>72</v>
      </c>
      <c r="E19" t="s">
        <v>147</v>
      </c>
      <c r="F19" t="s">
        <v>22</v>
      </c>
      <c r="G19" t="s">
        <v>85</v>
      </c>
      <c r="H19" t="s">
        <v>11</v>
      </c>
      <c r="I19" t="s">
        <v>7</v>
      </c>
      <c r="J19" t="s">
        <v>44</v>
      </c>
      <c r="K19" t="s">
        <v>73</v>
      </c>
      <c r="L19" t="s">
        <v>40</v>
      </c>
      <c r="M19">
        <v>1</v>
      </c>
    </row>
    <row r="20" spans="1:13" x14ac:dyDescent="0.25">
      <c r="A20" s="2">
        <v>46241</v>
      </c>
      <c r="B20" s="1" t="str">
        <f ca="1">IF(Información1[[#This Row],[Fecha]]='Ajuste de fechas'!$A$2,"Día actual","Día anterior")</f>
        <v>Día anterior</v>
      </c>
      <c r="C20" t="s">
        <v>28</v>
      </c>
      <c r="D20" t="s">
        <v>72</v>
      </c>
      <c r="E20" t="s">
        <v>148</v>
      </c>
      <c r="F20" t="s">
        <v>48</v>
      </c>
      <c r="G20" t="s">
        <v>100</v>
      </c>
      <c r="H20" t="s">
        <v>11</v>
      </c>
      <c r="I20" t="s">
        <v>7</v>
      </c>
      <c r="J20" t="s">
        <v>39</v>
      </c>
      <c r="K20" t="s">
        <v>73</v>
      </c>
      <c r="L20" t="s">
        <v>40</v>
      </c>
      <c r="M20">
        <v>1</v>
      </c>
    </row>
    <row r="21" spans="1:13" x14ac:dyDescent="0.25">
      <c r="A21" s="2">
        <v>46241</v>
      </c>
      <c r="B21" s="1" t="str">
        <f ca="1">IF(Información1[[#This Row],[Fecha]]='Ajuste de fechas'!$A$2,"Día actual","Día anterior")</f>
        <v>Día anterior</v>
      </c>
      <c r="C21" t="s">
        <v>28</v>
      </c>
      <c r="D21" t="s">
        <v>72</v>
      </c>
      <c r="E21" t="s">
        <v>149</v>
      </c>
      <c r="F21" t="s">
        <v>23</v>
      </c>
      <c r="G21" t="s">
        <v>83</v>
      </c>
      <c r="H21" t="s">
        <v>11</v>
      </c>
      <c r="I21" t="s">
        <v>7</v>
      </c>
      <c r="J21" t="s">
        <v>39</v>
      </c>
      <c r="K21" t="s">
        <v>73</v>
      </c>
      <c r="L21" t="s">
        <v>40</v>
      </c>
      <c r="M21">
        <v>1</v>
      </c>
    </row>
    <row r="22" spans="1:13" x14ac:dyDescent="0.25">
      <c r="A22" s="2">
        <v>46241</v>
      </c>
      <c r="B22" s="1" t="str">
        <f ca="1">IF(Información1[[#This Row],[Fecha]]='Ajuste de fechas'!$A$2,"Día actual","Día anterior")</f>
        <v>Día anterior</v>
      </c>
      <c r="C22" t="s">
        <v>28</v>
      </c>
      <c r="D22" t="s">
        <v>72</v>
      </c>
      <c r="E22" t="s">
        <v>150</v>
      </c>
      <c r="F22" t="s">
        <v>23</v>
      </c>
      <c r="G22" t="s">
        <v>83</v>
      </c>
      <c r="H22" t="s">
        <v>11</v>
      </c>
      <c r="I22" t="s">
        <v>7</v>
      </c>
      <c r="J22" t="s">
        <v>39</v>
      </c>
      <c r="K22" t="s">
        <v>73</v>
      </c>
      <c r="L22" t="s">
        <v>40</v>
      </c>
      <c r="M22">
        <v>1</v>
      </c>
    </row>
    <row r="23" spans="1:13" x14ac:dyDescent="0.25">
      <c r="A23" s="2">
        <v>46241</v>
      </c>
      <c r="B23" s="1" t="str">
        <f ca="1">IF(Información1[[#This Row],[Fecha]]='Ajuste de fechas'!$A$2,"Día actual","Día anterior")</f>
        <v>Día anterior</v>
      </c>
      <c r="C23" t="s">
        <v>28</v>
      </c>
      <c r="D23" t="s">
        <v>72</v>
      </c>
      <c r="E23" t="s">
        <v>151</v>
      </c>
      <c r="F23" t="s">
        <v>19</v>
      </c>
      <c r="G23" t="s">
        <v>152</v>
      </c>
      <c r="H23" t="s">
        <v>11</v>
      </c>
      <c r="I23" t="s">
        <v>7</v>
      </c>
      <c r="J23" t="s">
        <v>43</v>
      </c>
      <c r="K23" t="s">
        <v>73</v>
      </c>
      <c r="L23" t="s">
        <v>40</v>
      </c>
      <c r="M23">
        <v>1</v>
      </c>
    </row>
    <row r="24" spans="1:13" x14ac:dyDescent="0.25">
      <c r="A24" s="2">
        <v>46241</v>
      </c>
      <c r="B24" s="1" t="str">
        <f ca="1">IF(Información1[[#This Row],[Fecha]]='Ajuste de fechas'!$A$2,"Día actual","Día anterior")</f>
        <v>Día anterior</v>
      </c>
      <c r="C24" t="s">
        <v>28</v>
      </c>
      <c r="D24" t="s">
        <v>72</v>
      </c>
      <c r="E24" t="s">
        <v>153</v>
      </c>
      <c r="F24" t="s">
        <v>22</v>
      </c>
      <c r="G24" t="s">
        <v>85</v>
      </c>
      <c r="H24" t="s">
        <v>11</v>
      </c>
      <c r="I24" t="s">
        <v>7</v>
      </c>
      <c r="J24" t="s">
        <v>44</v>
      </c>
      <c r="K24" t="s">
        <v>73</v>
      </c>
      <c r="L24" t="s">
        <v>40</v>
      </c>
      <c r="M24">
        <v>1</v>
      </c>
    </row>
    <row r="25" spans="1:13" x14ac:dyDescent="0.25">
      <c r="A25" s="2">
        <v>46241</v>
      </c>
      <c r="B25" s="1" t="str">
        <f ca="1">IF(Información1[[#This Row],[Fecha]]='Ajuste de fechas'!$A$2,"Día actual","Día anterior")</f>
        <v>Día anterior</v>
      </c>
      <c r="C25" t="s">
        <v>28</v>
      </c>
      <c r="D25" t="s">
        <v>72</v>
      </c>
      <c r="E25" t="s">
        <v>154</v>
      </c>
      <c r="F25" t="s">
        <v>117</v>
      </c>
      <c r="G25" t="s">
        <v>155</v>
      </c>
      <c r="H25" t="s">
        <v>11</v>
      </c>
      <c r="I25" t="s">
        <v>7</v>
      </c>
      <c r="J25" t="s">
        <v>39</v>
      </c>
      <c r="K25" t="s">
        <v>73</v>
      </c>
      <c r="L25" t="s">
        <v>40</v>
      </c>
      <c r="M25">
        <v>1</v>
      </c>
    </row>
    <row r="26" spans="1:13" x14ac:dyDescent="0.25">
      <c r="A26" s="2">
        <v>46241</v>
      </c>
      <c r="B26" s="1" t="str">
        <f ca="1">IF(Información1[[#This Row],[Fecha]]='Ajuste de fechas'!$A$2,"Día actual","Día anterior")</f>
        <v>Día anterior</v>
      </c>
      <c r="C26" t="s">
        <v>28</v>
      </c>
      <c r="D26" t="s">
        <v>72</v>
      </c>
      <c r="E26" t="s">
        <v>156</v>
      </c>
      <c r="F26" t="s">
        <v>26</v>
      </c>
      <c r="G26" t="s">
        <v>76</v>
      </c>
      <c r="H26" t="s">
        <v>11</v>
      </c>
      <c r="I26" t="s">
        <v>7</v>
      </c>
      <c r="J26" t="s">
        <v>39</v>
      </c>
      <c r="K26" t="s">
        <v>73</v>
      </c>
      <c r="L26" t="s">
        <v>40</v>
      </c>
      <c r="M26">
        <v>1</v>
      </c>
    </row>
    <row r="27" spans="1:13" x14ac:dyDescent="0.25">
      <c r="A27" s="2">
        <v>46241</v>
      </c>
      <c r="B27" s="1" t="str">
        <f ca="1">IF(Información1[[#This Row],[Fecha]]='Ajuste de fechas'!$A$2,"Día actual","Día anterior")</f>
        <v>Día anterior</v>
      </c>
      <c r="C27" t="s">
        <v>28</v>
      </c>
      <c r="D27" t="s">
        <v>72</v>
      </c>
      <c r="E27" t="s">
        <v>157</v>
      </c>
      <c r="F27" t="s">
        <v>26</v>
      </c>
      <c r="G27" t="s">
        <v>76</v>
      </c>
      <c r="H27" t="s">
        <v>11</v>
      </c>
      <c r="I27" t="s">
        <v>7</v>
      </c>
      <c r="J27" t="s">
        <v>39</v>
      </c>
      <c r="K27" t="s">
        <v>73</v>
      </c>
      <c r="L27" t="s">
        <v>40</v>
      </c>
      <c r="M27">
        <v>1</v>
      </c>
    </row>
    <row r="28" spans="1:13" x14ac:dyDescent="0.25">
      <c r="A28" s="2">
        <v>46241</v>
      </c>
      <c r="B28" s="1" t="str">
        <f ca="1">IF(Información1[[#This Row],[Fecha]]='Ajuste de fechas'!$A$2,"Día actual","Día anterior")</f>
        <v>Día anterior</v>
      </c>
      <c r="C28" t="s">
        <v>28</v>
      </c>
      <c r="D28" t="s">
        <v>72</v>
      </c>
      <c r="E28" t="s">
        <v>158</v>
      </c>
      <c r="F28" t="s">
        <v>22</v>
      </c>
      <c r="G28" t="s">
        <v>93</v>
      </c>
      <c r="H28" t="s">
        <v>11</v>
      </c>
      <c r="I28" t="s">
        <v>7</v>
      </c>
      <c r="J28" t="s">
        <v>44</v>
      </c>
      <c r="K28" t="s">
        <v>73</v>
      </c>
      <c r="L28" t="s">
        <v>40</v>
      </c>
      <c r="M28">
        <v>1</v>
      </c>
    </row>
    <row r="29" spans="1:13" x14ac:dyDescent="0.25">
      <c r="A29" s="2">
        <v>46241</v>
      </c>
      <c r="B29" s="1" t="str">
        <f ca="1">IF(Información1[[#This Row],[Fecha]]='Ajuste de fechas'!$A$2,"Día actual","Día anterior")</f>
        <v>Día anterior</v>
      </c>
      <c r="C29" t="s">
        <v>8</v>
      </c>
      <c r="D29" t="s">
        <v>10</v>
      </c>
      <c r="E29" t="s">
        <v>159</v>
      </c>
      <c r="F29" t="s">
        <v>160</v>
      </c>
      <c r="G29" t="s">
        <v>161</v>
      </c>
      <c r="H29" t="s">
        <v>11</v>
      </c>
      <c r="I29" t="s">
        <v>25</v>
      </c>
      <c r="J29" t="s">
        <v>39</v>
      </c>
      <c r="K29" t="s">
        <v>9</v>
      </c>
      <c r="L29" t="s">
        <v>41</v>
      </c>
      <c r="M29">
        <v>1</v>
      </c>
    </row>
    <row r="30" spans="1:13" x14ac:dyDescent="0.25">
      <c r="A30" s="2">
        <v>46241</v>
      </c>
      <c r="B30" s="1" t="str">
        <f ca="1">IF(Información1[[#This Row],[Fecha]]='Ajuste de fechas'!$A$2,"Día actual","Día anterior")</f>
        <v>Día anterior</v>
      </c>
      <c r="C30" t="s">
        <v>8</v>
      </c>
      <c r="D30" t="s">
        <v>10</v>
      </c>
      <c r="E30" t="s">
        <v>162</v>
      </c>
      <c r="F30" t="s">
        <v>17</v>
      </c>
      <c r="G30" t="s">
        <v>101</v>
      </c>
      <c r="H30" t="s">
        <v>11</v>
      </c>
      <c r="I30" t="s">
        <v>25</v>
      </c>
      <c r="J30" t="s">
        <v>39</v>
      </c>
      <c r="K30" t="s">
        <v>9</v>
      </c>
      <c r="L30" t="s">
        <v>41</v>
      </c>
      <c r="M30">
        <v>1</v>
      </c>
    </row>
    <row r="31" spans="1:13" x14ac:dyDescent="0.25">
      <c r="A31" s="2">
        <v>46241</v>
      </c>
      <c r="B31" s="1" t="str">
        <f ca="1">IF(Información1[[#This Row],[Fecha]]='Ajuste de fechas'!$A$2,"Día actual","Día anterior")</f>
        <v>Día anterior</v>
      </c>
      <c r="C31" t="s">
        <v>8</v>
      </c>
      <c r="D31" t="s">
        <v>10</v>
      </c>
      <c r="E31" t="s">
        <v>163</v>
      </c>
      <c r="F31" t="s">
        <v>6</v>
      </c>
      <c r="G31" t="s">
        <v>71</v>
      </c>
      <c r="H31" t="s">
        <v>11</v>
      </c>
      <c r="I31" t="s">
        <v>25</v>
      </c>
      <c r="J31" t="s">
        <v>39</v>
      </c>
      <c r="K31" t="s">
        <v>9</v>
      </c>
      <c r="L31" t="s">
        <v>41</v>
      </c>
      <c r="M31">
        <v>1</v>
      </c>
    </row>
    <row r="32" spans="1:13" x14ac:dyDescent="0.25">
      <c r="A32" s="2">
        <v>46241</v>
      </c>
      <c r="B32" s="1" t="str">
        <f ca="1">IF(Información1[[#This Row],[Fecha]]='Ajuste de fechas'!$A$2,"Día actual","Día anterior")</f>
        <v>Día anterior</v>
      </c>
      <c r="C32" t="s">
        <v>8</v>
      </c>
      <c r="D32" t="s">
        <v>10</v>
      </c>
      <c r="E32" t="s">
        <v>164</v>
      </c>
      <c r="F32" t="s">
        <v>22</v>
      </c>
      <c r="G32" t="s">
        <v>86</v>
      </c>
      <c r="H32" t="s">
        <v>11</v>
      </c>
      <c r="I32" t="s">
        <v>7</v>
      </c>
      <c r="J32" t="s">
        <v>44</v>
      </c>
      <c r="K32" t="s">
        <v>14</v>
      </c>
      <c r="L32" t="s">
        <v>41</v>
      </c>
      <c r="M32">
        <v>1</v>
      </c>
    </row>
    <row r="33" spans="1:13" x14ac:dyDescent="0.25">
      <c r="A33" s="2">
        <v>46241</v>
      </c>
      <c r="B33" s="1" t="str">
        <f ca="1">IF(Información1[[#This Row],[Fecha]]='Ajuste de fechas'!$A$2,"Día actual","Día anterior")</f>
        <v>Día anterior</v>
      </c>
      <c r="C33" t="s">
        <v>8</v>
      </c>
      <c r="D33" t="s">
        <v>10</v>
      </c>
      <c r="E33" t="s">
        <v>165</v>
      </c>
      <c r="F33" t="s">
        <v>19</v>
      </c>
      <c r="G33" t="s">
        <v>166</v>
      </c>
      <c r="H33" t="s">
        <v>11</v>
      </c>
      <c r="I33" t="s">
        <v>7</v>
      </c>
      <c r="J33" t="s">
        <v>43</v>
      </c>
      <c r="K33" t="s">
        <v>14</v>
      </c>
      <c r="L33" t="s">
        <v>40</v>
      </c>
      <c r="M33">
        <v>1</v>
      </c>
    </row>
    <row r="34" spans="1:13" x14ac:dyDescent="0.25">
      <c r="A34" s="2">
        <v>46241</v>
      </c>
      <c r="B34" s="1" t="str">
        <f ca="1">IF(Información1[[#This Row],[Fecha]]='Ajuste de fechas'!$A$2,"Día actual","Día anterior")</f>
        <v>Día anterior</v>
      </c>
      <c r="C34" t="s">
        <v>8</v>
      </c>
      <c r="D34" t="s">
        <v>10</v>
      </c>
      <c r="E34" t="s">
        <v>167</v>
      </c>
      <c r="F34" t="s">
        <v>19</v>
      </c>
      <c r="G34" t="s">
        <v>96</v>
      </c>
      <c r="H34" t="s">
        <v>11</v>
      </c>
      <c r="I34" t="s">
        <v>7</v>
      </c>
      <c r="J34" t="s">
        <v>43</v>
      </c>
      <c r="K34" t="s">
        <v>14</v>
      </c>
      <c r="L34" t="s">
        <v>70</v>
      </c>
      <c r="M34">
        <v>1</v>
      </c>
    </row>
    <row r="35" spans="1:13" x14ac:dyDescent="0.25">
      <c r="A35" s="2">
        <v>46241</v>
      </c>
      <c r="B35" s="1" t="str">
        <f ca="1">IF(Información1[[#This Row],[Fecha]]='Ajuste de fechas'!$A$2,"Día actual","Día anterior")</f>
        <v>Día anterior</v>
      </c>
      <c r="C35" t="s">
        <v>8</v>
      </c>
      <c r="D35" t="s">
        <v>10</v>
      </c>
      <c r="E35" t="s">
        <v>168</v>
      </c>
      <c r="F35" t="s">
        <v>19</v>
      </c>
      <c r="G35" t="s">
        <v>169</v>
      </c>
      <c r="H35" t="s">
        <v>11</v>
      </c>
      <c r="I35" t="s">
        <v>7</v>
      </c>
      <c r="J35" t="s">
        <v>43</v>
      </c>
      <c r="K35" t="s">
        <v>14</v>
      </c>
      <c r="L35" t="s">
        <v>40</v>
      </c>
      <c r="M35">
        <v>1</v>
      </c>
    </row>
    <row r="36" spans="1:13" x14ac:dyDescent="0.25">
      <c r="A36" s="2">
        <v>46241</v>
      </c>
      <c r="B36" s="1" t="str">
        <f ca="1">IF(Información1[[#This Row],[Fecha]]='Ajuste de fechas'!$A$2,"Día actual","Día anterior")</f>
        <v>Día anterior</v>
      </c>
      <c r="C36" t="s">
        <v>8</v>
      </c>
      <c r="D36" t="s">
        <v>10</v>
      </c>
      <c r="E36" t="s">
        <v>170</v>
      </c>
      <c r="F36" t="s">
        <v>22</v>
      </c>
      <c r="G36" t="s">
        <v>103</v>
      </c>
      <c r="H36" t="s">
        <v>11</v>
      </c>
      <c r="I36" t="s">
        <v>7</v>
      </c>
      <c r="J36" t="s">
        <v>44</v>
      </c>
      <c r="K36" t="s">
        <v>14</v>
      </c>
      <c r="L36" t="s">
        <v>40</v>
      </c>
      <c r="M36">
        <v>1</v>
      </c>
    </row>
    <row r="37" spans="1:13" x14ac:dyDescent="0.25">
      <c r="A37" s="2">
        <v>46241</v>
      </c>
      <c r="B37" s="1" t="str">
        <f ca="1">IF(Información1[[#This Row],[Fecha]]='Ajuste de fechas'!$A$2,"Día actual","Día anterior")</f>
        <v>Día anterior</v>
      </c>
      <c r="C37" t="s">
        <v>8</v>
      </c>
      <c r="D37" t="s">
        <v>10</v>
      </c>
      <c r="E37" t="s">
        <v>171</v>
      </c>
      <c r="F37" t="s">
        <v>19</v>
      </c>
      <c r="G37" t="s">
        <v>172</v>
      </c>
      <c r="H37" t="s">
        <v>11</v>
      </c>
      <c r="I37" t="s">
        <v>7</v>
      </c>
      <c r="J37" t="s">
        <v>43</v>
      </c>
      <c r="K37" t="s">
        <v>14</v>
      </c>
      <c r="L37" t="s">
        <v>40</v>
      </c>
      <c r="M37">
        <v>1</v>
      </c>
    </row>
    <row r="38" spans="1:13" x14ac:dyDescent="0.25">
      <c r="A38" s="2">
        <v>46241</v>
      </c>
      <c r="B38" s="1" t="str">
        <f ca="1">IF(Información1[[#This Row],[Fecha]]='Ajuste de fechas'!$A$2,"Día actual","Día anterior")</f>
        <v>Día anterior</v>
      </c>
      <c r="C38" t="s">
        <v>8</v>
      </c>
      <c r="D38" t="s">
        <v>10</v>
      </c>
      <c r="E38" t="s">
        <v>173</v>
      </c>
      <c r="F38" t="s">
        <v>6</v>
      </c>
      <c r="G38" t="s">
        <v>98</v>
      </c>
      <c r="H38" t="s">
        <v>11</v>
      </c>
      <c r="I38" t="s">
        <v>7</v>
      </c>
      <c r="J38" t="s">
        <v>39</v>
      </c>
      <c r="K38" t="s">
        <v>14</v>
      </c>
      <c r="L38" t="s">
        <v>42</v>
      </c>
      <c r="M38">
        <v>1</v>
      </c>
    </row>
    <row r="39" spans="1:13" x14ac:dyDescent="0.25">
      <c r="A39" s="2">
        <v>46241</v>
      </c>
      <c r="B39" s="1" t="str">
        <f ca="1">IF(Información1[[#This Row],[Fecha]]='Ajuste de fechas'!$A$2,"Día actual","Día anterior")</f>
        <v>Día anterior</v>
      </c>
      <c r="C39" t="s">
        <v>8</v>
      </c>
      <c r="D39" t="s">
        <v>10</v>
      </c>
      <c r="E39" t="s">
        <v>174</v>
      </c>
      <c r="F39" t="s">
        <v>91</v>
      </c>
      <c r="G39" t="s">
        <v>78</v>
      </c>
      <c r="H39" t="s">
        <v>11</v>
      </c>
      <c r="I39" t="s">
        <v>7</v>
      </c>
      <c r="J39" t="s">
        <v>39</v>
      </c>
      <c r="K39" t="s">
        <v>14</v>
      </c>
      <c r="L39" t="s">
        <v>40</v>
      </c>
      <c r="M39">
        <v>1</v>
      </c>
    </row>
    <row r="40" spans="1:13" x14ac:dyDescent="0.25">
      <c r="A40" s="2">
        <v>46241</v>
      </c>
      <c r="B40" s="1" t="str">
        <f ca="1">IF(Información1[[#This Row],[Fecha]]='Ajuste de fechas'!$A$2,"Día actual","Día anterior")</f>
        <v>Día anterior</v>
      </c>
      <c r="C40" t="s">
        <v>8</v>
      </c>
      <c r="D40" t="s">
        <v>10</v>
      </c>
      <c r="E40" t="s">
        <v>119</v>
      </c>
      <c r="F40" t="s">
        <v>48</v>
      </c>
      <c r="G40" t="s">
        <v>100</v>
      </c>
      <c r="H40" t="s">
        <v>11</v>
      </c>
      <c r="I40" t="s">
        <v>7</v>
      </c>
      <c r="J40" t="s">
        <v>39</v>
      </c>
      <c r="K40" t="s">
        <v>14</v>
      </c>
      <c r="L40" t="s">
        <v>42</v>
      </c>
      <c r="M40">
        <v>1</v>
      </c>
    </row>
    <row r="41" spans="1:13" x14ac:dyDescent="0.25">
      <c r="A41" s="2">
        <v>46241</v>
      </c>
      <c r="B41" s="1" t="str">
        <f ca="1">IF(Información1[[#This Row],[Fecha]]='Ajuste de fechas'!$A$2,"Día actual","Día anterior")</f>
        <v>Día anterior</v>
      </c>
      <c r="C41" t="s">
        <v>8</v>
      </c>
      <c r="D41" t="s">
        <v>10</v>
      </c>
      <c r="E41" t="s">
        <v>120</v>
      </c>
      <c r="F41" t="s">
        <v>23</v>
      </c>
      <c r="G41" t="s">
        <v>83</v>
      </c>
      <c r="H41" t="s">
        <v>11</v>
      </c>
      <c r="I41" t="s">
        <v>7</v>
      </c>
      <c r="J41" t="s">
        <v>39</v>
      </c>
      <c r="K41" t="s">
        <v>14</v>
      </c>
      <c r="L41" t="s">
        <v>42</v>
      </c>
      <c r="M41">
        <v>1</v>
      </c>
    </row>
    <row r="42" spans="1:13" x14ac:dyDescent="0.25">
      <c r="A42" s="2">
        <v>46241</v>
      </c>
      <c r="B42" s="1" t="str">
        <f ca="1">IF(Información1[[#This Row],[Fecha]]='Ajuste de fechas'!$A$2,"Día actual","Día anterior")</f>
        <v>Día anterior</v>
      </c>
      <c r="C42" t="s">
        <v>8</v>
      </c>
      <c r="D42" t="s">
        <v>10</v>
      </c>
      <c r="E42" t="s">
        <v>20</v>
      </c>
      <c r="F42" t="s">
        <v>19</v>
      </c>
      <c r="G42" t="s">
        <v>32</v>
      </c>
      <c r="H42" t="s">
        <v>11</v>
      </c>
      <c r="I42" t="s">
        <v>12</v>
      </c>
      <c r="J42" t="s">
        <v>43</v>
      </c>
      <c r="K42" t="s">
        <v>14</v>
      </c>
      <c r="L42" t="s">
        <v>41</v>
      </c>
      <c r="M42">
        <v>1</v>
      </c>
    </row>
    <row r="43" spans="1:13" x14ac:dyDescent="0.25">
      <c r="A43" s="2">
        <v>46241</v>
      </c>
      <c r="B43" s="1" t="str">
        <f ca="1">IF(Información1[[#This Row],[Fecha]]='Ajuste de fechas'!$A$2,"Día actual","Día anterior")</f>
        <v>Día anterior</v>
      </c>
      <c r="C43" t="s">
        <v>8</v>
      </c>
      <c r="D43" t="s">
        <v>10</v>
      </c>
      <c r="E43" t="s">
        <v>18</v>
      </c>
      <c r="F43" t="s">
        <v>19</v>
      </c>
      <c r="G43" t="s">
        <v>32</v>
      </c>
      <c r="H43" t="s">
        <v>11</v>
      </c>
      <c r="I43" t="s">
        <v>12</v>
      </c>
      <c r="J43" t="s">
        <v>43</v>
      </c>
      <c r="K43" t="s">
        <v>14</v>
      </c>
      <c r="L43" t="s">
        <v>41</v>
      </c>
      <c r="M43">
        <v>1</v>
      </c>
    </row>
    <row r="44" spans="1:13" x14ac:dyDescent="0.25">
      <c r="A44" s="2">
        <v>46241</v>
      </c>
      <c r="B44" s="1" t="str">
        <f ca="1">IF(Información1[[#This Row],[Fecha]]='Ajuste de fechas'!$A$2,"Día actual","Día anterior")</f>
        <v>Día anterior</v>
      </c>
      <c r="C44" t="s">
        <v>8</v>
      </c>
      <c r="D44" t="s">
        <v>10</v>
      </c>
      <c r="E44" t="s">
        <v>84</v>
      </c>
      <c r="F44" t="s">
        <v>54</v>
      </c>
      <c r="G44" t="s">
        <v>32</v>
      </c>
      <c r="H44" t="s">
        <v>11</v>
      </c>
      <c r="I44" t="s">
        <v>12</v>
      </c>
      <c r="J44" t="s">
        <v>24</v>
      </c>
      <c r="K44" t="s">
        <v>14</v>
      </c>
      <c r="L44" t="s">
        <v>41</v>
      </c>
      <c r="M44">
        <v>1</v>
      </c>
    </row>
    <row r="45" spans="1:13" x14ac:dyDescent="0.25">
      <c r="A45" s="2">
        <v>46241</v>
      </c>
      <c r="B45" s="1" t="str">
        <f ca="1">IF(Información1[[#This Row],[Fecha]]='Ajuste de fechas'!$A$2,"Día actual","Día anterior")</f>
        <v>Día anterior</v>
      </c>
      <c r="C45" t="s">
        <v>8</v>
      </c>
      <c r="D45" t="s">
        <v>10</v>
      </c>
      <c r="E45" t="s">
        <v>13</v>
      </c>
      <c r="F45" t="s">
        <v>15</v>
      </c>
      <c r="G45" t="s">
        <v>32</v>
      </c>
      <c r="H45" t="s">
        <v>11</v>
      </c>
      <c r="I45" t="s">
        <v>12</v>
      </c>
      <c r="J45" t="s">
        <v>39</v>
      </c>
      <c r="K45" t="s">
        <v>14</v>
      </c>
      <c r="L45" t="s">
        <v>41</v>
      </c>
      <c r="M45">
        <v>1</v>
      </c>
    </row>
    <row r="46" spans="1:13" x14ac:dyDescent="0.25">
      <c r="A46" s="2">
        <v>46241</v>
      </c>
      <c r="B46" s="1" t="str">
        <f ca="1">IF(Información1[[#This Row],[Fecha]]='Ajuste de fechas'!$A$2,"Día actual","Día anterior")</f>
        <v>Día anterior</v>
      </c>
      <c r="C46" t="s">
        <v>8</v>
      </c>
      <c r="D46" t="s">
        <v>10</v>
      </c>
      <c r="E46" t="s">
        <v>16</v>
      </c>
      <c r="F46" t="s">
        <v>17</v>
      </c>
      <c r="G46" t="s">
        <v>32</v>
      </c>
      <c r="H46" t="s">
        <v>11</v>
      </c>
      <c r="I46" t="s">
        <v>12</v>
      </c>
      <c r="J46" t="s">
        <v>39</v>
      </c>
      <c r="K46" t="s">
        <v>14</v>
      </c>
      <c r="L46" t="s">
        <v>41</v>
      </c>
      <c r="M46">
        <v>1</v>
      </c>
    </row>
    <row r="47" spans="1:13" x14ac:dyDescent="0.25">
      <c r="A47" s="2">
        <v>46241</v>
      </c>
      <c r="B47" s="1" t="str">
        <f ca="1">IF(Información1[[#This Row],[Fecha]]='Ajuste de fechas'!$A$2,"Día actual","Día anterior")</f>
        <v>Día anterior</v>
      </c>
      <c r="C47" t="s">
        <v>8</v>
      </c>
      <c r="D47" t="s">
        <v>10</v>
      </c>
      <c r="E47" t="s">
        <v>53</v>
      </c>
      <c r="F47" t="s">
        <v>6</v>
      </c>
      <c r="G47" t="s">
        <v>32</v>
      </c>
      <c r="H47" t="s">
        <v>11</v>
      </c>
      <c r="I47" t="s">
        <v>12</v>
      </c>
      <c r="J47" t="s">
        <v>39</v>
      </c>
      <c r="K47" t="s">
        <v>14</v>
      </c>
      <c r="L47" t="s">
        <v>41</v>
      </c>
      <c r="M47">
        <v>1</v>
      </c>
    </row>
    <row r="48" spans="1:13" x14ac:dyDescent="0.25">
      <c r="A48" s="2">
        <v>46241</v>
      </c>
      <c r="B48" s="1" t="str">
        <f ca="1">IF(Información1[[#This Row],[Fecha]]='Ajuste de fechas'!$A$2,"Día actual","Día anterior")</f>
        <v>Día anterior</v>
      </c>
      <c r="C48" t="s">
        <v>58</v>
      </c>
      <c r="D48" t="s">
        <v>59</v>
      </c>
      <c r="E48" t="s">
        <v>176</v>
      </c>
      <c r="F48" t="s">
        <v>22</v>
      </c>
      <c r="G48" t="s">
        <v>177</v>
      </c>
      <c r="H48" t="s">
        <v>11</v>
      </c>
      <c r="I48" t="s">
        <v>7</v>
      </c>
      <c r="J48" t="s">
        <v>44</v>
      </c>
      <c r="K48" t="s">
        <v>60</v>
      </c>
      <c r="L48" t="s">
        <v>40</v>
      </c>
      <c r="M48">
        <v>1</v>
      </c>
    </row>
    <row r="49" spans="1:13" x14ac:dyDescent="0.25">
      <c r="A49" s="2">
        <v>46241</v>
      </c>
      <c r="B49" s="1" t="str">
        <f ca="1">IF(Información1[[#This Row],[Fecha]]='Ajuste de fechas'!$A$2,"Día actual","Día anterior")</f>
        <v>Día anterior</v>
      </c>
      <c r="C49" t="s">
        <v>58</v>
      </c>
      <c r="D49" t="s">
        <v>59</v>
      </c>
      <c r="E49" t="s">
        <v>178</v>
      </c>
      <c r="F49" t="s">
        <v>31</v>
      </c>
      <c r="G49" t="s">
        <v>92</v>
      </c>
      <c r="H49" t="s">
        <v>11</v>
      </c>
      <c r="I49" t="s">
        <v>7</v>
      </c>
      <c r="J49" t="s">
        <v>39</v>
      </c>
      <c r="K49" t="s">
        <v>60</v>
      </c>
      <c r="L49" t="s">
        <v>90</v>
      </c>
      <c r="M49">
        <v>1</v>
      </c>
    </row>
    <row r="50" spans="1:13" x14ac:dyDescent="0.25">
      <c r="A50" s="2">
        <v>46241</v>
      </c>
      <c r="B50" s="1" t="str">
        <f ca="1">IF(Información1[[#This Row],[Fecha]]='Ajuste de fechas'!$A$2,"Día actual","Día anterior")</f>
        <v>Día anterior</v>
      </c>
      <c r="C50" t="s">
        <v>58</v>
      </c>
      <c r="D50" t="s">
        <v>59</v>
      </c>
      <c r="E50" t="s">
        <v>179</v>
      </c>
      <c r="F50" t="s">
        <v>15</v>
      </c>
      <c r="G50" t="s">
        <v>180</v>
      </c>
      <c r="H50" t="s">
        <v>11</v>
      </c>
      <c r="I50" t="s">
        <v>7</v>
      </c>
      <c r="J50" t="s">
        <v>39</v>
      </c>
      <c r="K50" t="s">
        <v>60</v>
      </c>
      <c r="L50" t="s">
        <v>70</v>
      </c>
      <c r="M50">
        <v>1</v>
      </c>
    </row>
    <row r="51" spans="1:13" x14ac:dyDescent="0.25">
      <c r="A51" s="2">
        <v>46241</v>
      </c>
      <c r="B51" s="1" t="str">
        <f ca="1">IF(Información1[[#This Row],[Fecha]]='Ajuste de fechas'!$A$2,"Día actual","Día anterior")</f>
        <v>Día anterior</v>
      </c>
      <c r="C51" t="s">
        <v>58</v>
      </c>
      <c r="D51" t="s">
        <v>59</v>
      </c>
      <c r="E51" t="s">
        <v>175</v>
      </c>
      <c r="F51" t="s">
        <v>21</v>
      </c>
      <c r="G51" t="s">
        <v>102</v>
      </c>
      <c r="H51" t="s">
        <v>11</v>
      </c>
      <c r="I51" t="s">
        <v>7</v>
      </c>
      <c r="J51" t="s">
        <v>39</v>
      </c>
      <c r="K51" t="s">
        <v>60</v>
      </c>
      <c r="L51" t="s">
        <v>42</v>
      </c>
      <c r="M51">
        <v>1</v>
      </c>
    </row>
    <row r="52" spans="1:13" x14ac:dyDescent="0.25">
      <c r="A52" s="2">
        <v>46241</v>
      </c>
      <c r="B52" s="1" t="str">
        <f ca="1">IF(Información1[[#This Row],[Fecha]]='Ajuste de fechas'!$A$2,"Día actual","Día anterior")</f>
        <v>Día anterior</v>
      </c>
      <c r="C52" t="s">
        <v>58</v>
      </c>
      <c r="D52" t="s">
        <v>59</v>
      </c>
      <c r="E52" t="s">
        <v>181</v>
      </c>
      <c r="F52" t="s">
        <v>19</v>
      </c>
      <c r="G52" t="s">
        <v>172</v>
      </c>
      <c r="H52" t="s">
        <v>11</v>
      </c>
      <c r="I52" t="s">
        <v>7</v>
      </c>
      <c r="J52" t="s">
        <v>43</v>
      </c>
      <c r="K52" t="s">
        <v>60</v>
      </c>
      <c r="L52" t="s">
        <v>40</v>
      </c>
      <c r="M52">
        <v>1</v>
      </c>
    </row>
    <row r="53" spans="1:13" x14ac:dyDescent="0.25">
      <c r="A53" s="2">
        <v>46241</v>
      </c>
      <c r="B53" s="1" t="str">
        <f ca="1">IF(Información1[[#This Row],[Fecha]]='Ajuste de fechas'!$A$2,"Día actual","Día anterior")</f>
        <v>Día anterior</v>
      </c>
      <c r="C53" t="s">
        <v>58</v>
      </c>
      <c r="D53" t="s">
        <v>59</v>
      </c>
      <c r="E53" t="s">
        <v>182</v>
      </c>
      <c r="F53" t="s">
        <v>21</v>
      </c>
      <c r="G53" t="s">
        <v>183</v>
      </c>
      <c r="H53" t="s">
        <v>11</v>
      </c>
      <c r="I53" t="s">
        <v>25</v>
      </c>
      <c r="J53" t="s">
        <v>39</v>
      </c>
      <c r="K53" t="s">
        <v>60</v>
      </c>
      <c r="L53" t="s">
        <v>40</v>
      </c>
      <c r="M53">
        <v>1</v>
      </c>
    </row>
    <row r="54" spans="1:13" x14ac:dyDescent="0.25">
      <c r="A54" s="2">
        <v>46241</v>
      </c>
      <c r="B54" s="1" t="str">
        <f ca="1">IF(Información1[[#This Row],[Fecha]]='Ajuste de fechas'!$A$2,"Día actual","Día anterior")</f>
        <v>Día anterior</v>
      </c>
      <c r="C54" t="s">
        <v>58</v>
      </c>
      <c r="D54" t="s">
        <v>59</v>
      </c>
      <c r="E54" t="s">
        <v>61</v>
      </c>
      <c r="F54" t="s">
        <v>19</v>
      </c>
      <c r="G54" t="s">
        <v>56</v>
      </c>
      <c r="H54" t="s">
        <v>11</v>
      </c>
      <c r="I54" t="s">
        <v>7</v>
      </c>
      <c r="J54" t="s">
        <v>43</v>
      </c>
      <c r="K54" t="s">
        <v>60</v>
      </c>
      <c r="L54" t="s">
        <v>74</v>
      </c>
      <c r="M54">
        <v>1</v>
      </c>
    </row>
    <row r="55" spans="1:13" x14ac:dyDescent="0.25">
      <c r="A55" s="2">
        <v>46241</v>
      </c>
      <c r="B55" s="1" t="str">
        <f ca="1">IF(Información1[[#This Row],[Fecha]]='Ajuste de fechas'!$A$2,"Día actual","Día anterior")</f>
        <v>Día anterior</v>
      </c>
      <c r="C55" t="s">
        <v>58</v>
      </c>
      <c r="D55" t="s">
        <v>59</v>
      </c>
      <c r="E55" t="s">
        <v>184</v>
      </c>
      <c r="F55" t="s">
        <v>22</v>
      </c>
      <c r="G55" t="s">
        <v>185</v>
      </c>
      <c r="H55" t="s">
        <v>11</v>
      </c>
      <c r="I55" t="s">
        <v>7</v>
      </c>
      <c r="J55" t="s">
        <v>44</v>
      </c>
      <c r="K55" t="s">
        <v>60</v>
      </c>
      <c r="L55" t="s">
        <v>40</v>
      </c>
      <c r="M55">
        <v>1</v>
      </c>
    </row>
    <row r="56" spans="1:13" x14ac:dyDescent="0.25">
      <c r="A56" s="2">
        <v>46241</v>
      </c>
      <c r="B56" s="1" t="str">
        <f ca="1">IF(Información1[[#This Row],[Fecha]]='Ajuste de fechas'!$A$2,"Día actual","Día anterior")</f>
        <v>Día anterior</v>
      </c>
      <c r="C56" t="s">
        <v>58</v>
      </c>
      <c r="D56" t="s">
        <v>59</v>
      </c>
      <c r="E56" t="s">
        <v>186</v>
      </c>
      <c r="F56" t="s">
        <v>22</v>
      </c>
      <c r="G56" t="s">
        <v>177</v>
      </c>
      <c r="H56" t="s">
        <v>11</v>
      </c>
      <c r="I56" t="s">
        <v>7</v>
      </c>
      <c r="J56" t="s">
        <v>44</v>
      </c>
      <c r="K56" t="s">
        <v>60</v>
      </c>
      <c r="L56" t="s">
        <v>40</v>
      </c>
      <c r="M56">
        <v>1</v>
      </c>
    </row>
    <row r="57" spans="1:13" x14ac:dyDescent="0.25">
      <c r="A57" s="2">
        <v>46241</v>
      </c>
      <c r="B57" s="1" t="str">
        <f ca="1">IF(Información1[[#This Row],[Fecha]]='Ajuste de fechas'!$A$2,"Día actual","Día anterior")</f>
        <v>Día anterior</v>
      </c>
      <c r="C57" t="s">
        <v>58</v>
      </c>
      <c r="D57" t="s">
        <v>59</v>
      </c>
      <c r="E57" t="s">
        <v>187</v>
      </c>
      <c r="F57" t="s">
        <v>22</v>
      </c>
      <c r="G57" t="s">
        <v>188</v>
      </c>
      <c r="H57" t="s">
        <v>11</v>
      </c>
      <c r="I57" t="s">
        <v>7</v>
      </c>
      <c r="J57" t="s">
        <v>44</v>
      </c>
      <c r="K57" t="s">
        <v>60</v>
      </c>
      <c r="L57" t="s">
        <v>40</v>
      </c>
      <c r="M57">
        <v>1</v>
      </c>
    </row>
    <row r="58" spans="1:13" x14ac:dyDescent="0.25">
      <c r="A58" s="2">
        <v>46241</v>
      </c>
      <c r="B58" s="1" t="str">
        <f ca="1">IF(Información1[[#This Row],[Fecha]]='Ajuste de fechas'!$A$2,"Día actual","Día anterior")</f>
        <v>Día anterior</v>
      </c>
      <c r="C58" t="s">
        <v>58</v>
      </c>
      <c r="D58" t="s">
        <v>59</v>
      </c>
      <c r="E58" t="s">
        <v>189</v>
      </c>
      <c r="F58" t="s">
        <v>48</v>
      </c>
      <c r="G58" t="s">
        <v>190</v>
      </c>
      <c r="H58" t="s">
        <v>11</v>
      </c>
      <c r="I58" t="s">
        <v>7</v>
      </c>
      <c r="J58" t="s">
        <v>39</v>
      </c>
      <c r="K58" t="s">
        <v>60</v>
      </c>
      <c r="L58" t="s">
        <v>40</v>
      </c>
      <c r="M58">
        <v>1</v>
      </c>
    </row>
    <row r="59" spans="1:13" x14ac:dyDescent="0.25">
      <c r="A59" s="2">
        <v>46241</v>
      </c>
      <c r="B59" s="1" t="str">
        <f ca="1">IF(Información1[[#This Row],[Fecha]]='Ajuste de fechas'!$A$2,"Día actual","Día anterior")</f>
        <v>Día anterior</v>
      </c>
      <c r="C59" t="s">
        <v>29</v>
      </c>
      <c r="D59" t="s">
        <v>30</v>
      </c>
      <c r="E59" t="s">
        <v>191</v>
      </c>
      <c r="F59" t="s">
        <v>22</v>
      </c>
      <c r="G59" t="s">
        <v>103</v>
      </c>
      <c r="H59" t="s">
        <v>57</v>
      </c>
      <c r="I59" t="s">
        <v>7</v>
      </c>
      <c r="J59" t="s">
        <v>44</v>
      </c>
      <c r="K59" t="s">
        <v>27</v>
      </c>
      <c r="L59" t="s">
        <v>40</v>
      </c>
      <c r="M59">
        <v>1</v>
      </c>
    </row>
    <row r="60" spans="1:13" x14ac:dyDescent="0.25">
      <c r="A60" s="2">
        <v>46241</v>
      </c>
      <c r="B60" s="1" t="str">
        <f ca="1">IF(Información1[[#This Row],[Fecha]]='Ajuste de fechas'!$A$2,"Día actual","Día anterior")</f>
        <v>Día anterior</v>
      </c>
      <c r="C60" t="s">
        <v>29</v>
      </c>
      <c r="D60" t="s">
        <v>30</v>
      </c>
      <c r="E60" t="s">
        <v>115</v>
      </c>
      <c r="F60" t="s">
        <v>97</v>
      </c>
      <c r="G60" t="s">
        <v>116</v>
      </c>
      <c r="H60" t="s">
        <v>57</v>
      </c>
      <c r="I60" t="s">
        <v>7</v>
      </c>
      <c r="J60" t="s">
        <v>39</v>
      </c>
      <c r="K60" t="s">
        <v>27</v>
      </c>
      <c r="L60" t="s">
        <v>42</v>
      </c>
      <c r="M60">
        <v>1</v>
      </c>
    </row>
    <row r="61" spans="1:13" x14ac:dyDescent="0.25">
      <c r="A61" s="2">
        <v>46241</v>
      </c>
      <c r="B61" s="1" t="str">
        <f ca="1">IF(Información1[[#This Row],[Fecha]]='Ajuste de fechas'!$A$2,"Día actual","Día anterior")</f>
        <v>Día anterior</v>
      </c>
      <c r="C61" t="s">
        <v>29</v>
      </c>
      <c r="D61" t="s">
        <v>30</v>
      </c>
      <c r="E61" t="s">
        <v>192</v>
      </c>
      <c r="F61" t="s">
        <v>31</v>
      </c>
      <c r="G61" t="s">
        <v>141</v>
      </c>
      <c r="H61" t="s">
        <v>57</v>
      </c>
      <c r="I61" t="s">
        <v>7</v>
      </c>
      <c r="J61" t="s">
        <v>39</v>
      </c>
      <c r="K61" t="s">
        <v>27</v>
      </c>
      <c r="L61" t="s">
        <v>42</v>
      </c>
      <c r="M61">
        <v>1</v>
      </c>
    </row>
    <row r="62" spans="1:13" x14ac:dyDescent="0.25">
      <c r="A62" s="2">
        <v>46241</v>
      </c>
      <c r="B62" s="1" t="str">
        <f ca="1">IF(Información1[[#This Row],[Fecha]]='Ajuste de fechas'!$A$2,"Día actual","Día anterior")</f>
        <v>Día anterior</v>
      </c>
      <c r="C62" t="s">
        <v>29</v>
      </c>
      <c r="D62" t="s">
        <v>30</v>
      </c>
      <c r="E62" t="s">
        <v>193</v>
      </c>
      <c r="F62" t="s">
        <v>26</v>
      </c>
      <c r="G62" t="s">
        <v>194</v>
      </c>
      <c r="H62" t="s">
        <v>57</v>
      </c>
      <c r="I62" t="s">
        <v>7</v>
      </c>
      <c r="J62" t="s">
        <v>39</v>
      </c>
      <c r="K62" t="s">
        <v>27</v>
      </c>
      <c r="L62" t="s">
        <v>40</v>
      </c>
      <c r="M62">
        <v>1</v>
      </c>
    </row>
    <row r="63" spans="1:13" x14ac:dyDescent="0.25">
      <c r="A63" s="2">
        <v>46241</v>
      </c>
      <c r="B63" s="1" t="str">
        <f ca="1">IF(Información1[[#This Row],[Fecha]]='Ajuste de fechas'!$A$2,"Día actual","Día anterior")</f>
        <v>Día anterior</v>
      </c>
      <c r="C63" t="s">
        <v>29</v>
      </c>
      <c r="D63" t="s">
        <v>30</v>
      </c>
      <c r="E63" t="s">
        <v>195</v>
      </c>
      <c r="F63" t="s">
        <v>15</v>
      </c>
      <c r="G63" t="s">
        <v>122</v>
      </c>
      <c r="H63" t="s">
        <v>57</v>
      </c>
      <c r="I63" t="s">
        <v>7</v>
      </c>
      <c r="J63" t="s">
        <v>39</v>
      </c>
      <c r="K63" t="s">
        <v>27</v>
      </c>
      <c r="L63" t="s">
        <v>40</v>
      </c>
      <c r="M63">
        <v>1</v>
      </c>
    </row>
    <row r="64" spans="1:13" x14ac:dyDescent="0.25">
      <c r="A64" s="2">
        <v>46241</v>
      </c>
      <c r="B64" s="1" t="str">
        <f ca="1">IF(Información1[[#This Row],[Fecha]]='Ajuste de fechas'!$A$2,"Día actual","Día anterior")</f>
        <v>Día anterior</v>
      </c>
      <c r="C64" t="s">
        <v>29</v>
      </c>
      <c r="D64" t="s">
        <v>30</v>
      </c>
      <c r="E64" t="s">
        <v>196</v>
      </c>
      <c r="F64" t="s">
        <v>89</v>
      </c>
      <c r="G64" t="s">
        <v>111</v>
      </c>
      <c r="H64" t="s">
        <v>57</v>
      </c>
      <c r="I64" t="s">
        <v>7</v>
      </c>
      <c r="J64" t="s">
        <v>39</v>
      </c>
      <c r="K64" t="s">
        <v>27</v>
      </c>
      <c r="L64" t="s">
        <v>40</v>
      </c>
      <c r="M64">
        <v>1</v>
      </c>
    </row>
    <row r="65" spans="1:13" x14ac:dyDescent="0.25">
      <c r="A65" s="2">
        <v>46241</v>
      </c>
      <c r="B65" s="1" t="str">
        <f ca="1">IF(Información1[[#This Row],[Fecha]]='Ajuste de fechas'!$A$2,"Día actual","Día anterior")</f>
        <v>Día anterior</v>
      </c>
      <c r="C65" t="s">
        <v>29</v>
      </c>
      <c r="D65" t="s">
        <v>30</v>
      </c>
      <c r="E65" t="s">
        <v>197</v>
      </c>
      <c r="F65" t="s">
        <v>26</v>
      </c>
      <c r="G65" t="s">
        <v>198</v>
      </c>
      <c r="H65" t="s">
        <v>57</v>
      </c>
      <c r="I65" t="s">
        <v>7</v>
      </c>
      <c r="J65" t="s">
        <v>39</v>
      </c>
      <c r="K65" t="s">
        <v>27</v>
      </c>
      <c r="L65" t="s">
        <v>40</v>
      </c>
      <c r="M65">
        <v>1</v>
      </c>
    </row>
    <row r="66" spans="1:13" x14ac:dyDescent="0.25">
      <c r="A66" s="2">
        <v>46241</v>
      </c>
      <c r="B66" s="1" t="str">
        <f ca="1">IF(Información1[[#This Row],[Fecha]]='Ajuste de fechas'!$A$2,"Día actual","Día anterior")</f>
        <v>Día anterior</v>
      </c>
      <c r="C66" t="s">
        <v>29</v>
      </c>
      <c r="D66" t="s">
        <v>30</v>
      </c>
      <c r="E66" t="s">
        <v>199</v>
      </c>
      <c r="F66" t="s">
        <v>26</v>
      </c>
      <c r="G66" t="s">
        <v>76</v>
      </c>
      <c r="H66" t="s">
        <v>57</v>
      </c>
      <c r="I66" t="s">
        <v>7</v>
      </c>
      <c r="J66" t="s">
        <v>39</v>
      </c>
      <c r="K66" t="s">
        <v>27</v>
      </c>
      <c r="L66" t="s">
        <v>40</v>
      </c>
      <c r="M66">
        <v>1</v>
      </c>
    </row>
    <row r="67" spans="1:13" x14ac:dyDescent="0.25">
      <c r="A67" s="2">
        <v>46241</v>
      </c>
      <c r="B67" s="1" t="str">
        <f ca="1">IF(Información1[[#This Row],[Fecha]]='Ajuste de fechas'!$A$2,"Día actual","Día anterior")</f>
        <v>Día anterior</v>
      </c>
      <c r="C67" t="s">
        <v>29</v>
      </c>
      <c r="D67" t="s">
        <v>30</v>
      </c>
      <c r="E67" t="s">
        <v>200</v>
      </c>
      <c r="F67" t="s">
        <v>26</v>
      </c>
      <c r="G67" t="s">
        <v>76</v>
      </c>
      <c r="H67" t="s">
        <v>57</v>
      </c>
      <c r="I67" t="s">
        <v>7</v>
      </c>
      <c r="J67" t="s">
        <v>39</v>
      </c>
      <c r="K67" t="s">
        <v>27</v>
      </c>
      <c r="L67" t="s">
        <v>40</v>
      </c>
      <c r="M67">
        <v>1</v>
      </c>
    </row>
    <row r="68" spans="1:13" x14ac:dyDescent="0.25">
      <c r="A68" s="2">
        <v>46241</v>
      </c>
      <c r="B68" s="1" t="str">
        <f ca="1">IF(Información1[[#This Row],[Fecha]]='Ajuste de fechas'!$A$2,"Día actual","Día anterior")</f>
        <v>Día anterior</v>
      </c>
      <c r="C68" t="s">
        <v>29</v>
      </c>
      <c r="D68" t="s">
        <v>30</v>
      </c>
      <c r="E68" t="s">
        <v>201</v>
      </c>
      <c r="F68" t="s">
        <v>26</v>
      </c>
      <c r="G68" t="s">
        <v>95</v>
      </c>
      <c r="H68" t="s">
        <v>57</v>
      </c>
      <c r="I68" t="s">
        <v>12</v>
      </c>
      <c r="J68" t="s">
        <v>39</v>
      </c>
      <c r="K68" t="s">
        <v>27</v>
      </c>
      <c r="L68" t="s">
        <v>41</v>
      </c>
      <c r="M68">
        <v>1</v>
      </c>
    </row>
    <row r="69" spans="1:13" x14ac:dyDescent="0.25">
      <c r="A69" s="2">
        <v>46241</v>
      </c>
      <c r="B69" s="1" t="str">
        <f ca="1">IF(Información1[[#This Row],[Fecha]]='Ajuste de fechas'!$A$2,"Día actual","Día anterior")</f>
        <v>Día anterior</v>
      </c>
      <c r="C69" t="s">
        <v>29</v>
      </c>
      <c r="D69" t="s">
        <v>30</v>
      </c>
      <c r="E69" t="s">
        <v>202</v>
      </c>
      <c r="F69" t="s">
        <v>15</v>
      </c>
      <c r="G69" t="s">
        <v>203</v>
      </c>
      <c r="H69" t="s">
        <v>57</v>
      </c>
      <c r="I69" t="s">
        <v>7</v>
      </c>
      <c r="J69" t="s">
        <v>39</v>
      </c>
      <c r="K69" t="s">
        <v>27</v>
      </c>
      <c r="L69" t="s">
        <v>40</v>
      </c>
      <c r="M69">
        <v>1</v>
      </c>
    </row>
    <row r="70" spans="1:13" x14ac:dyDescent="0.25">
      <c r="A70" s="2">
        <v>46241</v>
      </c>
      <c r="B70" s="1" t="str">
        <f ca="1">IF(Información1[[#This Row],[Fecha]]='Ajuste de fechas'!$A$2,"Día actual","Día anterior")</f>
        <v>Día anterior</v>
      </c>
      <c r="C70" t="s">
        <v>29</v>
      </c>
      <c r="D70" t="s">
        <v>30</v>
      </c>
      <c r="E70" t="s">
        <v>204</v>
      </c>
      <c r="F70" t="s">
        <v>15</v>
      </c>
      <c r="G70" t="s">
        <v>122</v>
      </c>
      <c r="H70" t="s">
        <v>57</v>
      </c>
      <c r="I70" t="s">
        <v>7</v>
      </c>
      <c r="J70" t="s">
        <v>39</v>
      </c>
      <c r="K70" t="s">
        <v>27</v>
      </c>
      <c r="L70" t="s">
        <v>42</v>
      </c>
      <c r="M70">
        <v>1</v>
      </c>
    </row>
    <row r="71" spans="1:13" x14ac:dyDescent="0.25">
      <c r="A71" s="2">
        <v>46241</v>
      </c>
      <c r="B71" s="1" t="str">
        <f ca="1">IF(Información1[[#This Row],[Fecha]]='Ajuste de fechas'!$A$2,"Día actual","Día anterior")</f>
        <v>Día anterior</v>
      </c>
      <c r="C71" t="s">
        <v>29</v>
      </c>
      <c r="D71" t="s">
        <v>30</v>
      </c>
      <c r="E71" t="s">
        <v>205</v>
      </c>
      <c r="F71" t="s">
        <v>26</v>
      </c>
      <c r="G71" t="s">
        <v>76</v>
      </c>
      <c r="H71" t="s">
        <v>57</v>
      </c>
      <c r="I71" t="s">
        <v>7</v>
      </c>
      <c r="J71" t="s">
        <v>39</v>
      </c>
      <c r="K71" t="s">
        <v>27</v>
      </c>
      <c r="L71" t="s">
        <v>42</v>
      </c>
      <c r="M71">
        <v>1</v>
      </c>
    </row>
    <row r="72" spans="1:13" x14ac:dyDescent="0.25">
      <c r="A72" s="2">
        <v>46241</v>
      </c>
      <c r="B72" s="1" t="str">
        <f ca="1">IF(Información1[[#This Row],[Fecha]]='Ajuste de fechas'!$A$2,"Día actual","Día anterior")</f>
        <v>Día anterior</v>
      </c>
      <c r="C72" t="s">
        <v>29</v>
      </c>
      <c r="D72" t="s">
        <v>30</v>
      </c>
      <c r="E72" t="s">
        <v>206</v>
      </c>
      <c r="F72" t="s">
        <v>26</v>
      </c>
      <c r="G72" t="s">
        <v>76</v>
      </c>
      <c r="H72" t="s">
        <v>57</v>
      </c>
      <c r="I72" t="s">
        <v>7</v>
      </c>
      <c r="J72" t="s">
        <v>39</v>
      </c>
      <c r="K72" t="s">
        <v>27</v>
      </c>
      <c r="L72" t="s">
        <v>42</v>
      </c>
      <c r="M72">
        <v>1</v>
      </c>
    </row>
    <row r="73" spans="1:13" x14ac:dyDescent="0.25">
      <c r="A73" s="2">
        <v>46244</v>
      </c>
      <c r="B73" s="1" t="str">
        <f ca="1">IF(Información1[[#This Row],[Fecha]]='Ajuste de fechas'!$A$2,"Día actual","Día anterior")</f>
        <v>Día actual</v>
      </c>
      <c r="C73" t="s">
        <v>50</v>
      </c>
      <c r="D73" t="s">
        <v>55</v>
      </c>
      <c r="E73" t="s">
        <v>207</v>
      </c>
      <c r="F73" t="s">
        <v>19</v>
      </c>
      <c r="G73" t="s">
        <v>108</v>
      </c>
      <c r="H73" t="s">
        <v>11</v>
      </c>
      <c r="I73" t="s">
        <v>7</v>
      </c>
      <c r="J73" t="s">
        <v>43</v>
      </c>
      <c r="K73" t="s">
        <v>51</v>
      </c>
      <c r="L73" t="s">
        <v>40</v>
      </c>
      <c r="M73">
        <v>1</v>
      </c>
    </row>
    <row r="74" spans="1:13" x14ac:dyDescent="0.25">
      <c r="A74" s="2">
        <v>46244</v>
      </c>
      <c r="B74" s="1" t="str">
        <f ca="1">IF(Información1[[#This Row],[Fecha]]='Ajuste de fechas'!$A$2,"Día actual","Día anterior")</f>
        <v>Día actual</v>
      </c>
      <c r="C74" t="s">
        <v>50</v>
      </c>
      <c r="D74" t="s">
        <v>55</v>
      </c>
      <c r="E74" t="s">
        <v>208</v>
      </c>
      <c r="F74" t="s">
        <v>21</v>
      </c>
      <c r="G74" t="s">
        <v>209</v>
      </c>
      <c r="H74" t="s">
        <v>11</v>
      </c>
      <c r="I74" t="s">
        <v>7</v>
      </c>
      <c r="J74" t="s">
        <v>39</v>
      </c>
      <c r="K74" t="s">
        <v>51</v>
      </c>
      <c r="L74" t="s">
        <v>42</v>
      </c>
      <c r="M74">
        <v>1</v>
      </c>
    </row>
    <row r="75" spans="1:13" x14ac:dyDescent="0.25">
      <c r="A75" s="2">
        <v>46244</v>
      </c>
      <c r="B75" s="1" t="str">
        <f ca="1">IF(Información1[[#This Row],[Fecha]]='Ajuste de fechas'!$A$2,"Día actual","Día anterior")</f>
        <v>Día actual</v>
      </c>
      <c r="C75" t="s">
        <v>50</v>
      </c>
      <c r="D75" t="s">
        <v>55</v>
      </c>
      <c r="E75" t="s">
        <v>210</v>
      </c>
      <c r="F75" t="s">
        <v>21</v>
      </c>
      <c r="G75" t="s">
        <v>211</v>
      </c>
      <c r="H75" t="s">
        <v>11</v>
      </c>
      <c r="I75" t="s">
        <v>7</v>
      </c>
      <c r="J75" t="s">
        <v>39</v>
      </c>
      <c r="K75" t="s">
        <v>51</v>
      </c>
      <c r="L75" t="s">
        <v>40</v>
      </c>
      <c r="M75">
        <v>1</v>
      </c>
    </row>
    <row r="76" spans="1:13" x14ac:dyDescent="0.25">
      <c r="A76" s="2">
        <v>46244</v>
      </c>
      <c r="B76" s="1" t="str">
        <f ca="1">IF(Información1[[#This Row],[Fecha]]='Ajuste de fechas'!$A$2,"Día actual","Día anterior")</f>
        <v>Día actual</v>
      </c>
      <c r="C76" t="s">
        <v>50</v>
      </c>
      <c r="D76" t="s">
        <v>55</v>
      </c>
      <c r="E76" t="s">
        <v>212</v>
      </c>
      <c r="F76" t="s">
        <v>48</v>
      </c>
      <c r="G76" t="s">
        <v>100</v>
      </c>
      <c r="H76" t="s">
        <v>11</v>
      </c>
      <c r="I76" t="s">
        <v>7</v>
      </c>
      <c r="J76" t="s">
        <v>39</v>
      </c>
      <c r="K76" t="s">
        <v>51</v>
      </c>
      <c r="L76" t="s">
        <v>42</v>
      </c>
      <c r="M76">
        <v>1</v>
      </c>
    </row>
    <row r="77" spans="1:13" x14ac:dyDescent="0.25">
      <c r="A77" s="2">
        <v>46244</v>
      </c>
      <c r="B77" s="1" t="str">
        <f ca="1">IF(Información1[[#This Row],[Fecha]]='Ajuste de fechas'!$A$2,"Día actual","Día anterior")</f>
        <v>Día actual</v>
      </c>
      <c r="C77" t="s">
        <v>62</v>
      </c>
      <c r="D77" t="s">
        <v>63</v>
      </c>
      <c r="E77" t="s">
        <v>213</v>
      </c>
      <c r="F77" t="s">
        <v>54</v>
      </c>
      <c r="G77" t="s">
        <v>99</v>
      </c>
      <c r="H77" t="s">
        <v>11</v>
      </c>
      <c r="I77" t="s">
        <v>7</v>
      </c>
      <c r="J77" t="s">
        <v>24</v>
      </c>
      <c r="K77" t="s">
        <v>64</v>
      </c>
      <c r="L77" t="s">
        <v>40</v>
      </c>
      <c r="M77">
        <v>1</v>
      </c>
    </row>
    <row r="78" spans="1:13" x14ac:dyDescent="0.25">
      <c r="A78" s="2">
        <v>46244</v>
      </c>
      <c r="B78" s="1" t="str">
        <f ca="1">IF(Información1[[#This Row],[Fecha]]='Ajuste de fechas'!$A$2,"Día actual","Día anterior")</f>
        <v>Día actual</v>
      </c>
      <c r="C78" t="s">
        <v>62</v>
      </c>
      <c r="D78" t="s">
        <v>63</v>
      </c>
      <c r="E78" t="s">
        <v>214</v>
      </c>
      <c r="F78" t="s">
        <v>19</v>
      </c>
      <c r="G78" t="s">
        <v>109</v>
      </c>
      <c r="H78" t="s">
        <v>11</v>
      </c>
      <c r="I78" t="s">
        <v>7</v>
      </c>
      <c r="J78" t="s">
        <v>43</v>
      </c>
      <c r="K78" t="s">
        <v>64</v>
      </c>
      <c r="L78" t="s">
        <v>40</v>
      </c>
      <c r="M78">
        <v>1</v>
      </c>
    </row>
    <row r="79" spans="1:13" x14ac:dyDescent="0.25">
      <c r="A79" s="2">
        <v>46244</v>
      </c>
      <c r="B79" s="1" t="str">
        <f ca="1">IF(Información1[[#This Row],[Fecha]]='Ajuste de fechas'!$A$2,"Día actual","Día anterior")</f>
        <v>Día actual</v>
      </c>
      <c r="C79" t="s">
        <v>62</v>
      </c>
      <c r="D79" t="s">
        <v>63</v>
      </c>
      <c r="E79" t="s">
        <v>215</v>
      </c>
      <c r="F79" t="s">
        <v>87</v>
      </c>
      <c r="G79" t="s">
        <v>88</v>
      </c>
      <c r="H79" t="s">
        <v>11</v>
      </c>
      <c r="I79" t="s">
        <v>7</v>
      </c>
      <c r="J79" t="s">
        <v>39</v>
      </c>
      <c r="K79" t="s">
        <v>64</v>
      </c>
      <c r="L79" t="s">
        <v>42</v>
      </c>
      <c r="M79">
        <v>1</v>
      </c>
    </row>
    <row r="80" spans="1:13" x14ac:dyDescent="0.25">
      <c r="A80" s="2">
        <v>46244</v>
      </c>
      <c r="B80" s="1" t="str">
        <f ca="1">IF(Información1[[#This Row],[Fecha]]='Ajuste de fechas'!$A$2,"Día actual","Día anterior")</f>
        <v>Día actual</v>
      </c>
      <c r="C80" t="s">
        <v>62</v>
      </c>
      <c r="D80" t="s">
        <v>63</v>
      </c>
      <c r="E80" t="s">
        <v>216</v>
      </c>
      <c r="F80" t="s">
        <v>91</v>
      </c>
      <c r="G80" t="s">
        <v>217</v>
      </c>
      <c r="H80" t="s">
        <v>11</v>
      </c>
      <c r="I80" t="s">
        <v>7</v>
      </c>
      <c r="J80" t="s">
        <v>39</v>
      </c>
      <c r="K80" t="s">
        <v>64</v>
      </c>
      <c r="L80" t="s">
        <v>42</v>
      </c>
      <c r="M80">
        <v>1</v>
      </c>
    </row>
    <row r="81" spans="1:13" x14ac:dyDescent="0.25">
      <c r="A81" s="2">
        <v>46244</v>
      </c>
      <c r="B81" s="1" t="str">
        <f ca="1">IF(Información1[[#This Row],[Fecha]]='Ajuste de fechas'!$A$2,"Día actual","Día anterior")</f>
        <v>Día actual</v>
      </c>
      <c r="C81" t="s">
        <v>62</v>
      </c>
      <c r="D81" t="s">
        <v>63</v>
      </c>
      <c r="E81" t="s">
        <v>218</v>
      </c>
      <c r="F81" t="s">
        <v>31</v>
      </c>
      <c r="G81" t="s">
        <v>92</v>
      </c>
      <c r="H81" t="s">
        <v>11</v>
      </c>
      <c r="I81" t="s">
        <v>7</v>
      </c>
      <c r="J81" t="s">
        <v>39</v>
      </c>
      <c r="K81" t="s">
        <v>64</v>
      </c>
      <c r="L81" t="s">
        <v>42</v>
      </c>
      <c r="M81">
        <v>1</v>
      </c>
    </row>
    <row r="82" spans="1:13" x14ac:dyDescent="0.25">
      <c r="A82" s="2">
        <v>46244</v>
      </c>
      <c r="B82" s="1" t="str">
        <f ca="1">IF(Información1[[#This Row],[Fecha]]='Ajuste de fechas'!$A$2,"Día actual","Día anterior")</f>
        <v>Día actual</v>
      </c>
      <c r="C82" t="s">
        <v>62</v>
      </c>
      <c r="D82" t="s">
        <v>63</v>
      </c>
      <c r="E82" t="s">
        <v>219</v>
      </c>
      <c r="F82" t="s">
        <v>79</v>
      </c>
      <c r="G82" t="s">
        <v>220</v>
      </c>
      <c r="H82" t="s">
        <v>11</v>
      </c>
      <c r="I82" t="s">
        <v>7</v>
      </c>
      <c r="J82" t="s">
        <v>39</v>
      </c>
      <c r="K82" t="s">
        <v>64</v>
      </c>
      <c r="L82" t="s">
        <v>42</v>
      </c>
      <c r="M82">
        <v>1</v>
      </c>
    </row>
    <row r="83" spans="1:13" x14ac:dyDescent="0.25">
      <c r="A83" s="2">
        <v>46244</v>
      </c>
      <c r="B83" s="1" t="str">
        <f ca="1">IF(Información1[[#This Row],[Fecha]]='Ajuste de fechas'!$A$2,"Día actual","Día anterior")</f>
        <v>Día actual</v>
      </c>
      <c r="C83" t="s">
        <v>62</v>
      </c>
      <c r="D83" t="s">
        <v>63</v>
      </c>
      <c r="E83" t="s">
        <v>221</v>
      </c>
      <c r="F83" t="s">
        <v>23</v>
      </c>
      <c r="G83" t="s">
        <v>85</v>
      </c>
      <c r="H83" t="s">
        <v>11</v>
      </c>
      <c r="I83" t="s">
        <v>7</v>
      </c>
      <c r="J83" t="s">
        <v>39</v>
      </c>
      <c r="K83" t="s">
        <v>64</v>
      </c>
      <c r="L83" t="s">
        <v>42</v>
      </c>
      <c r="M83">
        <v>1</v>
      </c>
    </row>
    <row r="84" spans="1:13" x14ac:dyDescent="0.25">
      <c r="A84" s="2">
        <v>46244</v>
      </c>
      <c r="B84" s="1" t="str">
        <f ca="1">IF(Información1[[#This Row],[Fecha]]='Ajuste de fechas'!$A$2,"Día actual","Día anterior")</f>
        <v>Día actual</v>
      </c>
      <c r="C84" t="s">
        <v>62</v>
      </c>
      <c r="D84" t="s">
        <v>63</v>
      </c>
      <c r="E84" t="s">
        <v>222</v>
      </c>
      <c r="F84" t="s">
        <v>23</v>
      </c>
      <c r="G84" t="s">
        <v>223</v>
      </c>
      <c r="H84" t="s">
        <v>11</v>
      </c>
      <c r="I84" t="s">
        <v>7</v>
      </c>
      <c r="J84" t="s">
        <v>39</v>
      </c>
      <c r="K84" t="s">
        <v>64</v>
      </c>
      <c r="L84" t="s">
        <v>42</v>
      </c>
      <c r="M84">
        <v>1</v>
      </c>
    </row>
    <row r="85" spans="1:13" x14ac:dyDescent="0.25">
      <c r="A85" s="2">
        <v>46244</v>
      </c>
      <c r="B85" s="1" t="str">
        <f ca="1">IF(Información1[[#This Row],[Fecha]]='Ajuste de fechas'!$A$2,"Día actual","Día anterior")</f>
        <v>Día actual</v>
      </c>
      <c r="C85" t="s">
        <v>62</v>
      </c>
      <c r="D85" t="s">
        <v>63</v>
      </c>
      <c r="E85" t="s">
        <v>224</v>
      </c>
      <c r="F85" t="s">
        <v>81</v>
      </c>
      <c r="G85" t="s">
        <v>225</v>
      </c>
      <c r="H85" t="s">
        <v>11</v>
      </c>
      <c r="I85" t="s">
        <v>7</v>
      </c>
      <c r="J85" t="s">
        <v>39</v>
      </c>
      <c r="K85" t="s">
        <v>64</v>
      </c>
      <c r="L85" t="s">
        <v>42</v>
      </c>
      <c r="M85">
        <v>1</v>
      </c>
    </row>
    <row r="86" spans="1:13" x14ac:dyDescent="0.25">
      <c r="A86" s="2">
        <v>46244</v>
      </c>
      <c r="B86" s="1" t="str">
        <f ca="1">IF(Información1[[#This Row],[Fecha]]='Ajuste de fechas'!$A$2,"Día actual","Día anterior")</f>
        <v>Día actual</v>
      </c>
      <c r="C86" t="s">
        <v>62</v>
      </c>
      <c r="D86" t="s">
        <v>63</v>
      </c>
      <c r="E86" t="s">
        <v>226</v>
      </c>
      <c r="F86" t="s">
        <v>26</v>
      </c>
      <c r="G86" t="s">
        <v>110</v>
      </c>
      <c r="H86" t="s">
        <v>11</v>
      </c>
      <c r="I86" t="s">
        <v>7</v>
      </c>
      <c r="J86" t="s">
        <v>39</v>
      </c>
      <c r="K86" t="s">
        <v>64</v>
      </c>
      <c r="L86" t="s">
        <v>42</v>
      </c>
      <c r="M86">
        <v>1</v>
      </c>
    </row>
    <row r="87" spans="1:13" x14ac:dyDescent="0.25">
      <c r="A87" s="2">
        <v>46244</v>
      </c>
      <c r="B87" s="1" t="str">
        <f ca="1">IF(Información1[[#This Row],[Fecha]]='Ajuste de fechas'!$A$2,"Día actual","Día anterior")</f>
        <v>Día actual</v>
      </c>
      <c r="C87" t="s">
        <v>50</v>
      </c>
      <c r="D87" t="s">
        <v>52</v>
      </c>
      <c r="E87" t="s">
        <v>227</v>
      </c>
      <c r="F87" t="s">
        <v>22</v>
      </c>
      <c r="G87" t="s">
        <v>112</v>
      </c>
      <c r="H87" t="s">
        <v>11</v>
      </c>
      <c r="I87" t="s">
        <v>7</v>
      </c>
      <c r="J87" t="s">
        <v>44</v>
      </c>
      <c r="K87" t="s">
        <v>51</v>
      </c>
      <c r="L87" t="s">
        <v>40</v>
      </c>
      <c r="M87">
        <v>1</v>
      </c>
    </row>
    <row r="88" spans="1:13" x14ac:dyDescent="0.25">
      <c r="A88" s="2">
        <v>46244</v>
      </c>
      <c r="B88" s="1" t="str">
        <f ca="1">IF(Información1[[#This Row],[Fecha]]='Ajuste de fechas'!$A$2,"Día actual","Día anterior")</f>
        <v>Día actual</v>
      </c>
      <c r="C88" t="s">
        <v>50</v>
      </c>
      <c r="D88" t="s">
        <v>52</v>
      </c>
      <c r="E88" t="s">
        <v>228</v>
      </c>
      <c r="F88" t="s">
        <v>19</v>
      </c>
      <c r="G88" t="s">
        <v>229</v>
      </c>
      <c r="H88" t="s">
        <v>11</v>
      </c>
      <c r="I88" t="s">
        <v>7</v>
      </c>
      <c r="J88" t="s">
        <v>43</v>
      </c>
      <c r="K88" t="s">
        <v>51</v>
      </c>
      <c r="L88" t="s">
        <v>40</v>
      </c>
      <c r="M88">
        <v>1</v>
      </c>
    </row>
    <row r="89" spans="1:13" x14ac:dyDescent="0.25">
      <c r="A89" s="2">
        <v>46244</v>
      </c>
      <c r="B89" s="1" t="str">
        <f ca="1">IF(Información1[[#This Row],[Fecha]]='Ajuste de fechas'!$A$2,"Día actual","Día anterior")</f>
        <v>Día actual</v>
      </c>
      <c r="C89" t="s">
        <v>50</v>
      </c>
      <c r="D89" t="s">
        <v>52</v>
      </c>
      <c r="E89" t="s">
        <v>230</v>
      </c>
      <c r="F89" t="s">
        <v>19</v>
      </c>
      <c r="G89" t="s">
        <v>231</v>
      </c>
      <c r="H89" t="s">
        <v>11</v>
      </c>
      <c r="I89" t="s">
        <v>7</v>
      </c>
      <c r="J89" t="s">
        <v>43</v>
      </c>
      <c r="K89" t="s">
        <v>49</v>
      </c>
      <c r="L89" t="s">
        <v>40</v>
      </c>
      <c r="M89">
        <v>1</v>
      </c>
    </row>
    <row r="90" spans="1:13" x14ac:dyDescent="0.25">
      <c r="A90" s="2">
        <v>46244</v>
      </c>
      <c r="B90" s="1" t="str">
        <f ca="1">IF(Información1[[#This Row],[Fecha]]='Ajuste de fechas'!$A$2,"Día actual","Día anterior")</f>
        <v>Día actual</v>
      </c>
      <c r="C90" t="s">
        <v>50</v>
      </c>
      <c r="D90" t="s">
        <v>52</v>
      </c>
      <c r="E90" t="s">
        <v>232</v>
      </c>
      <c r="F90" t="s">
        <v>19</v>
      </c>
      <c r="G90" t="s">
        <v>152</v>
      </c>
      <c r="H90" t="s">
        <v>11</v>
      </c>
      <c r="I90" t="s">
        <v>7</v>
      </c>
      <c r="J90" t="s">
        <v>43</v>
      </c>
      <c r="K90" t="s">
        <v>49</v>
      </c>
      <c r="L90" t="s">
        <v>40</v>
      </c>
      <c r="M90">
        <v>1</v>
      </c>
    </row>
    <row r="91" spans="1:13" x14ac:dyDescent="0.25">
      <c r="A91" s="2">
        <v>46244</v>
      </c>
      <c r="B91" s="1" t="str">
        <f ca="1">IF(Información1[[#This Row],[Fecha]]='Ajuste de fechas'!$A$2,"Día actual","Día anterior")</f>
        <v>Día actual</v>
      </c>
      <c r="C91" t="s">
        <v>50</v>
      </c>
      <c r="D91" t="s">
        <v>52</v>
      </c>
      <c r="E91" t="s">
        <v>233</v>
      </c>
      <c r="F91" t="s">
        <v>21</v>
      </c>
      <c r="G91" t="s">
        <v>234</v>
      </c>
      <c r="H91" t="s">
        <v>11</v>
      </c>
      <c r="I91" t="s">
        <v>7</v>
      </c>
      <c r="J91" t="s">
        <v>39</v>
      </c>
      <c r="K91" t="s">
        <v>49</v>
      </c>
      <c r="L91" t="s">
        <v>40</v>
      </c>
      <c r="M91">
        <v>1</v>
      </c>
    </row>
    <row r="92" spans="1:13" x14ac:dyDescent="0.25">
      <c r="A92" s="2">
        <v>46244</v>
      </c>
      <c r="B92" s="1" t="str">
        <f ca="1">IF(Información1[[#This Row],[Fecha]]='Ajuste de fechas'!$A$2,"Día actual","Día anterior")</f>
        <v>Día actual</v>
      </c>
      <c r="C92" t="s">
        <v>50</v>
      </c>
      <c r="D92" t="s">
        <v>52</v>
      </c>
      <c r="E92" t="s">
        <v>235</v>
      </c>
      <c r="F92" t="s">
        <v>87</v>
      </c>
      <c r="G92" t="s">
        <v>234</v>
      </c>
      <c r="H92" t="s">
        <v>11</v>
      </c>
      <c r="I92" t="s">
        <v>7</v>
      </c>
      <c r="J92" t="s">
        <v>39</v>
      </c>
      <c r="K92" t="s">
        <v>49</v>
      </c>
      <c r="L92" t="s">
        <v>40</v>
      </c>
      <c r="M92">
        <v>1</v>
      </c>
    </row>
    <row r="93" spans="1:13" x14ac:dyDescent="0.25">
      <c r="A93" s="2">
        <v>46244</v>
      </c>
      <c r="B93" s="1" t="str">
        <f ca="1">IF(Información1[[#This Row],[Fecha]]='Ajuste de fechas'!$A$2,"Día actual","Día anterior")</f>
        <v>Día actual</v>
      </c>
      <c r="C93" t="s">
        <v>50</v>
      </c>
      <c r="D93" t="s">
        <v>52</v>
      </c>
      <c r="E93" t="s">
        <v>236</v>
      </c>
      <c r="F93" t="s">
        <v>22</v>
      </c>
      <c r="G93" t="s">
        <v>234</v>
      </c>
      <c r="H93" t="s">
        <v>11</v>
      </c>
      <c r="I93" t="s">
        <v>7</v>
      </c>
      <c r="J93" t="s">
        <v>44</v>
      </c>
      <c r="K93" t="s">
        <v>49</v>
      </c>
      <c r="L93" t="s">
        <v>40</v>
      </c>
      <c r="M93">
        <v>1</v>
      </c>
    </row>
    <row r="94" spans="1:13" x14ac:dyDescent="0.25">
      <c r="A94" s="2">
        <v>46244</v>
      </c>
      <c r="B94" s="1" t="str">
        <f ca="1">IF(Información1[[#This Row],[Fecha]]='Ajuste de fechas'!$A$2,"Día actual","Día anterior")</f>
        <v>Día actual</v>
      </c>
      <c r="C94" t="s">
        <v>50</v>
      </c>
      <c r="D94" t="s">
        <v>52</v>
      </c>
      <c r="E94" t="s">
        <v>237</v>
      </c>
      <c r="F94" t="s">
        <v>160</v>
      </c>
      <c r="G94" t="s">
        <v>234</v>
      </c>
      <c r="H94" t="s">
        <v>11</v>
      </c>
      <c r="I94" t="s">
        <v>7</v>
      </c>
      <c r="J94" t="s">
        <v>39</v>
      </c>
      <c r="K94" t="s">
        <v>49</v>
      </c>
      <c r="L94" t="s">
        <v>42</v>
      </c>
      <c r="M94">
        <v>1</v>
      </c>
    </row>
    <row r="95" spans="1:13" x14ac:dyDescent="0.25">
      <c r="A95" s="2">
        <v>46244</v>
      </c>
      <c r="B95" s="1" t="str">
        <f ca="1">IF(Información1[[#This Row],[Fecha]]='Ajuste de fechas'!$A$2,"Día actual","Día anterior")</f>
        <v>Día actual</v>
      </c>
      <c r="C95" t="s">
        <v>50</v>
      </c>
      <c r="D95" t="s">
        <v>52</v>
      </c>
      <c r="E95" t="s">
        <v>238</v>
      </c>
      <c r="F95" t="s">
        <v>106</v>
      </c>
      <c r="G95" t="s">
        <v>234</v>
      </c>
      <c r="H95" t="s">
        <v>11</v>
      </c>
      <c r="I95" t="s">
        <v>7</v>
      </c>
      <c r="J95" t="s">
        <v>39</v>
      </c>
      <c r="K95" t="s">
        <v>49</v>
      </c>
      <c r="L95" t="s">
        <v>42</v>
      </c>
      <c r="M95">
        <v>1</v>
      </c>
    </row>
    <row r="96" spans="1:13" x14ac:dyDescent="0.25">
      <c r="A96" s="2">
        <v>46244</v>
      </c>
      <c r="B96" s="1" t="str">
        <f ca="1">IF(Información1[[#This Row],[Fecha]]='Ajuste de fechas'!$A$2,"Día actual","Día anterior")</f>
        <v>Día actual</v>
      </c>
      <c r="C96" t="s">
        <v>50</v>
      </c>
      <c r="D96" t="s">
        <v>52</v>
      </c>
      <c r="E96" t="s">
        <v>239</v>
      </c>
      <c r="F96" t="s">
        <v>106</v>
      </c>
      <c r="G96" t="s">
        <v>234</v>
      </c>
      <c r="H96" t="s">
        <v>11</v>
      </c>
      <c r="I96" t="s">
        <v>7</v>
      </c>
      <c r="J96" t="s">
        <v>39</v>
      </c>
      <c r="K96" t="s">
        <v>49</v>
      </c>
      <c r="L96" t="s">
        <v>40</v>
      </c>
      <c r="M96">
        <v>1</v>
      </c>
    </row>
    <row r="97" spans="1:13" x14ac:dyDescent="0.25">
      <c r="A97" s="2">
        <v>46244</v>
      </c>
      <c r="B97" s="1" t="str">
        <f ca="1">IF(Información1[[#This Row],[Fecha]]='Ajuste de fechas'!$A$2,"Día actual","Día anterior")</f>
        <v>Día actual</v>
      </c>
      <c r="C97" t="s">
        <v>50</v>
      </c>
      <c r="D97" t="s">
        <v>52</v>
      </c>
      <c r="E97" t="s">
        <v>240</v>
      </c>
      <c r="F97" t="s">
        <v>77</v>
      </c>
      <c r="G97" t="s">
        <v>234</v>
      </c>
      <c r="H97" t="s">
        <v>11</v>
      </c>
      <c r="I97" t="s">
        <v>7</v>
      </c>
      <c r="J97" t="s">
        <v>39</v>
      </c>
      <c r="K97" t="s">
        <v>49</v>
      </c>
      <c r="L97" t="s">
        <v>40</v>
      </c>
      <c r="M97">
        <v>1</v>
      </c>
    </row>
    <row r="98" spans="1:13" x14ac:dyDescent="0.25">
      <c r="A98" s="2">
        <v>46244</v>
      </c>
      <c r="B98" s="1" t="str">
        <f ca="1">IF(Información1[[#This Row],[Fecha]]='Ajuste de fechas'!$A$2,"Día actual","Día anterior")</f>
        <v>Día actual</v>
      </c>
      <c r="C98" t="s">
        <v>50</v>
      </c>
      <c r="D98" t="s">
        <v>52</v>
      </c>
      <c r="E98" t="s">
        <v>241</v>
      </c>
      <c r="F98" t="s">
        <v>26</v>
      </c>
      <c r="G98" t="s">
        <v>110</v>
      </c>
      <c r="H98" t="s">
        <v>11</v>
      </c>
      <c r="I98" t="s">
        <v>7</v>
      </c>
      <c r="J98" t="s">
        <v>39</v>
      </c>
      <c r="K98" t="s">
        <v>49</v>
      </c>
      <c r="L98" t="s">
        <v>42</v>
      </c>
      <c r="M98">
        <v>1</v>
      </c>
    </row>
    <row r="99" spans="1:13" x14ac:dyDescent="0.25">
      <c r="A99" s="2">
        <v>46244</v>
      </c>
      <c r="B99" s="1" t="str">
        <f ca="1">IF(Información1[[#This Row],[Fecha]]='Ajuste de fechas'!$A$2,"Día actual","Día anterior")</f>
        <v>Día actual</v>
      </c>
      <c r="C99" t="s">
        <v>50</v>
      </c>
      <c r="D99" t="s">
        <v>52</v>
      </c>
      <c r="E99" t="s">
        <v>228</v>
      </c>
      <c r="F99" t="s">
        <v>87</v>
      </c>
      <c r="G99" t="s">
        <v>229</v>
      </c>
      <c r="H99" t="s">
        <v>11</v>
      </c>
      <c r="I99" t="s">
        <v>7</v>
      </c>
      <c r="J99" t="s">
        <v>39</v>
      </c>
      <c r="K99" t="s">
        <v>51</v>
      </c>
      <c r="L99" t="s">
        <v>40</v>
      </c>
      <c r="M99">
        <v>1</v>
      </c>
    </row>
    <row r="100" spans="1:13" x14ac:dyDescent="0.25">
      <c r="A100" s="2">
        <v>46244</v>
      </c>
      <c r="B100" s="1" t="str">
        <f ca="1">IF(Información1[[#This Row],[Fecha]]='Ajuste de fechas'!$A$2,"Día actual","Día anterior")</f>
        <v>Día actual</v>
      </c>
      <c r="C100" t="s">
        <v>8</v>
      </c>
      <c r="D100" t="s">
        <v>10</v>
      </c>
      <c r="E100" t="s">
        <v>242</v>
      </c>
      <c r="F100" t="s">
        <v>6</v>
      </c>
      <c r="G100" t="s">
        <v>71</v>
      </c>
      <c r="H100" t="s">
        <v>11</v>
      </c>
      <c r="I100" t="s">
        <v>25</v>
      </c>
      <c r="J100" t="s">
        <v>39</v>
      </c>
      <c r="K100" t="s">
        <v>9</v>
      </c>
      <c r="L100" t="s">
        <v>41</v>
      </c>
      <c r="M100">
        <v>1</v>
      </c>
    </row>
    <row r="101" spans="1:13" x14ac:dyDescent="0.25">
      <c r="A101" s="2">
        <v>46244</v>
      </c>
      <c r="B101" s="1" t="str">
        <f ca="1">IF(Información1[[#This Row],[Fecha]]='Ajuste de fechas'!$A$2,"Día actual","Día anterior")</f>
        <v>Día actual</v>
      </c>
      <c r="C101" t="s">
        <v>8</v>
      </c>
      <c r="D101" t="s">
        <v>10</v>
      </c>
      <c r="E101" t="s">
        <v>243</v>
      </c>
      <c r="F101" t="s">
        <v>6</v>
      </c>
      <c r="G101" t="s">
        <v>71</v>
      </c>
      <c r="H101" t="s">
        <v>11</v>
      </c>
      <c r="I101" t="s">
        <v>25</v>
      </c>
      <c r="J101" t="s">
        <v>39</v>
      </c>
      <c r="K101" t="s">
        <v>9</v>
      </c>
      <c r="L101" t="s">
        <v>41</v>
      </c>
      <c r="M101">
        <v>1</v>
      </c>
    </row>
    <row r="102" spans="1:13" x14ac:dyDescent="0.25">
      <c r="A102" s="2">
        <v>46244</v>
      </c>
      <c r="B102" s="1" t="str">
        <f ca="1">IF(Información1[[#This Row],[Fecha]]='Ajuste de fechas'!$A$2,"Día actual","Día anterior")</f>
        <v>Día actual</v>
      </c>
      <c r="C102" t="s">
        <v>8</v>
      </c>
      <c r="D102" t="s">
        <v>10</v>
      </c>
      <c r="E102" t="s">
        <v>244</v>
      </c>
      <c r="F102" t="s">
        <v>6</v>
      </c>
      <c r="G102" t="s">
        <v>71</v>
      </c>
      <c r="H102" t="s">
        <v>11</v>
      </c>
      <c r="I102" t="s">
        <v>25</v>
      </c>
      <c r="J102" t="s">
        <v>39</v>
      </c>
      <c r="K102" t="s">
        <v>9</v>
      </c>
      <c r="L102" t="s">
        <v>41</v>
      </c>
      <c r="M102">
        <v>1</v>
      </c>
    </row>
    <row r="103" spans="1:13" x14ac:dyDescent="0.25">
      <c r="A103" s="2">
        <v>46244</v>
      </c>
      <c r="B103" s="1" t="str">
        <f ca="1">IF(Información1[[#This Row],[Fecha]]='Ajuste de fechas'!$A$2,"Día actual","Día anterior")</f>
        <v>Día actual</v>
      </c>
      <c r="C103" t="s">
        <v>8</v>
      </c>
      <c r="D103" t="s">
        <v>10</v>
      </c>
      <c r="E103" t="s">
        <v>245</v>
      </c>
      <c r="F103" t="s">
        <v>6</v>
      </c>
      <c r="G103" t="s">
        <v>71</v>
      </c>
      <c r="H103" t="s">
        <v>11</v>
      </c>
      <c r="I103" t="s">
        <v>7</v>
      </c>
      <c r="J103" t="s">
        <v>39</v>
      </c>
      <c r="K103" t="s">
        <v>14</v>
      </c>
      <c r="L103" t="s">
        <v>40</v>
      </c>
      <c r="M103">
        <v>1</v>
      </c>
    </row>
    <row r="104" spans="1:13" x14ac:dyDescent="0.25">
      <c r="A104" s="2">
        <v>46244</v>
      </c>
      <c r="B104" s="1" t="str">
        <f ca="1">IF(Información1[[#This Row],[Fecha]]='Ajuste de fechas'!$A$2,"Día actual","Día anterior")</f>
        <v>Día actual</v>
      </c>
      <c r="C104" t="s">
        <v>28</v>
      </c>
      <c r="D104" t="s">
        <v>65</v>
      </c>
      <c r="E104" t="s">
        <v>246</v>
      </c>
      <c r="F104" t="s">
        <v>19</v>
      </c>
      <c r="G104" t="s">
        <v>125</v>
      </c>
      <c r="H104" t="s">
        <v>11</v>
      </c>
      <c r="I104" t="s">
        <v>25</v>
      </c>
      <c r="J104" t="s">
        <v>43</v>
      </c>
      <c r="K104" t="s">
        <v>66</v>
      </c>
      <c r="L104" t="s">
        <v>40</v>
      </c>
      <c r="M104">
        <v>1</v>
      </c>
    </row>
    <row r="105" spans="1:13" x14ac:dyDescent="0.25">
      <c r="A105" s="2">
        <v>46244</v>
      </c>
      <c r="B105" s="1" t="str">
        <f ca="1">IF(Información1[[#This Row],[Fecha]]='Ajuste de fechas'!$A$2,"Día actual","Día anterior")</f>
        <v>Día actual</v>
      </c>
      <c r="C105" t="s">
        <v>28</v>
      </c>
      <c r="D105" t="s">
        <v>65</v>
      </c>
      <c r="E105" t="s">
        <v>247</v>
      </c>
      <c r="F105" t="s">
        <v>19</v>
      </c>
      <c r="G105" t="s">
        <v>125</v>
      </c>
      <c r="H105" t="s">
        <v>11</v>
      </c>
      <c r="I105" t="s">
        <v>25</v>
      </c>
      <c r="J105" t="s">
        <v>43</v>
      </c>
      <c r="K105" t="s">
        <v>66</v>
      </c>
      <c r="L105" t="s">
        <v>40</v>
      </c>
      <c r="M105">
        <v>1</v>
      </c>
    </row>
    <row r="106" spans="1:13" x14ac:dyDescent="0.25">
      <c r="A106" s="2">
        <v>46244</v>
      </c>
      <c r="B106" s="1" t="str">
        <f ca="1">IF(Información1[[#This Row],[Fecha]]='Ajuste de fechas'!$A$2,"Día actual","Día anterior")</f>
        <v>Día actual</v>
      </c>
      <c r="C106" t="s">
        <v>28</v>
      </c>
      <c r="D106" t="s">
        <v>72</v>
      </c>
      <c r="E106" t="s">
        <v>248</v>
      </c>
      <c r="F106" t="s">
        <v>48</v>
      </c>
      <c r="G106" t="s">
        <v>125</v>
      </c>
      <c r="H106" t="s">
        <v>11</v>
      </c>
      <c r="I106" t="s">
        <v>7</v>
      </c>
      <c r="J106" t="s">
        <v>39</v>
      </c>
      <c r="K106" t="s">
        <v>73</v>
      </c>
      <c r="L106" t="s">
        <v>40</v>
      </c>
      <c r="M106">
        <v>1</v>
      </c>
    </row>
    <row r="107" spans="1:13" x14ac:dyDescent="0.25">
      <c r="A107" s="2">
        <v>46244</v>
      </c>
      <c r="B107" s="1" t="str">
        <f ca="1">IF(Información1[[#This Row],[Fecha]]='Ajuste de fechas'!$A$2,"Día actual","Día anterior")</f>
        <v>Día actual</v>
      </c>
      <c r="C107" t="s">
        <v>67</v>
      </c>
      <c r="D107" t="s">
        <v>68</v>
      </c>
      <c r="E107" t="s">
        <v>249</v>
      </c>
      <c r="F107" t="s">
        <v>26</v>
      </c>
      <c r="G107" t="s">
        <v>250</v>
      </c>
      <c r="H107" t="s">
        <v>11</v>
      </c>
      <c r="I107" t="s">
        <v>7</v>
      </c>
      <c r="J107" t="s">
        <v>39</v>
      </c>
      <c r="K107" t="s">
        <v>69</v>
      </c>
      <c r="L107" t="s">
        <v>42</v>
      </c>
      <c r="M107">
        <v>1</v>
      </c>
    </row>
    <row r="108" spans="1:13" x14ac:dyDescent="0.25">
      <c r="A108" s="2">
        <v>46244</v>
      </c>
      <c r="B108" s="1" t="str">
        <f ca="1">IF(Información1[[#This Row],[Fecha]]='Ajuste de fechas'!$A$2,"Día actual","Día anterior")</f>
        <v>Día actual</v>
      </c>
      <c r="C108" t="s">
        <v>8</v>
      </c>
      <c r="D108" t="s">
        <v>10</v>
      </c>
      <c r="E108" t="s">
        <v>251</v>
      </c>
      <c r="F108" t="s">
        <v>19</v>
      </c>
      <c r="G108" t="s">
        <v>32</v>
      </c>
      <c r="H108" t="s">
        <v>11</v>
      </c>
      <c r="I108" t="s">
        <v>7</v>
      </c>
      <c r="J108" t="s">
        <v>43</v>
      </c>
      <c r="K108" t="s">
        <v>14</v>
      </c>
      <c r="L108" t="s">
        <v>74</v>
      </c>
      <c r="M108">
        <v>1</v>
      </c>
    </row>
    <row r="109" spans="1:13" x14ac:dyDescent="0.25">
      <c r="A109" s="2">
        <v>46244</v>
      </c>
      <c r="B109" s="1" t="str">
        <f ca="1">IF(Información1[[#This Row],[Fecha]]='Ajuste de fechas'!$A$2,"Día actual","Día anterior")</f>
        <v>Día actual</v>
      </c>
      <c r="C109" t="s">
        <v>8</v>
      </c>
      <c r="D109" t="s">
        <v>10</v>
      </c>
      <c r="E109" t="s">
        <v>20</v>
      </c>
      <c r="F109" t="s">
        <v>19</v>
      </c>
      <c r="G109" t="s">
        <v>32</v>
      </c>
      <c r="H109" t="s">
        <v>11</v>
      </c>
      <c r="I109" t="s">
        <v>12</v>
      </c>
      <c r="J109" t="s">
        <v>43</v>
      </c>
      <c r="K109" t="s">
        <v>14</v>
      </c>
      <c r="L109" t="s">
        <v>41</v>
      </c>
      <c r="M109">
        <v>1</v>
      </c>
    </row>
    <row r="110" spans="1:13" x14ac:dyDescent="0.25">
      <c r="A110" s="2">
        <v>46244</v>
      </c>
      <c r="B110" s="1" t="str">
        <f ca="1">IF(Información1[[#This Row],[Fecha]]='Ajuste de fechas'!$A$2,"Día actual","Día anterior")</f>
        <v>Día actual</v>
      </c>
      <c r="C110" t="s">
        <v>8</v>
      </c>
      <c r="D110" t="s">
        <v>10</v>
      </c>
      <c r="E110" t="s">
        <v>18</v>
      </c>
      <c r="F110" t="s">
        <v>19</v>
      </c>
      <c r="G110" t="s">
        <v>32</v>
      </c>
      <c r="H110" t="s">
        <v>11</v>
      </c>
      <c r="I110" t="s">
        <v>12</v>
      </c>
      <c r="J110" t="s">
        <v>43</v>
      </c>
      <c r="K110" t="s">
        <v>14</v>
      </c>
      <c r="L110" t="s">
        <v>41</v>
      </c>
      <c r="M110">
        <v>1</v>
      </c>
    </row>
    <row r="111" spans="1:13" x14ac:dyDescent="0.25">
      <c r="A111" s="2">
        <v>46244</v>
      </c>
      <c r="B111" s="1" t="str">
        <f ca="1">IF(Información1[[#This Row],[Fecha]]='Ajuste de fechas'!$A$2,"Día actual","Día anterior")</f>
        <v>Día actual</v>
      </c>
      <c r="C111" t="s">
        <v>8</v>
      </c>
      <c r="D111" t="s">
        <v>10</v>
      </c>
      <c r="E111" t="s">
        <v>84</v>
      </c>
      <c r="F111" t="s">
        <v>54</v>
      </c>
      <c r="G111" t="s">
        <v>32</v>
      </c>
      <c r="H111" t="s">
        <v>11</v>
      </c>
      <c r="I111" t="s">
        <v>12</v>
      </c>
      <c r="J111" t="s">
        <v>24</v>
      </c>
      <c r="K111" t="s">
        <v>14</v>
      </c>
      <c r="L111" t="s">
        <v>41</v>
      </c>
      <c r="M111">
        <v>1</v>
      </c>
    </row>
    <row r="112" spans="1:13" x14ac:dyDescent="0.25">
      <c r="A112" s="2">
        <v>46244</v>
      </c>
      <c r="B112" s="1" t="str">
        <f ca="1">IF(Información1[[#This Row],[Fecha]]='Ajuste de fechas'!$A$2,"Día actual","Día anterior")</f>
        <v>Día actual</v>
      </c>
      <c r="C112" t="s">
        <v>8</v>
      </c>
      <c r="D112" t="s">
        <v>10</v>
      </c>
      <c r="E112" t="s">
        <v>13</v>
      </c>
      <c r="F112" t="s">
        <v>15</v>
      </c>
      <c r="G112" t="s">
        <v>32</v>
      </c>
      <c r="H112" t="s">
        <v>11</v>
      </c>
      <c r="I112" t="s">
        <v>12</v>
      </c>
      <c r="J112" t="s">
        <v>39</v>
      </c>
      <c r="K112" t="s">
        <v>14</v>
      </c>
      <c r="L112" t="s">
        <v>41</v>
      </c>
      <c r="M112">
        <v>1</v>
      </c>
    </row>
    <row r="113" spans="1:13" x14ac:dyDescent="0.25">
      <c r="A113" s="2">
        <v>46244</v>
      </c>
      <c r="B113" s="1" t="str">
        <f ca="1">IF(Información1[[#This Row],[Fecha]]='Ajuste de fechas'!$A$2,"Día actual","Día anterior")</f>
        <v>Día actual</v>
      </c>
      <c r="C113" t="s">
        <v>8</v>
      </c>
      <c r="D113" t="s">
        <v>10</v>
      </c>
      <c r="E113" t="s">
        <v>16</v>
      </c>
      <c r="F113" t="s">
        <v>17</v>
      </c>
      <c r="G113" t="s">
        <v>32</v>
      </c>
      <c r="H113" t="s">
        <v>11</v>
      </c>
      <c r="I113" t="s">
        <v>12</v>
      </c>
      <c r="J113" t="s">
        <v>39</v>
      </c>
      <c r="K113" t="s">
        <v>14</v>
      </c>
      <c r="L113" t="s">
        <v>41</v>
      </c>
      <c r="M113">
        <v>1</v>
      </c>
    </row>
    <row r="114" spans="1:13" x14ac:dyDescent="0.25">
      <c r="A114" s="2">
        <v>46244</v>
      </c>
      <c r="B114" s="1" t="str">
        <f ca="1">IF(Información1[[#This Row],[Fecha]]='Ajuste de fechas'!$A$2,"Día actual","Día anterior")</f>
        <v>Día actual</v>
      </c>
      <c r="C114" t="s">
        <v>8</v>
      </c>
      <c r="D114" t="s">
        <v>10</v>
      </c>
      <c r="E114" t="s">
        <v>53</v>
      </c>
      <c r="F114" t="s">
        <v>6</v>
      </c>
      <c r="G114" t="s">
        <v>32</v>
      </c>
      <c r="H114" t="s">
        <v>11</v>
      </c>
      <c r="I114" t="s">
        <v>12</v>
      </c>
      <c r="J114" t="s">
        <v>39</v>
      </c>
      <c r="K114" t="s">
        <v>14</v>
      </c>
      <c r="L114" t="s">
        <v>41</v>
      </c>
      <c r="M114">
        <v>1</v>
      </c>
    </row>
    <row r="115" spans="1:13" x14ac:dyDescent="0.25">
      <c r="A115" s="2">
        <v>46244</v>
      </c>
      <c r="B115" s="1" t="str">
        <f ca="1">IF(Información1[[#This Row],[Fecha]]='Ajuste de fechas'!$A$2,"Día actual","Día anterior")</f>
        <v>Día actual</v>
      </c>
      <c r="C115" t="s">
        <v>28</v>
      </c>
      <c r="D115" t="s">
        <v>72</v>
      </c>
      <c r="E115" t="s">
        <v>252</v>
      </c>
      <c r="F115" t="s">
        <v>80</v>
      </c>
      <c r="G115" t="s">
        <v>253</v>
      </c>
      <c r="H115" t="s">
        <v>11</v>
      </c>
      <c r="I115" t="s">
        <v>7</v>
      </c>
      <c r="J115" t="s">
        <v>39</v>
      </c>
      <c r="K115" t="s">
        <v>73</v>
      </c>
      <c r="L115" t="s">
        <v>40</v>
      </c>
      <c r="M115">
        <v>1</v>
      </c>
    </row>
    <row r="116" spans="1:13" x14ac:dyDescent="0.25">
      <c r="A116" s="2">
        <v>46244</v>
      </c>
      <c r="B116" s="1" t="str">
        <f ca="1">IF(Información1[[#This Row],[Fecha]]='Ajuste de fechas'!$A$2,"Día actual","Día anterior")</f>
        <v>Día actual</v>
      </c>
      <c r="C116" t="s">
        <v>28</v>
      </c>
      <c r="D116" t="s">
        <v>72</v>
      </c>
      <c r="E116" t="s">
        <v>254</v>
      </c>
      <c r="F116" t="s">
        <v>26</v>
      </c>
      <c r="G116" t="s">
        <v>255</v>
      </c>
      <c r="H116" t="s">
        <v>11</v>
      </c>
      <c r="I116" t="s">
        <v>7</v>
      </c>
      <c r="J116" t="s">
        <v>39</v>
      </c>
      <c r="K116" t="s">
        <v>73</v>
      </c>
      <c r="L116" t="s">
        <v>40</v>
      </c>
      <c r="M116">
        <v>1</v>
      </c>
    </row>
    <row r="117" spans="1:13" x14ac:dyDescent="0.25">
      <c r="A117" s="2">
        <v>46244</v>
      </c>
      <c r="B117" s="1" t="str">
        <f ca="1">IF(Información1[[#This Row],[Fecha]]='Ajuste de fechas'!$A$2,"Día actual","Día anterior")</f>
        <v>Día actual</v>
      </c>
      <c r="C117" t="s">
        <v>8</v>
      </c>
      <c r="D117" t="s">
        <v>10</v>
      </c>
      <c r="E117" t="s">
        <v>256</v>
      </c>
      <c r="F117" t="s">
        <v>21</v>
      </c>
      <c r="G117" t="s">
        <v>257</v>
      </c>
      <c r="H117" t="s">
        <v>11</v>
      </c>
      <c r="I117" t="s">
        <v>7</v>
      </c>
      <c r="J117" t="s">
        <v>39</v>
      </c>
      <c r="K117" t="s">
        <v>14</v>
      </c>
      <c r="L117" t="s">
        <v>40</v>
      </c>
      <c r="M117">
        <v>1</v>
      </c>
    </row>
    <row r="118" spans="1:13" x14ac:dyDescent="0.25">
      <c r="A118" s="2">
        <v>46244</v>
      </c>
      <c r="B118" s="1" t="str">
        <f ca="1">IF(Información1[[#This Row],[Fecha]]='Ajuste de fechas'!$A$2,"Día actual","Día anterior")</f>
        <v>Día actual</v>
      </c>
      <c r="C118" t="s">
        <v>28</v>
      </c>
      <c r="D118" t="s">
        <v>65</v>
      </c>
      <c r="E118" t="s">
        <v>258</v>
      </c>
      <c r="F118" t="s">
        <v>22</v>
      </c>
      <c r="G118" t="s">
        <v>177</v>
      </c>
      <c r="H118" t="s">
        <v>11</v>
      </c>
      <c r="I118" t="s">
        <v>7</v>
      </c>
      <c r="J118" t="s">
        <v>44</v>
      </c>
      <c r="K118" t="s">
        <v>66</v>
      </c>
      <c r="L118" t="s">
        <v>40</v>
      </c>
      <c r="M118">
        <v>1</v>
      </c>
    </row>
    <row r="119" spans="1:13" x14ac:dyDescent="0.25">
      <c r="A119" s="2">
        <v>46244</v>
      </c>
      <c r="B119" s="1" t="str">
        <f ca="1">IF(Información1[[#This Row],[Fecha]]='Ajuste de fechas'!$A$2,"Día actual","Día anterior")</f>
        <v>Día actual</v>
      </c>
      <c r="C119" t="s">
        <v>28</v>
      </c>
      <c r="D119" t="s">
        <v>65</v>
      </c>
      <c r="E119" t="s">
        <v>259</v>
      </c>
      <c r="F119" t="s">
        <v>19</v>
      </c>
      <c r="G119" t="s">
        <v>85</v>
      </c>
      <c r="H119" t="s">
        <v>11</v>
      </c>
      <c r="I119" t="s">
        <v>7</v>
      </c>
      <c r="J119" t="s">
        <v>43</v>
      </c>
      <c r="K119" t="s">
        <v>66</v>
      </c>
      <c r="L119" t="s">
        <v>40</v>
      </c>
      <c r="M119">
        <v>1</v>
      </c>
    </row>
    <row r="120" spans="1:13" x14ac:dyDescent="0.25">
      <c r="A120" s="2">
        <v>46244</v>
      </c>
      <c r="B120" s="1" t="str">
        <f ca="1">IF(Información1[[#This Row],[Fecha]]='Ajuste de fechas'!$A$2,"Día actual","Día anterior")</f>
        <v>Día actual</v>
      </c>
      <c r="C120" t="s">
        <v>28</v>
      </c>
      <c r="D120" t="s">
        <v>65</v>
      </c>
      <c r="E120" t="s">
        <v>260</v>
      </c>
      <c r="F120" t="s">
        <v>23</v>
      </c>
      <c r="G120" t="s">
        <v>85</v>
      </c>
      <c r="H120" t="s">
        <v>11</v>
      </c>
      <c r="I120" t="s">
        <v>7</v>
      </c>
      <c r="J120" t="s">
        <v>39</v>
      </c>
      <c r="K120" t="s">
        <v>66</v>
      </c>
      <c r="L120" t="s">
        <v>40</v>
      </c>
      <c r="M120">
        <v>1</v>
      </c>
    </row>
    <row r="121" spans="1:13" x14ac:dyDescent="0.25">
      <c r="A121" s="2">
        <v>46244</v>
      </c>
      <c r="B121" s="1" t="str">
        <f ca="1">IF(Información1[[#This Row],[Fecha]]='Ajuste de fechas'!$A$2,"Día actual","Día anterior")</f>
        <v>Día actual</v>
      </c>
      <c r="C121" t="s">
        <v>28</v>
      </c>
      <c r="D121" t="s">
        <v>72</v>
      </c>
      <c r="E121" t="s">
        <v>261</v>
      </c>
      <c r="F121" t="s">
        <v>23</v>
      </c>
      <c r="G121" t="s">
        <v>85</v>
      </c>
      <c r="H121" t="s">
        <v>11</v>
      </c>
      <c r="I121" t="s">
        <v>7</v>
      </c>
      <c r="J121" t="s">
        <v>39</v>
      </c>
      <c r="K121" t="s">
        <v>73</v>
      </c>
      <c r="L121" t="s">
        <v>40</v>
      </c>
      <c r="M121">
        <v>1</v>
      </c>
    </row>
    <row r="122" spans="1:13" x14ac:dyDescent="0.25">
      <c r="A122" s="2">
        <v>46244</v>
      </c>
      <c r="B122" s="1" t="str">
        <f ca="1">IF(Información1[[#This Row],[Fecha]]='Ajuste de fechas'!$A$2,"Día actual","Día anterior")</f>
        <v>Día actual</v>
      </c>
      <c r="C122" t="s">
        <v>28</v>
      </c>
      <c r="D122" t="s">
        <v>65</v>
      </c>
      <c r="E122" t="s">
        <v>262</v>
      </c>
      <c r="F122" t="s">
        <v>48</v>
      </c>
      <c r="G122" t="s">
        <v>100</v>
      </c>
      <c r="H122" t="s">
        <v>11</v>
      </c>
      <c r="I122" t="s">
        <v>7</v>
      </c>
      <c r="J122" t="s">
        <v>39</v>
      </c>
      <c r="K122" t="s">
        <v>66</v>
      </c>
      <c r="L122" t="s">
        <v>40</v>
      </c>
      <c r="M122">
        <v>1</v>
      </c>
    </row>
    <row r="123" spans="1:13" x14ac:dyDescent="0.25">
      <c r="A123" s="2">
        <v>46244</v>
      </c>
      <c r="B123" s="1" t="str">
        <f ca="1">IF(Información1[[#This Row],[Fecha]]='Ajuste de fechas'!$A$2,"Día actual","Día anterior")</f>
        <v>Día actual</v>
      </c>
      <c r="C123" t="s">
        <v>28</v>
      </c>
      <c r="D123" t="s">
        <v>72</v>
      </c>
      <c r="E123" t="s">
        <v>263</v>
      </c>
      <c r="F123" t="s">
        <v>21</v>
      </c>
      <c r="G123" t="s">
        <v>264</v>
      </c>
      <c r="H123" t="s">
        <v>11</v>
      </c>
      <c r="I123" t="s">
        <v>7</v>
      </c>
      <c r="J123" t="s">
        <v>39</v>
      </c>
      <c r="K123" t="s">
        <v>73</v>
      </c>
      <c r="L123" t="s">
        <v>40</v>
      </c>
      <c r="M123">
        <v>1</v>
      </c>
    </row>
    <row r="124" spans="1:13" x14ac:dyDescent="0.25">
      <c r="A124" s="2">
        <v>46244</v>
      </c>
      <c r="B124" s="1" t="str">
        <f ca="1">IF(Información1[[#This Row],[Fecha]]='Ajuste de fechas'!$A$2,"Día actual","Día anterior")</f>
        <v>Día actual</v>
      </c>
      <c r="C124" t="s">
        <v>28</v>
      </c>
      <c r="D124" t="s">
        <v>65</v>
      </c>
      <c r="E124" t="s">
        <v>265</v>
      </c>
      <c r="F124" t="s">
        <v>89</v>
      </c>
      <c r="G124" t="s">
        <v>105</v>
      </c>
      <c r="H124" t="s">
        <v>11</v>
      </c>
      <c r="I124" t="s">
        <v>7</v>
      </c>
      <c r="J124" t="s">
        <v>39</v>
      </c>
      <c r="K124" t="s">
        <v>66</v>
      </c>
      <c r="L124" t="s">
        <v>40</v>
      </c>
      <c r="M124">
        <v>1</v>
      </c>
    </row>
    <row r="125" spans="1:13" x14ac:dyDescent="0.25">
      <c r="A125" s="2">
        <v>46244</v>
      </c>
      <c r="B125" s="1" t="str">
        <f ca="1">IF(Información1[[#This Row],[Fecha]]='Ajuste de fechas'!$A$2,"Día actual","Día anterior")</f>
        <v>Día actual</v>
      </c>
      <c r="C125" t="s">
        <v>8</v>
      </c>
      <c r="D125" t="s">
        <v>10</v>
      </c>
      <c r="E125" t="s">
        <v>266</v>
      </c>
      <c r="F125" t="s">
        <v>89</v>
      </c>
      <c r="G125" t="s">
        <v>105</v>
      </c>
      <c r="H125" t="s">
        <v>11</v>
      </c>
      <c r="I125" t="s">
        <v>7</v>
      </c>
      <c r="J125" t="s">
        <v>39</v>
      </c>
      <c r="K125" t="s">
        <v>14</v>
      </c>
      <c r="L125" t="s">
        <v>40</v>
      </c>
      <c r="M125">
        <v>1</v>
      </c>
    </row>
    <row r="126" spans="1:13" x14ac:dyDescent="0.25">
      <c r="A126" s="2">
        <v>46244</v>
      </c>
      <c r="B126" s="1" t="str">
        <f ca="1">IF(Información1[[#This Row],[Fecha]]='Ajuste de fechas'!$A$2,"Día actual","Día anterior")</f>
        <v>Día actual</v>
      </c>
      <c r="C126" t="s">
        <v>28</v>
      </c>
      <c r="D126" t="s">
        <v>72</v>
      </c>
      <c r="E126" t="s">
        <v>267</v>
      </c>
      <c r="F126" t="s">
        <v>23</v>
      </c>
      <c r="G126" t="s">
        <v>268</v>
      </c>
      <c r="H126" t="s">
        <v>11</v>
      </c>
      <c r="I126" t="s">
        <v>7</v>
      </c>
      <c r="J126" t="s">
        <v>39</v>
      </c>
      <c r="K126" t="s">
        <v>73</v>
      </c>
      <c r="L126" t="s">
        <v>40</v>
      </c>
      <c r="M126">
        <v>1</v>
      </c>
    </row>
    <row r="127" spans="1:13" x14ac:dyDescent="0.25">
      <c r="A127" s="2">
        <v>46244</v>
      </c>
      <c r="B127" s="1" t="str">
        <f ca="1">IF(Información1[[#This Row],[Fecha]]='Ajuste de fechas'!$A$2,"Día actual","Día anterior")</f>
        <v>Día actual</v>
      </c>
      <c r="C127" t="s">
        <v>28</v>
      </c>
      <c r="D127" t="s">
        <v>65</v>
      </c>
      <c r="E127" t="s">
        <v>269</v>
      </c>
      <c r="F127" t="s">
        <v>31</v>
      </c>
      <c r="G127" t="s">
        <v>92</v>
      </c>
      <c r="H127" t="s">
        <v>11</v>
      </c>
      <c r="I127" t="s">
        <v>7</v>
      </c>
      <c r="J127" t="s">
        <v>39</v>
      </c>
      <c r="K127" t="s">
        <v>66</v>
      </c>
      <c r="L127" t="s">
        <v>42</v>
      </c>
      <c r="M127">
        <v>1</v>
      </c>
    </row>
    <row r="128" spans="1:13" x14ac:dyDescent="0.25">
      <c r="A128" s="2">
        <v>46244</v>
      </c>
      <c r="B128" s="1" t="str">
        <f ca="1">IF(Información1[[#This Row],[Fecha]]='Ajuste de fechas'!$A$2,"Día actual","Día anterior")</f>
        <v>Día actual</v>
      </c>
      <c r="C128" t="s">
        <v>28</v>
      </c>
      <c r="D128" t="s">
        <v>72</v>
      </c>
      <c r="E128" t="s">
        <v>270</v>
      </c>
      <c r="F128" t="s">
        <v>31</v>
      </c>
      <c r="G128" t="s">
        <v>92</v>
      </c>
      <c r="H128" t="s">
        <v>11</v>
      </c>
      <c r="I128" t="s">
        <v>7</v>
      </c>
      <c r="J128" t="s">
        <v>39</v>
      </c>
      <c r="K128" t="s">
        <v>73</v>
      </c>
      <c r="L128" t="s">
        <v>40</v>
      </c>
      <c r="M128">
        <v>1</v>
      </c>
    </row>
    <row r="129" spans="1:13" x14ac:dyDescent="0.25">
      <c r="A129" s="2">
        <v>46244</v>
      </c>
      <c r="B129" s="1" t="str">
        <f ca="1">IF(Información1[[#This Row],[Fecha]]='Ajuste de fechas'!$A$2,"Día actual","Día anterior")</f>
        <v>Día actual</v>
      </c>
      <c r="C129" t="s">
        <v>8</v>
      </c>
      <c r="D129" t="s">
        <v>10</v>
      </c>
      <c r="E129" t="s">
        <v>271</v>
      </c>
      <c r="F129" t="s">
        <v>160</v>
      </c>
      <c r="G129" t="s">
        <v>161</v>
      </c>
      <c r="H129" t="s">
        <v>11</v>
      </c>
      <c r="I129" t="s">
        <v>25</v>
      </c>
      <c r="J129" t="s">
        <v>39</v>
      </c>
      <c r="K129" t="s">
        <v>9</v>
      </c>
      <c r="L129" t="s">
        <v>41</v>
      </c>
      <c r="M129">
        <v>1</v>
      </c>
    </row>
    <row r="130" spans="1:13" x14ac:dyDescent="0.25">
      <c r="A130" s="2">
        <v>46244</v>
      </c>
      <c r="B130" s="1" t="str">
        <f ca="1">IF(Información1[[#This Row],[Fecha]]='Ajuste de fechas'!$A$2,"Día actual","Día anterior")</f>
        <v>Día actual</v>
      </c>
      <c r="C130" t="s">
        <v>8</v>
      </c>
      <c r="D130" t="s">
        <v>10</v>
      </c>
      <c r="E130" t="s">
        <v>272</v>
      </c>
      <c r="F130" t="s">
        <v>19</v>
      </c>
      <c r="G130" t="s">
        <v>161</v>
      </c>
      <c r="H130" t="s">
        <v>11</v>
      </c>
      <c r="I130" t="s">
        <v>7</v>
      </c>
      <c r="J130" t="s">
        <v>43</v>
      </c>
      <c r="K130" t="s">
        <v>14</v>
      </c>
      <c r="L130" t="s">
        <v>40</v>
      </c>
      <c r="M130">
        <v>1</v>
      </c>
    </row>
    <row r="131" spans="1:13" x14ac:dyDescent="0.25">
      <c r="A131" s="2">
        <v>46244</v>
      </c>
      <c r="B131" s="1" t="str">
        <f ca="1">IF(Información1[[#This Row],[Fecha]]='Ajuste de fechas'!$A$2,"Día actual","Día anterior")</f>
        <v>Día actual</v>
      </c>
      <c r="C131" t="s">
        <v>75</v>
      </c>
      <c r="D131" t="s">
        <v>82</v>
      </c>
      <c r="E131" t="s">
        <v>273</v>
      </c>
      <c r="F131" t="s">
        <v>21</v>
      </c>
      <c r="G131" t="s">
        <v>274</v>
      </c>
      <c r="H131" t="s">
        <v>11</v>
      </c>
      <c r="I131" t="s">
        <v>7</v>
      </c>
      <c r="J131" t="s">
        <v>39</v>
      </c>
      <c r="K131" t="s">
        <v>69</v>
      </c>
      <c r="L131" t="s">
        <v>42</v>
      </c>
      <c r="M131">
        <v>1</v>
      </c>
    </row>
    <row r="132" spans="1:13" x14ac:dyDescent="0.25">
      <c r="A132" s="2">
        <v>46244</v>
      </c>
      <c r="B132" s="1" t="str">
        <f ca="1">IF(Información1[[#This Row],[Fecha]]='Ajuste de fechas'!$A$2,"Día actual","Día anterior")</f>
        <v>Día actual</v>
      </c>
      <c r="C132" t="s">
        <v>28</v>
      </c>
      <c r="D132" t="s">
        <v>72</v>
      </c>
      <c r="E132" t="s">
        <v>275</v>
      </c>
      <c r="F132" t="s">
        <v>21</v>
      </c>
      <c r="G132" t="s">
        <v>274</v>
      </c>
      <c r="H132" t="s">
        <v>11</v>
      </c>
      <c r="I132" t="s">
        <v>7</v>
      </c>
      <c r="J132" t="s">
        <v>39</v>
      </c>
      <c r="K132" t="s">
        <v>73</v>
      </c>
      <c r="L132" t="s">
        <v>40</v>
      </c>
      <c r="M132">
        <v>1</v>
      </c>
    </row>
    <row r="133" spans="1:13" x14ac:dyDescent="0.25">
      <c r="A133" s="2">
        <v>46244</v>
      </c>
      <c r="B133" s="1" t="str">
        <f ca="1">IF(Información1[[#This Row],[Fecha]]='Ajuste de fechas'!$A$2,"Día actual","Día anterior")</f>
        <v>Día actual</v>
      </c>
      <c r="C133" t="s">
        <v>8</v>
      </c>
      <c r="D133" t="s">
        <v>10</v>
      </c>
      <c r="E133" t="s">
        <v>276</v>
      </c>
      <c r="F133" t="s">
        <v>81</v>
      </c>
      <c r="G133" t="s">
        <v>225</v>
      </c>
      <c r="H133" t="s">
        <v>11</v>
      </c>
      <c r="I133" t="s">
        <v>12</v>
      </c>
      <c r="J133" t="s">
        <v>39</v>
      </c>
      <c r="K133" t="s">
        <v>14</v>
      </c>
      <c r="L133" t="s">
        <v>90</v>
      </c>
      <c r="M133">
        <v>1</v>
      </c>
    </row>
    <row r="134" spans="1:13" x14ac:dyDescent="0.25">
      <c r="A134" s="2">
        <v>46244</v>
      </c>
      <c r="B134" s="1" t="str">
        <f ca="1">IF(Información1[[#This Row],[Fecha]]='Ajuste de fechas'!$A$2,"Día actual","Día anterior")</f>
        <v>Día actual</v>
      </c>
      <c r="C134" t="s">
        <v>28</v>
      </c>
      <c r="D134" t="s">
        <v>72</v>
      </c>
      <c r="E134" t="s">
        <v>277</v>
      </c>
      <c r="F134" t="s">
        <v>21</v>
      </c>
      <c r="G134" t="s">
        <v>278</v>
      </c>
      <c r="H134" t="s">
        <v>11</v>
      </c>
      <c r="I134" t="s">
        <v>7</v>
      </c>
      <c r="J134" t="s">
        <v>39</v>
      </c>
      <c r="K134" t="s">
        <v>73</v>
      </c>
      <c r="L134" t="s">
        <v>40</v>
      </c>
      <c r="M134">
        <v>1</v>
      </c>
    </row>
    <row r="135" spans="1:13" x14ac:dyDescent="0.25">
      <c r="A135" s="2">
        <v>46244</v>
      </c>
      <c r="B135" s="1" t="str">
        <f ca="1">IF(Información1[[#This Row],[Fecha]]='Ajuste de fechas'!$A$2,"Día actual","Día anterior")</f>
        <v>Día actual</v>
      </c>
      <c r="C135" t="s">
        <v>67</v>
      </c>
      <c r="D135" t="s">
        <v>68</v>
      </c>
      <c r="E135" t="s">
        <v>279</v>
      </c>
      <c r="F135" t="s">
        <v>31</v>
      </c>
      <c r="G135" t="s">
        <v>280</v>
      </c>
      <c r="H135" t="s">
        <v>11</v>
      </c>
      <c r="I135" t="s">
        <v>7</v>
      </c>
      <c r="J135" t="s">
        <v>39</v>
      </c>
      <c r="K135" t="s">
        <v>69</v>
      </c>
      <c r="L135" t="s">
        <v>42</v>
      </c>
      <c r="M135">
        <v>1</v>
      </c>
    </row>
    <row r="136" spans="1:13" x14ac:dyDescent="0.25">
      <c r="A136" s="2">
        <v>46244</v>
      </c>
      <c r="B136" s="1" t="str">
        <f ca="1">IF(Información1[[#This Row],[Fecha]]='Ajuste de fechas'!$A$2,"Día actual","Día anterior")</f>
        <v>Día actual</v>
      </c>
      <c r="C136" t="s">
        <v>8</v>
      </c>
      <c r="D136" t="s">
        <v>10</v>
      </c>
      <c r="E136" t="s">
        <v>281</v>
      </c>
      <c r="F136" t="s">
        <v>22</v>
      </c>
      <c r="G136" t="s">
        <v>282</v>
      </c>
      <c r="H136" t="s">
        <v>11</v>
      </c>
      <c r="I136" t="s">
        <v>25</v>
      </c>
      <c r="J136" t="s">
        <v>44</v>
      </c>
      <c r="K136" t="s">
        <v>9</v>
      </c>
      <c r="L136" t="s">
        <v>41</v>
      </c>
      <c r="M136">
        <v>1</v>
      </c>
    </row>
    <row r="137" spans="1:13" x14ac:dyDescent="0.25">
      <c r="A137" s="2">
        <v>46244</v>
      </c>
      <c r="B137" s="1" t="str">
        <f ca="1">IF(Información1[[#This Row],[Fecha]]='Ajuste de fechas'!$A$2,"Día actual","Día anterior")</f>
        <v>Día actual</v>
      </c>
      <c r="C137" t="s">
        <v>28</v>
      </c>
      <c r="D137" t="s">
        <v>72</v>
      </c>
      <c r="E137" t="s">
        <v>283</v>
      </c>
      <c r="F137" t="s">
        <v>19</v>
      </c>
      <c r="G137" t="s">
        <v>284</v>
      </c>
      <c r="H137" t="s">
        <v>11</v>
      </c>
      <c r="I137" t="s">
        <v>7</v>
      </c>
      <c r="J137" t="s">
        <v>43</v>
      </c>
      <c r="K137" t="s">
        <v>73</v>
      </c>
      <c r="L137" t="s">
        <v>40</v>
      </c>
      <c r="M137">
        <v>1</v>
      </c>
    </row>
    <row r="138" spans="1:13" x14ac:dyDescent="0.25">
      <c r="A138" s="2">
        <v>46244</v>
      </c>
      <c r="B138" s="1" t="str">
        <f ca="1">IF(Información1[[#This Row],[Fecha]]='Ajuste de fechas'!$A$2,"Día actual","Día anterior")</f>
        <v>Día actual</v>
      </c>
      <c r="C138" t="s">
        <v>8</v>
      </c>
      <c r="D138" t="s">
        <v>10</v>
      </c>
      <c r="E138" t="s">
        <v>285</v>
      </c>
      <c r="F138" t="s">
        <v>26</v>
      </c>
      <c r="G138" t="s">
        <v>286</v>
      </c>
      <c r="H138" t="s">
        <v>11</v>
      </c>
      <c r="I138" t="s">
        <v>25</v>
      </c>
      <c r="J138" t="s">
        <v>39</v>
      </c>
      <c r="K138" t="s">
        <v>9</v>
      </c>
      <c r="L138" t="s">
        <v>41</v>
      </c>
      <c r="M138">
        <v>1</v>
      </c>
    </row>
    <row r="139" spans="1:13" x14ac:dyDescent="0.25">
      <c r="A139" s="2">
        <v>46244</v>
      </c>
      <c r="B139" s="1" t="str">
        <f ca="1">IF(Información1[[#This Row],[Fecha]]='Ajuste de fechas'!$A$2,"Día actual","Día anterior")</f>
        <v>Día actual</v>
      </c>
      <c r="C139" t="s">
        <v>8</v>
      </c>
      <c r="D139" t="s">
        <v>10</v>
      </c>
      <c r="E139" t="s">
        <v>287</v>
      </c>
      <c r="F139" t="s">
        <v>54</v>
      </c>
      <c r="G139" t="s">
        <v>99</v>
      </c>
      <c r="H139" t="s">
        <v>11</v>
      </c>
      <c r="I139" t="s">
        <v>7</v>
      </c>
      <c r="J139" t="s">
        <v>24</v>
      </c>
      <c r="K139" t="s">
        <v>14</v>
      </c>
      <c r="L139" t="s">
        <v>40</v>
      </c>
      <c r="M139">
        <v>1</v>
      </c>
    </row>
    <row r="140" spans="1:13" x14ac:dyDescent="0.25">
      <c r="A140" s="2">
        <v>46244</v>
      </c>
      <c r="B140" s="1" t="str">
        <f ca="1">IF(Información1[[#This Row],[Fecha]]='Ajuste de fechas'!$A$2,"Día actual","Día anterior")</f>
        <v>Día actual</v>
      </c>
      <c r="C140" t="s">
        <v>28</v>
      </c>
      <c r="D140" t="s">
        <v>72</v>
      </c>
      <c r="E140" t="s">
        <v>288</v>
      </c>
      <c r="F140" t="s">
        <v>77</v>
      </c>
      <c r="G140" t="s">
        <v>289</v>
      </c>
      <c r="H140" t="s">
        <v>11</v>
      </c>
      <c r="I140" t="s">
        <v>7</v>
      </c>
      <c r="J140" t="s">
        <v>39</v>
      </c>
      <c r="K140" t="s">
        <v>73</v>
      </c>
      <c r="L140" t="s">
        <v>40</v>
      </c>
      <c r="M140">
        <v>1</v>
      </c>
    </row>
    <row r="141" spans="1:13" x14ac:dyDescent="0.25">
      <c r="A141" s="2">
        <v>46244</v>
      </c>
      <c r="B141" s="1" t="str">
        <f ca="1">IF(Información1[[#This Row],[Fecha]]='Ajuste de fechas'!$A$2,"Día actual","Día anterior")</f>
        <v>Día actual</v>
      </c>
      <c r="C141" t="s">
        <v>8</v>
      </c>
      <c r="D141" t="s">
        <v>10</v>
      </c>
      <c r="E141" t="s">
        <v>290</v>
      </c>
      <c r="F141" t="s">
        <v>19</v>
      </c>
      <c r="G141" t="s">
        <v>108</v>
      </c>
      <c r="H141" t="s">
        <v>11</v>
      </c>
      <c r="I141" t="s">
        <v>7</v>
      </c>
      <c r="J141" t="s">
        <v>43</v>
      </c>
      <c r="K141" t="s">
        <v>9</v>
      </c>
      <c r="L141" t="s">
        <v>41</v>
      </c>
      <c r="M141">
        <v>1</v>
      </c>
    </row>
    <row r="142" spans="1:13" x14ac:dyDescent="0.25">
      <c r="A142" s="2">
        <v>46244</v>
      </c>
      <c r="B142" s="1" t="str">
        <f ca="1">IF(Información1[[#This Row],[Fecha]]='Ajuste de fechas'!$A$2,"Día actual","Día anterior")</f>
        <v>Día actual</v>
      </c>
      <c r="C142" t="s">
        <v>28</v>
      </c>
      <c r="D142" t="s">
        <v>65</v>
      </c>
      <c r="E142" t="s">
        <v>291</v>
      </c>
      <c r="F142" t="s">
        <v>19</v>
      </c>
      <c r="G142" t="s">
        <v>231</v>
      </c>
      <c r="H142" t="s">
        <v>11</v>
      </c>
      <c r="I142" t="s">
        <v>7</v>
      </c>
      <c r="J142" t="s">
        <v>43</v>
      </c>
      <c r="K142" t="s">
        <v>66</v>
      </c>
      <c r="L142" t="s">
        <v>40</v>
      </c>
      <c r="M142">
        <v>1</v>
      </c>
    </row>
    <row r="143" spans="1:13" x14ac:dyDescent="0.25">
      <c r="A143" s="2">
        <v>46244</v>
      </c>
      <c r="B143" s="1" t="str">
        <f ca="1">IF(Información1[[#This Row],[Fecha]]='Ajuste de fechas'!$A$2,"Día actual","Día anterior")</f>
        <v>Día actual</v>
      </c>
      <c r="C143" t="s">
        <v>28</v>
      </c>
      <c r="D143" t="s">
        <v>72</v>
      </c>
      <c r="E143" t="s">
        <v>292</v>
      </c>
      <c r="F143" t="s">
        <v>19</v>
      </c>
      <c r="G143" t="s">
        <v>231</v>
      </c>
      <c r="H143" t="s">
        <v>11</v>
      </c>
      <c r="I143" t="s">
        <v>7</v>
      </c>
      <c r="J143" t="s">
        <v>43</v>
      </c>
      <c r="K143" t="s">
        <v>73</v>
      </c>
      <c r="L143" t="s">
        <v>40</v>
      </c>
      <c r="M143">
        <v>1</v>
      </c>
    </row>
    <row r="144" spans="1:13" x14ac:dyDescent="0.25">
      <c r="A144" s="2">
        <v>46244</v>
      </c>
      <c r="B144" s="1" t="str">
        <f ca="1">IF(Información1[[#This Row],[Fecha]]='Ajuste de fechas'!$A$2,"Día actual","Día anterior")</f>
        <v>Día actual</v>
      </c>
      <c r="C144" t="s">
        <v>28</v>
      </c>
      <c r="D144" t="s">
        <v>65</v>
      </c>
      <c r="E144" t="s">
        <v>293</v>
      </c>
      <c r="F144" t="s">
        <v>160</v>
      </c>
      <c r="G144" t="s">
        <v>234</v>
      </c>
      <c r="H144" t="s">
        <v>11</v>
      </c>
      <c r="I144" t="s">
        <v>7</v>
      </c>
      <c r="J144" t="s">
        <v>39</v>
      </c>
      <c r="K144" t="s">
        <v>66</v>
      </c>
      <c r="L144" t="s">
        <v>40</v>
      </c>
      <c r="M144">
        <v>1</v>
      </c>
    </row>
    <row r="145" spans="1:13" x14ac:dyDescent="0.25">
      <c r="A145" s="2">
        <v>46244</v>
      </c>
      <c r="B145" s="1" t="str">
        <f ca="1">IF(Información1[[#This Row],[Fecha]]='Ajuste de fechas'!$A$2,"Día actual","Día anterior")</f>
        <v>Día actual</v>
      </c>
      <c r="C145" t="s">
        <v>28</v>
      </c>
      <c r="D145" t="s">
        <v>65</v>
      </c>
      <c r="E145" t="s">
        <v>294</v>
      </c>
      <c r="F145" t="s">
        <v>160</v>
      </c>
      <c r="G145" t="s">
        <v>234</v>
      </c>
      <c r="H145" t="s">
        <v>11</v>
      </c>
      <c r="I145" t="s">
        <v>7</v>
      </c>
      <c r="J145" t="s">
        <v>39</v>
      </c>
      <c r="K145" t="s">
        <v>66</v>
      </c>
      <c r="L145" t="s">
        <v>40</v>
      </c>
      <c r="M145">
        <v>1</v>
      </c>
    </row>
    <row r="146" spans="1:13" x14ac:dyDescent="0.25">
      <c r="A146" s="2">
        <v>46244</v>
      </c>
      <c r="B146" s="1" t="str">
        <f ca="1">IF(Información1[[#This Row],[Fecha]]='Ajuste de fechas'!$A$2,"Día actual","Día anterior")</f>
        <v>Día actual</v>
      </c>
      <c r="C146" t="s">
        <v>28</v>
      </c>
      <c r="D146" t="s">
        <v>65</v>
      </c>
      <c r="E146" t="s">
        <v>295</v>
      </c>
      <c r="F146" t="s">
        <v>106</v>
      </c>
      <c r="G146" t="s">
        <v>234</v>
      </c>
      <c r="H146" t="s">
        <v>11</v>
      </c>
      <c r="I146" t="s">
        <v>7</v>
      </c>
      <c r="J146" t="s">
        <v>39</v>
      </c>
      <c r="K146" t="s">
        <v>66</v>
      </c>
      <c r="L146" t="s">
        <v>40</v>
      </c>
      <c r="M146">
        <v>1</v>
      </c>
    </row>
    <row r="147" spans="1:13" x14ac:dyDescent="0.25">
      <c r="A147" s="2">
        <v>46244</v>
      </c>
      <c r="B147" s="1" t="str">
        <f ca="1">IF(Información1[[#This Row],[Fecha]]='Ajuste de fechas'!$A$2,"Día actual","Día anterior")</f>
        <v>Día actual</v>
      </c>
      <c r="C147" t="s">
        <v>28</v>
      </c>
      <c r="D147" t="s">
        <v>72</v>
      </c>
      <c r="E147" t="s">
        <v>296</v>
      </c>
      <c r="F147" t="s">
        <v>15</v>
      </c>
      <c r="G147" t="s">
        <v>122</v>
      </c>
      <c r="H147" t="s">
        <v>11</v>
      </c>
      <c r="I147" t="s">
        <v>7</v>
      </c>
      <c r="J147" t="s">
        <v>39</v>
      </c>
      <c r="K147" t="s">
        <v>73</v>
      </c>
      <c r="L147" t="s">
        <v>40</v>
      </c>
      <c r="M147">
        <v>1</v>
      </c>
    </row>
    <row r="148" spans="1:13" x14ac:dyDescent="0.25">
      <c r="A148" s="2">
        <v>46244</v>
      </c>
      <c r="B148" s="1" t="str">
        <f ca="1">IF(Información1[[#This Row],[Fecha]]='Ajuste de fechas'!$A$2,"Día actual","Día anterior")</f>
        <v>Día actual</v>
      </c>
      <c r="C148" t="s">
        <v>28</v>
      </c>
      <c r="D148" t="s">
        <v>72</v>
      </c>
      <c r="E148" t="s">
        <v>297</v>
      </c>
      <c r="F148" t="s">
        <v>79</v>
      </c>
      <c r="G148" t="s">
        <v>220</v>
      </c>
      <c r="H148" t="s">
        <v>11</v>
      </c>
      <c r="I148" t="s">
        <v>7</v>
      </c>
      <c r="J148" t="s">
        <v>39</v>
      </c>
      <c r="K148" t="s">
        <v>73</v>
      </c>
      <c r="L148" t="s">
        <v>40</v>
      </c>
      <c r="M148">
        <v>1</v>
      </c>
    </row>
    <row r="149" spans="1:13" x14ac:dyDescent="0.25">
      <c r="A149" s="2">
        <v>46244</v>
      </c>
      <c r="B149" s="1" t="str">
        <f ca="1">IF(Información1[[#This Row],[Fecha]]='Ajuste de fechas'!$A$2,"Día actual","Día anterior")</f>
        <v>Día actual</v>
      </c>
      <c r="C149" t="s">
        <v>28</v>
      </c>
      <c r="D149" t="s">
        <v>72</v>
      </c>
      <c r="E149" t="s">
        <v>298</v>
      </c>
      <c r="F149" t="s">
        <v>117</v>
      </c>
      <c r="G149" t="s">
        <v>299</v>
      </c>
      <c r="H149" t="s">
        <v>11</v>
      </c>
      <c r="I149" t="s">
        <v>7</v>
      </c>
      <c r="J149" t="s">
        <v>39</v>
      </c>
      <c r="K149" t="s">
        <v>73</v>
      </c>
      <c r="L149" t="s">
        <v>40</v>
      </c>
      <c r="M149">
        <v>1</v>
      </c>
    </row>
    <row r="150" spans="1:13" x14ac:dyDescent="0.25">
      <c r="A150" s="2">
        <v>46244</v>
      </c>
      <c r="B150" s="1" t="str">
        <f ca="1">IF(Información1[[#This Row],[Fecha]]='Ajuste de fechas'!$A$2,"Día actual","Día anterior")</f>
        <v>Día actual</v>
      </c>
      <c r="C150" t="s">
        <v>8</v>
      </c>
      <c r="D150" t="s">
        <v>10</v>
      </c>
      <c r="E150" t="s">
        <v>300</v>
      </c>
      <c r="F150" t="s">
        <v>17</v>
      </c>
      <c r="G150" t="s">
        <v>101</v>
      </c>
      <c r="H150" t="s">
        <v>11</v>
      </c>
      <c r="I150" t="s">
        <v>25</v>
      </c>
      <c r="J150" t="s">
        <v>39</v>
      </c>
      <c r="K150" t="s">
        <v>9</v>
      </c>
      <c r="L150" t="s">
        <v>41</v>
      </c>
      <c r="M150">
        <v>1</v>
      </c>
    </row>
    <row r="151" spans="1:13" x14ac:dyDescent="0.25">
      <c r="A151" s="2">
        <v>46244</v>
      </c>
      <c r="B151" s="1" t="str">
        <f ca="1">IF(Información1[[#This Row],[Fecha]]='Ajuste de fechas'!$A$2,"Día actual","Día anterior")</f>
        <v>Día actual</v>
      </c>
      <c r="C151" t="s">
        <v>28</v>
      </c>
      <c r="D151" t="s">
        <v>65</v>
      </c>
      <c r="E151" t="s">
        <v>226</v>
      </c>
      <c r="F151" t="s">
        <v>26</v>
      </c>
      <c r="G151" t="s">
        <v>110</v>
      </c>
      <c r="H151" t="s">
        <v>11</v>
      </c>
      <c r="I151" t="s">
        <v>7</v>
      </c>
      <c r="J151" t="s">
        <v>39</v>
      </c>
      <c r="K151" t="s">
        <v>66</v>
      </c>
      <c r="L151" t="s">
        <v>42</v>
      </c>
      <c r="M151">
        <v>1</v>
      </c>
    </row>
    <row r="152" spans="1:13" x14ac:dyDescent="0.25">
      <c r="A152" s="2">
        <v>46244</v>
      </c>
      <c r="B152" s="1" t="str">
        <f ca="1">IF(Información1[[#This Row],[Fecha]]='Ajuste de fechas'!$A$2,"Día actual","Día anterior")</f>
        <v>Día actual</v>
      </c>
      <c r="C152" t="s">
        <v>28</v>
      </c>
      <c r="D152" t="s">
        <v>72</v>
      </c>
      <c r="E152" t="s">
        <v>301</v>
      </c>
      <c r="F152" t="s">
        <v>26</v>
      </c>
      <c r="G152" t="s">
        <v>110</v>
      </c>
      <c r="H152" t="s">
        <v>11</v>
      </c>
      <c r="I152" t="s">
        <v>7</v>
      </c>
      <c r="J152" t="s">
        <v>39</v>
      </c>
      <c r="K152" t="s">
        <v>73</v>
      </c>
      <c r="L152" t="s">
        <v>40</v>
      </c>
      <c r="M152">
        <v>1</v>
      </c>
    </row>
    <row r="153" spans="1:13" x14ac:dyDescent="0.25">
      <c r="A153" s="2">
        <v>46244</v>
      </c>
      <c r="B153" s="1" t="str">
        <f ca="1">IF(Información1[[#This Row],[Fecha]]='Ajuste de fechas'!$A$2,"Día actual","Día anterior")</f>
        <v>Día actual</v>
      </c>
      <c r="C153" t="s">
        <v>8</v>
      </c>
      <c r="D153" t="s">
        <v>10</v>
      </c>
      <c r="E153" t="s">
        <v>302</v>
      </c>
      <c r="F153" t="s">
        <v>6</v>
      </c>
      <c r="G153" t="s">
        <v>98</v>
      </c>
      <c r="H153" t="s">
        <v>11</v>
      </c>
      <c r="I153" t="s">
        <v>7</v>
      </c>
      <c r="J153" t="s">
        <v>39</v>
      </c>
      <c r="K153" t="s">
        <v>14</v>
      </c>
      <c r="L153" t="s">
        <v>40</v>
      </c>
      <c r="M153">
        <v>1</v>
      </c>
    </row>
    <row r="154" spans="1:13" x14ac:dyDescent="0.25">
      <c r="A154" s="2">
        <v>46244</v>
      </c>
      <c r="B154" s="1" t="str">
        <f ca="1">IF(Información1[[#This Row],[Fecha]]='Ajuste de fechas'!$A$2,"Día actual","Día anterior")</f>
        <v>Día actual</v>
      </c>
      <c r="C154" t="s">
        <v>8</v>
      </c>
      <c r="D154" t="s">
        <v>10</v>
      </c>
      <c r="E154" t="s">
        <v>303</v>
      </c>
      <c r="F154" t="s">
        <v>87</v>
      </c>
      <c r="G154" t="s">
        <v>88</v>
      </c>
      <c r="H154" t="s">
        <v>11</v>
      </c>
      <c r="I154" t="s">
        <v>7</v>
      </c>
      <c r="J154" t="s">
        <v>39</v>
      </c>
      <c r="K154" t="s">
        <v>14</v>
      </c>
      <c r="L154" t="s">
        <v>42</v>
      </c>
      <c r="M154">
        <v>1</v>
      </c>
    </row>
    <row r="155" spans="1:13" x14ac:dyDescent="0.25">
      <c r="A155" s="2">
        <v>46244</v>
      </c>
      <c r="B155" s="1" t="str">
        <f ca="1">IF(Información1[[#This Row],[Fecha]]='Ajuste de fechas'!$A$2,"Día actual","Día anterior")</f>
        <v>Día actual</v>
      </c>
      <c r="C155" t="s">
        <v>28</v>
      </c>
      <c r="D155" t="s">
        <v>72</v>
      </c>
      <c r="E155" t="s">
        <v>304</v>
      </c>
      <c r="F155" t="s">
        <v>19</v>
      </c>
      <c r="G155" t="s">
        <v>305</v>
      </c>
      <c r="H155" t="s">
        <v>11</v>
      </c>
      <c r="I155" t="s">
        <v>7</v>
      </c>
      <c r="J155" t="s">
        <v>43</v>
      </c>
      <c r="K155" t="s">
        <v>73</v>
      </c>
      <c r="L155" t="s">
        <v>40</v>
      </c>
      <c r="M155">
        <v>1</v>
      </c>
    </row>
    <row r="156" spans="1:13" x14ac:dyDescent="0.25">
      <c r="A156" s="2">
        <v>46244</v>
      </c>
      <c r="B156" s="1" t="str">
        <f ca="1">IF(Información1[[#This Row],[Fecha]]='Ajuste de fechas'!$A$2,"Día actual","Día anterior")</f>
        <v>Día actual</v>
      </c>
      <c r="C156" t="s">
        <v>28</v>
      </c>
      <c r="D156" t="s">
        <v>72</v>
      </c>
      <c r="E156" t="s">
        <v>306</v>
      </c>
      <c r="F156" t="s">
        <v>19</v>
      </c>
      <c r="G156" t="s">
        <v>307</v>
      </c>
      <c r="H156" t="s">
        <v>11</v>
      </c>
      <c r="I156" t="s">
        <v>7</v>
      </c>
      <c r="J156" t="s">
        <v>43</v>
      </c>
      <c r="K156" t="s">
        <v>73</v>
      </c>
      <c r="L156" t="s">
        <v>40</v>
      </c>
      <c r="M156">
        <v>1</v>
      </c>
    </row>
    <row r="157" spans="1:13" x14ac:dyDescent="0.25">
      <c r="A157" s="2">
        <v>46244</v>
      </c>
      <c r="B157" s="1" t="str">
        <f ca="1">IF(Información1[[#This Row],[Fecha]]='Ajuste de fechas'!$A$2,"Día actual","Día anterior")</f>
        <v>Día actual</v>
      </c>
      <c r="C157" t="s">
        <v>28</v>
      </c>
      <c r="D157" t="s">
        <v>65</v>
      </c>
      <c r="E157" t="s">
        <v>308</v>
      </c>
      <c r="F157" t="s">
        <v>22</v>
      </c>
      <c r="G157" t="s">
        <v>309</v>
      </c>
      <c r="H157" t="s">
        <v>11</v>
      </c>
      <c r="I157" t="s">
        <v>7</v>
      </c>
      <c r="J157" t="s">
        <v>44</v>
      </c>
      <c r="K157" t="s">
        <v>66</v>
      </c>
      <c r="L157" t="s">
        <v>40</v>
      </c>
      <c r="M157">
        <v>1</v>
      </c>
    </row>
    <row r="158" spans="1:13" x14ac:dyDescent="0.25">
      <c r="A158" s="2">
        <v>46244</v>
      </c>
      <c r="B158" s="1" t="str">
        <f ca="1">IF(Información1[[#This Row],[Fecha]]='Ajuste de fechas'!$A$2,"Día actual","Día anterior")</f>
        <v>Día actual</v>
      </c>
      <c r="C158" t="s">
        <v>28</v>
      </c>
      <c r="D158" t="s">
        <v>72</v>
      </c>
      <c r="E158" t="s">
        <v>310</v>
      </c>
      <c r="F158" t="s">
        <v>311</v>
      </c>
      <c r="G158" t="s">
        <v>312</v>
      </c>
      <c r="H158" t="s">
        <v>11</v>
      </c>
      <c r="I158" t="s">
        <v>7</v>
      </c>
      <c r="J158" t="s">
        <v>39</v>
      </c>
      <c r="K158" t="s">
        <v>73</v>
      </c>
      <c r="L158" t="s">
        <v>40</v>
      </c>
      <c r="M158">
        <v>1</v>
      </c>
    </row>
    <row r="159" spans="1:13" x14ac:dyDescent="0.25">
      <c r="A159" s="2">
        <v>46244</v>
      </c>
      <c r="B159" s="1" t="str">
        <f ca="1">IF(Información1[[#This Row],[Fecha]]='Ajuste de fechas'!$A$2,"Día actual","Día anterior")</f>
        <v>Día actual</v>
      </c>
      <c r="C159" t="s">
        <v>8</v>
      </c>
      <c r="D159" t="s">
        <v>10</v>
      </c>
      <c r="E159" t="s">
        <v>313</v>
      </c>
      <c r="F159" t="s">
        <v>19</v>
      </c>
      <c r="G159" t="s">
        <v>314</v>
      </c>
      <c r="H159" t="s">
        <v>11</v>
      </c>
      <c r="I159" t="s">
        <v>25</v>
      </c>
      <c r="J159" t="s">
        <v>43</v>
      </c>
      <c r="K159" t="s">
        <v>9</v>
      </c>
      <c r="L159" t="s">
        <v>41</v>
      </c>
      <c r="M15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46244</v>
      </c>
      <c r="B2" s="2">
        <f ca="1">A2-1</f>
        <v>46243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2026-08-11T01:02:39Z</dcterms:modified>
</cp:coreProperties>
</file>