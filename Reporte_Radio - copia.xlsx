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1E575658-7C9E-447D-AF91-94CFF9C74C0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145" i="2"/>
  <c r="B148" i="2"/>
  <c r="B149" i="2"/>
  <c r="B152" i="2"/>
  <c r="B155" i="2"/>
  <c r="B158" i="2"/>
  <c r="B161" i="2"/>
  <c r="B163" i="2"/>
  <c r="B165" i="2"/>
  <c r="B168" i="2"/>
  <c r="B171" i="2"/>
  <c r="B174" i="2"/>
  <c r="B177" i="2"/>
  <c r="B181" i="2"/>
  <c r="B183" i="2"/>
  <c r="B186" i="2"/>
  <c r="B189"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146" i="2"/>
  <c r="B151" i="2"/>
  <c r="B154" i="2"/>
  <c r="B157" i="2"/>
  <c r="B160" i="2"/>
  <c r="B167" i="2"/>
  <c r="B170" i="2"/>
  <c r="B173" i="2"/>
  <c r="B176" i="2"/>
  <c r="B179" i="2"/>
  <c r="B182" i="2"/>
  <c r="B18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7" i="2"/>
  <c r="B150" i="2"/>
  <c r="B153" i="2"/>
  <c r="B156" i="2"/>
  <c r="B159" i="2"/>
  <c r="B162" i="2"/>
  <c r="B164" i="2"/>
  <c r="B166" i="2"/>
  <c r="B169" i="2"/>
  <c r="B172" i="2"/>
  <c r="B175" i="2"/>
  <c r="B178" i="2"/>
  <c r="B180" i="2"/>
  <c r="B184" i="2"/>
  <c r="B187" i="2"/>
  <c r="B18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<sst xmlns="http://schemas.openxmlformats.org/spreadsheetml/2006/main" count="1895" uniqueCount="340">
  <si>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</si>
  <si>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</si>
  <si>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</si>
  <si>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</si>
  <si>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</si>
  <si>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</si>
  <si>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</si>
  <si>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</si>
  <si>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</si>
  <si>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</si>
  <si>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</si>
  <si>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</si>
  <si>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</si>
  <si>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</si>
  <si>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</si>
  <si>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</si>
  <si>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</si>
  <si>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</si>
  <si>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</si>
  <si>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</si>
  <si>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</si>
  <si>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</si>
  <si>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</si>
  <si>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</si>
  <si>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</si>
  <si>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</si>
  <si>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</si>
  <si>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</si>
  <si>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</si>
  <si>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</si>
  <si>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</si>
  <si>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</si>
  <si>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</si>
  <si>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</si>
  <si>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</si>
  <si>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</si>
  <si>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</si>
  <si>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</si>
  <si>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</si>
  <si>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</si>
  <si>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</si>
  <si>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</si>
  <si>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</si>
  <si>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</si>
  <si>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</si>
  <si>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</si>
  <si>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</si>
  <si>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</si>
  <si>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</si>
  <si>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</si>
  <si>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</si>
  <si>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</si>
  <si>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</si>
  <si>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</si>
  <si>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</si>
  <si>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</si>
  <si>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</si>
  <si>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</si>
  <si>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</si>
  <si>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</si>
  <si>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</si>
  <si>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</si>
  <si>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</si>
  <si>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</si>
  <si>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</si>
  <si>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</si>
  <si>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</si>
  <si>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</si>
  <si>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</si>
  <si>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</si>
  <si>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</si>
  <si>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</si>
  <si>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</si>
  <si>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</si>
  <si>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</si>
  <si>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</si>
  <si>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TSJEH</t>
  </si>
  <si>
    <t>Rutas de la Reconstrucción</t>
  </si>
  <si>
    <t>OCSAD</t>
  </si>
  <si>
    <t>Feria Del Libro</t>
  </si>
  <si>
    <t>Turismo</t>
  </si>
  <si>
    <t>Saderh</t>
  </si>
  <si>
    <t>Sedeco</t>
  </si>
  <si>
    <t>Enlace Noticias</t>
  </si>
  <si>
    <t>Gina Lorenzo</t>
  </si>
  <si>
    <t>Combate a la delincuencia</t>
  </si>
  <si>
    <t>Eulalio Larrieta agradece a Carlos Gamiño por estar al pendiente de temas.</t>
  </si>
  <si>
    <t>Combate Al Huachicol</t>
  </si>
  <si>
    <t>Inseguridad Carretera</t>
  </si>
  <si>
    <t>ZMVM</t>
  </si>
  <si>
    <t>Despacho</t>
  </si>
  <si>
    <t>Reubicación de viviendas</t>
  </si>
  <si>
    <t>SSH</t>
  </si>
  <si>
    <t>Inseguridad</t>
  </si>
  <si>
    <t>Apoyo Al Agro</t>
  </si>
  <si>
    <t>Entrevista pautada</t>
  </si>
  <si>
    <t>Municipalización</t>
  </si>
  <si>
    <t>Cultura</t>
  </si>
  <si>
    <t>Día de los pueblos indígenas</t>
  </si>
  <si>
    <t>Evento turístico</t>
  </si>
  <si>
    <t>Arte sacro</t>
  </si>
  <si>
    <t>Día del Libro</t>
  </si>
  <si>
    <t>María Guadalupe Cruz Montaño (PVEM), presidenta de la Comisión de Personas Adultas Mayores en el Congreso de Hidalgo, propuso un exhorto a la Secretaría de Salud Federal, al IMSS-Bienestar y al ISSSTE para abrir nuevas plazas e incluir formalmente a los profesionales en gerontología en el catálogo de puestos hospitalarios.</t>
  </si>
  <si>
    <t>Exhorto</t>
  </si>
  <si>
    <t>STPSH</t>
  </si>
  <si>
    <t>Radiodifusoras</t>
  </si>
  <si>
    <t>Bacheo</t>
  </si>
  <si>
    <t>DIFH</t>
  </si>
  <si>
    <t>Rehabilitación Vial</t>
  </si>
  <si>
    <t>En sesión ordinaria, el diputado Francisco Javier Téllez Sánchez (PT) presentó la iniciativa que reforma la Ley para la Protección al Ambiente del Estado de Hidalgo, con el objetivo de fortalecer los principios rectores de la política ambiental para consolidar una visión en la que la protección, conservación y aprovechamiento sustentable de los recursos naturales no constituyan únicamente un fin en sí mismo, sino un medio para impulsar el bienestar de la población y el desarrollo integral de las comunidades. Con ello, dijo, se busca que las decisiones, acciones y políticas públicas en materia ambiental incorporen una perspectiva de beneficio social, procurando que la preservación del equilibrio ecológico genere condiciones que favorezcan una mejor calidad de vida, reduzcan las desigualdades territoriales y contribuyan a un modelo de desarrollo sustentable que armonice el crecimiento económico, la justicia social y la protección del patrimonio ambiental para las generaciones presentes y futuras.</t>
  </si>
  <si>
    <t>Iniciativa</t>
  </si>
  <si>
    <t>Delegación</t>
  </si>
  <si>
    <t>Combate Al Narcomenudeo</t>
  </si>
  <si>
    <t>Queja transporte público</t>
  </si>
  <si>
    <t>Central De Abastos</t>
  </si>
  <si>
    <t>Infraestructura escolar</t>
  </si>
  <si>
    <t>Plan Nacional De Vivienda</t>
  </si>
  <si>
    <t>Desmantelan presunto punto de venta de narcóticos tras operativo en San Agustín Tlaxiaca</t>
  </si>
  <si>
    <t>Olimpiada de informática</t>
  </si>
  <si>
    <t>Habitantes del municipio de Yahualica tomaron las instalaciones de la alcaldía para protestar por la prolongada escasez de agua que han sufrido desde hace dos años sin algún tipo de intervención de las autoridades municipales.</t>
  </si>
  <si>
    <t>Radioescucha no tenemos agua en Bosques del Peñar y según ayer en la noche tendriamos</t>
  </si>
  <si>
    <t>Radioescucha no tenemos agua en Bosques del Peña y según ayer nos tocaba tandeo</t>
  </si>
  <si>
    <t>Radioescucha reporta nuevamente no tenemos agua en calle Valle Dorado, Mz.7 en Palmar</t>
  </si>
  <si>
    <t>Se registró un accidente sobre la antigua carretera México- Querétaro a la altura de la comunidad de Miraflores en el municipio de Tepeji del Río, donde un automóvil salió del camino y terminó volcado dejando como saldo una persona sin vida.</t>
  </si>
  <si>
    <t>Accidente Carretero</t>
  </si>
  <si>
    <t>La tarde de ayer se registró un accidente sobre la autopista México Pachuca, a la altura del kilómetro cincuenta y siete en la zona del puente de plazas, en el municipio de Tizayuca. El chofer de un tráiler chocó contra la base del puente y quedó prensada. La carga vehicular con dirección a la ciudad de México se vio severamente afectada.</t>
  </si>
  <si>
    <t>Vía telefónica, Erika Rosette periodista originaria de Tula de Allende y colaboradora del diario español “El País”, con el tema para analizar el tema de la violencia contra la prensa.</t>
  </si>
  <si>
    <t>Agresión a periodista</t>
  </si>
  <si>
    <t>Radioescucha Sr. Moctezuma manda audio y agradece a la presidencia municipal de Pachuca, por el bacheo y arreglo de coladera en calle Pino Suárez y Viaducto Rojo Gómez. Sabemos que son gastos enormes, pero eso quiere decir que las autoridades quieren tener un buen Pachuca.</t>
  </si>
  <si>
    <t>En cabina, participación de Jorge Hernández, director de Comunicación Social del Ayuntamiento de Pachuca, con el tema: Reparan semáforo de Prismas, bacheo en Pino Suárez, campaña de esterilización en Cubitos; se concluyen trabajos en la avenida 9 de la Plutarco; en Mestranza se realizaron bacheos.</t>
  </si>
  <si>
    <t>Radioescucha comenta: ¿Por qué van a pasar la Central de Abastos tan lejos en Zapotlán?, si esta un poco retirado y nos agarra muy lejos.</t>
  </si>
  <si>
    <t>Bazares de Centros LIBRE impulsan autonomía económica de mujeres.</t>
  </si>
  <si>
    <t>Centros LIBRE</t>
  </si>
  <si>
    <t>El inmueble asegurado esta semana, el lunes, por la FGR en el Parque Industrial de Tizayuca, donde presuntamente operaba una refinería clandestina para el procesamiento de combustible de origen ilícito, ya había sido objeto de sanciones por parte de las autoridades municipales debido a irregularidades ambientales. De acuerdo con los sellos de clausura colocados este mismo año por la Dirección de Ecología y Medio Ambiente en las instalaciones de esta empresa llamada Lete, fueron detectadas presuntas descargas ilegales de residuos químicos al sistema de drenaje, las cuales desembocaban en el río Papalote y representaban un riesgo para las colonias aledañas. Actualmente, el predio permanece asegurado por la Fiscalía General de la República y la Fiscalía Especializada en Materia de Delincuencia Organizada, además de mantener la clausura impuesta por el Ayuntamiento de Tizayuca.</t>
  </si>
  <si>
    <t>En un operativo conjunto de autoridades federales y estatales permitió asegurar un presunto centro de almacenamiento ilegal de hidrocarburo en la comunidad de Tlamaco, en Atitalaquia. Durante el cateo fueron localizados diversos contenedores con combustible, bidones para su almacenamiento y al menos siete vehículos, algunos de ellos con reporte de robo, de acuerdo con la información preliminar.</t>
  </si>
  <si>
    <t>Temas de salud, y es que en siete meses Hidalgo acumuló ciento diecisiete casos de COVID diecinueve, de los cuales la mayor incidencia se presentó en julio con el incremento del setenta y siete punto dos por ciento del total de padecimientos. Además, además, la entidad se encuentra en el tercer lugar nacional con más casos de acuerdo con la Dirección General de Epidemiología.</t>
  </si>
  <si>
    <t>Covid 19</t>
  </si>
  <si>
    <t>El Gobierno Municipal de Tepetitlán invita a niñas y niños a participar en el Curso de Verano 2026, que se realizará del 11 al 22 de agosto. Durante dos semanas podrán disfrutar de actividades deportivas, manualidades, cocina, juegos de rol, dinámicas con Seguridad Pública y Protección Civil, además de muchas sorpresas.</t>
  </si>
  <si>
    <t>Curso de verano</t>
  </si>
  <si>
    <t>En otros temas, en el marco del Día Internacional de los Pueblos Indígenas el próximo 9 de agosto la Comisión Estatal para el Desarrollo Sostenible de los Pueblos Indígenas rendirá un homenaje a más de mil 500 parteras tradicionales de Hidalgo en reconocimiento a su labor como guardianas de vida y de los saberes ancestrales. El acto se realizará a partir de las 10 de la mañana en el Pisal Monumental de Huejutla como parte del Festival Tlatoli, donde también se instalará un macropabellón hecho en Hidalgo. Con esta iniciativa, el gobierno estatal busca reconocer y preservar el legado cultural de los pueblos indígenas de la entidad.</t>
  </si>
  <si>
    <t>Vía telefónica secretaria de Cultura, Neyda Naranjo y el tema de la FILIJ 2026. Informa que la edición 26 de la Feria Internacional del Libro Infantil y Juvenil de Hidalgo (FILIJ) 2026, que se llevará a cabo del 31 de julio al 9 de agosto en el Parque Cultural Hidalguense. Unvitó a la población a ser parte de las 290 actividades que se tienen programadas por los próximos 10 días, gracias a la participación de 650 agentes culturales, entre escritores, narradores, artistas escénicos, creadores y talleristas; así como de 40 casas y 80 sellos editoriales ubicados en 50 stands. El día domingo se llevara un taller de periodismo infantil , un concierto de la orquesta sinfonica.</t>
  </si>
  <si>
    <t>La senadora de Morena por Hidalgo, Simey Olvera Bautista, informó este miércoles que presentó una denuncia ante el Instituto Nacional Electoral (INE) en contra de la senadora priista Carolina Viggiano Austria, al señalar que no permitirá que continúen los señalamientos y expresiones que, a su consideración, desvalorizan a las mujeres que participan en la vida pública.A través de un mensaje difundido en redes sociales, Olvera dio a conocer que entregó el documento correspondiente ante la autoridad electoral y explicó que la acción no responde a una confrontación política, sino a la defensa de la dignidad de las mujeres, AUDIO APOYO</t>
  </si>
  <si>
    <t>Aspirantes</t>
  </si>
  <si>
    <t>Enfrentamiento Político</t>
  </si>
  <si>
    <t>Sucesión gubernamental</t>
  </si>
  <si>
    <t>Comentario conductora : Sobre el tema de la denuncia de la senadora Simey Olvera en contra de la senadora priista Carolina Viggiano y dijo: “ Me parece indignante que mientras Hidalgo enfrenta desafíos urgentes, las prioridades de quienes representan al Estado en el Senado NO están donde deberían de estar, la ciudadanía espera algo distinto de sus representantes. Yo creo que como ciudadanos esperamos iniciativas, acuerdos y una gestión para resolver problemas que afectan directamente a las familias hidalguenses, espera ver a sus legisladores actuando, trabajando de manera decidida, impulsando reformas, gestionando recursos, exigiendo acciones a las autoridades federales para colocar a Hidalgo en el centro de la agenda nacional, no disputando una pelea en redes sociales “</t>
  </si>
  <si>
    <t>La Delegación Hidalgo de la Confederación Internacional de Motociclistas Oficiales y Policías de Caminos A.C. celebrará su 25 aniversario este sábado 8 de agosto en la Plaza Juárez de Pachuca, ofreciendo un espectáculo gratuito de acrobacia y escoltas a cargo del Escuadrón Internacional. El evento, que busca brindar una alternativa de esparcimiento para familias y visitantes al estilo de las clásicas maniobras cinematográficas de la película A Toda Máquina, cuenta con el respaldo de la Secretaría de Turismo estatal para impulsar el atractivo cultural de la capital. Más allá de la exhibición, el delegado de la organización en la entidad, Juan Domingo Ortiz Padilla, enfatizó que la celebración tiene como propósito central promover la cultura de la seguridad vial, haciendo un llamado enérgico a los motociclistas —especialmente a los jóvenes— sobre la importancia vital de utilizar siempre el casco y el equipo de protección adecuado.</t>
  </si>
  <si>
    <t>Hidalgo se ubicó en el primer lugar nacional en el segundo semestre de dos mil veintiséis de acuerdo con el informe enviado por la Secretaría de Hacienda al Congreso de la Unión. Además, la entidad acumula un crecimiento del cuarenta por ciento en estos recursos durante la actual administración estatal. También destaca un incremento del noventa y seis por ciento de los ingresos propios en los últimos cuatro años, impulsando principalmente la participación de la comunidad, y particularmente por una mayor recaudación del impuesto sobre nómina. Estos resultados han colocado a Hidalgo como líder nacional en eficiencia recaudatoria según el SAT</t>
  </si>
  <si>
    <t>Hacienda</t>
  </si>
  <si>
    <t>Fondo de Participaciones</t>
  </si>
  <si>
    <t>Hidalgo ocupa el primer lugar nacional rn crecimiento del Fondo General de Participaciones</t>
  </si>
  <si>
    <t>Hidalgo ocupa el primer lugar nacional en crecimiento del Fondo General de Participaciones.</t>
  </si>
  <si>
    <t>Nos quedan poco más de 20 días de vacaciones de este periodo de verano para que niñas, niños y adolescentes regresen a las aulas y antes de que esto suceda el Instituto Hidalguense de Educación fortalece la capacitación del magisterio con una red de 17 sedes y 7 subsedes de centros de maestros distribuidas en todo el Estado. Estos espacios brindan formación continua, acompañamiento pedagógico y desarrollo profesional a docentes de educación básica. El titular Natividad Castrejón Valdéz destacó que los centros impulsan el intercambio de experiencias, la innovación educativa y el fortalecimiento de las competencias docentes en apego a la nueva escuela mexicana. Además, se informó que el IHE ha equipado estos espacios para mejorar sus condiciones de operación y acercar mayores oportunidades de capacitación a las distintas regiones de Hidalgo.</t>
  </si>
  <si>
    <t>Formación continua</t>
  </si>
  <si>
    <t>Radioescucha reporta una gran fuga de agua en cuarto retorno del Roble en Villas del Alamo.</t>
  </si>
  <si>
    <t>Fuga De Agua</t>
  </si>
  <si>
    <t>Y la presencia del gusano barrenador en entidad se mantiene bajo control con atención permanente, señaló el secretario de Agricultura y Desarrollo Rural de Hidalgo, Napoleón González Pérez, durante su visita en Tulancingo, donde se llevó a cabo la entrega de apoyos agropecuarios.</t>
  </si>
  <si>
    <t>Gusano barrenador</t>
  </si>
  <si>
    <t>Comenta conductora:” Aquí resulta un poco absurdo que, si ya había estos sellos ¿por qué el Ayuntamiento de Tizayuca no hizo una investigación de todas las actividades que tenia la empresa?. Trabajadores de empresas vecinas señalaron que en el lugar era común el manejo de solventes y sustancias químicas e incluso aseguraron que desde tiempo existían versiones procesaba combustible cuya procedencia era desconocida”</t>
  </si>
  <si>
    <t>Huachicol</t>
  </si>
  <si>
    <t>El delegado de los programas para el bienestar en Hidalgo, Abraham Mendoza, aseguró que la entidad ha registrado avances en la reducción de la pobreza durante los últimos dos años, resultado de la implementación de los programas sociales impulsados por el gobierno de México. AUDIO DE APOYO</t>
  </si>
  <si>
    <t>Índice De Pobreza</t>
  </si>
  <si>
    <t>Innovaciones en la UPMH son de altos vuelos</t>
  </si>
  <si>
    <t>Innovación tecnológica</t>
  </si>
  <si>
    <t>La Universidad Politécnica Metropolitana de Hidalgo impulsa proyectos de inteligencia artificial con impacto social. El investigador Mario Alejandro Vega Navarrete desarrolló un sistema que permite controlar un dron mediante señales cerebrales utilizando un casco especializado. Y es que, además, junto con otros especialistas, el investigador Mario Alejandro Vega Navarrete trabaja en una aeronave no tripulada para poder transportar medicamentos de emergencia a comunidades de difícil acceso en Chiapas reduciendo tiempos de traslado que actualmente superan las tres horas. Imagínese usted esta tecnología aplicada, por ejemplo en las afectaciones de la Vaguada Monzónica en octubre de 2025, donde el acceso a la Sierra y a la Huasteca Hidalguense se había interrumpido por varios días. Imagínese una aeronave que pudiera llevar al menos medicamentos en estos tiempos complicados. El académico destacó que el objetivo es que esta tecnología sea de acceso público y gratuito mientras estudiantes de la Universidad Politécnica Metropolitana participan en los proyectos para fortalecer su formación en ingeniería e innovación. AUDIO APOYO</t>
  </si>
  <si>
    <t>Vecinos de comunidades cercanas a la carretera México-Tuxpan exigen mayor seguridad, denuncian la presencia de presuntos falsos retenes, AUDIO APOYO</t>
  </si>
  <si>
    <t>La noche del pasado día miércoles, un masculino fue despojado de su motocicleta por dos sujetos armados y con el rostro cubierto que le cerraron el paso.</t>
  </si>
  <si>
    <t>Un hombre denunció que durante un violento asalto registrado el pasado 28 de julio a la altura de Huachinango - Puebla, no sólo fue despojado de su vehículo, de una mudanza y de sus pertenencias, sino también de sus dos perritas</t>
  </si>
  <si>
    <t>Radioescucha pide que realicen limpieza de maleza en Valle del Sol</t>
  </si>
  <si>
    <t>Limpieza Urbana</t>
  </si>
  <si>
    <t>COMENTARIO LOCUTOR: El crecimiento acelerado en el uso de vehículos de micromovilidad —como scooters, bicicletas eléctricas, bicimotos y monopatines— ha transformado de manera drástica la forma de desplazarse en las principales ciudades de Hidalgo. Impulsados por precios accesibles que van desde los tres mil pesos, así como por el ahorro de tiempo y la ausencia de trámites como emplacamiento o licencias de conducir, estos medios se han consolidado como una alternativa atractiva para traslados cortos e incluso familiares.Sin embargo, esta popularidad ha traído consigo serios desafíos de seguridad vial. La invasión de banquetas, ciclovías y, de manera alarmante, el tránsito de estos frágiles vehículos en vías de alta velocidad como la autopista México-Pachuca o el Arco Norte, incrementa significativamente el riesgo de accidentes graves o mortales para peatones, ciclistas y los propios conductores.Conscientes de este escenario, las autoridades estatales y municipales ya trabajan en el análisis de un marco normativo específico que regule con precisión dónde y cómo pueden circular estos transportes. No obstante, la efectividad de estas leyes dependerá en gran medida de la corresponsabilidad ciudadana, haciendo un llamado urgente a la conciencia de los usuarios para respetar los espacios normados y evitar imprudencias que sigan cobrando vidas en las carreteras y avenidas del estado.</t>
  </si>
  <si>
    <t>micromovilidad</t>
  </si>
  <si>
    <t>Hay un tema en la zona metropolitana del estado. ¿Se acuerda usted que hace unas semanas empezó a surgir la inquietud de algunos ciudadanos que habitan los fraccionamientos de la zona metropolitana? Estamos hablando de municipios como Pachuca, Mineral de la Reforma, también se suma Zempoala, donde decían que estaban en completo abandono y que tenían la idea de crear un nuevo municipio, el número ochenta y cinco de nuestra entidad. Esa idea fue desestimada, no fue viable, pero siguen con llamado de atención a las autoridades y sobre todo a los responsables de que estén en completo abandono. Ahora, pues, denuncian irregularidades en la construcción de estos fraccionamientos. El Comité de Fraccionamientos del Sur, así se hizo llamar, son los que querían crear el municipio número ochenta y cinco, pues anunció que prepara acciones penales contra exfuncionarios y constructoras por presuntas irregularidades en la autorización, construcción y abandono de desarrollos habitacionales en Pachuca, Mineral de la Reforma y Zempoala. Y es que, al no estar municipalizados, pues no puede entrar ni siquiera el Ayuntamiento de Pachuca, Mineral de la Reforma o Zempoala, pues a dar atención, mire, a lo más básico, a las calles, a las carreteras, a los caminos de estos fraccionamientos que ya parece que anda uno en la luna con tanto bache y cráter que se ha abierto. En algunos fraccionamientos los vecinos se han organizado para pavimentar sus calles, pero es costoso. Por eso es que buscan que se sancione a los funcionarios y constructoras y todo aquel responsable que autorizó, construyó, pero sobre todo que abandonen estos complejos habitacionales y que ahora están pagando las consecuencias.</t>
  </si>
  <si>
    <t>El Tribunal Electoral del Estado de Hidalgo (TEEH), encabezado por su presidente, Leodegario Hernández Cortez, promovió un juicio electoral ante la Sala Superior del Tribunal Electoral del Poder Judicial de la Federación (TEPJF) para impugnar la designación de Jonathan Pérez Ledezma como titular del Órgano Interno de Control (OIC) del organismoA.l considerar que el nombramiento aprobado por el congreso local vulnera la autonomía constitucional del organismo, la impugnación fue promovida por el magistrado presidente del Tribunal Electoral del Estado de Hidalgo quien solicitó dejar sin efectos la designación y los actos jurídicos derivados de ella, al argumentar que la intervención del poder legislativo afecta la independencia y el funcionamiento interno del tribunal. En respuesta, el diputado Jorge Arguelles Salazar sostuvo que el Congreso de Hidalgo cuenta con atribuciones legales para realizar este tipo de nombramientos.</t>
  </si>
  <si>
    <t>TEEH</t>
  </si>
  <si>
    <t>Órgano Interno de Control</t>
  </si>
  <si>
    <t>Vía telefónica, Gilberto López, secretario de Servicios Municipales de Pachuca, informó que el ayuntamiento realiza supervisiones en el Panteón Municipal, realizando limpiezas y preparándose para el mes de noviembre, y se tendra gente trabajando de manera permanente.</t>
  </si>
  <si>
    <t>Panteón Municipal</t>
  </si>
  <si>
    <t>En otra información, integrantes de la Unión de Comerciantes, Tianguistas y ambulantes del municipio de Huautla se cansaron, se manifestaron frente a la presidencia municipal para expresar su inconformidad con la administración del alcalde Jorge Alberto Hernández Cortés, a quien señalan por no dar continuidad al proyecto de construcción del mercado municipal y veremos, eh, veremos porque pues ya se va a acabar su administración. Tomaron la alcaldía ante la negativa de diálogo del presidente municipal. AUDIO DE APOYO</t>
  </si>
  <si>
    <t>Hidalgo se suma a la Jornada Nacional de Reforestación 2026, AUDIO DE APOYO</t>
  </si>
  <si>
    <t>Reforestación</t>
  </si>
  <si>
    <t>Hidalgo se suma a la Jornada Nacional de Reforestaciones 2026</t>
  </si>
  <si>
    <t>Un influencer pachuqueño se volvió tendencia en redes sociales tras acudir durante la madrugada a reparar por cuenta propia diversos desperfectos en el puente vehicular de Colosio, utilizando asfalto en frío para evitar riesgos a los automovilistas y prevenir daños mecánicos. El creador de contenido, quien realizó los trabajos cerca de las cuatro de la mañana para no interrumpir el tráfico ni interferir con las labores viales, aprovechó la intervención para reflexionar sobre los problemas de movilidad en la capital hidalguense —como los desaciertos de planeación en el puente atirantado— y lanzó la propuesta ciudadana de “adoptar un bache” como un ejercicio de apoyo a la comunidad. Durante la labor, agentes de tránsito municipal se acercaron para abanderar la zona de manera preventiva y resguardar la seguridad del ciudadano. La iniciativa ha generado posturas encontradas en plataformas digitales: mientras una parte de la ciudadanía aplaude el gesto de civilidad y colaboración, otros señalan que el mantenimiento de las vialidades es responsabilidad exclusiva de las autoridades municipales. Hasta el momento, ninguna instancia gubernamental se ha pronunciado oficialmente sobre este hecho que reabrió el debate sobre el estado de las avenidas y la participación social en la capital.</t>
  </si>
  <si>
    <t>Asableas informativas para la Relocalización llegan a la Sierra de Hidalgo</t>
  </si>
  <si>
    <t>Asambleas Informativas para la Relocalización llegan a la Sierra de Hidalgo.</t>
  </si>
  <si>
    <t>Con el objetivo de reforzar la infraestructura tecnológica en materia de seguridad, el presidente municipal de Pachuca, Jorge Reyes, encabezó un recorrido de supervisión por diversas colonias de la capital hidalguense donde se proyecta la colocación de 556 nuevas cámaras de videovigilancia.En compañía del secretario de Seguridad Pública, Tránsito y Vialidad del municipio, Enrique Moronatti, el edil evaluó las condiciones técnicas y la viabilidad de los puntos elegidos para la colocación de los dispositivos en sectores prioritarios como La Alcantarilla, El Arbolito, Morelos, Felipe Ángeles, 20 de Noviembre y Cruz del Cerrito.</t>
  </si>
  <si>
    <t>Videovigilancia</t>
  </si>
  <si>
    <t>Un juez de control dictó la medida cautelar de prisión preventiva oficiosa contra Luis N, imputado dentro de la causa penal 167/2026, por su presunta responsabilidad en los delitos contra la vida, integridad y dignidad de los animales, luego de que presuntamente disparó y mató a un perro de raza pastor alemán en el municipio de Apan</t>
  </si>
  <si>
    <t>Vinculación A Proceso</t>
  </si>
  <si>
    <t>Locutor Jesús Riveros da lectura a comentario de radioescucha que reporta a choferes del transporte público que van hablando por teléfono o hacen uso del mismo mientras manejan, señala que deberían de ser sancionados.</t>
  </si>
  <si>
    <t>Egresada del ITESA es reconocida entre las mejores ingenieras de México</t>
  </si>
  <si>
    <t>Excelencia académica</t>
  </si>
  <si>
    <t>IHE fortalece preservación de lenguas indígenas con programa Cazadores de Saberes</t>
  </si>
  <si>
    <t>Preservación Lenguas Maternas</t>
  </si>
  <si>
    <t>La propuesta de un proyecto carretero que conectaría a Nopala de Villagrán con Querétaro derivó este miércoles en una reunión tensa entre habitantes de la comunidad de Jagüey y Fortunato Rivera Sánchez, quien se presentó como enlace de la Secretaría de Infraestructura, Comunicaciones y Transportes (SICT). El encuentro escaló cuando el funcionario no pudo identificarse oficialmente. En la mesa de diálogo participaron los pobladores locales junto a la presidenta municipal, Diana Moreno Rea, y Fortunato Rivera Sánchez. El objetivo de la reunión era exponer los alcances de una nueva autopista que conectaría a la región con el estado de Querétaro y otros municipios de Hidalgo, además de solicitar autorización para iniciar estudios técnicos de viabilidad. La molestia social aumentó cuando los residentes cuestionaron que, presuntamente, ya se habían realizado fotografías y mediciones en la zona sin el consentimiento de la comunidad. El ponente sostuvo que solo existían imágenes satelitales y que aún no se iniciaba ningún estudio de campo o de impacto ambiental. La tensión llegó a su punto máximo cuando una habitante de profesión arquitecta le exigió a Fortunato Rivera Sánchez mostrar sus credenciales como enlace del Gobierno de México. El expositor admitió que no contaba con identificación oficial de la SICT y explicó que labora para una empresa privada colaboradora del proyecto. El anuncio desató reclamos generalizados y amenazas verbales de un posible linchamiento por parte de los asistentes, quienes le exigieron que se retirara inmediatamente del lugar. Al concluir el encuentro, los ejidatarios ratificaron su rotundo rechazo al proyecto carretero y solicitaron formalmente a la alcaldesa Diana Moreno Rea no volver a convocar a reuniones relacionadas con la propuesta, reiterando que no permitirán que la autopista atraviese su territorio.</t>
  </si>
  <si>
    <t>Inconformidad por obra</t>
  </si>
  <si>
    <t>La Universidad Autónoma del Estado de Hidalgo (UAEH) abrió el registro para participar en la edición 21 de la Carrera Atlética Internacional FUL 2026, un evento deportivo que reunirá a miles de corredores el próximo 6 de septiembre en Pachuca. La convocatoria está dirigida tanto a la comunidad universitaria como al público en general, quienes ya pueden asegurar su lugar mediante la aplicación oficial de la Feria Universitaria del Libro (FUL) o a través del portal web habilitado para el evento.</t>
  </si>
  <si>
    <t>UAEH</t>
  </si>
  <si>
    <t>Carrera atlética</t>
  </si>
  <si>
    <t>Rendirán homenaje a las parteras tradicionales de Hidalgo en el Día Internacional de los Pueblos Indígenas</t>
  </si>
  <si>
    <t>SSPH da seguimiento a estrategia de coordinación en seguridad con municipios</t>
  </si>
  <si>
    <t>Coordinación Interinstitucional</t>
  </si>
  <si>
    <t>Hidalgo se suma a la Jornada Nacional de Reforestación 2026.</t>
  </si>
  <si>
    <t>Literatura, teatro y cine distinguen la programación de la FILIJ Hidalgo 2026.</t>
  </si>
  <si>
    <t>Asambleas Informativas para la Relocalización llegan a la Sierra de Hidalgo</t>
  </si>
  <si>
    <t>Colaboración Gustavo Rosales, habló sobre la participación de las y los atletas mexicanos en los Juegos Centroamericanos y del Caribe Santo Domingo 2026, en donde ha logrado superar las 300 medallas en las distintas disciplinas.</t>
  </si>
  <si>
    <t>Justa Deportiva</t>
  </si>
  <si>
    <t>El sector de la construcción concentra la mayor parte de las vacantes de empleo formal disponibles en Tulancingo durante agosto, de acuerdo con la Jefatura de Bolsa de Trabajo, que mantiene vinculación con más de 400 empresas del municipio y la región. Entre los perfiles más solicitados se encuentran ayudantes generales, topógrafos, choferes de pipa y residentes de urbanización y edificación. Las vacantes están dirigidas a personas de entre 25 y 50 años, con requisitos académicos que van desde secundaria hasta licenciatura o ingeniería, dependiendo del puesto. Además de las oportunidades en construcción, la dependencia reportó vacantes de contratación inmediata en áreas administrativas y de ventas, principalmente para especialistas en recursos humanos. Las personas interesadas pueden acudir directamente a la Jefatura de Bolsa de Trabajo, solicitar información a través de WhatsApp al 775 379 2948 o asistir a los jueves por el Empleo, jornada de reclutamiento que se realiza semanalmente en la explanada del Centro Cultural Ricardo Garibay.</t>
  </si>
  <si>
    <t>Feria De Empleo</t>
  </si>
  <si>
    <t>Con la firma de cuatro nuevos convenios de colaboración con instituciones de educación superior, el Gobierno de Tulancingo alcanzó 19 alianzas estratégicas para que estudiantes realicen servicio social, prácticas profesionales y estadías en distintas áreas de la administración municipal. Los acuerdos fueron suscritos con la Universidad Pablo Latapí Sarre, el Instituto de Ciencias y Estudios Superiores de Tamaulipas (ICEST-ICESH), la Universidad de los Ángeles y ETAC Campus Tulancingo, como parte de una meta de 30 convenios que busca fortalecer la vinculación entre el ámbito académico y el sector público. Durante la firma, la presidenta municipal, Lorena García Cázares, señaló que las nuevas alianzas comenzarán a reflejar sus beneficios a partir del próximo regreso a clases, al abrir más espacios para que las y los estudiantes complementen su formación profesional mediante experiencias en un entorno laboral. Las y los alumnos de nivel medio superior y superior podrán integrarse a distintas dependencias municipales para desarrollar actividades de servicio social, prácticas profesionales y estadías, con el objetivo de aplicar los conocimientos adquiridos en las aulas y fortalecer sus competencias.</t>
  </si>
  <si>
    <t>Firma De Convenio</t>
  </si>
  <si>
    <t>Con el propósito de impulsar la productividad del sector agropecuario y fortalecer la economía rural, se llevó a cabo la Entrega de Programas Productivos para el Campo, mediante la cual fueron beneficiados 303 productores de los municipios de Tlanalapa, Zempoala, Epazoyucan y Singuilucan, con una inversión superior a 3.2 millones de pesos. Durante la entrega se otorgaron equipamiento para aves, hijuelos de maguey, semilla de cebada y avena, paquetes de herramientas, desbrozadoras, molinos y vientres porcinos, apoyos que contribuirán a mejorar la producción y el desarrollo de las actividades agropecuarias en la región. El Ayuntamiento de Singuilucan, encabezado por la presidenta Municipal, Yazmín Dávila, reafirma su compromiso de continuar gestionando y respaldando acciones que impulsen el crecimiento del campo, reconociendo el trabajo de las y los productores como pieza fundamental para el desarrollo económico y social del municipio. Asimismo, el Gobierno Municipal agradece el respaldo del gobernador del estado, Julio Menchaca, y del *secretario de Agricultura y Desarrollo Rural de Hidalgo, Napoleón González Pérez*, por promover programas que fortalecen al campo hidalguense y generan mejores oportunidades para las familias dedicadas a las actividades agropecuarias. Con el trabajo coordinado entre los diferentes órdenes de gobierno, Singuilucan continúa avanzando en la consolidación de un campo más fuerte, productivo y competitivo, en beneficio de las y los productores del municipio.</t>
  </si>
  <si>
    <t>Como parte del programa municipal "Mineral Seguro", la Secretaría de Seguridad Ciudadana de Mineral de la Reforma realizó tres intervenciones en distintos puntos del municipio que derivaron en la detención de cuatro personas, el aseguramiento de presuntos narcóticos y la recuperación de una motocicleta robada.</t>
  </si>
  <si>
    <t>En el marco de las rutas de la transformación para la reconstrucción y la entrega de apoyos, el gobernador del Estado estará este jueves 6 de agosto en el Mercado Municipal de Metztitlán, ahí continuará con esta gira de trabajo de las rutas de la transformación para la reconstrucción justamente dando prioridad a aquellas demarcaciones donde fueron mayores las afectaciones de las lluvias de octubre pasado.</t>
  </si>
  <si>
    <t>Agenda gobernador</t>
  </si>
  <si>
    <t>Un hombre acudió a un bar en Tulancingo, dónde después de unos tragos perdió el conocimiento, al recobrarlo descubrió el robo de sus pertenencias y una camioneta. Lo que comenzó como una salida nocturna terminó con pérdida de conocimiento, desorientación, robo de pertenencias y una camioneta desaparecida, en un caso que vuelve a poner bajo la lupa el riesgo de una posible sumisión química en establecimientos nocturnos. De acuerdo con una denuncia ciudadana, durante la madrugada del sábado 1 de agosto, un hombre acudió a un bar ubicado en la zona de San Francisco Huatengo, en Tulancingo, donde se encontró con una mujer y consumió algunas bebidas. Según su testimonio, después de dos o tres tragos comenzó a presentar visión borrosa, mareos y desorientación, hasta perder la noción de lo ocurrido. Posteriormente, aseguró haber convivido con dos mujeres de aproximadamente 40 a 45 años y dos jóvenes, aunque afirmó que después ya no recuerda lo sucedido. El denunciante relató que recuperó el conocimiento alrededor de las 6:00 de la mañana, cuando se encontraba a un costado de la carretera y descubrió que ya no tenía su cartera con alrededor de 10 mil pesos en efectivo, tarjetas bancarias, teléfonos celulares y la llave de su camioneta. La unidad desaparecida es una Chirey Tiggo gris, modelo 2024, con placas HGD-594-E de Hidalgo, cuya última ubicación referida corresponde a la zona de San Francisco Huatengo, sobre la carretera Tulancingo–Ecatepec, cerca del establecimiento conocido como La Sala de Espera II. El afectado señaló que alrededor de las 6:30 horas consiguió comunicarse con su familia utilizando un teléfono celular antiguo que había logrado conservar, con el objetivo de solicitar ayuda. La denuncia quedó registrada bajo la carpeta de investigación 18-2026-03360, mientras que el vehículo ya cuenta con reporte de robo. El caso ha generado preocupación ante la posibilidad de que el afectado haya sido víctima de sumisión química, práctica en la que una persona puede ser expuesta a sustancias que alteran su estado de conciencia y disminuyen su capacidad para reaccionar, lo que puede facilitar robos, agresiones u otros delitos. Sin embargo, hasta el momento no existen elementos públicos suficientes para confirmar que el afectado haya sido sedado ni para responsabilizar al establecimiento señalado. Será la investigación correspondiente la que determine qué ocurrió, quiénes participaron y si hubo alguna sustancia involucrada. El testimonio también plantea la necesidad de revisar cámaras de videovigilancia, establecer la ruta de la camioneta y recabar testimonios que permitan reconstruir las horas previas y posteriores a la pérdida de conocimiento. Ante situaciones similares, se recomienda no perder de vista las bebidas, verificar que las botellas sean abiertas frente al consumidor y solicitar atención médica ante una pérdida de conciencia, desorientación o malestar repentino e inexplicable. Quienes cuenten con información que pueda ayudar a localizar la camioneta pueden comunicarse a los números 56 6928 4779 o 771 664 3658. El denunciante difundió su experiencia con la intención de alertar a otras personas y evitar que puedan enfrentar una situación similar, mientras las autoridades determinan las circunstancias reales del caso.</t>
  </si>
  <si>
    <t>Locutor Jesús Riveros da lectura a reporte de radioescucha que reporta que en el transporte colectivo Cuautepec-Ventoquipa, se molestan porque su hijo paga medio pasaje con tarjeta de discapacidad y hay uno que otro chofer que dice que no cobra medios pasajes, cuando a la vista tienen la hoja que se establecen medios descuentos, pregunta a quien debe acudir para que le hagan válido este descuento; locutor responde que le tiene que respetar el descuento y proporciona teléfono de la Semoth para que realice la queja de manera formal.</t>
  </si>
  <si>
    <t>Como parte de las acciones para acercar oportunidades de vivienda a las y los trabajadores hidalguenses, el INFONAVIT llevará a cabo una jornada de registro para el programa Vivienda para el Bienestar en el municipio de Mineral de la Reforma. La atención se brindará el próximo *domingo 9 de agosto*, en un horario de 9:00 a 14:00 horas, en el *Parque Siglo XXI*, ubicado en el fraccionamiento La Providencia. La jornada está dirigida a trabajadoras y trabajadores que cotizan al INFONAVIT, principalmente a quienes perciben entre uno y dos salarios mínimos, con el propósito de facilitar su incorporación al programa.</t>
  </si>
  <si>
    <t>Entrevista vía telefónica Prisco Manuel Gutiérrez, titular de la Comisión Estatal para el Desarrollo Sostenible de los Pueblos Indígenas (CEDSPI) - Habló sobre la conmemoración del Día Internacional de los Pueblos Indígenas que se celebra cada 9 de agosto, dicho evento se realizará en Huejutla de Reyes el próximo domingo reconociendo el trabajo de las parteras tradicionales de Hidalgo; además, se centrará con el macro pabellón artesanal y gastronómico "Hecho en Hidalgo</t>
  </si>
  <si>
    <t>El secretario de Salud, David Kershenobich, aseguró que en México no existe un brote activo de ciclosporiasis y afirmó que los casos registrados en el país corresponden al comportamiento estacional habitual de este parásito, cuya presencia se observa cada año entre los meses de mayo y agosto.</t>
  </si>
  <si>
    <t>Vigilancia Epidemiológica</t>
  </si>
  <si>
    <t>Este jueves concluyeron las jornadas intensivas de fumigación para combatir al mosquito cúlex en comunidades ubicadas en las inmediaciones de la presa Javier Rojo Gómez en el municipio de Alfajayucan. De acuerdo con información del gobierno municipal, en esta primera etapa participaron 11 brigadas del Centro Nacional de Programas Preventivos y Control de Enfermedades (CENAPRECE), instancia del Gobierno de México que atendió la solicitud realizada por el ayuntamiento para reforzar las labores de control del vector. Esta primera etapa de fumigaciones se llevó a cabo desde el pasado martes hasta este día, recorriendo diversas localidades, entre ellas Cerro Azules, La Piedad y La Cañada, así como otras comunidades cercanas a la ribera del embalse. El presidente municipal, Julio Agustín Cruz Tovar informó que, además de estas acciones, se mantienen gestiones con la Secretaría de Medio Ambiente y Recursos Naturales de Hidalgo (Semarnath) para obtener maquinaria especializada que permita retirar el lirio acuático acumulado en la presa, considerado uno de los factores que favorecen la reproducción del mosquito. En este sentido el mandatario señaló que espera que el apoyo pueda llegar en este mes de agosto al igual que la participación de la Comisión Nacional del Agua (CONAGUA) para iniciar los trabajos de saneamiento del cuerpo de agua.</t>
  </si>
  <si>
    <t>Fumigación mosco Culex</t>
  </si>
  <si>
    <t>Un ciudadano identificando como Eduardo Venado demandó legalmente a la Presidencia Municipal de Actopan para exigir el pago de daños tras el robo de su camioneta. El ilícito pasó el 10 de junio en el estacionamiento del Pabellón Gastronómico, un espacio a cargo del gobierno local.</t>
  </si>
  <si>
    <t>Robo de vehículo</t>
  </si>
  <si>
    <t>Adolescentes celebran sus 15 años con el respaldo de la Familia DIF Hidalgo</t>
  </si>
  <si>
    <t>Casa de adolescentes</t>
  </si>
  <si>
    <t>Gobierno de Hidalgo reconoce el talento artesanal en regiones Otomí-Tepehua y Huasteca</t>
  </si>
  <si>
    <t>Bienestar</t>
  </si>
  <si>
    <t>Concurso artesanal</t>
  </si>
  <si>
    <t>SSPH fortalece prevención de delitos cibernéticos con sector empresarial</t>
  </si>
  <si>
    <t>Ciberseguridad</t>
  </si>
  <si>
    <t>Agencia de Investigación Criminal detiene a dos hombres en posesión de narcóticos y un arma de fuego</t>
  </si>
  <si>
    <t>SSPH asegura a tres presuntos generadores de violencia en Villa de Tezontepec</t>
  </si>
  <si>
    <t>Menchaca Salazar favorece desarrollo de Metztitlán con más de 212 millones de pesos para infraestructura (AUDIO JMS)</t>
  </si>
  <si>
    <t>Gobierno de Hidalgo regresa a Acaxochitlán con seguimiento a planteamientos ciudadanos.</t>
  </si>
  <si>
    <t>Mesas de acercamiento</t>
  </si>
  <si>
    <t>Gobierno de Hidalgo y SICT anuncian rehabilitación del tramo Zacualtipán-Tehuetlán de la carretera Pachuca-Huejutla.(AUDIO JMS).</t>
  </si>
  <si>
    <t>En su colaboración semanal, Gustavo Rosales habló sobre la 21ª Carrera Atlética Internacional FUL 2026 que organiza la Universidad Autónoma del Estado de Hidalgo, evento deportivo de 7 kilómetros que se realizará el 6 de septiembre de 2026 en Pachuca, el registro ya se encuentra abierto para la comunidad universitaria y el público en general.</t>
  </si>
  <si>
    <t>En su colaboración semanal, Gustavo Rosales habló sobre la destacada participación de las y los atletas mexicanos en los Juegos Centroamericanos Santo Domingo 2026 al romper su récord histórico de medallas de oro con más de 152 preseas doradas y superar las 352 medallas totales, consolidándose de forma absoluta en la cima del medallero.</t>
  </si>
  <si>
    <t>En el marco del Día Internacional de los Pueblos Indígenas, el municipio de Cuautepec de Hinojosa, realizará el próximo domingo 9 de agosto el encuentro “Riqueza de los Pueblos Indígenas y la Grandeza de Cuautepec”, una actividad destinada a promover y reconocer la diversidad cultural que distingue a la región. El evento se llevará a cabo a partir de las 9:30 horas en el Jardín Felipe Ángeles, donde habitantes y visitantes podrán conocer distintas expresiones culturales que forman parte del patrimonio de los pueblos originarios. Entre las actividades programadas destaca la participación de los danzantes de Hueyapita, quienes presentarán una muestra de las tradiciones que conservan las comunidades indígenas. Asimismo, se ofrecerá una exhibición de la gastronomía tradicional de Cuautepec, además de una muestra artesanal con los reconocidos bordados elaborados por artesanas de Acaxochitlán, San Bartolo Tutotepec y Tenango de Doria. Con esta jornada, las autoridades municipales buscan fortalecer el reconocimiento de las tradiciones, costumbres y manifestaciones culturales de los pueblos indígenas, así como fomentar el orgullo por las raíces que dan identidad a Cuautepec y a la región.</t>
  </si>
  <si>
    <t>Locutor Jesús Riveros da lectura a comentario de radioescucha que reporta, que los taxistas de Pachuca no tienen el tarifario a la vista, por lo que hace un llamado a las autoridades correspondientes; Jesús Riveros comentó que es un pendiente que todavía tiene Gobierno del Estado.</t>
  </si>
  <si>
    <t>Entrevista vía telefónica Neyda Naranjo, secretaria de Cultura - Habló sobre las actividades que se realizarán en Feria Internacional del Libro Infantil y Juvenil 2026, destacando una respuesta favorable derivado del cambio de fecha y sede de esta edición, al realizarse en el Parque Cultural Hidalguense las ciudadanía ha aprovechado para visitar la biblioteca Ricardo Garibay y recorrer el parque, además de poder disfrutar de las presentaciones que se han llevado a cabo en el Foro Hidalgo. Destacó que para esta edición se han logrado vender poco más de seis mil libros, lo que representa una derrama económica para los más de 50 stands con distintas editoriales. Explicó que, si bien la clausura se realizará el próximo 9 de agosto, la Feria Internacional del Libro Infantil y Juvenil 2026 no que quedará únicamente en Pachuca, pues después de esta fecha, se tiene planeado visitar municipios de la Huasteca, la Otomí-Tepehua y la Sierra Gorda.</t>
  </si>
  <si>
    <t>Entrevista vía telefónica Dra. Rocío Téllez Girón Santos, subdirectora de Protección y Prevención en Salud de la SSH - Habló sobre las acciones que se realizan en Hidalgo en materia de prevención contra la ciclosporiasis, entre las que destacan vigilancia epidemiológica activa en coordinación con la Secretaría de Salud Federal; así como, el reforzamiento de acciones preventivas en enfermedades diarreicas agudas. Explicó que si bien, la ciclosporiasis es conocida como “diarrea explosiva” la diferencia entre ésta y las enfermedades diarreicas agudas es que es causada por el parásito cyclospora, en ese sentido, explicó los síntomas y las medidas de higiene a seguir, así como para evitar contraer alguna de estas enfermedades.</t>
  </si>
  <si>
    <t>Gobierno de Hidalgo y SICT anuncian rehabilitación del tramo Zacualtipán-Tehuetlán de la carretera Pachuca-Huejutla.</t>
  </si>
  <si>
    <t>Una camioneta fue robada con violencia durante los primeros minutos de este viernes en la comunidad Mangas, en el municipio Tezontepec de Aldama, Hidalgo, luego de que hombres armados interceptaran a su conductor. De acuerdo con la información disponible, el asalto quedó registrado por cámaras de videovigilancia instaladas en la zona.En las imágenes se observa a dos sujetos que viajaban a bordo de una motocicleta, con el rostro cubierto, quienes amenazaron con un arma de fuego al conductor para obligarlo a descender de la unidad.</t>
  </si>
  <si>
    <t>Tras la balacera registrada la tarde de este jueves en la colonia Santa Matilde, al sur de Pachuca, habría derivado de un posible intento de robo, de acuerdo con la información preliminar dada a conocer por el presidente municipal, Jorge Alberto Reyes Hernández.</t>
  </si>
  <si>
    <t>Ataque Armado</t>
  </si>
  <si>
    <t>Tras haber sido robada hace 19 años, la imagen de Santa Rosa de Lima —pieza escultórica de profundo valor histórico y cultural datada en el siglo XVII— fue restituida formalmente a la parroquia de Santa Mónica, en el municipio de Epazoyucan. El acto protocolario fue encabezado por el secretario técnico del INAH, José Luis Perea González, con la presencia de autoridades eclesiásticas y habitantes de la comunidad, quienes celebraron la recuperación del patrimonio espiritual del municipio</t>
  </si>
  <si>
    <t>Un comité de científicos y especialistas recomendó al gobierno de México prohibir actividades de extracción de gas natural de yacimientos no convencionales, conocidas como fracking, en la región de la cuenca Tampico-Misantla, la cual incluye parte de la Huasteca y la Sierra Otomí Tepehua de Hidalgo.Criterios de protección social, biodiversidad y densidad demográfica, fueron los motivos que los especialistas argumentaron durante la conferencia de prensa en Palacio Nacional para prohibir actividades de aprovechamiento de yacimientos no convencionales de gas natural en esta región del país, Según el mapa elaborado por los investigadores, en la sierra Otomí-Tepehua se prohibirá el fracking en la región de Huehuetla y parte de San Bartolo Tutotepec. La Huasteca no se permitirá esta actividad en Xochitlipan, parte de Yahualica, Atlapexco, Huazalingo y Huejutla, así como Huautla, San Felipe Orizatlán y Jaltocán. AUDIO APOYO</t>
  </si>
  <si>
    <t>Fracking</t>
  </si>
  <si>
    <t>Ayer en Tula se llevó a cabo la presentación del estudio hidrogeológico de las aguas subterráneas de la región Tula, elaborado por el doctor Salvador Rangel González, explicó que la ingeniería que utiliza un relleno sanitario no permite que exista penetración en el subsuelo de algún producto contaminante a las fuentes de agua que pasan de manera subterránea, AUDIO APOYO</t>
  </si>
  <si>
    <t>Relleno Sanitario</t>
  </si>
  <si>
    <t>La deportaciones en Hidalgo, no aumentan ahora están separando familias en Estados Unidos, de enero-mayo del 2026, llevamos 2386 repatriaciones registradas en la frontera por el Instituto Nacional de Migración. De esas 2386, 2225 son varones y solo 159 son mujeres, bajado el número de deportados respecto de años anteriores y sobre todo en la administración Biden y mucho menos en la de Obama. Pero sí es una realidad que el tema de las deportaciones de migrantes sufrió una transformación a raíz de la llegada de Trump a la presidencia, informo Manuel Enrique Aranda, Director General de Atención al Migrante en Hidalgo, AUDIO APOYO</t>
  </si>
  <si>
    <t>Deportaciones</t>
  </si>
  <si>
    <t>Casa de Adolescente</t>
  </si>
  <si>
    <t>En cabina, Viridiana Cornejo, diputada federal del distrito de Tula, y Maxel Uziel Quijano, ganador de la medalla de plata de la Olimpiada Hidalguense de Informática 2026, con el joven talentoso originario de Tezontepec de Aldama. La diputada informó sobre el apoyo que da a los jóvenes para participar en distintas actividades y sobre el proceso que realizó el joven para llegar a participar en la Olimpiada de Informática.</t>
  </si>
  <si>
    <t>Regidores del municipio de Apan denunciaron posibles irregularidades en los procesos licitatorios para la adquisición de mezcla asfáltica bajo la administración de la alcaldesa Zoraida Robles. De acuerdo con los ediles, la propuesta presentada al ayuntamiento pretende adquirir la tonelada de insumo en 2,966 pesos, cuando el precio de mercado cotiza en 1,350 pesos, lo que representa un sobreprecio superior al 100 % sin incluir el costo de aplicación.</t>
  </si>
  <si>
    <t>Irregularidades alcalde</t>
  </si>
  <si>
    <t>Familias de barbacoyeros de la comunidad de Dajiedhi en el municipio de Actopan, organizarán el próximo lunes 10 de agosto la cocción comunitaria de 100 borregos en un solo horno tradicional para festejar su fiesta patronal. El evento culinario, considerado uno de los más grandes del país en su tipo, ofrecerá degustación gratuita de consomé y tacos para los asistentes a la festividad.</t>
  </si>
  <si>
    <t>Festival Gastronómico</t>
  </si>
  <si>
    <t>Acompañadas por autoridades del gabinete estatal e integrantes de la sociedad civil que fungieron como padrinos, 12 jóvenes bajo resguardo en la Casa de la Adolescente y de Transición celebraron su fiesta de 15 años. La presidenta del Patronato del Sistema DIF Hidalgo, Edda Vite Ramos, reconoció el esfuerzo de las festejadas y ratificó el compromiso de la institución para dar seguimiento integral a su desarrollo personal, técnico y académico.</t>
  </si>
  <si>
    <t>El Consejo de Ciencia, Tecnología e Innovación de Hidalgo (CITNOVA) publicó el dictamen de la convocatoria de Becas de Posgrado de Excelencia para el Extranjero. De un total de 58 postulantes, 23 profesionales hidalguenses resultaron seleccionados para recibir un apoyo económico único de 360 mil pesos por persona, con una bolsa total asignada de 8.2 millones de pesos para estudios de maestría</t>
  </si>
  <si>
    <t>Becas De Posgrado</t>
  </si>
  <si>
    <t>El Gobierno del Estado entregó galardones e incentivos económicos a creadores locales en el Concurso Regional de Bordados y Textiles Otomí-Tepehua, reconociendo a 15 artesanos de Tenango de Doria y Acaxochitlán. El máximo galardón fue otorgado a Alejandro Rojas Guzmán por la elaboración de un mantel bordado en punto de cruz, al tiempo que se entregaron reconocimientos en Tlanchinol a representantes de la Huasteca hidalguense.</t>
  </si>
  <si>
    <t>La directora del Centro de Conciliación Laboral del Estado de Hidalgo, Mariela Valero Mota, dio a conocer que en lo que va del año 2026 se han concertado 3,169 convenios de solución entre empleadores y trabajadores, logrando una recuperación superior a los 121 millones de pesos. Asimismo, destacó que la entidad mantiene el primer lugar nacional en velocidad de resolución con un promedio de 21 días por expediente.</t>
  </si>
  <si>
    <t>Conciliación Laboral</t>
  </si>
  <si>
    <t>El Sistema Nacional de Vigilancia Epidemiológica informó que Hidalgo acumuló 40,735 casos de enfermedades diarreicas agudas en lo que va del año, tras sumar 1,503 nuevos diagnósticos en la última semana evaluada. La Secretaría de Salud de la entidad detalló que se mantiene un monitoreo especial por las altas temperaturas en los municipios de Pachuca, Tulancingo, Ixmiquilpan, Actopan y Tula. AUDIO DE APOYO</t>
  </si>
  <si>
    <t>De acuerdo con el informe oficial de Petróleos Mexicanos correspondiente al primer cuatrimestre del año, Hidalgo se colocó nuevamente a la cabeza nacional en la incidencia de perforaciones ilegales a ductos con 986 tomas clandestinas detectadas. A nivel país se contabilizaron 3,836 perforaciones, donde la entidad hidalguense y Jalisco concentraron de manera conjunta el 45 % del total de ordeña registrado en el territorio nacional.</t>
  </si>
  <si>
    <t>La Fiscalía General de la República ordenó la inspección judicial de un terreno ubicado en el poblado de Buenavista, municipio de Nopala de Villagrán, tras una denuncia formal formulada por Seguridad Física de Pemex. En la intervención se confirmó la localización de una toma clandestina con válvulas, niples, coples y mangueras de alta presión conectadas a los ductos de la empresa pública.</t>
  </si>
  <si>
    <t>En acciones independientes encabezadas por la Agencia de Investigación Criminal, dos hombres fueron puestos a disposición del Ministerio Público acusados de delitos contra la salud. En Ajacuba se detuvo en flagrancia a un sujeto armado con un revólver y dosis de marihuana, mientras que en Mineral de la Reforma se cumplimentó la captura del individuo identificado como J.P.P. por la comercialización ilícita de enervantes.</t>
  </si>
  <si>
    <t>La Secretaría de Seguridad Pública de Hidalgo, la Guardia Nacional y la Procuraduría de Justicia del Estado realizaron tres cateos simultáneos en las colonias Benito Juárez y Morelos de Villa de Tezontepec. El operativo permitió la captura de tres hombres considerados generadores de violencia, a quienes se les decomisaron 563 dosis de probable marihuana, 186 dosis de presunto cristal y una motocicleta sin identificaciones.</t>
  </si>
  <si>
    <t>En una acción coordinada entre la Guardia Nacional, el Ejército Mexicano y la SSPH, cuatro personas (dos hombres y dos mujeres) fueron aseguradas en el municipio de Tula de Allende. A los detenidos se les decomisaron dos armas cortas tipo escuadra calibre 9 milímetros y una granada de humo, quedando a disposición de la subsede de la FGR para determinar su situación legal.</t>
  </si>
  <si>
    <t>Policías municipales de Ajacuba detuvieron a un sujeto en la comunidad de Tecomatlán tras ser acusado del delito de extorsión. Los hechos ocurrieron cuando el implicado acudió a un establecimiento comercial a exigir el pago por cobro de piso, momento en que el encargado del negocio reaccionó encerrándolo dentro del local para solicitar la intervención inmediata de las fuerzas del orden.</t>
  </si>
  <si>
    <t>Detención</t>
  </si>
  <si>
    <t>En seguimiento a una denuncia anónima, la Policía Federal Ministerial de la FGR ejecutó una orden de cateo en la comunidad de San Jerónimo Tlamaco, municipio de Atitalaquia. Durante la diligencia judicial se aseguró a una persona en posesión de 7,450 litros de hidrocarburo, 86 bidones, tres mangueras de alta presión, una motobomba y siete vehículos involucrados en el almacenamiento ilícito de combustible.</t>
  </si>
  <si>
    <t>Del 10 de agosto al 30 de septiembre, la Secretaría de Bienestar e Inclusión Social y la Secretaría de Educación Pública ofrecerán a nivel nacional dos capacitaciones gratuitas en modalidad virtual enfocadas en el envejecimiento saludable y la formación de personas cuidadoras. La directora del Instituto para la Atención de las y los Adultos Mayores, Penélope Apodaca, confirmó que la formación se impartirá a través de la plataforma Aprende MX y emitirá constancias con validez oficial. AUDIO DE APOYO</t>
  </si>
  <si>
    <t>Envejecimiento saludable</t>
  </si>
  <si>
    <t>El Gobierno del Estado de Hidalgo y la Secretaría de Infraestructura, Comunicaciones y Transportes anunciaron la licitación pública para la rehabilitación integral del tramo Zacualtipán-Tehuetlán, perteneciente a la carretera federal Pachuca-Huejutla. La obra abarcará una longitud de 99.5 kilómetros con una inversión de 2,277 millones de pesos, reduciendo hasta en 30 minutos los tiempos de traslado para más de 250 mil habitantes de seis municipios de la Sierra y Huasteca hidalguense. AUDIO DE APOYO</t>
  </si>
  <si>
    <t>En su visita al municipio de Metztitlán como parte de las Rutas de la Transformación, el gobernador Julio Menchaca Salazar informó la entrega de 3.3 millones de pesos en apoyos productivos para 258 familias de la región. Asimismo, detalló que en coordinación con la SICT se ejecutan más de 331 millones de pesos en la red carretera de la zona, a los que se suman 212 millones de pesos destinados a proyectos estatales para la pavimentación de calles y la rehabilitación de los sistemas de agua potable y drenaje sanitario en el primer cuadro del municipio. AUDIO DE APOYO</t>
  </si>
  <si>
    <t>Tras haber sido robada hace 19 años, la imagen de Santa Rosa de Lima —pieza escultórica de profundo valor histórico y cultural datada en el siglo XVII— fue restituida formalmente a la parroquia de Santa Mónica, en el municipio de Epazoyucan. El acto protocolario fue encabezado por el secretario técnico del INAH, José Luis Perea González, con la presencia de autoridades eclesiásticas y habitantes de la comunidad, quienes celebraron la recuperación del patrimonio espiritual del municipio. AUDIO DE APOYO.</t>
  </si>
  <si>
    <t>Radioescucha reporta que el día de ayer volvieron a arrojar su agua de drenaje al canal que cruza por Infonavit de Santa Julia; pide apoyo de las autoridades de la Semarnath, ya que es un olor insoportable.</t>
  </si>
  <si>
    <t>Semarnath</t>
  </si>
  <si>
    <t>Drenaje</t>
  </si>
  <si>
    <t>Radioescucha Alejandro Carpinteiro comenta: ¿De qué privilegios gozan los conductores del transporte público, al pasarse la luz roja de los semáforos? Además, lo hacen enfrente de la policía.</t>
  </si>
  <si>
    <t>Radioescucha reporta nuevamente no tenemos agua en calle Valle Dorado, Mz.7 en Palmar y ya mero llega el recibo</t>
  </si>
  <si>
    <t>Participación semanal de Mtro. Julio Valera con el tema: Ampliación de la zona metropolitana del Valle de México. Seguramente ya escucharon el término zona metropolitana, esto significa que hace algunos años era muy fácil distinguir los municipios, tenían un espacio entre uno y otro, pero con el crecimiento de la población, de las viviendas, de las actividades económicas, esos municipios fueron creciendo hasta prácticamente unirse. Hoy podemos cruzar de un municipio a otro sin darnos cuenta. Por eso existen las zonas metropolitanas, para que los distintos gobiernos trabajen coordinadamente y encuentren soluciones conjuntas en lugar de hacerlo cada uno por separado. Recientemente se aprobó la ampliación de la Zona Metropolitana del Valle de México, que integra 84 municipios de la CDMX, Edomex, Hidalgo y Morelos; estamos hablando de una de las regiones urbanas más importantes de América Latina. Para Hidalgo representa un paso muy importante; hasta hace poco Tizayuca era el único municipio que pertenece a la Zona Metropolitana; ahora se incorporan Atitalaquia, Atotinilco de Tula, Tolcayuca, Villa de Tezontepec, Tepeji del Río y Tlaxcoapan, sumando 8 municipios hidalguenses, y esto significa que se podrán coordinar mejor proyectos regionales. Se viene una etapa muy importante: la elaboración del programa de ordenamiento de esta zona metropolitana; este será sometido a consulta pública, por eso es importante que la ciudadanía conozca y participe en todos estos procesos.</t>
  </si>
  <si>
    <t>Accidente vehicular reportado la mañana de este viernes sobre la carretera Actopan-Pachuca, a la altura de la comunidad de La Loma, donde al menos cuatro vehículos se encuentran involucrados.</t>
  </si>
  <si>
    <t>Accidente Vial</t>
  </si>
  <si>
    <t>Vía telefónica Ing. Arq. Francisco Lugo Espinosa, es el Secretario de Obras Públicas, Desarrollo Urbano, Vivienda y Movilidad del Ayuntamiento de Pachuca, con el tema: Recorrido con bacheos en diferentes calles de la capital</t>
  </si>
  <si>
    <t>La Unidad de Rehabilitación de Fauna Silvestre Pachuca recibió el pasado 14 de julio en sus instalaciones a una cría de mono aullador de manto, mismo que forma parte de las tres especies de monos mexicanos catalogadas en peligro de extinción.Desde su ingreso, el ejemplar recibió atención especializada las 24 horas del día, incluyendo cuidados específicos en su alimentación y monitoreo permanente por parte de personal capacitado, con el objetivo de garantizar su bienestar y adecuada recuperación.Debido a que esta especie requiere condiciones particulares para su desarrollo, se realizaron las gestiones correspondientes ante la Procuraduría Federal de Protección al Ambiente (PROFEPA) para su traslado a un espacio que cuente con la infraestructura y experiencia necesarias para su rehabilitación integral.Como resultado de la coordinación con centros especializados en fauna, el ejemplar será trasladado a la Unidad de Manejo de Vida Silvestre (UMA) “Los Susurros”, ubicada en Palenque, Chiapas, donde continuará su proceso de rehabilitación, una vez concluido su desarrollo, podrá ser reintegrado a su hábitat natural.Cabe destacar que es la primera ocasión en que esta Unidad recibe y atiende a un mono aullador, acción que representa un avance significativo en los esfuerzos institucionales para la conservación de especies prioritarias en México.</t>
  </si>
  <si>
    <t>Rehabilitación animal</t>
  </si>
  <si>
    <t>Como parte de las acciones para acercar oportunidades de vivienda a las y los trabajadores hidalguenses, el INFONAVIT llevará a cabo una jornada de registro para el programa Vivienda para el Bienestar en el municipio de Mineral de la Reforma.La atención se brindará el próximo *domingo 9 de agosto*, en un horario de 9:00 a 14:00 horas, en el *Parque Siglo XXI*, ubicado en el fraccionamiento La Providencia.</t>
  </si>
  <si>
    <t>Con el propósito de reconocer e impulsar el talento, la creatividad y el compromiso social de las nuevas generaciones, el Ayuntamiento de Mineral de la Reforma, a través del Instituto Municipal de la Juventud, realizará la entrega del Premio Municipal de la Juventud 2026.Esta distinción busca visibilizar las trayectorias e iniciativas de jóvenes que, mediante su trabajo, generan beneficios y contribuyen al desarrollo de sus comunidades.La ceremonia será encabezada por el presidente municipal de Mineral de la Reforma, Eduardo Medécigo Rubio, el viernes 21 de agosto, a las 17:00 horas, en las instalaciones de la Universidad Tecnológica de Mineral de la Reforma.</t>
  </si>
  <si>
    <t>Premio Municipal</t>
  </si>
  <si>
    <t>Inicia SIPDUS sustitución de pavimento por concreto hidráulico en el bulevar Felipe Ángeles</t>
  </si>
  <si>
    <t>La 26.ª Feria Internacional del Libro Infantil y Juvenil Hidalgo 2026 continuará los días 6 y 7 de agosto con propuestas gratuitas que vinculan los libros con el teatro, la música, la narración y la creación artística, en distintos espacios del Parque Cultural Hidalguense.el viernes 7 de agosto, las actividades iniciarán a las 10:00 horas, en el Foro Hidalgo, con Manti: Las aventuras musicales de una cobijita, propuesta de Teatro UAEH.Durante el día habrá narraciones orales, espacios de ilustración, talleres y presentaciones de libros, entre ellas La leyenda de Mayahuel y el árbol de las mil maravillas y Topiltzin: el pequeño Quetzalcóatl.Uno de los momentos relevantes de esta fecha será la entrega del Premio Bellas Artes de Traducción Literaria Margarita Michelena 2026 a Melina Balcázar y Mario Bojórquez; la ceremonia está programada a las 18:00 horas en el vestíbulo. Posteriormente, a las 19:00 horas, Los Tlacuilos ofrecerán un espectáculo musical en el Foro Hidalgo.</t>
  </si>
  <si>
    <t>TV Cable hidalguense Canal 6</t>
  </si>
  <si>
    <t>Contigo Noticias</t>
  </si>
  <si>
    <t>Cobaeh proyecta nuevos planteles y mejoras en infraestructura educativa</t>
  </si>
  <si>
    <t>IHE fortalece formación docente con red de Centros de Maestros</t>
  </si>
  <si>
    <t>Bazares de Centros LIBRE impulsan autonomía económica de mujeres</t>
  </si>
  <si>
    <t>Vía telefónica Prisco Manuel Gutiérrez, titular de la Comisión Estatal para el Desarrollo Sostenible de los Pueblos Indígenas (CEDSPI) informó que están preparando en la Huasteca el trigésimo primer aniversario del Día Internacional de los Pueblos Indígenas. Esta fecha es importante porque se reconoce el valioso aporte de los pueblos indígenas a la humanidad. Se rendirá homenaje a las parteras tradicionales, quienes han apoyado la vida en sus comunidades desde el embarazo hasta el postparto, cuidando los conocimientos ancestrales y el patrimonio biocultural en el Estado de Hidalgo. La conmemoración del Día Internacional de los Pueblos Indígenas será en Huejutla del 7 al 9 de agosto, con un macro pabellón donde participarán artesanos, parteras, médicos tradicionales y representantes de diferentes regiones. Se promoverá el intercambio cultural y la preservación de las tradiciones.</t>
  </si>
  <si>
    <t>Hidalgo ocupa el primer lugar nacional en crecimiento del Fondo General de Participaciones</t>
  </si>
  <si>
    <t>Vía telefónica Edson Vélez informó que un estudio hidrogeológico, presentado por el especialista Salvador Rangel González, concluyó que no hay riesgo de contaminación del manantial Cerro Colorado de Tepeji debido al relleno sanitario de Tula. Este relleno se está construyendo en un lugar conocido como Siete Mezquites, en la frontera entre Tepeji y Tula, donde los habitantes expresan su preocupación por una posible contaminación del manantial. Rangel explicó que el flujo natural del agua subterránea se dirige en sentido opuesto al manantial. El estudio analizó si los líquidos lixiviados del relleno sanitario podrían alcanzar otros manantiales o afectar el acuífero de la región. Destacó que el relleno y el manantial están separados por más de 4 kilómetros y que el proyecto incluye una base de material arcilloso y sistemas diseñados para impedir la infiltración de lixiviados. Incluso en caso de una filtración, los lixiviados no afectarían el manantial, ya que este acuífero ya presenta contaminación de fuentes como aguas residuales agrícolas. Para el estudio, se utilizaron datos de pozos de Petróleos Mexicanos y la Comisión Federal de Electricidad. Sin embargo, la información no fue bien recibida por los pobladores de Tezontepec, quienes siguen rechazando el proyecto del relleno sanitario de Tula.</t>
  </si>
  <si>
    <t>Edson Vélez</t>
  </si>
  <si>
    <t>Hidalgo se suma a la Jornada Nacional de Reforestación 2026</t>
  </si>
  <si>
    <t>Este jueves se llevó a cabo la presentación del quinto Festival del asado y la cerveza Tepetitlán 2026, un evento que busca impulsar el turismo, la gastronomía y la economía local a través de una experiencia para toda la familia. Por su parte, Ana Elsa Castillo presidenta municipal del municipio señaló que la invitación no es únicamente para asistir al quinto festival del asado y la cerveza, sino también para conocer los atractivos turísticos, la gastronomía y la riqueza cultural que ofrece el municipio, con el propósito de que más visitantes descubran todo lo que Tepetitlán tiene para ofrecer.</t>
  </si>
  <si>
    <t>Festival gastronómico</t>
  </si>
  <si>
    <t>La Fiscalía General de la República (FGR) ejecutó una orden de cateo en un local ubicado en una plaza comercial en el bulevar Nuevo Hidalgo, en Pachuca, donde operaban máquinas tragamonedas sin los permisos correspondientes. La investigación inició en atención a una denuncia anónima, en la que ciudadanos alertaron al agente del Ministerio Público de la Federación (MPF) adscrito a la Fiscalía Especializada de Control Regional (Fecor) en Hidalgo sobre el riesgo que implica para la sociedad este tipo de negocios, por lo que la FGR solicitó y obtuvo del juez de Control autorización para ejecutar la orden. Durante el operativo, el MPF, elementos de la Policía Federal Ministerial y peritos de la institución ingresaron al inmueble y aseguraron una terminal de pago, 36 máquinas tragamonedas y 156 mil 68 pesos; además, detuvieron a una persona, cuya situación jurídica será resuelta por el MPF conforme a derecho.</t>
  </si>
  <si>
    <t>Cateo</t>
  </si>
  <si>
    <t>Vía telefónica Prisco Manuel Gutiérrez, titular de la Comisión Estatal para el Desarrollo Sostenible de los Pueblos Indígenas (CEDSPI) informó que está en la Huasteca, preparándose para el trigésimo primer aniversario del Día Internacional de los Pueblos Indígenas. Esta fecha es importante porque se reconoce el valioso aporte de los pueblos indígenas a la humanidad, lo cual ha sido reconocido por la ONU y la OIT desde 1957. En el Gobierno de la Transformación, bajo el liderazgo del gobernador Julio Menchaca, celebramos por cuarto año esta conmemoración. Se rendirá homenaje a las parteras tradicionales, quienes han apoyado la vida en sus comunidades desde el embarazo hasta el postparto, cuidando los conocimientos ancestrales y el patrimonio biocultural en el Estado de Hidalgo. En Atlapexco, la primera etapa de la Casa de la Mujer está casi lista. Se ha trabajado en conjunto con el Fondo de Población de la ONU para documentar los conocimientos de las parteras y médicos tradicionales. Este acompañamiento no busca enseñar a las parteras, ya que poseen grandes habilidades, sino reconocer su trabajo y hacer que sean visibilizadas. En la reunión con el presidente municipal se entregará la autorización para la segunda etapa de la Casa, que cuenta con una inversión de más de 30 millones de pesos para que la partería tradicional siga desarrollándose. La Casa de la Mujer Indígena en Atlapexco ya puede funcionar. Está equipada y se están llevando a cabo actividades de acompañamiento. Actualmente se espera una licencia de funcionamiento de COFEPRIS. El programa "Guardianas de Vida" apoya a mujeres practicantes de partería y médicos tradicionales, y se espera ayudar a más de 1.900 mujeres en este segundo año. En Tenango de Doria, la construcción de la Casa va en un 50% y se prevé que incluirá áreas para atención y recuperación. La conmemoración del Día Internacional de los Pueblos Indígenas será en Huejutla del 7 al 9 de agosto, con un macro pabellón donde participarán artesanos, parteras, médicos tradicionales y representantes de diferentes regiones. Se promoverá el intercambio cultural y la preservación de las tradiciones.</t>
  </si>
  <si>
    <t>Vía telefónica Roberto Rico, integrante de la Coordinación Jurídica de Gobierno del estado habla sobre los despojos de viviendas que últimamente se han dado en la ciudad de México, Puebla, Veracruz e Hidalgo; entre otros estados. Explica cómo operan las personas que se dedican a estos despojos y las acciones legales que se deben hacer para recuperar la propiedad.</t>
  </si>
  <si>
    <t>Despojo</t>
  </si>
  <si>
    <t>El Gobierno Municipal de Tulancingo, a través de la Instancia Municipal de la Juventud, concluyó el periodo de inscripción para participar en el Premio Municipal de la Juventud 2026, convocatoria que registró un total de 30 propuestas de jóvenes interesados en obtener este reconocimiento. La convocatoria, difundida durante las últimas semanas, estuvo dirigida a personas de entre 17 y 29 años de edad, quienes presentaron proyectos, trayectorias y acciones destacadas en beneficio de la sociedad, en alguna de las cuatro categorías: Ciencia y tecnología, arte urbano, activismo y liderazgo comunitario ambiental, y extraordinaria por trayectoria. La titular de la Instancia Municipal de la Juventud, Dania Méndez Jiménez, informó que, una vez concluida la etapa de recepción de expedientes, iniciará el proceso de revisión y evaluación de las propuestas por parte del jurado, conforme a las bases establecidas en la convocatoria.</t>
  </si>
  <si>
    <t>Hay descontento en la Escuela Primaria Aquiles Serdán de Tulancingo, que surge por la preocupación de padres de familia ante el daño estructural y el riesgo de colapso en algunos salones de clases, además del anuncio oficial de su demolición y reconstrucción total sin que exista claridad ni fechas precisas sobre el inicio de las obras o la reubicación de los alumnos. Así como si los trabajos serán terminados antes de que inicien las clases, los alumnos serán reubicados en otra sede o cómo será la logística.</t>
  </si>
  <si>
    <t>Reconstrucción de escuela</t>
  </si>
  <si>
    <t>En Tulancingo opera la Escuela de Campo “Colmena Viva”, cuyo objetivo es que sobre todo los jóvenes se acerquen para aprender y aplicar conocimientos en la producción de miel y sus derivados. Lo anterior fue señalado por Guadalupe Rendón Escamilla, Técnica agroecológica del Programa de Acompañamiento Técnico de las Escuelas de Campo, programa a cargo del gobierno federal. Señaló que la primera explicación que se ofrece a los participantes, es la importancia de las abejas como agentes polinizadores, gracias a lo cual es posible el desarrollo de cultivos, así como de zonas con vegetación. “Se piensa que el único beneficio de la apicultura es obtener la miel, y va más allá; es garantizar la existencia de las abejas, para que estas a su vez ayuden en el desarrollo de cultivos y podamos contar con otros alimentos”, señaló la especialista. La Escuela de Campo en Tulancingo cuenta con doce alumnos, quienes se reúnen en grupo un par de veces a la semana; en el transcurso del mes se hacen recorridos por los espacios que cada uno de ellos tienen para el desarrollo de sus apiarios. Rendón Escamilla señaló que formar parte de la Escuela del Campo no tiene costo alguno, sólo se requiere por parte de los interesados que estos cuenten con un espacio adecuado para el desarrollo de sus respectivos apiarios. En el Estado de Hidalgo actualmente hay tres técnicos para el desarrollo de estas enseñanzas, ubicados en la Huasteca, la Sierra Otomí Tepehua y uno más para las asesorías en el resto de la entidad. En el caso de Tulancingo, la Escuela de Campo opera con el apoyo de la Secretaría municipal del Campo, a donde se pueden dirigir los interesados en participar.</t>
  </si>
  <si>
    <t>Apicultura</t>
  </si>
  <si>
    <t>El inmueble asegurado por la Fiscalía General de la República (FGR) en el parque industrial de Tizayuca por presuntamente operar un centro clandestino de procesamiento de combustibles, ya había sido suspendido por el gobierno municipal debido a violaciones en materia ambiental. De acuerdo con el sello de clausura colocado por la Dirección de Ecología y Medio Ambiente fechado este año, el ayuntamiento de Tizayuca detectó en las instalaciones de la empresa Lete descargas ilegales de residuos químicos al sistema de drenaje. De acuerdo con un recorrido realizado por El Universal Hidalgo, se pudo constatar que el complejo está delimitado por un portón verde en donde se colocaron los sellos de “asegurado” de la FGR y la Fiscalía Especializada en Materia de Delincuencia Organizada, así como el de clausura total de la Secretaría de Infraestructura, Control Urbano, Ecología, Servicios Públicos Municipales de Tizayuca. El inmueble se ubica sobre la calle Sur 2 del parque industrial. La vialidad permanece parcialmente cerrada debido a trabajos de reencarpetamiento con concreto hidráulico. Frente al predio se localiza la empresa Voltran; a un costado, San Remo de México, y en la parte posterior, la empresa Puratos. En el sitio ya no había elementos de seguridad. Un trabajador de una empresa, ubicada en las inmediaciones, narró que en Lete manejaban productos químicos y solventes de manera habitual. Indicó que ya se rumoraba que en dicho complejo se procesaba posible combustible de procedencia ilícita, debido a que comercializaban y compraban este material, sin saber su procedencia. Durante 2026, la dirección de Ecología y Medio Ambiente colocó sellos de clausura en el inmueble que alberga las instalaciones de Lete, tras detectar presuntas descargas ilegales de residuos químicos al sistema de drenaje. Tales descargas, según las autoridades municipales, desembocaban en el afluente del río Papalote, lo que generaba afectaciones ambientales para miles de habitantes de las colonias cercanas. Incluso, en noviembre de 2021 autoridades municipales clausuraron temporalmente esta empresa, responsable del derrame de químicos y contaminar en una de las arterias del río que cruza diversas localidades del sur del municipio. De acuerdo con su sitio oficial, las actividades de la empresa consisten en el tratamiento de aguas residuales provenientes de procesos industriales, recuperación de solventes mediante destilación, además de la distribución de solventes especializados.</t>
  </si>
  <si>
    <t>Pachuca encabeza la lista de municipios con mayor número de reportes de personas desaparecidas o no localizadas en Hidalgo durante los primeros siete meses de 2026, de acuerdo con el Registro Nacional de Personas Desaparecidas y No Localizadas. Entre enero y julio de este año, la capital del estado acumuló 104 reportes, seguida de Mineral de la Reforma con 65, Tizayuca con 47, Tulancingo con 46 y Tula con 30, convirtiéndose en los municipios con mayor incidencia. En ese mismo periodo, Hidalgo registró 549 reportes de desaparición. De ese total, 450 personas fueron localizadas, 20 de ellas sin vida, mientras que 99 continúan sin ser encontradas Las cifras de la Comisión Nacional de Búsqueda también muestran que los hombres representan la mayoría de los reportes, con 297 casos, frente a 252 mujeres. Además, el número de denuncias disminuyó 27.8 por ciento en comparación con el mismo periodo de 2025.</t>
  </si>
  <si>
    <t>Desapariciones</t>
  </si>
  <si>
    <t>Tulancingo registró 103 carpetas de investigación por el delito de robo a negocios durante el primer semestre de 2026, lo que lo colocó entre los municipios con mayor incidencia de este ilícito en Hidalgo, de acuerdo con cifras del Secretariado Ejecutivo del Sistema Nacional de Seguridad Pública (SESNSP). Del total de casos registrados, 53 fueron cometidos con violencia y 50 sin violencia lo que refleja una incidencia equilibrada en ambas modalidades. Con estas cifras, Tulancingo ocupó el tercer lugar a nivel estatal con el robo a comercio únicamente por debajo de Pachuca con 223 casos y de Tizayuca con 157. En todo Hidalgo entre enero y junio del 2026 fueron iniciadas al menos 990 carpetas de investigación por este delito, por lo que Tulancingo concentró poco más del 10% de robos a negocios.</t>
  </si>
  <si>
    <t>Incidencia Delictiva</t>
  </si>
  <si>
    <t>Como parte de las acciones para acercar oportunidades de vivienda a las y los trabajadores hidalguenses, el INFONAVIT llevará a cabo una jornada de registro para el programa Vivienda para el Bienestar en el municipio de Mineral de la Reforma. La atención se brindará el próximo domingo 9 de agosto, en un horario de 9:00 a 14:00 horas, en el Parque Siglo XXI, ubicado en el fraccionamiento La Providencia. La jornada está dirigida a trabajadoras y trabajadores que cotizan al INFONAVIT, principalmente a quienes perciben entre uno y dos salarios mínimos, con el propósito de facilitar su incorporación al programa.</t>
  </si>
  <si>
    <t>Publican resultados de becas de Posgrados de Excelencia para Maestría en el Extranjero</t>
  </si>
  <si>
    <t>El gobernador Julio Menchaca estará hoy en el Centro gerontológico a las 10:45 para realizar acciones en favor de las personas adultas mayores.</t>
  </si>
  <si>
    <t>Apoyo a adultos mayores</t>
  </si>
  <si>
    <t>En la plaza principal de Huazalingo a las 4 de la tarde estará el Secretario de Gobierno, Guillermo Olivares para llevar las Mesas de acercamiento.</t>
  </si>
  <si>
    <t>La coordinación entre instituciones fortalece las estrategias de atención y contribuye a brindar mejores servicios de salud para la población. En representación de la secretaria de Salud, Vanesa Escalante Arroyo, la subsecretaria de Salud Pública, Diana Reyes Gómez, participó en la Reunión Ordinaria del Consejo Directivo de la Delegación IMSS Hidalgo, un espacio de diálogo y coordinación que impulsa el trabajo conjunto para fortalecer la atención médica en beneficio de las y los hidalguenses.</t>
  </si>
  <si>
    <t>Andrés Torres en respuesta a un radioescucha que señala que en el carretera tramo de Zacualtipán a Molango hay diesel derramado y los automovilistas están derrapando, hace un llamado a la SCiT y recuerda que este tramo es el que anunció el gobernador ayer que se va a rehabilitar.</t>
  </si>
  <si>
    <t>Rehabilitación carretera</t>
  </si>
  <si>
    <t>el gobernador publicó en sus redes sociales: En Zacualtipán estamos realizando obras que mejorarán la movilidad y la calidad de vida de las familias. Hoy supervisamos los avances en la rehabilitación de caminos en el municipio.</t>
  </si>
  <si>
    <t>El gobernador publicó en sus redes sociales: En Metztitlán, hicimos entrega de apoyos del DIFH, Programas del Pueblo y equipamiento para el campo. Seguimos sumando esfuerzos para respaldar a las familias, fortalecer la economía de los hogares y acompañar la recuperación de las comunidades.</t>
  </si>
  <si>
    <t>Andrés Torres comenta que la estación del 1010 AM "El Vocero Huasteco" está por cumplir 3 años de haberse inaugurado. Recuerda que esta es una concesión Nueva y que fue el gobernador quien la inauguró y a quien agradece por su compromiso con la radio estatal.</t>
  </si>
  <si>
    <t>Para este 06 de agosto se pronostican intervalos de chubascos (5 a 25 mm), temperaturas máximas de 35 a 40 °C en el noreste de Hidalgo y rachas de viento de hasta 60 km/h.</t>
  </si>
  <si>
    <t>Alerta Meteorológica</t>
  </si>
  <si>
    <t>Dan seguimiento a planteamientos ciudadanos en Acaxochitlán</t>
  </si>
  <si>
    <t>Anuncian rehabilitación del tramo Zacualtipán-Tehuetlán</t>
  </si>
  <si>
    <t>Destinan más de 212 mdp para obras en Metztitlán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</si>
</sst>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9" tableType="queryTable" totalsRowShown="0">
  <autoFilter ref="A1:M18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9"/>
  <sheetViews>
    <sheetView tabSelected="1" topLeftCell="A154" workbookViewId="0">
      <selection activeCell="A189" sqref="A189"/>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29.285156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46240</v>
      </c>
      <c r="B2" s="1" t="str">
        <f ca="1">IF(Información1[[#This Row],[Fecha]]='Ajuste de fechas'!$A$2,"Día actual","Día anterior")</f>
        <v>Día anterior</v>
      </c>
      <c r="C2" s="3" t="s">
        <v>28</v>
      </c>
      <c r="D2" t="s">
        <v>72</v>
      </c>
      <c r="E2" s="3" t="s">
        <v>119</v>
      </c>
      <c r="F2" s="3" t="s">
        <v>19</v>
      </c>
      <c r="G2" s="3" t="s">
        <v>71</v>
      </c>
      <c r="H2" s="3" t="s">
        <v>11</v>
      </c>
      <c r="I2" s="3" t="s">
        <v>25</v>
      </c>
      <c r="J2" s="3" t="s">
        <v>43</v>
      </c>
      <c r="K2" s="3" t="s">
        <v>73</v>
      </c>
      <c r="L2" s="3" t="s">
        <v>40</v>
      </c>
      <c r="M2">
        <v>1</v>
      </c>
    </row>
    <row r="3" spans="1:13" x14ac:dyDescent="0.25">
      <c r="A3" s="2">
        <v>46240</v>
      </c>
      <c r="B3" s="1" t="str">
        <f ca="1">IF(Información1[[#This Row],[Fecha]]='Ajuste de fechas'!$A$2,"Día actual","Día anterior")</f>
        <v>Día anterior</v>
      </c>
      <c r="C3" s="3" t="s">
        <v>8</v>
      </c>
      <c r="D3" t="s">
        <v>10</v>
      </c>
      <c r="E3" s="3" t="s">
        <v>120</v>
      </c>
      <c r="F3" s="3" t="s">
        <v>6</v>
      </c>
      <c r="G3" s="3" t="s">
        <v>71</v>
      </c>
      <c r="H3" s="3" t="s">
        <v>11</v>
      </c>
      <c r="I3" s="3" t="s">
        <v>25</v>
      </c>
      <c r="J3" s="3" t="s">
        <v>39</v>
      </c>
      <c r="K3" s="3" t="s">
        <v>9</v>
      </c>
      <c r="L3" s="3" t="s">
        <v>41</v>
      </c>
      <c r="M3">
        <v>1</v>
      </c>
    </row>
    <row r="4" spans="1:13" x14ac:dyDescent="0.25">
      <c r="A4" s="2">
        <v>46240</v>
      </c>
      <c r="B4" s="1" t="str">
        <f ca="1">IF(Información1[[#This Row],[Fecha]]='Ajuste de fechas'!$A$2,"Día actual","Día anterior")</f>
        <v>Día anterior</v>
      </c>
      <c r="C4" s="3" t="s">
        <v>8</v>
      </c>
      <c r="D4" t="s">
        <v>10</v>
      </c>
      <c r="E4" s="3" t="s">
        <v>121</v>
      </c>
      <c r="F4" s="3" t="s">
        <v>6</v>
      </c>
      <c r="G4" s="3" t="s">
        <v>71</v>
      </c>
      <c r="H4" s="3" t="s">
        <v>11</v>
      </c>
      <c r="I4" s="3" t="s">
        <v>25</v>
      </c>
      <c r="J4" s="3" t="s">
        <v>39</v>
      </c>
      <c r="K4" s="3" t="s">
        <v>9</v>
      </c>
      <c r="L4" s="3" t="s">
        <v>41</v>
      </c>
      <c r="M4">
        <v>1</v>
      </c>
    </row>
    <row r="5" spans="1:13" x14ac:dyDescent="0.25">
      <c r="A5" s="2">
        <v>46240</v>
      </c>
      <c r="B5" s="1" t="str">
        <f ca="1">IF(Información1[[#This Row],[Fecha]]='Ajuste de fechas'!$A$2,"Día actual","Día anterior")</f>
        <v>Día anterior</v>
      </c>
      <c r="C5" s="3" t="s">
        <v>8</v>
      </c>
      <c r="D5" t="s">
        <v>10</v>
      </c>
      <c r="E5" s="3" t="s">
        <v>122</v>
      </c>
      <c r="F5" s="3" t="s">
        <v>6</v>
      </c>
      <c r="G5" s="3" t="s">
        <v>71</v>
      </c>
      <c r="H5" s="3" t="s">
        <v>11</v>
      </c>
      <c r="I5" s="3" t="s">
        <v>25</v>
      </c>
      <c r="J5" s="3" t="s">
        <v>39</v>
      </c>
      <c r="K5" s="3" t="s">
        <v>9</v>
      </c>
      <c r="L5" s="3" t="s">
        <v>41</v>
      </c>
      <c r="M5">
        <v>1</v>
      </c>
    </row>
    <row r="6" spans="1:13" x14ac:dyDescent="0.25">
      <c r="A6" s="2">
        <v>46240</v>
      </c>
      <c r="B6" s="1" t="str">
        <f ca="1">IF(Información1[[#This Row],[Fecha]]='Ajuste de fechas'!$A$2,"Día actual","Día anterior")</f>
        <v>Día anterior</v>
      </c>
      <c r="C6" s="3" t="s">
        <v>28</v>
      </c>
      <c r="D6" t="s">
        <v>72</v>
      </c>
      <c r="E6" s="3" t="s">
        <v>123</v>
      </c>
      <c r="F6" s="3" t="s">
        <v>19</v>
      </c>
      <c r="G6" s="3" t="s">
        <v>124</v>
      </c>
      <c r="H6" s="3" t="s">
        <v>11</v>
      </c>
      <c r="I6" s="3" t="s">
        <v>7</v>
      </c>
      <c r="J6" s="3" t="s">
        <v>43</v>
      </c>
      <c r="K6" s="3" t="s">
        <v>73</v>
      </c>
      <c r="L6" s="3" t="s">
        <v>40</v>
      </c>
      <c r="M6">
        <v>1</v>
      </c>
    </row>
    <row r="7" spans="1:13" x14ac:dyDescent="0.25">
      <c r="A7" s="2">
        <v>46240</v>
      </c>
      <c r="B7" s="1" t="str">
        <f ca="1">IF(Información1[[#This Row],[Fecha]]='Ajuste de fechas'!$A$2,"Día actual","Día anterior")</f>
        <v>Día anterior</v>
      </c>
      <c r="C7" s="3" t="s">
        <v>28</v>
      </c>
      <c r="D7" t="s">
        <v>72</v>
      </c>
      <c r="E7" s="3" t="s">
        <v>125</v>
      </c>
      <c r="F7" s="3" t="s">
        <v>19</v>
      </c>
      <c r="G7" s="3" t="s">
        <v>124</v>
      </c>
      <c r="H7" s="3" t="s">
        <v>11</v>
      </c>
      <c r="I7" s="3" t="s">
        <v>7</v>
      </c>
      <c r="J7" s="3" t="s">
        <v>43</v>
      </c>
      <c r="K7" s="3" t="s">
        <v>73</v>
      </c>
      <c r="L7" s="3" t="s">
        <v>40</v>
      </c>
      <c r="M7">
        <v>1</v>
      </c>
    </row>
    <row r="8" spans="1:13" x14ac:dyDescent="0.25">
      <c r="A8" s="2">
        <v>46240</v>
      </c>
      <c r="B8" s="1" t="str">
        <f ca="1">IF(Información1[[#This Row],[Fecha]]='Ajuste de fechas'!$A$2,"Día actual","Día anterior")</f>
        <v>Día anterior</v>
      </c>
      <c r="C8" s="3" t="s">
        <v>28</v>
      </c>
      <c r="D8" t="s">
        <v>65</v>
      </c>
      <c r="E8" s="3" t="s">
        <v>126</v>
      </c>
      <c r="F8" s="3" t="s">
        <v>24</v>
      </c>
      <c r="G8" s="3" t="s">
        <v>127</v>
      </c>
      <c r="H8" s="3" t="s">
        <v>11</v>
      </c>
      <c r="I8" s="3" t="s">
        <v>7</v>
      </c>
      <c r="J8" s="3" t="s">
        <v>24</v>
      </c>
      <c r="K8" s="3" t="s">
        <v>66</v>
      </c>
      <c r="L8" s="3" t="s">
        <v>70</v>
      </c>
      <c r="M8">
        <v>1</v>
      </c>
    </row>
    <row r="9" spans="1:13" x14ac:dyDescent="0.25">
      <c r="A9" s="2">
        <v>46240</v>
      </c>
      <c r="B9" s="1" t="str">
        <f ca="1">IF(Información1[[#This Row],[Fecha]]='Ajuste de fechas'!$A$2,"Día actual","Día anterior")</f>
        <v>Día anterior</v>
      </c>
      <c r="C9" s="3" t="s">
        <v>8</v>
      </c>
      <c r="D9" t="s">
        <v>10</v>
      </c>
      <c r="E9" s="3" t="s">
        <v>128</v>
      </c>
      <c r="F9" s="3" t="s">
        <v>19</v>
      </c>
      <c r="G9" s="3" t="s">
        <v>32</v>
      </c>
      <c r="H9" s="3" t="s">
        <v>11</v>
      </c>
      <c r="I9" s="3" t="s">
        <v>12</v>
      </c>
      <c r="J9" s="3" t="s">
        <v>43</v>
      </c>
      <c r="K9" s="3" t="s">
        <v>9</v>
      </c>
      <c r="L9" s="3" t="s">
        <v>41</v>
      </c>
      <c r="M9">
        <v>1</v>
      </c>
    </row>
    <row r="10" spans="1:13" x14ac:dyDescent="0.25">
      <c r="A10" s="2">
        <v>46240</v>
      </c>
      <c r="B10" s="1" t="str">
        <f ca="1">IF(Información1[[#This Row],[Fecha]]='Ajuste de fechas'!$A$2,"Día actual","Día anterior")</f>
        <v>Día anterior</v>
      </c>
      <c r="C10" s="3" t="s">
        <v>8</v>
      </c>
      <c r="D10" t="s">
        <v>10</v>
      </c>
      <c r="E10" s="3" t="s">
        <v>20</v>
      </c>
      <c r="F10" s="3" t="s">
        <v>19</v>
      </c>
      <c r="G10" s="3" t="s">
        <v>32</v>
      </c>
      <c r="H10" s="3" t="s">
        <v>11</v>
      </c>
      <c r="I10" s="3" t="s">
        <v>12</v>
      </c>
      <c r="J10" s="3" t="s">
        <v>43</v>
      </c>
      <c r="K10" s="3" t="s">
        <v>14</v>
      </c>
      <c r="L10" s="3" t="s">
        <v>41</v>
      </c>
      <c r="M10">
        <v>1</v>
      </c>
    </row>
    <row r="11" spans="1:13" x14ac:dyDescent="0.25">
      <c r="A11" s="2">
        <v>46240</v>
      </c>
      <c r="B11" s="1" t="str">
        <f ca="1">IF(Información1[[#This Row],[Fecha]]='Ajuste de fechas'!$A$2,"Día actual","Día anterior")</f>
        <v>Día anterior</v>
      </c>
      <c r="C11" s="3" t="s">
        <v>8</v>
      </c>
      <c r="D11" t="s">
        <v>10</v>
      </c>
      <c r="E11" s="3" t="s">
        <v>18</v>
      </c>
      <c r="F11" s="3" t="s">
        <v>19</v>
      </c>
      <c r="G11" s="3" t="s">
        <v>32</v>
      </c>
      <c r="H11" s="3" t="s">
        <v>11</v>
      </c>
      <c r="I11" s="3" t="s">
        <v>12</v>
      </c>
      <c r="J11" s="3" t="s">
        <v>43</v>
      </c>
      <c r="K11" s="3" t="s">
        <v>14</v>
      </c>
      <c r="L11" s="3" t="s">
        <v>41</v>
      </c>
      <c r="M11">
        <v>1</v>
      </c>
    </row>
    <row r="12" spans="1:13" x14ac:dyDescent="0.25">
      <c r="A12" s="2">
        <v>46240</v>
      </c>
      <c r="B12" s="1" t="str">
        <f ca="1">IF(Información1[[#This Row],[Fecha]]='Ajuste de fechas'!$A$2,"Día actual","Día anterior")</f>
        <v>Día anterior</v>
      </c>
      <c r="C12" s="3" t="s">
        <v>8</v>
      </c>
      <c r="D12" t="s">
        <v>10</v>
      </c>
      <c r="E12" s="3" t="s">
        <v>86</v>
      </c>
      <c r="F12" s="3" t="s">
        <v>54</v>
      </c>
      <c r="G12" s="3" t="s">
        <v>32</v>
      </c>
      <c r="H12" s="3" t="s">
        <v>11</v>
      </c>
      <c r="I12" s="3" t="s">
        <v>12</v>
      </c>
      <c r="J12" s="3" t="s">
        <v>24</v>
      </c>
      <c r="K12" s="3" t="s">
        <v>14</v>
      </c>
      <c r="L12" s="3" t="s">
        <v>41</v>
      </c>
      <c r="M12">
        <v>1</v>
      </c>
    </row>
    <row r="13" spans="1:13" x14ac:dyDescent="0.25">
      <c r="A13" s="2">
        <v>46240</v>
      </c>
      <c r="B13" s="1" t="str">
        <f ca="1">IF(Información1[[#This Row],[Fecha]]='Ajuste de fechas'!$A$2,"Día actual","Día anterior")</f>
        <v>Día anterior</v>
      </c>
      <c r="C13" s="3" t="s">
        <v>8</v>
      </c>
      <c r="D13" t="s">
        <v>10</v>
      </c>
      <c r="E13" s="3" t="s">
        <v>13</v>
      </c>
      <c r="F13" s="3" t="s">
        <v>15</v>
      </c>
      <c r="G13" s="3" t="s">
        <v>32</v>
      </c>
      <c r="H13" s="3" t="s">
        <v>11</v>
      </c>
      <c r="I13" s="3" t="s">
        <v>12</v>
      </c>
      <c r="J13" s="3" t="s">
        <v>39</v>
      </c>
      <c r="K13" s="3" t="s">
        <v>14</v>
      </c>
      <c r="L13" s="3" t="s">
        <v>41</v>
      </c>
      <c r="M13">
        <v>1</v>
      </c>
    </row>
    <row r="14" spans="1:13" x14ac:dyDescent="0.25">
      <c r="A14" s="2">
        <v>46240</v>
      </c>
      <c r="B14" s="1" t="str">
        <f ca="1">IF(Información1[[#This Row],[Fecha]]='Ajuste de fechas'!$A$2,"Día actual","Día anterior")</f>
        <v>Día anterior</v>
      </c>
      <c r="C14" s="3" t="s">
        <v>8</v>
      </c>
      <c r="D14" t="s">
        <v>10</v>
      </c>
      <c r="E14" s="3" t="s">
        <v>16</v>
      </c>
      <c r="F14" s="3" t="s">
        <v>17</v>
      </c>
      <c r="G14" s="3" t="s">
        <v>32</v>
      </c>
      <c r="H14" s="3" t="s">
        <v>11</v>
      </c>
      <c r="I14" s="3" t="s">
        <v>12</v>
      </c>
      <c r="J14" s="3" t="s">
        <v>39</v>
      </c>
      <c r="K14" s="3" t="s">
        <v>14</v>
      </c>
      <c r="L14" s="3" t="s">
        <v>41</v>
      </c>
      <c r="M14">
        <v>1</v>
      </c>
    </row>
    <row r="15" spans="1:13" x14ac:dyDescent="0.25">
      <c r="A15" s="2">
        <v>46240</v>
      </c>
      <c r="B15" s="1" t="str">
        <f ca="1">IF(Información1[[#This Row],[Fecha]]='Ajuste de fechas'!$A$2,"Día actual","Día anterior")</f>
        <v>Día anterior</v>
      </c>
      <c r="C15" s="3" t="s">
        <v>8</v>
      </c>
      <c r="D15" t="s">
        <v>10</v>
      </c>
      <c r="E15" s="3" t="s">
        <v>53</v>
      </c>
      <c r="F15" s="3" t="s">
        <v>6</v>
      </c>
      <c r="G15" s="3" t="s">
        <v>32</v>
      </c>
      <c r="H15" s="3" t="s">
        <v>11</v>
      </c>
      <c r="I15" s="3" t="s">
        <v>12</v>
      </c>
      <c r="J15" s="3" t="s">
        <v>39</v>
      </c>
      <c r="K15" s="3" t="s">
        <v>14</v>
      </c>
      <c r="L15" s="3" t="s">
        <v>41</v>
      </c>
      <c r="M15">
        <v>1</v>
      </c>
    </row>
    <row r="16" spans="1:13" x14ac:dyDescent="0.25">
      <c r="A16" s="2">
        <v>46240</v>
      </c>
      <c r="B16" s="1" t="str">
        <f ca="1">IF(Información1[[#This Row],[Fecha]]='Ajuste de fechas'!$A$2,"Día actual","Día anterior")</f>
        <v>Día anterior</v>
      </c>
      <c r="C16" s="3" t="s">
        <v>8</v>
      </c>
      <c r="D16" t="s">
        <v>10</v>
      </c>
      <c r="E16" s="3" t="s">
        <v>129</v>
      </c>
      <c r="F16" s="3" t="s">
        <v>19</v>
      </c>
      <c r="G16" s="3" t="s">
        <v>32</v>
      </c>
      <c r="H16" s="3" t="s">
        <v>11</v>
      </c>
      <c r="I16" s="3" t="s">
        <v>7</v>
      </c>
      <c r="J16" s="3" t="s">
        <v>43</v>
      </c>
      <c r="K16" s="3" t="s">
        <v>14</v>
      </c>
      <c r="L16" s="3" t="s">
        <v>74</v>
      </c>
      <c r="M16">
        <v>1</v>
      </c>
    </row>
    <row r="17" spans="1:13" x14ac:dyDescent="0.25">
      <c r="A17" s="2">
        <v>46240</v>
      </c>
      <c r="B17" s="1" t="str">
        <f ca="1">IF(Información1[[#This Row],[Fecha]]='Ajuste de fechas'!$A$2,"Día actual","Día anterior")</f>
        <v>Día anterior</v>
      </c>
      <c r="C17" s="3" t="s">
        <v>8</v>
      </c>
      <c r="D17" t="s">
        <v>10</v>
      </c>
      <c r="E17" s="3" t="s">
        <v>130</v>
      </c>
      <c r="F17" s="3" t="s">
        <v>82</v>
      </c>
      <c r="G17" s="3" t="s">
        <v>114</v>
      </c>
      <c r="H17" s="3" t="s">
        <v>11</v>
      </c>
      <c r="I17" s="3" t="s">
        <v>7</v>
      </c>
      <c r="J17" s="3" t="s">
        <v>39</v>
      </c>
      <c r="K17" s="3" t="s">
        <v>9</v>
      </c>
      <c r="L17" s="3" t="s">
        <v>41</v>
      </c>
      <c r="M17">
        <v>1</v>
      </c>
    </row>
    <row r="18" spans="1:13" x14ac:dyDescent="0.25">
      <c r="A18" s="2">
        <v>46240</v>
      </c>
      <c r="B18" s="1" t="str">
        <f ca="1">IF(Información1[[#This Row],[Fecha]]='Ajuste de fechas'!$A$2,"Día actual","Día anterior")</f>
        <v>Día anterior</v>
      </c>
      <c r="C18" s="3" t="s">
        <v>67</v>
      </c>
      <c r="D18" t="s">
        <v>68</v>
      </c>
      <c r="E18" s="3" t="s">
        <v>131</v>
      </c>
      <c r="F18" s="3" t="s">
        <v>15</v>
      </c>
      <c r="G18" s="3" t="s">
        <v>132</v>
      </c>
      <c r="H18" s="3" t="s">
        <v>11</v>
      </c>
      <c r="I18" s="3" t="s">
        <v>7</v>
      </c>
      <c r="J18" s="3" t="s">
        <v>39</v>
      </c>
      <c r="K18" s="3" t="s">
        <v>69</v>
      </c>
      <c r="L18" s="3" t="s">
        <v>42</v>
      </c>
      <c r="M18">
        <v>1</v>
      </c>
    </row>
    <row r="19" spans="1:13" x14ac:dyDescent="0.25">
      <c r="A19" s="2">
        <v>46240</v>
      </c>
      <c r="B19" s="1" t="str">
        <f ca="1">IF(Información1[[#This Row],[Fecha]]='Ajuste de fechas'!$A$2,"Día actual","Día anterior")</f>
        <v>Día anterior</v>
      </c>
      <c r="C19" s="3" t="s">
        <v>8</v>
      </c>
      <c r="D19" t="s">
        <v>10</v>
      </c>
      <c r="E19" s="3" t="s">
        <v>131</v>
      </c>
      <c r="F19" s="3" t="s">
        <v>15</v>
      </c>
      <c r="G19" s="3" t="s">
        <v>132</v>
      </c>
      <c r="H19" s="3" t="s">
        <v>11</v>
      </c>
      <c r="I19" s="3" t="s">
        <v>7</v>
      </c>
      <c r="J19" s="3" t="s">
        <v>39</v>
      </c>
      <c r="K19" s="3" t="s">
        <v>14</v>
      </c>
      <c r="L19" s="3" t="s">
        <v>42</v>
      </c>
      <c r="M19">
        <v>1</v>
      </c>
    </row>
    <row r="20" spans="1:13" x14ac:dyDescent="0.25">
      <c r="A20" s="2">
        <v>46240</v>
      </c>
      <c r="B20" s="1" t="str">
        <f ca="1">IF(Información1[[#This Row],[Fecha]]='Ajuste de fechas'!$A$2,"Día actual","Día anterior")</f>
        <v>Día anterior</v>
      </c>
      <c r="C20" s="3" t="s">
        <v>28</v>
      </c>
      <c r="D20" t="s">
        <v>65</v>
      </c>
      <c r="E20" s="3" t="s">
        <v>133</v>
      </c>
      <c r="F20" s="3" t="s">
        <v>22</v>
      </c>
      <c r="G20" s="3" t="s">
        <v>87</v>
      </c>
      <c r="H20" s="3" t="s">
        <v>11</v>
      </c>
      <c r="I20" s="3" t="s">
        <v>7</v>
      </c>
      <c r="J20" s="3" t="s">
        <v>44</v>
      </c>
      <c r="K20" s="3" t="s">
        <v>66</v>
      </c>
      <c r="L20" s="3" t="s">
        <v>40</v>
      </c>
      <c r="M20">
        <v>1</v>
      </c>
    </row>
    <row r="21" spans="1:13" x14ac:dyDescent="0.25">
      <c r="A21" s="2">
        <v>46240</v>
      </c>
      <c r="B21" s="1" t="str">
        <f ca="1">IF(Información1[[#This Row],[Fecha]]='Ajuste de fechas'!$A$2,"Día actual","Día anterior")</f>
        <v>Día anterior</v>
      </c>
      <c r="C21" s="3" t="s">
        <v>28</v>
      </c>
      <c r="D21" t="s">
        <v>65</v>
      </c>
      <c r="E21" s="3" t="s">
        <v>134</v>
      </c>
      <c r="F21" s="3" t="s">
        <v>22</v>
      </c>
      <c r="G21" s="3" t="s">
        <v>87</v>
      </c>
      <c r="H21" s="3" t="s">
        <v>11</v>
      </c>
      <c r="I21" s="3" t="s">
        <v>7</v>
      </c>
      <c r="J21" s="3" t="s">
        <v>44</v>
      </c>
      <c r="K21" s="3" t="s">
        <v>66</v>
      </c>
      <c r="L21" s="3" t="s">
        <v>40</v>
      </c>
      <c r="M21">
        <v>1</v>
      </c>
    </row>
    <row r="22" spans="1:13" x14ac:dyDescent="0.25">
      <c r="A22" s="2">
        <v>46240</v>
      </c>
      <c r="B22" s="1" t="str">
        <f ca="1">IF(Información1[[#This Row],[Fecha]]='Ajuste de fechas'!$A$2,"Día actual","Día anterior")</f>
        <v>Día anterior</v>
      </c>
      <c r="C22" s="3" t="s">
        <v>8</v>
      </c>
      <c r="D22" t="s">
        <v>10</v>
      </c>
      <c r="E22" s="3" t="s">
        <v>117</v>
      </c>
      <c r="F22" s="3" t="s">
        <v>23</v>
      </c>
      <c r="G22" s="3" t="s">
        <v>112</v>
      </c>
      <c r="H22" s="3" t="s">
        <v>11</v>
      </c>
      <c r="I22" s="3" t="s">
        <v>7</v>
      </c>
      <c r="J22" s="3" t="s">
        <v>39</v>
      </c>
      <c r="K22" s="3" t="s">
        <v>14</v>
      </c>
      <c r="L22" s="3" t="s">
        <v>42</v>
      </c>
      <c r="M22">
        <v>1</v>
      </c>
    </row>
    <row r="23" spans="1:13" x14ac:dyDescent="0.25">
      <c r="A23" s="2">
        <v>46240</v>
      </c>
      <c r="B23" s="1" t="str">
        <f ca="1">IF(Información1[[#This Row],[Fecha]]='Ajuste de fechas'!$A$2,"Día actual","Día anterior")</f>
        <v>Día anterior</v>
      </c>
      <c r="C23" s="3" t="s">
        <v>28</v>
      </c>
      <c r="D23" t="s">
        <v>72</v>
      </c>
      <c r="E23" s="3" t="s">
        <v>135</v>
      </c>
      <c r="F23" s="3" t="s">
        <v>92</v>
      </c>
      <c r="G23" s="3" t="s">
        <v>136</v>
      </c>
      <c r="H23" s="3" t="s">
        <v>11</v>
      </c>
      <c r="I23" s="3" t="s">
        <v>7</v>
      </c>
      <c r="J23" s="3" t="s">
        <v>39</v>
      </c>
      <c r="K23" s="3" t="s">
        <v>73</v>
      </c>
      <c r="L23" s="3" t="s">
        <v>40</v>
      </c>
      <c r="M23">
        <v>1</v>
      </c>
    </row>
    <row r="24" spans="1:13" x14ac:dyDescent="0.25">
      <c r="A24" s="2">
        <v>46240</v>
      </c>
      <c r="B24" s="1" t="str">
        <f ca="1">IF(Información1[[#This Row],[Fecha]]='Ajuste de fechas'!$A$2,"Día actual","Día anterior")</f>
        <v>Día anterior</v>
      </c>
      <c r="C24" s="3" t="s">
        <v>28</v>
      </c>
      <c r="D24" t="s">
        <v>65</v>
      </c>
      <c r="E24" s="3" t="s">
        <v>137</v>
      </c>
      <c r="F24" s="3" t="s">
        <v>19</v>
      </c>
      <c r="G24" s="3" t="s">
        <v>138</v>
      </c>
      <c r="H24" s="3" t="s">
        <v>11</v>
      </c>
      <c r="I24" s="3" t="s">
        <v>7</v>
      </c>
      <c r="J24" s="3" t="s">
        <v>43</v>
      </c>
      <c r="K24" s="3" t="s">
        <v>66</v>
      </c>
      <c r="L24" s="3" t="s">
        <v>40</v>
      </c>
      <c r="M24">
        <v>1</v>
      </c>
    </row>
    <row r="25" spans="1:13" x14ac:dyDescent="0.25">
      <c r="A25" s="2">
        <v>46240</v>
      </c>
      <c r="B25" s="1" t="str">
        <f ca="1">IF(Información1[[#This Row],[Fecha]]='Ajuste de fechas'!$A$2,"Día actual","Día anterior")</f>
        <v>Día anterior</v>
      </c>
      <c r="C25" s="3" t="s">
        <v>28</v>
      </c>
      <c r="D25" t="s">
        <v>72</v>
      </c>
      <c r="E25" s="3" t="s">
        <v>139</v>
      </c>
      <c r="F25" s="3" t="s">
        <v>31</v>
      </c>
      <c r="G25" s="3" t="s">
        <v>98</v>
      </c>
      <c r="H25" s="3" t="s">
        <v>11</v>
      </c>
      <c r="I25" s="3" t="s">
        <v>7</v>
      </c>
      <c r="J25" s="3" t="s">
        <v>39</v>
      </c>
      <c r="K25" s="3" t="s">
        <v>73</v>
      </c>
      <c r="L25" s="3" t="s">
        <v>40</v>
      </c>
      <c r="M25">
        <v>1</v>
      </c>
    </row>
    <row r="26" spans="1:13" x14ac:dyDescent="0.25">
      <c r="A26" s="2">
        <v>46240</v>
      </c>
      <c r="B26" s="1" t="str">
        <f ca="1">IF(Información1[[#This Row],[Fecha]]='Ajuste de fechas'!$A$2,"Día actual","Día anterior")</f>
        <v>Día anterior</v>
      </c>
      <c r="C26" s="3" t="s">
        <v>8</v>
      </c>
      <c r="D26" t="s">
        <v>10</v>
      </c>
      <c r="E26" s="3" t="s">
        <v>140</v>
      </c>
      <c r="F26" s="3" t="s">
        <v>97</v>
      </c>
      <c r="G26" s="3" t="s">
        <v>101</v>
      </c>
      <c r="H26" s="3" t="s">
        <v>11</v>
      </c>
      <c r="I26" s="3" t="s">
        <v>12</v>
      </c>
      <c r="J26" s="3" t="s">
        <v>39</v>
      </c>
      <c r="K26" s="3" t="s">
        <v>14</v>
      </c>
      <c r="L26" s="3" t="s">
        <v>95</v>
      </c>
      <c r="M26">
        <v>1</v>
      </c>
    </row>
    <row r="27" spans="1:13" x14ac:dyDescent="0.25">
      <c r="A27" s="2">
        <v>46240</v>
      </c>
      <c r="B27" s="1" t="str">
        <f ca="1">IF(Información1[[#This Row],[Fecha]]='Ajuste de fechas'!$A$2,"Día actual","Día anterior")</f>
        <v>Día anterior</v>
      </c>
      <c r="C27" s="3" t="s">
        <v>28</v>
      </c>
      <c r="D27" t="s">
        <v>65</v>
      </c>
      <c r="E27" s="3" t="s">
        <v>141</v>
      </c>
      <c r="F27" s="3" t="s">
        <v>142</v>
      </c>
      <c r="G27" s="3" t="s">
        <v>143</v>
      </c>
      <c r="H27" s="3" t="s">
        <v>11</v>
      </c>
      <c r="I27" s="3" t="s">
        <v>7</v>
      </c>
      <c r="J27" s="3" t="s">
        <v>144</v>
      </c>
      <c r="K27" s="3" t="s">
        <v>66</v>
      </c>
      <c r="L27" s="3" t="s">
        <v>40</v>
      </c>
      <c r="M27">
        <v>1</v>
      </c>
    </row>
    <row r="28" spans="1:13" x14ac:dyDescent="0.25">
      <c r="A28" s="2">
        <v>46240</v>
      </c>
      <c r="B28" s="1" t="str">
        <f ca="1">IF(Información1[[#This Row],[Fecha]]='Ajuste de fechas'!$A$2,"Día actual","Día anterior")</f>
        <v>Día anterior</v>
      </c>
      <c r="C28" s="3" t="s">
        <v>28</v>
      </c>
      <c r="D28" t="s">
        <v>65</v>
      </c>
      <c r="E28" s="3" t="s">
        <v>145</v>
      </c>
      <c r="F28" s="3" t="s">
        <v>142</v>
      </c>
      <c r="G28" s="3" t="s">
        <v>143</v>
      </c>
      <c r="H28" s="3" t="s">
        <v>11</v>
      </c>
      <c r="I28" s="3" t="s">
        <v>7</v>
      </c>
      <c r="J28" s="3" t="s">
        <v>144</v>
      </c>
      <c r="K28" s="3" t="s">
        <v>66</v>
      </c>
      <c r="L28" s="3" t="s">
        <v>41</v>
      </c>
      <c r="M28">
        <v>1</v>
      </c>
    </row>
    <row r="29" spans="1:13" x14ac:dyDescent="0.25">
      <c r="A29" s="2">
        <v>46240</v>
      </c>
      <c r="B29" s="1" t="str">
        <f ca="1">IF(Información1[[#This Row],[Fecha]]='Ajuste de fechas'!$A$2,"Día actual","Día anterior")</f>
        <v>Día anterior</v>
      </c>
      <c r="C29" s="3" t="s">
        <v>28</v>
      </c>
      <c r="D29" t="s">
        <v>72</v>
      </c>
      <c r="E29" s="3" t="s">
        <v>146</v>
      </c>
      <c r="F29" s="3" t="s">
        <v>80</v>
      </c>
      <c r="G29" s="3" t="s">
        <v>99</v>
      </c>
      <c r="H29" s="3" t="s">
        <v>11</v>
      </c>
      <c r="I29" s="3" t="s">
        <v>7</v>
      </c>
      <c r="J29" s="3" t="s">
        <v>39</v>
      </c>
      <c r="K29" s="3" t="s">
        <v>73</v>
      </c>
      <c r="L29" s="3" t="s">
        <v>40</v>
      </c>
      <c r="M29">
        <v>1</v>
      </c>
    </row>
    <row r="30" spans="1:13" x14ac:dyDescent="0.25">
      <c r="A30" s="2">
        <v>46240</v>
      </c>
      <c r="B30" s="1" t="str">
        <f ca="1">IF(Información1[[#This Row],[Fecha]]='Ajuste de fechas'!$A$2,"Día actual","Día anterior")</f>
        <v>Día anterior</v>
      </c>
      <c r="C30" s="3" t="s">
        <v>28</v>
      </c>
      <c r="D30" t="s">
        <v>72</v>
      </c>
      <c r="E30" s="3" t="s">
        <v>147</v>
      </c>
      <c r="F30" s="3" t="s">
        <v>148</v>
      </c>
      <c r="G30" s="3" t="s">
        <v>149</v>
      </c>
      <c r="H30" s="3" t="s">
        <v>11</v>
      </c>
      <c r="I30" s="3" t="s">
        <v>7</v>
      </c>
      <c r="J30" s="3" t="s">
        <v>39</v>
      </c>
      <c r="K30" s="3" t="s">
        <v>73</v>
      </c>
      <c r="L30" s="3" t="s">
        <v>40</v>
      </c>
      <c r="M30">
        <v>1</v>
      </c>
    </row>
    <row r="31" spans="1:13" x14ac:dyDescent="0.25">
      <c r="A31" s="2">
        <v>46240</v>
      </c>
      <c r="B31" s="1" t="str">
        <f ca="1">IF(Información1[[#This Row],[Fecha]]='Ajuste de fechas'!$A$2,"Día actual","Día anterior")</f>
        <v>Día anterior</v>
      </c>
      <c r="C31" s="3" t="s">
        <v>8</v>
      </c>
      <c r="D31" t="s">
        <v>10</v>
      </c>
      <c r="E31" s="3" t="s">
        <v>150</v>
      </c>
      <c r="F31" s="3" t="s">
        <v>148</v>
      </c>
      <c r="G31" s="3" t="s">
        <v>149</v>
      </c>
      <c r="H31" s="3" t="s">
        <v>11</v>
      </c>
      <c r="I31" s="3" t="s">
        <v>7</v>
      </c>
      <c r="J31" s="3" t="s">
        <v>39</v>
      </c>
      <c r="K31" s="3" t="s">
        <v>14</v>
      </c>
      <c r="L31" s="3" t="s">
        <v>42</v>
      </c>
      <c r="M31">
        <v>1</v>
      </c>
    </row>
    <row r="32" spans="1:13" x14ac:dyDescent="0.25">
      <c r="A32" s="2">
        <v>46240</v>
      </c>
      <c r="B32" s="1" t="str">
        <f ca="1">IF(Información1[[#This Row],[Fecha]]='Ajuste de fechas'!$A$2,"Día actual","Día anterior")</f>
        <v>Día anterior</v>
      </c>
      <c r="C32" s="3" t="s">
        <v>28</v>
      </c>
      <c r="D32" t="s">
        <v>65</v>
      </c>
      <c r="E32" s="3" t="s">
        <v>151</v>
      </c>
      <c r="F32" s="3" t="s">
        <v>148</v>
      </c>
      <c r="G32" s="3" t="s">
        <v>149</v>
      </c>
      <c r="H32" s="3" t="s">
        <v>11</v>
      </c>
      <c r="I32" s="3" t="s">
        <v>7</v>
      </c>
      <c r="J32" s="3" t="s">
        <v>39</v>
      </c>
      <c r="K32" s="3" t="s">
        <v>66</v>
      </c>
      <c r="L32" s="3" t="s">
        <v>42</v>
      </c>
      <c r="M32">
        <v>1</v>
      </c>
    </row>
    <row r="33" spans="1:13" x14ac:dyDescent="0.25">
      <c r="A33" s="2">
        <v>46240</v>
      </c>
      <c r="B33" s="1" t="str">
        <f ca="1">IF(Información1[[#This Row],[Fecha]]='Ajuste de fechas'!$A$2,"Día actual","Día anterior")</f>
        <v>Día anterior</v>
      </c>
      <c r="C33" s="3" t="s">
        <v>28</v>
      </c>
      <c r="D33" t="s">
        <v>72</v>
      </c>
      <c r="E33" s="3" t="s">
        <v>152</v>
      </c>
      <c r="F33" s="3" t="s">
        <v>21</v>
      </c>
      <c r="G33" s="3" t="s">
        <v>153</v>
      </c>
      <c r="H33" s="3" t="s">
        <v>11</v>
      </c>
      <c r="I33" s="3" t="s">
        <v>7</v>
      </c>
      <c r="J33" s="3" t="s">
        <v>39</v>
      </c>
      <c r="K33" s="3" t="s">
        <v>73</v>
      </c>
      <c r="L33" s="3" t="s">
        <v>40</v>
      </c>
      <c r="M33">
        <v>1</v>
      </c>
    </row>
    <row r="34" spans="1:13" x14ac:dyDescent="0.25">
      <c r="A34" s="2">
        <v>46240</v>
      </c>
      <c r="B34" s="1" t="str">
        <f ca="1">IF(Información1[[#This Row],[Fecha]]='Ajuste de fechas'!$A$2,"Día actual","Día anterior")</f>
        <v>Día anterior</v>
      </c>
      <c r="C34" s="3" t="s">
        <v>8</v>
      </c>
      <c r="D34" t="s">
        <v>10</v>
      </c>
      <c r="E34" s="3" t="s">
        <v>154</v>
      </c>
      <c r="F34" s="3" t="s">
        <v>6</v>
      </c>
      <c r="G34" s="3" t="s">
        <v>155</v>
      </c>
      <c r="H34" s="3" t="s">
        <v>11</v>
      </c>
      <c r="I34" s="3" t="s">
        <v>25</v>
      </c>
      <c r="J34" s="3" t="s">
        <v>39</v>
      </c>
      <c r="K34" s="3" t="s">
        <v>9</v>
      </c>
      <c r="L34" s="3" t="s">
        <v>41</v>
      </c>
      <c r="M34">
        <v>1</v>
      </c>
    </row>
    <row r="35" spans="1:13" x14ac:dyDescent="0.25">
      <c r="A35" s="2">
        <v>46240</v>
      </c>
      <c r="B35" s="1" t="str">
        <f ca="1">IF(Información1[[#This Row],[Fecha]]='Ajuste de fechas'!$A$2,"Día actual","Día anterior")</f>
        <v>Día anterior</v>
      </c>
      <c r="C35" s="3" t="s">
        <v>28</v>
      </c>
      <c r="D35" t="s">
        <v>72</v>
      </c>
      <c r="E35" s="3" t="s">
        <v>156</v>
      </c>
      <c r="F35" s="3" t="s">
        <v>81</v>
      </c>
      <c r="G35" s="3" t="s">
        <v>157</v>
      </c>
      <c r="H35" s="3" t="s">
        <v>11</v>
      </c>
      <c r="I35" s="3" t="s">
        <v>7</v>
      </c>
      <c r="J35" s="3" t="s">
        <v>39</v>
      </c>
      <c r="K35" s="3" t="s">
        <v>73</v>
      </c>
      <c r="L35" s="3" t="s">
        <v>40</v>
      </c>
      <c r="M35">
        <v>1</v>
      </c>
    </row>
    <row r="36" spans="1:13" x14ac:dyDescent="0.25">
      <c r="A36" s="2">
        <v>46240</v>
      </c>
      <c r="B36" s="1" t="str">
        <f ca="1">IF(Información1[[#This Row],[Fecha]]='Ajuste de fechas'!$A$2,"Día actual","Día anterior")</f>
        <v>Día anterior</v>
      </c>
      <c r="C36" s="3" t="s">
        <v>28</v>
      </c>
      <c r="D36" t="s">
        <v>65</v>
      </c>
      <c r="E36" s="3" t="s">
        <v>158</v>
      </c>
      <c r="F36" s="3" t="s">
        <v>19</v>
      </c>
      <c r="G36" s="3" t="s">
        <v>159</v>
      </c>
      <c r="H36" s="3" t="s">
        <v>11</v>
      </c>
      <c r="I36" s="3" t="s">
        <v>25</v>
      </c>
      <c r="J36" s="3" t="s">
        <v>43</v>
      </c>
      <c r="K36" s="3" t="s">
        <v>66</v>
      </c>
      <c r="L36" s="3" t="s">
        <v>41</v>
      </c>
      <c r="M36">
        <v>1</v>
      </c>
    </row>
    <row r="37" spans="1:13" x14ac:dyDescent="0.25">
      <c r="A37" s="2">
        <v>46240</v>
      </c>
      <c r="B37" s="1" t="str">
        <f ca="1">IF(Información1[[#This Row],[Fecha]]='Ajuste de fechas'!$A$2,"Día actual","Día anterior")</f>
        <v>Día anterior</v>
      </c>
      <c r="C37" s="3" t="s">
        <v>28</v>
      </c>
      <c r="D37" t="s">
        <v>72</v>
      </c>
      <c r="E37" s="3" t="s">
        <v>160</v>
      </c>
      <c r="F37" s="3" t="s">
        <v>111</v>
      </c>
      <c r="G37" s="3" t="s">
        <v>161</v>
      </c>
      <c r="H37" s="3" t="s">
        <v>11</v>
      </c>
      <c r="I37" s="3" t="s">
        <v>7</v>
      </c>
      <c r="J37" s="3" t="s">
        <v>24</v>
      </c>
      <c r="K37" s="3" t="s">
        <v>73</v>
      </c>
      <c r="L37" s="3" t="s">
        <v>40</v>
      </c>
      <c r="M37">
        <v>1</v>
      </c>
    </row>
    <row r="38" spans="1:13" x14ac:dyDescent="0.25">
      <c r="A38" s="2">
        <v>46240</v>
      </c>
      <c r="B38" s="1" t="str">
        <f ca="1">IF(Información1[[#This Row],[Fecha]]='Ajuste de fechas'!$A$2,"Día actual","Día anterior")</f>
        <v>Día anterior</v>
      </c>
      <c r="C38" s="3" t="s">
        <v>67</v>
      </c>
      <c r="D38" t="s">
        <v>68</v>
      </c>
      <c r="E38" s="3" t="s">
        <v>162</v>
      </c>
      <c r="F38" s="3" t="s">
        <v>78</v>
      </c>
      <c r="G38" s="3" t="s">
        <v>163</v>
      </c>
      <c r="H38" s="3" t="s">
        <v>11</v>
      </c>
      <c r="I38" s="3" t="s">
        <v>7</v>
      </c>
      <c r="J38" s="3" t="s">
        <v>39</v>
      </c>
      <c r="K38" s="3" t="s">
        <v>69</v>
      </c>
      <c r="L38" s="3" t="s">
        <v>42</v>
      </c>
      <c r="M38">
        <v>1</v>
      </c>
    </row>
    <row r="39" spans="1:13" x14ac:dyDescent="0.25">
      <c r="A39" s="2">
        <v>46240</v>
      </c>
      <c r="B39" s="1" t="str">
        <f ca="1">IF(Información1[[#This Row],[Fecha]]='Ajuste de fechas'!$A$2,"Día actual","Día anterior")</f>
        <v>Día anterior</v>
      </c>
      <c r="C39" s="3" t="s">
        <v>28</v>
      </c>
      <c r="D39" t="s">
        <v>72</v>
      </c>
      <c r="E39" s="3" t="s">
        <v>164</v>
      </c>
      <c r="F39" s="3" t="s">
        <v>21</v>
      </c>
      <c r="G39" s="3" t="s">
        <v>163</v>
      </c>
      <c r="H39" s="3" t="s">
        <v>11</v>
      </c>
      <c r="I39" s="3" t="s">
        <v>7</v>
      </c>
      <c r="J39" s="3" t="s">
        <v>39</v>
      </c>
      <c r="K39" s="3" t="s">
        <v>73</v>
      </c>
      <c r="L39" s="3" t="s">
        <v>40</v>
      </c>
      <c r="M39">
        <v>1</v>
      </c>
    </row>
    <row r="40" spans="1:13" x14ac:dyDescent="0.25">
      <c r="A40" s="2">
        <v>46240</v>
      </c>
      <c r="B40" s="1" t="str">
        <f ca="1">IF(Información1[[#This Row],[Fecha]]='Ajuste de fechas'!$A$2,"Día actual","Día anterior")</f>
        <v>Día anterior</v>
      </c>
      <c r="C40" s="3" t="s">
        <v>28</v>
      </c>
      <c r="D40" t="s">
        <v>65</v>
      </c>
      <c r="E40" s="3" t="s">
        <v>165</v>
      </c>
      <c r="F40" s="3" t="s">
        <v>24</v>
      </c>
      <c r="G40" s="3" t="s">
        <v>93</v>
      </c>
      <c r="H40" s="3" t="s">
        <v>11</v>
      </c>
      <c r="I40" s="3" t="s">
        <v>25</v>
      </c>
      <c r="J40" s="3" t="s">
        <v>24</v>
      </c>
      <c r="K40" s="3" t="s">
        <v>66</v>
      </c>
      <c r="L40" s="3" t="s">
        <v>40</v>
      </c>
      <c r="M40">
        <v>1</v>
      </c>
    </row>
    <row r="41" spans="1:13" x14ac:dyDescent="0.25">
      <c r="A41" s="2">
        <v>46240</v>
      </c>
      <c r="B41" s="1" t="str">
        <f ca="1">IF(Información1[[#This Row],[Fecha]]='Ajuste de fechas'!$A$2,"Día actual","Día anterior")</f>
        <v>Día anterior</v>
      </c>
      <c r="C41" s="3" t="s">
        <v>28</v>
      </c>
      <c r="D41" t="s">
        <v>65</v>
      </c>
      <c r="E41" s="3" t="s">
        <v>166</v>
      </c>
      <c r="F41" s="3" t="s">
        <v>19</v>
      </c>
      <c r="G41" s="3" t="s">
        <v>93</v>
      </c>
      <c r="H41" s="3" t="s">
        <v>11</v>
      </c>
      <c r="I41" s="3" t="s">
        <v>25</v>
      </c>
      <c r="J41" s="3" t="s">
        <v>43</v>
      </c>
      <c r="K41" s="3" t="s">
        <v>66</v>
      </c>
      <c r="L41" s="3" t="s">
        <v>40</v>
      </c>
      <c r="M41">
        <v>1</v>
      </c>
    </row>
    <row r="42" spans="1:13" x14ac:dyDescent="0.25">
      <c r="A42" s="2">
        <v>46240</v>
      </c>
      <c r="B42" s="1" t="str">
        <f ca="1">IF(Información1[[#This Row],[Fecha]]='Ajuste de fechas'!$A$2,"Día actual","Día anterior")</f>
        <v>Día anterior</v>
      </c>
      <c r="C42" s="3" t="s">
        <v>28</v>
      </c>
      <c r="D42" t="s">
        <v>65</v>
      </c>
      <c r="E42" s="3" t="s">
        <v>167</v>
      </c>
      <c r="F42" s="3" t="s">
        <v>24</v>
      </c>
      <c r="G42" s="3" t="s">
        <v>88</v>
      </c>
      <c r="H42" s="3" t="s">
        <v>11</v>
      </c>
      <c r="I42" s="3" t="s">
        <v>7</v>
      </c>
      <c r="J42" s="3" t="s">
        <v>24</v>
      </c>
      <c r="K42" s="3" t="s">
        <v>66</v>
      </c>
      <c r="L42" s="3" t="s">
        <v>40</v>
      </c>
      <c r="M42">
        <v>1</v>
      </c>
    </row>
    <row r="43" spans="1:13" x14ac:dyDescent="0.25">
      <c r="A43" s="2">
        <v>46240</v>
      </c>
      <c r="B43" s="1" t="str">
        <f ca="1">IF(Información1[[#This Row],[Fecha]]='Ajuste de fechas'!$A$2,"Día actual","Día anterior")</f>
        <v>Día anterior</v>
      </c>
      <c r="C43" s="3" t="s">
        <v>8</v>
      </c>
      <c r="D43" t="s">
        <v>10</v>
      </c>
      <c r="E43" s="3" t="s">
        <v>168</v>
      </c>
      <c r="F43" s="3" t="s">
        <v>19</v>
      </c>
      <c r="G43" s="3" t="s">
        <v>169</v>
      </c>
      <c r="H43" s="3" t="s">
        <v>11</v>
      </c>
      <c r="I43" s="3" t="s">
        <v>7</v>
      </c>
      <c r="J43" s="3" t="s">
        <v>43</v>
      </c>
      <c r="K43" s="3" t="s">
        <v>9</v>
      </c>
      <c r="L43" s="3" t="s">
        <v>41</v>
      </c>
      <c r="M43">
        <v>1</v>
      </c>
    </row>
    <row r="44" spans="1:13" x14ac:dyDescent="0.25">
      <c r="A44" s="2">
        <v>46240</v>
      </c>
      <c r="B44" s="1" t="str">
        <f ca="1">IF(Información1[[#This Row],[Fecha]]='Ajuste de fechas'!$A$2,"Día actual","Día anterior")</f>
        <v>Día anterior</v>
      </c>
      <c r="C44" s="3" t="s">
        <v>28</v>
      </c>
      <c r="D44" t="s">
        <v>72</v>
      </c>
      <c r="E44" s="3" t="s">
        <v>170</v>
      </c>
      <c r="F44" s="3" t="s">
        <v>24</v>
      </c>
      <c r="G44" s="3" t="s">
        <v>171</v>
      </c>
      <c r="H44" s="3" t="s">
        <v>11</v>
      </c>
      <c r="I44" s="3" t="s">
        <v>7</v>
      </c>
      <c r="J44" s="3" t="s">
        <v>24</v>
      </c>
      <c r="K44" s="3" t="s">
        <v>73</v>
      </c>
      <c r="L44" s="3" t="s">
        <v>40</v>
      </c>
      <c r="M44">
        <v>1</v>
      </c>
    </row>
    <row r="45" spans="1:13" x14ac:dyDescent="0.25">
      <c r="A45" s="2">
        <v>46240</v>
      </c>
      <c r="B45" s="1" t="str">
        <f ca="1">IF(Información1[[#This Row],[Fecha]]='Ajuste de fechas'!$A$2,"Día actual","Día anterior")</f>
        <v>Día anterior</v>
      </c>
      <c r="C45" s="3" t="s">
        <v>28</v>
      </c>
      <c r="D45" t="s">
        <v>72</v>
      </c>
      <c r="E45" s="3" t="s">
        <v>172</v>
      </c>
      <c r="F45" s="3" t="s">
        <v>24</v>
      </c>
      <c r="G45" s="3" t="s">
        <v>96</v>
      </c>
      <c r="H45" s="3" t="s">
        <v>11</v>
      </c>
      <c r="I45" s="3" t="s">
        <v>7</v>
      </c>
      <c r="J45" s="3" t="s">
        <v>24</v>
      </c>
      <c r="K45" s="3" t="s">
        <v>73</v>
      </c>
      <c r="L45" s="3" t="s">
        <v>40</v>
      </c>
      <c r="M45">
        <v>1</v>
      </c>
    </row>
    <row r="46" spans="1:13" x14ac:dyDescent="0.25">
      <c r="A46" s="2">
        <v>46240</v>
      </c>
      <c r="B46" s="1" t="str">
        <f ca="1">IF(Información1[[#This Row],[Fecha]]='Ajuste de fechas'!$A$2,"Día actual","Día anterior")</f>
        <v>Día anterior</v>
      </c>
      <c r="C46" s="3" t="s">
        <v>28</v>
      </c>
      <c r="D46" t="s">
        <v>65</v>
      </c>
      <c r="E46" s="3" t="s">
        <v>173</v>
      </c>
      <c r="F46" s="3" t="s">
        <v>174</v>
      </c>
      <c r="G46" s="3" t="s">
        <v>175</v>
      </c>
      <c r="H46" s="3" t="s">
        <v>11</v>
      </c>
      <c r="I46" s="3" t="s">
        <v>7</v>
      </c>
      <c r="J46" s="3" t="s">
        <v>24</v>
      </c>
      <c r="K46" s="3" t="s">
        <v>66</v>
      </c>
      <c r="L46" s="3" t="s">
        <v>40</v>
      </c>
      <c r="M46">
        <v>1</v>
      </c>
    </row>
    <row r="47" spans="1:13" x14ac:dyDescent="0.25">
      <c r="A47" s="2">
        <v>46240</v>
      </c>
      <c r="B47" s="1" t="str">
        <f ca="1">IF(Información1[[#This Row],[Fecha]]='Ajuste de fechas'!$A$2,"Día actual","Día anterior")</f>
        <v>Día anterior</v>
      </c>
      <c r="C47" s="3" t="s">
        <v>8</v>
      </c>
      <c r="D47" t="s">
        <v>10</v>
      </c>
      <c r="E47" s="3" t="s">
        <v>176</v>
      </c>
      <c r="F47" s="3" t="s">
        <v>19</v>
      </c>
      <c r="G47" s="3" t="s">
        <v>177</v>
      </c>
      <c r="H47" s="3" t="s">
        <v>11</v>
      </c>
      <c r="I47" s="3" t="s">
        <v>7</v>
      </c>
      <c r="J47" s="3" t="s">
        <v>43</v>
      </c>
      <c r="K47" s="3" t="s">
        <v>14</v>
      </c>
      <c r="L47" s="3" t="s">
        <v>70</v>
      </c>
      <c r="M47">
        <v>1</v>
      </c>
    </row>
    <row r="48" spans="1:13" x14ac:dyDescent="0.25">
      <c r="A48" s="2">
        <v>46240</v>
      </c>
      <c r="B48" s="1" t="str">
        <f ca="1">IF(Información1[[#This Row],[Fecha]]='Ajuste de fechas'!$A$2,"Día actual","Día anterior")</f>
        <v>Día anterior</v>
      </c>
      <c r="C48" s="3" t="s">
        <v>28</v>
      </c>
      <c r="D48" t="s">
        <v>72</v>
      </c>
      <c r="E48" s="3" t="s">
        <v>178</v>
      </c>
      <c r="F48" s="3" t="s">
        <v>19</v>
      </c>
      <c r="G48" s="3" t="s">
        <v>116</v>
      </c>
      <c r="H48" s="3" t="s">
        <v>11</v>
      </c>
      <c r="I48" s="3" t="s">
        <v>25</v>
      </c>
      <c r="J48" s="3" t="s">
        <v>43</v>
      </c>
      <c r="K48" s="3" t="s">
        <v>73</v>
      </c>
      <c r="L48" s="3" t="s">
        <v>40</v>
      </c>
      <c r="M48">
        <v>1</v>
      </c>
    </row>
    <row r="49" spans="1:13" x14ac:dyDescent="0.25">
      <c r="A49" s="2">
        <v>46240</v>
      </c>
      <c r="B49" s="1" t="str">
        <f ca="1">IF(Información1[[#This Row],[Fecha]]='Ajuste de fechas'!$A$2,"Día actual","Día anterior")</f>
        <v>Día anterior</v>
      </c>
      <c r="C49" s="3" t="s">
        <v>67</v>
      </c>
      <c r="D49" t="s">
        <v>68</v>
      </c>
      <c r="E49" s="3" t="s">
        <v>179</v>
      </c>
      <c r="F49" s="3" t="s">
        <v>26</v>
      </c>
      <c r="G49" s="3" t="s">
        <v>180</v>
      </c>
      <c r="H49" s="3" t="s">
        <v>11</v>
      </c>
      <c r="I49" s="3" t="s">
        <v>7</v>
      </c>
      <c r="J49" s="3" t="s">
        <v>39</v>
      </c>
      <c r="K49" s="3" t="s">
        <v>69</v>
      </c>
      <c r="L49" s="3" t="s">
        <v>42</v>
      </c>
      <c r="M49">
        <v>1</v>
      </c>
    </row>
    <row r="50" spans="1:13" x14ac:dyDescent="0.25">
      <c r="A50" s="2">
        <v>46240</v>
      </c>
      <c r="B50" s="1" t="str">
        <f ca="1">IF(Información1[[#This Row],[Fecha]]='Ajuste de fechas'!$A$2,"Día actual","Día anterior")</f>
        <v>Día anterior</v>
      </c>
      <c r="C50" s="3" t="s">
        <v>28</v>
      </c>
      <c r="D50" t="s">
        <v>72</v>
      </c>
      <c r="E50" s="3" t="s">
        <v>179</v>
      </c>
      <c r="F50" s="3" t="s">
        <v>26</v>
      </c>
      <c r="G50" s="3" t="s">
        <v>180</v>
      </c>
      <c r="H50" s="3" t="s">
        <v>11</v>
      </c>
      <c r="I50" s="3" t="s">
        <v>7</v>
      </c>
      <c r="J50" s="3" t="s">
        <v>39</v>
      </c>
      <c r="K50" s="3" t="s">
        <v>73</v>
      </c>
      <c r="L50" s="3" t="s">
        <v>42</v>
      </c>
      <c r="M50">
        <v>1</v>
      </c>
    </row>
    <row r="51" spans="1:13" x14ac:dyDescent="0.25">
      <c r="A51" s="2">
        <v>46240</v>
      </c>
      <c r="B51" s="1" t="str">
        <f ca="1">IF(Información1[[#This Row],[Fecha]]='Ajuste de fechas'!$A$2,"Día actual","Día anterior")</f>
        <v>Día anterior</v>
      </c>
      <c r="C51" s="3" t="s">
        <v>8</v>
      </c>
      <c r="D51" t="s">
        <v>10</v>
      </c>
      <c r="E51" s="3" t="s">
        <v>181</v>
      </c>
      <c r="F51" s="3" t="s">
        <v>26</v>
      </c>
      <c r="G51" s="3" t="s">
        <v>180</v>
      </c>
      <c r="H51" s="3" t="s">
        <v>11</v>
      </c>
      <c r="I51" s="3" t="s">
        <v>7</v>
      </c>
      <c r="J51" s="3" t="s">
        <v>39</v>
      </c>
      <c r="K51" s="3" t="s">
        <v>14</v>
      </c>
      <c r="L51" s="3" t="s">
        <v>42</v>
      </c>
      <c r="M51">
        <v>1</v>
      </c>
    </row>
    <row r="52" spans="1:13" x14ac:dyDescent="0.25">
      <c r="A52" s="2">
        <v>46240</v>
      </c>
      <c r="B52" s="1" t="str">
        <f ca="1">IF(Información1[[#This Row],[Fecha]]='Ajuste de fechas'!$A$2,"Día actual","Día anterior")</f>
        <v>Día anterior</v>
      </c>
      <c r="C52" s="3" t="s">
        <v>75</v>
      </c>
      <c r="D52" t="s">
        <v>83</v>
      </c>
      <c r="E52" s="3" t="s">
        <v>179</v>
      </c>
      <c r="F52" s="3" t="s">
        <v>26</v>
      </c>
      <c r="G52" s="3" t="s">
        <v>180</v>
      </c>
      <c r="H52" s="3" t="s">
        <v>11</v>
      </c>
      <c r="I52" s="3" t="s">
        <v>7</v>
      </c>
      <c r="J52" s="3" t="s">
        <v>39</v>
      </c>
      <c r="K52" s="3" t="s">
        <v>84</v>
      </c>
      <c r="L52" s="3" t="s">
        <v>42</v>
      </c>
      <c r="M52">
        <v>1</v>
      </c>
    </row>
    <row r="53" spans="1:13" x14ac:dyDescent="0.25">
      <c r="A53" s="2">
        <v>46240</v>
      </c>
      <c r="B53" s="1" t="str">
        <f ca="1">IF(Información1[[#This Row],[Fecha]]='Ajuste de fechas'!$A$2,"Día actual","Día anterior")</f>
        <v>Día anterior</v>
      </c>
      <c r="C53" s="3" t="s">
        <v>28</v>
      </c>
      <c r="D53" t="s">
        <v>72</v>
      </c>
      <c r="E53" s="3" t="s">
        <v>182</v>
      </c>
      <c r="F53" s="3" t="s">
        <v>24</v>
      </c>
      <c r="G53" s="3" t="s">
        <v>108</v>
      </c>
      <c r="H53" s="3" t="s">
        <v>11</v>
      </c>
      <c r="I53" s="3" t="s">
        <v>7</v>
      </c>
      <c r="J53" s="3" t="s">
        <v>24</v>
      </c>
      <c r="K53" s="3" t="s">
        <v>73</v>
      </c>
      <c r="L53" s="3" t="s">
        <v>40</v>
      </c>
      <c r="M53">
        <v>1</v>
      </c>
    </row>
    <row r="54" spans="1:13" x14ac:dyDescent="0.25">
      <c r="A54" s="2">
        <v>46240</v>
      </c>
      <c r="B54" s="1" t="str">
        <f ca="1">IF(Información1[[#This Row],[Fecha]]='Ajuste de fechas'!$A$2,"Día actual","Día anterior")</f>
        <v>Día anterior</v>
      </c>
      <c r="C54" s="3" t="s">
        <v>8</v>
      </c>
      <c r="D54" t="s">
        <v>10</v>
      </c>
      <c r="E54" s="3" t="s">
        <v>183</v>
      </c>
      <c r="F54" s="3" t="s">
        <v>90</v>
      </c>
      <c r="G54" s="3" t="s">
        <v>91</v>
      </c>
      <c r="H54" s="3" t="s">
        <v>11</v>
      </c>
      <c r="I54" s="3" t="s">
        <v>7</v>
      </c>
      <c r="J54" s="3" t="s">
        <v>39</v>
      </c>
      <c r="K54" s="3" t="s">
        <v>14</v>
      </c>
      <c r="L54" s="3" t="s">
        <v>42</v>
      </c>
      <c r="M54">
        <v>1</v>
      </c>
    </row>
    <row r="55" spans="1:13" x14ac:dyDescent="0.25">
      <c r="A55" s="2">
        <v>46240</v>
      </c>
      <c r="B55" s="1" t="str">
        <f ca="1">IF(Información1[[#This Row],[Fecha]]='Ajuste de fechas'!$A$2,"Día actual","Día anterior")</f>
        <v>Día anterior</v>
      </c>
      <c r="C55" s="3" t="s">
        <v>28</v>
      </c>
      <c r="D55" t="s">
        <v>65</v>
      </c>
      <c r="E55" s="3" t="s">
        <v>184</v>
      </c>
      <c r="F55" s="3" t="s">
        <v>90</v>
      </c>
      <c r="G55" s="3" t="s">
        <v>91</v>
      </c>
      <c r="H55" s="3" t="s">
        <v>11</v>
      </c>
      <c r="I55" s="3" t="s">
        <v>7</v>
      </c>
      <c r="J55" s="3" t="s">
        <v>39</v>
      </c>
      <c r="K55" s="3" t="s">
        <v>66</v>
      </c>
      <c r="L55" s="3" t="s">
        <v>42</v>
      </c>
      <c r="M55">
        <v>1</v>
      </c>
    </row>
    <row r="56" spans="1:13" x14ac:dyDescent="0.25">
      <c r="A56" s="2">
        <v>46240</v>
      </c>
      <c r="B56" s="1" t="str">
        <f ca="1">IF(Información1[[#This Row],[Fecha]]='Ajuste de fechas'!$A$2,"Día actual","Día anterior")</f>
        <v>Día anterior</v>
      </c>
      <c r="C56" s="3" t="s">
        <v>8</v>
      </c>
      <c r="D56" t="s">
        <v>10</v>
      </c>
      <c r="E56" s="3" t="s">
        <v>185</v>
      </c>
      <c r="F56" s="3" t="s">
        <v>19</v>
      </c>
      <c r="G56" s="3" t="s">
        <v>186</v>
      </c>
      <c r="H56" s="3" t="s">
        <v>11</v>
      </c>
      <c r="I56" s="3" t="s">
        <v>7</v>
      </c>
      <c r="J56" s="3" t="s">
        <v>43</v>
      </c>
      <c r="K56" s="3" t="s">
        <v>14</v>
      </c>
      <c r="L56" s="3" t="s">
        <v>40</v>
      </c>
      <c r="M56">
        <v>1</v>
      </c>
    </row>
    <row r="57" spans="1:13" x14ac:dyDescent="0.25">
      <c r="A57" s="2">
        <v>46240</v>
      </c>
      <c r="B57" s="1" t="str">
        <f ca="1">IF(Información1[[#This Row],[Fecha]]='Ajuste de fechas'!$A$2,"Día actual","Día anterior")</f>
        <v>Día anterior</v>
      </c>
      <c r="C57" s="3" t="s">
        <v>28</v>
      </c>
      <c r="D57" t="s">
        <v>65</v>
      </c>
      <c r="E57" s="3" t="s">
        <v>187</v>
      </c>
      <c r="F57" s="3" t="s">
        <v>76</v>
      </c>
      <c r="G57" s="3" t="s">
        <v>188</v>
      </c>
      <c r="H57" s="3" t="s">
        <v>11</v>
      </c>
      <c r="I57" s="3" t="s">
        <v>7</v>
      </c>
      <c r="J57" s="3" t="s">
        <v>24</v>
      </c>
      <c r="K57" s="3" t="s">
        <v>66</v>
      </c>
      <c r="L57" s="3" t="s">
        <v>40</v>
      </c>
      <c r="M57">
        <v>1</v>
      </c>
    </row>
    <row r="58" spans="1:13" x14ac:dyDescent="0.25">
      <c r="A58" s="2">
        <v>46240</v>
      </c>
      <c r="B58" s="1" t="str">
        <f ca="1">IF(Información1[[#This Row],[Fecha]]='Ajuste de fechas'!$A$2,"Día actual","Día anterior")</f>
        <v>Día anterior</v>
      </c>
      <c r="C58" s="3" t="s">
        <v>50</v>
      </c>
      <c r="D58" t="s">
        <v>55</v>
      </c>
      <c r="E58" s="3" t="s">
        <v>189</v>
      </c>
      <c r="F58" s="3" t="s">
        <v>17</v>
      </c>
      <c r="G58" s="3" t="s">
        <v>113</v>
      </c>
      <c r="H58" s="3" t="s">
        <v>11</v>
      </c>
      <c r="I58" s="3" t="s">
        <v>25</v>
      </c>
      <c r="J58" s="3" t="s">
        <v>39</v>
      </c>
      <c r="K58" s="3" t="s">
        <v>9</v>
      </c>
      <c r="L58" s="3" t="s">
        <v>41</v>
      </c>
      <c r="M58">
        <v>1</v>
      </c>
    </row>
    <row r="59" spans="1:13" x14ac:dyDescent="0.25">
      <c r="A59" s="2">
        <v>46240</v>
      </c>
      <c r="B59" s="1" t="str">
        <f ca="1">IF(Información1[[#This Row],[Fecha]]='Ajuste de fechas'!$A$2,"Día actual","Día anterior")</f>
        <v>Día anterior</v>
      </c>
      <c r="C59" s="3" t="s">
        <v>50</v>
      </c>
      <c r="D59" t="s">
        <v>55</v>
      </c>
      <c r="E59" s="3" t="s">
        <v>190</v>
      </c>
      <c r="F59" s="3" t="s">
        <v>21</v>
      </c>
      <c r="G59" s="3" t="s">
        <v>191</v>
      </c>
      <c r="H59" s="3" t="s">
        <v>11</v>
      </c>
      <c r="I59" s="3" t="s">
        <v>7</v>
      </c>
      <c r="J59" s="3" t="s">
        <v>39</v>
      </c>
      <c r="K59" s="3" t="s">
        <v>51</v>
      </c>
      <c r="L59" s="3" t="s">
        <v>42</v>
      </c>
      <c r="M59">
        <v>1</v>
      </c>
    </row>
    <row r="60" spans="1:13" x14ac:dyDescent="0.25">
      <c r="A60" s="2">
        <v>46240</v>
      </c>
      <c r="B60" s="1" t="str">
        <f ca="1">IF(Información1[[#This Row],[Fecha]]='Ajuste de fechas'!$A$2,"Día actual","Día anterior")</f>
        <v>Día anterior</v>
      </c>
      <c r="C60" s="3" t="s">
        <v>50</v>
      </c>
      <c r="D60" t="s">
        <v>55</v>
      </c>
      <c r="E60" s="3" t="s">
        <v>192</v>
      </c>
      <c r="F60" s="3" t="s">
        <v>21</v>
      </c>
      <c r="G60" s="3" t="s">
        <v>193</v>
      </c>
      <c r="H60" s="3" t="s">
        <v>11</v>
      </c>
      <c r="I60" s="3" t="s">
        <v>7</v>
      </c>
      <c r="J60" s="3" t="s">
        <v>39</v>
      </c>
      <c r="K60" s="3" t="s">
        <v>51</v>
      </c>
      <c r="L60" s="3" t="s">
        <v>42</v>
      </c>
      <c r="M60">
        <v>1</v>
      </c>
    </row>
    <row r="61" spans="1:13" x14ac:dyDescent="0.25">
      <c r="A61" s="2">
        <v>46240</v>
      </c>
      <c r="B61" s="1" t="str">
        <f ca="1">IF(Información1[[#This Row],[Fecha]]='Ajuste de fechas'!$A$2,"Día actual","Día anterior")</f>
        <v>Día anterior</v>
      </c>
      <c r="C61" s="3" t="s">
        <v>62</v>
      </c>
      <c r="D61" t="s">
        <v>63</v>
      </c>
      <c r="E61" s="3" t="s">
        <v>194</v>
      </c>
      <c r="F61" s="3" t="s">
        <v>22</v>
      </c>
      <c r="G61" s="3" t="s">
        <v>195</v>
      </c>
      <c r="H61" s="3" t="s">
        <v>11</v>
      </c>
      <c r="I61" s="3" t="s">
        <v>25</v>
      </c>
      <c r="J61" s="3" t="s">
        <v>44</v>
      </c>
      <c r="K61" s="3" t="s">
        <v>64</v>
      </c>
      <c r="L61" s="3" t="s">
        <v>40</v>
      </c>
      <c r="M61">
        <v>1</v>
      </c>
    </row>
    <row r="62" spans="1:13" x14ac:dyDescent="0.25">
      <c r="A62" s="2">
        <v>46240</v>
      </c>
      <c r="B62" s="1" t="str">
        <f ca="1">IF(Información1[[#This Row],[Fecha]]='Ajuste de fechas'!$A$2,"Día actual","Día anterior")</f>
        <v>Día anterior</v>
      </c>
      <c r="C62" s="3" t="s">
        <v>62</v>
      </c>
      <c r="D62" t="s">
        <v>63</v>
      </c>
      <c r="E62" s="3" t="s">
        <v>196</v>
      </c>
      <c r="F62" s="3" t="s">
        <v>197</v>
      </c>
      <c r="G62" s="3" t="s">
        <v>198</v>
      </c>
      <c r="H62" s="3" t="s">
        <v>11</v>
      </c>
      <c r="I62" s="3" t="s">
        <v>7</v>
      </c>
      <c r="J62" s="3" t="s">
        <v>24</v>
      </c>
      <c r="K62" s="3" t="s">
        <v>64</v>
      </c>
      <c r="L62" s="3" t="s">
        <v>40</v>
      </c>
      <c r="M62">
        <v>1</v>
      </c>
    </row>
    <row r="63" spans="1:13" x14ac:dyDescent="0.25">
      <c r="A63" s="2">
        <v>46240</v>
      </c>
      <c r="B63" s="1" t="str">
        <f ca="1">IF(Información1[[#This Row],[Fecha]]='Ajuste de fechas'!$A$2,"Día actual","Día anterior")</f>
        <v>Día anterior</v>
      </c>
      <c r="C63" s="3" t="s">
        <v>62</v>
      </c>
      <c r="D63" t="s">
        <v>63</v>
      </c>
      <c r="E63" s="3" t="s">
        <v>199</v>
      </c>
      <c r="F63" s="3" t="s">
        <v>31</v>
      </c>
      <c r="G63" s="3" t="s">
        <v>98</v>
      </c>
      <c r="H63" s="3" t="s">
        <v>11</v>
      </c>
      <c r="I63" s="3" t="s">
        <v>7</v>
      </c>
      <c r="J63" s="3" t="s">
        <v>39</v>
      </c>
      <c r="K63" s="3" t="s">
        <v>64</v>
      </c>
      <c r="L63" s="3" t="s">
        <v>42</v>
      </c>
      <c r="M63">
        <v>1</v>
      </c>
    </row>
    <row r="64" spans="1:13" x14ac:dyDescent="0.25">
      <c r="A64" s="2">
        <v>46240</v>
      </c>
      <c r="B64" s="1" t="str">
        <f ca="1">IF(Información1[[#This Row],[Fecha]]='Ajuste de fechas'!$A$2,"Día actual","Día anterior")</f>
        <v>Día anterior</v>
      </c>
      <c r="C64" s="3" t="s">
        <v>62</v>
      </c>
      <c r="D64" t="s">
        <v>63</v>
      </c>
      <c r="E64" s="3" t="s">
        <v>200</v>
      </c>
      <c r="F64" s="3" t="s">
        <v>23</v>
      </c>
      <c r="G64" s="3" t="s">
        <v>201</v>
      </c>
      <c r="H64" s="3" t="s">
        <v>11</v>
      </c>
      <c r="I64" s="3" t="s">
        <v>7</v>
      </c>
      <c r="J64" s="3" t="s">
        <v>39</v>
      </c>
      <c r="K64" s="3" t="s">
        <v>64</v>
      </c>
      <c r="L64" s="3" t="s">
        <v>42</v>
      </c>
      <c r="M64">
        <v>1</v>
      </c>
    </row>
    <row r="65" spans="1:13" x14ac:dyDescent="0.25">
      <c r="A65" s="2">
        <v>46240</v>
      </c>
      <c r="B65" s="1" t="str">
        <f ca="1">IF(Información1[[#This Row],[Fecha]]='Ajuste de fechas'!$A$2,"Día actual","Día anterior")</f>
        <v>Día anterior</v>
      </c>
      <c r="C65" s="3" t="s">
        <v>62</v>
      </c>
      <c r="D65" t="s">
        <v>63</v>
      </c>
      <c r="E65" s="3" t="s">
        <v>184</v>
      </c>
      <c r="F65" s="3" t="s">
        <v>90</v>
      </c>
      <c r="G65" s="3" t="s">
        <v>91</v>
      </c>
      <c r="H65" s="3" t="s">
        <v>11</v>
      </c>
      <c r="I65" s="3" t="s">
        <v>7</v>
      </c>
      <c r="J65" s="3" t="s">
        <v>39</v>
      </c>
      <c r="K65" s="3" t="s">
        <v>64</v>
      </c>
      <c r="L65" s="3" t="s">
        <v>42</v>
      </c>
      <c r="M65">
        <v>1</v>
      </c>
    </row>
    <row r="66" spans="1:13" x14ac:dyDescent="0.25">
      <c r="A66" s="2">
        <v>46240</v>
      </c>
      <c r="B66" s="1" t="str">
        <f ca="1">IF(Información1[[#This Row],[Fecha]]='Ajuste de fechas'!$A$2,"Día actual","Día anterior")</f>
        <v>Día anterior</v>
      </c>
      <c r="C66" s="3" t="s">
        <v>62</v>
      </c>
      <c r="D66" t="s">
        <v>63</v>
      </c>
      <c r="E66" s="3" t="s">
        <v>151</v>
      </c>
      <c r="F66" s="3" t="s">
        <v>148</v>
      </c>
      <c r="G66" s="3" t="s">
        <v>149</v>
      </c>
      <c r="H66" s="3" t="s">
        <v>11</v>
      </c>
      <c r="I66" s="3" t="s">
        <v>7</v>
      </c>
      <c r="J66" s="3" t="s">
        <v>39</v>
      </c>
      <c r="K66" s="3" t="s">
        <v>64</v>
      </c>
      <c r="L66" s="3" t="s">
        <v>42</v>
      </c>
      <c r="M66">
        <v>1</v>
      </c>
    </row>
    <row r="67" spans="1:13" x14ac:dyDescent="0.25">
      <c r="A67" s="2">
        <v>46240</v>
      </c>
      <c r="B67" s="1" t="str">
        <f ca="1">IF(Información1[[#This Row],[Fecha]]='Ajuste de fechas'!$A$2,"Día actual","Día anterior")</f>
        <v>Día anterior</v>
      </c>
      <c r="C67" s="3" t="s">
        <v>62</v>
      </c>
      <c r="D67" t="s">
        <v>63</v>
      </c>
      <c r="E67" s="3" t="s">
        <v>202</v>
      </c>
      <c r="F67" s="3" t="s">
        <v>78</v>
      </c>
      <c r="G67" s="3" t="s">
        <v>180</v>
      </c>
      <c r="H67" s="3" t="s">
        <v>11</v>
      </c>
      <c r="I67" s="3" t="s">
        <v>7</v>
      </c>
      <c r="J67" s="3" t="s">
        <v>39</v>
      </c>
      <c r="K67" s="3" t="s">
        <v>64</v>
      </c>
      <c r="L67" s="3" t="s">
        <v>42</v>
      </c>
      <c r="M67">
        <v>1</v>
      </c>
    </row>
    <row r="68" spans="1:13" x14ac:dyDescent="0.25">
      <c r="A68" s="2">
        <v>46240</v>
      </c>
      <c r="B68" s="1" t="str">
        <f ca="1">IF(Información1[[#This Row],[Fecha]]='Ajuste de fechas'!$A$2,"Día actual","Día anterior")</f>
        <v>Día anterior</v>
      </c>
      <c r="C68" s="3" t="s">
        <v>50</v>
      </c>
      <c r="D68" t="s">
        <v>52</v>
      </c>
      <c r="E68" s="3" t="s">
        <v>203</v>
      </c>
      <c r="F68" s="3" t="s">
        <v>78</v>
      </c>
      <c r="G68" s="3" t="s">
        <v>79</v>
      </c>
      <c r="H68" s="3" t="s">
        <v>11</v>
      </c>
      <c r="I68" s="3" t="s">
        <v>7</v>
      </c>
      <c r="J68" s="3" t="s">
        <v>39</v>
      </c>
      <c r="K68" s="3" t="s">
        <v>49</v>
      </c>
      <c r="L68" s="3" t="s">
        <v>42</v>
      </c>
      <c r="M68">
        <v>1</v>
      </c>
    </row>
    <row r="69" spans="1:13" x14ac:dyDescent="0.25">
      <c r="A69" s="2">
        <v>46240</v>
      </c>
      <c r="B69" s="1" t="str">
        <f ca="1">IF(Información1[[#This Row],[Fecha]]='Ajuste de fechas'!$A$2,"Día actual","Día anterior")</f>
        <v>Día anterior</v>
      </c>
      <c r="C69" s="3" t="s">
        <v>50</v>
      </c>
      <c r="D69" t="s">
        <v>52</v>
      </c>
      <c r="E69" s="3" t="s">
        <v>131</v>
      </c>
      <c r="F69" s="3" t="s">
        <v>15</v>
      </c>
      <c r="G69" s="3" t="s">
        <v>132</v>
      </c>
      <c r="H69" s="3" t="s">
        <v>11</v>
      </c>
      <c r="I69" s="3" t="s">
        <v>7</v>
      </c>
      <c r="J69" s="3" t="s">
        <v>39</v>
      </c>
      <c r="K69" s="3" t="s">
        <v>49</v>
      </c>
      <c r="L69" s="3" t="s">
        <v>42</v>
      </c>
      <c r="M69">
        <v>1</v>
      </c>
    </row>
    <row r="70" spans="1:13" x14ac:dyDescent="0.25">
      <c r="A70" s="2">
        <v>46240</v>
      </c>
      <c r="B70" s="1" t="str">
        <f ca="1">IF(Información1[[#This Row],[Fecha]]='Ajuste de fechas'!$A$2,"Día actual","Día anterior")</f>
        <v>Día anterior</v>
      </c>
      <c r="C70" s="3" t="s">
        <v>50</v>
      </c>
      <c r="D70" t="s">
        <v>52</v>
      </c>
      <c r="E70" s="3" t="s">
        <v>204</v>
      </c>
      <c r="F70" s="3" t="s">
        <v>90</v>
      </c>
      <c r="G70" s="3" t="s">
        <v>91</v>
      </c>
      <c r="H70" s="3" t="s">
        <v>11</v>
      </c>
      <c r="I70" s="3" t="s">
        <v>7</v>
      </c>
      <c r="J70" s="3" t="s">
        <v>39</v>
      </c>
      <c r="K70" s="3" t="s">
        <v>49</v>
      </c>
      <c r="L70" s="3" t="s">
        <v>42</v>
      </c>
      <c r="M70">
        <v>1</v>
      </c>
    </row>
    <row r="71" spans="1:13" x14ac:dyDescent="0.25">
      <c r="A71" s="2">
        <v>46240</v>
      </c>
      <c r="B71" s="1" t="str">
        <f ca="1">IF(Información1[[#This Row],[Fecha]]='Ajuste de fechas'!$A$2,"Día actual","Día anterior")</f>
        <v>Día anterior</v>
      </c>
      <c r="C71" s="3" t="s">
        <v>50</v>
      </c>
      <c r="D71" t="s">
        <v>52</v>
      </c>
      <c r="E71" s="3" t="s">
        <v>200</v>
      </c>
      <c r="F71" s="3" t="s">
        <v>23</v>
      </c>
      <c r="G71" s="3" t="s">
        <v>201</v>
      </c>
      <c r="H71" s="3" t="s">
        <v>11</v>
      </c>
      <c r="I71" s="3" t="s">
        <v>7</v>
      </c>
      <c r="J71" s="3" t="s">
        <v>39</v>
      </c>
      <c r="K71" s="3" t="s">
        <v>49</v>
      </c>
      <c r="L71" s="3" t="s">
        <v>42</v>
      </c>
      <c r="M71">
        <v>1</v>
      </c>
    </row>
    <row r="72" spans="1:13" x14ac:dyDescent="0.25">
      <c r="A72" s="2">
        <v>46240</v>
      </c>
      <c r="B72" s="1" t="str">
        <f ca="1">IF(Información1[[#This Row],[Fecha]]='Ajuste de fechas'!$A$2,"Día actual","Día anterior")</f>
        <v>Día anterior</v>
      </c>
      <c r="C72" s="3" t="s">
        <v>50</v>
      </c>
      <c r="D72" t="s">
        <v>52</v>
      </c>
      <c r="E72" s="3" t="s">
        <v>205</v>
      </c>
      <c r="F72" s="3" t="s">
        <v>22</v>
      </c>
      <c r="G72" s="3" t="s">
        <v>206</v>
      </c>
      <c r="H72" s="3" t="s">
        <v>11</v>
      </c>
      <c r="I72" s="3" t="s">
        <v>7</v>
      </c>
      <c r="J72" s="3" t="s">
        <v>44</v>
      </c>
      <c r="K72" s="3" t="s">
        <v>51</v>
      </c>
      <c r="L72" s="3" t="s">
        <v>40</v>
      </c>
      <c r="M72">
        <v>1</v>
      </c>
    </row>
    <row r="73" spans="1:13" x14ac:dyDescent="0.25">
      <c r="A73" s="2">
        <v>46240</v>
      </c>
      <c r="B73" s="1" t="str">
        <f ca="1">IF(Información1[[#This Row],[Fecha]]='Ajuste de fechas'!$A$2,"Día actual","Día anterior")</f>
        <v>Día anterior</v>
      </c>
      <c r="C73" s="3" t="s">
        <v>50</v>
      </c>
      <c r="D73" t="s">
        <v>52</v>
      </c>
      <c r="E73" s="3" t="s">
        <v>207</v>
      </c>
      <c r="F73" s="3" t="s">
        <v>19</v>
      </c>
      <c r="G73" s="3" t="s">
        <v>208</v>
      </c>
      <c r="H73" s="3" t="s">
        <v>11</v>
      </c>
      <c r="I73" s="3" t="s">
        <v>7</v>
      </c>
      <c r="J73" s="3" t="s">
        <v>43</v>
      </c>
      <c r="K73" s="3" t="s">
        <v>51</v>
      </c>
      <c r="L73" s="3" t="s">
        <v>40</v>
      </c>
      <c r="M73">
        <v>1</v>
      </c>
    </row>
    <row r="74" spans="1:13" x14ac:dyDescent="0.25">
      <c r="A74" s="2">
        <v>46240</v>
      </c>
      <c r="B74" s="1" t="str">
        <f ca="1">IF(Información1[[#This Row],[Fecha]]='Ajuste de fechas'!$A$2,"Día actual","Día anterior")</f>
        <v>Día anterior</v>
      </c>
      <c r="C74" s="3" t="s">
        <v>50</v>
      </c>
      <c r="D74" t="s">
        <v>52</v>
      </c>
      <c r="E74" s="3" t="s">
        <v>209</v>
      </c>
      <c r="F74" s="3" t="s">
        <v>19</v>
      </c>
      <c r="G74" s="3" t="s">
        <v>210</v>
      </c>
      <c r="H74" s="3" t="s">
        <v>11</v>
      </c>
      <c r="I74" s="3" t="s">
        <v>7</v>
      </c>
      <c r="J74" s="3" t="s">
        <v>43</v>
      </c>
      <c r="K74" s="3" t="s">
        <v>51</v>
      </c>
      <c r="L74" s="3" t="s">
        <v>40</v>
      </c>
      <c r="M74">
        <v>1</v>
      </c>
    </row>
    <row r="75" spans="1:13" x14ac:dyDescent="0.25">
      <c r="A75" s="2">
        <v>46240</v>
      </c>
      <c r="B75" s="1" t="str">
        <f ca="1">IF(Información1[[#This Row],[Fecha]]='Ajuste de fechas'!$A$2,"Día actual","Día anterior")</f>
        <v>Día anterior</v>
      </c>
      <c r="C75" s="3" t="s">
        <v>50</v>
      </c>
      <c r="D75" t="s">
        <v>52</v>
      </c>
      <c r="E75" s="3" t="s">
        <v>211</v>
      </c>
      <c r="F75" s="3" t="s">
        <v>19</v>
      </c>
      <c r="G75" s="3" t="s">
        <v>94</v>
      </c>
      <c r="H75" s="3" t="s">
        <v>11</v>
      </c>
      <c r="I75" s="3" t="s">
        <v>7</v>
      </c>
      <c r="J75" s="3" t="s">
        <v>43</v>
      </c>
      <c r="K75" s="3" t="s">
        <v>51</v>
      </c>
      <c r="L75" s="3" t="s">
        <v>40</v>
      </c>
      <c r="M75">
        <v>1</v>
      </c>
    </row>
    <row r="76" spans="1:13" x14ac:dyDescent="0.25">
      <c r="A76" s="2">
        <v>46240</v>
      </c>
      <c r="B76" s="1" t="str">
        <f ca="1">IF(Información1[[#This Row],[Fecha]]='Ajuste de fechas'!$A$2,"Día actual","Día anterior")</f>
        <v>Día anterior</v>
      </c>
      <c r="C76" s="3" t="s">
        <v>50</v>
      </c>
      <c r="D76" t="s">
        <v>52</v>
      </c>
      <c r="E76" s="3" t="s">
        <v>212</v>
      </c>
      <c r="F76" s="3" t="s">
        <v>19</v>
      </c>
      <c r="G76" s="3" t="s">
        <v>85</v>
      </c>
      <c r="H76" s="3" t="s">
        <v>11</v>
      </c>
      <c r="I76" s="3" t="s">
        <v>7</v>
      </c>
      <c r="J76" s="3" t="s">
        <v>43</v>
      </c>
      <c r="K76" s="3" t="s">
        <v>49</v>
      </c>
      <c r="L76" s="3" t="s">
        <v>40</v>
      </c>
      <c r="M76">
        <v>1</v>
      </c>
    </row>
    <row r="77" spans="1:13" x14ac:dyDescent="0.25">
      <c r="A77" s="2">
        <v>46240</v>
      </c>
      <c r="B77" s="1" t="str">
        <f ca="1">IF(Información1[[#This Row],[Fecha]]='Ajuste de fechas'!$A$2,"Día actual","Día anterior")</f>
        <v>Día anterior</v>
      </c>
      <c r="C77" s="3" t="s">
        <v>50</v>
      </c>
      <c r="D77" t="s">
        <v>52</v>
      </c>
      <c r="E77" s="3" t="s">
        <v>213</v>
      </c>
      <c r="F77" s="3" t="s">
        <v>26</v>
      </c>
      <c r="G77" s="3" t="s">
        <v>214</v>
      </c>
      <c r="H77" s="3" t="s">
        <v>11</v>
      </c>
      <c r="I77" s="3" t="s">
        <v>7</v>
      </c>
      <c r="J77" s="3" t="s">
        <v>39</v>
      </c>
      <c r="K77" s="3" t="s">
        <v>49</v>
      </c>
      <c r="L77" s="3" t="s">
        <v>40</v>
      </c>
      <c r="M77">
        <v>1</v>
      </c>
    </row>
    <row r="78" spans="1:13" x14ac:dyDescent="0.25">
      <c r="A78" s="2">
        <v>46240</v>
      </c>
      <c r="B78" s="1" t="str">
        <f ca="1">IF(Información1[[#This Row],[Fecha]]='Ajuste de fechas'!$A$2,"Día actual","Día anterior")</f>
        <v>Día anterior</v>
      </c>
      <c r="C78" s="3" t="s">
        <v>50</v>
      </c>
      <c r="D78" t="s">
        <v>52</v>
      </c>
      <c r="E78" s="3" t="s">
        <v>151</v>
      </c>
      <c r="F78" s="3" t="s">
        <v>148</v>
      </c>
      <c r="G78" s="3" t="s">
        <v>149</v>
      </c>
      <c r="H78" s="3" t="s">
        <v>11</v>
      </c>
      <c r="I78" s="3" t="s">
        <v>7</v>
      </c>
      <c r="J78" s="3" t="s">
        <v>39</v>
      </c>
      <c r="K78" s="3" t="s">
        <v>49</v>
      </c>
      <c r="L78" s="3" t="s">
        <v>42</v>
      </c>
      <c r="M78">
        <v>1</v>
      </c>
    </row>
    <row r="79" spans="1:13" x14ac:dyDescent="0.25">
      <c r="A79" s="2">
        <v>46240</v>
      </c>
      <c r="B79" s="1" t="str">
        <f ca="1">IF(Información1[[#This Row],[Fecha]]='Ajuste de fechas'!$A$2,"Día actual","Día anterior")</f>
        <v>Día anterior</v>
      </c>
      <c r="C79" s="3" t="s">
        <v>50</v>
      </c>
      <c r="D79" t="s">
        <v>52</v>
      </c>
      <c r="E79" s="3" t="s">
        <v>202</v>
      </c>
      <c r="F79" s="3" t="s">
        <v>78</v>
      </c>
      <c r="G79" s="3" t="s">
        <v>180</v>
      </c>
      <c r="H79" s="3" t="s">
        <v>11</v>
      </c>
      <c r="I79" s="3" t="s">
        <v>7</v>
      </c>
      <c r="J79" s="3" t="s">
        <v>39</v>
      </c>
      <c r="K79" s="3" t="s">
        <v>49</v>
      </c>
      <c r="L79" s="3" t="s">
        <v>42</v>
      </c>
      <c r="M79">
        <v>1</v>
      </c>
    </row>
    <row r="80" spans="1:13" x14ac:dyDescent="0.25">
      <c r="A80" s="2">
        <v>46240</v>
      </c>
      <c r="B80" s="1" t="str">
        <f ca="1">IF(Información1[[#This Row],[Fecha]]='Ajuste de fechas'!$A$2,"Día actual","Día anterior")</f>
        <v>Día anterior</v>
      </c>
      <c r="C80" s="3" t="s">
        <v>50</v>
      </c>
      <c r="D80" t="s">
        <v>55</v>
      </c>
      <c r="E80" s="3" t="s">
        <v>215</v>
      </c>
      <c r="F80" s="3" t="s">
        <v>19</v>
      </c>
      <c r="G80" s="3" t="s">
        <v>93</v>
      </c>
      <c r="H80" s="3" t="s">
        <v>11</v>
      </c>
      <c r="I80" s="3" t="s">
        <v>25</v>
      </c>
      <c r="J80" s="3" t="s">
        <v>43</v>
      </c>
      <c r="K80" s="3" t="s">
        <v>51</v>
      </c>
      <c r="L80" s="3" t="s">
        <v>40</v>
      </c>
      <c r="M80">
        <v>1</v>
      </c>
    </row>
    <row r="81" spans="1:13" x14ac:dyDescent="0.25">
      <c r="A81" s="2">
        <v>46240</v>
      </c>
      <c r="B81" s="1" t="str">
        <f ca="1">IF(Información1[[#This Row],[Fecha]]='Ajuste de fechas'!$A$2,"Día actual","Día anterior")</f>
        <v>Día anterior</v>
      </c>
      <c r="C81" s="3" t="s">
        <v>50</v>
      </c>
      <c r="D81" t="s">
        <v>55</v>
      </c>
      <c r="E81" s="3" t="s">
        <v>216</v>
      </c>
      <c r="F81" s="3" t="s">
        <v>17</v>
      </c>
      <c r="G81" s="3" t="s">
        <v>113</v>
      </c>
      <c r="H81" s="3" t="s">
        <v>11</v>
      </c>
      <c r="I81" s="3" t="s">
        <v>25</v>
      </c>
      <c r="J81" s="3" t="s">
        <v>39</v>
      </c>
      <c r="K81" s="3" t="s">
        <v>51</v>
      </c>
      <c r="L81" s="3" t="s">
        <v>41</v>
      </c>
      <c r="M81">
        <v>1</v>
      </c>
    </row>
    <row r="82" spans="1:13" x14ac:dyDescent="0.25">
      <c r="A82" s="2">
        <v>46240</v>
      </c>
      <c r="B82" s="1" t="str">
        <f ca="1">IF(Información1[[#This Row],[Fecha]]='Ajuste de fechas'!$A$2,"Día actual","Día anterior")</f>
        <v>Día anterior</v>
      </c>
      <c r="C82" s="3" t="s">
        <v>50</v>
      </c>
      <c r="D82" t="s">
        <v>55</v>
      </c>
      <c r="E82" s="3" t="s">
        <v>217</v>
      </c>
      <c r="F82" s="3" t="s">
        <v>22</v>
      </c>
      <c r="G82" s="3" t="s">
        <v>116</v>
      </c>
      <c r="H82" s="3" t="s">
        <v>11</v>
      </c>
      <c r="I82" s="3" t="s">
        <v>7</v>
      </c>
      <c r="J82" s="3" t="s">
        <v>44</v>
      </c>
      <c r="K82" s="3" t="s">
        <v>51</v>
      </c>
      <c r="L82" s="3" t="s">
        <v>40</v>
      </c>
      <c r="M82">
        <v>1</v>
      </c>
    </row>
    <row r="83" spans="1:13" x14ac:dyDescent="0.25">
      <c r="A83" s="2">
        <v>46240</v>
      </c>
      <c r="B83" s="1" t="str">
        <f ca="1">IF(Información1[[#This Row],[Fecha]]='Ajuste de fechas'!$A$2,"Día actual","Día anterior")</f>
        <v>Día anterior</v>
      </c>
      <c r="C83" s="3" t="s">
        <v>62</v>
      </c>
      <c r="D83" t="s">
        <v>63</v>
      </c>
      <c r="E83" s="3" t="s">
        <v>218</v>
      </c>
      <c r="F83" s="3" t="s">
        <v>31</v>
      </c>
      <c r="G83" s="3" t="s">
        <v>98</v>
      </c>
      <c r="H83" s="3" t="s">
        <v>11</v>
      </c>
      <c r="I83" s="3" t="s">
        <v>12</v>
      </c>
      <c r="J83" s="3" t="s">
        <v>39</v>
      </c>
      <c r="K83" s="3" t="s">
        <v>64</v>
      </c>
      <c r="L83" s="3" t="s">
        <v>95</v>
      </c>
      <c r="M83">
        <v>1</v>
      </c>
    </row>
    <row r="84" spans="1:13" x14ac:dyDescent="0.25">
      <c r="A84" s="2">
        <v>46240</v>
      </c>
      <c r="B84" s="1" t="str">
        <f ca="1">IF(Información1[[#This Row],[Fecha]]='Ajuste de fechas'!$A$2,"Día actual","Día anterior")</f>
        <v>Día anterior</v>
      </c>
      <c r="C84" s="3" t="s">
        <v>62</v>
      </c>
      <c r="D84" t="s">
        <v>63</v>
      </c>
      <c r="E84" s="3" t="s">
        <v>219</v>
      </c>
      <c r="F84" s="3" t="s">
        <v>22</v>
      </c>
      <c r="G84" s="3" t="s">
        <v>220</v>
      </c>
      <c r="H84" s="3" t="s">
        <v>11</v>
      </c>
      <c r="I84" s="3" t="s">
        <v>7</v>
      </c>
      <c r="J84" s="3" t="s">
        <v>44</v>
      </c>
      <c r="K84" s="3" t="s">
        <v>64</v>
      </c>
      <c r="L84" s="3" t="s">
        <v>40</v>
      </c>
      <c r="M84">
        <v>1</v>
      </c>
    </row>
    <row r="85" spans="1:13" x14ac:dyDescent="0.25">
      <c r="A85" s="2">
        <v>46240</v>
      </c>
      <c r="B85" s="1" t="str">
        <f ca="1">IF(Información1[[#This Row],[Fecha]]='Ajuste de fechas'!$A$2,"Día actual","Día anterior")</f>
        <v>Día anterior</v>
      </c>
      <c r="C85" s="3" t="s">
        <v>62</v>
      </c>
      <c r="D85" t="s">
        <v>63</v>
      </c>
      <c r="E85" s="3" t="s">
        <v>221</v>
      </c>
      <c r="F85" s="3" t="s">
        <v>19</v>
      </c>
      <c r="G85" s="3" t="s">
        <v>222</v>
      </c>
      <c r="H85" s="3" t="s">
        <v>11</v>
      </c>
      <c r="I85" s="3" t="s">
        <v>7</v>
      </c>
      <c r="J85" s="3" t="s">
        <v>43</v>
      </c>
      <c r="K85" s="3" t="s">
        <v>64</v>
      </c>
      <c r="L85" s="3" t="s">
        <v>40</v>
      </c>
      <c r="M85">
        <v>1</v>
      </c>
    </row>
    <row r="86" spans="1:13" x14ac:dyDescent="0.25">
      <c r="A86" s="2">
        <v>46240</v>
      </c>
      <c r="B86" s="1" t="str">
        <f ca="1">IF(Información1[[#This Row],[Fecha]]='Ajuste de fechas'!$A$2,"Día actual","Día anterior")</f>
        <v>Día anterior</v>
      </c>
      <c r="C86" s="3" t="s">
        <v>62</v>
      </c>
      <c r="D86" t="s">
        <v>63</v>
      </c>
      <c r="E86" s="3" t="s">
        <v>223</v>
      </c>
      <c r="F86" s="3" t="s">
        <v>19</v>
      </c>
      <c r="G86" s="3" t="s">
        <v>224</v>
      </c>
      <c r="H86" s="3" t="s">
        <v>11</v>
      </c>
      <c r="I86" s="3" t="s">
        <v>25</v>
      </c>
      <c r="J86" s="3" t="s">
        <v>43</v>
      </c>
      <c r="K86" s="3" t="s">
        <v>64</v>
      </c>
      <c r="L86" s="3" t="s">
        <v>40</v>
      </c>
      <c r="M86">
        <v>1</v>
      </c>
    </row>
    <row r="87" spans="1:13" x14ac:dyDescent="0.25">
      <c r="A87" s="2">
        <v>46240</v>
      </c>
      <c r="B87" s="1" t="str">
        <f ca="1">IF(Información1[[#This Row],[Fecha]]='Ajuste de fechas'!$A$2,"Día actual","Día anterior")</f>
        <v>Día anterior</v>
      </c>
      <c r="C87" s="3" t="s">
        <v>62</v>
      </c>
      <c r="D87" t="s">
        <v>63</v>
      </c>
      <c r="E87" s="3" t="s">
        <v>225</v>
      </c>
      <c r="F87" s="3" t="s">
        <v>107</v>
      </c>
      <c r="G87" s="3" t="s">
        <v>226</v>
      </c>
      <c r="H87" s="3" t="s">
        <v>11</v>
      </c>
      <c r="I87" s="3" t="s">
        <v>7</v>
      </c>
      <c r="J87" s="3" t="s">
        <v>39</v>
      </c>
      <c r="K87" s="3" t="s">
        <v>64</v>
      </c>
      <c r="L87" s="3" t="s">
        <v>42</v>
      </c>
      <c r="M87">
        <v>1</v>
      </c>
    </row>
    <row r="88" spans="1:13" x14ac:dyDescent="0.25">
      <c r="A88" s="2">
        <v>46240</v>
      </c>
      <c r="B88" s="1" t="str">
        <f ca="1">IF(Información1[[#This Row],[Fecha]]='Ajuste de fechas'!$A$2,"Día actual","Día anterior")</f>
        <v>Día anterior</v>
      </c>
      <c r="C88" s="3" t="s">
        <v>62</v>
      </c>
      <c r="D88" t="s">
        <v>63</v>
      </c>
      <c r="E88" s="3" t="s">
        <v>227</v>
      </c>
      <c r="F88" s="3" t="s">
        <v>228</v>
      </c>
      <c r="G88" s="3" t="s">
        <v>229</v>
      </c>
      <c r="H88" s="3" t="s">
        <v>11</v>
      </c>
      <c r="I88" s="3" t="s">
        <v>7</v>
      </c>
      <c r="J88" s="3" t="s">
        <v>39</v>
      </c>
      <c r="K88" s="3" t="s">
        <v>64</v>
      </c>
      <c r="L88" s="3" t="s">
        <v>42</v>
      </c>
      <c r="M88">
        <v>1</v>
      </c>
    </row>
    <row r="89" spans="1:13" x14ac:dyDescent="0.25">
      <c r="A89" s="2">
        <v>46240</v>
      </c>
      <c r="B89" s="1" t="str">
        <f ca="1">IF(Información1[[#This Row],[Fecha]]='Ajuste de fechas'!$A$2,"Día actual","Día anterior")</f>
        <v>Día anterior</v>
      </c>
      <c r="C89" s="3" t="s">
        <v>62</v>
      </c>
      <c r="D89" t="s">
        <v>63</v>
      </c>
      <c r="E89" s="3" t="s">
        <v>192</v>
      </c>
      <c r="F89" s="3" t="s">
        <v>21</v>
      </c>
      <c r="G89" s="3" t="s">
        <v>193</v>
      </c>
      <c r="H89" s="3" t="s">
        <v>11</v>
      </c>
      <c r="I89" s="3" t="s">
        <v>7</v>
      </c>
      <c r="J89" s="3" t="s">
        <v>39</v>
      </c>
      <c r="K89" s="3" t="s">
        <v>64</v>
      </c>
      <c r="L89" s="3" t="s">
        <v>42</v>
      </c>
      <c r="M89">
        <v>1</v>
      </c>
    </row>
    <row r="90" spans="1:13" x14ac:dyDescent="0.25">
      <c r="A90" s="2">
        <v>46240</v>
      </c>
      <c r="B90" s="1" t="str">
        <f ca="1">IF(Información1[[#This Row],[Fecha]]='Ajuste de fechas'!$A$2,"Día actual","Día anterior")</f>
        <v>Día anterior</v>
      </c>
      <c r="C90" s="3" t="s">
        <v>62</v>
      </c>
      <c r="D90" t="s">
        <v>63</v>
      </c>
      <c r="E90" s="3" t="s">
        <v>230</v>
      </c>
      <c r="F90" s="3" t="s">
        <v>23</v>
      </c>
      <c r="G90" s="3" t="s">
        <v>231</v>
      </c>
      <c r="H90" s="3" t="s">
        <v>11</v>
      </c>
      <c r="I90" s="3" t="s">
        <v>7</v>
      </c>
      <c r="J90" s="3" t="s">
        <v>39</v>
      </c>
      <c r="K90" s="3" t="s">
        <v>64</v>
      </c>
      <c r="L90" s="3" t="s">
        <v>42</v>
      </c>
      <c r="M90">
        <v>1</v>
      </c>
    </row>
    <row r="91" spans="1:13" x14ac:dyDescent="0.25">
      <c r="A91" s="2">
        <v>46240</v>
      </c>
      <c r="B91" s="1" t="str">
        <f ca="1">IF(Información1[[#This Row],[Fecha]]='Ajuste de fechas'!$A$2,"Día actual","Día anterior")</f>
        <v>Día anterior</v>
      </c>
      <c r="C91" s="3" t="s">
        <v>62</v>
      </c>
      <c r="D91" t="s">
        <v>63</v>
      </c>
      <c r="E91" s="3" t="s">
        <v>232</v>
      </c>
      <c r="F91" s="3" t="s">
        <v>48</v>
      </c>
      <c r="G91" s="3" t="s">
        <v>112</v>
      </c>
      <c r="H91" s="3" t="s">
        <v>11</v>
      </c>
      <c r="I91" s="3" t="s">
        <v>7</v>
      </c>
      <c r="J91" s="3" t="s">
        <v>39</v>
      </c>
      <c r="K91" s="3" t="s">
        <v>64</v>
      </c>
      <c r="L91" s="3" t="s">
        <v>42</v>
      </c>
      <c r="M91">
        <v>1</v>
      </c>
    </row>
    <row r="92" spans="1:13" x14ac:dyDescent="0.25">
      <c r="A92" s="2">
        <v>46240</v>
      </c>
      <c r="B92" s="1" t="str">
        <f ca="1">IF(Información1[[#This Row],[Fecha]]='Ajuste de fechas'!$A$2,"Día actual","Día anterior")</f>
        <v>Día anterior</v>
      </c>
      <c r="C92" s="3" t="s">
        <v>62</v>
      </c>
      <c r="D92" t="s">
        <v>63</v>
      </c>
      <c r="E92" s="3" t="s">
        <v>233</v>
      </c>
      <c r="F92" s="3" t="s">
        <v>23</v>
      </c>
      <c r="G92" s="3" t="s">
        <v>85</v>
      </c>
      <c r="H92" s="3" t="s">
        <v>11</v>
      </c>
      <c r="I92" s="3" t="s">
        <v>7</v>
      </c>
      <c r="J92" s="3" t="s">
        <v>39</v>
      </c>
      <c r="K92" s="3" t="s">
        <v>64</v>
      </c>
      <c r="L92" s="3" t="s">
        <v>42</v>
      </c>
      <c r="M92">
        <v>1</v>
      </c>
    </row>
    <row r="93" spans="1:13" x14ac:dyDescent="0.25">
      <c r="A93" s="2">
        <v>46240</v>
      </c>
      <c r="B93" s="1" t="str">
        <f ca="1">IF(Información1[[#This Row],[Fecha]]='Ajuste de fechas'!$A$2,"Día actual","Día anterior")</f>
        <v>Día anterior</v>
      </c>
      <c r="C93" s="3" t="s">
        <v>62</v>
      </c>
      <c r="D93" t="s">
        <v>63</v>
      </c>
      <c r="E93" s="3" t="s">
        <v>234</v>
      </c>
      <c r="F93" s="3" t="s">
        <v>26</v>
      </c>
      <c r="G93" s="3" t="s">
        <v>77</v>
      </c>
      <c r="H93" s="3" t="s">
        <v>11</v>
      </c>
      <c r="I93" s="3" t="s">
        <v>7</v>
      </c>
      <c r="J93" s="3" t="s">
        <v>39</v>
      </c>
      <c r="K93" s="3" t="s">
        <v>64</v>
      </c>
      <c r="L93" s="3" t="s">
        <v>42</v>
      </c>
      <c r="M93">
        <v>1</v>
      </c>
    </row>
    <row r="94" spans="1:13" x14ac:dyDescent="0.25">
      <c r="A94" s="2">
        <v>46240</v>
      </c>
      <c r="B94" s="1" t="str">
        <f ca="1">IF(Información1[[#This Row],[Fecha]]='Ajuste de fechas'!$A$2,"Día actual","Día anterior")</f>
        <v>Día anterior</v>
      </c>
      <c r="C94" s="3" t="s">
        <v>62</v>
      </c>
      <c r="D94" t="s">
        <v>63</v>
      </c>
      <c r="E94" s="3" t="s">
        <v>235</v>
      </c>
      <c r="F94" s="3" t="s">
        <v>15</v>
      </c>
      <c r="G94" s="3" t="s">
        <v>236</v>
      </c>
      <c r="H94" s="3" t="s">
        <v>11</v>
      </c>
      <c r="I94" s="3" t="s">
        <v>7</v>
      </c>
      <c r="J94" s="3" t="s">
        <v>39</v>
      </c>
      <c r="K94" s="3" t="s">
        <v>64</v>
      </c>
      <c r="L94" s="3" t="s">
        <v>42</v>
      </c>
      <c r="M94">
        <v>1</v>
      </c>
    </row>
    <row r="95" spans="1:13" x14ac:dyDescent="0.25">
      <c r="A95" s="2">
        <v>46240</v>
      </c>
      <c r="B95" s="1" t="str">
        <f ca="1">IF(Información1[[#This Row],[Fecha]]='Ajuste de fechas'!$A$2,"Día actual","Día anterior")</f>
        <v>Día anterior</v>
      </c>
      <c r="C95" s="3" t="s">
        <v>62</v>
      </c>
      <c r="D95" t="s">
        <v>63</v>
      </c>
      <c r="E95" s="3" t="s">
        <v>237</v>
      </c>
      <c r="F95" s="3" t="s">
        <v>26</v>
      </c>
      <c r="G95" s="3" t="s">
        <v>77</v>
      </c>
      <c r="H95" s="3" t="s">
        <v>11</v>
      </c>
      <c r="I95" s="3" t="s">
        <v>7</v>
      </c>
      <c r="J95" s="3" t="s">
        <v>39</v>
      </c>
      <c r="K95" s="3" t="s">
        <v>64</v>
      </c>
      <c r="L95" s="3" t="s">
        <v>42</v>
      </c>
      <c r="M95">
        <v>1</v>
      </c>
    </row>
    <row r="96" spans="1:13" x14ac:dyDescent="0.25">
      <c r="A96" s="2">
        <v>46240</v>
      </c>
      <c r="B96" s="1" t="str">
        <f ca="1">IF(Información1[[#This Row],[Fecha]]='Ajuste de fechas'!$A$2,"Día actual","Día anterior")</f>
        <v>Día anterior</v>
      </c>
      <c r="C96" s="3" t="s">
        <v>50</v>
      </c>
      <c r="D96" t="s">
        <v>52</v>
      </c>
      <c r="E96" s="3" t="s">
        <v>238</v>
      </c>
      <c r="F96" s="3" t="s">
        <v>197</v>
      </c>
      <c r="G96" s="3" t="s">
        <v>198</v>
      </c>
      <c r="H96" s="3" t="s">
        <v>11</v>
      </c>
      <c r="I96" s="3" t="s">
        <v>7</v>
      </c>
      <c r="J96" s="3" t="s">
        <v>24</v>
      </c>
      <c r="K96" s="3" t="s">
        <v>49</v>
      </c>
      <c r="L96" s="3" t="s">
        <v>40</v>
      </c>
      <c r="M96">
        <v>1</v>
      </c>
    </row>
    <row r="97" spans="1:13" x14ac:dyDescent="0.25">
      <c r="A97" s="2">
        <v>46240</v>
      </c>
      <c r="B97" s="1" t="str">
        <f ca="1">IF(Información1[[#This Row],[Fecha]]='Ajuste de fechas'!$A$2,"Día actual","Día anterior")</f>
        <v>Día anterior</v>
      </c>
      <c r="C97" s="3" t="s">
        <v>50</v>
      </c>
      <c r="D97" t="s">
        <v>52</v>
      </c>
      <c r="E97" s="3" t="s">
        <v>239</v>
      </c>
      <c r="F97" s="3" t="s">
        <v>22</v>
      </c>
      <c r="G97" s="3" t="s">
        <v>206</v>
      </c>
      <c r="H97" s="3" t="s">
        <v>11</v>
      </c>
      <c r="I97" s="3" t="s">
        <v>7</v>
      </c>
      <c r="J97" s="3" t="s">
        <v>44</v>
      </c>
      <c r="K97" s="3" t="s">
        <v>49</v>
      </c>
      <c r="L97" s="3" t="s">
        <v>40</v>
      </c>
      <c r="M97">
        <v>1</v>
      </c>
    </row>
    <row r="98" spans="1:13" x14ac:dyDescent="0.25">
      <c r="A98" s="2">
        <v>46240</v>
      </c>
      <c r="B98" s="1" t="str">
        <f ca="1">IF(Información1[[#This Row],[Fecha]]='Ajuste de fechas'!$A$2,"Día actual","Día anterior")</f>
        <v>Día anterior</v>
      </c>
      <c r="C98" s="3" t="s">
        <v>50</v>
      </c>
      <c r="D98" t="s">
        <v>52</v>
      </c>
      <c r="E98" s="3" t="s">
        <v>219</v>
      </c>
      <c r="F98" s="3" t="s">
        <v>22</v>
      </c>
      <c r="G98" s="3" t="s">
        <v>220</v>
      </c>
      <c r="H98" s="3" t="s">
        <v>11</v>
      </c>
      <c r="I98" s="3" t="s">
        <v>7</v>
      </c>
      <c r="J98" s="3" t="s">
        <v>44</v>
      </c>
      <c r="K98" s="3" t="s">
        <v>51</v>
      </c>
      <c r="L98" s="3" t="s">
        <v>40</v>
      </c>
      <c r="M98">
        <v>1</v>
      </c>
    </row>
    <row r="99" spans="1:13" x14ac:dyDescent="0.25">
      <c r="A99" s="2">
        <v>46240</v>
      </c>
      <c r="B99" s="1" t="str">
        <f ca="1">IF(Información1[[#This Row],[Fecha]]='Ajuste de fechas'!$A$2,"Día actual","Día anterior")</f>
        <v>Día anterior</v>
      </c>
      <c r="C99" s="3" t="s">
        <v>50</v>
      </c>
      <c r="D99" t="s">
        <v>52</v>
      </c>
      <c r="E99" s="3" t="s">
        <v>240</v>
      </c>
      <c r="F99" s="3" t="s">
        <v>19</v>
      </c>
      <c r="G99" s="3" t="s">
        <v>98</v>
      </c>
      <c r="H99" s="3" t="s">
        <v>11</v>
      </c>
      <c r="I99" s="3" t="s">
        <v>7</v>
      </c>
      <c r="J99" s="3" t="s">
        <v>43</v>
      </c>
      <c r="K99" s="3" t="s">
        <v>51</v>
      </c>
      <c r="L99" s="3" t="s">
        <v>40</v>
      </c>
      <c r="M99">
        <v>1</v>
      </c>
    </row>
    <row r="100" spans="1:13" x14ac:dyDescent="0.25">
      <c r="A100" s="2">
        <v>46240</v>
      </c>
      <c r="B100" s="1" t="str">
        <f ca="1">IF(Información1[[#This Row],[Fecha]]='Ajuste de fechas'!$A$2,"Día actual","Día anterior")</f>
        <v>Día anterior</v>
      </c>
      <c r="C100" s="3" t="s">
        <v>50</v>
      </c>
      <c r="D100" t="s">
        <v>52</v>
      </c>
      <c r="E100" s="3" t="s">
        <v>241</v>
      </c>
      <c r="F100" s="3" t="s">
        <v>17</v>
      </c>
      <c r="G100" s="3" t="s">
        <v>113</v>
      </c>
      <c r="H100" s="3" t="s">
        <v>11</v>
      </c>
      <c r="I100" s="3" t="s">
        <v>25</v>
      </c>
      <c r="J100" s="3" t="s">
        <v>39</v>
      </c>
      <c r="K100" s="3" t="s">
        <v>9</v>
      </c>
      <c r="L100" s="3" t="s">
        <v>41</v>
      </c>
      <c r="M100">
        <v>1</v>
      </c>
    </row>
    <row r="101" spans="1:13" x14ac:dyDescent="0.25">
      <c r="A101" s="2">
        <v>46240</v>
      </c>
      <c r="B101" s="1" t="str">
        <f ca="1">IF(Información1[[#This Row],[Fecha]]='Ajuste de fechas'!$A$2,"Día actual","Día anterior")</f>
        <v>Día anterior</v>
      </c>
      <c r="C101" s="3" t="s">
        <v>50</v>
      </c>
      <c r="D101" t="s">
        <v>52</v>
      </c>
      <c r="E101" s="3" t="s">
        <v>242</v>
      </c>
      <c r="F101" s="3" t="s">
        <v>97</v>
      </c>
      <c r="G101" s="3" t="s">
        <v>79</v>
      </c>
      <c r="H101" s="3" t="s">
        <v>11</v>
      </c>
      <c r="I101" s="3" t="s">
        <v>12</v>
      </c>
      <c r="J101" s="3" t="s">
        <v>39</v>
      </c>
      <c r="K101" s="3" t="s">
        <v>49</v>
      </c>
      <c r="L101" s="3" t="s">
        <v>95</v>
      </c>
      <c r="M101">
        <v>1</v>
      </c>
    </row>
    <row r="102" spans="1:13" x14ac:dyDescent="0.25">
      <c r="A102" s="2">
        <v>46240</v>
      </c>
      <c r="B102" s="1" t="str">
        <f ca="1">IF(Información1[[#This Row],[Fecha]]='Ajuste de fechas'!$A$2,"Día actual","Día anterior")</f>
        <v>Día anterior</v>
      </c>
      <c r="C102" s="3" t="s">
        <v>50</v>
      </c>
      <c r="D102" t="s">
        <v>52</v>
      </c>
      <c r="E102" s="3" t="s">
        <v>243</v>
      </c>
      <c r="F102" s="3" t="s">
        <v>92</v>
      </c>
      <c r="G102" s="3" t="s">
        <v>220</v>
      </c>
      <c r="H102" s="3" t="s">
        <v>11</v>
      </c>
      <c r="I102" s="3" t="s">
        <v>7</v>
      </c>
      <c r="J102" s="3" t="s">
        <v>39</v>
      </c>
      <c r="K102" s="3" t="s">
        <v>49</v>
      </c>
      <c r="L102" s="3" t="s">
        <v>70</v>
      </c>
      <c r="M102">
        <v>1</v>
      </c>
    </row>
    <row r="103" spans="1:13" x14ac:dyDescent="0.25">
      <c r="A103" s="2">
        <v>46240</v>
      </c>
      <c r="B103" s="1" t="str">
        <f ca="1">IF(Información1[[#This Row],[Fecha]]='Ajuste de fechas'!$A$2,"Día actual","Día anterior")</f>
        <v>Día anterior</v>
      </c>
      <c r="C103" s="3" t="s">
        <v>50</v>
      </c>
      <c r="D103" t="s">
        <v>52</v>
      </c>
      <c r="E103" s="3" t="s">
        <v>234</v>
      </c>
      <c r="F103" s="3" t="s">
        <v>26</v>
      </c>
      <c r="G103" s="3" t="s">
        <v>77</v>
      </c>
      <c r="H103" s="3" t="s">
        <v>11</v>
      </c>
      <c r="I103" s="3" t="s">
        <v>7</v>
      </c>
      <c r="J103" s="3" t="s">
        <v>39</v>
      </c>
      <c r="K103" s="3" t="s">
        <v>49</v>
      </c>
      <c r="L103" s="3" t="s">
        <v>42</v>
      </c>
      <c r="M103">
        <v>1</v>
      </c>
    </row>
    <row r="104" spans="1:13" x14ac:dyDescent="0.25">
      <c r="A104" s="2">
        <v>46240</v>
      </c>
      <c r="B104" s="1" t="str">
        <f ca="1">IF(Información1[[#This Row],[Fecha]]='Ajuste de fechas'!$A$2,"Día actual","Día anterior")</f>
        <v>Día anterior</v>
      </c>
      <c r="C104" s="3" t="s">
        <v>50</v>
      </c>
      <c r="D104" t="s">
        <v>52</v>
      </c>
      <c r="E104" s="3" t="s">
        <v>244</v>
      </c>
      <c r="F104" s="3" t="s">
        <v>26</v>
      </c>
      <c r="G104" s="3" t="s">
        <v>77</v>
      </c>
      <c r="H104" s="3" t="s">
        <v>11</v>
      </c>
      <c r="I104" s="3" t="s">
        <v>7</v>
      </c>
      <c r="J104" s="3" t="s">
        <v>39</v>
      </c>
      <c r="K104" s="3" t="s">
        <v>49</v>
      </c>
      <c r="L104" s="3" t="s">
        <v>42</v>
      </c>
      <c r="M104">
        <v>1</v>
      </c>
    </row>
    <row r="105" spans="1:13" x14ac:dyDescent="0.25">
      <c r="A105" s="2">
        <v>46240</v>
      </c>
      <c r="B105" s="1" t="str">
        <f ca="1">IF(Información1[[#This Row],[Fecha]]='Ajuste de fechas'!$A$2,"Día actual","Día anterior")</f>
        <v>Día anterior</v>
      </c>
      <c r="C105" s="3" t="s">
        <v>50</v>
      </c>
      <c r="D105" t="s">
        <v>52</v>
      </c>
      <c r="E105" s="3" t="s">
        <v>233</v>
      </c>
      <c r="F105" s="3" t="s">
        <v>23</v>
      </c>
      <c r="G105" s="3" t="s">
        <v>85</v>
      </c>
      <c r="H105" s="3" t="s">
        <v>11</v>
      </c>
      <c r="I105" s="3" t="s">
        <v>7</v>
      </c>
      <c r="J105" s="3" t="s">
        <v>39</v>
      </c>
      <c r="K105" s="3" t="s">
        <v>49</v>
      </c>
      <c r="L105" s="3" t="s">
        <v>42</v>
      </c>
      <c r="M105">
        <v>1</v>
      </c>
    </row>
    <row r="106" spans="1:13" x14ac:dyDescent="0.25">
      <c r="A106" s="2">
        <v>46241</v>
      </c>
      <c r="B106" s="1" t="str">
        <f ca="1">IF(Información1[[#This Row],[Fecha]]='Ajuste de fechas'!$A$2,"Día actual","Día anterior")</f>
        <v>Día actual</v>
      </c>
      <c r="C106" s="3" t="s">
        <v>28</v>
      </c>
      <c r="D106" t="s">
        <v>65</v>
      </c>
      <c r="E106" s="3" t="s">
        <v>245</v>
      </c>
      <c r="F106" s="3" t="s">
        <v>19</v>
      </c>
      <c r="G106" s="3" t="s">
        <v>224</v>
      </c>
      <c r="H106" s="3" t="s">
        <v>11</v>
      </c>
      <c r="I106" s="3" t="s">
        <v>7</v>
      </c>
      <c r="J106" s="3" t="s">
        <v>43</v>
      </c>
      <c r="K106" s="3" t="s">
        <v>66</v>
      </c>
      <c r="L106" s="3" t="s">
        <v>40</v>
      </c>
      <c r="M106">
        <v>1</v>
      </c>
    </row>
    <row r="107" spans="1:13" x14ac:dyDescent="0.25">
      <c r="A107" s="2">
        <v>46241</v>
      </c>
      <c r="B107" s="1" t="str">
        <f ca="1">IF(Información1[[#This Row],[Fecha]]='Ajuste de fechas'!$A$2,"Día actual","Día anterior")</f>
        <v>Día actual</v>
      </c>
      <c r="C107" s="3" t="s">
        <v>28</v>
      </c>
      <c r="D107" t="s">
        <v>65</v>
      </c>
      <c r="E107" s="3" t="s">
        <v>246</v>
      </c>
      <c r="F107" s="3" t="s">
        <v>19</v>
      </c>
      <c r="G107" s="3" t="s">
        <v>247</v>
      </c>
      <c r="H107" s="3" t="s">
        <v>11</v>
      </c>
      <c r="I107" s="3" t="s">
        <v>7</v>
      </c>
      <c r="J107" s="3" t="s">
        <v>43</v>
      </c>
      <c r="K107" s="3" t="s">
        <v>66</v>
      </c>
      <c r="L107" s="3" t="s">
        <v>40</v>
      </c>
      <c r="M107">
        <v>1</v>
      </c>
    </row>
    <row r="108" spans="1:13" x14ac:dyDescent="0.25">
      <c r="A108" s="2">
        <v>46241</v>
      </c>
      <c r="B108" s="1" t="str">
        <f ca="1">IF(Información1[[#This Row],[Fecha]]='Ajuste de fechas'!$A$2,"Día actual","Día anterior")</f>
        <v>Día actual</v>
      </c>
      <c r="C108" s="3" t="s">
        <v>28</v>
      </c>
      <c r="D108" t="s">
        <v>65</v>
      </c>
      <c r="E108" s="3" t="s">
        <v>248</v>
      </c>
      <c r="F108" s="3" t="s">
        <v>22</v>
      </c>
      <c r="G108" s="3" t="s">
        <v>100</v>
      </c>
      <c r="H108" s="3" t="s">
        <v>11</v>
      </c>
      <c r="I108" s="3" t="s">
        <v>7</v>
      </c>
      <c r="J108" s="3" t="s">
        <v>44</v>
      </c>
      <c r="K108" s="3" t="s">
        <v>66</v>
      </c>
      <c r="L108" s="3" t="s">
        <v>40</v>
      </c>
      <c r="M108">
        <v>1</v>
      </c>
    </row>
    <row r="109" spans="1:13" x14ac:dyDescent="0.25">
      <c r="A109" s="2">
        <v>46241</v>
      </c>
      <c r="B109" s="1" t="str">
        <f ca="1">IF(Información1[[#This Row],[Fecha]]='Ajuste de fechas'!$A$2,"Día actual","Día anterior")</f>
        <v>Día actual</v>
      </c>
      <c r="C109" s="3" t="s">
        <v>28</v>
      </c>
      <c r="D109" t="s">
        <v>65</v>
      </c>
      <c r="E109" s="3" t="s">
        <v>249</v>
      </c>
      <c r="F109" s="3" t="s">
        <v>22</v>
      </c>
      <c r="G109" s="3" t="s">
        <v>250</v>
      </c>
      <c r="H109" s="3" t="s">
        <v>11</v>
      </c>
      <c r="I109" s="3" t="s">
        <v>7</v>
      </c>
      <c r="J109" s="3" t="s">
        <v>44</v>
      </c>
      <c r="K109" s="3" t="s">
        <v>66</v>
      </c>
      <c r="L109" s="3" t="s">
        <v>40</v>
      </c>
      <c r="M109">
        <v>1</v>
      </c>
    </row>
    <row r="110" spans="1:13" x14ac:dyDescent="0.25">
      <c r="A110" s="2">
        <v>46241</v>
      </c>
      <c r="B110" s="1" t="str">
        <f ca="1">IF(Información1[[#This Row],[Fecha]]='Ajuste de fechas'!$A$2,"Día actual","Día anterior")</f>
        <v>Día actual</v>
      </c>
      <c r="C110" s="3" t="s">
        <v>28</v>
      </c>
      <c r="D110" t="s">
        <v>65</v>
      </c>
      <c r="E110" s="3" t="s">
        <v>251</v>
      </c>
      <c r="F110" s="3" t="s">
        <v>24</v>
      </c>
      <c r="G110" s="3" t="s">
        <v>252</v>
      </c>
      <c r="H110" s="3" t="s">
        <v>11</v>
      </c>
      <c r="I110" s="3" t="s">
        <v>7</v>
      </c>
      <c r="J110" s="3" t="s">
        <v>24</v>
      </c>
      <c r="K110" s="3" t="s">
        <v>66</v>
      </c>
      <c r="L110" s="3" t="s">
        <v>40</v>
      </c>
      <c r="M110">
        <v>1</v>
      </c>
    </row>
    <row r="111" spans="1:13" x14ac:dyDescent="0.25">
      <c r="A111" s="2">
        <v>46241</v>
      </c>
      <c r="B111" s="1" t="str">
        <f ca="1">IF(Información1[[#This Row],[Fecha]]='Ajuste de fechas'!$A$2,"Día actual","Día anterior")</f>
        <v>Día actual</v>
      </c>
      <c r="C111" s="3" t="s">
        <v>28</v>
      </c>
      <c r="D111" t="s">
        <v>65</v>
      </c>
      <c r="E111" s="3" t="s">
        <v>253</v>
      </c>
      <c r="F111" s="3" t="s">
        <v>228</v>
      </c>
      <c r="G111" s="3" t="s">
        <v>254</v>
      </c>
      <c r="H111" s="3" t="s">
        <v>11</v>
      </c>
      <c r="I111" s="3" t="s">
        <v>7</v>
      </c>
      <c r="J111" s="3" t="s">
        <v>39</v>
      </c>
      <c r="K111" s="3" t="s">
        <v>66</v>
      </c>
      <c r="L111" s="3" t="s">
        <v>40</v>
      </c>
      <c r="M111">
        <v>1</v>
      </c>
    </row>
    <row r="112" spans="1:13" x14ac:dyDescent="0.25">
      <c r="A112" s="2">
        <v>46241</v>
      </c>
      <c r="B112" s="1" t="str">
        <f ca="1">IF(Información1[[#This Row],[Fecha]]='Ajuste de fechas'!$A$2,"Día actual","Día anterior")</f>
        <v>Día actual</v>
      </c>
      <c r="C112" s="3" t="s">
        <v>28</v>
      </c>
      <c r="D112" t="s">
        <v>65</v>
      </c>
      <c r="E112" s="3" t="s">
        <v>235</v>
      </c>
      <c r="F112" s="3" t="s">
        <v>15</v>
      </c>
      <c r="G112" s="3" t="s">
        <v>236</v>
      </c>
      <c r="H112" s="3" t="s">
        <v>11</v>
      </c>
      <c r="I112" s="3" t="s">
        <v>7</v>
      </c>
      <c r="J112" s="3" t="s">
        <v>39</v>
      </c>
      <c r="K112" s="3" t="s">
        <v>66</v>
      </c>
      <c r="L112" s="3" t="s">
        <v>42</v>
      </c>
      <c r="M112">
        <v>1</v>
      </c>
    </row>
    <row r="113" spans="1:13" x14ac:dyDescent="0.25">
      <c r="A113" s="2">
        <v>46241</v>
      </c>
      <c r="B113" s="1" t="str">
        <f ca="1">IF(Información1[[#This Row],[Fecha]]='Ajuste de fechas'!$A$2,"Día actual","Día anterior")</f>
        <v>Día actual</v>
      </c>
      <c r="C113" s="3" t="s">
        <v>28</v>
      </c>
      <c r="D113" t="s">
        <v>65</v>
      </c>
      <c r="E113" s="3" t="s">
        <v>225</v>
      </c>
      <c r="F113" s="3" t="s">
        <v>107</v>
      </c>
      <c r="G113" s="3" t="s">
        <v>255</v>
      </c>
      <c r="H113" s="3" t="s">
        <v>11</v>
      </c>
      <c r="I113" s="3" t="s">
        <v>7</v>
      </c>
      <c r="J113" s="3" t="s">
        <v>39</v>
      </c>
      <c r="K113" s="3" t="s">
        <v>66</v>
      </c>
      <c r="L113" s="3" t="s">
        <v>42</v>
      </c>
      <c r="M113">
        <v>1</v>
      </c>
    </row>
    <row r="114" spans="1:13" x14ac:dyDescent="0.25">
      <c r="A114" s="2">
        <v>46241</v>
      </c>
      <c r="B114" s="1" t="str">
        <f ca="1">IF(Información1[[#This Row],[Fecha]]='Ajuste de fechas'!$A$2,"Día actual","Día anterior")</f>
        <v>Día actual</v>
      </c>
      <c r="C114" s="3" t="s">
        <v>28</v>
      </c>
      <c r="D114" t="s">
        <v>65</v>
      </c>
      <c r="E114" s="3" t="s">
        <v>256</v>
      </c>
      <c r="F114" s="3" t="s">
        <v>24</v>
      </c>
      <c r="G114" s="3" t="s">
        <v>118</v>
      </c>
      <c r="H114" s="3" t="s">
        <v>11</v>
      </c>
      <c r="I114" s="3" t="s">
        <v>7</v>
      </c>
      <c r="J114" s="3" t="s">
        <v>24</v>
      </c>
      <c r="K114" s="3" t="s">
        <v>66</v>
      </c>
      <c r="L114" s="3" t="s">
        <v>70</v>
      </c>
      <c r="M114">
        <v>1</v>
      </c>
    </row>
    <row r="115" spans="1:13" x14ac:dyDescent="0.25">
      <c r="A115" s="2">
        <v>46241</v>
      </c>
      <c r="B115" s="1" t="str">
        <f ca="1">IF(Información1[[#This Row],[Fecha]]='Ajuste de fechas'!$A$2,"Día actual","Día anterior")</f>
        <v>Día actual</v>
      </c>
      <c r="C115" s="3" t="s">
        <v>28</v>
      </c>
      <c r="D115" t="s">
        <v>72</v>
      </c>
      <c r="E115" s="3" t="s">
        <v>257</v>
      </c>
      <c r="F115" s="3" t="s">
        <v>19</v>
      </c>
      <c r="G115" s="3" t="s">
        <v>258</v>
      </c>
      <c r="H115" s="3" t="s">
        <v>11</v>
      </c>
      <c r="I115" s="3" t="s">
        <v>25</v>
      </c>
      <c r="J115" s="3" t="s">
        <v>43</v>
      </c>
      <c r="K115" s="3" t="s">
        <v>73</v>
      </c>
      <c r="L115" s="3" t="s">
        <v>40</v>
      </c>
      <c r="M115">
        <v>1</v>
      </c>
    </row>
    <row r="116" spans="1:13" x14ac:dyDescent="0.25">
      <c r="A116" s="2">
        <v>46241</v>
      </c>
      <c r="B116" s="1" t="str">
        <f ca="1">IF(Información1[[#This Row],[Fecha]]='Ajuste de fechas'!$A$2,"Día actual","Día anterior")</f>
        <v>Día actual</v>
      </c>
      <c r="C116" s="3" t="s">
        <v>28</v>
      </c>
      <c r="D116" t="s">
        <v>72</v>
      </c>
      <c r="E116" s="3" t="s">
        <v>259</v>
      </c>
      <c r="F116" s="3" t="s">
        <v>19</v>
      </c>
      <c r="G116" s="3" t="s">
        <v>260</v>
      </c>
      <c r="H116" s="3" t="s">
        <v>11</v>
      </c>
      <c r="I116" s="3" t="s">
        <v>7</v>
      </c>
      <c r="J116" s="3" t="s">
        <v>43</v>
      </c>
      <c r="K116" s="3" t="s">
        <v>73</v>
      </c>
      <c r="L116" s="3" t="s">
        <v>40</v>
      </c>
      <c r="M116">
        <v>1</v>
      </c>
    </row>
    <row r="117" spans="1:13" x14ac:dyDescent="0.25">
      <c r="A117" s="2">
        <v>46241</v>
      </c>
      <c r="B117" s="1" t="str">
        <f ca="1">IF(Información1[[#This Row],[Fecha]]='Ajuste de fechas'!$A$2,"Día actual","Día anterior")</f>
        <v>Día actual</v>
      </c>
      <c r="C117" s="3" t="s">
        <v>28</v>
      </c>
      <c r="D117" t="s">
        <v>72</v>
      </c>
      <c r="E117" s="3" t="s">
        <v>261</v>
      </c>
      <c r="F117" s="3" t="s">
        <v>107</v>
      </c>
      <c r="G117" s="3" t="s">
        <v>255</v>
      </c>
      <c r="H117" s="3" t="s">
        <v>11</v>
      </c>
      <c r="I117" s="3" t="s">
        <v>7</v>
      </c>
      <c r="J117" s="3" t="s">
        <v>39</v>
      </c>
      <c r="K117" s="3" t="s">
        <v>73</v>
      </c>
      <c r="L117" s="3" t="s">
        <v>40</v>
      </c>
      <c r="M117">
        <v>1</v>
      </c>
    </row>
    <row r="118" spans="1:13" x14ac:dyDescent="0.25">
      <c r="A118" s="2">
        <v>46241</v>
      </c>
      <c r="B118" s="1" t="str">
        <f ca="1">IF(Información1[[#This Row],[Fecha]]='Ajuste de fechas'!$A$2,"Día actual","Día anterior")</f>
        <v>Día actual</v>
      </c>
      <c r="C118" s="3" t="s">
        <v>28</v>
      </c>
      <c r="D118" t="s">
        <v>72</v>
      </c>
      <c r="E118" s="3" t="s">
        <v>262</v>
      </c>
      <c r="F118" s="3" t="s">
        <v>31</v>
      </c>
      <c r="G118" s="3" t="s">
        <v>263</v>
      </c>
      <c r="H118" s="3" t="s">
        <v>11</v>
      </c>
      <c r="I118" s="3" t="s">
        <v>7</v>
      </c>
      <c r="J118" s="3" t="s">
        <v>39</v>
      </c>
      <c r="K118" s="3" t="s">
        <v>73</v>
      </c>
      <c r="L118" s="3" t="s">
        <v>40</v>
      </c>
      <c r="M118">
        <v>1</v>
      </c>
    </row>
    <row r="119" spans="1:13" x14ac:dyDescent="0.25">
      <c r="A119" s="2">
        <v>46241</v>
      </c>
      <c r="B119" s="1" t="str">
        <f ca="1">IF(Información1[[#This Row],[Fecha]]='Ajuste de fechas'!$A$2,"Día actual","Día anterior")</f>
        <v>Día actual</v>
      </c>
      <c r="C119" s="3" t="s">
        <v>28</v>
      </c>
      <c r="D119" t="s">
        <v>72</v>
      </c>
      <c r="E119" s="3" t="s">
        <v>264</v>
      </c>
      <c r="F119" s="3" t="s">
        <v>228</v>
      </c>
      <c r="G119" s="3" t="s">
        <v>229</v>
      </c>
      <c r="H119" s="3" t="s">
        <v>11</v>
      </c>
      <c r="I119" s="3" t="s">
        <v>7</v>
      </c>
      <c r="J119" s="3" t="s">
        <v>39</v>
      </c>
      <c r="K119" s="3" t="s">
        <v>73</v>
      </c>
      <c r="L119" s="3" t="s">
        <v>40</v>
      </c>
      <c r="M119">
        <v>1</v>
      </c>
    </row>
    <row r="120" spans="1:13" x14ac:dyDescent="0.25">
      <c r="A120" s="2">
        <v>46241</v>
      </c>
      <c r="B120" s="1" t="str">
        <f ca="1">IF(Información1[[#This Row],[Fecha]]='Ajuste de fechas'!$A$2,"Día actual","Día anterior")</f>
        <v>Día actual</v>
      </c>
      <c r="C120" s="3" t="s">
        <v>28</v>
      </c>
      <c r="D120" t="s">
        <v>72</v>
      </c>
      <c r="E120" s="3" t="s">
        <v>265</v>
      </c>
      <c r="F120" s="3" t="s">
        <v>104</v>
      </c>
      <c r="G120" s="3" t="s">
        <v>266</v>
      </c>
      <c r="H120" s="3" t="s">
        <v>11</v>
      </c>
      <c r="I120" s="3" t="s">
        <v>7</v>
      </c>
      <c r="J120" s="3" t="s">
        <v>39</v>
      </c>
      <c r="K120" s="3" t="s">
        <v>73</v>
      </c>
      <c r="L120" s="3" t="s">
        <v>40</v>
      </c>
      <c r="M120">
        <v>1</v>
      </c>
    </row>
    <row r="121" spans="1:13" x14ac:dyDescent="0.25">
      <c r="A121" s="2">
        <v>46241</v>
      </c>
      <c r="B121" s="1" t="str">
        <f ca="1">IF(Información1[[#This Row],[Fecha]]='Ajuste de fechas'!$A$2,"Día actual","Día anterior")</f>
        <v>Día actual</v>
      </c>
      <c r="C121" s="3" t="s">
        <v>28</v>
      </c>
      <c r="D121" t="s">
        <v>72</v>
      </c>
      <c r="E121" s="3" t="s">
        <v>267</v>
      </c>
      <c r="F121" s="3" t="s">
        <v>92</v>
      </c>
      <c r="G121" s="3" t="s">
        <v>220</v>
      </c>
      <c r="H121" s="3" t="s">
        <v>11</v>
      </c>
      <c r="I121" s="3" t="s">
        <v>7</v>
      </c>
      <c r="J121" s="3" t="s">
        <v>39</v>
      </c>
      <c r="K121" s="3" t="s">
        <v>73</v>
      </c>
      <c r="L121" s="3" t="s">
        <v>40</v>
      </c>
      <c r="M121">
        <v>1</v>
      </c>
    </row>
    <row r="122" spans="1:13" x14ac:dyDescent="0.25">
      <c r="A122" s="2">
        <v>46241</v>
      </c>
      <c r="B122" s="1" t="str">
        <f ca="1">IF(Información1[[#This Row],[Fecha]]='Ajuste de fechas'!$A$2,"Día actual","Día anterior")</f>
        <v>Día actual</v>
      </c>
      <c r="C122" s="3" t="s">
        <v>28</v>
      </c>
      <c r="D122" t="s">
        <v>72</v>
      </c>
      <c r="E122" s="3" t="s">
        <v>268</v>
      </c>
      <c r="F122" s="3" t="s">
        <v>22</v>
      </c>
      <c r="G122" s="3" t="s">
        <v>159</v>
      </c>
      <c r="H122" s="3" t="s">
        <v>11</v>
      </c>
      <c r="I122" s="3" t="s">
        <v>7</v>
      </c>
      <c r="J122" s="3" t="s">
        <v>44</v>
      </c>
      <c r="K122" s="3" t="s">
        <v>73</v>
      </c>
      <c r="L122" s="3" t="s">
        <v>40</v>
      </c>
      <c r="M122">
        <v>1</v>
      </c>
    </row>
    <row r="123" spans="1:13" x14ac:dyDescent="0.25">
      <c r="A123" s="2">
        <v>46241</v>
      </c>
      <c r="B123" s="1" t="str">
        <f ca="1">IF(Información1[[#This Row],[Fecha]]='Ajuste de fechas'!$A$2,"Día actual","Día anterior")</f>
        <v>Día actual</v>
      </c>
      <c r="C123" s="3" t="s">
        <v>28</v>
      </c>
      <c r="D123" t="s">
        <v>72</v>
      </c>
      <c r="E123" s="3" t="s">
        <v>269</v>
      </c>
      <c r="F123" s="3" t="s">
        <v>22</v>
      </c>
      <c r="G123" s="3" t="s">
        <v>87</v>
      </c>
      <c r="H123" s="3" t="s">
        <v>11</v>
      </c>
      <c r="I123" s="3" t="s">
        <v>7</v>
      </c>
      <c r="J123" s="3" t="s">
        <v>44</v>
      </c>
      <c r="K123" s="3" t="s">
        <v>73</v>
      </c>
      <c r="L123" s="3" t="s">
        <v>40</v>
      </c>
      <c r="M123">
        <v>1</v>
      </c>
    </row>
    <row r="124" spans="1:13" x14ac:dyDescent="0.25">
      <c r="A124" s="2">
        <v>46241</v>
      </c>
      <c r="B124" s="1" t="str">
        <f ca="1">IF(Información1[[#This Row],[Fecha]]='Ajuste de fechas'!$A$2,"Día actual","Día anterior")</f>
        <v>Día actual</v>
      </c>
      <c r="C124" s="3" t="s">
        <v>28</v>
      </c>
      <c r="D124" t="s">
        <v>72</v>
      </c>
      <c r="E124" s="3" t="s">
        <v>270</v>
      </c>
      <c r="F124" s="3" t="s">
        <v>48</v>
      </c>
      <c r="G124" s="3" t="s">
        <v>112</v>
      </c>
      <c r="H124" s="3" t="s">
        <v>11</v>
      </c>
      <c r="I124" s="3" t="s">
        <v>7</v>
      </c>
      <c r="J124" s="3" t="s">
        <v>39</v>
      </c>
      <c r="K124" s="3" t="s">
        <v>73</v>
      </c>
      <c r="L124" s="3" t="s">
        <v>40</v>
      </c>
      <c r="M124">
        <v>1</v>
      </c>
    </row>
    <row r="125" spans="1:13" x14ac:dyDescent="0.25">
      <c r="A125" s="2">
        <v>46241</v>
      </c>
      <c r="B125" s="1" t="str">
        <f ca="1">IF(Información1[[#This Row],[Fecha]]='Ajuste de fechas'!$A$2,"Día actual","Día anterior")</f>
        <v>Día actual</v>
      </c>
      <c r="C125" s="3" t="s">
        <v>28</v>
      </c>
      <c r="D125" t="s">
        <v>72</v>
      </c>
      <c r="E125" s="3" t="s">
        <v>271</v>
      </c>
      <c r="F125" s="3" t="s">
        <v>23</v>
      </c>
      <c r="G125" s="3" t="s">
        <v>85</v>
      </c>
      <c r="H125" s="3" t="s">
        <v>11</v>
      </c>
      <c r="I125" s="3" t="s">
        <v>7</v>
      </c>
      <c r="J125" s="3" t="s">
        <v>39</v>
      </c>
      <c r="K125" s="3" t="s">
        <v>73</v>
      </c>
      <c r="L125" s="3" t="s">
        <v>40</v>
      </c>
      <c r="M125">
        <v>1</v>
      </c>
    </row>
    <row r="126" spans="1:13" x14ac:dyDescent="0.25">
      <c r="A126" s="2">
        <v>46241</v>
      </c>
      <c r="B126" s="1" t="str">
        <f ca="1">IF(Información1[[#This Row],[Fecha]]='Ajuste de fechas'!$A$2,"Día actual","Día anterior")</f>
        <v>Día actual</v>
      </c>
      <c r="C126" s="3" t="s">
        <v>28</v>
      </c>
      <c r="D126" t="s">
        <v>72</v>
      </c>
      <c r="E126" s="3" t="s">
        <v>272</v>
      </c>
      <c r="F126" s="3" t="s">
        <v>23</v>
      </c>
      <c r="G126" s="3" t="s">
        <v>85</v>
      </c>
      <c r="H126" s="3" t="s">
        <v>11</v>
      </c>
      <c r="I126" s="3" t="s">
        <v>7</v>
      </c>
      <c r="J126" s="3" t="s">
        <v>39</v>
      </c>
      <c r="K126" s="3" t="s">
        <v>73</v>
      </c>
      <c r="L126" s="3" t="s">
        <v>40</v>
      </c>
      <c r="M126">
        <v>1</v>
      </c>
    </row>
    <row r="127" spans="1:13" x14ac:dyDescent="0.25">
      <c r="A127" s="2">
        <v>46241</v>
      </c>
      <c r="B127" s="1" t="str">
        <f ca="1">IF(Información1[[#This Row],[Fecha]]='Ajuste de fechas'!$A$2,"Día actual","Día anterior")</f>
        <v>Día actual</v>
      </c>
      <c r="C127" s="3" t="s">
        <v>28</v>
      </c>
      <c r="D127" t="s">
        <v>72</v>
      </c>
      <c r="E127" s="3" t="s">
        <v>273</v>
      </c>
      <c r="F127" s="3" t="s">
        <v>19</v>
      </c>
      <c r="G127" s="3" t="s">
        <v>274</v>
      </c>
      <c r="H127" s="3" t="s">
        <v>11</v>
      </c>
      <c r="I127" s="3" t="s">
        <v>7</v>
      </c>
      <c r="J127" s="3" t="s">
        <v>43</v>
      </c>
      <c r="K127" s="3" t="s">
        <v>73</v>
      </c>
      <c r="L127" s="3" t="s">
        <v>40</v>
      </c>
      <c r="M127">
        <v>1</v>
      </c>
    </row>
    <row r="128" spans="1:13" x14ac:dyDescent="0.25">
      <c r="A128" s="2">
        <v>46241</v>
      </c>
      <c r="B128" s="1" t="str">
        <f ca="1">IF(Información1[[#This Row],[Fecha]]='Ajuste de fechas'!$A$2,"Día actual","Día anterior")</f>
        <v>Día actual</v>
      </c>
      <c r="C128" s="3" t="s">
        <v>28</v>
      </c>
      <c r="D128" t="s">
        <v>72</v>
      </c>
      <c r="E128" s="3" t="s">
        <v>275</v>
      </c>
      <c r="F128" s="3" t="s">
        <v>22</v>
      </c>
      <c r="G128" s="3" t="s">
        <v>87</v>
      </c>
      <c r="H128" s="3" t="s">
        <v>11</v>
      </c>
      <c r="I128" s="3" t="s">
        <v>7</v>
      </c>
      <c r="J128" s="3" t="s">
        <v>44</v>
      </c>
      <c r="K128" s="3" t="s">
        <v>73</v>
      </c>
      <c r="L128" s="3" t="s">
        <v>40</v>
      </c>
      <c r="M128">
        <v>1</v>
      </c>
    </row>
    <row r="129" spans="1:13" x14ac:dyDescent="0.25">
      <c r="A129" s="2">
        <v>46241</v>
      </c>
      <c r="B129" s="1" t="str">
        <f ca="1">IF(Información1[[#This Row],[Fecha]]='Ajuste de fechas'!$A$2,"Día actual","Día anterior")</f>
        <v>Día actual</v>
      </c>
      <c r="C129" s="3" t="s">
        <v>28</v>
      </c>
      <c r="D129" t="s">
        <v>72</v>
      </c>
      <c r="E129" s="3" t="s">
        <v>276</v>
      </c>
      <c r="F129" s="3" t="s">
        <v>228</v>
      </c>
      <c r="G129" s="3" t="s">
        <v>277</v>
      </c>
      <c r="H129" s="3" t="s">
        <v>11</v>
      </c>
      <c r="I129" s="3" t="s">
        <v>7</v>
      </c>
      <c r="J129" s="3" t="s">
        <v>39</v>
      </c>
      <c r="K129" s="3" t="s">
        <v>73</v>
      </c>
      <c r="L129" s="3" t="s">
        <v>40</v>
      </c>
      <c r="M129">
        <v>1</v>
      </c>
    </row>
    <row r="130" spans="1:13" x14ac:dyDescent="0.25">
      <c r="A130" s="2">
        <v>46241</v>
      </c>
      <c r="B130" s="1" t="str">
        <f ca="1">IF(Información1[[#This Row],[Fecha]]='Ajuste de fechas'!$A$2,"Día actual","Día anterior")</f>
        <v>Día actual</v>
      </c>
      <c r="C130" s="3" t="s">
        <v>28</v>
      </c>
      <c r="D130" t="s">
        <v>72</v>
      </c>
      <c r="E130" s="3" t="s">
        <v>278</v>
      </c>
      <c r="F130" s="3" t="s">
        <v>26</v>
      </c>
      <c r="G130" s="3" t="s">
        <v>77</v>
      </c>
      <c r="H130" s="3" t="s">
        <v>11</v>
      </c>
      <c r="I130" s="3" t="s">
        <v>7</v>
      </c>
      <c r="J130" s="3" t="s">
        <v>39</v>
      </c>
      <c r="K130" s="3" t="s">
        <v>73</v>
      </c>
      <c r="L130" s="3" t="s">
        <v>40</v>
      </c>
      <c r="M130">
        <v>1</v>
      </c>
    </row>
    <row r="131" spans="1:13" x14ac:dyDescent="0.25">
      <c r="A131" s="2">
        <v>46241</v>
      </c>
      <c r="B131" s="1" t="str">
        <f ca="1">IF(Información1[[#This Row],[Fecha]]='Ajuste de fechas'!$A$2,"Día actual","Día anterior")</f>
        <v>Día actual</v>
      </c>
      <c r="C131" s="3" t="s">
        <v>28</v>
      </c>
      <c r="D131" t="s">
        <v>72</v>
      </c>
      <c r="E131" s="3" t="s">
        <v>279</v>
      </c>
      <c r="F131" s="3" t="s">
        <v>26</v>
      </c>
      <c r="G131" s="3" t="s">
        <v>77</v>
      </c>
      <c r="H131" s="3" t="s">
        <v>11</v>
      </c>
      <c r="I131" s="3" t="s">
        <v>7</v>
      </c>
      <c r="J131" s="3" t="s">
        <v>39</v>
      </c>
      <c r="K131" s="3" t="s">
        <v>73</v>
      </c>
      <c r="L131" s="3" t="s">
        <v>40</v>
      </c>
      <c r="M131">
        <v>1</v>
      </c>
    </row>
    <row r="132" spans="1:13" x14ac:dyDescent="0.25">
      <c r="A132" s="2">
        <v>46241</v>
      </c>
      <c r="B132" s="1" t="str">
        <f ca="1">IF(Información1[[#This Row],[Fecha]]='Ajuste de fechas'!$A$2,"Día actual","Día anterior")</f>
        <v>Día actual</v>
      </c>
      <c r="C132" s="3" t="s">
        <v>28</v>
      </c>
      <c r="D132" t="s">
        <v>72</v>
      </c>
      <c r="E132" s="3" t="s">
        <v>280</v>
      </c>
      <c r="F132" s="3" t="s">
        <v>22</v>
      </c>
      <c r="G132" s="3" t="s">
        <v>100</v>
      </c>
      <c r="H132" s="3" t="s">
        <v>11</v>
      </c>
      <c r="I132" s="3" t="s">
        <v>7</v>
      </c>
      <c r="J132" s="3" t="s">
        <v>44</v>
      </c>
      <c r="K132" s="3" t="s">
        <v>73</v>
      </c>
      <c r="L132" s="3" t="s">
        <v>40</v>
      </c>
      <c r="M132">
        <v>1</v>
      </c>
    </row>
    <row r="133" spans="1:13" x14ac:dyDescent="0.25">
      <c r="A133" s="2">
        <v>46241</v>
      </c>
      <c r="B133" s="1" t="str">
        <f ca="1">IF(Información1[[#This Row],[Fecha]]='Ajuste de fechas'!$A$2,"Día actual","Día anterior")</f>
        <v>Día actual</v>
      </c>
      <c r="C133" s="3" t="s">
        <v>8</v>
      </c>
      <c r="D133" t="s">
        <v>10</v>
      </c>
      <c r="E133" s="3" t="s">
        <v>281</v>
      </c>
      <c r="F133" s="3" t="s">
        <v>282</v>
      </c>
      <c r="G133" s="3" t="s">
        <v>283</v>
      </c>
      <c r="H133" s="3" t="s">
        <v>11</v>
      </c>
      <c r="I133" s="3" t="s">
        <v>25</v>
      </c>
      <c r="J133" s="3" t="s">
        <v>39</v>
      </c>
      <c r="K133" s="3" t="s">
        <v>9</v>
      </c>
      <c r="L133" s="3" t="s">
        <v>41</v>
      </c>
      <c r="M133">
        <v>1</v>
      </c>
    </row>
    <row r="134" spans="1:13" x14ac:dyDescent="0.25">
      <c r="A134" s="2">
        <v>46241</v>
      </c>
      <c r="B134" s="1" t="str">
        <f ca="1">IF(Información1[[#This Row],[Fecha]]='Ajuste de fechas'!$A$2,"Día actual","Día anterior")</f>
        <v>Día actual</v>
      </c>
      <c r="C134" s="3" t="s">
        <v>8</v>
      </c>
      <c r="D134" t="s">
        <v>10</v>
      </c>
      <c r="E134" s="3" t="s">
        <v>284</v>
      </c>
      <c r="F134" s="3" t="s">
        <v>17</v>
      </c>
      <c r="G134" s="3" t="s">
        <v>113</v>
      </c>
      <c r="H134" s="3" t="s">
        <v>11</v>
      </c>
      <c r="I134" s="3" t="s">
        <v>25</v>
      </c>
      <c r="J134" s="3" t="s">
        <v>39</v>
      </c>
      <c r="K134" s="3" t="s">
        <v>9</v>
      </c>
      <c r="L134" s="3" t="s">
        <v>41</v>
      </c>
      <c r="M134">
        <v>1</v>
      </c>
    </row>
    <row r="135" spans="1:13" x14ac:dyDescent="0.25">
      <c r="A135" s="2">
        <v>46241</v>
      </c>
      <c r="B135" s="1" t="str">
        <f ca="1">IF(Información1[[#This Row],[Fecha]]='Ajuste de fechas'!$A$2,"Día actual","Día anterior")</f>
        <v>Día actual</v>
      </c>
      <c r="C135" s="3" t="s">
        <v>8</v>
      </c>
      <c r="D135" t="s">
        <v>10</v>
      </c>
      <c r="E135" s="3" t="s">
        <v>285</v>
      </c>
      <c r="F135" s="3" t="s">
        <v>6</v>
      </c>
      <c r="G135" s="3" t="s">
        <v>71</v>
      </c>
      <c r="H135" s="3" t="s">
        <v>11</v>
      </c>
      <c r="I135" s="3" t="s">
        <v>25</v>
      </c>
      <c r="J135" s="3" t="s">
        <v>39</v>
      </c>
      <c r="K135" s="3" t="s">
        <v>9</v>
      </c>
      <c r="L135" s="3" t="s">
        <v>41</v>
      </c>
      <c r="M135">
        <v>1</v>
      </c>
    </row>
    <row r="136" spans="1:13" x14ac:dyDescent="0.25">
      <c r="A136" s="2">
        <v>46241</v>
      </c>
      <c r="B136" s="1" t="str">
        <f ca="1">IF(Información1[[#This Row],[Fecha]]='Ajuste de fechas'!$A$2,"Día actual","Día anterior")</f>
        <v>Día actual</v>
      </c>
      <c r="C136" s="3" t="s">
        <v>8</v>
      </c>
      <c r="D136" t="s">
        <v>10</v>
      </c>
      <c r="E136" s="3" t="s">
        <v>286</v>
      </c>
      <c r="F136" s="3" t="s">
        <v>22</v>
      </c>
      <c r="G136" s="3" t="s">
        <v>89</v>
      </c>
      <c r="H136" s="3" t="s">
        <v>11</v>
      </c>
      <c r="I136" s="3" t="s">
        <v>7</v>
      </c>
      <c r="J136" s="3" t="s">
        <v>44</v>
      </c>
      <c r="K136" s="3" t="s">
        <v>14</v>
      </c>
      <c r="L136" s="3" t="s">
        <v>41</v>
      </c>
      <c r="M136">
        <v>1</v>
      </c>
    </row>
    <row r="137" spans="1:13" x14ac:dyDescent="0.25">
      <c r="A137" s="2">
        <v>46241</v>
      </c>
      <c r="B137" s="1" t="str">
        <f ca="1">IF(Información1[[#This Row],[Fecha]]='Ajuste de fechas'!$A$2,"Día actual","Día anterior")</f>
        <v>Día actual</v>
      </c>
      <c r="C137" s="3" t="s">
        <v>8</v>
      </c>
      <c r="D137" t="s">
        <v>10</v>
      </c>
      <c r="E137" s="3" t="s">
        <v>287</v>
      </c>
      <c r="F137" s="3" t="s">
        <v>19</v>
      </c>
      <c r="G137" s="3" t="s">
        <v>288</v>
      </c>
      <c r="H137" s="3" t="s">
        <v>11</v>
      </c>
      <c r="I137" s="3" t="s">
        <v>7</v>
      </c>
      <c r="J137" s="3" t="s">
        <v>43</v>
      </c>
      <c r="K137" s="3" t="s">
        <v>14</v>
      </c>
      <c r="L137" s="3" t="s">
        <v>40</v>
      </c>
      <c r="M137">
        <v>1</v>
      </c>
    </row>
    <row r="138" spans="1:13" x14ac:dyDescent="0.25">
      <c r="A138" s="2">
        <v>46241</v>
      </c>
      <c r="B138" s="1" t="str">
        <f ca="1">IF(Información1[[#This Row],[Fecha]]='Ajuste de fechas'!$A$2,"Día actual","Día anterior")</f>
        <v>Día actual</v>
      </c>
      <c r="C138" s="3" t="s">
        <v>8</v>
      </c>
      <c r="D138" t="s">
        <v>10</v>
      </c>
      <c r="E138" s="3" t="s">
        <v>289</v>
      </c>
      <c r="F138" s="3" t="s">
        <v>19</v>
      </c>
      <c r="G138" s="3" t="s">
        <v>106</v>
      </c>
      <c r="H138" s="3" t="s">
        <v>11</v>
      </c>
      <c r="I138" s="3" t="s">
        <v>7</v>
      </c>
      <c r="J138" s="3" t="s">
        <v>43</v>
      </c>
      <c r="K138" s="3" t="s">
        <v>14</v>
      </c>
      <c r="L138" s="3" t="s">
        <v>70</v>
      </c>
      <c r="M138">
        <v>1</v>
      </c>
    </row>
    <row r="139" spans="1:13" x14ac:dyDescent="0.25">
      <c r="A139" s="2">
        <v>46241</v>
      </c>
      <c r="B139" s="1" t="str">
        <f ca="1">IF(Información1[[#This Row],[Fecha]]='Ajuste de fechas'!$A$2,"Día actual","Día anterior")</f>
        <v>Día actual</v>
      </c>
      <c r="C139" s="3" t="s">
        <v>8</v>
      </c>
      <c r="D139" t="s">
        <v>10</v>
      </c>
      <c r="E139" s="3" t="s">
        <v>290</v>
      </c>
      <c r="F139" s="3" t="s">
        <v>19</v>
      </c>
      <c r="G139" s="3" t="s">
        <v>291</v>
      </c>
      <c r="H139" s="3" t="s">
        <v>11</v>
      </c>
      <c r="I139" s="3" t="s">
        <v>7</v>
      </c>
      <c r="J139" s="3" t="s">
        <v>43</v>
      </c>
      <c r="K139" s="3" t="s">
        <v>14</v>
      </c>
      <c r="L139" s="3" t="s">
        <v>40</v>
      </c>
      <c r="M139">
        <v>1</v>
      </c>
    </row>
    <row r="140" spans="1:13" x14ac:dyDescent="0.25">
      <c r="A140" s="2">
        <v>46241</v>
      </c>
      <c r="B140" s="1" t="str">
        <f ca="1">IF(Información1[[#This Row],[Fecha]]='Ajuste de fechas'!$A$2,"Día actual","Día anterior")</f>
        <v>Día actual</v>
      </c>
      <c r="C140" s="3" t="s">
        <v>8</v>
      </c>
      <c r="D140" t="s">
        <v>10</v>
      </c>
      <c r="E140" s="3" t="s">
        <v>292</v>
      </c>
      <c r="F140" s="3" t="s">
        <v>22</v>
      </c>
      <c r="G140" s="3" t="s">
        <v>116</v>
      </c>
      <c r="H140" s="3" t="s">
        <v>11</v>
      </c>
      <c r="I140" s="3" t="s">
        <v>7</v>
      </c>
      <c r="J140" s="3" t="s">
        <v>44</v>
      </c>
      <c r="K140" s="3" t="s">
        <v>14</v>
      </c>
      <c r="L140" s="3" t="s">
        <v>40</v>
      </c>
      <c r="M140">
        <v>1</v>
      </c>
    </row>
    <row r="141" spans="1:13" x14ac:dyDescent="0.25">
      <c r="A141" s="2">
        <v>46241</v>
      </c>
      <c r="B141" s="1" t="str">
        <f ca="1">IF(Información1[[#This Row],[Fecha]]='Ajuste de fechas'!$A$2,"Día actual","Día anterior")</f>
        <v>Día actual</v>
      </c>
      <c r="C141" s="3" t="s">
        <v>8</v>
      </c>
      <c r="D141" t="s">
        <v>10</v>
      </c>
      <c r="E141" s="3" t="s">
        <v>293</v>
      </c>
      <c r="F141" s="3" t="s">
        <v>19</v>
      </c>
      <c r="G141" s="3" t="s">
        <v>294</v>
      </c>
      <c r="H141" s="3" t="s">
        <v>11</v>
      </c>
      <c r="I141" s="3" t="s">
        <v>7</v>
      </c>
      <c r="J141" s="3" t="s">
        <v>43</v>
      </c>
      <c r="K141" s="3" t="s">
        <v>14</v>
      </c>
      <c r="L141" s="3" t="s">
        <v>40</v>
      </c>
      <c r="M141">
        <v>1</v>
      </c>
    </row>
    <row r="142" spans="1:13" x14ac:dyDescent="0.25">
      <c r="A142" s="2">
        <v>46241</v>
      </c>
      <c r="B142" s="1" t="str">
        <f ca="1">IF(Información1[[#This Row],[Fecha]]='Ajuste de fechas'!$A$2,"Día actual","Día anterior")</f>
        <v>Día actual</v>
      </c>
      <c r="C142" s="3" t="s">
        <v>8</v>
      </c>
      <c r="D142" t="s">
        <v>10</v>
      </c>
      <c r="E142" s="3" t="s">
        <v>295</v>
      </c>
      <c r="F142" s="3" t="s">
        <v>6</v>
      </c>
      <c r="G142" s="3" t="s">
        <v>108</v>
      </c>
      <c r="H142" s="3" t="s">
        <v>11</v>
      </c>
      <c r="I142" s="3" t="s">
        <v>7</v>
      </c>
      <c r="J142" s="3" t="s">
        <v>39</v>
      </c>
      <c r="K142" s="3" t="s">
        <v>14</v>
      </c>
      <c r="L142" s="3" t="s">
        <v>42</v>
      </c>
      <c r="M142">
        <v>1</v>
      </c>
    </row>
    <row r="143" spans="1:13" x14ac:dyDescent="0.25">
      <c r="A143" s="2">
        <v>46241</v>
      </c>
      <c r="B143" s="1" t="str">
        <f ca="1">IF(Información1[[#This Row],[Fecha]]='Ajuste de fechas'!$A$2,"Día actual","Día anterior")</f>
        <v>Día actual</v>
      </c>
      <c r="C143" s="3" t="s">
        <v>8</v>
      </c>
      <c r="D143" t="s">
        <v>10</v>
      </c>
      <c r="E143" s="3" t="s">
        <v>296</v>
      </c>
      <c r="F143" s="3" t="s">
        <v>97</v>
      </c>
      <c r="G143" s="3" t="s">
        <v>79</v>
      </c>
      <c r="H143" s="3" t="s">
        <v>11</v>
      </c>
      <c r="I143" s="3" t="s">
        <v>7</v>
      </c>
      <c r="J143" s="3" t="s">
        <v>39</v>
      </c>
      <c r="K143" s="3" t="s">
        <v>14</v>
      </c>
      <c r="L143" s="3" t="s">
        <v>40</v>
      </c>
      <c r="M143">
        <v>1</v>
      </c>
    </row>
    <row r="144" spans="1:13" x14ac:dyDescent="0.25">
      <c r="A144" s="2">
        <v>46241</v>
      </c>
      <c r="B144" s="1" t="str">
        <f ca="1">IF(Información1[[#This Row],[Fecha]]='Ajuste de fechas'!$A$2,"Día actual","Día anterior")</f>
        <v>Día actual</v>
      </c>
      <c r="C144" s="3" t="s">
        <v>8</v>
      </c>
      <c r="D144" t="s">
        <v>10</v>
      </c>
      <c r="E144" s="3" t="s">
        <v>232</v>
      </c>
      <c r="F144" s="3" t="s">
        <v>48</v>
      </c>
      <c r="G144" s="3" t="s">
        <v>112</v>
      </c>
      <c r="H144" s="3" t="s">
        <v>11</v>
      </c>
      <c r="I144" s="3" t="s">
        <v>7</v>
      </c>
      <c r="J144" s="3" t="s">
        <v>39</v>
      </c>
      <c r="K144" s="3" t="s">
        <v>14</v>
      </c>
      <c r="L144" s="3" t="s">
        <v>42</v>
      </c>
      <c r="M144">
        <v>1</v>
      </c>
    </row>
    <row r="145" spans="1:13" x14ac:dyDescent="0.25">
      <c r="A145" s="2">
        <v>46241</v>
      </c>
      <c r="B145" s="1" t="str">
        <f ca="1">IF(Información1[[#This Row],[Fecha]]='Ajuste de fechas'!$A$2,"Día actual","Día anterior")</f>
        <v>Día actual</v>
      </c>
      <c r="C145" s="3" t="s">
        <v>8</v>
      </c>
      <c r="D145" t="s">
        <v>10</v>
      </c>
      <c r="E145" s="3" t="s">
        <v>233</v>
      </c>
      <c r="F145" s="3" t="s">
        <v>23</v>
      </c>
      <c r="G145" s="3" t="s">
        <v>85</v>
      </c>
      <c r="H145" s="3" t="s">
        <v>11</v>
      </c>
      <c r="I145" s="3" t="s">
        <v>7</v>
      </c>
      <c r="J145" s="3" t="s">
        <v>39</v>
      </c>
      <c r="K145" s="3" t="s">
        <v>14</v>
      </c>
      <c r="L145" s="3" t="s">
        <v>42</v>
      </c>
      <c r="M145">
        <v>1</v>
      </c>
    </row>
    <row r="146" spans="1:13" x14ac:dyDescent="0.25">
      <c r="A146" s="2">
        <v>46241</v>
      </c>
      <c r="B146" s="1" t="str">
        <f ca="1">IF(Información1[[#This Row],[Fecha]]='Ajuste de fechas'!$A$2,"Día actual","Día anterior")</f>
        <v>Día actual</v>
      </c>
      <c r="C146" s="3" t="s">
        <v>8</v>
      </c>
      <c r="D146" t="s">
        <v>10</v>
      </c>
      <c r="E146" s="3" t="s">
        <v>20</v>
      </c>
      <c r="F146" s="3" t="s">
        <v>19</v>
      </c>
      <c r="G146" s="3" t="s">
        <v>32</v>
      </c>
      <c r="H146" s="3" t="s">
        <v>11</v>
      </c>
      <c r="I146" s="3" t="s">
        <v>12</v>
      </c>
      <c r="J146" s="3" t="s">
        <v>43</v>
      </c>
      <c r="K146" s="3" t="s">
        <v>14</v>
      </c>
      <c r="L146" s="3" t="s">
        <v>41</v>
      </c>
      <c r="M146">
        <v>1</v>
      </c>
    </row>
    <row r="147" spans="1:13" x14ac:dyDescent="0.25">
      <c r="A147" s="2">
        <v>46241</v>
      </c>
      <c r="B147" s="1" t="str">
        <f ca="1">IF(Información1[[#This Row],[Fecha]]='Ajuste de fechas'!$A$2,"Día actual","Día anterior")</f>
        <v>Día actual</v>
      </c>
      <c r="C147" s="3" t="s">
        <v>8</v>
      </c>
      <c r="D147" t="s">
        <v>10</v>
      </c>
      <c r="E147" s="3" t="s">
        <v>18</v>
      </c>
      <c r="F147" s="3" t="s">
        <v>19</v>
      </c>
      <c r="G147" s="3" t="s">
        <v>32</v>
      </c>
      <c r="H147" s="3" t="s">
        <v>11</v>
      </c>
      <c r="I147" s="3" t="s">
        <v>12</v>
      </c>
      <c r="J147" s="3" t="s">
        <v>43</v>
      </c>
      <c r="K147" s="3" t="s">
        <v>14</v>
      </c>
      <c r="L147" s="3" t="s">
        <v>41</v>
      </c>
      <c r="M147">
        <v>1</v>
      </c>
    </row>
    <row r="148" spans="1:13" x14ac:dyDescent="0.25">
      <c r="A148" s="2">
        <v>46241</v>
      </c>
      <c r="B148" s="1" t="str">
        <f ca="1">IF(Información1[[#This Row],[Fecha]]='Ajuste de fechas'!$A$2,"Día actual","Día anterior")</f>
        <v>Día actual</v>
      </c>
      <c r="C148" s="3" t="s">
        <v>8</v>
      </c>
      <c r="D148" t="s">
        <v>10</v>
      </c>
      <c r="E148" s="3" t="s">
        <v>86</v>
      </c>
      <c r="F148" s="3" t="s">
        <v>54</v>
      </c>
      <c r="G148" s="3" t="s">
        <v>32</v>
      </c>
      <c r="H148" s="3" t="s">
        <v>11</v>
      </c>
      <c r="I148" s="3" t="s">
        <v>12</v>
      </c>
      <c r="J148" s="3" t="s">
        <v>24</v>
      </c>
      <c r="K148" s="3" t="s">
        <v>14</v>
      </c>
      <c r="L148" s="3" t="s">
        <v>41</v>
      </c>
      <c r="M148">
        <v>1</v>
      </c>
    </row>
    <row r="149" spans="1:13" x14ac:dyDescent="0.25">
      <c r="A149" s="2">
        <v>46241</v>
      </c>
      <c r="B149" s="1" t="str">
        <f ca="1">IF(Información1[[#This Row],[Fecha]]='Ajuste de fechas'!$A$2,"Día actual","Día anterior")</f>
        <v>Día actual</v>
      </c>
      <c r="C149" s="3" t="s">
        <v>8</v>
      </c>
      <c r="D149" t="s">
        <v>10</v>
      </c>
      <c r="E149" s="3" t="s">
        <v>13</v>
      </c>
      <c r="F149" s="3" t="s">
        <v>15</v>
      </c>
      <c r="G149" s="3" t="s">
        <v>32</v>
      </c>
      <c r="H149" s="3" t="s">
        <v>11</v>
      </c>
      <c r="I149" s="3" t="s">
        <v>12</v>
      </c>
      <c r="J149" s="3" t="s">
        <v>39</v>
      </c>
      <c r="K149" s="3" t="s">
        <v>14</v>
      </c>
      <c r="L149" s="3" t="s">
        <v>41</v>
      </c>
      <c r="M149">
        <v>1</v>
      </c>
    </row>
    <row r="150" spans="1:13" x14ac:dyDescent="0.25">
      <c r="A150" s="2">
        <v>46241</v>
      </c>
      <c r="B150" s="1" t="str">
        <f ca="1">IF(Información1[[#This Row],[Fecha]]='Ajuste de fechas'!$A$2,"Día actual","Día anterior")</f>
        <v>Día actual</v>
      </c>
      <c r="C150" s="3" t="s">
        <v>8</v>
      </c>
      <c r="D150" t="s">
        <v>10</v>
      </c>
      <c r="E150" s="3" t="s">
        <v>16</v>
      </c>
      <c r="F150" s="3" t="s">
        <v>17</v>
      </c>
      <c r="G150" s="3" t="s">
        <v>32</v>
      </c>
      <c r="H150" s="3" t="s">
        <v>11</v>
      </c>
      <c r="I150" s="3" t="s">
        <v>12</v>
      </c>
      <c r="J150" s="3" t="s">
        <v>39</v>
      </c>
      <c r="K150" s="3" t="s">
        <v>14</v>
      </c>
      <c r="L150" s="3" t="s">
        <v>41</v>
      </c>
      <c r="M150">
        <v>1</v>
      </c>
    </row>
    <row r="151" spans="1:13" x14ac:dyDescent="0.25">
      <c r="A151" s="2">
        <v>46241</v>
      </c>
      <c r="B151" s="1" t="str">
        <f ca="1">IF(Información1[[#This Row],[Fecha]]='Ajuste de fechas'!$A$2,"Día actual","Día anterior")</f>
        <v>Día actual</v>
      </c>
      <c r="C151" s="3" t="s">
        <v>8</v>
      </c>
      <c r="D151" t="s">
        <v>10</v>
      </c>
      <c r="E151" s="3" t="s">
        <v>53</v>
      </c>
      <c r="F151" s="3" t="s">
        <v>6</v>
      </c>
      <c r="G151" s="3" t="s">
        <v>32</v>
      </c>
      <c r="H151" s="3" t="s">
        <v>11</v>
      </c>
      <c r="I151" s="3" t="s">
        <v>12</v>
      </c>
      <c r="J151" s="3" t="s">
        <v>39</v>
      </c>
      <c r="K151" s="3" t="s">
        <v>14</v>
      </c>
      <c r="L151" s="3" t="s">
        <v>41</v>
      </c>
      <c r="M151">
        <v>1</v>
      </c>
    </row>
    <row r="152" spans="1:13" x14ac:dyDescent="0.25">
      <c r="A152" s="2">
        <v>46240</v>
      </c>
      <c r="B152" s="1" t="str">
        <f ca="1">IF(Información1[[#This Row],[Fecha]]='Ajuste de fechas'!$A$2,"Día actual","Día anterior")</f>
        <v>Día anterior</v>
      </c>
      <c r="C152" s="3" t="s">
        <v>297</v>
      </c>
      <c r="D152" t="s">
        <v>298</v>
      </c>
      <c r="E152" s="3" t="s">
        <v>200</v>
      </c>
      <c r="F152" s="3" t="s">
        <v>23</v>
      </c>
      <c r="G152" s="3" t="s">
        <v>201</v>
      </c>
      <c r="H152" s="3" t="s">
        <v>57</v>
      </c>
      <c r="I152" s="3" t="s">
        <v>7</v>
      </c>
      <c r="J152" s="3" t="s">
        <v>39</v>
      </c>
      <c r="K152" s="3" t="s">
        <v>49</v>
      </c>
      <c r="L152" s="3" t="s">
        <v>42</v>
      </c>
      <c r="M152">
        <v>1</v>
      </c>
    </row>
    <row r="153" spans="1:13" x14ac:dyDescent="0.25">
      <c r="A153" s="2">
        <v>46240</v>
      </c>
      <c r="B153" s="1" t="str">
        <f ca="1">IF(Información1[[#This Row],[Fecha]]='Ajuste de fechas'!$A$2,"Día actual","Día anterior")</f>
        <v>Día anterior</v>
      </c>
      <c r="C153" s="3" t="s">
        <v>297</v>
      </c>
      <c r="D153" t="s">
        <v>298</v>
      </c>
      <c r="E153" s="3" t="s">
        <v>299</v>
      </c>
      <c r="F153" s="3" t="s">
        <v>21</v>
      </c>
      <c r="G153" s="3" t="s">
        <v>115</v>
      </c>
      <c r="H153" s="3" t="s">
        <v>57</v>
      </c>
      <c r="I153" s="3" t="s">
        <v>7</v>
      </c>
      <c r="J153" s="3" t="s">
        <v>39</v>
      </c>
      <c r="K153" s="3" t="s">
        <v>49</v>
      </c>
      <c r="L153" s="3" t="s">
        <v>42</v>
      </c>
      <c r="M153">
        <v>1</v>
      </c>
    </row>
    <row r="154" spans="1:13" x14ac:dyDescent="0.25">
      <c r="A154" s="2">
        <v>46240</v>
      </c>
      <c r="B154" s="1" t="str">
        <f ca="1">IF(Información1[[#This Row],[Fecha]]='Ajuste de fechas'!$A$2,"Día actual","Día anterior")</f>
        <v>Día anterior</v>
      </c>
      <c r="C154" s="3" t="s">
        <v>297</v>
      </c>
      <c r="D154" t="s">
        <v>298</v>
      </c>
      <c r="E154" s="3" t="s">
        <v>162</v>
      </c>
      <c r="F154" s="3" t="s">
        <v>21</v>
      </c>
      <c r="G154" s="3" t="s">
        <v>163</v>
      </c>
      <c r="H154" s="3" t="s">
        <v>57</v>
      </c>
      <c r="I154" s="3" t="s">
        <v>7</v>
      </c>
      <c r="J154" s="3" t="s">
        <v>39</v>
      </c>
      <c r="K154" s="3" t="s">
        <v>49</v>
      </c>
      <c r="L154" s="3" t="s">
        <v>42</v>
      </c>
      <c r="M154">
        <v>1</v>
      </c>
    </row>
    <row r="155" spans="1:13" x14ac:dyDescent="0.25">
      <c r="A155" s="2">
        <v>46240</v>
      </c>
      <c r="B155" s="1" t="str">
        <f ca="1">IF(Información1[[#This Row],[Fecha]]='Ajuste de fechas'!$A$2,"Día actual","Día anterior")</f>
        <v>Día anterior</v>
      </c>
      <c r="C155" s="3" t="s">
        <v>297</v>
      </c>
      <c r="D155" t="s">
        <v>298</v>
      </c>
      <c r="E155" s="3" t="s">
        <v>300</v>
      </c>
      <c r="F155" s="3" t="s">
        <v>21</v>
      </c>
      <c r="G155" s="3" t="s">
        <v>153</v>
      </c>
      <c r="H155" s="3" t="s">
        <v>57</v>
      </c>
      <c r="I155" s="3" t="s">
        <v>7</v>
      </c>
      <c r="J155" s="3" t="s">
        <v>39</v>
      </c>
      <c r="K155" s="3" t="s">
        <v>49</v>
      </c>
      <c r="L155" s="3" t="s">
        <v>42</v>
      </c>
      <c r="M155">
        <v>1</v>
      </c>
    </row>
    <row r="156" spans="1:13" x14ac:dyDescent="0.25">
      <c r="A156" s="2">
        <v>46240</v>
      </c>
      <c r="B156" s="1" t="str">
        <f ca="1">IF(Información1[[#This Row],[Fecha]]='Ajuste de fechas'!$A$2,"Día actual","Día anterior")</f>
        <v>Día anterior</v>
      </c>
      <c r="C156" s="3" t="s">
        <v>297</v>
      </c>
      <c r="D156" t="s">
        <v>298</v>
      </c>
      <c r="E156" s="3" t="s">
        <v>301</v>
      </c>
      <c r="F156" s="3" t="s">
        <v>15</v>
      </c>
      <c r="G156" s="3" t="s">
        <v>132</v>
      </c>
      <c r="H156" s="3" t="s">
        <v>57</v>
      </c>
      <c r="I156" s="3" t="s">
        <v>7</v>
      </c>
      <c r="J156" s="3" t="s">
        <v>39</v>
      </c>
      <c r="K156" s="3" t="s">
        <v>49</v>
      </c>
      <c r="L156" s="3" t="s">
        <v>42</v>
      </c>
      <c r="M156">
        <v>1</v>
      </c>
    </row>
    <row r="157" spans="1:13" x14ac:dyDescent="0.25">
      <c r="A157" s="2">
        <v>46240</v>
      </c>
      <c r="B157" s="1" t="str">
        <f ca="1">IF(Información1[[#This Row],[Fecha]]='Ajuste de fechas'!$A$2,"Día actual","Día anterior")</f>
        <v>Día anterior</v>
      </c>
      <c r="C157" s="3" t="s">
        <v>297</v>
      </c>
      <c r="D157" t="s">
        <v>298</v>
      </c>
      <c r="E157" s="3" t="s">
        <v>302</v>
      </c>
      <c r="F157" s="3" t="s">
        <v>31</v>
      </c>
      <c r="G157" s="3" t="s">
        <v>98</v>
      </c>
      <c r="H157" s="3" t="s">
        <v>57</v>
      </c>
      <c r="I157" s="3" t="s">
        <v>7</v>
      </c>
      <c r="J157" s="3" t="s">
        <v>39</v>
      </c>
      <c r="K157" s="3" t="s">
        <v>49</v>
      </c>
      <c r="L157" s="3" t="s">
        <v>70</v>
      </c>
      <c r="M157">
        <v>1</v>
      </c>
    </row>
    <row r="158" spans="1:13" x14ac:dyDescent="0.25">
      <c r="A158" s="2">
        <v>46240</v>
      </c>
      <c r="B158" s="1" t="str">
        <f ca="1">IF(Información1[[#This Row],[Fecha]]='Ajuste de fechas'!$A$2,"Día actual","Día anterior")</f>
        <v>Día anterior</v>
      </c>
      <c r="C158" s="3" t="s">
        <v>297</v>
      </c>
      <c r="D158" t="s">
        <v>298</v>
      </c>
      <c r="E158" s="3" t="s">
        <v>303</v>
      </c>
      <c r="F158" s="3" t="s">
        <v>148</v>
      </c>
      <c r="G158" s="3" t="s">
        <v>149</v>
      </c>
      <c r="H158" s="3" t="s">
        <v>57</v>
      </c>
      <c r="I158" s="3" t="s">
        <v>7</v>
      </c>
      <c r="J158" s="3" t="s">
        <v>39</v>
      </c>
      <c r="K158" s="3" t="s">
        <v>49</v>
      </c>
      <c r="L158" s="3" t="s">
        <v>42</v>
      </c>
      <c r="M158">
        <v>1</v>
      </c>
    </row>
    <row r="159" spans="1:13" x14ac:dyDescent="0.25">
      <c r="A159" s="2">
        <v>46240</v>
      </c>
      <c r="B159" s="1" t="str">
        <f ca="1">IF(Información1[[#This Row],[Fecha]]='Ajuste de fechas'!$A$2,"Día actual","Día anterior")</f>
        <v>Día anterior</v>
      </c>
      <c r="C159" s="3" t="s">
        <v>297</v>
      </c>
      <c r="D159" t="s">
        <v>298</v>
      </c>
      <c r="E159" s="3" t="s">
        <v>304</v>
      </c>
      <c r="F159" s="3" t="s">
        <v>22</v>
      </c>
      <c r="G159" s="3" t="s">
        <v>252</v>
      </c>
      <c r="H159" s="3" t="s">
        <v>57</v>
      </c>
      <c r="I159" s="3" t="s">
        <v>7</v>
      </c>
      <c r="J159" s="3" t="s">
        <v>44</v>
      </c>
      <c r="K159" s="3" t="s">
        <v>305</v>
      </c>
      <c r="L159" s="3" t="s">
        <v>74</v>
      </c>
      <c r="M159">
        <v>1</v>
      </c>
    </row>
    <row r="160" spans="1:13" x14ac:dyDescent="0.25">
      <c r="A160" s="2">
        <v>46240</v>
      </c>
      <c r="B160" s="1" t="str">
        <f ca="1">IF(Información1[[#This Row],[Fecha]]='Ajuste de fechas'!$A$2,"Día actual","Día anterior")</f>
        <v>Día anterior</v>
      </c>
      <c r="C160" s="3" t="s">
        <v>297</v>
      </c>
      <c r="D160" t="s">
        <v>298</v>
      </c>
      <c r="E160" s="3" t="s">
        <v>204</v>
      </c>
      <c r="F160" s="3" t="s">
        <v>90</v>
      </c>
      <c r="G160" s="3" t="s">
        <v>91</v>
      </c>
      <c r="H160" s="3" t="s">
        <v>57</v>
      </c>
      <c r="I160" s="3" t="s">
        <v>7</v>
      </c>
      <c r="J160" s="3" t="s">
        <v>39</v>
      </c>
      <c r="K160" s="3" t="s">
        <v>49</v>
      </c>
      <c r="L160" s="3" t="s">
        <v>42</v>
      </c>
      <c r="M160">
        <v>1</v>
      </c>
    </row>
    <row r="161" spans="1:13" x14ac:dyDescent="0.25">
      <c r="A161" s="2">
        <v>46240</v>
      </c>
      <c r="B161" s="1" t="str">
        <f ca="1">IF(Información1[[#This Row],[Fecha]]='Ajuste de fechas'!$A$2,"Día actual","Día anterior")</f>
        <v>Día anterior</v>
      </c>
      <c r="C161" s="3" t="s">
        <v>297</v>
      </c>
      <c r="D161" t="s">
        <v>298</v>
      </c>
      <c r="E161" s="3" t="s">
        <v>102</v>
      </c>
      <c r="F161" s="3" t="s">
        <v>54</v>
      </c>
      <c r="G161" s="3" t="s">
        <v>103</v>
      </c>
      <c r="H161" s="3" t="s">
        <v>57</v>
      </c>
      <c r="I161" s="3" t="s">
        <v>7</v>
      </c>
      <c r="J161" s="3" t="s">
        <v>24</v>
      </c>
      <c r="K161" s="3" t="s">
        <v>49</v>
      </c>
      <c r="L161" s="3" t="s">
        <v>40</v>
      </c>
      <c r="M161">
        <v>1</v>
      </c>
    </row>
    <row r="162" spans="1:13" x14ac:dyDescent="0.25">
      <c r="A162" s="2">
        <v>46240</v>
      </c>
      <c r="B162" s="1" t="str">
        <f ca="1">IF(Información1[[#This Row],[Fecha]]='Ajuste de fechas'!$A$2,"Día actual","Día anterior")</f>
        <v>Día anterior</v>
      </c>
      <c r="C162" s="3" t="s">
        <v>297</v>
      </c>
      <c r="D162" t="s">
        <v>298</v>
      </c>
      <c r="E162" s="3" t="s">
        <v>109</v>
      </c>
      <c r="F162" s="3" t="s">
        <v>54</v>
      </c>
      <c r="G162" s="3" t="s">
        <v>110</v>
      </c>
      <c r="H162" s="3" t="s">
        <v>57</v>
      </c>
      <c r="I162" s="3" t="s">
        <v>7</v>
      </c>
      <c r="J162" s="3" t="s">
        <v>24</v>
      </c>
      <c r="K162" s="3" t="s">
        <v>49</v>
      </c>
      <c r="L162" s="3" t="s">
        <v>40</v>
      </c>
      <c r="M162">
        <v>1</v>
      </c>
    </row>
    <row r="163" spans="1:13" x14ac:dyDescent="0.25">
      <c r="A163" s="2">
        <v>46240</v>
      </c>
      <c r="B163" s="1" t="str">
        <f ca="1">IF(Información1[[#This Row],[Fecha]]='Ajuste de fechas'!$A$2,"Día actual","Día anterior")</f>
        <v>Día anterior</v>
      </c>
      <c r="C163" s="3" t="s">
        <v>297</v>
      </c>
      <c r="D163" t="s">
        <v>298</v>
      </c>
      <c r="E163" s="3" t="s">
        <v>306</v>
      </c>
      <c r="F163" s="3" t="s">
        <v>26</v>
      </c>
      <c r="G163" s="3" t="s">
        <v>180</v>
      </c>
      <c r="H163" s="3" t="s">
        <v>57</v>
      </c>
      <c r="I163" s="3" t="s">
        <v>7</v>
      </c>
      <c r="J163" s="3" t="s">
        <v>39</v>
      </c>
      <c r="K163" s="3" t="s">
        <v>49</v>
      </c>
      <c r="L163" s="3" t="s">
        <v>42</v>
      </c>
      <c r="M163">
        <v>1</v>
      </c>
    </row>
    <row r="164" spans="1:13" x14ac:dyDescent="0.25">
      <c r="A164" s="2">
        <v>46240</v>
      </c>
      <c r="B164" s="1" t="str">
        <f ca="1">IF(Información1[[#This Row],[Fecha]]='Ajuste de fechas'!$A$2,"Día actual","Día anterior")</f>
        <v>Día anterior</v>
      </c>
      <c r="C164" s="3" t="s">
        <v>297</v>
      </c>
      <c r="D164" t="s">
        <v>298</v>
      </c>
      <c r="E164" s="3" t="s">
        <v>307</v>
      </c>
      <c r="F164" s="3" t="s">
        <v>80</v>
      </c>
      <c r="G164" s="3" t="s">
        <v>308</v>
      </c>
      <c r="H164" s="3" t="s">
        <v>57</v>
      </c>
      <c r="I164" s="3" t="s">
        <v>7</v>
      </c>
      <c r="J164" s="3" t="s">
        <v>39</v>
      </c>
      <c r="K164" s="3" t="s">
        <v>49</v>
      </c>
      <c r="L164" s="3" t="s">
        <v>40</v>
      </c>
      <c r="M164">
        <v>1</v>
      </c>
    </row>
    <row r="165" spans="1:13" x14ac:dyDescent="0.25">
      <c r="A165" s="2">
        <v>46241</v>
      </c>
      <c r="B165" s="1" t="str">
        <f ca="1">IF(Información1[[#This Row],[Fecha]]='Ajuste de fechas'!$A$2,"Día actual","Día anterior")</f>
        <v>Día actual</v>
      </c>
      <c r="C165" s="3" t="s">
        <v>58</v>
      </c>
      <c r="D165" t="s">
        <v>59</v>
      </c>
      <c r="E165" s="3" t="s">
        <v>309</v>
      </c>
      <c r="F165" s="3" t="s">
        <v>22</v>
      </c>
      <c r="G165" s="3" t="s">
        <v>310</v>
      </c>
      <c r="H165" s="3" t="s">
        <v>11</v>
      </c>
      <c r="I165" s="3" t="s">
        <v>7</v>
      </c>
      <c r="J165" s="3" t="s">
        <v>44</v>
      </c>
      <c r="K165" s="3" t="s">
        <v>60</v>
      </c>
      <c r="L165" s="3" t="s">
        <v>40</v>
      </c>
      <c r="M165">
        <v>1</v>
      </c>
    </row>
    <row r="166" spans="1:13" x14ac:dyDescent="0.25">
      <c r="A166" s="2">
        <v>46241</v>
      </c>
      <c r="B166" s="1" t="str">
        <f ca="1">IF(Información1[[#This Row],[Fecha]]='Ajuste de fechas'!$A$2,"Día actual","Día anterior")</f>
        <v>Día actual</v>
      </c>
      <c r="C166" s="3" t="s">
        <v>58</v>
      </c>
      <c r="D166" t="s">
        <v>59</v>
      </c>
      <c r="E166" s="3" t="s">
        <v>311</v>
      </c>
      <c r="F166" s="3" t="s">
        <v>31</v>
      </c>
      <c r="G166" s="3" t="s">
        <v>98</v>
      </c>
      <c r="H166" s="3" t="s">
        <v>11</v>
      </c>
      <c r="I166" s="3" t="s">
        <v>7</v>
      </c>
      <c r="J166" s="3" t="s">
        <v>39</v>
      </c>
      <c r="K166" s="3" t="s">
        <v>60</v>
      </c>
      <c r="L166" s="3" t="s">
        <v>95</v>
      </c>
      <c r="M166">
        <v>1</v>
      </c>
    </row>
    <row r="167" spans="1:13" x14ac:dyDescent="0.25">
      <c r="A167" s="2">
        <v>46241</v>
      </c>
      <c r="B167" s="1" t="str">
        <f ca="1">IF(Información1[[#This Row],[Fecha]]='Ajuste de fechas'!$A$2,"Día actual","Día anterior")</f>
        <v>Día actual</v>
      </c>
      <c r="C167" s="3" t="s">
        <v>58</v>
      </c>
      <c r="D167" t="s">
        <v>59</v>
      </c>
      <c r="E167" s="3" t="s">
        <v>312</v>
      </c>
      <c r="F167" s="3" t="s">
        <v>15</v>
      </c>
      <c r="G167" s="3" t="s">
        <v>313</v>
      </c>
      <c r="H167" s="3" t="s">
        <v>11</v>
      </c>
      <c r="I167" s="3" t="s">
        <v>7</v>
      </c>
      <c r="J167" s="3" t="s">
        <v>39</v>
      </c>
      <c r="K167" s="3" t="s">
        <v>60</v>
      </c>
      <c r="L167" s="3" t="s">
        <v>70</v>
      </c>
      <c r="M167">
        <v>1</v>
      </c>
    </row>
    <row r="168" spans="1:13" x14ac:dyDescent="0.25">
      <c r="A168" s="2">
        <v>46241</v>
      </c>
      <c r="B168" s="1" t="str">
        <f ca="1">IF(Información1[[#This Row],[Fecha]]='Ajuste de fechas'!$A$2,"Día actual","Día anterior")</f>
        <v>Día actual</v>
      </c>
      <c r="C168" s="3" t="s">
        <v>58</v>
      </c>
      <c r="D168" t="s">
        <v>59</v>
      </c>
      <c r="E168" s="3" t="s">
        <v>299</v>
      </c>
      <c r="F168" s="3" t="s">
        <v>21</v>
      </c>
      <c r="G168" s="3" t="s">
        <v>115</v>
      </c>
      <c r="H168" s="3" t="s">
        <v>11</v>
      </c>
      <c r="I168" s="3" t="s">
        <v>7</v>
      </c>
      <c r="J168" s="3" t="s">
        <v>39</v>
      </c>
      <c r="K168" s="3" t="s">
        <v>60</v>
      </c>
      <c r="L168" s="3" t="s">
        <v>42</v>
      </c>
      <c r="M168">
        <v>1</v>
      </c>
    </row>
    <row r="169" spans="1:13" x14ac:dyDescent="0.25">
      <c r="A169" s="2">
        <v>46241</v>
      </c>
      <c r="B169" s="1" t="str">
        <f ca="1">IF(Información1[[#This Row],[Fecha]]='Ajuste de fechas'!$A$2,"Día actual","Día anterior")</f>
        <v>Día actual</v>
      </c>
      <c r="C169" s="3" t="s">
        <v>58</v>
      </c>
      <c r="D169" t="s">
        <v>59</v>
      </c>
      <c r="E169" s="3" t="s">
        <v>314</v>
      </c>
      <c r="F169" s="3" t="s">
        <v>19</v>
      </c>
      <c r="G169" s="3" t="s">
        <v>294</v>
      </c>
      <c r="H169" s="3" t="s">
        <v>11</v>
      </c>
      <c r="I169" s="3" t="s">
        <v>7</v>
      </c>
      <c r="J169" s="3" t="s">
        <v>43</v>
      </c>
      <c r="K169" s="3" t="s">
        <v>60</v>
      </c>
      <c r="L169" s="3" t="s">
        <v>40</v>
      </c>
      <c r="M169">
        <v>1</v>
      </c>
    </row>
    <row r="170" spans="1:13" x14ac:dyDescent="0.25">
      <c r="A170" s="2">
        <v>46241</v>
      </c>
      <c r="B170" s="1" t="str">
        <f ca="1">IF(Información1[[#This Row],[Fecha]]='Ajuste de fechas'!$A$2,"Día actual","Día anterior")</f>
        <v>Día actual</v>
      </c>
      <c r="C170" s="3" t="s">
        <v>58</v>
      </c>
      <c r="D170" t="s">
        <v>59</v>
      </c>
      <c r="E170" s="3" t="s">
        <v>315</v>
      </c>
      <c r="F170" s="3" t="s">
        <v>21</v>
      </c>
      <c r="G170" s="3" t="s">
        <v>316</v>
      </c>
      <c r="H170" s="3" t="s">
        <v>11</v>
      </c>
      <c r="I170" s="3" t="s">
        <v>25</v>
      </c>
      <c r="J170" s="3" t="s">
        <v>39</v>
      </c>
      <c r="K170" s="3" t="s">
        <v>60</v>
      </c>
      <c r="L170" s="3" t="s">
        <v>40</v>
      </c>
      <c r="M170">
        <v>1</v>
      </c>
    </row>
    <row r="171" spans="1:13" x14ac:dyDescent="0.25">
      <c r="A171" s="2">
        <v>46241</v>
      </c>
      <c r="B171" s="1" t="str">
        <f ca="1">IF(Información1[[#This Row],[Fecha]]='Ajuste de fechas'!$A$2,"Día actual","Día anterior")</f>
        <v>Día actual</v>
      </c>
      <c r="C171" s="3" t="s">
        <v>58</v>
      </c>
      <c r="D171" t="s">
        <v>59</v>
      </c>
      <c r="E171" s="3" t="s">
        <v>61</v>
      </c>
      <c r="F171" s="3" t="s">
        <v>19</v>
      </c>
      <c r="G171" s="3" t="s">
        <v>56</v>
      </c>
      <c r="H171" s="3" t="s">
        <v>11</v>
      </c>
      <c r="I171" s="3" t="s">
        <v>7</v>
      </c>
      <c r="J171" s="3" t="s">
        <v>43</v>
      </c>
      <c r="K171" s="3" t="s">
        <v>60</v>
      </c>
      <c r="L171" s="3" t="s">
        <v>74</v>
      </c>
      <c r="M171">
        <v>1</v>
      </c>
    </row>
    <row r="172" spans="1:13" x14ac:dyDescent="0.25">
      <c r="A172" s="2">
        <v>46241</v>
      </c>
      <c r="B172" s="1" t="str">
        <f ca="1">IF(Información1[[#This Row],[Fecha]]='Ajuste de fechas'!$A$2,"Día actual","Día anterior")</f>
        <v>Día actual</v>
      </c>
      <c r="C172" s="3" t="s">
        <v>58</v>
      </c>
      <c r="D172" t="s">
        <v>59</v>
      </c>
      <c r="E172" s="3" t="s">
        <v>317</v>
      </c>
      <c r="F172" s="3" t="s">
        <v>22</v>
      </c>
      <c r="G172" s="3" t="s">
        <v>318</v>
      </c>
      <c r="H172" s="3" t="s">
        <v>11</v>
      </c>
      <c r="I172" s="3" t="s">
        <v>7</v>
      </c>
      <c r="J172" s="3" t="s">
        <v>44</v>
      </c>
      <c r="K172" s="3" t="s">
        <v>60</v>
      </c>
      <c r="L172" s="3" t="s">
        <v>40</v>
      </c>
      <c r="M172">
        <v>1</v>
      </c>
    </row>
    <row r="173" spans="1:13" x14ac:dyDescent="0.25">
      <c r="A173" s="2">
        <v>46241</v>
      </c>
      <c r="B173" s="1" t="str">
        <f ca="1">IF(Información1[[#This Row],[Fecha]]='Ajuste de fechas'!$A$2,"Día actual","Día anterior")</f>
        <v>Día actual</v>
      </c>
      <c r="C173" s="3" t="s">
        <v>58</v>
      </c>
      <c r="D173" t="s">
        <v>59</v>
      </c>
      <c r="E173" s="3" t="s">
        <v>319</v>
      </c>
      <c r="F173" s="3" t="s">
        <v>22</v>
      </c>
      <c r="G173" s="3" t="s">
        <v>310</v>
      </c>
      <c r="H173" s="3" t="s">
        <v>11</v>
      </c>
      <c r="I173" s="3" t="s">
        <v>7</v>
      </c>
      <c r="J173" s="3" t="s">
        <v>44</v>
      </c>
      <c r="K173" s="3" t="s">
        <v>60</v>
      </c>
      <c r="L173" s="3" t="s">
        <v>40</v>
      </c>
      <c r="M173">
        <v>1</v>
      </c>
    </row>
    <row r="174" spans="1:13" x14ac:dyDescent="0.25">
      <c r="A174" s="2">
        <v>46241</v>
      </c>
      <c r="B174" s="1" t="str">
        <f ca="1">IF(Información1[[#This Row],[Fecha]]='Ajuste de fechas'!$A$2,"Día actual","Día anterior")</f>
        <v>Día actual</v>
      </c>
      <c r="C174" s="3" t="s">
        <v>58</v>
      </c>
      <c r="D174" t="s">
        <v>59</v>
      </c>
      <c r="E174" s="3" t="s">
        <v>320</v>
      </c>
      <c r="F174" s="3" t="s">
        <v>22</v>
      </c>
      <c r="G174" s="3" t="s">
        <v>321</v>
      </c>
      <c r="H174" s="3" t="s">
        <v>11</v>
      </c>
      <c r="I174" s="3" t="s">
        <v>7</v>
      </c>
      <c r="J174" s="3" t="s">
        <v>44</v>
      </c>
      <c r="K174" s="3" t="s">
        <v>60</v>
      </c>
      <c r="L174" s="3" t="s">
        <v>40</v>
      </c>
      <c r="M174">
        <v>1</v>
      </c>
    </row>
    <row r="175" spans="1:13" x14ac:dyDescent="0.25">
      <c r="A175" s="2">
        <v>46241</v>
      </c>
      <c r="B175" s="1" t="str">
        <f ca="1">IF(Información1[[#This Row],[Fecha]]='Ajuste de fechas'!$A$2,"Día actual","Día anterior")</f>
        <v>Día actual</v>
      </c>
      <c r="C175" s="3" t="s">
        <v>58</v>
      </c>
      <c r="D175" t="s">
        <v>59</v>
      </c>
      <c r="E175" s="3" t="s">
        <v>322</v>
      </c>
      <c r="F175" s="3" t="s">
        <v>48</v>
      </c>
      <c r="G175" s="3" t="s">
        <v>323</v>
      </c>
      <c r="H175" s="3" t="s">
        <v>11</v>
      </c>
      <c r="I175" s="3" t="s">
        <v>7</v>
      </c>
      <c r="J175" s="3" t="s">
        <v>39</v>
      </c>
      <c r="K175" s="3" t="s">
        <v>60</v>
      </c>
      <c r="L175" s="3" t="s">
        <v>40</v>
      </c>
      <c r="M175">
        <v>1</v>
      </c>
    </row>
    <row r="176" spans="1:13" x14ac:dyDescent="0.25">
      <c r="A176" s="2">
        <v>46241</v>
      </c>
      <c r="B176" s="1" t="str">
        <f ca="1">IF(Información1[[#This Row],[Fecha]]='Ajuste de fechas'!$A$2,"Día actual","Día anterior")</f>
        <v>Día actual</v>
      </c>
      <c r="C176" s="3" t="s">
        <v>29</v>
      </c>
      <c r="D176" t="s">
        <v>30</v>
      </c>
      <c r="E176" s="3" t="s">
        <v>324</v>
      </c>
      <c r="F176" s="3" t="s">
        <v>22</v>
      </c>
      <c r="G176" s="3" t="s">
        <v>116</v>
      </c>
      <c r="H176" s="3" t="s">
        <v>57</v>
      </c>
      <c r="I176" s="3" t="s">
        <v>7</v>
      </c>
      <c r="J176" s="3" t="s">
        <v>44</v>
      </c>
      <c r="K176" s="3" t="s">
        <v>27</v>
      </c>
      <c r="L176" s="3" t="s">
        <v>40</v>
      </c>
      <c r="M176">
        <v>1</v>
      </c>
    </row>
    <row r="177" spans="1:13" x14ac:dyDescent="0.25">
      <c r="A177" s="2">
        <v>46241</v>
      </c>
      <c r="B177" s="1" t="str">
        <f ca="1">IF(Información1[[#This Row],[Fecha]]='Ajuste de fechas'!$A$2,"Día actual","Día anterior")</f>
        <v>Día actual</v>
      </c>
      <c r="C177" s="3" t="s">
        <v>29</v>
      </c>
      <c r="D177" t="s">
        <v>30</v>
      </c>
      <c r="E177" s="3" t="s">
        <v>225</v>
      </c>
      <c r="F177" s="3" t="s">
        <v>107</v>
      </c>
      <c r="G177" s="3" t="s">
        <v>226</v>
      </c>
      <c r="H177" s="3" t="s">
        <v>57</v>
      </c>
      <c r="I177" s="3" t="s">
        <v>7</v>
      </c>
      <c r="J177" s="3" t="s">
        <v>39</v>
      </c>
      <c r="K177" s="3" t="s">
        <v>27</v>
      </c>
      <c r="L177" s="3" t="s">
        <v>42</v>
      </c>
      <c r="M177">
        <v>1</v>
      </c>
    </row>
    <row r="178" spans="1:13" x14ac:dyDescent="0.25">
      <c r="A178" s="2">
        <v>46241</v>
      </c>
      <c r="B178" s="1" t="str">
        <f ca="1">IF(Información1[[#This Row],[Fecha]]='Ajuste de fechas'!$A$2,"Día actual","Día anterior")</f>
        <v>Día actual</v>
      </c>
      <c r="C178" s="3" t="s">
        <v>29</v>
      </c>
      <c r="D178" t="s">
        <v>30</v>
      </c>
      <c r="E178" s="3" t="s">
        <v>325</v>
      </c>
      <c r="F178" s="3" t="s">
        <v>31</v>
      </c>
      <c r="G178" s="3" t="s">
        <v>263</v>
      </c>
      <c r="H178" s="3" t="s">
        <v>57</v>
      </c>
      <c r="I178" s="3" t="s">
        <v>7</v>
      </c>
      <c r="J178" s="3" t="s">
        <v>39</v>
      </c>
      <c r="K178" s="3" t="s">
        <v>27</v>
      </c>
      <c r="L178" s="3" t="s">
        <v>42</v>
      </c>
      <c r="M178">
        <v>1</v>
      </c>
    </row>
    <row r="179" spans="1:13" x14ac:dyDescent="0.25">
      <c r="A179" s="2">
        <v>46241</v>
      </c>
      <c r="B179" s="1" t="str">
        <f ca="1">IF(Información1[[#This Row],[Fecha]]='Ajuste de fechas'!$A$2,"Día actual","Día anterior")</f>
        <v>Día actual</v>
      </c>
      <c r="C179" s="3" t="s">
        <v>29</v>
      </c>
      <c r="D179" t="s">
        <v>30</v>
      </c>
      <c r="E179" s="3" t="s">
        <v>326</v>
      </c>
      <c r="F179" s="3" t="s">
        <v>26</v>
      </c>
      <c r="G179" s="3" t="s">
        <v>327</v>
      </c>
      <c r="H179" s="3" t="s">
        <v>57</v>
      </c>
      <c r="I179" s="3" t="s">
        <v>7</v>
      </c>
      <c r="J179" s="3" t="s">
        <v>39</v>
      </c>
      <c r="K179" s="3" t="s">
        <v>27</v>
      </c>
      <c r="L179" s="3" t="s">
        <v>40</v>
      </c>
      <c r="M179">
        <v>1</v>
      </c>
    </row>
    <row r="180" spans="1:13" x14ac:dyDescent="0.25">
      <c r="A180" s="2">
        <v>46241</v>
      </c>
      <c r="B180" s="1" t="str">
        <f ca="1">IF(Información1[[#This Row],[Fecha]]='Ajuste de fechas'!$A$2,"Día actual","Día anterior")</f>
        <v>Día actual</v>
      </c>
      <c r="C180" s="3" t="s">
        <v>29</v>
      </c>
      <c r="D180" t="s">
        <v>30</v>
      </c>
      <c r="E180" s="3" t="s">
        <v>328</v>
      </c>
      <c r="F180" s="3" t="s">
        <v>15</v>
      </c>
      <c r="G180" s="3" t="s">
        <v>236</v>
      </c>
      <c r="H180" s="3" t="s">
        <v>57</v>
      </c>
      <c r="I180" s="3" t="s">
        <v>7</v>
      </c>
      <c r="J180" s="3" t="s">
        <v>39</v>
      </c>
      <c r="K180" s="3" t="s">
        <v>27</v>
      </c>
      <c r="L180" s="3" t="s">
        <v>40</v>
      </c>
      <c r="M180">
        <v>1</v>
      </c>
    </row>
    <row r="181" spans="1:13" x14ac:dyDescent="0.25">
      <c r="A181" s="2">
        <v>46241</v>
      </c>
      <c r="B181" s="1" t="str">
        <f ca="1">IF(Información1[[#This Row],[Fecha]]='Ajuste de fechas'!$A$2,"Día actual","Día anterior")</f>
        <v>Día actual</v>
      </c>
      <c r="C181" s="3" t="s">
        <v>29</v>
      </c>
      <c r="D181" t="s">
        <v>30</v>
      </c>
      <c r="E181" s="3" t="s">
        <v>329</v>
      </c>
      <c r="F181" s="3" t="s">
        <v>92</v>
      </c>
      <c r="G181" s="3" t="s">
        <v>201</v>
      </c>
      <c r="H181" s="3" t="s">
        <v>57</v>
      </c>
      <c r="I181" s="3" t="s">
        <v>7</v>
      </c>
      <c r="J181" s="3" t="s">
        <v>39</v>
      </c>
      <c r="K181" s="3" t="s">
        <v>27</v>
      </c>
      <c r="L181" s="3" t="s">
        <v>40</v>
      </c>
      <c r="M181">
        <v>1</v>
      </c>
    </row>
    <row r="182" spans="1:13" x14ac:dyDescent="0.25">
      <c r="A182" s="2">
        <v>46241</v>
      </c>
      <c r="B182" s="1" t="str">
        <f ca="1">IF(Información1[[#This Row],[Fecha]]='Ajuste de fechas'!$A$2,"Día actual","Día anterior")</f>
        <v>Día actual</v>
      </c>
      <c r="C182" s="3" t="s">
        <v>29</v>
      </c>
      <c r="D182" t="s">
        <v>30</v>
      </c>
      <c r="E182" s="3" t="s">
        <v>330</v>
      </c>
      <c r="F182" s="3" t="s">
        <v>26</v>
      </c>
      <c r="G182" s="3" t="s">
        <v>331</v>
      </c>
      <c r="H182" s="3" t="s">
        <v>57</v>
      </c>
      <c r="I182" s="3" t="s">
        <v>7</v>
      </c>
      <c r="J182" s="3" t="s">
        <v>39</v>
      </c>
      <c r="K182" s="3" t="s">
        <v>27</v>
      </c>
      <c r="L182" s="3" t="s">
        <v>40</v>
      </c>
      <c r="M182">
        <v>1</v>
      </c>
    </row>
    <row r="183" spans="1:13" x14ac:dyDescent="0.25">
      <c r="A183" s="2">
        <v>46241</v>
      </c>
      <c r="B183" s="1" t="str">
        <f ca="1">IF(Información1[[#This Row],[Fecha]]='Ajuste de fechas'!$A$2,"Día actual","Día anterior")</f>
        <v>Día actual</v>
      </c>
      <c r="C183" s="3" t="s">
        <v>29</v>
      </c>
      <c r="D183" t="s">
        <v>30</v>
      </c>
      <c r="E183" s="3" t="s">
        <v>332</v>
      </c>
      <c r="F183" s="3" t="s">
        <v>26</v>
      </c>
      <c r="G183" s="3" t="s">
        <v>77</v>
      </c>
      <c r="H183" s="3" t="s">
        <v>57</v>
      </c>
      <c r="I183" s="3" t="s">
        <v>7</v>
      </c>
      <c r="J183" s="3" t="s">
        <v>39</v>
      </c>
      <c r="K183" s="3" t="s">
        <v>27</v>
      </c>
      <c r="L183" s="3" t="s">
        <v>40</v>
      </c>
      <c r="M183">
        <v>1</v>
      </c>
    </row>
    <row r="184" spans="1:13" x14ac:dyDescent="0.25">
      <c r="A184" s="2">
        <v>46241</v>
      </c>
      <c r="B184" s="1" t="str">
        <f ca="1">IF(Información1[[#This Row],[Fecha]]='Ajuste de fechas'!$A$2,"Día actual","Día anterior")</f>
        <v>Día actual</v>
      </c>
      <c r="C184" s="3" t="s">
        <v>29</v>
      </c>
      <c r="D184" t="s">
        <v>30</v>
      </c>
      <c r="E184" s="3" t="s">
        <v>333</v>
      </c>
      <c r="F184" s="3" t="s">
        <v>26</v>
      </c>
      <c r="G184" s="3" t="s">
        <v>77</v>
      </c>
      <c r="H184" s="3" t="s">
        <v>57</v>
      </c>
      <c r="I184" s="3" t="s">
        <v>7</v>
      </c>
      <c r="J184" s="3" t="s">
        <v>39</v>
      </c>
      <c r="K184" s="3" t="s">
        <v>27</v>
      </c>
      <c r="L184" s="3" t="s">
        <v>40</v>
      </c>
      <c r="M184">
        <v>1</v>
      </c>
    </row>
    <row r="185" spans="1:13" x14ac:dyDescent="0.25">
      <c r="A185" s="2">
        <v>46241</v>
      </c>
      <c r="B185" s="1" t="str">
        <f ca="1">IF(Información1[[#This Row],[Fecha]]='Ajuste de fechas'!$A$2,"Día actual","Día anterior")</f>
        <v>Día actual</v>
      </c>
      <c r="C185" s="3" t="s">
        <v>29</v>
      </c>
      <c r="D185" t="s">
        <v>30</v>
      </c>
      <c r="E185" s="3" t="s">
        <v>334</v>
      </c>
      <c r="F185" s="3" t="s">
        <v>26</v>
      </c>
      <c r="G185" s="3" t="s">
        <v>105</v>
      </c>
      <c r="H185" s="3" t="s">
        <v>57</v>
      </c>
      <c r="I185" s="3" t="s">
        <v>12</v>
      </c>
      <c r="J185" s="3" t="s">
        <v>39</v>
      </c>
      <c r="K185" s="3" t="s">
        <v>27</v>
      </c>
      <c r="L185" s="3" t="s">
        <v>41</v>
      </c>
      <c r="M185">
        <v>1</v>
      </c>
    </row>
    <row r="186" spans="1:13" x14ac:dyDescent="0.25">
      <c r="A186" s="2">
        <v>46241</v>
      </c>
      <c r="B186" s="1" t="str">
        <f ca="1">IF(Información1[[#This Row],[Fecha]]='Ajuste de fechas'!$A$2,"Día actual","Día anterior")</f>
        <v>Día actual</v>
      </c>
      <c r="C186" s="3" t="s">
        <v>29</v>
      </c>
      <c r="D186" t="s">
        <v>30</v>
      </c>
      <c r="E186" s="3" t="s">
        <v>335</v>
      </c>
      <c r="F186" s="3" t="s">
        <v>15</v>
      </c>
      <c r="G186" s="3" t="s">
        <v>336</v>
      </c>
      <c r="H186" s="3" t="s">
        <v>57</v>
      </c>
      <c r="I186" s="3" t="s">
        <v>7</v>
      </c>
      <c r="J186" s="3" t="s">
        <v>39</v>
      </c>
      <c r="K186" s="3" t="s">
        <v>27</v>
      </c>
      <c r="L186" s="3" t="s">
        <v>40</v>
      </c>
      <c r="M186">
        <v>1</v>
      </c>
    </row>
    <row r="187" spans="1:13" x14ac:dyDescent="0.25">
      <c r="A187" s="2">
        <v>46241</v>
      </c>
      <c r="B187" s="1" t="str">
        <f ca="1">IF(Información1[[#This Row],[Fecha]]='Ajuste de fechas'!$A$2,"Día actual","Día anterior")</f>
        <v>Día actual</v>
      </c>
      <c r="C187" s="3" t="s">
        <v>29</v>
      </c>
      <c r="D187" t="s">
        <v>30</v>
      </c>
      <c r="E187" s="3" t="s">
        <v>337</v>
      </c>
      <c r="F187" s="3" t="s">
        <v>15</v>
      </c>
      <c r="G187" s="3" t="s">
        <v>236</v>
      </c>
      <c r="H187" s="3" t="s">
        <v>57</v>
      </c>
      <c r="I187" s="3" t="s">
        <v>7</v>
      </c>
      <c r="J187" s="3" t="s">
        <v>39</v>
      </c>
      <c r="K187" s="3" t="s">
        <v>27</v>
      </c>
      <c r="L187" s="3" t="s">
        <v>42</v>
      </c>
      <c r="M187">
        <v>1</v>
      </c>
    </row>
    <row r="188" spans="1:13" x14ac:dyDescent="0.25">
      <c r="A188" s="2">
        <v>46241</v>
      </c>
      <c r="B188" s="1" t="str">
        <f ca="1">IF(Información1[[#This Row],[Fecha]]='Ajuste de fechas'!$A$2,"Día actual","Día anterior")</f>
        <v>Día actual</v>
      </c>
      <c r="C188" s="3" t="s">
        <v>29</v>
      </c>
      <c r="D188" t="s">
        <v>30</v>
      </c>
      <c r="E188" s="3" t="s">
        <v>338</v>
      </c>
      <c r="F188" s="3" t="s">
        <v>26</v>
      </c>
      <c r="G188" s="3" t="s">
        <v>77</v>
      </c>
      <c r="H188" s="3" t="s">
        <v>57</v>
      </c>
      <c r="I188" s="3" t="s">
        <v>7</v>
      </c>
      <c r="J188" s="3" t="s">
        <v>39</v>
      </c>
      <c r="K188" s="3" t="s">
        <v>27</v>
      </c>
      <c r="L188" s="3" t="s">
        <v>42</v>
      </c>
      <c r="M188">
        <v>1</v>
      </c>
    </row>
    <row r="189" spans="1:13" x14ac:dyDescent="0.25">
      <c r="A189" s="2">
        <v>46241</v>
      </c>
      <c r="B189" s="1" t="str">
        <f ca="1">IF(Información1[[#This Row],[Fecha]]='Ajuste de fechas'!$A$2,"Día actual","Día anterior")</f>
        <v>Día actual</v>
      </c>
      <c r="C189" s="3" t="s">
        <v>29</v>
      </c>
      <c r="D189" t="s">
        <v>30</v>
      </c>
      <c r="E189" s="3" t="s">
        <v>339</v>
      </c>
      <c r="F189" s="3" t="s">
        <v>26</v>
      </c>
      <c r="G189" s="3" t="s">
        <v>77</v>
      </c>
      <c r="H189" s="3" t="s">
        <v>57</v>
      </c>
      <c r="I189" s="3" t="s">
        <v>7</v>
      </c>
      <c r="J189" s="3" t="s">
        <v>39</v>
      </c>
      <c r="K189" s="3" t="s">
        <v>27</v>
      </c>
      <c r="L189" s="3" t="s">
        <v>42</v>
      </c>
      <c r="M18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46241</v>
      </c>
      <c r="B2" s="2">
        <f ca="1">A2-1</f>
        <v>46240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2026-08-08T00:18:24Z</dcterms:modified>
</cp:coreProperties>
</file>