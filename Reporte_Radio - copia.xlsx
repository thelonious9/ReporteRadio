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821EC3E3-2D30-47A1-9B8D-DE2EB5DA213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Radio!$A$1:$M$85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64" i="2"/>
  <c r="B67" i="2"/>
  <c r="B70" i="2"/>
  <c r="B73" i="2"/>
  <c r="B74" i="2"/>
  <c r="B77" i="2"/>
  <c r="B80" i="2"/>
  <c r="B83" i="2"/>
  <c r="B85" i="2"/>
  <c r="B23" i="2"/>
  <c r="B24" i="2"/>
  <c r="B25" i="2"/>
  <c r="B26" i="2"/>
  <c r="B27" i="2"/>
  <c r="B28" i="2"/>
  <c r="B29" i="2"/>
  <c r="B30" i="2"/>
  <c r="B31" i="2"/>
  <c r="B32" i="2"/>
  <c r="B33" i="2"/>
  <c r="B34" i="2"/>
  <c r="B35" i="2"/>
  <c r="B36" i="2"/>
  <c r="B37" i="2"/>
  <c r="B38" i="2"/>
  <c r="B39" i="2"/>
  <c r="B40" i="2"/>
  <c r="B41" i="2"/>
  <c r="B42" i="2"/>
  <c r="B43" i="2"/>
  <c r="B66" i="2"/>
  <c r="B68" i="2"/>
  <c r="B71" i="2"/>
  <c r="B75" i="2"/>
  <c r="B79" i="2"/>
  <c r="B82" i="2"/>
  <c r="B84" i="2"/>
  <c r="B44" i="2"/>
  <c r="B45" i="2"/>
  <c r="B46" i="2"/>
  <c r="B47" i="2"/>
  <c r="B48" i="2"/>
  <c r="B49" i="2"/>
  <c r="B50" i="2"/>
  <c r="B51" i="2"/>
  <c r="B52" i="2"/>
  <c r="B53" i="2"/>
  <c r="B54" i="2"/>
  <c r="B55" i="2"/>
  <c r="B56" i="2"/>
  <c r="B57" i="2"/>
  <c r="B58" i="2"/>
  <c r="B59" i="2"/>
  <c r="B60" i="2"/>
  <c r="B61" i="2"/>
  <c r="B62" i="2"/>
  <c r="B63" i="2"/>
  <c r="B65" i="2"/>
  <c r="B69" i="2"/>
  <c r="B72" i="2"/>
  <c r="B76" i="2"/>
  <c r="B78" i="2"/>
  <c r="B8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<sst xmlns="http://schemas.openxmlformats.org/spreadsheetml/2006/main" count="855" uniqueCount="182">
  <si>
    <t>Fecha</t>
  </si>
  <si>
    <t>Titular</t>
  </si>
  <si>
    <t>Dependencia</t>
  </si>
  <si>
    <t>Canal</t>
  </si>
  <si>
    <t>Tema</t>
  </si>
  <si>
    <t>Estatus</t>
  </si>
  <si>
    <t>Sipdus</t>
  </si>
  <si>
    <t>Informativa</t>
  </si>
  <si>
    <t>Acir 92.5 FM</t>
  </si>
  <si>
    <t>Panorama Informativo Pachuca</t>
  </si>
  <si>
    <t>Positiva</t>
  </si>
  <si>
    <t>Eulalio Larrieta</t>
  </si>
  <si>
    <t>Semot</t>
  </si>
  <si>
    <t>SEPH</t>
  </si>
  <si>
    <t>Negativa</t>
  </si>
  <si>
    <t>Día</t>
  </si>
  <si>
    <t>Radiodifusora</t>
  </si>
  <si>
    <t>Programa</t>
  </si>
  <si>
    <t>Clasificación</t>
  </si>
  <si>
    <t>Autor</t>
  </si>
  <si>
    <t>Género</t>
  </si>
  <si>
    <t>Gobierno del estado</t>
  </si>
  <si>
    <t>Noticia</t>
  </si>
  <si>
    <t>Opinión</t>
  </si>
  <si>
    <t>Boletín</t>
  </si>
  <si>
    <t>Recuento</t>
  </si>
  <si>
    <t>Día actual</t>
  </si>
  <si>
    <t>Día anterior</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</si>
  <si>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</si>
  <si>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</si>
  <si>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</si>
  <si>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</si>
  <si>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</si>
  <si>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</si>
  <si>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</si>
  <si>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</si>
  <si>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</si>
  <si>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</si>
  <si>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</si>
  <si>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</si>
  <si>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</si>
  <si>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</si>
  <si>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Canal del Pueblo</t>
  </si>
  <si>
    <t>Vocales Radio</t>
  </si>
  <si>
    <t>TV LOCAL</t>
  </si>
  <si>
    <t>Aldo Falcón</t>
  </si>
  <si>
    <t>Andrés Torres</t>
  </si>
  <si>
    <t>Ultra 102.9 FM</t>
  </si>
  <si>
    <t>Ultra Noticias1</t>
  </si>
  <si>
    <t>Daniel Martínez</t>
  </si>
  <si>
    <t>Radio Lobo 96.7 FM</t>
  </si>
  <si>
    <t>Enlace Noticias</t>
  </si>
  <si>
    <t>Gina Lorenzo</t>
  </si>
  <si>
    <t>Enfoque Regional Meridiano</t>
  </si>
  <si>
    <t>Jesús González</t>
  </si>
  <si>
    <t>Abasto de agua</t>
  </si>
  <si>
    <t>Atención Ciudadana</t>
  </si>
  <si>
    <t>Eulalio Larrieta agradece Paola García y Lic. Sarahi Pineda, por estar atentas a los mensajes de la ciudadanía y por atenderlos.</t>
  </si>
  <si>
    <t>Localización de cuerpo</t>
  </si>
  <si>
    <t>SSPH</t>
  </si>
  <si>
    <t>Súper Stéreo 100.5 FM</t>
  </si>
  <si>
    <t>Eulalio Larrieta agradece a Cristian Yahir Castañeda supervisor de la región Pachuca quien nos va atender los reportes que correspondan a la SEMOT</t>
  </si>
  <si>
    <t>Radiodifusoras</t>
  </si>
  <si>
    <t>Comparecencias</t>
  </si>
  <si>
    <t>Eulalio Larrieta agradece a Edith Balderas de la Secretaria de Educación Pública.</t>
  </si>
  <si>
    <t>Cultura</t>
  </si>
  <si>
    <t>Contraloría</t>
  </si>
  <si>
    <t>Eulalio Larrieta agradece a Jair Martínez de la SEGOBH, porque esta al pendiente de lo que se necesite y los reportes.</t>
  </si>
  <si>
    <t>Saderh</t>
  </si>
  <si>
    <t>Planeación</t>
  </si>
  <si>
    <t>Enfoque Regional Matutino</t>
  </si>
  <si>
    <t>Christian García</t>
  </si>
  <si>
    <t>Vacunación</t>
  </si>
  <si>
    <t>Narcolaboratorio</t>
  </si>
  <si>
    <t>Atención A Manifestantes</t>
  </si>
  <si>
    <t>Rescate secuestro</t>
  </si>
  <si>
    <t>Entrega de infraestructura escolar</t>
  </si>
  <si>
    <t>Izza Hernández</t>
  </si>
  <si>
    <t>Exigen localización de persona</t>
  </si>
  <si>
    <t>Exigen liberación de persona</t>
  </si>
  <si>
    <t>Mal Desempeño</t>
  </si>
  <si>
    <t>Turismo</t>
  </si>
  <si>
    <t>Hacienda</t>
  </si>
  <si>
    <t>Mesas de acercamiento</t>
  </si>
  <si>
    <t>Fuga De Agua</t>
  </si>
  <si>
    <t>Taller regional recoge necesidades de tres municipios para orientar el desarrollo de Tula</t>
  </si>
  <si>
    <t>Ordenamiento Territorial</t>
  </si>
  <si>
    <t>Andrés Torres Andrés en respuesta a un radioescucha señala que Radio y Televisión de Hidalgo enfrenta nuevamente subejercicio presupuestario por cuarto o quinto año consecutivo. Asegura que aunque se asignó un presupuesto de 14 millones de pesos para abrir dos estaciones en 2026, no habrá incremento por mala administración. Critica que las prioridades de la gestión están en actividades superficiales, como relaciones públicas, en lugar del trabajo real. Comenta que la transmisión del 15 de septiembre no se realizó correctamente, pues fue realizada por otra empresa que cortó la señal sin avisarles y los dejó hablando solos. Señala la falta de reuniones y de seguimiento en el uso del presupuesto para los proyectos asignados, expresando su preocupación por la situación actual.</t>
  </si>
  <si>
    <t>Andrés Torres dice estar preocupado por la situación en Radio y Televisión de Hidalgo. Comenta que, a pesar de estar en octubre, hay un subejercicio presupuestario continuo desde hace varios años bajo la dirección de Alan Austin y Carlos Barra. Señala que no se han podido gastar los fondos asignados y plantea preguntas sobre la falta de agua y papel en los baños, así como cortes de servicios. También critica que las plazas vacantes no se reponen y que siempre falta equipo y recursos para realizar coberturas o estrategias. Advierte que este problema de subejercicio continuará en los próximos años, lo que indica una mala administración en la institución y falta de conocimiento en la gestión de los recursos.</t>
  </si>
  <si>
    <t>Esta noche del lunes, la comunidad de San Gabriel fue blanco de una doble jornada violenta que incluyó la ejecución a balazos de un hombre dentro de un vehículo y un posterior enfrentamiento armado contra la policía municipal. De acuerdo con fuentes policiales, los hechos comenzaron en un camino de terracería situada a espaldas de la parroquia del poblado de San Gabriel, donde vecinos alertaron sobre ráfagas de armas de fuego. Al arribar, las corporaciones de emergencia hallaron el cuerpo similar de un masculino con múltiples disparos dentro de un automóvil blanco. La zona fue acordonada por peritos de la Procuraduría General de Justicia del Estado de Hidalgo para el levantamiento de indicios. Minutos después, los ocupantes de otro vehículo realizaban detonaciones al aire, lo que motivó la intervención de patrullas municipales. Al notar la presencia de los uniformados, los civiles armados dispararon directamente contra los policías, lo que desató un intercambio de fuego y una persecución. La persecución concluyó cuando los agresores abandonaron el auto en el que se desplazaban y se dieron a la fuga a pie, internándose entre la maleza. La unidad quedó asegurada por las autoridades sin que se reportaran personas detenidas.</t>
  </si>
  <si>
    <t>Ejecuciones</t>
  </si>
  <si>
    <t>Talento hidalguense destaca en las Olimpiadas Mexicanas de Informática 2026</t>
  </si>
  <si>
    <t>Olimpiada de informática</t>
  </si>
  <si>
    <t>Nueva olla de agua reactivará la actividad pecuaria en Zempoala</t>
  </si>
  <si>
    <t>Captación De Agua</t>
  </si>
  <si>
    <t>Se está reportando el hallazgo de 5 cuerpos de se considera igual número de personas que fueron localizadas en una fosa clandestina ubicada en la localidad de Texas, entre el municipio de Atotonilco de Tula. Vaya que ha sido todo un tema Atotonilco de Tula en meses recientes. Esto fue informado por la Comisión de Búsqueda de Personas en el Estado de Hidalgo. El hallazgo se hizo en esta fosa en los límites entre la entidad y el Estado de México. Y ocurrió este hallazgo durante un operativo realizado como parte de los trabajos de búsqueda que mantiene la comisión con apoyo de la Procuraduría General de Justicia del Estado de Hidalgo. De acuerdo con la información oficial, las labores de búsqueda de la comisión eh de búsqueda de personas permitieron localizar el sitio donde se encontraban los cuerpos. Posteriormente, personal de la Procuraduría de Justicia que estuvo a cargo del procesamiento del lugar, lo que permitió recuperar los restos de 5 personas que habían sido inhumadas ilegalmente. Hasta el momento, las autoridades no han informado la identidad de las personas localizadas por lo que continúan los trabajos para lograr su identificación plena. Tiene por momentos eh que se da a conocer esta información. De hecho, también se señala que las autoridades realizarán las acciones necesarias dentro de sus atribuciones para avanzar en la identificación de los cuerpos y posteriormente llevar a cabo su restitución a los familiares a quien correspondan. De hecho, tanto la Comisión de Búsqueda de Personas de Hidalgo como la propia Procuraduría Estatal mantienen coordinación durante el proceso y señalaron que permanecerán abiertos los canales de comunicación con familiares, colectivos, organizaciones y asociaciones dedicadas a la búsqueda de personas. El hallazgo se suma a las labores de búsqueda que se están haciendo en el estado de Hidalgo.</t>
  </si>
  <si>
    <t>Fosa clandestina</t>
  </si>
  <si>
    <t>Traumatismo craneoencefálico fue la causa de muerte del réferi Gerardo Germán Pineda, conocido en el ámbito de la lucha libre como ‘El Búho’, quien falleció tras recibir un martinete durante una función en Mineral de la Reforma, realizada el pasado 6 de octubre. De acuerdo con los resultados de la autopsia, el impacto contra la lona desencadenó un edema cerebral y una hemorragia subaracnoidea, lesiones que derivaron en la muerte del referí. Los resultados del estudio médico fueron ingresados en la carpeta de investigación 12-2026-12673. Los hechos ocurrieron durante un enfrentamiento en el cuadrilátero, cuando presuntamente surgió una discusión entre Pineda y el luchador Hijo de Fishman, quien le aplicó la maniobra que terminó con consecuencias fatales. Tras el fallecimiento del réferi, el luchador fue detenido y señalado por el delito de homicidio doloso; posteriormente recuperó su libertad luego de que se alcanzara un acuerdo con la familia de la víctima. Como parte de ese convenio, se estableció un acuerdo reparatorio de daños que consistió en el pago de 585 mil 525 pesos a familiares del réferi, con lo que se desestimó el caso y los cargos penales.</t>
  </si>
  <si>
    <t>Homicidios</t>
  </si>
  <si>
    <t>Con corte al 30 de septiembre del 2026, el Secretariado Ejecutivo del Sistema Nacional de Seguridad Pública reportó una disminución de 30.1% en los homicidios dolosos que se han registrado en el estado de Hidalgo con un total de 160 casos de enero a septiembre. Los datos corresponden a lo presentado durante la conferencia de prensa matutina a cargo del Gobierno Federal realizada el martes 13 de octubre. Se señaló que de enero a agosto del 2026 la entidad registró 149 homicidios dolosos, el 1.3% del total nacional, en comparación con los 160 casos reportados hasta septiembre, se tuvo un incremento de 11 homicidios hasta el noveno mes. Además, el estado de Hidalgo se ubicó en la posición número 14 entre las entidades con menos registros de homicidios dolosos. Se informó que el promedio diario de homicidios dolosos en México disminuyó más de 52% entre septiembre del 2024 y septiembre del 2026, al pasar de 89.9 a 42.2 casos diarios. Esto significa que en septiembre de este año se registraron 47.7 homicidios dolosos menos por día que en el mismo mes del 2024. La secretaria ejecutiva del Sistema, Marcela Figueroa Franco, detalló que siete entidades concentraron 50% de los homicidios dolosos registrados en el país: Baja California y Guanajuato representaron 8.5% cada uno, Chihuahua 7.8%, Sinaloa 7.7%, el Estado de México 6.4%, Guerrero 5.7% y Morelos 5.2%. Las entidades que destacaron por la reducción de este delito fueron San Luis Potosí, con una disminución de 78.6%, Nayarit 69.5% y Quintana Roo de 59.7%.</t>
  </si>
  <si>
    <t>Incidencia Delictiva</t>
  </si>
  <si>
    <t>Daniel Martínez: esto último acerca de las evaluaciones que hacen de recaudación, calificaciones, etcétera, etcétera, etcétera. Entiendo que está en un quizás en uno de los espacios más delicados, todos tienen su su complejidad, pero más delicados en el manejo de los recursos financieros, este materiales y el más importante que es el humano, pero esta última parte de tenemos buenas calificaciones, no hemos pedido deuda, etcétera, etcétera. Eh entiendo que es la explicación y o justificación de que le vamos a meter 7,000 millones de pesos a tres proyectos, pero no dejamos abandonados y al resto de la infraestructura del estado de Hidalgo. Ánimas que así sea. **Izza Hernández:** Así es, porque sí era alguna de las preguntas, pero bueno, pues ahí está también lo que responden al respecto y serán 7,000 millones de pesos en estos tres proyectos. **Daniel Martínez:** Dicen por acá, "Muchas inversiones para Pachuca y Tulancingo, ¿para cuándo habrá una inversión millonaria?", consideran, pues parece que que nunca, es lo que nos escriben por acá por WhatsApp, por ejemplo. **Daniel Martínez: te parafraseo hoy, es por lo menos el distribuidor vial Pueblos Unidos, por lo menos ya tiene nombre.</t>
  </si>
  <si>
    <t>Obras De Infraestructura</t>
  </si>
  <si>
    <t>El gobierno del estado de Hidalgo ha destinado en coordinación con la Federación 10,200 millones de pesos para poder atender los daños provocados por las lluvias registradas en octubre del 2025. Así lo informó la secretaria de Hacienda estatal, estamos hablando de María Esther Ramírez Vargas, durante la comparecencia ante el Congreso local. El total de recursos alrededor de 2,400 millones de pesos corresponden a obras de infraestructura, mientras que otros 2,100 millones fueron dirigidos a apoyos para habitantes de 236 comunidades, estas ubicadas en 28 municipios afectados por estas precipitaciones. Y bueno, la funcionaria señaló también que pues de alguna forma se contemplan 5,700 millones de pesos para la reconstrucción de puentes, además también una bolsa de 800 millones destinada a cerca de 300 obras que todavía pues se encuentran en proceso de validación o contratación y de acuerdo con lo expuesto ante los legisladores, se prevé que los procedimientos relacionados con estas obras queden concluidos antes de finalizar el 2026, todo esto como parte de las acciones para poder recuperar la infraestructura dañada y atender también a las zonas que resultaron afectadas por las lluvias. De hecho, la funcionaria señaló también que alrededor de 300 obras se, bueno, que implican una inversión de 800 millones de pesos continúan en proceso de validación y contratación también, así lo informó María Esther Ramírez Vargas, quien es secretaria de Hacienda estatal. Explicó también que pues la reconstrucción contempló una bolsa total de 10,200 millones de pesos para poder atender los daños registrados en 236 comunidades de 28 municipios de la entidad. De ese monto, 4,500 millones corresponden a recursos estatales y el resto a las aportaciones de la Federación. De hecho, de la inversión estatal 2,400 millones de pesos se destinaron a infraestructura, mientras que 2,100 millones pues se asignaron a los eh apoyos precisamente en especie. Y Ramírez Vargas agregó también que los trabajos de reconstrucción continúan y que la aplicación también de los recursos para las obras pues están a cargo de la Secretaría de Infraestructura Pública y Desarrollo Urbano Sostenible porque es la ejecutora del gasto. Entonces pues de esta manera, Daniel es como pues dan a conocer cuánto se estaría o se estima pues a la reconstrucción tras la lluvia en el 2025, ya un año, por cierto, de esto.</t>
  </si>
  <si>
    <t>Diálogo abierto y atención directa con la ciudadanía en la Mesa de Seguridad de Tenango de Doria</t>
  </si>
  <si>
    <t>Mesa de seguridad</t>
  </si>
  <si>
    <t>Hidalgo fortalece la atención a la infancia desde sus primeros años de vida</t>
  </si>
  <si>
    <t>Capacitación médica</t>
  </si>
  <si>
    <t>Andrés Torres señala que hay un subejercicio, que se habían previsto 14 millones de pesos para Radio y Televisión Hidalgo en 2026 con el fin de abrir dos estaciones, una en Tenango de Doria y otra en Pachuca. Sin embargo, debido a errores, conflictos de interés y falta de conocimiento del personal administrativo, no se podrán abrir estas estaciones. Hay preocupación sobre el destino de esos fondos, y se ha discutido esta situación con el secretario de gobierno, Guillermo Olivares. Cuestiona la capacidad de quienes dirigen los proyectos, como Alan Austin y Carlos Barra, ya que no tienen experiencia en medios de comunicación. Critica la falta de profesionalismo en la propuesta de crear una agencia informativa por alguien que nunca ha trabajado en ese sector. Señala que una agencia informativa debe operar todos los días y las 24 horas, pero el actual director parece más interesado en relaciones públicas y favores personales que en la gestión efectiva de la información. Plantea que la falta de habilidades y experiencia de los líderes está causando el fracaso de proyectos importantes en la radio y televisión pública. Asimismo, destaca la necesidad de tener personas capacitadas al mando para que las iniciativas tengan éxito. A pesar de las amenazas de despido que pueda recibir, expresa que no teme y critica abiertamente la situación actual, cuestionando si los responsables entienden el descontrol en el que se encuentran. Asegura que es necesario realizar ajustes significativos para mejorar la situación en Radio y Televisión Hidalgo.</t>
  </si>
  <si>
    <t>Hoy tenemos comparecencia, a las 10 de la mañana asiste el secretario de Economía a cargo del ingeniero Carlos Henkel Escorza, más tarde a las 16 horas la Contraloría a cargo del director doctor Álvaro Bardales Ramírez.</t>
  </si>
  <si>
    <t>Hidalgo vive un momento histórico: finanzas sólidas e inversión récord</t>
  </si>
  <si>
    <t>Seguimos fuera del aire y no tenemos noticias de cuándo volverá la señal de la estación en Jacala de Ledezma, operando en el 91.1 de frecuencia modulada. Este problema se debe a cuestiones de proveedores y fallos técnicos. A pesar de nuestros esfuerzos por reportar la situación, esto parece no ser prioridad para el área administrativa, que está ocupada con auditorías, demandas y otros asuntos que no están relacionados con nuestro trabajo. Esto genera frustración entre los empleados, quienes también comentan sobre el ambiente laboral lleno de acosos y preocupaciones constantes. Existen dificultades diarias y a menudo se nos culpa por problemas como la falta de energía eléctrica. Por otro lado, el área administrativa no se encarga de cosas simples, como el pago de servicios esenciales, lo que requiere que se les envíen recordatorios continuos. Este tipo de gestión ocasiona una pérdida de tiempo y recursos. A pesar de que presumen ser profesionales, muchos no están a la altura de sus responsabilidades. Además, se menciona que el periodismo en Hidalgo ha cambiado, pero en realidad no se ve una mejora significativa. La comunicación se centra más en relaciones públicas que en el ejercicio periodístico real. El liderazgo dentro de la institución también se cuestiona. Hay líderes que no tienen experiencia en periodismo ni en el funcionamiento de una agencia informativa. A menudo están más preocupados por hacer relaciones públicas y solicitar favores de otros secretarios que en impulsar un trabajo efectivo. Esto lleva a que proyectos importantes fracasen porque son dirigidos por personas inexpertas. La situación ha alcanzado un punto crítico y se plantea la necesidad de realizar ajustes genuinos. La obligación de la radio y la televisión pública es informar a la población y mantener operativas sus plataformas. Sin embargo, el funcionamiento actual parece más enfocado en el beneficio personal de algunos empleados, y la programación se revisa para determinar cuántos programas son originales y cuántos son repetidos, lo que muestra una falta de innovación. Finalmente, se reporta que hay dificultades para cumplir con la programación adecuada. Los programas se repiten habitualmente y se cuentan como producciones propias, lo que evidencia un problema en la calidad y autenticidad de la producción de contenido. Así, la situación general dentro de la estación y el ambiente laboral se perciben caóticos, y la falta de dirección y profesionalismo se destacan como factores que afectan gravemente a la institución.</t>
  </si>
  <si>
    <t>En Cuautepec, se descubrió otro túnel usado para sacar hidrocarburo de los ductos de Pemex. La Guardia Nacional, el gobierno del Estado de Hidalgo y la Policía Municipal realizaron un operativo que resultó en varias detenciones. El robo de hidrocarburo es un problema serio en la zona de Cuautepec y Santiago Tulantepec, donde hay operativos diarios.</t>
  </si>
  <si>
    <t>Ayer hubo manifestación por parte de trabajadores del IMSS. Hoy se espera una marcha por parte de familiares de personas desaparecidas, esto se realizará de la Plaza Juárez hasta la Comisión de Búsqueda de Personas del Estado de Hidalgo.</t>
  </si>
  <si>
    <t>Andrés Torres informa que a Secretaría de Salud ha iniciado una campaña de vacunación estatal contra el covid y la influenza. Se invita a las personas a acudir a los centros de salud, clínicas y hospitales más cercanos, donde las vacunas son gratuitas. La meta es aplicar más de un millón y medio de vacunas antes de que comience el invierno, que empieza entre el 20 y el 25 de diciembre. Se prioriza la vacunación de niños menores de 5 años, adultos mayores y personas con enfermedades crónicas. También se recuerda la importancia de recibir el refuerzo contra el covid. Si alguien presenta síntomas como dolor de cabeza, congestión nasal o fiebre, debe ir de inmediato a su centro de salud, ya que no se recomienda la automedicación.</t>
  </si>
  <si>
    <t>En el estado de Hidalgo, tras una solicitud de familiares de personas desaparecidas, la Comisión de Búsqueda de Personas localizó una fosa clandestina con los restos de cinco personas en la región comprendida entre Atotonilco de Tula, Tula y Atitalaquia. Luis Piña Sánchez, director de acciones de búsqueda, informó que los cuerpos presentaban un nivel avanzado de descomposición. Las autoridades se encuentran realizando los trabajos periciales y ministeriales correspondientes para lograr la identificación de las víctimas, mientras los familiares permanecen a la espera de los resultados.</t>
  </si>
  <si>
    <t>Durante su comparecencia ante el Congreso local, la secretaria de Hacienda, María Esther Ramírez Vargas, informó que las finanzas públicas de Hidalgo se han fortalecido mediante la planeación estratégica, la disciplina financiera y el robustecimiento de los ingresos propios, los cuales aumentaron un 96% al pasar de $4,916 millones de pesos en 2021 a más de $9,636 millones al cierre de 2025 sin incrementar impuestos. Asimismo, destacó que estas acciones, sumadas a la reducción del 42% de la deuda heredada y a la disminución de la dependencia de participaciones federales, han permitido que agencias calificadoras como Fitch Ratings y Moody's Local ubiquen al estado en el rango AA por su solvencia, liquidez y disciplina financiera.</t>
  </si>
  <si>
    <t>Hidalgo consolida su crecimiento turístico con más visitantes, inversión y promoción</t>
  </si>
  <si>
    <t>La Comisión de Búqueda de Personas del Estado de Hidalgo localizó cinco cuerpos inhumados ilegalmente</t>
  </si>
  <si>
    <t>Ha dado mucho de qué hablar el tema de la muerte del réferi allá en Mineral de la Reforma, incluso hoy hubo una conferencia de prensa; hoy se confirma que el traumatismo craneoencefálico fue la causa de muerte de Gerardo Germán Pineda, conocido en el ámbito de la lucha libre como «El Búho», quien falleció tras recibir un martinete durante una función en Mineral de la Reforma; el Hijo de Fishman fue el que le practicó esta llave.</t>
  </si>
  <si>
    <t>En el municipio de Atotonilco de Tula. A través de un comunicado oficial emitido hoy, 14 de octubre, la Comisión de Búsqueda de Personas del Estado de Hidalgo informó sobre la localización de cinco cuerpos inhumados, enterrados de manera ilegal, en la localidad de Tejas, perteneciente al municipio de Atotonilco de Tula, en los límites con el Estado de México.</t>
  </si>
  <si>
    <t>Como parte del ejercicio de rendición de cuentas ante el Congreso del estado de Hidalgo, la secretaria de Turismo del Estado de Hidalgo, Elizabeth Quintanar Gómez, presentó los principales resultados alcanzados durante la presente administración, con una política turística ecabezada por el gobernador Julio Menchaca Salazar, que coloca al sector como una herramienta para generar desarrollo regional, fortalecer las economías locales y mejorar el bienestar de las familias hidalguenses.</t>
  </si>
  <si>
    <t>Una mujer de 40 años fue liberada y su expareja detenida durante un operativo de la policía estatal en Tulancingo. Según el reporte, la víctima fue amagada con una escopeta cuando dejaba a su hijo en la escuela en la colonia La Cañada y trasladada a un inmueble del barrio Otontepec. Al llegar los policías, el hombre presuntamente disparó contra ellos.La mujer fue puesta a salvo y el detenido, identificado con las iniciales S. R. P., de 43 años, quedó a disposición de las autoridades. En el operativo aseguraron una escopeta y dos rifles. Un policía resultó lesionado en una mano y una patrulla recibió un impacto de bala.</t>
  </si>
  <si>
    <t>Personal de salud y estudiantes de medicina recibieron capacitación en desarrollo infantil temprano, durante un curso-taller realizado en Tizayuca. La actividad fue encabezada por la secretaria de Salud de Hidalgo, Vanessa Escalante Arroyo, y estuvo dirigida a alumnos del Instituto Educativo y Cultural de Hidalgo. Fundación Televisa impartió la jornada enfocada en fortalecer la atención integral de niñas y niños desde sus primeros años.</t>
  </si>
  <si>
    <t>Movilidad, infraestructura, servicios y crecimiento urbano, fueron algunos de los temas analizados por habitantes y autoridades de Ajacuba, Tetepango y Tlaxcoapan, durante un taller para elaborar el programa regional de desarrollo urbano y ordenamiento territorial de Tula.</t>
  </si>
  <si>
    <t>La Unidad de Policía Cibernética alerta a compradores de bienes y servicios por Internet, para que no caigan en una nueva modalidad de fraude, que consiste en la comercialización ficticia de productos y servicios a través de Internet. Esto mediante ofertas engañosas, cuyo objetivo es obtener dinero o información personal de las víctimas sin entregar lo prometido.</t>
  </si>
  <si>
    <t>Ciberseguridad</t>
  </si>
  <si>
    <t>Un grupo de personas se concentraron frente al Congreso del Estado, allá en Pachuca, para exigir la liberación de Macario y Lorenzo, habitantes de Julián Villagrán, Ixmiquilpan, a quienes consideran presos políticos. Los inconformes denunciaron presuntas irregularidades en el proceso relacionado con un conflicto agrario entre Julián Villagrán y Pueblo Nuevo. Aseguran que hay pruebas para desvirtuar las acusaciones y piden que ambos enfrenten su proceso en libertad.Estamos aquí, que ya resuelva este problema, dos años. Justamente la ley dice que ninguna persona debe estar detenida injustamente. Justamente dice la ley que ninguna persona debe estar detenida si no hay pruebas en su contra, si no hay pruebas para que esté detenido, debe ser liberado. La ley lo está marcando. Es una ley que desgraciadamente viola, viola hasta los derechos humanos, viola las garantías.</t>
  </si>
  <si>
    <t>La entidad pasó de cuatro punto nueve millones de visitantes en dos mil veintidós a más de seis punto cinco millones en lo que va de este dos mil veintiséis, con una derrama económica superior a los catorce mil millones de pesos y una ocupación hotelera promedio anual del cincuenta y tres punto nueve por ciento.</t>
  </si>
  <si>
    <t>Hidalgo obtuvo una medalla de plata, una de bronce y dos menciones honoríficas en la Olimpiada Mexicana de Informática en su edición para primaria y secundaria dos mil veintiséis, competencias de las que fue sede nacional y en las que participaron veinticinco delegaciones.Juan José Pérez Domínguez, de la preparatoria Alberto Zoebisch, ganó plata en bachillerato, mientras que Iker Daniel Pérez Domínguez, del centro educativo Calmécac, obtuvo bronce en secundaria. José Alberto Lorenzana Cortés, de Tulancingo, y Maxel Uziel Quijano Sánchez, de Tezontepec de Aldama, recibieron menciones honoríficas. Los estudiantes tuvieron ocho meses de capacitación en programación, algoritmos y resolución de problemas. Bueno, pues muchas felicidades. Son ya las siete con veintisiete minutos.</t>
  </si>
  <si>
    <t>La secretaria de Cultura de Hidalgo, Neyda Naranjo Baltazar, compareció ante el Congreso del Estado como parte de la glosa del informe de actividades del gobernador Julio Menchaca Salazar, donde fue cuestionada sobre la tauromaquia, al señalar que la fiesta brava forma parte de expresiones históricas, literarias y comunitarias de México y de Hidalgo. En ese sentido, manifestó su postura a favor de los espectáculos sin sangre.</t>
  </si>
  <si>
    <t>Ayer le platicábamos de esta información que le vamos a compartir de que ya iniciaron las campañas de vacunación en la región de Tula-Tepeji contra influenza, COVID-19 y virus del papiloma humano para prevenir enfermedades y complicaciones. Aquí está la información completa con nuestra compañera Claudia Alcántara.La vacunación por COVID-19 e influenza en la zona Tula-Tepeji comenzó con poca afluencia. Sin embargo, los ciudadanos que están asistiendo a inmunizarse a centros de salud nos señalaron que el propósito es prevenir un cuadro grave en caso de llegar a contagiarse de esos virus, además de inhibir la propagación de forma descontrolada como ocurrió en el dos mil veinte y dos mil veintiuno</t>
  </si>
  <si>
    <t>El secretario de gobierno de Hidalgo, Guillermo Olivares Reyna, informó que siete municipios de la entidad aún no cuentan con su atlas de riesgo. Mientras que otros 17 se encuentran en proceso de gestión para obtenerlo y 60 ya disponen de este documento fundamental para identificar las zonas vulnerables ante fenómenos naturales y otras emergencias.Y de los municipios hablábamos de que hay 17 municipios que no obstante les damos respaldo económico hasta un 40% del costo de estas herramientas pues están en estos momentos un año porque al final de cuentas suelten con el instrumento.</t>
  </si>
  <si>
    <t>Atlas de Riesgos</t>
  </si>
  <si>
    <t>La secretaria de Hacienda de Hidalgo, María Esther Ramírez Vargas, informó ante el Congreso local que los ingresos propios del Estado crecieron 96% entre 2021 y 2025, sin aumentar las tasas de impuestos vigentes</t>
  </si>
  <si>
    <t>Panorama Informativo</t>
  </si>
  <si>
    <t>Radioescucha Solo para comentarle: el tráfico para la México a la altura del puente de Venta Prieta está tremendo y avanzando por una obra que ya lleva 45 días. Pues a ver cuándo lo abren ya, sí está complicado todo ese tráfico en esa zona.</t>
  </si>
  <si>
    <t>Rehabilitación Vial</t>
  </si>
  <si>
    <t>Radioescucha 9313. Señor Fidel, Licenciado, pues reportándome. Aquí en Ampliación Santa Julia, segunda sección, no cae agua. Más de una semana en la calle 18. Urgente, licenciado, por favor, nos encontramos sin agua</t>
  </si>
  <si>
    <t>Pasando al panorama local, hoy por la madrugada, la Comisión de Búsqueda de Personas del Estado de Hidalgo informó que localizó cinco cuerpos inhumados ilegalmente. Estos cinco cuerpos fueron localizados en una fosa clandestina en la localidad de Texas, municipio de Atotonilco de Tula, en los límites del Estado de México, y esto fue como resultado de los trabajos de búsqueda realizados de forma permanente por la Comisión de Búsqueda de Personas del Estado de Hidalgo con apoyo de la Procuraduría General de Justicia del Estado de Hidalgo.</t>
  </si>
  <si>
    <t>Esther Ramírez Vargas , titular de la Secretaría de Hacienda de Hidalgo, compareció ante legisladores del Congreso del Estado de Hidalgo, destacó las finanzas sanas de la entidad.</t>
  </si>
  <si>
    <t>Estudiantes hidalguenses destacaron en las Olimpiadas Mexicanas de Informática 2026, obtuvieron medallas de plata y bronce.</t>
  </si>
  <si>
    <t>Elementos de la Secretaría de Seguridad Pública de Hidalgo (SSPH) liberaron a una mujer de 40 años, presuntamente privada de la libertad por su expareja, y detuvieron al probable responsable, durante un operativo realizado en Tulancingo, tras recibir una denuncia ciudadana.De acuerdo con el reporte, los hechos ocurrieron alrededor de las 06:40 horas, cuando la mujer dejaba a su hijo en la escuela, en la colonia La Cañada</t>
  </si>
  <si>
    <t>Comento Eulalio Larrieta sobre la marcha de ayer. «Fue una manifestación limpia, tranquila, sin agresiones, sin insultos hacia... a la sociedad ni nada de ellos. Vinieron a pedir lo que querían, lo que necesitan. Sí sé que es del ámbito federal». Y lo dijo el secretario de Gobierno el pasado fin de semana:</t>
  </si>
  <si>
    <t>Un trabajador de la construcción fue localizado sin vida al interior de una vivienda del fraccionamiento Fuentes de Tizayuca luego de que presuntamente sufriera un accidente mientras realizaba sus labores. De acuerdo con los primeros reportes, la propietaria del inmueble encontró al albañil y solicitó apoyo a través del número de emergencias 911. Al lugar acudieron paramédicos y elementos de la policía municipal tras revisar al trabajador los servicios de emergencia confirmados. La zona fue acordonada para preservar el lugar, en tanto que personal de la Procuraduría General de Justicia del Estado de Hidalgo inició el levantamiento de pruebas y testimoniales. El personal del Servicio Médico Forense realizó el levantamiento del cuerpo y lo trasladó al anfiteatro para practicarle la necropsia de ley. Las autoridades ministeriales investigan las circunstancias del fallecimiento para determinar si se trató de un accidente laboral o si existen otros factores relacionados con la muerte.</t>
  </si>
  <si>
    <t>Jessenia Romero</t>
  </si>
  <si>
    <t>Un hombre de aproximadamente 45 años de edad, hasta el momento no identificado, fue localizado sin vida la tarde de este martes en el interior de una habitación que rentaba sobre la avenida Hidalgo, en la zona centro de la cabecera municipal de Epazoyucan. De acuerdo con los primeros reportes de las autoridades locales, la víctima no había sido vista por sus vecinos desde el pasado fin de semana. Fue a partir de que los vecinos percibieron un fuerte olor a gas, que los vecinos realizaron reporta a los cuerpos de seguridad pública y de atención a emergencias. Al sitio arribaron elementos de la Policía Municipal, quienes tras ingresar a la vivienda confirmaron el hallazgo del cuerpo y procedieron a resguardar y acordonar el área para preservar la escena. Personal de la Procuraduría General de Justicia del Estado de Hidalgo inició las investigaciones respectivas al caso, para establecer lo ocurrido y con ello señalar las responsabilidades legales.</t>
  </si>
  <si>
    <t>SEPH coordina estrategia de vacunación en escuelas</t>
  </si>
  <si>
    <t>Señala el contralor del estado de Hidalgo, Álvaro Bardales Ramírez, que hasta el momento se han presentado 97 denuncias penales en total por qué se le conoce a la "Estafa Siniestra" en el estado de Hidalgo por temas relacionados con presunta corrupción. Él puntualizó que se han presentado 42 denuncias hacia proveedores y exservidores públicos de 7 dependencias, 3 organismos y 10 municipios. El monto del presunto daño asciende a 2,400 millones de pesos, de los cuales se han recuperado 500 millones. A ellos se agrega que 228 millones de pesos corresponden a recursos en 13 municipios, mientras que otros 50 millones de pesos provienen de diversos organismos. Además de que 5 inmuebles fueron destinados a programas sociales con un valor de 201 millones de pesos. El funcionario estatal señaló que algunas de las denuncias presentadas ante la Procuraduría Estatal de Justicia han derivado en la detención de presidentes municipales por presuntos actos de corrupción. Bardales Ramírez destacó que se han incorporado al patrimonio del estado 435 inmuebles recuperados con un valor superior a 1,267 millones de pesos, que se han destinado a beneficiar a la ciudadanía mediante espacios sociales, entre ellos la casa de los adolescentes, centros culturales, parques y jardines, así como la nueva sede del Tribunal de Justicia Administrativa del Estado. Por otro lado, el contralor afirmó que Hidalgo ocupa el primer lugar en denuncias penales por hechos de corrupción y atribuyó ese posicionamiento al incremento de las denuncias presentadas.</t>
  </si>
  <si>
    <t>Con los nombres de sus seres queridos desaparecidos como consigna, familiares de personas no localizadas marcharon este miércoles en Pachuca para exigir avances en las labores de búsqueda y localización. La movilización, encabezada por el colectivo Madres Buscadoras, partió de Plaza Juárez y avanzó hacia las instalaciones de la Comisión de Búsqueda de Personas del Estado de Hidalgo (CBPEH), donde las familias expusieron las dificultades que han enfrentado durante los procesos de búsqueda. “Carlos, escucha, tu madre está en la lucha”, “Luis, escucha, tu padre está en la lucha” y otras consignas fueron repetidas durante el recorrido, mientras madres, padres, hermanos y demás familiares recordaban los nombres de las personas cuyo paradero continúa sin conocerse. Durante la manifestación, algunas familias compartieron experiencias relacionadas con las jornadas de búsqueda realizadas en distintos puntos del estado y señalaron que existen zonas que requieren mayor atención, particularmente aquellas de difícil acceso. Entre las participantes estuvo la madre de Carlos Gabriel Elizalde Gutiérrez, desaparecido el 11 de marzo de 2026 en Zempoala, quien señaló que continúa participando en las labores para localizarlo y que hasta el momento no cuenta con información sobre su paradero. La mujer también cuestionó la efectividad reportada por la Comisión de Búsqueda y señaló que, desde su perspectiva, existen deficiencias y lentitud en algunas jornadas. Afirmó que las familias han proporcionado información sobre posibles puntos de interés y consideró necesario mantener las labores de campo. Respecto a las búsquedas realizadas en zonas de minas de Zempoala, explicó que en uno de los puntos fueron localizados nueve cuerpos que, según la información recibida por las familias, correspondían a restos arqueológicos antiguos. Las familias también destacaron la participación de la Procuraduría General de Justicia del Estado de Hidalgo en las inspecciones de algunos terrenos, particularmente en la recuperación y análisis de posibles restos e indicios. Durante la marcha, los familiares reiteraron que continuarán participando en las labores de búsqueda y solicitando que se atiendan los distintos casos de personas desaparecidas en Hidalgo.</t>
  </si>
  <si>
    <t>Búsqueda de personas</t>
  </si>
  <si>
    <t>El secretario de Educación Pública de nuestra entidad, Natividad Castrejón, no para, prácticamente recorre todo el estado constantemente visitando las escuelas, desde nivel preescolar hasta las superiores. Es de destacar el interés que hay por atender las demandas de las regiones en cuanto al tema educativo y pues es una constante la presencia del secretario en todas las regiones, en todas las escuelas de del estado.</t>
  </si>
  <si>
    <t>Labor destacada</t>
  </si>
  <si>
    <t>Natividad Castrejón entregó nuevos espacios educativos en beneficio de estudiantes de Alfajayucan</t>
  </si>
  <si>
    <t>Rocket Revolution acerca la industria aeroespacial a Hidalgo</t>
  </si>
  <si>
    <t>Impulso a ciencia y tecnología</t>
  </si>
  <si>
    <t>Primera sentencia condenatoria por violencia vicaria</t>
  </si>
  <si>
    <t>Hoy comparece Napoleón González, secretario de Agricultura y Salvador Cruz Neri, el secretario de Seguridad Pública</t>
  </si>
  <si>
    <t>Hoy comparece Napoleón González, secretario de Agricultura y Salvador Cruz Neri, el secretario de Seguridad Pública.</t>
  </si>
  <si>
    <t>Ayer tuve una reunión con el secretario del despacho del gobernador Julio Menchaca con don Alejandro Velázquez y estuvimos viendo el tema de resolver lo más pronto posible, junto con el secretario de gobierno Guillermo Olivares Reyna, la situación que tenemos en Jacala de Ledezma, donde casi ya llevamos un mes fuera del aire. Ayer tuvimos una reunión ex profeso para ver estos temas. Gracias de verdad por el apoyo, muy pronto vamos a estar nuevamente al aire allá en Jacala en el 91.1 de frecuencia modulada.</t>
  </si>
  <si>
    <t>La Secretaría de Salud Pública inició la campaña de vacunación invernal con dosis gratuitas contra el COVID-19 y la influenza estacional en todo el estado. Las vacunas son gratis, hay que ponerse la vacuna del COVID cada año, dos veces al año se recomienda la de influenza, por favor, primero niños, niñas menores de 5 años, es el sector de población uno de los más importantes para temas de salud, eh los adultos mayores, las personas que tienen enfermedades crónico-degenerativas.</t>
  </si>
  <si>
    <t>Locutor Jesús Riveros da salida a audio de radioescucha identificada como la doctora Leticia Guzmán quien reportó una grave fuga de agua potable con más de un mes de antigüedad ubicada en el fraccionamiento Mineral del Oro, específicamente entre las calles Maestranza y Mineral Paraíso, cerca de la explanada al sur de Pachuca. Señaló que a pesar de haber interpuesto más de 14 denuncias ante la Comisión de Agua y Alcantarillado de Sistemas Intermunicipales (CAASIM), las autoridades no han acudido a solucionar el problema que desperdicia miles de litros diarios, por lo que solicitó la intervención urgente del organismo.</t>
  </si>
  <si>
    <t>Muy negativo</t>
  </si>
  <si>
    <t>Locutor Jesús Riveros da salida a audio de radioescucha que expresó su inconformidad sobre el costo de 3.4 millones de pesos destinado para la construcción de dos aulas equipadas con tecnología en un plantel escolar, cuestionando el destino de dicha inversión. En respuesta, Jesús Riveros explicó que se trata de espacios tipo laboratorios tecnológicos avanzados promovidos por la Secretaría de Educación Pública, los cuales justifican el monto debido a su alto nivel de equipamiento e innovación.</t>
  </si>
  <si>
    <t>Infraestructura escolar</t>
  </si>
  <si>
    <t>Durante su comparecencia ante el Congreso de Hidalgo, el secretario de Contraloría, Álvaro Bardales Ramírez, informó sobre los avances en la fiscalización de recursos y la consolidación del complejo Hidalgo Honesto. El funcionario destacó la recuperación de cerca de 500 millones de pesos por desvíos y la incorporación de 435 inmuebles al patrimonio público con un valor superior a los 1,267 millones de pesos. Asimismo, detalló las auditorías e investigaciones realizadas para combatir la corrupción y garantizar la correcta aplicación del gasto en beneficio de la ciudadanía.</t>
  </si>
  <si>
    <t>En Hidalgo se logró la primera sentencia condenatoria por violencia vicaria tras el caso de una mujer de Cuautepec que expuso su situación en las mesas de acercamiento de Bienestar y Paz. El seguimiento institucional de la Secretaría de Gobernación y las instancias competentes permitió obtener este fallo histórico que busca causar daño a la madre a través de los hijos. En el proceso destacó la intervención del Frente Nacional Contra la Violencia Vicaria y la actuación con perspectiva de género por parte del Ministerio Público y el juez.</t>
  </si>
  <si>
    <t>Con 21 funciones llegará Circuito Nacional de Artes Escénicas a Hidalgo</t>
  </si>
  <si>
    <t>Evento Cultural</t>
  </si>
  <si>
    <t>Complejo Hidalgo Honesto fortalece la vigilancia del dinero público y la calidad de las obras</t>
  </si>
  <si>
    <t>SSH establece la ruta para fortalecer la atención segura y de calidad en 2027</t>
  </si>
  <si>
    <t>Coordinación Interinstitucional</t>
  </si>
  <si>
    <t>La Secretaría de Educación Pública de Hidalgo (SEPH), que encabeza Natividad Castrejón Valdez coordina una campaña de vacunación contra la influenza y COVID-19 en escuelas de educación básica, en colaboración con instituciones del sector salud, con el objetivo de proteger a niñas, niños y personal educativo.</t>
  </si>
  <si>
    <t>Por primera vez en Hidalgo, una persona fue sentenciada por violencia familiar en su modalidad vicaria, en agravio de una mujer de Cuautepec. El caso recibió seguimiento institucional luego de que la víctima expusiera su situación en las mesas de acercamiento de bienestar y paz. La Secretaría de Gobierno coordinó la atención con las instancias correspondientes. La resolución constituye un precedente para el Estado. El Frente Nacional contra Violencia Vicaria reconoció la actuación del Ministerio Público y del juez, así como la importancia de aplicar perspectiva de género para garantizar el acceso a la justicia. La Secretaría de Gobierno informó que continuará dando seguimiento a los casos planteados en estas mesas.</t>
  </si>
  <si>
    <t>Vía telefónica secretario de educación pública Natividad Castrejón Valdéz con temas de educación</t>
  </si>
  <si>
    <t>Impulso A La Educación</t>
  </si>
  <si>
    <t>Integrantes del Colectivo Madres Buscadoras de Hidalgo, se manifestaron en Plaza Juárez de Pachuca y posteriormente marcharon hacia la Comisión de Búsqueda de Personas de Hidalgo, para exigir avances en la localización de sus familiares, así lo refirió una de las madres buscadoras, quién desde el 24 de julio de 2025 se mantiene en la búsqueda de su hijo Cruz Giovanni Villegas Ruiz, de 31 años de edad.Giovanni desapareció en el municipio de Zempoala y de acuerdo con su mamá al encontrarse en compañía de otros amigos fue obligado a subir a un vehículo y desde entonces no ha sido localizado. Detalló además que su carpeta de investigación no ha presentado avances. «Vengo del colectivo de Madres Buscadoras de Hidalgo y pues yo busco este la ayuda para encontrar a mi hijo que desapareció el 24 de julio del 2025 en Santiago Tepeyahualco municipio de Zempoala.</t>
  </si>
  <si>
    <t>Hablando de comparecencias en el marco de la glosa del cuarto informe del gobernador Julio Menchaca Salazar, el secretario de la Contraloría Álvaro Bardales Ramírez destacó la consolidación del complejo Hidalgo honesto como una de las principales herramientas del estado para prevenir la corrupción,</t>
  </si>
  <si>
    <t>Otro tema que ha llamado la atención en Hidalgo es la prohibición de las corridas de toros, aquí en el estado sigue dando de qué hablar y durante la comparecencia de la secretaria de cultura Neyda Naranjo, el diputado Marco Antonio Mendoza Bustamante cuestionó a la funcionaria sobre este tema, el tauromachi es parte de la cultura hidalguense</t>
  </si>
  <si>
    <t>La actividad pecuaria de San Pedro Tlaquilpan contará con mayor disponibilidad de agua durante la temporada de estiaje, con la inauguración de una olla de captación, almacenamiento y aprovechamiento hídrico, cuya capacidad supera los 3.2 millones de litros.El titular de la Secretaría de Agricultura y Desarrollo Rural de Hidalgo (Saderh), Napoleón González Pérez, encabezó la entrega de esta infraestructura, construida con una inversión de más de 2 millones de pesos,</t>
  </si>
  <si>
    <t>Radioescucha dice: «Muy buenos días. En Panorama Informativo quiero hacer una denuncia por la falta de agua en la calle Arnulfo G. Farías, esquina con Magnolia. Ya llevamos tres días sin suministro de agua potable». Con mucho gusto, aquí la estamos pasando de una vez.</t>
  </si>
  <si>
    <t>Radioescucha 0825. Luz, ¿cómo está, señora Luz? Dice: Muy buenos días, Lalo. Nos tomó desprevenidos la falta de agua en la colonia Nueva Francisco I. Madero, ya que no se notificó por parte de CAASIM». ¡Ah, caray! Pues vamos a checarlo. «Que nos envíen pipas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</si>
</sst>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85" tableType="queryTable" totalsRowShown="0">
  <autoFilter ref="A1:M85"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85"/>
  <sheetViews>
    <sheetView tabSelected="1" topLeftCell="A50" workbookViewId="0">
      <selection activeCell="A85" sqref="A85"/>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1.140625" bestFit="1" customWidth="1"/>
    <col min="8" max="9" width="12.42578125" bestFit="1" customWidth="1"/>
    <col min="10" max="10" width="18.855468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15</v>
      </c>
      <c r="C1" t="s">
        <v>16</v>
      </c>
      <c r="D1" t="s">
        <v>17</v>
      </c>
      <c r="E1" t="s">
        <v>1</v>
      </c>
      <c r="F1" t="s">
        <v>2</v>
      </c>
      <c r="G1" t="s">
        <v>4</v>
      </c>
      <c r="H1" t="s">
        <v>3</v>
      </c>
      <c r="I1" t="s">
        <v>5</v>
      </c>
      <c r="J1" t="s">
        <v>18</v>
      </c>
      <c r="K1" t="s">
        <v>19</v>
      </c>
      <c r="L1" t="s">
        <v>20</v>
      </c>
      <c r="M1" t="s">
        <v>25</v>
      </c>
    </row>
    <row r="2" spans="1:13" x14ac:dyDescent="0.25">
      <c r="A2" s="2">
        <v>46309</v>
      </c>
      <c r="B2" s="1" t="str">
        <f ca="1">IF(Información1[[#This Row],[Fecha]]='Ajuste de fechas'!$A$2,"Día actual","Día anterior")</f>
        <v>Día anterior</v>
      </c>
      <c r="C2" t="s">
        <v>42</v>
      </c>
      <c r="D2" t="s">
        <v>43</v>
      </c>
      <c r="E2" t="s">
        <v>85</v>
      </c>
      <c r="F2" t="s">
        <v>69</v>
      </c>
      <c r="G2" t="s">
        <v>86</v>
      </c>
      <c r="H2" t="s">
        <v>44</v>
      </c>
      <c r="I2" t="s">
        <v>7</v>
      </c>
      <c r="J2" t="s">
        <v>21</v>
      </c>
      <c r="K2" t="s">
        <v>45</v>
      </c>
      <c r="L2" t="s">
        <v>24</v>
      </c>
      <c r="M2">
        <v>1</v>
      </c>
    </row>
    <row r="3" spans="1:13" x14ac:dyDescent="0.25">
      <c r="A3" s="2">
        <v>46309</v>
      </c>
      <c r="B3" s="1" t="str">
        <f ca="1">IF(Información1[[#This Row],[Fecha]]='Ajuste de fechas'!$A$2,"Día actual","Día anterior")</f>
        <v>Día anterior</v>
      </c>
      <c r="C3" t="s">
        <v>42</v>
      </c>
      <c r="D3" t="s">
        <v>43</v>
      </c>
      <c r="E3" t="s">
        <v>87</v>
      </c>
      <c r="F3" t="s">
        <v>29</v>
      </c>
      <c r="G3" t="s">
        <v>80</v>
      </c>
      <c r="H3" t="s">
        <v>44</v>
      </c>
      <c r="I3" t="s">
        <v>14</v>
      </c>
      <c r="J3" t="s">
        <v>21</v>
      </c>
      <c r="K3" t="s">
        <v>46</v>
      </c>
      <c r="L3" t="s">
        <v>23</v>
      </c>
      <c r="M3">
        <v>1</v>
      </c>
    </row>
    <row r="4" spans="1:13" x14ac:dyDescent="0.25">
      <c r="A4" s="2">
        <v>46309</v>
      </c>
      <c r="B4" s="1" t="str">
        <f ca="1">IF(Información1[[#This Row],[Fecha]]='Ajuste de fechas'!$A$2,"Día actual","Día anterior")</f>
        <v>Día anterior</v>
      </c>
      <c r="C4" t="s">
        <v>42</v>
      </c>
      <c r="D4" t="s">
        <v>43</v>
      </c>
      <c r="E4" t="s">
        <v>88</v>
      </c>
      <c r="F4" t="s">
        <v>29</v>
      </c>
      <c r="G4" t="s">
        <v>80</v>
      </c>
      <c r="H4" t="s">
        <v>44</v>
      </c>
      <c r="I4" t="s">
        <v>14</v>
      </c>
      <c r="J4" t="s">
        <v>21</v>
      </c>
      <c r="K4" t="s">
        <v>46</v>
      </c>
      <c r="L4" t="s">
        <v>23</v>
      </c>
      <c r="M4">
        <v>1</v>
      </c>
    </row>
    <row r="5" spans="1:13" x14ac:dyDescent="0.25">
      <c r="A5" s="2">
        <v>46309</v>
      </c>
      <c r="B5" s="1" t="str">
        <f ca="1">IF(Información1[[#This Row],[Fecha]]='Ajuste de fechas'!$A$2,"Día actual","Día anterior")</f>
        <v>Día anterior</v>
      </c>
      <c r="C5" t="s">
        <v>47</v>
      </c>
      <c r="D5" t="s">
        <v>48</v>
      </c>
      <c r="E5" t="s">
        <v>89</v>
      </c>
      <c r="F5" t="s">
        <v>36</v>
      </c>
      <c r="G5" t="s">
        <v>90</v>
      </c>
      <c r="H5" t="s">
        <v>31</v>
      </c>
      <c r="I5" t="s">
        <v>14</v>
      </c>
      <c r="J5" t="s">
        <v>21</v>
      </c>
      <c r="K5" t="s">
        <v>77</v>
      </c>
      <c r="L5" t="s">
        <v>22</v>
      </c>
      <c r="M5">
        <v>1</v>
      </c>
    </row>
    <row r="6" spans="1:13" x14ac:dyDescent="0.25">
      <c r="A6" s="2">
        <v>46309</v>
      </c>
      <c r="B6" s="1" t="str">
        <f ca="1">IF(Información1[[#This Row],[Fecha]]='Ajuste de fechas'!$A$2,"Día actual","Día anterior")</f>
        <v>Día anterior</v>
      </c>
      <c r="C6" t="s">
        <v>47</v>
      </c>
      <c r="D6" t="s">
        <v>48</v>
      </c>
      <c r="E6" t="s">
        <v>91</v>
      </c>
      <c r="F6" t="s">
        <v>13</v>
      </c>
      <c r="G6" t="s">
        <v>92</v>
      </c>
      <c r="H6" t="s">
        <v>31</v>
      </c>
      <c r="I6" t="s">
        <v>7</v>
      </c>
      <c r="J6" t="s">
        <v>21</v>
      </c>
      <c r="K6" t="s">
        <v>49</v>
      </c>
      <c r="L6" t="s">
        <v>24</v>
      </c>
      <c r="M6">
        <v>1</v>
      </c>
    </row>
    <row r="7" spans="1:13" x14ac:dyDescent="0.25">
      <c r="A7" s="2">
        <v>46309</v>
      </c>
      <c r="B7" s="1" t="str">
        <f ca="1">IF(Información1[[#This Row],[Fecha]]='Ajuste de fechas'!$A$2,"Día actual","Día anterior")</f>
        <v>Día anterior</v>
      </c>
      <c r="C7" t="s">
        <v>47</v>
      </c>
      <c r="D7" t="s">
        <v>48</v>
      </c>
      <c r="E7" t="s">
        <v>93</v>
      </c>
      <c r="F7" t="s">
        <v>68</v>
      </c>
      <c r="G7" t="s">
        <v>94</v>
      </c>
      <c r="H7" t="s">
        <v>31</v>
      </c>
      <c r="I7" t="s">
        <v>7</v>
      </c>
      <c r="J7" t="s">
        <v>21</v>
      </c>
      <c r="K7" t="s">
        <v>77</v>
      </c>
      <c r="L7" t="s">
        <v>24</v>
      </c>
      <c r="M7">
        <v>1</v>
      </c>
    </row>
    <row r="8" spans="1:13" x14ac:dyDescent="0.25">
      <c r="A8" s="2">
        <v>46309</v>
      </c>
      <c r="B8" s="1" t="str">
        <f ca="1">IF(Información1[[#This Row],[Fecha]]='Ajuste de fechas'!$A$2,"Día actual","Día anterior")</f>
        <v>Día anterior</v>
      </c>
      <c r="C8" t="s">
        <v>47</v>
      </c>
      <c r="D8" t="s">
        <v>48</v>
      </c>
      <c r="E8" t="s">
        <v>95</v>
      </c>
      <c r="F8" t="s">
        <v>29</v>
      </c>
      <c r="G8" t="s">
        <v>96</v>
      </c>
      <c r="H8" t="s">
        <v>31</v>
      </c>
      <c r="I8" t="s">
        <v>7</v>
      </c>
      <c r="J8" t="s">
        <v>21</v>
      </c>
      <c r="K8" t="s">
        <v>49</v>
      </c>
      <c r="L8" t="s">
        <v>22</v>
      </c>
      <c r="M8">
        <v>1</v>
      </c>
    </row>
    <row r="9" spans="1:13" x14ac:dyDescent="0.25">
      <c r="A9" s="2">
        <v>46309</v>
      </c>
      <c r="B9" s="1" t="str">
        <f ca="1">IF(Información1[[#This Row],[Fecha]]='Ajuste de fechas'!$A$2,"Día actual","Día anterior")</f>
        <v>Día anterior</v>
      </c>
      <c r="C9" t="s">
        <v>47</v>
      </c>
      <c r="D9" t="s">
        <v>48</v>
      </c>
      <c r="E9" t="s">
        <v>97</v>
      </c>
      <c r="F9" t="s">
        <v>36</v>
      </c>
      <c r="G9" t="s">
        <v>98</v>
      </c>
      <c r="H9" t="s">
        <v>31</v>
      </c>
      <c r="I9" t="s">
        <v>7</v>
      </c>
      <c r="J9" t="s">
        <v>21</v>
      </c>
      <c r="K9" t="s">
        <v>49</v>
      </c>
      <c r="L9" t="s">
        <v>22</v>
      </c>
      <c r="M9">
        <v>1</v>
      </c>
    </row>
    <row r="10" spans="1:13" x14ac:dyDescent="0.25">
      <c r="A10" s="2">
        <v>46309</v>
      </c>
      <c r="B10" s="1" t="str">
        <f ca="1">IF(Información1[[#This Row],[Fecha]]='Ajuste de fechas'!$A$2,"Día actual","Día anterior")</f>
        <v>Día anterior</v>
      </c>
      <c r="C10" t="s">
        <v>47</v>
      </c>
      <c r="D10" t="s">
        <v>48</v>
      </c>
      <c r="E10" t="s">
        <v>99</v>
      </c>
      <c r="F10" t="s">
        <v>59</v>
      </c>
      <c r="G10" t="s">
        <v>100</v>
      </c>
      <c r="H10" t="s">
        <v>31</v>
      </c>
      <c r="I10" t="s">
        <v>10</v>
      </c>
      <c r="J10" t="s">
        <v>21</v>
      </c>
      <c r="K10" t="s">
        <v>77</v>
      </c>
      <c r="L10" t="s">
        <v>22</v>
      </c>
      <c r="M10">
        <v>1</v>
      </c>
    </row>
    <row r="11" spans="1:13" x14ac:dyDescent="0.25">
      <c r="A11" s="2">
        <v>46309</v>
      </c>
      <c r="B11" s="1" t="str">
        <f ca="1">IF(Información1[[#This Row],[Fecha]]='Ajuste de fechas'!$A$2,"Día actual","Día anterior")</f>
        <v>Día anterior</v>
      </c>
      <c r="C11" t="s">
        <v>47</v>
      </c>
      <c r="D11" t="s">
        <v>48</v>
      </c>
      <c r="E11" t="s">
        <v>101</v>
      </c>
      <c r="F11" t="s">
        <v>82</v>
      </c>
      <c r="G11" t="s">
        <v>102</v>
      </c>
      <c r="H11" t="s">
        <v>31</v>
      </c>
      <c r="I11" t="s">
        <v>14</v>
      </c>
      <c r="J11" t="s">
        <v>21</v>
      </c>
      <c r="K11" t="s">
        <v>49</v>
      </c>
      <c r="L11" t="s">
        <v>23</v>
      </c>
      <c r="M11">
        <v>1</v>
      </c>
    </row>
    <row r="12" spans="1:13" x14ac:dyDescent="0.25">
      <c r="A12" s="2">
        <v>46309</v>
      </c>
      <c r="B12" s="1" t="str">
        <f ca="1">IF(Información1[[#This Row],[Fecha]]='Ajuste de fechas'!$A$2,"Día actual","Día anterior")</f>
        <v>Día anterior</v>
      </c>
      <c r="C12" t="s">
        <v>47</v>
      </c>
      <c r="D12" t="s">
        <v>48</v>
      </c>
      <c r="E12" t="s">
        <v>103</v>
      </c>
      <c r="F12" t="s">
        <v>82</v>
      </c>
      <c r="G12" t="s">
        <v>63</v>
      </c>
      <c r="H12" t="s">
        <v>31</v>
      </c>
      <c r="I12" t="s">
        <v>7</v>
      </c>
      <c r="J12" t="s">
        <v>21</v>
      </c>
      <c r="K12" t="s">
        <v>77</v>
      </c>
      <c r="L12" t="s">
        <v>22</v>
      </c>
      <c r="M12">
        <v>1</v>
      </c>
    </row>
    <row r="13" spans="1:13" x14ac:dyDescent="0.25">
      <c r="A13" s="2">
        <v>46309</v>
      </c>
      <c r="B13" s="1" t="str">
        <f ca="1">IF(Información1[[#This Row],[Fecha]]='Ajuste de fechas'!$A$2,"Día actual","Día anterior")</f>
        <v>Día anterior</v>
      </c>
      <c r="C13" t="s">
        <v>42</v>
      </c>
      <c r="D13" t="s">
        <v>43</v>
      </c>
      <c r="E13" t="s">
        <v>104</v>
      </c>
      <c r="F13" t="s">
        <v>29</v>
      </c>
      <c r="G13" t="s">
        <v>105</v>
      </c>
      <c r="H13" t="s">
        <v>44</v>
      </c>
      <c r="I13" t="s">
        <v>7</v>
      </c>
      <c r="J13" t="s">
        <v>21</v>
      </c>
      <c r="K13" t="s">
        <v>46</v>
      </c>
      <c r="L13" t="s">
        <v>24</v>
      </c>
      <c r="M13">
        <v>1</v>
      </c>
    </row>
    <row r="14" spans="1:13" x14ac:dyDescent="0.25">
      <c r="A14" s="2">
        <v>46309</v>
      </c>
      <c r="B14" s="1" t="str">
        <f ca="1">IF(Información1[[#This Row],[Fecha]]='Ajuste de fechas'!$A$2,"Día actual","Día anterior")</f>
        <v>Día anterior</v>
      </c>
      <c r="C14" t="s">
        <v>42</v>
      </c>
      <c r="D14" t="s">
        <v>43</v>
      </c>
      <c r="E14" t="s">
        <v>106</v>
      </c>
      <c r="F14" t="s">
        <v>30</v>
      </c>
      <c r="G14" t="s">
        <v>107</v>
      </c>
      <c r="H14" t="s">
        <v>44</v>
      </c>
      <c r="I14" t="s">
        <v>7</v>
      </c>
      <c r="J14" t="s">
        <v>21</v>
      </c>
      <c r="K14" t="s">
        <v>46</v>
      </c>
      <c r="L14" t="s">
        <v>24</v>
      </c>
      <c r="M14">
        <v>1</v>
      </c>
    </row>
    <row r="15" spans="1:13" x14ac:dyDescent="0.25">
      <c r="A15" s="2">
        <v>46309</v>
      </c>
      <c r="B15" s="1" t="str">
        <f ca="1">IF(Información1[[#This Row],[Fecha]]='Ajuste de fechas'!$A$2,"Día actual","Día anterior")</f>
        <v>Día anterior</v>
      </c>
      <c r="C15" t="s">
        <v>42</v>
      </c>
      <c r="D15" t="s">
        <v>43</v>
      </c>
      <c r="E15" t="s">
        <v>108</v>
      </c>
      <c r="F15" t="s">
        <v>29</v>
      </c>
      <c r="G15" t="s">
        <v>80</v>
      </c>
      <c r="H15" t="s">
        <v>44</v>
      </c>
      <c r="I15" t="s">
        <v>14</v>
      </c>
      <c r="J15" t="s">
        <v>21</v>
      </c>
      <c r="K15" t="s">
        <v>46</v>
      </c>
      <c r="L15" t="s">
        <v>23</v>
      </c>
      <c r="M15">
        <v>1</v>
      </c>
    </row>
    <row r="16" spans="1:13" x14ac:dyDescent="0.25">
      <c r="A16" s="2">
        <v>46309</v>
      </c>
      <c r="B16" s="1" t="str">
        <f ca="1">IF(Información1[[#This Row],[Fecha]]='Ajuste de fechas'!$A$2,"Día actual","Día anterior")</f>
        <v>Día anterior</v>
      </c>
      <c r="C16" t="s">
        <v>42</v>
      </c>
      <c r="D16" t="s">
        <v>43</v>
      </c>
      <c r="E16" t="s">
        <v>109</v>
      </c>
      <c r="F16" t="s">
        <v>66</v>
      </c>
      <c r="G16" t="s">
        <v>63</v>
      </c>
      <c r="H16" t="s">
        <v>44</v>
      </c>
      <c r="I16" t="s">
        <v>7</v>
      </c>
      <c r="J16" t="s">
        <v>21</v>
      </c>
      <c r="K16" t="s">
        <v>45</v>
      </c>
      <c r="L16" t="s">
        <v>22</v>
      </c>
      <c r="M16">
        <v>1</v>
      </c>
    </row>
    <row r="17" spans="1:13" x14ac:dyDescent="0.25">
      <c r="A17" s="2">
        <v>46309</v>
      </c>
      <c r="B17" s="1" t="str">
        <f ca="1">IF(Información1[[#This Row],[Fecha]]='Ajuste de fechas'!$A$2,"Día actual","Día anterior")</f>
        <v>Día anterior</v>
      </c>
      <c r="C17" t="s">
        <v>42</v>
      </c>
      <c r="D17" t="s">
        <v>43</v>
      </c>
      <c r="E17" t="s">
        <v>110</v>
      </c>
      <c r="F17" t="s">
        <v>82</v>
      </c>
      <c r="G17" t="s">
        <v>63</v>
      </c>
      <c r="H17" t="s">
        <v>44</v>
      </c>
      <c r="I17" t="s">
        <v>7</v>
      </c>
      <c r="J17" t="s">
        <v>21</v>
      </c>
      <c r="K17" t="s">
        <v>46</v>
      </c>
      <c r="L17" t="s">
        <v>24</v>
      </c>
      <c r="M17">
        <v>1</v>
      </c>
    </row>
    <row r="18" spans="1:13" x14ac:dyDescent="0.25">
      <c r="A18" s="2">
        <v>46309</v>
      </c>
      <c r="B18" s="1" t="str">
        <f ca="1">IF(Información1[[#This Row],[Fecha]]='Ajuste de fechas'!$A$2,"Día actual","Día anterior")</f>
        <v>Día anterior</v>
      </c>
      <c r="C18" t="s">
        <v>42</v>
      </c>
      <c r="D18" t="s">
        <v>43</v>
      </c>
      <c r="E18" t="s">
        <v>111</v>
      </c>
      <c r="F18" t="s">
        <v>29</v>
      </c>
      <c r="G18" t="s">
        <v>80</v>
      </c>
      <c r="H18" t="s">
        <v>44</v>
      </c>
      <c r="I18" t="s">
        <v>14</v>
      </c>
      <c r="J18" t="s">
        <v>21</v>
      </c>
      <c r="K18" t="s">
        <v>46</v>
      </c>
      <c r="L18" t="s">
        <v>23</v>
      </c>
      <c r="M18">
        <v>1</v>
      </c>
    </row>
    <row r="19" spans="1:13" x14ac:dyDescent="0.25">
      <c r="A19" s="2">
        <v>46309</v>
      </c>
      <c r="B19" s="1" t="str">
        <f ca="1">IF(Información1[[#This Row],[Fecha]]='Ajuste de fechas'!$A$2,"Día actual","Día anterior")</f>
        <v>Día anterior</v>
      </c>
      <c r="C19" t="s">
        <v>42</v>
      </c>
      <c r="D19" t="s">
        <v>43</v>
      </c>
      <c r="E19" t="s">
        <v>112</v>
      </c>
      <c r="F19" t="s">
        <v>59</v>
      </c>
      <c r="G19" t="s">
        <v>73</v>
      </c>
      <c r="H19" t="s">
        <v>44</v>
      </c>
      <c r="I19" t="s">
        <v>7</v>
      </c>
      <c r="J19" t="s">
        <v>21</v>
      </c>
      <c r="K19" t="s">
        <v>46</v>
      </c>
      <c r="L19" t="s">
        <v>22</v>
      </c>
      <c r="M19">
        <v>1</v>
      </c>
    </row>
    <row r="20" spans="1:13" x14ac:dyDescent="0.25">
      <c r="A20" s="2">
        <v>46309</v>
      </c>
      <c r="B20" s="1" t="str">
        <f ca="1">IF(Información1[[#This Row],[Fecha]]='Ajuste de fechas'!$A$2,"Día actual","Día anterior")</f>
        <v>Día anterior</v>
      </c>
      <c r="C20" t="s">
        <v>42</v>
      </c>
      <c r="D20" t="s">
        <v>43</v>
      </c>
      <c r="E20" t="s">
        <v>113</v>
      </c>
      <c r="F20" t="s">
        <v>29</v>
      </c>
      <c r="G20" t="s">
        <v>78</v>
      </c>
      <c r="H20" t="s">
        <v>44</v>
      </c>
      <c r="I20" t="s">
        <v>7</v>
      </c>
      <c r="J20" t="s">
        <v>21</v>
      </c>
      <c r="K20" t="s">
        <v>45</v>
      </c>
      <c r="L20" t="s">
        <v>22</v>
      </c>
      <c r="M20">
        <v>1</v>
      </c>
    </row>
    <row r="21" spans="1:13" x14ac:dyDescent="0.25">
      <c r="A21" s="2">
        <v>46309</v>
      </c>
      <c r="B21" s="1" t="str">
        <f ca="1">IF(Información1[[#This Row],[Fecha]]='Ajuste de fechas'!$A$2,"Día actual","Día anterior")</f>
        <v>Día anterior</v>
      </c>
      <c r="C21" t="s">
        <v>42</v>
      </c>
      <c r="D21" t="s">
        <v>43</v>
      </c>
      <c r="E21" t="s">
        <v>114</v>
      </c>
      <c r="F21" t="s">
        <v>30</v>
      </c>
      <c r="G21" t="s">
        <v>72</v>
      </c>
      <c r="H21" t="s">
        <v>44</v>
      </c>
      <c r="I21" t="s">
        <v>7</v>
      </c>
      <c r="J21" t="s">
        <v>21</v>
      </c>
      <c r="K21" t="s">
        <v>46</v>
      </c>
      <c r="L21" t="s">
        <v>22</v>
      </c>
      <c r="M21">
        <v>1</v>
      </c>
    </row>
    <row r="22" spans="1:13" x14ac:dyDescent="0.25">
      <c r="A22" s="2">
        <v>46309</v>
      </c>
      <c r="B22" s="1" t="str">
        <f ca="1">IF(Información1[[#This Row],[Fecha]]='Ajuste de fechas'!$A$2,"Día actual","Día anterior")</f>
        <v>Día anterior</v>
      </c>
      <c r="C22" t="s">
        <v>32</v>
      </c>
      <c r="D22" t="s">
        <v>37</v>
      </c>
      <c r="E22" t="s">
        <v>91</v>
      </c>
      <c r="F22" t="s">
        <v>13</v>
      </c>
      <c r="G22" t="s">
        <v>92</v>
      </c>
      <c r="H22" t="s">
        <v>31</v>
      </c>
      <c r="I22" t="s">
        <v>7</v>
      </c>
      <c r="J22" t="s">
        <v>21</v>
      </c>
      <c r="K22" t="s">
        <v>34</v>
      </c>
      <c r="L22" t="s">
        <v>24</v>
      </c>
      <c r="M22">
        <v>1</v>
      </c>
    </row>
    <row r="23" spans="1:13" x14ac:dyDescent="0.25">
      <c r="A23" s="2">
        <v>46309</v>
      </c>
      <c r="B23" s="1" t="str">
        <f ca="1">IF(Información1[[#This Row],[Fecha]]='Ajuste de fechas'!$A$2,"Día actual","Día anterior")</f>
        <v>Día anterior</v>
      </c>
      <c r="C23" t="s">
        <v>32</v>
      </c>
      <c r="D23" t="s">
        <v>37</v>
      </c>
      <c r="E23" t="s">
        <v>115</v>
      </c>
      <c r="F23" t="s">
        <v>29</v>
      </c>
      <c r="G23" t="s">
        <v>96</v>
      </c>
      <c r="H23" t="s">
        <v>31</v>
      </c>
      <c r="I23" t="s">
        <v>7</v>
      </c>
      <c r="J23" t="s">
        <v>21</v>
      </c>
      <c r="K23" t="s">
        <v>34</v>
      </c>
      <c r="L23" t="s">
        <v>22</v>
      </c>
      <c r="M23">
        <v>1</v>
      </c>
    </row>
    <row r="24" spans="1:13" x14ac:dyDescent="0.25">
      <c r="A24" s="2">
        <v>46309</v>
      </c>
      <c r="B24" s="1" t="str">
        <f ca="1">IF(Información1[[#This Row],[Fecha]]='Ajuste de fechas'!$A$2,"Día actual","Día anterior")</f>
        <v>Día anterior</v>
      </c>
      <c r="C24" t="s">
        <v>39</v>
      </c>
      <c r="D24" t="s">
        <v>40</v>
      </c>
      <c r="E24" t="s">
        <v>116</v>
      </c>
      <c r="F24" t="s">
        <v>82</v>
      </c>
      <c r="G24" t="s">
        <v>63</v>
      </c>
      <c r="H24" t="s">
        <v>31</v>
      </c>
      <c r="I24" t="s">
        <v>7</v>
      </c>
      <c r="J24" t="s">
        <v>21</v>
      </c>
      <c r="K24" t="s">
        <v>41</v>
      </c>
      <c r="L24" t="s">
        <v>22</v>
      </c>
      <c r="M24">
        <v>1</v>
      </c>
    </row>
    <row r="25" spans="1:13" x14ac:dyDescent="0.25">
      <c r="A25" s="2">
        <v>46309</v>
      </c>
      <c r="B25" s="1" t="str">
        <f ca="1">IF(Información1[[#This Row],[Fecha]]='Ajuste de fechas'!$A$2,"Día actual","Día anterior")</f>
        <v>Día anterior</v>
      </c>
      <c r="C25" t="s">
        <v>32</v>
      </c>
      <c r="D25" t="s">
        <v>33</v>
      </c>
      <c r="E25" t="s">
        <v>117</v>
      </c>
      <c r="F25" t="s">
        <v>81</v>
      </c>
      <c r="G25" t="s">
        <v>63</v>
      </c>
      <c r="H25" t="s">
        <v>31</v>
      </c>
      <c r="I25" t="s">
        <v>7</v>
      </c>
      <c r="J25" t="s">
        <v>21</v>
      </c>
      <c r="K25" t="s">
        <v>35</v>
      </c>
      <c r="L25" t="s">
        <v>24</v>
      </c>
      <c r="M25">
        <v>1</v>
      </c>
    </row>
    <row r="26" spans="1:13" x14ac:dyDescent="0.25">
      <c r="A26" s="2">
        <v>46309</v>
      </c>
      <c r="B26" s="1" t="str">
        <f ca="1">IF(Información1[[#This Row],[Fecha]]='Ajuste de fechas'!$A$2,"Día actual","Día anterior")</f>
        <v>Día anterior</v>
      </c>
      <c r="C26" t="s">
        <v>32</v>
      </c>
      <c r="D26" t="s">
        <v>33</v>
      </c>
      <c r="E26" t="s">
        <v>110</v>
      </c>
      <c r="F26" t="s">
        <v>82</v>
      </c>
      <c r="G26" t="s">
        <v>63</v>
      </c>
      <c r="H26" t="s">
        <v>31</v>
      </c>
      <c r="I26" t="s">
        <v>7</v>
      </c>
      <c r="J26" t="s">
        <v>21</v>
      </c>
      <c r="K26" t="s">
        <v>35</v>
      </c>
      <c r="L26" t="s">
        <v>24</v>
      </c>
      <c r="M26">
        <v>1</v>
      </c>
    </row>
    <row r="27" spans="1:13" x14ac:dyDescent="0.25">
      <c r="A27" s="2">
        <v>46309</v>
      </c>
      <c r="B27" s="1" t="str">
        <f ca="1">IF(Información1[[#This Row],[Fecha]]='Ajuste de fechas'!$A$2,"Día actual","Día anterior")</f>
        <v>Día anterior</v>
      </c>
      <c r="C27" t="s">
        <v>32</v>
      </c>
      <c r="D27" t="s">
        <v>33</v>
      </c>
      <c r="E27" t="s">
        <v>118</v>
      </c>
      <c r="F27" t="s">
        <v>29</v>
      </c>
      <c r="G27" t="s">
        <v>96</v>
      </c>
      <c r="H27" t="s">
        <v>31</v>
      </c>
      <c r="I27" t="s">
        <v>7</v>
      </c>
      <c r="J27" t="s">
        <v>21</v>
      </c>
      <c r="K27" t="s">
        <v>34</v>
      </c>
      <c r="L27" t="s">
        <v>24</v>
      </c>
      <c r="M27">
        <v>1</v>
      </c>
    </row>
    <row r="28" spans="1:13" x14ac:dyDescent="0.25">
      <c r="A28" s="2">
        <v>46309</v>
      </c>
      <c r="B28" s="1" t="str">
        <f ca="1">IF(Información1[[#This Row],[Fecha]]='Ajuste de fechas'!$A$2,"Día actual","Día anterior")</f>
        <v>Día anterior</v>
      </c>
      <c r="C28" t="s">
        <v>60</v>
      </c>
      <c r="D28" t="s">
        <v>53</v>
      </c>
      <c r="E28" t="s">
        <v>119</v>
      </c>
      <c r="F28" t="s">
        <v>36</v>
      </c>
      <c r="G28" t="s">
        <v>98</v>
      </c>
      <c r="H28" t="s">
        <v>31</v>
      </c>
      <c r="I28" t="s">
        <v>7</v>
      </c>
      <c r="J28" t="s">
        <v>21</v>
      </c>
      <c r="K28" t="s">
        <v>54</v>
      </c>
      <c r="L28" t="s">
        <v>22</v>
      </c>
      <c r="M28">
        <v>1</v>
      </c>
    </row>
    <row r="29" spans="1:13" x14ac:dyDescent="0.25">
      <c r="A29" s="2">
        <v>46309</v>
      </c>
      <c r="B29" s="1" t="str">
        <f ca="1">IF(Información1[[#This Row],[Fecha]]='Ajuste de fechas'!$A$2,"Día actual","Día anterior")</f>
        <v>Día anterior</v>
      </c>
      <c r="C29" t="s">
        <v>60</v>
      </c>
      <c r="D29" t="s">
        <v>53</v>
      </c>
      <c r="E29" t="s">
        <v>120</v>
      </c>
      <c r="F29" t="s">
        <v>29</v>
      </c>
      <c r="G29" t="s">
        <v>96</v>
      </c>
      <c r="H29" t="s">
        <v>31</v>
      </c>
      <c r="I29" t="s">
        <v>7</v>
      </c>
      <c r="J29" t="s">
        <v>21</v>
      </c>
      <c r="K29" t="s">
        <v>54</v>
      </c>
      <c r="L29" t="s">
        <v>22</v>
      </c>
      <c r="M29">
        <v>1</v>
      </c>
    </row>
    <row r="30" spans="1:13" x14ac:dyDescent="0.25">
      <c r="A30" s="2">
        <v>46309</v>
      </c>
      <c r="B30" s="1" t="str">
        <f ca="1">IF(Información1[[#This Row],[Fecha]]='Ajuste de fechas'!$A$2,"Día actual","Día anterior")</f>
        <v>Día anterior</v>
      </c>
      <c r="C30" t="s">
        <v>50</v>
      </c>
      <c r="D30" t="s">
        <v>51</v>
      </c>
      <c r="E30" t="s">
        <v>121</v>
      </c>
      <c r="F30" t="s">
        <v>81</v>
      </c>
      <c r="G30" t="s">
        <v>63</v>
      </c>
      <c r="H30" t="s">
        <v>31</v>
      </c>
      <c r="I30" t="s">
        <v>7</v>
      </c>
      <c r="J30" t="s">
        <v>21</v>
      </c>
      <c r="K30" t="s">
        <v>52</v>
      </c>
      <c r="L30" t="s">
        <v>24</v>
      </c>
      <c r="M30">
        <v>1</v>
      </c>
    </row>
    <row r="31" spans="1:13" x14ac:dyDescent="0.25">
      <c r="A31" s="2">
        <v>46309</v>
      </c>
      <c r="B31" s="1" t="str">
        <f ca="1">IF(Información1[[#This Row],[Fecha]]='Ajuste de fechas'!$A$2,"Día actual","Día anterior")</f>
        <v>Día anterior</v>
      </c>
      <c r="C31" t="s">
        <v>60</v>
      </c>
      <c r="D31" t="s">
        <v>70</v>
      </c>
      <c r="E31" t="s">
        <v>122</v>
      </c>
      <c r="F31" t="s">
        <v>59</v>
      </c>
      <c r="G31" t="s">
        <v>75</v>
      </c>
      <c r="H31" t="s">
        <v>31</v>
      </c>
      <c r="I31" t="s">
        <v>7</v>
      </c>
      <c r="J31" t="s">
        <v>21</v>
      </c>
      <c r="K31" t="s">
        <v>71</v>
      </c>
      <c r="L31" t="s">
        <v>22</v>
      </c>
      <c r="M31">
        <v>1</v>
      </c>
    </row>
    <row r="32" spans="1:13" x14ac:dyDescent="0.25">
      <c r="A32" s="2">
        <v>46309</v>
      </c>
      <c r="B32" s="1" t="str">
        <f ca="1">IF(Información1[[#This Row],[Fecha]]='Ajuste de fechas'!$A$2,"Día actual","Día anterior")</f>
        <v>Día anterior</v>
      </c>
      <c r="C32" t="s">
        <v>60</v>
      </c>
      <c r="D32" t="s">
        <v>70</v>
      </c>
      <c r="E32" t="s">
        <v>123</v>
      </c>
      <c r="F32" t="s">
        <v>30</v>
      </c>
      <c r="G32" t="s">
        <v>107</v>
      </c>
      <c r="H32" t="s">
        <v>31</v>
      </c>
      <c r="I32" t="s">
        <v>7</v>
      </c>
      <c r="J32" t="s">
        <v>21</v>
      </c>
      <c r="K32" t="s">
        <v>71</v>
      </c>
      <c r="L32" t="s">
        <v>22</v>
      </c>
      <c r="M32">
        <v>1</v>
      </c>
    </row>
    <row r="33" spans="1:13" x14ac:dyDescent="0.25">
      <c r="A33" s="2">
        <v>46309</v>
      </c>
      <c r="B33" s="1" t="str">
        <f ca="1">IF(Información1[[#This Row],[Fecha]]='Ajuste de fechas'!$A$2,"Día actual","Día anterior")</f>
        <v>Día anterior</v>
      </c>
      <c r="C33" t="s">
        <v>60</v>
      </c>
      <c r="D33" t="s">
        <v>70</v>
      </c>
      <c r="E33" t="s">
        <v>124</v>
      </c>
      <c r="F33" t="s">
        <v>69</v>
      </c>
      <c r="G33" t="s">
        <v>86</v>
      </c>
      <c r="H33" t="s">
        <v>31</v>
      </c>
      <c r="I33" t="s">
        <v>7</v>
      </c>
      <c r="J33" t="s">
        <v>21</v>
      </c>
      <c r="K33" t="s">
        <v>71</v>
      </c>
      <c r="L33" t="s">
        <v>22</v>
      </c>
      <c r="M33">
        <v>1</v>
      </c>
    </row>
    <row r="34" spans="1:13" x14ac:dyDescent="0.25">
      <c r="A34" s="2">
        <v>46309</v>
      </c>
      <c r="B34" s="1" t="str">
        <f ca="1">IF(Información1[[#This Row],[Fecha]]='Ajuste de fechas'!$A$2,"Día actual","Día anterior")</f>
        <v>Día anterior</v>
      </c>
      <c r="C34" t="s">
        <v>60</v>
      </c>
      <c r="D34" t="s">
        <v>70</v>
      </c>
      <c r="E34" t="s">
        <v>125</v>
      </c>
      <c r="F34" t="s">
        <v>59</v>
      </c>
      <c r="G34" t="s">
        <v>126</v>
      </c>
      <c r="H34" t="s">
        <v>31</v>
      </c>
      <c r="I34" t="s">
        <v>7</v>
      </c>
      <c r="J34" t="s">
        <v>21</v>
      </c>
      <c r="K34" t="s">
        <v>71</v>
      </c>
      <c r="L34" t="s">
        <v>22</v>
      </c>
      <c r="M34">
        <v>1</v>
      </c>
    </row>
    <row r="35" spans="1:13" x14ac:dyDescent="0.25">
      <c r="A35" s="2">
        <v>46309</v>
      </c>
      <c r="B35" s="1" t="str">
        <f ca="1">IF(Información1[[#This Row],[Fecha]]='Ajuste de fechas'!$A$2,"Día actual","Día anterior")</f>
        <v>Día anterior</v>
      </c>
      <c r="C35" t="s">
        <v>60</v>
      </c>
      <c r="D35" t="s">
        <v>70</v>
      </c>
      <c r="E35" t="s">
        <v>127</v>
      </c>
      <c r="F35" t="s">
        <v>36</v>
      </c>
      <c r="G35" t="s">
        <v>79</v>
      </c>
      <c r="H35" t="s">
        <v>31</v>
      </c>
      <c r="I35" t="s">
        <v>14</v>
      </c>
      <c r="J35" t="s">
        <v>21</v>
      </c>
      <c r="K35" t="s">
        <v>71</v>
      </c>
      <c r="L35" t="s">
        <v>22</v>
      </c>
      <c r="M35">
        <v>1</v>
      </c>
    </row>
    <row r="36" spans="1:13" x14ac:dyDescent="0.25">
      <c r="A36" s="2">
        <v>46309</v>
      </c>
      <c r="B36" s="1" t="str">
        <f ca="1">IF(Información1[[#This Row],[Fecha]]='Ajuste de fechas'!$A$2,"Día actual","Día anterior")</f>
        <v>Día anterior</v>
      </c>
      <c r="C36" t="s">
        <v>60</v>
      </c>
      <c r="D36" t="s">
        <v>70</v>
      </c>
      <c r="E36" t="s">
        <v>128</v>
      </c>
      <c r="F36" t="s">
        <v>81</v>
      </c>
      <c r="G36" t="s">
        <v>63</v>
      </c>
      <c r="H36" t="s">
        <v>31</v>
      </c>
      <c r="I36" t="s">
        <v>7</v>
      </c>
      <c r="J36" t="s">
        <v>21</v>
      </c>
      <c r="K36" t="s">
        <v>71</v>
      </c>
      <c r="L36" t="s">
        <v>22</v>
      </c>
      <c r="M36">
        <v>1</v>
      </c>
    </row>
    <row r="37" spans="1:13" x14ac:dyDescent="0.25">
      <c r="A37" s="2">
        <v>46309</v>
      </c>
      <c r="B37" s="1" t="str">
        <f ca="1">IF(Información1[[#This Row],[Fecha]]='Ajuste de fechas'!$A$2,"Día actual","Día anterior")</f>
        <v>Día anterior</v>
      </c>
      <c r="C37" t="s">
        <v>60</v>
      </c>
      <c r="D37" t="s">
        <v>70</v>
      </c>
      <c r="E37" t="s">
        <v>129</v>
      </c>
      <c r="F37" t="s">
        <v>13</v>
      </c>
      <c r="G37" t="s">
        <v>92</v>
      </c>
      <c r="H37" t="s">
        <v>31</v>
      </c>
      <c r="I37" t="s">
        <v>7</v>
      </c>
      <c r="J37" t="s">
        <v>21</v>
      </c>
      <c r="K37" t="s">
        <v>71</v>
      </c>
      <c r="L37" t="s">
        <v>22</v>
      </c>
      <c r="M37">
        <v>1</v>
      </c>
    </row>
    <row r="38" spans="1:13" x14ac:dyDescent="0.25">
      <c r="A38" s="2">
        <v>46309</v>
      </c>
      <c r="B38" s="1" t="str">
        <f ca="1">IF(Información1[[#This Row],[Fecha]]='Ajuste de fechas'!$A$2,"Día actual","Día anterior")</f>
        <v>Día anterior</v>
      </c>
      <c r="C38" t="s">
        <v>60</v>
      </c>
      <c r="D38" t="s">
        <v>70</v>
      </c>
      <c r="E38" t="s">
        <v>130</v>
      </c>
      <c r="F38" t="s">
        <v>65</v>
      </c>
      <c r="G38" t="s">
        <v>63</v>
      </c>
      <c r="H38" t="s">
        <v>31</v>
      </c>
      <c r="I38" t="s">
        <v>7</v>
      </c>
      <c r="J38" t="s">
        <v>21</v>
      </c>
      <c r="K38" t="s">
        <v>71</v>
      </c>
      <c r="L38" t="s">
        <v>22</v>
      </c>
      <c r="M38">
        <v>1</v>
      </c>
    </row>
    <row r="39" spans="1:13" x14ac:dyDescent="0.25">
      <c r="A39" s="2">
        <v>46309</v>
      </c>
      <c r="B39" s="1" t="str">
        <f ca="1">IF(Información1[[#This Row],[Fecha]]='Ajuste de fechas'!$A$2,"Día actual","Día anterior")</f>
        <v>Día anterior</v>
      </c>
      <c r="C39" t="s">
        <v>60</v>
      </c>
      <c r="D39" t="s">
        <v>70</v>
      </c>
      <c r="E39" t="s">
        <v>131</v>
      </c>
      <c r="F39" t="s">
        <v>30</v>
      </c>
      <c r="G39" t="s">
        <v>72</v>
      </c>
      <c r="H39" t="s">
        <v>31</v>
      </c>
      <c r="I39" t="s">
        <v>7</v>
      </c>
      <c r="J39" t="s">
        <v>21</v>
      </c>
      <c r="K39" t="s">
        <v>71</v>
      </c>
      <c r="L39" t="s">
        <v>22</v>
      </c>
      <c r="M39">
        <v>1</v>
      </c>
    </row>
    <row r="40" spans="1:13" x14ac:dyDescent="0.25">
      <c r="A40" s="2">
        <v>46309</v>
      </c>
      <c r="B40" s="1" t="str">
        <f ca="1">IF(Información1[[#This Row],[Fecha]]='Ajuste de fechas'!$A$2,"Día actual","Día anterior")</f>
        <v>Día anterior</v>
      </c>
      <c r="C40" t="s">
        <v>60</v>
      </c>
      <c r="D40" t="s">
        <v>70</v>
      </c>
      <c r="E40" t="s">
        <v>132</v>
      </c>
      <c r="F40" t="s">
        <v>29</v>
      </c>
      <c r="G40" t="s">
        <v>133</v>
      </c>
      <c r="H40" t="s">
        <v>31</v>
      </c>
      <c r="I40" t="s">
        <v>7</v>
      </c>
      <c r="J40" t="s">
        <v>21</v>
      </c>
      <c r="K40" t="s">
        <v>71</v>
      </c>
      <c r="L40" t="s">
        <v>22</v>
      </c>
      <c r="M40">
        <v>1</v>
      </c>
    </row>
    <row r="41" spans="1:13" x14ac:dyDescent="0.25">
      <c r="A41" s="2">
        <v>46309</v>
      </c>
      <c r="B41" s="1" t="str">
        <f ca="1">IF(Información1[[#This Row],[Fecha]]='Ajuste de fechas'!$A$2,"Día actual","Día anterior")</f>
        <v>Día anterior</v>
      </c>
      <c r="C41" t="s">
        <v>60</v>
      </c>
      <c r="D41" t="s">
        <v>70</v>
      </c>
      <c r="E41" t="s">
        <v>134</v>
      </c>
      <c r="F41" t="s">
        <v>82</v>
      </c>
      <c r="G41" t="s">
        <v>63</v>
      </c>
      <c r="H41" t="s">
        <v>31</v>
      </c>
      <c r="I41" t="s">
        <v>7</v>
      </c>
      <c r="J41" t="s">
        <v>21</v>
      </c>
      <c r="K41" t="s">
        <v>71</v>
      </c>
      <c r="L41" t="s">
        <v>22</v>
      </c>
      <c r="M41">
        <v>1</v>
      </c>
    </row>
    <row r="42" spans="1:13" x14ac:dyDescent="0.25">
      <c r="A42" s="2">
        <v>46309</v>
      </c>
      <c r="B42" s="1" t="str">
        <f ca="1">IF(Información1[[#This Row],[Fecha]]='Ajuste de fechas'!$A$2,"Día actual","Día anterior")</f>
        <v>Día anterior</v>
      </c>
      <c r="C42" t="s">
        <v>8</v>
      </c>
      <c r="D42" t="s">
        <v>135</v>
      </c>
      <c r="E42" t="s">
        <v>136</v>
      </c>
      <c r="F42" t="s">
        <v>6</v>
      </c>
      <c r="G42" t="s">
        <v>137</v>
      </c>
      <c r="H42" t="s">
        <v>31</v>
      </c>
      <c r="I42" t="s">
        <v>14</v>
      </c>
      <c r="J42" t="s">
        <v>21</v>
      </c>
      <c r="K42" t="s">
        <v>38</v>
      </c>
      <c r="L42" t="s">
        <v>23</v>
      </c>
      <c r="M42">
        <v>1</v>
      </c>
    </row>
    <row r="43" spans="1:13" x14ac:dyDescent="0.25">
      <c r="A43" s="2">
        <v>46309</v>
      </c>
      <c r="B43" s="1" t="str">
        <f ca="1">IF(Información1[[#This Row],[Fecha]]='Ajuste de fechas'!$A$2,"Día actual","Día anterior")</f>
        <v>Día anterior</v>
      </c>
      <c r="C43" t="s">
        <v>8</v>
      </c>
      <c r="D43" t="s">
        <v>135</v>
      </c>
      <c r="E43" t="s">
        <v>138</v>
      </c>
      <c r="F43" t="s">
        <v>6</v>
      </c>
      <c r="G43" t="s">
        <v>55</v>
      </c>
      <c r="H43" t="s">
        <v>31</v>
      </c>
      <c r="I43" t="s">
        <v>14</v>
      </c>
      <c r="J43" t="s">
        <v>21</v>
      </c>
      <c r="K43" t="s">
        <v>38</v>
      </c>
      <c r="L43" t="s">
        <v>23</v>
      </c>
      <c r="M43">
        <v>1</v>
      </c>
    </row>
    <row r="44" spans="1:13" x14ac:dyDescent="0.25">
      <c r="A44" s="2">
        <v>46309</v>
      </c>
      <c r="B44" s="1" t="str">
        <f ca="1">IF(Información1[[#This Row],[Fecha]]='Ajuste de fechas'!$A$2,"Día actual","Día anterior")</f>
        <v>Día anterior</v>
      </c>
      <c r="C44" t="s">
        <v>8</v>
      </c>
      <c r="D44" t="s">
        <v>135</v>
      </c>
      <c r="E44" t="s">
        <v>139</v>
      </c>
      <c r="F44" t="s">
        <v>29</v>
      </c>
      <c r="G44" t="s">
        <v>96</v>
      </c>
      <c r="H44" t="s">
        <v>31</v>
      </c>
      <c r="I44" t="s">
        <v>7</v>
      </c>
      <c r="J44" t="s">
        <v>21</v>
      </c>
      <c r="K44" t="s">
        <v>11</v>
      </c>
      <c r="L44" t="s">
        <v>22</v>
      </c>
      <c r="M44">
        <v>1</v>
      </c>
    </row>
    <row r="45" spans="1:13" x14ac:dyDescent="0.25">
      <c r="A45" s="2">
        <v>46309</v>
      </c>
      <c r="B45" s="1" t="str">
        <f ca="1">IF(Información1[[#This Row],[Fecha]]='Ajuste de fechas'!$A$2,"Día actual","Día anterior")</f>
        <v>Día anterior</v>
      </c>
      <c r="C45" t="s">
        <v>8</v>
      </c>
      <c r="D45" t="s">
        <v>135</v>
      </c>
      <c r="E45" t="s">
        <v>140</v>
      </c>
      <c r="F45" t="s">
        <v>82</v>
      </c>
      <c r="G45" t="s">
        <v>63</v>
      </c>
      <c r="H45" t="s">
        <v>31</v>
      </c>
      <c r="I45" t="s">
        <v>7</v>
      </c>
      <c r="J45" t="s">
        <v>21</v>
      </c>
      <c r="K45" t="s">
        <v>11</v>
      </c>
      <c r="L45" t="s">
        <v>22</v>
      </c>
      <c r="M45">
        <v>1</v>
      </c>
    </row>
    <row r="46" spans="1:13" x14ac:dyDescent="0.25">
      <c r="A46" s="2">
        <v>46309</v>
      </c>
      <c r="B46" s="1" t="str">
        <f ca="1">IF(Información1[[#This Row],[Fecha]]='Ajuste de fechas'!$A$2,"Día actual","Día anterior")</f>
        <v>Día anterior</v>
      </c>
      <c r="C46" t="s">
        <v>8</v>
      </c>
      <c r="D46" t="s">
        <v>135</v>
      </c>
      <c r="E46" t="s">
        <v>141</v>
      </c>
      <c r="F46" t="s">
        <v>13</v>
      </c>
      <c r="G46" t="s">
        <v>92</v>
      </c>
      <c r="H46" t="s">
        <v>31</v>
      </c>
      <c r="I46" t="s">
        <v>7</v>
      </c>
      <c r="J46" t="s">
        <v>21</v>
      </c>
      <c r="K46" t="s">
        <v>11</v>
      </c>
      <c r="L46" t="s">
        <v>22</v>
      </c>
      <c r="M46">
        <v>1</v>
      </c>
    </row>
    <row r="47" spans="1:13" x14ac:dyDescent="0.25">
      <c r="A47" s="2">
        <v>46309</v>
      </c>
      <c r="B47" s="1" t="str">
        <f ca="1">IF(Información1[[#This Row],[Fecha]]='Ajuste de fechas'!$A$2,"Día actual","Día anterior")</f>
        <v>Día anterior</v>
      </c>
      <c r="C47" t="s">
        <v>8</v>
      </c>
      <c r="D47" t="s">
        <v>135</v>
      </c>
      <c r="E47" t="s">
        <v>142</v>
      </c>
      <c r="F47" t="s">
        <v>59</v>
      </c>
      <c r="G47" t="s">
        <v>75</v>
      </c>
      <c r="H47" t="s">
        <v>31</v>
      </c>
      <c r="I47" t="s">
        <v>7</v>
      </c>
      <c r="J47" t="s">
        <v>21</v>
      </c>
      <c r="K47" t="s">
        <v>11</v>
      </c>
      <c r="L47" t="s">
        <v>24</v>
      </c>
      <c r="M47">
        <v>1</v>
      </c>
    </row>
    <row r="48" spans="1:13" x14ac:dyDescent="0.25">
      <c r="A48" s="2">
        <v>46309</v>
      </c>
      <c r="B48" s="1" t="str">
        <f ca="1">IF(Información1[[#This Row],[Fecha]]='Ajuste de fechas'!$A$2,"Día actual","Día anterior")</f>
        <v>Día anterior</v>
      </c>
      <c r="C48" t="s">
        <v>8</v>
      </c>
      <c r="D48" t="s">
        <v>135</v>
      </c>
      <c r="E48" t="s">
        <v>143</v>
      </c>
      <c r="F48" t="s">
        <v>29</v>
      </c>
      <c r="G48" t="s">
        <v>74</v>
      </c>
      <c r="H48" t="s">
        <v>31</v>
      </c>
      <c r="I48" t="s">
        <v>10</v>
      </c>
      <c r="J48" t="s">
        <v>21</v>
      </c>
      <c r="K48" t="s">
        <v>11</v>
      </c>
      <c r="L48" t="s">
        <v>23</v>
      </c>
      <c r="M48">
        <v>1</v>
      </c>
    </row>
    <row r="49" spans="1:13" x14ac:dyDescent="0.25">
      <c r="A49" s="2">
        <v>46309</v>
      </c>
      <c r="B49" s="1" t="str">
        <f ca="1">IF(Información1[[#This Row],[Fecha]]='Ajuste de fechas'!$A$2,"Día actual","Día anterior")</f>
        <v>Día anterior</v>
      </c>
      <c r="C49" t="s">
        <v>8</v>
      </c>
      <c r="D49" t="s">
        <v>135</v>
      </c>
      <c r="E49" t="s">
        <v>64</v>
      </c>
      <c r="F49" t="s">
        <v>13</v>
      </c>
      <c r="G49" t="s">
        <v>56</v>
      </c>
      <c r="H49" t="s">
        <v>31</v>
      </c>
      <c r="I49" t="s">
        <v>10</v>
      </c>
      <c r="J49" t="s">
        <v>21</v>
      </c>
      <c r="K49" t="s">
        <v>11</v>
      </c>
      <c r="L49" t="s">
        <v>23</v>
      </c>
      <c r="M49">
        <v>1</v>
      </c>
    </row>
    <row r="50" spans="1:13" x14ac:dyDescent="0.25">
      <c r="A50" s="2">
        <v>46309</v>
      </c>
      <c r="B50" s="1" t="str">
        <f ca="1">IF(Información1[[#This Row],[Fecha]]='Ajuste de fechas'!$A$2,"Día actual","Día anterior")</f>
        <v>Día anterior</v>
      </c>
      <c r="C50" t="s">
        <v>8</v>
      </c>
      <c r="D50" t="s">
        <v>135</v>
      </c>
      <c r="E50" t="s">
        <v>67</v>
      </c>
      <c r="F50" t="s">
        <v>29</v>
      </c>
      <c r="G50" t="s">
        <v>56</v>
      </c>
      <c r="H50" t="s">
        <v>31</v>
      </c>
      <c r="I50" t="s">
        <v>10</v>
      </c>
      <c r="J50" t="s">
        <v>21</v>
      </c>
      <c r="K50" t="s">
        <v>11</v>
      </c>
      <c r="L50" t="s">
        <v>23</v>
      </c>
      <c r="M50">
        <v>1</v>
      </c>
    </row>
    <row r="51" spans="1:13" x14ac:dyDescent="0.25">
      <c r="A51" s="2">
        <v>46309</v>
      </c>
      <c r="B51" s="1" t="str">
        <f ca="1">IF(Información1[[#This Row],[Fecha]]='Ajuste de fechas'!$A$2,"Día actual","Día anterior")</f>
        <v>Día anterior</v>
      </c>
      <c r="C51" t="s">
        <v>8</v>
      </c>
      <c r="D51" t="s">
        <v>135</v>
      </c>
      <c r="E51" t="s">
        <v>61</v>
      </c>
      <c r="F51" t="s">
        <v>12</v>
      </c>
      <c r="G51" t="s">
        <v>56</v>
      </c>
      <c r="H51" t="s">
        <v>31</v>
      </c>
      <c r="I51" t="s">
        <v>10</v>
      </c>
      <c r="J51" t="s">
        <v>21</v>
      </c>
      <c r="K51" t="s">
        <v>11</v>
      </c>
      <c r="L51" t="s">
        <v>23</v>
      </c>
      <c r="M51">
        <v>1</v>
      </c>
    </row>
    <row r="52" spans="1:13" x14ac:dyDescent="0.25">
      <c r="A52" s="2">
        <v>46309</v>
      </c>
      <c r="B52" s="1" t="str">
        <f ca="1">IF(Información1[[#This Row],[Fecha]]='Ajuste de fechas'!$A$2,"Día actual","Día anterior")</f>
        <v>Día anterior</v>
      </c>
      <c r="C52" t="s">
        <v>8</v>
      </c>
      <c r="D52" t="s">
        <v>135</v>
      </c>
      <c r="E52" t="s">
        <v>57</v>
      </c>
      <c r="F52" t="s">
        <v>6</v>
      </c>
      <c r="G52" t="s">
        <v>56</v>
      </c>
      <c r="H52" t="s">
        <v>31</v>
      </c>
      <c r="I52" t="s">
        <v>10</v>
      </c>
      <c r="J52" t="s">
        <v>21</v>
      </c>
      <c r="K52" t="s">
        <v>11</v>
      </c>
      <c r="L52" t="s">
        <v>23</v>
      </c>
      <c r="M52">
        <v>1</v>
      </c>
    </row>
    <row r="53" spans="1:13" x14ac:dyDescent="0.25">
      <c r="A53" s="2">
        <v>46310</v>
      </c>
      <c r="B53" s="1" t="str">
        <f ca="1">IF(Información1[[#This Row],[Fecha]]='Ajuste de fechas'!$A$2,"Día actual","Día anterior")</f>
        <v>Día actual</v>
      </c>
      <c r="C53" t="s">
        <v>47</v>
      </c>
      <c r="D53" t="s">
        <v>48</v>
      </c>
      <c r="E53" t="s">
        <v>144</v>
      </c>
      <c r="F53" t="s">
        <v>36</v>
      </c>
      <c r="G53" t="s">
        <v>58</v>
      </c>
      <c r="H53" t="s">
        <v>31</v>
      </c>
      <c r="I53" t="s">
        <v>7</v>
      </c>
      <c r="J53" t="s">
        <v>21</v>
      </c>
      <c r="K53" t="s">
        <v>145</v>
      </c>
      <c r="L53" t="s">
        <v>22</v>
      </c>
      <c r="M53">
        <v>1</v>
      </c>
    </row>
    <row r="54" spans="1:13" x14ac:dyDescent="0.25">
      <c r="A54" s="2">
        <v>46310</v>
      </c>
      <c r="B54" s="1" t="str">
        <f ca="1">IF(Información1[[#This Row],[Fecha]]='Ajuste de fechas'!$A$2,"Día actual","Día anterior")</f>
        <v>Día actual</v>
      </c>
      <c r="C54" t="s">
        <v>47</v>
      </c>
      <c r="D54" t="s">
        <v>48</v>
      </c>
      <c r="E54" t="s">
        <v>146</v>
      </c>
      <c r="F54" t="s">
        <v>36</v>
      </c>
      <c r="G54" t="s">
        <v>58</v>
      </c>
      <c r="H54" t="s">
        <v>31</v>
      </c>
      <c r="I54" t="s">
        <v>7</v>
      </c>
      <c r="J54" t="s">
        <v>21</v>
      </c>
      <c r="K54" t="s">
        <v>77</v>
      </c>
      <c r="L54" t="s">
        <v>22</v>
      </c>
      <c r="M54">
        <v>1</v>
      </c>
    </row>
    <row r="55" spans="1:13" x14ac:dyDescent="0.25">
      <c r="A55" s="2">
        <v>46310</v>
      </c>
      <c r="B55" s="1" t="str">
        <f ca="1">IF(Información1[[#This Row],[Fecha]]='Ajuste de fechas'!$A$2,"Día actual","Día anterior")</f>
        <v>Día actual</v>
      </c>
      <c r="C55" t="s">
        <v>47</v>
      </c>
      <c r="D55" t="s">
        <v>48</v>
      </c>
      <c r="E55" t="s">
        <v>147</v>
      </c>
      <c r="F55" t="s">
        <v>13</v>
      </c>
      <c r="G55" t="s">
        <v>72</v>
      </c>
      <c r="H55" t="s">
        <v>31</v>
      </c>
      <c r="I55" t="s">
        <v>7</v>
      </c>
      <c r="J55" t="s">
        <v>21</v>
      </c>
      <c r="K55" t="s">
        <v>77</v>
      </c>
      <c r="L55" t="s">
        <v>24</v>
      </c>
      <c r="M55">
        <v>1</v>
      </c>
    </row>
    <row r="56" spans="1:13" x14ac:dyDescent="0.25">
      <c r="A56" s="2">
        <v>46310</v>
      </c>
      <c r="B56" s="1" t="str">
        <f ca="1">IF(Información1[[#This Row],[Fecha]]='Ajuste de fechas'!$A$2,"Día actual","Día anterior")</f>
        <v>Día actual</v>
      </c>
      <c r="C56" t="s">
        <v>47</v>
      </c>
      <c r="D56" t="s">
        <v>48</v>
      </c>
      <c r="E56" t="s">
        <v>148</v>
      </c>
      <c r="F56" t="s">
        <v>66</v>
      </c>
      <c r="G56" t="s">
        <v>63</v>
      </c>
      <c r="H56" t="s">
        <v>31</v>
      </c>
      <c r="I56" t="s">
        <v>7</v>
      </c>
      <c r="J56" t="s">
        <v>21</v>
      </c>
      <c r="K56" t="s">
        <v>49</v>
      </c>
      <c r="L56" t="s">
        <v>22</v>
      </c>
      <c r="M56">
        <v>1</v>
      </c>
    </row>
    <row r="57" spans="1:13" x14ac:dyDescent="0.25">
      <c r="A57" s="2">
        <v>46310</v>
      </c>
      <c r="B57" s="1" t="str">
        <f ca="1">IF(Información1[[#This Row],[Fecha]]='Ajuste de fechas'!$A$2,"Día actual","Día anterior")</f>
        <v>Día actual</v>
      </c>
      <c r="C57" t="s">
        <v>47</v>
      </c>
      <c r="D57" t="s">
        <v>48</v>
      </c>
      <c r="E57" t="s">
        <v>149</v>
      </c>
      <c r="F57" t="s">
        <v>29</v>
      </c>
      <c r="G57" t="s">
        <v>150</v>
      </c>
      <c r="H57" t="s">
        <v>31</v>
      </c>
      <c r="I57" t="s">
        <v>7</v>
      </c>
      <c r="J57" t="s">
        <v>21</v>
      </c>
      <c r="K57" t="s">
        <v>77</v>
      </c>
      <c r="L57" t="s">
        <v>22</v>
      </c>
      <c r="M57">
        <v>1</v>
      </c>
    </row>
    <row r="58" spans="1:13" x14ac:dyDescent="0.25">
      <c r="A58" s="2">
        <v>46310</v>
      </c>
      <c r="B58" s="1" t="str">
        <f ca="1">IF(Información1[[#This Row],[Fecha]]='Ajuste de fechas'!$A$2,"Día actual","Día anterior")</f>
        <v>Día actual</v>
      </c>
      <c r="C58" t="s">
        <v>42</v>
      </c>
      <c r="D58" t="s">
        <v>43</v>
      </c>
      <c r="E58" t="s">
        <v>151</v>
      </c>
      <c r="F58" t="s">
        <v>13</v>
      </c>
      <c r="G58" t="s">
        <v>152</v>
      </c>
      <c r="H58" t="s">
        <v>44</v>
      </c>
      <c r="I58" t="s">
        <v>10</v>
      </c>
      <c r="J58" t="s">
        <v>21</v>
      </c>
      <c r="K58" t="s">
        <v>46</v>
      </c>
      <c r="L58" t="s">
        <v>23</v>
      </c>
      <c r="M58">
        <v>1</v>
      </c>
    </row>
    <row r="59" spans="1:13" x14ac:dyDescent="0.25">
      <c r="A59" s="2">
        <v>46310</v>
      </c>
      <c r="B59" s="1" t="str">
        <f ca="1">IF(Información1[[#This Row],[Fecha]]='Ajuste de fechas'!$A$2,"Día actual","Día anterior")</f>
        <v>Día actual</v>
      </c>
      <c r="C59" t="s">
        <v>42</v>
      </c>
      <c r="D59" t="s">
        <v>43</v>
      </c>
      <c r="E59" t="s">
        <v>153</v>
      </c>
      <c r="F59" t="s">
        <v>13</v>
      </c>
      <c r="G59" t="s">
        <v>76</v>
      </c>
      <c r="H59" t="s">
        <v>44</v>
      </c>
      <c r="I59" t="s">
        <v>7</v>
      </c>
      <c r="J59" t="s">
        <v>21</v>
      </c>
      <c r="K59" t="s">
        <v>45</v>
      </c>
      <c r="L59" t="s">
        <v>24</v>
      </c>
      <c r="M59">
        <v>1</v>
      </c>
    </row>
    <row r="60" spans="1:13" x14ac:dyDescent="0.25">
      <c r="A60" s="2">
        <v>46310</v>
      </c>
      <c r="B60" s="1" t="str">
        <f ca="1">IF(Información1[[#This Row],[Fecha]]='Ajuste de fechas'!$A$2,"Día actual","Día anterior")</f>
        <v>Día actual</v>
      </c>
      <c r="C60" t="s">
        <v>42</v>
      </c>
      <c r="D60" t="s">
        <v>43</v>
      </c>
      <c r="E60" t="s">
        <v>154</v>
      </c>
      <c r="F60" t="s">
        <v>69</v>
      </c>
      <c r="G60" t="s">
        <v>155</v>
      </c>
      <c r="H60" t="s">
        <v>44</v>
      </c>
      <c r="I60" t="s">
        <v>7</v>
      </c>
      <c r="J60" t="s">
        <v>21</v>
      </c>
      <c r="K60" t="s">
        <v>45</v>
      </c>
      <c r="L60" t="s">
        <v>22</v>
      </c>
      <c r="M60">
        <v>1</v>
      </c>
    </row>
    <row r="61" spans="1:13" x14ac:dyDescent="0.25">
      <c r="A61" s="2">
        <v>46310</v>
      </c>
      <c r="B61" s="1" t="str">
        <f ca="1">IF(Información1[[#This Row],[Fecha]]='Ajuste de fechas'!$A$2,"Día actual","Día anterior")</f>
        <v>Día actual</v>
      </c>
      <c r="C61" t="s">
        <v>42</v>
      </c>
      <c r="D61" t="s">
        <v>43</v>
      </c>
      <c r="E61" t="s">
        <v>156</v>
      </c>
      <c r="F61" t="s">
        <v>29</v>
      </c>
      <c r="G61" t="s">
        <v>83</v>
      </c>
      <c r="H61" t="s">
        <v>44</v>
      </c>
      <c r="I61" t="s">
        <v>7</v>
      </c>
      <c r="J61" t="s">
        <v>21</v>
      </c>
      <c r="K61" t="s">
        <v>46</v>
      </c>
      <c r="L61" t="s">
        <v>24</v>
      </c>
      <c r="M61">
        <v>1</v>
      </c>
    </row>
    <row r="62" spans="1:13" x14ac:dyDescent="0.25">
      <c r="A62" s="2">
        <v>46310</v>
      </c>
      <c r="B62" s="1" t="str">
        <f ca="1">IF(Información1[[#This Row],[Fecha]]='Ajuste de fechas'!$A$2,"Día actual","Día anterior")</f>
        <v>Día actual</v>
      </c>
      <c r="C62" t="s">
        <v>42</v>
      </c>
      <c r="D62" t="s">
        <v>43</v>
      </c>
      <c r="E62" t="s">
        <v>157</v>
      </c>
      <c r="F62" t="s">
        <v>59</v>
      </c>
      <c r="G62" t="s">
        <v>63</v>
      </c>
      <c r="H62" t="s">
        <v>44</v>
      </c>
      <c r="I62" t="s">
        <v>7</v>
      </c>
      <c r="J62" t="s">
        <v>21</v>
      </c>
      <c r="K62" t="s">
        <v>46</v>
      </c>
      <c r="L62" t="s">
        <v>22</v>
      </c>
      <c r="M62">
        <v>1</v>
      </c>
    </row>
    <row r="63" spans="1:13" x14ac:dyDescent="0.25">
      <c r="A63" s="2">
        <v>46310</v>
      </c>
      <c r="B63" s="1" t="str">
        <f ca="1">IF(Información1[[#This Row],[Fecha]]='Ajuste de fechas'!$A$2,"Día actual","Día anterior")</f>
        <v>Día actual</v>
      </c>
      <c r="C63" t="s">
        <v>42</v>
      </c>
      <c r="D63" t="s">
        <v>43</v>
      </c>
      <c r="E63" t="s">
        <v>158</v>
      </c>
      <c r="F63" t="s">
        <v>68</v>
      </c>
      <c r="G63" t="s">
        <v>63</v>
      </c>
      <c r="H63" t="s">
        <v>44</v>
      </c>
      <c r="I63" t="s">
        <v>7</v>
      </c>
      <c r="J63" t="s">
        <v>21</v>
      </c>
      <c r="K63" t="s">
        <v>46</v>
      </c>
      <c r="L63" t="s">
        <v>22</v>
      </c>
      <c r="M63">
        <v>1</v>
      </c>
    </row>
    <row r="64" spans="1:13" x14ac:dyDescent="0.25">
      <c r="A64" s="2">
        <v>46310</v>
      </c>
      <c r="B64" s="1" t="str">
        <f ca="1">IF(Información1[[#This Row],[Fecha]]='Ajuste de fechas'!$A$2,"Día actual","Día anterior")</f>
        <v>Día actual</v>
      </c>
      <c r="C64" t="s">
        <v>42</v>
      </c>
      <c r="D64" t="s">
        <v>43</v>
      </c>
      <c r="E64" t="s">
        <v>159</v>
      </c>
      <c r="F64" t="s">
        <v>29</v>
      </c>
      <c r="G64" t="s">
        <v>62</v>
      </c>
      <c r="H64" t="s">
        <v>44</v>
      </c>
      <c r="I64" t="s">
        <v>7</v>
      </c>
      <c r="J64" t="s">
        <v>21</v>
      </c>
      <c r="K64" t="s">
        <v>46</v>
      </c>
      <c r="L64" t="s">
        <v>22</v>
      </c>
      <c r="M64">
        <v>1</v>
      </c>
    </row>
    <row r="65" spans="1:13" x14ac:dyDescent="0.25">
      <c r="A65" s="2">
        <v>46310</v>
      </c>
      <c r="B65" s="1" t="str">
        <f ca="1">IF(Información1[[#This Row],[Fecha]]='Ajuste de fechas'!$A$2,"Día actual","Día anterior")</f>
        <v>Día actual</v>
      </c>
      <c r="C65" t="s">
        <v>42</v>
      </c>
      <c r="D65" t="s">
        <v>43</v>
      </c>
      <c r="E65" t="s">
        <v>160</v>
      </c>
      <c r="F65" t="s">
        <v>30</v>
      </c>
      <c r="G65" t="s">
        <v>72</v>
      </c>
      <c r="H65" t="s">
        <v>44</v>
      </c>
      <c r="I65" t="s">
        <v>7</v>
      </c>
      <c r="J65" t="s">
        <v>21</v>
      </c>
      <c r="K65" t="s">
        <v>46</v>
      </c>
      <c r="L65" t="s">
        <v>22</v>
      </c>
      <c r="M65">
        <v>1</v>
      </c>
    </row>
    <row r="66" spans="1:13" x14ac:dyDescent="0.25">
      <c r="A66" s="2">
        <v>46310</v>
      </c>
      <c r="B66" s="1" t="str">
        <f ca="1">IF(Información1[[#This Row],[Fecha]]='Ajuste de fechas'!$A$2,"Día actual","Día anterior")</f>
        <v>Día actual</v>
      </c>
      <c r="C66" t="s">
        <v>32</v>
      </c>
      <c r="D66" t="s">
        <v>37</v>
      </c>
      <c r="E66" t="s">
        <v>161</v>
      </c>
      <c r="F66" t="s">
        <v>6</v>
      </c>
      <c r="G66" t="s">
        <v>84</v>
      </c>
      <c r="H66" t="s">
        <v>31</v>
      </c>
      <c r="I66" t="s">
        <v>162</v>
      </c>
      <c r="J66" t="s">
        <v>21</v>
      </c>
      <c r="K66" t="s">
        <v>38</v>
      </c>
      <c r="L66" t="s">
        <v>23</v>
      </c>
      <c r="M66">
        <v>1</v>
      </c>
    </row>
    <row r="67" spans="1:13" x14ac:dyDescent="0.25">
      <c r="A67" s="2">
        <v>46310</v>
      </c>
      <c r="B67" s="1" t="str">
        <f ca="1">IF(Información1[[#This Row],[Fecha]]='Ajuste de fechas'!$A$2,"Día actual","Día anterior")</f>
        <v>Día actual</v>
      </c>
      <c r="C67" t="s">
        <v>32</v>
      </c>
      <c r="D67" t="s">
        <v>37</v>
      </c>
      <c r="E67" t="s">
        <v>163</v>
      </c>
      <c r="F67" t="s">
        <v>13</v>
      </c>
      <c r="G67" t="s">
        <v>164</v>
      </c>
      <c r="H67" t="s">
        <v>31</v>
      </c>
      <c r="I67" t="s">
        <v>7</v>
      </c>
      <c r="J67" t="s">
        <v>21</v>
      </c>
      <c r="K67" t="s">
        <v>38</v>
      </c>
      <c r="L67" t="s">
        <v>23</v>
      </c>
      <c r="M67">
        <v>1</v>
      </c>
    </row>
    <row r="68" spans="1:13" x14ac:dyDescent="0.25">
      <c r="A68" s="2">
        <v>46310</v>
      </c>
      <c r="B68" s="1" t="str">
        <f ca="1">IF(Información1[[#This Row],[Fecha]]='Ajuste de fechas'!$A$2,"Día actual","Día anterior")</f>
        <v>Día actual</v>
      </c>
      <c r="C68" t="s">
        <v>39</v>
      </c>
      <c r="D68" t="s">
        <v>40</v>
      </c>
      <c r="E68" t="s">
        <v>165</v>
      </c>
      <c r="F68" t="s">
        <v>66</v>
      </c>
      <c r="G68" t="s">
        <v>63</v>
      </c>
      <c r="H68" t="s">
        <v>31</v>
      </c>
      <c r="I68" t="s">
        <v>10</v>
      </c>
      <c r="J68" t="s">
        <v>21</v>
      </c>
      <c r="K68" t="s">
        <v>41</v>
      </c>
      <c r="L68" t="s">
        <v>22</v>
      </c>
      <c r="M68">
        <v>1</v>
      </c>
    </row>
    <row r="69" spans="1:13" x14ac:dyDescent="0.25">
      <c r="A69" s="2">
        <v>46310</v>
      </c>
      <c r="B69" s="1" t="str">
        <f ca="1">IF(Información1[[#This Row],[Fecha]]='Ajuste de fechas'!$A$2,"Día actual","Día anterior")</f>
        <v>Día actual</v>
      </c>
      <c r="C69" t="s">
        <v>39</v>
      </c>
      <c r="D69" t="s">
        <v>40</v>
      </c>
      <c r="E69" t="s">
        <v>166</v>
      </c>
      <c r="F69" t="s">
        <v>29</v>
      </c>
      <c r="G69" t="s">
        <v>83</v>
      </c>
      <c r="H69" t="s">
        <v>31</v>
      </c>
      <c r="I69" t="s">
        <v>10</v>
      </c>
      <c r="J69" t="s">
        <v>21</v>
      </c>
      <c r="K69" t="s">
        <v>41</v>
      </c>
      <c r="L69" t="s">
        <v>22</v>
      </c>
      <c r="M69">
        <v>1</v>
      </c>
    </row>
    <row r="70" spans="1:13" x14ac:dyDescent="0.25">
      <c r="A70" s="2">
        <v>46310</v>
      </c>
      <c r="B70" s="1" t="str">
        <f ca="1">IF(Información1[[#This Row],[Fecha]]='Ajuste de fechas'!$A$2,"Día actual","Día anterior")</f>
        <v>Día actual</v>
      </c>
      <c r="C70" t="s">
        <v>32</v>
      </c>
      <c r="D70" t="s">
        <v>33</v>
      </c>
      <c r="E70" t="s">
        <v>167</v>
      </c>
      <c r="F70" t="s">
        <v>65</v>
      </c>
      <c r="G70" t="s">
        <v>168</v>
      </c>
      <c r="H70" t="s">
        <v>31</v>
      </c>
      <c r="I70" t="s">
        <v>7</v>
      </c>
      <c r="J70" t="s">
        <v>21</v>
      </c>
      <c r="K70" t="s">
        <v>35</v>
      </c>
      <c r="L70" t="s">
        <v>24</v>
      </c>
      <c r="M70">
        <v>1</v>
      </c>
    </row>
    <row r="71" spans="1:13" x14ac:dyDescent="0.25">
      <c r="A71" s="2">
        <v>46310</v>
      </c>
      <c r="B71" s="1" t="str">
        <f ca="1">IF(Información1[[#This Row],[Fecha]]='Ajuste de fechas'!$A$2,"Día actual","Día anterior")</f>
        <v>Día actual</v>
      </c>
      <c r="C71" t="s">
        <v>32</v>
      </c>
      <c r="D71" t="s">
        <v>33</v>
      </c>
      <c r="E71" t="s">
        <v>153</v>
      </c>
      <c r="F71" t="s">
        <v>13</v>
      </c>
      <c r="G71" t="s">
        <v>76</v>
      </c>
      <c r="H71" t="s">
        <v>31</v>
      </c>
      <c r="I71" t="s">
        <v>7</v>
      </c>
      <c r="J71" t="s">
        <v>21</v>
      </c>
      <c r="K71" t="s">
        <v>34</v>
      </c>
      <c r="L71" t="s">
        <v>24</v>
      </c>
      <c r="M71">
        <v>1</v>
      </c>
    </row>
    <row r="72" spans="1:13" x14ac:dyDescent="0.25">
      <c r="A72" s="2">
        <v>46310</v>
      </c>
      <c r="B72" s="1" t="str">
        <f ca="1">IF(Información1[[#This Row],[Fecha]]='Ajuste de fechas'!$A$2,"Día actual","Día anterior")</f>
        <v>Día actual</v>
      </c>
      <c r="C72" t="s">
        <v>32</v>
      </c>
      <c r="D72" t="s">
        <v>33</v>
      </c>
      <c r="E72" t="s">
        <v>169</v>
      </c>
      <c r="F72" t="s">
        <v>66</v>
      </c>
      <c r="G72" t="s">
        <v>63</v>
      </c>
      <c r="H72" t="s">
        <v>31</v>
      </c>
      <c r="I72" t="s">
        <v>7</v>
      </c>
      <c r="J72" t="s">
        <v>21</v>
      </c>
      <c r="K72" t="s">
        <v>35</v>
      </c>
      <c r="L72" t="s">
        <v>24</v>
      </c>
      <c r="M72">
        <v>1</v>
      </c>
    </row>
    <row r="73" spans="1:13" x14ac:dyDescent="0.25">
      <c r="A73" s="2">
        <v>46310</v>
      </c>
      <c r="B73" s="1" t="str">
        <f ca="1">IF(Información1[[#This Row],[Fecha]]='Ajuste de fechas'!$A$2,"Día actual","Día anterior")</f>
        <v>Día actual</v>
      </c>
      <c r="C73" t="s">
        <v>32</v>
      </c>
      <c r="D73" t="s">
        <v>33</v>
      </c>
      <c r="E73" t="s">
        <v>170</v>
      </c>
      <c r="F73" t="s">
        <v>30</v>
      </c>
      <c r="G73" t="s">
        <v>171</v>
      </c>
      <c r="H73" t="s">
        <v>31</v>
      </c>
      <c r="I73" t="s">
        <v>7</v>
      </c>
      <c r="J73" t="s">
        <v>21</v>
      </c>
      <c r="K73" t="s">
        <v>35</v>
      </c>
      <c r="L73" t="s">
        <v>24</v>
      </c>
      <c r="M73">
        <v>1</v>
      </c>
    </row>
    <row r="74" spans="1:13" x14ac:dyDescent="0.25">
      <c r="A74" s="2">
        <v>46310</v>
      </c>
      <c r="B74" s="1" t="str">
        <f ca="1">IF(Información1[[#This Row],[Fecha]]='Ajuste de fechas'!$A$2,"Día actual","Día anterior")</f>
        <v>Día actual</v>
      </c>
      <c r="C74" t="s">
        <v>50</v>
      </c>
      <c r="D74" t="s">
        <v>51</v>
      </c>
      <c r="E74" t="s">
        <v>172</v>
      </c>
      <c r="F74" t="s">
        <v>13</v>
      </c>
      <c r="G74" t="s">
        <v>72</v>
      </c>
      <c r="H74" t="s">
        <v>31</v>
      </c>
      <c r="I74" t="s">
        <v>7</v>
      </c>
      <c r="J74" t="s">
        <v>21</v>
      </c>
      <c r="K74" t="s">
        <v>52</v>
      </c>
      <c r="L74" t="s">
        <v>24</v>
      </c>
      <c r="M74">
        <v>1</v>
      </c>
    </row>
    <row r="75" spans="1:13" x14ac:dyDescent="0.25">
      <c r="A75" s="2">
        <v>46310</v>
      </c>
      <c r="B75" s="1" t="str">
        <f ca="1">IF(Información1[[#This Row],[Fecha]]='Ajuste de fechas'!$A$2,"Día actual","Día anterior")</f>
        <v>Día actual</v>
      </c>
      <c r="C75" t="s">
        <v>60</v>
      </c>
      <c r="D75" t="s">
        <v>70</v>
      </c>
      <c r="E75" t="s">
        <v>173</v>
      </c>
      <c r="F75" t="s">
        <v>29</v>
      </c>
      <c r="G75" t="s">
        <v>83</v>
      </c>
      <c r="H75" t="s">
        <v>31</v>
      </c>
      <c r="I75" t="s">
        <v>7</v>
      </c>
      <c r="J75" t="s">
        <v>21</v>
      </c>
      <c r="K75" t="s">
        <v>71</v>
      </c>
      <c r="L75" t="s">
        <v>22</v>
      </c>
      <c r="M75">
        <v>1</v>
      </c>
    </row>
    <row r="76" spans="1:13" x14ac:dyDescent="0.25">
      <c r="A76" s="2">
        <v>46310</v>
      </c>
      <c r="B76" s="1" t="str">
        <f ca="1">IF(Información1[[#This Row],[Fecha]]='Ajuste de fechas'!$A$2,"Día actual","Día anterior")</f>
        <v>Día actual</v>
      </c>
      <c r="C76" t="s">
        <v>60</v>
      </c>
      <c r="D76" t="s">
        <v>70</v>
      </c>
      <c r="E76" t="s">
        <v>174</v>
      </c>
      <c r="F76" t="s">
        <v>13</v>
      </c>
      <c r="G76" t="s">
        <v>175</v>
      </c>
      <c r="H76" t="s">
        <v>31</v>
      </c>
      <c r="I76" t="s">
        <v>10</v>
      </c>
      <c r="J76" t="s">
        <v>21</v>
      </c>
      <c r="K76" t="s">
        <v>71</v>
      </c>
      <c r="L76" t="s">
        <v>28</v>
      </c>
      <c r="M76">
        <v>1</v>
      </c>
    </row>
    <row r="77" spans="1:13" x14ac:dyDescent="0.25">
      <c r="A77" s="2">
        <v>46310</v>
      </c>
      <c r="B77" s="1" t="str">
        <f ca="1">IF(Información1[[#This Row],[Fecha]]='Ajuste de fechas'!$A$2,"Día actual","Día anterior")</f>
        <v>Día actual</v>
      </c>
      <c r="C77" t="s">
        <v>8</v>
      </c>
      <c r="D77" t="s">
        <v>9</v>
      </c>
      <c r="E77" t="s">
        <v>176</v>
      </c>
      <c r="F77" t="s">
        <v>29</v>
      </c>
      <c r="G77" t="s">
        <v>78</v>
      </c>
      <c r="H77" t="s">
        <v>31</v>
      </c>
      <c r="I77" t="s">
        <v>14</v>
      </c>
      <c r="J77" t="s">
        <v>21</v>
      </c>
      <c r="K77" t="s">
        <v>11</v>
      </c>
      <c r="L77" t="s">
        <v>23</v>
      </c>
      <c r="M77">
        <v>1</v>
      </c>
    </row>
    <row r="78" spans="1:13" x14ac:dyDescent="0.25">
      <c r="A78" s="2">
        <v>46310</v>
      </c>
      <c r="B78" s="1" t="str">
        <f ca="1">IF(Información1[[#This Row],[Fecha]]='Ajuste de fechas'!$A$2,"Día actual","Día anterior")</f>
        <v>Día actual</v>
      </c>
      <c r="C78" t="s">
        <v>60</v>
      </c>
      <c r="D78" t="s">
        <v>53</v>
      </c>
      <c r="E78" t="s">
        <v>177</v>
      </c>
      <c r="F78" t="s">
        <v>66</v>
      </c>
      <c r="G78" t="s">
        <v>63</v>
      </c>
      <c r="H78" t="s">
        <v>31</v>
      </c>
      <c r="I78" t="s">
        <v>7</v>
      </c>
      <c r="J78" t="s">
        <v>21</v>
      </c>
      <c r="K78" t="s">
        <v>54</v>
      </c>
      <c r="L78" t="s">
        <v>22</v>
      </c>
      <c r="M78">
        <v>1</v>
      </c>
    </row>
    <row r="79" spans="1:13" x14ac:dyDescent="0.25">
      <c r="A79" s="2">
        <v>46310</v>
      </c>
      <c r="B79" s="1" t="str">
        <f ca="1">IF(Información1[[#This Row],[Fecha]]='Ajuste de fechas'!$A$2,"Día actual","Día anterior")</f>
        <v>Día actual</v>
      </c>
      <c r="C79" t="s">
        <v>60</v>
      </c>
      <c r="D79" t="s">
        <v>53</v>
      </c>
      <c r="E79" t="s">
        <v>178</v>
      </c>
      <c r="F79" t="s">
        <v>65</v>
      </c>
      <c r="G79" t="s">
        <v>63</v>
      </c>
      <c r="H79" t="s">
        <v>31</v>
      </c>
      <c r="I79" t="s">
        <v>7</v>
      </c>
      <c r="J79" t="s">
        <v>21</v>
      </c>
      <c r="K79" t="s">
        <v>54</v>
      </c>
      <c r="L79" t="s">
        <v>22</v>
      </c>
      <c r="M79">
        <v>1</v>
      </c>
    </row>
    <row r="80" spans="1:13" x14ac:dyDescent="0.25">
      <c r="A80" s="2">
        <v>46310</v>
      </c>
      <c r="B80" s="1" t="str">
        <f ca="1">IF(Información1[[#This Row],[Fecha]]='Ajuste de fechas'!$A$2,"Día actual","Día anterior")</f>
        <v>Día actual</v>
      </c>
      <c r="C80" t="s">
        <v>8</v>
      </c>
      <c r="D80" t="s">
        <v>9</v>
      </c>
      <c r="E80" t="s">
        <v>179</v>
      </c>
      <c r="F80" t="s">
        <v>68</v>
      </c>
      <c r="G80" t="s">
        <v>94</v>
      </c>
      <c r="H80" t="s">
        <v>31</v>
      </c>
      <c r="I80" t="s">
        <v>7</v>
      </c>
      <c r="J80" t="s">
        <v>21</v>
      </c>
      <c r="K80" t="s">
        <v>11</v>
      </c>
      <c r="L80" t="s">
        <v>23</v>
      </c>
      <c r="M80">
        <v>1</v>
      </c>
    </row>
    <row r="81" spans="1:13" x14ac:dyDescent="0.25">
      <c r="A81" s="2">
        <v>46310</v>
      </c>
      <c r="B81" s="1" t="str">
        <f ca="1">IF(Información1[[#This Row],[Fecha]]='Ajuste de fechas'!$A$2,"Día actual","Día anterior")</f>
        <v>Día actual</v>
      </c>
      <c r="C81" t="s">
        <v>8</v>
      </c>
      <c r="D81" t="s">
        <v>9</v>
      </c>
      <c r="E81" t="s">
        <v>67</v>
      </c>
      <c r="F81" t="s">
        <v>29</v>
      </c>
      <c r="G81" t="s">
        <v>56</v>
      </c>
      <c r="H81" t="s">
        <v>31</v>
      </c>
      <c r="I81" t="s">
        <v>7</v>
      </c>
      <c r="J81" t="s">
        <v>21</v>
      </c>
      <c r="K81" t="s">
        <v>11</v>
      </c>
      <c r="L81" t="s">
        <v>23</v>
      </c>
      <c r="M81">
        <v>1</v>
      </c>
    </row>
    <row r="82" spans="1:13" x14ac:dyDescent="0.25">
      <c r="A82" s="2">
        <v>46310</v>
      </c>
      <c r="B82" s="1" t="str">
        <f ca="1">IF(Información1[[#This Row],[Fecha]]='Ajuste de fechas'!$A$2,"Día actual","Día anterior")</f>
        <v>Día actual</v>
      </c>
      <c r="C82" t="s">
        <v>8</v>
      </c>
      <c r="D82" t="s">
        <v>9</v>
      </c>
      <c r="E82" t="s">
        <v>61</v>
      </c>
      <c r="F82" t="s">
        <v>12</v>
      </c>
      <c r="G82" t="s">
        <v>56</v>
      </c>
      <c r="H82" t="s">
        <v>31</v>
      </c>
      <c r="I82" t="s">
        <v>7</v>
      </c>
      <c r="J82" t="s">
        <v>21</v>
      </c>
      <c r="K82" t="s">
        <v>11</v>
      </c>
      <c r="L82" t="s">
        <v>23</v>
      </c>
      <c r="M82">
        <v>1</v>
      </c>
    </row>
    <row r="83" spans="1:13" x14ac:dyDescent="0.25">
      <c r="A83" s="2">
        <v>46310</v>
      </c>
      <c r="B83" s="1" t="str">
        <f ca="1">IF(Información1[[#This Row],[Fecha]]='Ajuste de fechas'!$A$2,"Día actual","Día anterior")</f>
        <v>Día actual</v>
      </c>
      <c r="C83" t="s">
        <v>8</v>
      </c>
      <c r="D83" t="s">
        <v>9</v>
      </c>
      <c r="E83" t="s">
        <v>57</v>
      </c>
      <c r="F83" t="s">
        <v>6</v>
      </c>
      <c r="G83" t="s">
        <v>56</v>
      </c>
      <c r="H83" t="s">
        <v>31</v>
      </c>
      <c r="I83" t="s">
        <v>10</v>
      </c>
      <c r="J83" t="s">
        <v>21</v>
      </c>
      <c r="K83" t="s">
        <v>11</v>
      </c>
      <c r="L83" t="s">
        <v>23</v>
      </c>
      <c r="M83">
        <v>1</v>
      </c>
    </row>
    <row r="84" spans="1:13" x14ac:dyDescent="0.25">
      <c r="A84" s="2">
        <v>46310</v>
      </c>
      <c r="B84" s="1" t="str">
        <f ca="1">IF(Información1[[#This Row],[Fecha]]='Ajuste de fechas'!$A$2,"Día actual","Día anterior")</f>
        <v>Día actual</v>
      </c>
      <c r="C84" t="s">
        <v>8</v>
      </c>
      <c r="D84" t="s">
        <v>9</v>
      </c>
      <c r="E84" t="s">
        <v>180</v>
      </c>
      <c r="F84" t="s">
        <v>6</v>
      </c>
      <c r="G84" t="s">
        <v>55</v>
      </c>
      <c r="H84" t="s">
        <v>31</v>
      </c>
      <c r="I84" t="s">
        <v>14</v>
      </c>
      <c r="J84" t="s">
        <v>21</v>
      </c>
      <c r="K84" t="s">
        <v>38</v>
      </c>
      <c r="L84" t="s">
        <v>23</v>
      </c>
      <c r="M84">
        <v>1</v>
      </c>
    </row>
    <row r="85" spans="1:13" x14ac:dyDescent="0.25">
      <c r="A85" s="2">
        <v>46310</v>
      </c>
      <c r="B85" s="1" t="str">
        <f ca="1">IF(Información1[[#This Row],[Fecha]]='Ajuste de fechas'!$A$2,"Día actual","Día anterior")</f>
        <v>Día actual</v>
      </c>
      <c r="C85" t="s">
        <v>8</v>
      </c>
      <c r="D85" t="s">
        <v>9</v>
      </c>
      <c r="E85" t="s">
        <v>181</v>
      </c>
      <c r="F85" t="s">
        <v>6</v>
      </c>
      <c r="G85" t="s">
        <v>55</v>
      </c>
      <c r="H85" t="s">
        <v>31</v>
      </c>
      <c r="I85" t="s">
        <v>14</v>
      </c>
      <c r="J85" t="s">
        <v>21</v>
      </c>
      <c r="K85" t="s">
        <v>38</v>
      </c>
      <c r="L85" t="s">
        <v>23</v>
      </c>
      <c r="M8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26</v>
      </c>
      <c r="B1" t="s">
        <v>27</v>
      </c>
    </row>
    <row r="2" spans="1:2" x14ac:dyDescent="0.25">
      <c r="A2" s="2">
        <f ca="1">TODAY()</f>
        <v>46310</v>
      </c>
      <c r="B2" s="2">
        <f ca="1">A2-1</f>
        <v>46309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2026-10-15T23:25:19Z</dcterms:modified>
</cp:coreProperties>
</file>