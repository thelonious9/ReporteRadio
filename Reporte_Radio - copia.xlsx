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4F8CD2A7-B53D-4C0E-8902-FEA33C029C6C}"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Radio!$A$1:$M$140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113" i="2"/>
  <c r="B115" i="2"/>
  <c r="B120" i="2"/>
  <c r="B123" i="2"/>
  <c r="B126" i="2"/>
  <c r="B129" i="2"/>
  <c r="B132" i="2"/>
  <c r="B135" i="2"/>
  <c r="B138"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107" i="2"/>
  <c r="B109" i="2"/>
  <c r="B111" i="2"/>
  <c r="B114" i="2"/>
  <c r="B117" i="2"/>
  <c r="B119" i="2"/>
  <c r="B122" i="2"/>
  <c r="B125" i="2"/>
  <c r="B128" i="2"/>
  <c r="B131" i="2"/>
  <c r="B134" i="2"/>
  <c r="B137" i="2"/>
  <c r="B140"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8" i="2"/>
  <c r="B110" i="2"/>
  <c r="B112" i="2"/>
  <c r="B116" i="2"/>
  <c r="B118" i="2"/>
  <c r="B121" i="2"/>
  <c r="B124" i="2"/>
  <c r="B127" i="2"/>
  <c r="B130" i="2"/>
  <c r="B133" i="2"/>
  <c r="B136" i="2"/>
  <c r="B139"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<sst xmlns="http://schemas.openxmlformats.org/spreadsheetml/2006/main" count="1405" uniqueCount="279">
  <si>
    <t>Fecha</t>
  </si>
  <si>
    <t>Titular</t>
  </si>
  <si>
    <t>Dependencia</t>
  </si>
  <si>
    <t>Canal</t>
  </si>
  <si>
    <t>Tema</t>
  </si>
  <si>
    <t>Estatus</t>
  </si>
  <si>
    <t>Sipdus</t>
  </si>
  <si>
    <t>Informativa</t>
  </si>
  <si>
    <t>Radio local</t>
  </si>
  <si>
    <t>Segobh</t>
  </si>
  <si>
    <t>Ayuntamiento</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</si>
  <si>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</si>
  <si>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</si>
  <si>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</si>
  <si>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</si>
  <si>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</si>
  <si>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</si>
  <si>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</si>
  <si>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</si>
  <si>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</si>
  <si>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</si>
  <si>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</si>
  <si>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</si>
  <si>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</si>
  <si>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</si>
  <si>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</si>
  <si>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</si>
  <si>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</si>
  <si>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</si>
  <si>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</si>
  <si>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Congreso</t>
  </si>
  <si>
    <t>Gobierno del estado</t>
  </si>
  <si>
    <t>Presidencia de la República</t>
  </si>
  <si>
    <t>Alcaldías</t>
  </si>
  <si>
    <t>SEPH</t>
  </si>
  <si>
    <t>PGJEH</t>
  </si>
  <si>
    <t>Entrevista</t>
  </si>
  <si>
    <t>Radioescucha</t>
  </si>
  <si>
    <t>Semot</t>
  </si>
  <si>
    <t>Semarnath</t>
  </si>
  <si>
    <t>Positiva</t>
  </si>
  <si>
    <t>Acir 92.5 FM</t>
  </si>
  <si>
    <t>Panorama Informativo Pachuca</t>
  </si>
  <si>
    <t>Eulalio Larrieta</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</si>
  <si>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</si>
  <si>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</si>
  <si>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</si>
  <si>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Edith Balderas de la Secretaria de Educación Pública.</t>
  </si>
  <si>
    <t>Eulalio Larrieta agradece a Jair Martínez de la SEGOBH, porque esta al pendiente de lo que se necesite y los reportes.</t>
  </si>
  <si>
    <t>Eulalio Larrieta agradece a Cristian Yahir Castañeda supervisor de la región Pachuca quien nos va atender los reportes que correspondan a la SEMOT</t>
  </si>
  <si>
    <t>Eulalio Larrieta agradece Paola García y Lic. Sarahi Pineda, por estar atentas a los mensajes de la ciudadanía y por atenderlos.</t>
  </si>
  <si>
    <t>Eulalio Larrieta agradece a Carlos Gamiño por estar al pendiente de temas</t>
  </si>
  <si>
    <t>Abasto De Agua</t>
  </si>
  <si>
    <t>Enfoque Regional Matutino</t>
  </si>
  <si>
    <t>Rodolfo López</t>
  </si>
  <si>
    <t>Juan Carlos Santamaria</t>
  </si>
  <si>
    <t>SSH</t>
  </si>
  <si>
    <t>NQ 90.1 FM</t>
  </si>
  <si>
    <t>Enlace Hidalgo2</t>
  </si>
  <si>
    <t>Jesús Riveros</t>
  </si>
  <si>
    <t>Ke Buena 106.7 FM</t>
  </si>
  <si>
    <t>Noticias 106.7</t>
  </si>
  <si>
    <t>David Cárdenas</t>
  </si>
  <si>
    <t>Enlace Hidalgo1</t>
  </si>
  <si>
    <t>Combate Al Narcomenudeo</t>
  </si>
  <si>
    <t>Vialidad En Mal Estado</t>
  </si>
  <si>
    <t>Atención Afectaciones Por Lluvias</t>
  </si>
  <si>
    <t>OCSAD</t>
  </si>
  <si>
    <t>Feria Patronal</t>
  </si>
  <si>
    <t>Alerta Meteorológica</t>
  </si>
  <si>
    <t>Turismo</t>
  </si>
  <si>
    <t>Recuperación Del Patrimonio</t>
  </si>
  <si>
    <t>Enfoque Regional Meridiano</t>
  </si>
  <si>
    <t>Jesús González</t>
  </si>
  <si>
    <t>La Poderosa Tuxpan 93.1 FM</t>
  </si>
  <si>
    <t>NN Nuestras Noticias Zona Norte</t>
  </si>
  <si>
    <t>Liz Argüelles</t>
  </si>
  <si>
    <t>Fuga De Agua</t>
  </si>
  <si>
    <t>Coordinación interestatal</t>
  </si>
  <si>
    <t>Prevención De Riesgos</t>
  </si>
  <si>
    <t>Se realizó la presentación de la Feria de Los Angelitos en el municipio de Tulancingo 2026, la cuál de realizará del 26 de julio al 17 de agosto. Los comerciantes comenzarán a colocarse desde la noche del sábado 25 de julio, activando los cierres viales en el centro.</t>
  </si>
  <si>
    <t>Medalla Alfonso Cravioto</t>
  </si>
  <si>
    <t>Accidente Tuzobús</t>
  </si>
  <si>
    <t>Donar sangre salva vidas; Unidad Móvil recorrerá hospitales de Hidalgo</t>
  </si>
  <si>
    <t>Donación de sangre</t>
  </si>
  <si>
    <t>Canal del Pueblo</t>
  </si>
  <si>
    <t>TV local</t>
  </si>
  <si>
    <t>La Feria de Santiago Tulantepec en honor a Santiago Apóstol que se realizará del 19 al 27 de julio, arranca tradicionalmente con el evento de la Cucaña a las 11:00 horas del sábado 19 de julio en el tanque de la antigua fábrica textil, marcando el inicio de los festejos patronales que incluyen eventos culturales, deportivos y la famosa Santiagada.</t>
  </si>
  <si>
    <t>En Zapotlán se investiga el fallecimiento de un menor de edad el pasado sábado 11 de julio, falleció al interior de un domicilio ubicado en la colonia Monera.</t>
  </si>
  <si>
    <t>Localización de cuerpo</t>
  </si>
  <si>
    <t>Integrantes de la Red de Madres Buscando a sus Hijos realizaron una marcha pacífica en Pachuca, para exigir a las autoridades estatales un incremento al presupuesto destinado a las áreas encargadas de investigar y localizar a personas desaparecidas. La movilización inició en las inmediaciones de la gasolinera de Téllez y avanzó hacia la capital hidalguense con pancartas, fotografías de sus familiares y consignas para exigir atención a los casos pendientes. El recorrido concluyó en la Subprocuraduría de Delitos de Género, Desaparición de Personas e Impacto Social del estado de Hidalgo. Durante la protesta, los integrantes del colectivo señalaron que la Fiscalía de Búsqueda de Personas Desaparecidas y la Fiscalía de Personas Desaparecidas operan con recursos limitados y han sido rebasadas por la cantidad de casos que deben atender.</t>
  </si>
  <si>
    <t>Búsqueda de personas</t>
  </si>
  <si>
    <t>Una maestra perdió la vida la mañana de este lunes al interior del edificio central de la Secretaría de Educación Pública de Hidalgo (SEPH), ubicado en Pachuca, luego de que fue localizada inconsciente dentro de las instalaciones. Según reportes de la Policía Municipal, el incidente fue notificado mediante una llamada al número de emergencias, en la que se solicitó apoyo para atender a una persona que se encontraba en estado crítico dentro del edificio. Tras el llamado, elementos de seguridad acudieron al edificio central de la dependencia y localizaron a una mujer identificada con las iniciales L. G. M., quien ya no contaba con signos vitales al momento de la revisión. De acuerdo con Natividad Castrejón, secretario de Educación en el Gobierno del Estado de Hidalgo, era una trabajadora adscrita que reanudaba sus actividades tras dos meses de incapacidad en motivo de problemas de salud. No obstante, fue el día de hoy que los paramédicos de bomberos realizaron maniobras de auxilio, derivado a un percance mientras desarrollaba sus actividades. Durante la mañanera semanal del Gobierno de Hidalgo, se confirmó que la posible causa de su fallecimiento fue un infarto de miocardio, por lo que autoridades emitieron sus condolencias en vivo; asimismo, Castrejón rectificó que continuarán en contacto con la familia de la trabajadora para llevar a cabo el debido acompañamiento tras su deceso.</t>
  </si>
  <si>
    <t>Condolencias</t>
  </si>
  <si>
    <t>Durante la conferencia mañanera del día de hoy, el secretario de Educación aquí en Hidalgo, dio a conocer las cifras respecto a la conclusión de este ciclo escolar, destaca, sobre todo, que hubo menos deserción escolar.</t>
  </si>
  <si>
    <t>Mañanera de Hidalgo</t>
  </si>
  <si>
    <t>En su colaboración, David Cárdenas transmite audio de entrevista realizada a Héctor Chávez, secretario de Comunicación Política del PRD Hidalgo - Habló sobre las recientes pláticas para posibles alianzas y estrategias con Morena, ya que dice, “La izquierda debe ir con la izquierda”. Aunque dijo, aún no hay nada en concreto, sin embargo, dijo, también tienen diseñadas planes y estrategias para participar en solitario.</t>
  </si>
  <si>
    <t>PRD</t>
  </si>
  <si>
    <t>Trabajo partidista</t>
  </si>
  <si>
    <t>Partidos</t>
  </si>
  <si>
    <t>La presidenta Claudia Sheinbaum señaló que el Tren Aeropuerto Internacional Felipe Ángeles - Pachuca estará concluido en el 2027, al rescatar que la obra lleva un 36 por ciento de avance.</t>
  </si>
  <si>
    <t>Tren AIFA</t>
  </si>
  <si>
    <t>La comparecencia del secretario municipal de Cardonal, Erik Callejas Dezha —solicitada desde hace varias semanas por regidores de oposición— quedó en pausa luego de que se cancelara la sesión de cabildo programada para este fin de semana. De acuerdo con lo informado por los regidores, la presidenta municipal, Karla Hernández Cerroblanco, justificó la suspensión de la sesión al señalar que se encuentra enferma de COVID-19. Sin embargo, la cancelación mantiene la incertidumbre entre los integrantes de la asamblea, ya que la comparecencia del funcionario ha sido un tema pendiente desde hace tiempo. Los ediles de oposición han solicitado explicaciones sobre diversos asuntos relacionados con el desempeño de sus funciones y aseguran que varias de sus preguntas continúan sin respuesta. Entre los temas que buscan esclarecer destaca la presunta participación del secretario en un caso relacionado con el desalojo de un predio perteneciente a un habitante de Ixmiquilpan, hecho que generó polémica debido a que el funcionario desempeña su cargo en el municipio de Cardonal. Hasta el momento, no se ha dado a conocer una nueva fecha para la realización de la sesión ni para la comparecencia del servidor público.</t>
  </si>
  <si>
    <t>Comparecencias</t>
  </si>
  <si>
    <t>Asociaciones protectoras de animales hicieron un llamado al Gobierno Municipal de Nopala de Villagrán y a la Procuraduría General de Justicia del Estado de Hidalgo (PGJEH) para que se investigue y sancione un presunto caso de maltrato animal ocurrido en la entrada de la comunidad de Jagüey. De acuerdo con una denuncia ciudadana, un perrito habría sido arrastrado por una motocicleta, hecho que ha causado indignación entre habitantes y defensores de los animales.</t>
  </si>
  <si>
    <t>Maltrato animal</t>
  </si>
  <si>
    <t>El Valle del Mezquital celebrará su Segundo Festival de la Barbacoa</t>
  </si>
  <si>
    <t>Festival Gastronómico</t>
  </si>
  <si>
    <t>Sebiso abre convocatorias para fortalecer el talento artesanal de Hidalgo</t>
  </si>
  <si>
    <t>Bienestar</t>
  </si>
  <si>
    <t>Concurso artesanal</t>
  </si>
  <si>
    <t>Francisco I. Madero - Natividad Castrejón entrega más de mil Becas para la Transformación en la UPFIM</t>
  </si>
  <si>
    <t>Becas Para La Transformación</t>
  </si>
  <si>
    <t>Gobierno de Hidalgo brinda acompañamiento a los municipios en la actualización de los Bandos de Policía y Gobierno para fortalecer la gobernanza local. (AUDIO GOR).</t>
  </si>
  <si>
    <t>Bando de policía y gobierno</t>
  </si>
  <si>
    <t>AIC de la PGJEH detuvo en Mineral de la Reforma, a dos personas por narcomenudeo.</t>
  </si>
  <si>
    <t>Julio Menchaca entrega Presea al Mérito Jurídico a la primera notaria de Hidalgo (AUDIO JMS).</t>
  </si>
  <si>
    <t>Con el objetivo de fortalecer la competitividad de los productores del sector alimentario y facilitar el cumplimiento de la normatividad vigente en materia de etiquetado, la Secretaría de Fomento Económico de Tulancingo mantiene un esquema permanente de vinculación con Laboratorios Becar, mediante el cual los emprendedores pueden obtener un 15 por ciento de descuento en la elaboración de tablas nutrimentales. La titular de la dependencia, Minerva Rosales Gayosso, informó que este beneficio está disponible durante todo el año y está dirigido a productores de salsas, mermeladas, miel, botanas, conservas, bebidas, dulces y otros alimentos procesados que buscan profesionalizar la presentación de sus productos y ampliar sus oportunidades de comercialización. La funcionaria explicó que contar con una tabla nutrimental permite cumplir con las disposiciones sanitarias en materia de etiquetado, además de brindar mayor confianza a los consumidores al ofrecer información clara y transparente sobre el contenido de los productos.</t>
  </si>
  <si>
    <t>Apoyo a emprendedores</t>
  </si>
  <si>
    <t>Locutor Jesús Riveros da lectura a comentario de radioescucha que reporta, que en la escuela Secundaria Técnica No.28 de Cuautepec, intentan condicionar la entrega de documentos obligando a los padres a pagar con pintura por faltar a una reunión en la cual, no entregaron cuentas del dinero y la misma persona que tenía el manejo del recurso, renunció a mitad del ciclo señalando al director y a la presidenta del comité estaban haciendo mal uso del recurso; Jesús Riveros responde que es un tema constante al cierre de cada ciclo escolar el manejo del dinero, compartirá el reporte con las autoridades correspondientes.</t>
  </si>
  <si>
    <t>Queja padres de familia</t>
  </si>
  <si>
    <t>En vivo desde la conferencia matutina, Juan Carlos Santamaría reconoce el trabajo que realizan elementos de la PIBEH en el resguardo y fluidez pata orientar a las y los medios de comunicación que acudieron a las nuevas instalaciones Centro Administrativo de Bienestar y Desarrollo Rural a cubrir esta conferencia semanal</t>
  </si>
  <si>
    <t>Labor destacada</t>
  </si>
  <si>
    <t>Durante la conferencia matutina del Gobierno de Hidalgo, participó personal de la Saderh para dar a conocer las estrategias implementadas en la entidad para combatir la propagación del gusano barrenador.</t>
  </si>
  <si>
    <t>Saderh</t>
  </si>
  <si>
    <t>En vivo desde la conferencia matutina, Juan Carlos Santamaría informó que, en la agenda del día de hoy, se tiene prevista la visita del gobernador Julio Menchaca Salazar a las instalaciones de la Semarnarth para conmemorar “El día de combatiente de incendios forestales” actividad en la que se reconoce a quienes desarrollan esta labor.</t>
  </si>
  <si>
    <t>Agenda gobernador</t>
  </si>
  <si>
    <t>En vivo desde la conferencia matutina, Juan Carlos Santamaría informó que, se presentó un video de los círculos de diálogo que encabeza el gobernador Julio Menchaca.</t>
  </si>
  <si>
    <t>Desde las nuevas instalaciones del Centro Administrativo de Bienestar y Desarrollo Rural, el titular de la Secretaría de Educación Pública de Hidalgo, Natividad Castrejón Valdez, dio inicio a la conferencia matutina con la numeraría del ciclo escolar que está por concluir de manera oficial este próximo miércoles 15 de julio; de igual manera, ha dado a conocer que será el próximo 31 de agosto cuando las ay los alumnos de educación básica estarían regresando a clases para iniciar el ciclo escolar 2026-2027.</t>
  </si>
  <si>
    <t>El responsable de Comunicación Gubernamental, Edmundo Pineda López es el encargado de iniciar la conferencia matutina del Gobierno del Estado de Hidalgo, señalando que, “No hay nada que lastime más a una democracia que, la opulencia de sus gobernantes”, por ello, estas instalaciones que antes servían para casa de gobierno para unas cuantas personas, ahora estarán sirviendo para dar atención a la población.</t>
  </si>
  <si>
    <t>Locutor Juan Carlos Santamaría transmite en vivo desde las instalaciones del Centro Administrativo de Bienestar y Desarrollo Rural, la conferencia de prensa mañanera del Gobierno del Estado de Hidalgo, dio conocer a los funcionarios que participarán el día de hoy, entre los que destacan: Napoleón González Pérez, titular de la Saderh; Natividad Castrejón, titular de la SEPH; Orlando Ángeles, titular de la Oficialía Mayor; Miguel Ángel Tello Vargas, titular de la Unidad de Planeación y Prospectiva; además de las y los secretarios que estarán ocupando estas nuevas instalaciones, en donde hoy, se desarrolla esta conferencia matutina semanal.</t>
  </si>
  <si>
    <t>SSPH asegura hidrocarburo, droga y vehículos con reporte de robo.</t>
  </si>
  <si>
    <t>Combate Al Huachicol</t>
  </si>
  <si>
    <t>Radioescucha reporta falta de agua en Colinas, pregunta ¿Qué día ya tendremos agua?</t>
  </si>
  <si>
    <t>Radioescucha reporta falta de agua en Valle de las Estrellas, llevamos más de una semana sin agua.</t>
  </si>
  <si>
    <t>Elementos de la Secretaría de Seguridad Pública de Hidalgo recuperaron una camioneta NP300 y una carga de una tonelada y media de cinturones de seguridad de automóvil tras un operativo desplegado luego de un reporte al 911. El robo ocurrido sobre la carretera federal México-Tuxpan, a la altura del Tejocotal-Acaxochitlán, donde el conductor fue despojado de la unidad y la mercancía. La movilización de policías estatales y municipales metió a ubicar el vehículo abandonado en la comunidad de Santa Ana-Hueytlalpan, en Tulancingo, luego de que los presuntos responsables escaparan. La camioneta y la carga fueron aseguradas y puestas a disposición de la autoridad competente para continuar con las investigaciones.</t>
  </si>
  <si>
    <t>Asalto frustrado</t>
  </si>
  <si>
    <t>Ante las recientes inundaciones registradas en el municipio de Tizayuca, la Comisión Nacional del Agua (Conagua), a través de su Dirección Local Hidalgo y el Organismo de Cuenca del Valle de México (OCAVM), brindó apoyo para atender la emergencia en los Fraccionamientos Marbella y El Recinto ocasionada por el incremento de nivel del caudal en el arroyo Papalote.A través de las brigadas Conagua, y en coordinación con la presidencia municipal de Tizayuca, se desazolvaron cinco pozos de visita, 21 metros cúbicos (m3) de agua succionada y 300 metros lineales de sondeo, así como el retiro de 33 m3 de material de arrastre en las zonas afectadas.</t>
  </si>
  <si>
    <t>Atención al pueblo</t>
  </si>
  <si>
    <t>Radioescucha agradece al presidente por su apoyo en trabajos en la colonia Juan C. Doria</t>
  </si>
  <si>
    <t>Radioescucha agradecemos que el presidente municipal de Pachuca, se acerca a la población con el programa “Colonia x Colonia”</t>
  </si>
  <si>
    <t>Vía telefónica presidente municipal de Pachuca, Jorge Alberto Reyes con los temas programa Colonia x Colonia, Luminarias, bacheo permanente. Comento que el tema de “Colonia x Colonia “ es llevar los servicios a las colonias es llevar las oficinas a la gente, llevamos todos los servicios de la presidencia, los directores de cada instituto, desarrollo económico, protección civil, reglamentos, Obras públicas y más. La próxima colonia que vamos a visitar es Santa Matilde, abarcando la zona sur el día miércoles estaremos tendiendo a toda la gente. En tema de luminarias se está trabajando, entendemos que son temas muy importantes y hasta en tema de seguridad, intervinimos casi 7 kilómetros de bulevar Colosio, para tener mayor iluminación, realizamos reparación, mantenimiento y hasta nuevos postes. También informo que a partir de mañana el director de comunicación Jorge Hernández, estará de manera permanente de manera física durante el programa, y enlazaremos en vivo a los responsables de cada una de las áreas si es necesario para dar seguimiento a las problemáticas del auditorio, estará para dar resultados y respuestas tangibles.</t>
  </si>
  <si>
    <t>Una mujer de 74 años, vecina de Tianguistengo perdió la vida luego de ser atropellada por una unidad de transporte público, sobre avenida Melchor Ocampo, a la altura del IMSS, en Tepeji del Río.Los reportes señalan que la mujer fue impactada por la unidad de servicio público y que tras el accidente, el conductor no detuvo la marcha para auxiliarle y huyó de lugar.</t>
  </si>
  <si>
    <t>Atropellamiento</t>
  </si>
  <si>
    <t>Más de 1000 estudiantes de la Universidad Politécnica de Francisco I.Madero recibieron becas para la transformación. Esto como parte del programa del gobierno de Hidalgo para fortalecer la permanencia escolar educación superior. En representación del gobernador Julio Menchaca, el secretario de Educación Natividad Castrejón Valdés entregó 1077 apoyos y destaca que Hidalgo es el segundo estado del país que más recursos propios destina a becas para universitarios. AUDIO DE APOYO</t>
  </si>
  <si>
    <t>En un operativo contra el robo de hidrocarburo, la Secretaría de Seguridad Pública de Hidalgo desmanteló un predio presuntamente utilizado para almacenar combustible ilícito en la comunidad de Doxey, municipio de Tlaxcoapan. La acción realizada en coordinación con la Procuraduría de Hidalgo, el Ejército y la Guardia Nacional permitió asegurar 747 litros de hidrocarburo, 13 contenedores, 75 metros de manguera de alta presión. A más de 99 dosis de presunta droga, entre marihuana y cristal. Durante el cateo también fueron localizados 7 vehículos con reporte de robo y alteraciones en sus medios de identificación. Todo lo asegurado quedó a disposición del Ministerio Público, que continuará con las investigaciones correspondientes</t>
  </si>
  <si>
    <t>En dos operativos distintos realizados en el municipio de Mineral de la Reforma, agentes de la Procuraduría General de Justicia de Hidalgo detuvieron a un hombre y a un adolescente. Su probable relación con delitos contra la salud. Las acciones se realizaron tras una denuncia anónima que alertó sobre la presunta venta de droga en el fraccionamiento La Colonia. Al hombre, identificado con las iniciales RFP, le aseguraron alrededor de cuatro kilogramos de marihuana, diversas dosis de presunto cristal, un arma de fuego calibre tres ochenta y otros objetos presuntamente vinculados con el narcomenudeo. En tanto, al adolescente le fueron decomisadas dosis de presunta cocaína y marihuana.</t>
  </si>
  <si>
    <t>AIC de la PGJEH detuvo en Mineral de la Reforma, a dos personas por narcomenudeo</t>
  </si>
  <si>
    <t>El Secretario de Seguridad Pública de Hidalgo, Salvador Cruz Neri, que de enero a mayo de este año se han registrado 40 delitos en el tramo del Arco Norte, 20 al transporte público y 20 a los particulares, por lo que solicitaron a las autoridades de dicha vía que pongan más cámaras de videovigilancia para conocer las rutas de los delitos. AUDIO DE APOYO</t>
  </si>
  <si>
    <t>El presidente municipal de Tula Cristhian Martínez, quien apoyo el regreso del Cruz Azul a sus raíces en Ciudad Cooperativa Cruz Azul para disputar la Copa Fundadores, AUDIO APOYO</t>
  </si>
  <si>
    <t>Cruz Azul</t>
  </si>
  <si>
    <t>El primer equipo de Cruz Azul regresó al estadio que lo vio nacer en Ciudad Cooperativa Cruz Azul en Tula, en el estadio Refundación, donde ganó la Copa Fundadores el pasado sábado, ganó su primer partido internacional contra el Comunicaciones FC. El gerente de la planta, de Cruz Azul en Hidalgo, Armando Vargas Álvarez, agradeció al gobernador Julio Menchaca Salazar, por las condiciones de seguridad y paz social que vive Ciudad Cooperativa Cruz Azul, AUDIO APOYO</t>
  </si>
  <si>
    <t>Fundadores se quedó en casa, Cruz Azul conquistó el título al golear 6 a 0 al comunicaciones de Guatemala en esta fundición de Ciudad Cooperativa Cruz Azul. Aquí en Tula de Allende la máquina dominó de principio a fin y celebró el campeonato ante su afición con un contundente victoria que confirmó su buen momento. Así es como lo escuchamos, el fútbol profesional regresó a Ciudad Cooperativa Cruz Azul después de muchos años de no hacerlo y qué bueno que el primer equipo de la máquina estuvo presente aquí en Tula de Allende donde cientos de aficionados disfrutaron este partido. Ya lo decíamos después de terminar la temporada y hace unos meses pues que pudiera el equipo del primer equipo de Cruz Azul visitar las instalaciones acá de Tula. Sin duda una experiencia grata, seguramente va a seguir teniendo actividades el primer equipo aquí en Hidalgo. Vamos a otros temas. AUDIO DE APOYO</t>
  </si>
  <si>
    <t>Comento conductor Rodlfo López : Qué importante es esta donación, es pues este acto de amor hay que decirlo sin interés porque en México apenas 12 personas de cada mil habitantes, 12 de cada mil habitantes donan sangre y sólo una lo hizo de forma altruista, entonces de estas 12 personas 11 pues digamos que están obligadas a ser porque tienen algún paciente, algún paciente en algún hospital de nuestro país y una de ellas de estas 12 pues lo hace de forma altruista como en estas caravanas, in esta unidad móvil que va a recorrer hospitales en Hidalgo. Ojalá que usted se dé la oportunidad, conozca primeramente cuáles son las condiciones para poder donar en esta unidad móvil o en los centros de donación y si es posible pues hacerlo porque sin duda falta mucho que aprender en la cultura de la donación de sangre.</t>
  </si>
  <si>
    <t>Donar sangre salva vidas. Unidad móvil recorrerá hospitales de Hidalgo. La información con Claudia Alcántara.La Secretaría de Salud de Hidalgo reforzó la campaña de donación altruista de sangre mediante una unidad móvil que recorrerá distintas regiones del estado para facilitar este servicio a la población. La Secretaría de Salud Vanesa Escalante Arroyo recordó que una sola donación puede salvar hasta tres vidas y es fundamental para atender emergencias médicas, cirugías, pacientes con cáncer, complicaciones obstétricas y personas que requieren transfusiones. La unidad móvil brindará servicio a partir de la mañana, el 13 de julio, en el Hospital del Altiplano, el 23 de julio en el Hospital de Huichapan y el 27 de julio en el Hospital Cinta Larga. AUDIOS DE APOYO</t>
  </si>
  <si>
    <t>Autoridades de la Secretaría de Turismo de Hidalgo y el Ayuntamiento presentaron la fiesta patronal de Santiago de Anaya 2026, que se llevará a cabo del 23 al 27 de julio en honor a Santiago Apóstol, donde el atractivo principal es el concurso de castillos en pirotecnia y el primer concurso piromusical. La presidenta municipal de Santiago de Anaya, Danai Ángeles, destacó que este tipo de eventos dan a conocer la riqueza gastronómica y cultural de ese municipio. Por su parte, el Comité de FEA informó que durante los festejos se llevará a cabo un concurso de juegos pirotécnicos. Finalmente, la directora de Protección Civil de Santiago de Anaya, Margarita López, señaló que aceptará con todas las medidas de seguridad. La directora de Protección Civil de Santiago de Anaya, Margarita López, señaló que aceptará con todas las medidas de seguridad. AUDIO DE APOYO</t>
  </si>
  <si>
    <t>Da lectura a una ficha de búsqueda para dar con el paradero de Magdalena Alvarado Hernández, una mujer de 79 años que fue vista por última vez en el municipio de Ajacuba, mujer mexicana que mide 1.50 metros, con complexión delgada y tez morena clara. Además, su cabello es lacio, cano y regular, así como con ojos cafés. La última vez que fue vista, la mujer llevaba un pantalón deportivo color gris, blusa color fiuccha y zapatos de color negro; sin embargo, no se describe alguna seña particular, si tiene alguna información llamar al 771 130 7436</t>
  </si>
  <si>
    <t>Ficha De Búsqueda</t>
  </si>
  <si>
    <t>Radioescucha reporta fuga de agua en calzada de Cuesco, ya hasta levanto el pavimento</t>
  </si>
  <si>
    <t>Más de 7 mil 500 estudiantes concluyen su formación en el CECyTEH, AUDIO APOYO</t>
  </si>
  <si>
    <t>Graduación</t>
  </si>
  <si>
    <t>Sector industrial de Hidalgo consolida su posición como el más dinámico de todo el país</t>
  </si>
  <si>
    <t>Sedeco</t>
  </si>
  <si>
    <t>Índice De Actividad Industrial</t>
  </si>
  <si>
    <t>Fortalece IHE el intercambio académico con docentes de Estados Unidos</t>
  </si>
  <si>
    <t>Intercambio académico</t>
  </si>
  <si>
    <t>Cuatro docentes del Distrito Escolar Legislo en Oregón, Estados Unidos, realizaron una estancia académica en Hidalgo como parte del programa binacional de educación migrante con el objetivo de fortalecer el intercambio de experiencias pedagógicas con maestras y maestros de educación preescolar. El secretario de Educación Pública de Hidalgo, Natividad Castrejón Valdés, informó que durante dos semanas las y los profesores desarrollaron actividades en la región de Tula de Allende, donde conocieron al sistema educativo mexicano y principios de la nueva escuela mexicana. Durante su visita participaron en observaciones de aula, compartieron estrategias de enseñanza y buenas prácticas educativas, fortaleciendo la colaboración académica entre Hidalgo y Estados Unidos en favor de una educación incluyente y de calidad.</t>
  </si>
  <si>
    <t>Un hombre fue localizado sin vida la mañana del sábado a un costado de la autopista Arco Norte, en el tramo correspondiente al municipio de Atitalaquia. De acuerdo con la Guardia Nacional, el hallazgo ocurrió a la altura del kilómetro ochenta y seis, luego de que automovilistas reportaron la presencia de una persona aparentemente lesionada. Al arribar al sitio, elementos de seguridad y cuerpos de emergencia confirmaron que la víctima ya no contaba con signos vitales. El cuerpo presentaba huellas de violencia y al menos diez impactos de arma de fuego calibre nueve milímetros</t>
  </si>
  <si>
    <t>Radioescucha pide apoyo para luminarias en Avenida el Palmar en la esquina de la casa de la 3era edad</t>
  </si>
  <si>
    <t>Luminarias</t>
  </si>
  <si>
    <t>Asociaciones protectoras de animales hicieron un llamado al Gobierno Municipal de Nopala de Villagrán y a la Procuraduría General de Justicia del Estado de Hidalgo (PGJEH) para que se investigue y sancione un presunto caso de maltrato animal ocurrido en la entrada de la comunidad de Jagüey.De acuerdo con una denuncia ciudadana, un perrito habría sido arrastrado por una motocicleta, hecho que ha causado indignación entre habitantes y defensores de los animales.</t>
  </si>
  <si>
    <t>También hoy en la mañanera de Hidalgo, el titular de la Unidad de Planeación y Prospectiva, Miguel Ángel Tello Vargas, habló sobre las acciones que lleva a cabo el Gobierno de Hidalgo para evitar afectaciones por el fenómeno meteorológico “El Niño”.AUDIO APOYO</t>
  </si>
  <si>
    <t>Durante la conferencia de prensa del día de hoy, el Oficial Mayor Orlando Ángeles habló de la recuperación de más de 386 inmuebles. , AUDIO APOYO</t>
  </si>
  <si>
    <t>Oficialía Mayor</t>
  </si>
  <si>
    <t>El secretario de Educación Pública de Hidalgo, Naty Castrejón, estuvo hoy en la mañanera de Hidalgo, compartió información de las alumnas y alumnos que finalizaron su ciclo escolar: “Porque cada paso que damos en educación es también un paso para el Hidalgo que todas y todos queremos y soñamos”. AUDIO APOYO</t>
  </si>
  <si>
    <t>Julio Menchaca entrega Presea al Mérito Jurídico a la primera notaria de Hidalgo, AUDIO APOYO</t>
  </si>
  <si>
    <t>En otros temas, mayoridades de los tres órdenes de gobierno presentaron avances en la atención de las solicitudes ciudadanas durante la sesión de respuestas de la mesa de acercamiento para el bienestar y la paz de la zona metropolitana, que comprende a Pachuca, Mineral de la Reforma y Zempoala. El secretario de gobierno Guillermo Olivares Reina afirmó que por instrucción del gobernador Julio Menchaca, estas reuniones buscan no sólo escuchar a la población, sino dar seguimiento y ofrecer soluciones concretas a sus demandas. Durante la sesión se informaron acciones en materia de seguridad, movilidad, infraestructura, servicios públicos y prevención de la violencia contra las mujeres. Además, habitantes reconocieron avances en colonias como Prado San Cristóbal, donde señalaron que tras años de gestiones finalmente comenzaron a obtener respuestas a sus principales necesidades.</t>
  </si>
  <si>
    <t>Mesas de acercamiento</t>
  </si>
  <si>
    <t>Los primeros rayos del sol sobre los atlantes de la zona arqueológica de Tula pudieron disfrutarse a través de la experiencia de amaneceres toltecas. Este es un recorrido que combina arqueología, astronomía y naturaleza. La Secretaría de Turismo de Hidalgo, a cargo de Elizabeth Quintanar Gómez, informó que Tula es una de las tres zonas arqueológicas del país que tienen este programa. Gracias a este programa que ha despertado el interés de visitantes nacionales e internacionales y permite difundir el patrimonio histórico y los trabajos de excavación del sitio. AUDIO DE APOYO</t>
  </si>
  <si>
    <t>Mundial De Futbol</t>
  </si>
  <si>
    <t>Ante los pronósticos de una mayor actividad ciclónica y una prolongación de la temporada de lluvias como consecuencia del fenómeno de El Niño, Protección Civil Estatal mantiene una estrategia permanente de prevención, capacitación y coordinación institucional para salvaguardar a las familias de todas las regiones de la entidad. El Subsecretario de Protección Civil y Gestión de Riesgos, Román Bernal Díaz, informó que como parte de esta estrategia, la dependencia realiza capacitaciones en los municipios para que las autoridades locales, delegados y habitantes identifiquen los riesgos propios de sus comunidades, conozcan los protocolos de actuación y fortalezcan las brigadas comunitarias de protección civil encargadas de activar los procedimientos de alertamiento y evacuación cuando las condiciones lo requieran.</t>
  </si>
  <si>
    <t>El juicio por el presunto triple feminicidio ocurrido en la localidad de San Isidro, en el municipio de Santiago Tulantepec en 2024, entró en una etapa decisiva luego de que el tribunal resolviera excluir tres testimonios considerados clave para el caso.En más reciente audiencia, los jueces determinaron en unanimidad desistir del testimonio de Mónica Sepúlveda, madre de una de las víctimas, debido a que no ha mantenido comunicación con las autoridades ni con su defensa legal y tampoco ha asistido a las audiencias, aun cuando contaba con autorización para participar de manera remota desde Tijuana.La defensa de las víctimas solicitó un nuevo aplazamiento con el objetivo de intentar localizarla nuevamente; sin embargo, el tribunal rechazó la petición y ordenó retirar su declaración del conjunto de pruebas que serán valoradas para dictar sentencia.</t>
  </si>
  <si>
    <t>TSJEH</t>
  </si>
  <si>
    <t>Proceso Por Feminicidio</t>
  </si>
  <si>
    <t>Hablemos de el tren AIFA a Pachuca, de este tren que va a ir desde el aeropuerto internacional Felipe Ángeles a la capital hidalguense. Ya registró un avance del 36 por ciento en su construcción y entró en la etapa de preparación para el tendido de vías. Formó la presidenta Claudia Sheinbaum Pardo durante un recorrido de supervisión de la obra. Vamos recorriendo el trazo del tren Felipe Ángeles, ya es la plataforma de terraplén donde va a ir la vía, de el tren aeropuerto internacional Felipe Ángeles a Pachuca, que son 58 kilómetros y ya va el 36 por ciento de avance. Son viaductos de 10 kilómetros en segundo piso y 47 de terraplén. Bueno, este proyecto se pretende que se finalice hasta el 2027. AUDIO DE APOYO</t>
  </si>
  <si>
    <t>Los verificentros de Hidalgo podrán ser sancionados con multas de hasta 2 millones 346 mil pesos si permiten o facilitan prácticas irregulares durante la verificación vehicular.</t>
  </si>
  <si>
    <t>Verificación vehicular</t>
  </si>
  <si>
    <t>Radioescucha reporta que se necesita bacheo en Fraccionamiento Villas del Álamo, las vialidades estan en muy mal estado</t>
  </si>
  <si>
    <t>Radioescucha pide arreglar la entrada de la calle Leona Vicario en Santa Julia</t>
  </si>
  <si>
    <t>El conductor de un vehículo de carga resultó ileso luego de que la unidad que manejaba volcara la mañana de este martes sobre el libramiento Pitula-San Alejo, a la altura del kilómetro 95 de la autopista México-Tuxpan. De acuerdo con los primeros reportes, el automotor transportaba botes con pintura y loseta cuando salió de la carpeta de rodamiento y terminó volcado fuera de la vialidad, con daños materiales considerables. Elementos de la Guardia Nacional, estación Tulancingo, arribaron al sitio para tomar conocimiento del hecho de tránsito y realizar labores de abanderamiento, con el objetivo de evitar otro accidente mientras se efectuaban las maniobras correspondientes.</t>
  </si>
  <si>
    <t>Accidente Carretero</t>
  </si>
  <si>
    <t>El clima en México registrará cambios drásticos en las próximas horas. La combinación del Monzón Mexicano, la onda tropical número 19 y el desarrollo de un posible ciclón tropical en el Pacífico -que llevaría el nombre de Elida- provocarán un temporal de chubascos, lluvias fuertes a muy fuertes y tormentas eléctricas en la mayor parte del territorio nacional. De acuerdo con el Servicio Meteorológico Nacional (SMN), estas condiciones meteorológicas también traerán la posible caída de granizo en el noroeste y occidente, aunque el ambiente caluroso a muy caluroso persistirá en el norte del país.</t>
  </si>
  <si>
    <t>Locutor Irving Sánchez da lectura a comentario de radioescucha que reporta a un chofer de la ruta azul en Tulancingo, dice, es un chofer joven que la trató mal y que no le hizo válido el descuento para adultos mayores; locutores proporcionan número de teléfono de la Semot para que pueda realizar el reporte.</t>
  </si>
  <si>
    <t>Queja transporte público</t>
  </si>
  <si>
    <t>Regidores del municipio de Cardonal emitieron un pronunciamiento público en el que acusan presuntas irregularidades en el proceso de aprobación del nuevo Bando de Policía y Gobierno, al considerar que se vulneró el procedimiento legal y democrático establecido en la Ley Orgánica Municipal del Estado de Hidalgo. El documento, firmado por los ediles Diana Laura Poblete Acosta, Gabriela Tejamanil Peña, Pascuala Cornejo Cardón, Lucero Ambrocio Cruz, Elsa Lara Pedraza y el regidor Lorenzo del Rello Ángeles, señala que la administración municipal, en coordinación con dos integrantes del cabildo, habría aprobado el proyecto únicamente en la Comisión Permanente de Gobernación, sin que este fuera sometido previamente a discusión y votación del pleno de la asamblea municipal. De acuerdo con el comunicado, el proyecto fue turnado directamente al presidente de la comisión sin ingresar por Oficialía de Partes ni ser presentado inicialmente ante los regidores y demás integrantes de la asamblea. Asimismo, afirmaron que el análisis del documento se realizó el mismo día en que fue entregado a los integrantes de la comisión, lo que, aseguran, impidió una revisión exhaustiva de su contenido. Los inconformes también criticaron que el dictamen fuera presentado el 10 de julio durante un evento organizado por el Gobierno del Estado, denominado "Fortalecimiento de la normatividad municipal 'Publicación de Bandos de Policía y Gobierno'", antes de que el proyecto fuera discutido en sesión de cabildo, situación que calificaron como un "albazo" y una imposición. Por lo anterior sostienen que este procedimiento "carece de legitimidad democrática", al considerar que el Bando de Policía y Gobierno debe ser producto del consenso entre los integrantes del ayuntamiento y de un proceso de consulta con la ciudadanía y las comunidades indígenas del municipio. Por ello, exigieron que el dictamen sea devuelto y turnado formalmente al pleno para su análisis, debate y eventual aprobación conforme a derecho. Además, hicieron un llamado a las autoridades competentes para revisar el procedimiento y garantizar el respeto a la autonomía municipal y a la legalidad. Hasta el momento, el gobierno municipal de Cardonal no ha emitido un posicionamiento público respecto a las acusaciones formuladas por los integrantes de la asamblea.</t>
  </si>
  <si>
    <t>Durante este fin de semana se acumularon tres casos de presunto maltrato animal en municipios de la región. Las situaciones provocaron la indignación de la ciudadanía y el pronunciamiento de organizaciones protectoras de animales, las cuales exigen investigaciones y sanciones conforme a la ley. El primero de los casos ocurrió el viernes 10 de julio en el municipio de Tasquillo. A través de redes sociales se difundieron imágenes de dos asnos que presuntamente fueron arrastrados por una camioneta, ocasionándoles diversas lesiones. Tras la denuncia pública, personal de la Unidad Especializada de Protección a los Animales brindó atención a los ejemplares. La autoridad confirmó que ambos presentan heridas de consideración en distintas partes del cuerpo y actualmente reciben atención veterinaria. Un día después, la asociación Bien Animal denunció un hecho registrado en la ceremonia de clausura de una escuela primaria de la comunidad de El Tephe, en el municipio de Ixmiquilpan. En el plantel se realizó una representación de una pelea de gallos como parte de un baile infantil. La organización cuestionó el uso de fauna y señaló que este tipo de actos promueven la normalización de la violencia, por lo que hizo un llamado a las autoridades educativas para fortalecer la formación en valores de respeto y bienestar animal. A estos casos se sumó el ocurrido este domingo en la comunidad de Jagüey, municipio de Nopala de Villagrán. Usuarios de redes sociales difundieron un video en el que presuntamente un hombre arrastraba a un perro sobre el pavimento desde una motocicleta. El hecho generó la reacción del colectivo La Jauría de Balú, que exigió la intervención de las autoridades municipales y de la Unidad Especializada en Delitos contra los Animales de la Procuraduría General de Justicia del Estado de Hidalgo (PGJEH). La organización protectora señaló que ya existe una denuncia por estos hechos y solicitó formalmente identificar y sancionar al responsable. Las organizaciones reiteraron el llamado a la población para continuar con la denuncia ciudadana de cualquier caso de maltrato animal.</t>
  </si>
  <si>
    <t>Durante la conferencia mañanera de la presidenta Claudia Sheinbaum, la titular del Secretariado Ejecutivo del Sistema Nacional de Seguridad Pública, Marcela Figueroa dio a conocer que el delito de homicidio doloso disminuyó en un 40 por ciento a nivel nacional. El Estado de Hidalgo ha venido también a la baja en estos delitos, la estrategia en el Estado de Hidalgo está funcionando y esto, por su puesto, arroja que todos nos sentiremos mucho más seguros.</t>
  </si>
  <si>
    <t>Estrategia de seguridad</t>
  </si>
  <si>
    <t>Oficialía Mayor recupera y moderniza espacios públicos para brindar mejores servicios a las y los hidalguenses</t>
  </si>
  <si>
    <t>Garantizan educación a pacientes del Hospital del Niño DIFH durante sus tratamientos médicos.(AUDIO EVR)</t>
  </si>
  <si>
    <t>DIFH</t>
  </si>
  <si>
    <t>Sigapren</t>
  </si>
  <si>
    <t>ITESA amplía su oferta educativa con tres ingenierías en línea</t>
  </si>
  <si>
    <t>Oferta educativa</t>
  </si>
  <si>
    <t>Sebiso y Fonart buscan perfeccionar técnicas artesanales</t>
  </si>
  <si>
    <t>Capacitación a artesanos</t>
  </si>
  <si>
    <t>Julio Menchaca enaltece labor de combatientes de incendios forestales. (AUDIO JMS)</t>
  </si>
  <si>
    <t>Combatiente forestal</t>
  </si>
  <si>
    <t>Gabinete de Seguridad de Hidalgo despliega operativo por vacaciones de verano</t>
  </si>
  <si>
    <t>Reunión Gabinete De Seguridad</t>
  </si>
  <si>
    <t>Entrevista vía telefónica Carlos Durán Marmolejo, consejero electoral del IEEH - Habló sobre los partidos políticos, defendiéndoles como instituciones de interés público diseñados para poder canalizar las distintas voces o preferencias políticas de la sociedad, recordando, que en México se ha apostado por un sistema pluralista, en ese sentido, dijo, que a nivel nacional se crearon dos nuevos partidos políticos: Somos México y PAZ, por lo que, el INE redistribuye el recurso entre los ocho partidos políticos existentes, lo mismo, se realiza a nivel local. Informó que estas nuevas fuerzas políticas tendrán derecho a participar en el siguiente proceso electoral, destacando que, al ser partidos de reciente creación, tendrán que participar solos, es decir, sin ninguna coalición, además, tendrán que recibir el tres por ciento de la votación para poder mantener su registro.</t>
  </si>
  <si>
    <t>IEEH</t>
  </si>
  <si>
    <t>Registro partidos</t>
  </si>
  <si>
    <t>En su colaboración matutina, David Cárdenas informó que, durante la conferencia mañanera de la presidenta Claudia Sheinbaum se dio a conocer que el delito de homicidio doloso disminuyó en un 40 por ciento a nivel nacional, lo que es notorio que las estregias están funcionando y destaca lo que ha mencionado el gobernador Julio Menchaca, “No estamos hablando de cifras, estamos hablando de personas que se han salvado”, personas que, a través de las estrategias de seguridad, se va recuperando poco a poco pero de manera consistente y señala como ejemplo Hidalgo, que de manera diaria se informa a la ciudadanía sobre la detención de personas, sobre la contención de narcomenudeo, del huachicol y de todos los delitos que están siendo contenidos por parte de la autoridad.</t>
  </si>
  <si>
    <t>Entrevista en cabina Claudia Ávila Arteaga, responsable de Diseño Instruccional y Karina Ángeles Cruz, responsable se Seguimiento Académico de la UNIDEH: Hablaron sobre los logros que ha obtenido la UNIDEH a lo largo de nueves años de su creación, destacando, el poder llevar la educación a diferentes lugares del Estado alcanzando una cobertura en 64 de 84 municipios, así como en 18 Estados de la república. Destacaron la ampliación de programas educativos, iniciando con tres licenciaturas y una maestría, actualmente, se ofertan dos maestrías y un doctorado de reciente estreno. Hasta el momento, se cuenta con una matrícula de 630 alumnos en los distintos programas educativos, egresando 545 personas. Entre los principales retos, destacaron, un programa traducido completamente en Legua de Señas Mexicana para la comunidad sorda, indicó, que está por concluir la primera generación de dicho programa y para esta nueva convocatoria se abrirá nuevamente ese espacio, con el objetivo de seguir generando espacios educativos con inclusión.</t>
  </si>
  <si>
    <t>Universidad Digital</t>
  </si>
  <si>
    <t>Garantizan educación a pacientes del Hospital del Niño DIFH durante sus tratamientos médicos.</t>
  </si>
  <si>
    <t>Gabinete de Seguridad de Hidalgo despliega operativo por vacaciones de verano.</t>
  </si>
  <si>
    <t>Un tráiler invadió el carril confinado del Sistema de Transporte Metropolitano, lo que provocó un corte de circulación a la unidad de servicio Parador T-05 con número económico 12 mientras ésta circulaba sobre el carril confinado, a la altura de la estación Cuna del Fútbol en sentido norte.</t>
  </si>
  <si>
    <t>TV Cable hidalguense Canal 6</t>
  </si>
  <si>
    <t>Contigo Noticias</t>
  </si>
  <si>
    <t>El presidente municipal de Mineral del Monte, Edmundo Tejeda, se refirió a las acciones de seguridad en este pueblo mágico del estado. "No pues es un gran paso aquí gracias a al gobernador que está preocupado por todos los entes de gobierno aquí municipales y bueno pues con la venia de él, con el acompañamiento de pues de todo el equipo de trabajo, de la Secretaría de Gobierno, pues estamos sacando avance esta actualización de nuestro bando de policía y gobierno, que desgraciadamente ya tenía muchos años que no se actualizaba, ahorita pues ya decidimos por este trabajo en coordinación como lo dijeron hace rato con los 3 entes de gobierno y pues bueno, nosotros decidimos apostarle por una renovación y una adaptación a pues a las nuevas gobernanzas aquí a nuestro municipio."</t>
  </si>
  <si>
    <t>Para la cámara y micrófono de Canal CS de TV cable hidalguense, el secretario de gobierno, Guillermo Olivares Reina, abundó en la relevancia que tiene el bando de policía y gobierno. “Pues es un documento jurídico muy valioso que da lugar a un ordenamiento en lo que es la demarcación municipal que induce a la ciudadanía a sumarse a este sentimiento de orden, de sentirse parte de un lugar donde priva la paz, donde todo mundo es cordial, convive armónicamente. Eso es lo que produce como efecto fundamental un bando de policía y gobierno y en muchos casos antes de la llegada del señor gobernador de Julio Menchaca Salazar, apuntó”.</t>
  </si>
  <si>
    <t>Hidalgo fortalece su marco jurídico municipal con la actualización y publicación de los bandos de policía y gobierno a 77 municipios del estado de Hidalgo. El proceso inició con capacitaciones dirigidas a las autoridades locales para armonizar estos ordenamientos y garantizar la protección de los derechos fundamentales. Desde el poder judicial se destacó que los bandos constituyen el primer vínculo normativo entre la autoridad y la ciudadanía, además de ser una herramienta clave para brindar certeza jurídica y fortalecer la confianza social, para eso fortalecer. El Secretario de Gobierno, Guillermo Olivares Reina, reconoció el trabajo coordinado entre los 3 poderes del Estado y señaló que la mayoría de los municipios hidalguenses ya cuenta con este ordenamiento jurídico.</t>
  </si>
  <si>
    <t>Desde el Centro Administrativo de Bienestar y Desarrollo Rural se llevó a cabo este lunes una nueva edición de la conferencia semanal del gobierno de Hidalgo. Durante este encuentro, autoridades estatales dieron a conocer información relacionada con temas de interés para la población, entre ellos, acciones en materia de educación, sanidad agropecuaria, administración pública y fenómenos climáticos que podrían impactar a la entidad. Por su parte, el oficial mayor de Hidalgo, Orlando Ángeles Pérez, destacó las acciones para la recuperación de inmuebles del Estado, una estrategia que señaló, ha permitido fortalecer el patrimonio público y generar importantes ahorros para la administración estatal. En materia de salud el comisionado para la protección contra riesgos sanitarios Luis Alberto Mercado presentó una actualización sobre la vigilancia del gusano barrenador en la entidad e informó el panorama actual de los casos registrados. A través de una intervención vía remota, el Subsecretario de Protección Civil y Gestión de Riesgos de Hidalgo, Román Bernal Díaz, explicó el fenómeno de “El Niño”, presentó el panorama climatológico previsto para los próximos días y compartió una serie de recomendaciones preventivas para la población.</t>
  </si>
  <si>
    <t>Este lunes, integrantes de la Red de Madres Buscando a sus Hijos iniciaron una marcha sobre el acotamiento de la carretera México–Pachuca, con destino a las oficinas de la Procuraduría General de Justicia del Estado de Hidalgo (PGJEH). En la movilización participan alrededor de 12 integrantes del colectivo, encabezadas por Consuelo Elizalde Gutiérrez, quienes avanzan con mantas, cartulinas y consignas para exigir avances en la búsqueda y localización de personas desaparecidas. Autoridades mantienen acompañamiento y vigilancia durante el recorrido para proteger a las manifestantes y prevenir riesgos para los automovilistas. Hasta el momento, la marcha transcurre de manera pacífica y sin incidentes relevantes.</t>
  </si>
  <si>
    <t>Un video que comenzó a circular este domingo ha desatado indignación entre la población, luego de que presuntamente se observa a un hombre desplazándose sobre la carretera de El Jagüey mientras un perro era arrastrado. Las imágenes provocaron una fuerte reacción en redes sociales, donde ciudadanos y asociaciones defensoras de los animales exigen que las autoridades identifiquen a la persona involucrada y actúen conforme a la ley, en caso de confirmarse un acto de maltrato animal. Hasta el momento no existe información oficial sobre el estado de salud del perro ni sobre la identidad del hombre que aparece en la grabación. El caso ha generado llamados para que la denuncia no quede únicamente en redes sociales y se lleve a cabo una investigación que permita esclarecer lo ocurrido y, en su caso, sancionar al responsable.</t>
  </si>
  <si>
    <t>La noche de este sábado, dos personas resultaron lesionadas al impactar su vehículo contra un letrero vial en San Agustín Tlaxiaca. Dicho percance se presentó en la carretera Pachuca-Actopan, a la altura de Tornacuxtla, dónde un vehículo impactó contra el letrero vial el cual derrumbaron. Por dicho echo y una mujer de nombre resultaron lesionados, por lo que fueron trasladados al hospital para su atención médica por elemento se seguridad.</t>
  </si>
  <si>
    <t>Auxilio a la ciudadanía</t>
  </si>
  <si>
    <t>La presidenta del Patronato del Sistema DIF Hidalgo, Edda Vite Ramos, habló con medios de comunicación, entre otros temas, acerca de las inversiones destinadas al Hospital del Niño DIFH.</t>
  </si>
  <si>
    <t>Hospital del Niño</t>
  </si>
  <si>
    <t>Hoy lunes 13 de julio a las 11 horas, en el auditorio del hospital del niño DIF Hidalgo se llevó a cabo la ceremonia de graduación de las y los alumnos pacientes de los servicios de oncología y nefrología. Como parte del programa Sigamos aprendiendo en el hospital, generación licenciada Edda Vite Ramos 2025 2026, iniciativa impulsada por el sistema DIF Hidalgo para garantizar la continuidad educativa de niñas, niños y adolescentes durante su tratamiento médico. La ceremonia fue encabezada por Edda Vite Ramos, presidenta del patronado del Sistema DIF Hidalgo y Ricardo Enrique Alvizo Contreras, titular del Sistema DIF Hidalgo, quienes acompañaron a las y los estudiantes en este significativo logro académico resultado de su esfuerzo, constancia y resiliencia. El director del Hospital del Niño DIF Hidalgo, César Gutiérrez Chávez, dio la bienvenida a las y los asistentes y agradeció el compromiso del personal médico, docente y administrativo que hace posible que este programa continúe brindando oportunidades.</t>
  </si>
  <si>
    <t>El mandatario también fue cuestionado sobre la inconformidad expresada por habitantes y ambientalistas ante la construcción de fraccionamientos en las inmediaciones del Bosque de Cubitos, así como sobre una presunta modificación al decreto de protección de esta área natural. La Secretaría de Medio Ambiente y Recursos Naturales de Hidalgo (Semarnath), reiteró su postura en contra de cualquier desarrollo habitacional en el Cerro de Cubitos y aseguró que continuará emitiendo opiniones técnicas para preservar la vocación ambiental de la zona, aunque la determinación final sobre el ordenamiento ecológico corresponderá a las autoridades federales. La titular de la dependencia, Mónica Patricia Mixtega Trejo, explicó que el ordenamiento ecológico estatal mantiene al polígono como la Unidad de Gestión Ambiental (UGA) 702 de conservación. Sin embargo, señaló que el municipio de Mineral de la Reforma desarrolla actualmente su propio ordenamiento territorial, en el que esa unidad fue dividida en cuatro, contemplando la UGA 107 como un área susceptible para desarrollo urbano. Por su parte, el gobernador de Hidalgo, Julio Menchaca Salazar, hizo un llamado a privilegiar la protección del medio ambiente al señalar que la zona metropolitana de Pachuca dispone de pocos espacios naturales y que el crecimiento urbano no debe realizarse a costa de las áreas verdes.</t>
  </si>
  <si>
    <t>Proyecto de urbanización</t>
  </si>
  <si>
    <t>El gobernador abordó el tema de los accidentes viales en Hidalgo, además fue cuestionado sobre la posibilidad de implementar en la entidad un esquema similar al de la Ciudad de México para el emplacamiento de motocicletas, bicicletas y patines eléctricos, tema sobre el que fijó su postura. "En donde no abarca la licencia de conducir vehículos, este tipo de motos o de biciclos con este con motor, yo apelo y sigo convocando a la ciudadanía. Vamos a hacer lo que nos corresponde como estado en las políticas públicas, que incluyen también ser más estricto en la expedición de las licencias. Pero también es muy importante estar trabajando en la educación vial y en la conciencia cada que se conduce un vehículo nadie".</t>
  </si>
  <si>
    <t>Emplacamiento</t>
  </si>
  <si>
    <t>En entrevista, el gobernador Julio Menchaca Salazar habló sobre la reventa de boletos para el palenque de la feria de San Francisco Hidalgo 2026. Indicó que buscará dialogar con los responsables del tema para revisar la situación y conocer qué se puede hacer al respecto. "Desafortunadamente es una práctica que además se combate o debe de combatirse enérgicamente, pero además también la auspicia el que haya quien compre en la reventa, dijo".</t>
  </si>
  <si>
    <t>Palenque Feria Pachuca</t>
  </si>
  <si>
    <t>Sin duda una loable labor y cabe recordar, lo comentamos en su momento, que, en una conferencia matutina semanal, las y los representantes de los medios de comunicación aplaudimos cuando presentaron a los combatientes de incendios forestales y destacó el coordinador de comunicación, Edmundo Pineda, que no es común que los representantes de medios de comunicación aplaudan en un en una conferencia, por supuesto, o en un acto político, incluso cuando se da alguna información. Sin embargo, este reconocimiento es de medios de comunicación de la sociedad en su conjunto hacia la loable labor que realizan las y los combatientes de incendios forestales. Muchísimas gracias por su trabajo.</t>
  </si>
  <si>
    <t>Con un reconocimiento a la labor de las Brigadas Forestales, este lunes se conmemoró el Día Nacional del Combatiente de Incendios Forestales. En el evento encabezado por el gobernador Julio Menchaca Salazar, se resaltó el trabajo que realizan quienes participan en la prevención y combate de incendios para proteger los recursos naturales de Hidalgo. En el marco de esta conmemoración, el subsecretario de Protección Civil y Gestión de Riesgos, Román Bernal Díaz, destacó la labor que realizan las y los combatientes de incendios forestales, quienes enfrentan condiciones complejas para proteger los ecosistemas y reducir los riesgos para la población. Posteriormente, el Gobernador Julio Menchaca Salazar encabezó la entrega de reconocimientos a las brigadas e instituciones que participaron en las labores de prevención, control y combate de incendios forestales durante la presente temporada, integrantes de corporaciones estatales y municipales recibieron este distintivo por su compromiso, trabajo coordinado y dedicación para proteger los bosques y áreas naturales de Hidalgo. Como parte del acto protocolario, las y los combatientes. Fueron llamados uno a uno para recibir este reconocimiento, en un homenaje a la labor que desempeñan para salvaguardar el patrimonio ambiental de la entidad. Por su parte, la Secretaría de Medio Ambiente y Recursos Naturales de Hidalgo, Mónica Patricia Mixtega Trejo, reconoció el compromiso de las y los combatientes de incendios forestales, al destacar que su labor contribuye a la conservación de los recursos naturales, la protección de los ecosistemas y el cuidado del patrimonio ambiental de la entidad.</t>
  </si>
  <si>
    <t>Ultra 102.9 FM</t>
  </si>
  <si>
    <t>Ultra Noticias1</t>
  </si>
  <si>
    <t>Daniel Martínez</t>
  </si>
  <si>
    <t>Una empleada de la Secretaría de Educación Pública de Hidalgo (SEPH) perdió la vida la mañana de este lunes en las oficinas centrales de la dependencia, ubicadas en Pachuca, luego de presentar una complicación de salud al inicio de su jornada laboral. El secretario de Educación Pública, Natividad Castrejón Valdez, informó que la trabajadora fue identificada como Leonor García Moreno, de 66 años, quien laboraba como auxiliar administrativa en el área de conmutador de la Dirección General de Recursos Materiales. El funcionario explicó que este era el primer día en que la empleada regresaba a sus actividades, después de permanecer dos meses con incapacidad médica derivada de un padecimiento pulmonar. Poco tiempo después de ingresar a las instalaciones comenzó a sentirse mal, por lo que personal de la dependencia solicitó el apoyo de los cuerpos de emergencia. Paramédicos del Cuerpo de Bomberos acudieron al inmueble para brindarle atención prehospitalaria e intentaron reanimarla; sin embargo, a las 7:50 horas se confirmó su fallecimiento. De acuerdo con la información proporcionada por el titular de la SEPH, la causa probable del deceso fue un infarto agudo al miocardio. Castrejón Valdez expresó sus condolencias a los familiares de la trabajadora y aseguró que la dependencia les brindará el respaldo y acompañamiento institucional correspondiente.</t>
  </si>
  <si>
    <t>Muerte de empleado</t>
  </si>
  <si>
    <t>En cabina Guadalupe Rodríguez Uribe, titular de la Secretaría de Cultura, Educación, Deporte y Juventud de Tulancingo y organizadores de la Feria de Los Angelitos dan a conocer el programa de actividades de esta feria e invitan a la población a asistir.</t>
  </si>
  <si>
    <t>Garantizan educación a pacientes del Hospital del Niño DIFH durante sus tratamientos médicos</t>
  </si>
  <si>
    <t>Sanitarios, regaderas, higiene en el área de albercas y la calidad del agua, son parte de las revisiones que hace la Copriseh durante las visitas de inspección a destinos turísticos como balnearios, antes y durante la temporada vacacional de verano, indicó el titular Luis Alberto Mercado Hernández. El funcionario estatal adelantó que próximamente entregarán distintivos sanitarios a alrededor de 20 espacios con alberca, los cuales previamente fueron inspeccionados y capacitados por parte de la Comisión para la Protección contra Riesgos Sanitarios de Hidalgo (Copriseh). Recordó que desde antes que iniciara el Mundial de Futbol 2026 realizaron actividades de capacitación para prestadores de servicios en los Pueblos Mágicos y en el corredor de balnearios, que son de las rutas más importantes que atraen visitantes al estado. Además, mencionó que en la pasada Semana Santa entregaron 20 reconocimientos a balnearios que cumplieron con los estándares requeridos para otorgarles el distintivo sanitario como establecimientos seguros que cuenten con alberca; y en próximos días darán otro número similar ante las vacaciones de verano. “Se están terminando las actividades de evaluación para entregar a otros establecimientos que cuenten con la alberca, que presten este servicio y las personas puedan disfrutar de vacaciones seguras y en espacios que reúnen las condiciones adecuadas”, refirió.</t>
  </si>
  <si>
    <t>Vigilancia Sanitaria</t>
  </si>
  <si>
    <t>En lo que va del año, la Comisión para la Protección contra Riesgos Sanitarios del Estado de Hidalgo (Copriseh) ha realizado diversas supervisiones sanitarias, derivando en la suspensión temporal de alrededor de 150 establecimientos que presentaban condiciones de riesgo para la salud de los consumidores. Luis Alberto Mercado Hernández, comisionado para la Protección contra Riesgos Sanitarios del Estado, detalló que en los 84 municipios de Hidalgo se llevan a cabo inspecciones de manera coordinada con las áreas municipales de Reglamentos, Comercio y Abasto, para vigilancia sanitaria del agua para consumo humano, así como los procedimientos y establecimientos dedicados a la preparación y venta de alimentos. Compartió que entre las principales acciones realizadas en lo que va del año se encuentra los 16 mil monitoreos de cloro libre residual para verificar la potabilidad del agua, así como 645 muestras bacteriológicas destinadas a confirmar su calidad sanitaria. “En materia de alimentos, la Copriseh efectuó mil 686 visitas de verificación sanitaria a establecimientos donde se elaboran productos de consumo inmediato. Como parte de esas inspecciones se obtuvieron mil 146 muestras de alimentos, además de impartirse 226 capacitaciones dirigidas principalmente a manejadores de alimentos y prestadores de servicios sobre buenas prácticas de higiene y elaboración”. Respecto a los resultados de las muestras analizadas, el comisionado indicó que aproximadamente el 80 por ciento cumple con la normatividad sanitaria, es decir, cerca de 900 muestras se encontraron dentro de los parámetros permitidos. Sin embargo, alrededor del 20 por ciento presentó algún tipo de contaminación, lo que evidencia deficiencias en los procesos de preparación, manejo o conservación de los alimentos.</t>
  </si>
  <si>
    <t>Supervisión sanitaria</t>
  </si>
  <si>
    <t>En lo que va del presente año, se han localizado y cerrado más de 40 entradas irregulares a la autopista Arco Norte, las cuales podrían ser utilizadas para la comisión de delitos en dicha vialidad interestatal. La información fue ofrecida durante la reciente mesa de trabajo interestatal entre autoridades de seguridad pública y representante de la empresa concesionaria de la autopista. Los más recientes hallazgos y cierre de accesos irregulares, se reportan el pasado 8 de julio a la altura del municipio de Villa de Tezontepec, así como en la región Tulancingo. En dichos sitios, se hizo una zanja y se repuso el alambre de púas, además de colocar vigilancia para evitar que se intenten abrir nuevamente accesos irregulares. El director de operaciones del concesionario de la vialidad Santiago Córdova García reconoció que no se sabe con exactitud cuántas entradas irregulares faltan por cerrar. Justificó que es una cifra dinámica, ya que los responsables las abren por horarios o en momentos de descuido de autoridades. Durante la mesa de trabajo interestatal entre autoridades de cinco estados con la concesionaria del Arco Norte, se informó que se han realizado 97 operativos de revisión el último mes a 2 mil 604 vehículos, de los cuales seis fueron recuperados como robados. Se señaló durante la reunión que continuarán las acciones de vigilancia para prevenir y en caso necesario, atender reportes de delitos en la vialidad. Por lo que nuevamente se exhortó a la colaboración entre las autoridades de los cinco estados del país por donde cruza la autopista Arco Norte, así como a la propia concesionaria de la vialidad.</t>
  </si>
  <si>
    <t>La Dirección de Medio Ambiente de Tulancingo ha atendido 117 denuncias por presunto maltrato animal en lo que va de 2026, con corte al 8 de julio. Los reportes han sido recibidos directamente en la dependencia, a través del número de denuncia anónima 089 y mediante canalizaciones realizadas por el Ministerio Público, como parte de la coordinación institucional para la protección y el bienestar de los animales. Las denuncias más recurrentes corresponden a casos de abandono, hacinamiento, animales mantenidos en condiciones insalubres, falta de alimento y agua, exposición permanente a la intemperie y ausencia de un espacio adecuado para su resguardo; incluso, la reproducción irresponsable y permitir que animales con propietario permanezcan sin supervisión en la vía pública. De acuerdo con la Ley de Protección y Trato Digno para los Animales del Estado de Hidalgo y el Reglamento Municipal para la Protección, Posesión y Control de Animales de Compañía, el maltrato animal comprende toda acción u omisión, intencional o por negligencia, que cause dolor, sufrimiento, afecte gravemente la salud o ponga en riesgo la vida de un animal. La Dirección de Medio Ambiente es la instancia competente para atender administrativamente los casos de maltrato animal, mientras que los hechos que constituyen crueldad animal, aquellos en los que existe la intención de causar daño o sufrimiento a un ser sintiente, son competencia del Ministerio Público, al tratarse de conductas tipificadas como delito y que pueden derivar en sanciones como multas, aseguramiento de ejemplares, prisión e inhabilitación profesional, conforme a la legislación vigente.</t>
  </si>
  <si>
    <t>A partir del próximo mes de agosto, el consultorio móvil de Sanidad Municipal incorporará consultas veterinarias con una cuota de recuperación de 30 pesos, se informó por medio de un comunicado oficial. Dicho servicio permitirá detectar oportunamente enfermedades en perros y gatos para ofrecerles las atenciones veterinarias que se requieran en cada caso. También se ofrecerá orientación a cuidadores de animales de compañía; con todos estos servicios el objetivo es facilitar el acceso a atención preventiva en colonias y localidades del municipio. El comunicado informa que el personal de la unidad móvil para bienestar animal realiza jornadas permanentes de vacunación antirrábica y esterilización, que durante el primer semestre de 2026 permitieron aplicar 12 mil 240 vacunas y realizar mil 808 esterilizaciones. Con ello se contribuye a la prevención de enfermedades y al control ético de la población de animales de compañía, con apoyo de sus cuidadores. También se realiza un recuento de la atención a reportes, atendidos por la Unidad de Rescate y Bienestar Animal, con un promedio de 60 casos mensualmente. Las atenciones se realizan con apego al Reglamento de Protección a los Animales de Compañía y bajo protocolos que privilegian el respeto y la protección de los animales.</t>
  </si>
  <si>
    <t>Bienestar Animal</t>
  </si>
  <si>
    <t>Un grupo de madres, padres y demás familiares de personas desaparecidas se manifestaron con una caminata sobre la carretera México-Pachuca, para exigir recursos para las dependencias a cargo del tema, así como apoyos económicos para los propios familiares. La manifestación ocurrió la mañana del lunes 13 de julio, señalando los manifestantes que las instituciones están rebasadas por falta de personal y materiales para realizar las labores de búsqueda de personas. El contingente avanzó sobre la vialidad, a partir de la comunidad de Téllez, dentro del municipio de Zempoala, portando lonas con las imágenes de los desaparecidos, a la vez que lanzaban consignas para fortalecer las acciones para su búsqueda. Al llegar a las instalaciones de la Procuraduría General de Justicia del Estado de Hidalgo (PGJEH), solicitaron ser escuchados por el encargado de despacho de la dependencia, Francisco Fernández Hasbun. Finalmente fueron atendidos por funcionarios de dicha dependencia, a quienes les señalaron que existen deficiencias en las investigaciones y que “cada ministerio tiene a su cargo más de 300 carpetas”, de acuerdo con sus experiencias como familiares de personas desaparecidas. Los manifestantes especificaron que las dependencias que buscan tengan un recurso mayor son la Comisión de Búsqueda de Personas del Estado de Hidalgo, la Subprocuraduría de delitos de género, desaparición de personas e impacto social de la PGJEH y la Comisión Ejecutiva de Atención a Víctimas del Estado de Hidalgo.</t>
  </si>
  <si>
    <t>En siete de cada diez casos, las víctimas de algún delito donde las víctimas son niñas, niños o adolescentes, desisten en seguir adelante con la denuncia, debido sobre todo por el tiempo de espera para ser atendidos por autoridades ministeriales. El dato fue revelado por Lorena Elizabeth Barranco Licona, recién nombrada como titular de la Procuraduría municipal de Protección a Niñas, Niños y Adolescentes en Tulancingo. Enfatizó que el primer objetivo de la nueva dependencia, es precisamente agilizar los procesos de denuncia y con ello evitar la revictimización, tomando en cuenta que en ocasiones las víctimas ni siquiera cuentan con una red de apoyo social, con familiares, amigos o vecinos. “Al acudir al Ministerio Público, los niños y adolescentes, así como las personas que apoyan con la denuncia en ocasiones, se desesperan por el tiempo que se debe esperar; llega a un momento que desisten de seguir adelante con el proceso”. La nueva procuraduría, así como las similares que operarán en los 84 municipios del Estado de Hidalgo, agilizarán la atención al no tener qué triangular la atención que se requiera en cada caso. Barranco Licona señaló que incluso las denuncias se iniciarán e investigarán de oficio; es decir, aunque exista la intención de desistimiento por alguna de las partes involucradas, seguirá adelante para garantizar a las víctimas el acceso a la justicia. Incluso existen casos donde la madrastra o el padrastro de la víctima intenta obstaculizar la denuncia, lo que no será permitido por la nueva Procuraduría municipal de Protección a Niñas, Niños y Adolescentes. La funcionaria municipal señaló que los principales delitos relacionados con niñas, niños y adolescentes que se denuncian en Tulancingo, son la violencia familiar y el abuso sexual. Respecto al personal de atención, Barranco Licona considera que debe existir por lo menos un abogado, una trabajadora social y un sicólogo que apoye las labores de la actual plantilla, conformada por un especialista de cada una de las especialidades citadas. Ello debido al tamaño del municipio, y con ello la cantidad de denuncias y atención adecuada que requieren las víctimas.</t>
  </si>
  <si>
    <t>Protección del menor</t>
  </si>
  <si>
    <t>Vocales Radio</t>
  </si>
  <si>
    <t>El sistema de salud continúa muy pendiente en coordinación con las autoridades de Agricultura cobre el tema del gusano barrenador y desafortunadamente siguen en aumento el número de casos o ganados afectados por este gusano, superando más de mil casos positivos en ganado y personas. Hay brigadas de especalistas recorriendo el estado ante los casos que se reportan y es muy imporante que los dueños de atos ganaderos reportes los casos para que se propague esta plaga y no automedicar al ganado.</t>
  </si>
  <si>
    <t>Gusano barrenador</t>
  </si>
  <si>
    <t>Andrés Torres</t>
  </si>
  <si>
    <t>Octavio Magaña Soto, dirigente del Partido Verde en Hidalgo señala que es un gusto para él y para su partido recibir a un aliado y amigo, José Luis Lima Morales, quien a partir de ayer suma su experiencia y conocimiento como vocero institucional.</t>
  </si>
  <si>
    <t>PVEM</t>
  </si>
  <si>
    <t>Nombramientos</t>
  </si>
  <si>
    <t>Vía telefónica Milton Cortés informó que el adía de ayer se abrieron las taquillas para la compra de boletos ara el Palenque de la Feria de Pachuca Hidalgo San Francisco 2026 y muchas personas acudieron es incluso acamparon. El gobernador Julio Menchuca ha dicho que se vigilará este proceso para evitar que los revendedores cometan abusos. A unos meses de que inicie la feria se realizan trabajos. Asimismo, se pide a la población no caer en fraudes a través de redes sociales con la compra de boletos.</t>
  </si>
  <si>
    <t>Milton Cortés</t>
  </si>
  <si>
    <t>Vía telefónica Milton Corté informa el Ayuntamiento de Pachuca, a través del Instituto Municipal para la Juventud, emitió la convocatoria del Premio Municipal de la Juventud 2026, con la finalidad de reconocer a diez jóvenes que, por su trayectoria, liderazgo, talento, innovación y compromiso social, contribuyen al desarrollo del municipio. La convocatoria está dirigida a personas de entre 12 y 29 años residentes de Pachuca, quienes podrán postularse de manera individual o ser propuestas por instituciones educativas, organizaciones de la sociedad civil, organismos empresariales, colectivos, asociaciones o por la ciudadanía en general.</t>
  </si>
  <si>
    <t>Premio Municipal</t>
  </si>
  <si>
    <t>Radioescucha, Roberto Pérez Serano: Ayer nos visitó la Maestra María Esther Ramírez Vargas, Secretaria de Hacienda y el Maestro Juan Carlos Chávez González, director General de la CEAA para dar seguimiento y supervisión al proyecto de la nueva red de agua potable para 9 comunidades de Tezontepec de Aldama.</t>
  </si>
  <si>
    <t>Infraestructura Hidráulica</t>
  </si>
  <si>
    <t>Hacienda</t>
  </si>
  <si>
    <t>En Día de hoy el gobernador encabezará la firma de convenio con del programa Impulso Nafin Hidalgo 202026-2027 y y se realizará la entrega de créditos Mypimes, esto en la Sala del Pueblo.</t>
  </si>
  <si>
    <t>Impulso Nafin</t>
  </si>
  <si>
    <t>Ayer el gobernador Julio Menchaca Salazar encabezó la Reunión Semanal del Gabinete de Seguridad, junto con los secretarios de Gobierno, Seguridad Pública y el encargado del Despacho. En la reunión Semanal de Seguridad se reportó la atención por lluvias de nueve árboles caídos, un deslave, encharcamientos y anegaciones en en los municipios; además, se localizó a 14 personas que contaban con ficha de búsqueda, entre ellos un niño de tres años quien volvió con su familia. En la carretera México Tuxpan se detuvo a dos personas, se aseguró un arma y una pipa con 2, 800 litros de gas LP.</t>
  </si>
  <si>
    <t>Julio Menchaca enaltece labor de combatientes de incendios forestales</t>
  </si>
  <si>
    <t>Durante la conferencia de prensa de todos lo lunes, se confirmó la muerte de una maestra que se presentó a trabajar después de una licencia médica, así lo dio a conocer el titular de la Secretaría de Educación Pública del Estado de Hidalgo. (SEPH). La muerte ocurrió en instalaciones de la SEPH.</t>
  </si>
  <si>
    <t>Desde hace 3 meses estaos fuera del aire en el 1010 AM El Vocero Huasteco, estamos esperando que se regularice.</t>
  </si>
  <si>
    <t>Radiodifusoras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</si>
</sst>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40" tableType="queryTable" totalsRowShown="0">
  <autoFilter ref="A1:M140"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40"/>
  <sheetViews>
    <sheetView tabSelected="1" topLeftCell="A112" workbookViewId="0">
      <selection activeCell="C138" sqref="C138"/>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0.8554687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27</v>
      </c>
    </row>
    <row r="2" spans="1:13" x14ac:dyDescent="0.25">
      <c r="A2" s="2">
        <v>46216</v>
      </c>
      <c r="B2" s="1" t="str">
        <f ca="1">IF(Información1[[#This Row],[Fecha]]='Ajuste de fechas'!$A$2,"Día actual","Día anterior")</f>
        <v>Día anterior</v>
      </c>
      <c r="C2" s="3" t="s">
        <v>57</v>
      </c>
      <c r="D2" t="s">
        <v>58</v>
      </c>
      <c r="E2" s="3" t="s">
        <v>87</v>
      </c>
      <c r="F2" s="3" t="s">
        <v>10</v>
      </c>
      <c r="G2" s="3" t="s">
        <v>68</v>
      </c>
      <c r="H2" s="3" t="s">
        <v>8</v>
      </c>
      <c r="I2" s="3" t="s">
        <v>7</v>
      </c>
      <c r="J2" s="3" t="s">
        <v>33</v>
      </c>
      <c r="K2" s="3" t="s">
        <v>59</v>
      </c>
      <c r="L2" s="3" t="s">
        <v>24</v>
      </c>
      <c r="M2">
        <v>1</v>
      </c>
    </row>
    <row r="3" spans="1:13" x14ac:dyDescent="0.25">
      <c r="A3" s="2">
        <v>46216</v>
      </c>
      <c r="B3" s="1" t="str">
        <f ca="1">IF(Información1[[#This Row],[Fecha]]='Ajuste de fechas'!$A$2,"Día actual","Día anterior")</f>
        <v>Día anterior</v>
      </c>
      <c r="C3" s="3" t="s">
        <v>57</v>
      </c>
      <c r="D3" t="s">
        <v>58</v>
      </c>
      <c r="E3" s="3" t="s">
        <v>88</v>
      </c>
      <c r="F3" s="3" t="s">
        <v>10</v>
      </c>
      <c r="G3" s="3" t="s">
        <v>89</v>
      </c>
      <c r="H3" s="3" t="s">
        <v>8</v>
      </c>
      <c r="I3" s="3" t="s">
        <v>7</v>
      </c>
      <c r="J3" s="3" t="s">
        <v>33</v>
      </c>
      <c r="K3" s="3" t="s">
        <v>59</v>
      </c>
      <c r="L3" s="3" t="s">
        <v>24</v>
      </c>
      <c r="M3">
        <v>1</v>
      </c>
    </row>
    <row r="4" spans="1:13" x14ac:dyDescent="0.25">
      <c r="A4" s="2">
        <v>46216</v>
      </c>
      <c r="B4" s="1" t="str">
        <f ca="1">IF(Información1[[#This Row],[Fecha]]='Ajuste de fechas'!$A$2,"Día actual","Día anterior")</f>
        <v>Día anterior</v>
      </c>
      <c r="C4" s="3" t="s">
        <v>57</v>
      </c>
      <c r="D4" t="s">
        <v>58</v>
      </c>
      <c r="E4" s="3" t="s">
        <v>90</v>
      </c>
      <c r="F4" s="3" t="s">
        <v>35</v>
      </c>
      <c r="G4" s="3" t="s">
        <v>91</v>
      </c>
      <c r="H4" s="3" t="s">
        <v>8</v>
      </c>
      <c r="I4" s="3" t="s">
        <v>14</v>
      </c>
      <c r="J4" s="3" t="s">
        <v>31</v>
      </c>
      <c r="K4" s="3" t="s">
        <v>59</v>
      </c>
      <c r="L4" s="3" t="s">
        <v>24</v>
      </c>
      <c r="M4">
        <v>1</v>
      </c>
    </row>
    <row r="5" spans="1:13" x14ac:dyDescent="0.25">
      <c r="A5" s="2">
        <v>46216</v>
      </c>
      <c r="B5" s="1" t="str">
        <f ca="1">IF(Información1[[#This Row],[Fecha]]='Ajuste de fechas'!$A$2,"Día actual","Día anterior")</f>
        <v>Día anterior</v>
      </c>
      <c r="C5" s="3" t="s">
        <v>57</v>
      </c>
      <c r="D5" t="s">
        <v>58</v>
      </c>
      <c r="E5" s="3" t="s">
        <v>92</v>
      </c>
      <c r="F5" s="3" t="s">
        <v>34</v>
      </c>
      <c r="G5" s="3" t="s">
        <v>93</v>
      </c>
      <c r="H5" s="3" t="s">
        <v>8</v>
      </c>
      <c r="I5" s="3" t="s">
        <v>7</v>
      </c>
      <c r="J5" s="3" t="s">
        <v>31</v>
      </c>
      <c r="K5" s="3" t="s">
        <v>59</v>
      </c>
      <c r="L5" s="3" t="s">
        <v>24</v>
      </c>
      <c r="M5">
        <v>1</v>
      </c>
    </row>
    <row r="6" spans="1:13" x14ac:dyDescent="0.25">
      <c r="A6" s="2">
        <v>46216</v>
      </c>
      <c r="B6" s="1" t="str">
        <f ca="1">IF(Información1[[#This Row],[Fecha]]='Ajuste de fechas'!$A$2,"Día actual","Día anterior")</f>
        <v>Día anterior</v>
      </c>
      <c r="C6" s="3" t="s">
        <v>57</v>
      </c>
      <c r="D6" t="s">
        <v>58</v>
      </c>
      <c r="E6" s="3" t="s">
        <v>94</v>
      </c>
      <c r="F6" s="3" t="s">
        <v>34</v>
      </c>
      <c r="G6" s="3" t="s">
        <v>95</v>
      </c>
      <c r="H6" s="3" t="s">
        <v>8</v>
      </c>
      <c r="I6" s="3" t="s">
        <v>7</v>
      </c>
      <c r="J6" s="3" t="s">
        <v>31</v>
      </c>
      <c r="K6" s="3" t="s">
        <v>59</v>
      </c>
      <c r="L6" s="3" t="s">
        <v>24</v>
      </c>
      <c r="M6">
        <v>1</v>
      </c>
    </row>
    <row r="7" spans="1:13" x14ac:dyDescent="0.25">
      <c r="A7" s="2">
        <v>46216</v>
      </c>
      <c r="B7" s="1" t="str">
        <f ca="1">IF(Información1[[#This Row],[Fecha]]='Ajuste de fechas'!$A$2,"Día actual","Día anterior")</f>
        <v>Día anterior</v>
      </c>
      <c r="C7" s="3" t="s">
        <v>60</v>
      </c>
      <c r="D7" t="s">
        <v>61</v>
      </c>
      <c r="E7" s="3" t="s">
        <v>96</v>
      </c>
      <c r="F7" s="3" t="s">
        <v>97</v>
      </c>
      <c r="G7" s="3" t="s">
        <v>98</v>
      </c>
      <c r="H7" s="3" t="s">
        <v>8</v>
      </c>
      <c r="I7" s="3" t="s">
        <v>7</v>
      </c>
      <c r="J7" s="3" t="s">
        <v>99</v>
      </c>
      <c r="K7" s="3" t="s">
        <v>62</v>
      </c>
      <c r="L7" s="3" t="s">
        <v>36</v>
      </c>
      <c r="M7">
        <v>1</v>
      </c>
    </row>
    <row r="8" spans="1:13" x14ac:dyDescent="0.25">
      <c r="A8" s="2">
        <v>46216</v>
      </c>
      <c r="B8" s="1" t="str">
        <f ca="1">IF(Información1[[#This Row],[Fecha]]='Ajuste de fechas'!$A$2,"Día actual","Día anterior")</f>
        <v>Día anterior</v>
      </c>
      <c r="C8" s="3" t="s">
        <v>60</v>
      </c>
      <c r="D8" t="s">
        <v>61</v>
      </c>
      <c r="E8" s="3" t="s">
        <v>100</v>
      </c>
      <c r="F8" s="3" t="s">
        <v>11</v>
      </c>
      <c r="G8" s="3" t="s">
        <v>101</v>
      </c>
      <c r="H8" s="3" t="s">
        <v>8</v>
      </c>
      <c r="I8" s="3" t="s">
        <v>7</v>
      </c>
      <c r="J8" s="3" t="s">
        <v>32</v>
      </c>
      <c r="K8" s="3" t="s">
        <v>62</v>
      </c>
      <c r="L8" s="3" t="s">
        <v>24</v>
      </c>
      <c r="M8">
        <v>1</v>
      </c>
    </row>
    <row r="9" spans="1:13" x14ac:dyDescent="0.25">
      <c r="A9" s="2">
        <v>46216</v>
      </c>
      <c r="B9" s="1" t="str">
        <f ca="1">IF(Información1[[#This Row],[Fecha]]='Ajuste de fechas'!$A$2,"Día actual","Día anterior")</f>
        <v>Día anterior</v>
      </c>
      <c r="C9" s="3" t="s">
        <v>60</v>
      </c>
      <c r="D9" t="s">
        <v>61</v>
      </c>
      <c r="E9" s="3" t="s">
        <v>102</v>
      </c>
      <c r="F9" s="3" t="s">
        <v>10</v>
      </c>
      <c r="G9" s="3" t="s">
        <v>103</v>
      </c>
      <c r="H9" s="3" t="s">
        <v>8</v>
      </c>
      <c r="I9" s="3" t="s">
        <v>14</v>
      </c>
      <c r="J9" s="3" t="s">
        <v>33</v>
      </c>
      <c r="K9" s="3" t="s">
        <v>62</v>
      </c>
      <c r="L9" s="3" t="s">
        <v>24</v>
      </c>
      <c r="M9">
        <v>1</v>
      </c>
    </row>
    <row r="10" spans="1:13" x14ac:dyDescent="0.25">
      <c r="A10" s="2">
        <v>46216</v>
      </c>
      <c r="B10" s="1" t="str">
        <f ca="1">IF(Información1[[#This Row],[Fecha]]='Ajuste de fechas'!$A$2,"Día actual","Día anterior")</f>
        <v>Día anterior</v>
      </c>
      <c r="C10" s="3" t="s">
        <v>60</v>
      </c>
      <c r="D10" t="s">
        <v>61</v>
      </c>
      <c r="E10" s="3" t="s">
        <v>104</v>
      </c>
      <c r="F10" s="3" t="s">
        <v>10</v>
      </c>
      <c r="G10" s="3" t="s">
        <v>105</v>
      </c>
      <c r="H10" s="3" t="s">
        <v>8</v>
      </c>
      <c r="I10" s="3" t="s">
        <v>7</v>
      </c>
      <c r="J10" s="3" t="s">
        <v>33</v>
      </c>
      <c r="K10" s="3" t="s">
        <v>62</v>
      </c>
      <c r="L10" s="3" t="s">
        <v>24</v>
      </c>
      <c r="M10">
        <v>1</v>
      </c>
    </row>
    <row r="11" spans="1:13" x14ac:dyDescent="0.25">
      <c r="A11" s="2">
        <v>46216</v>
      </c>
      <c r="B11" s="1" t="str">
        <f ca="1">IF(Información1[[#This Row],[Fecha]]='Ajuste de fechas'!$A$2,"Día actual","Día anterior")</f>
        <v>Día anterior</v>
      </c>
      <c r="C11" s="3" t="s">
        <v>60</v>
      </c>
      <c r="D11" t="s">
        <v>61</v>
      </c>
      <c r="E11" s="3" t="s">
        <v>104</v>
      </c>
      <c r="F11" s="3" t="s">
        <v>35</v>
      </c>
      <c r="G11" s="3" t="s">
        <v>105</v>
      </c>
      <c r="H11" s="3" t="s">
        <v>8</v>
      </c>
      <c r="I11" s="3" t="s">
        <v>7</v>
      </c>
      <c r="J11" s="3" t="s">
        <v>31</v>
      </c>
      <c r="K11" s="3" t="s">
        <v>62</v>
      </c>
      <c r="L11" s="3" t="s">
        <v>24</v>
      </c>
      <c r="M11">
        <v>1</v>
      </c>
    </row>
    <row r="12" spans="1:13" x14ac:dyDescent="0.25">
      <c r="A12" s="2">
        <v>46216</v>
      </c>
      <c r="B12" s="1" t="str">
        <f ca="1">IF(Información1[[#This Row],[Fecha]]='Ajuste de fechas'!$A$2,"Día actual","Día anterior")</f>
        <v>Día anterior</v>
      </c>
      <c r="C12" s="3" t="s">
        <v>60</v>
      </c>
      <c r="D12" t="s">
        <v>61</v>
      </c>
      <c r="E12" s="3" t="s">
        <v>106</v>
      </c>
      <c r="F12" s="3" t="s">
        <v>17</v>
      </c>
      <c r="G12" s="3" t="s">
        <v>107</v>
      </c>
      <c r="H12" s="3" t="s">
        <v>8</v>
      </c>
      <c r="I12" s="3" t="s">
        <v>7</v>
      </c>
      <c r="J12" s="3" t="s">
        <v>31</v>
      </c>
      <c r="K12" s="3" t="s">
        <v>62</v>
      </c>
      <c r="L12" s="3" t="s">
        <v>26</v>
      </c>
      <c r="M12">
        <v>1</v>
      </c>
    </row>
    <row r="13" spans="1:13" x14ac:dyDescent="0.25">
      <c r="A13" s="2">
        <v>46216</v>
      </c>
      <c r="B13" s="1" t="str">
        <f ca="1">IF(Información1[[#This Row],[Fecha]]='Ajuste de fechas'!$A$2,"Día actual","Día anterior")</f>
        <v>Día anterior</v>
      </c>
      <c r="C13" s="3" t="s">
        <v>60</v>
      </c>
      <c r="D13" t="s">
        <v>61</v>
      </c>
      <c r="E13" s="3" t="s">
        <v>108</v>
      </c>
      <c r="F13" s="3" t="s">
        <v>109</v>
      </c>
      <c r="G13" s="3" t="s">
        <v>110</v>
      </c>
      <c r="H13" s="3" t="s">
        <v>8</v>
      </c>
      <c r="I13" s="3" t="s">
        <v>7</v>
      </c>
      <c r="J13" s="3" t="s">
        <v>31</v>
      </c>
      <c r="K13" s="3" t="s">
        <v>62</v>
      </c>
      <c r="L13" s="3" t="s">
        <v>26</v>
      </c>
      <c r="M13">
        <v>1</v>
      </c>
    </row>
    <row r="14" spans="1:13" x14ac:dyDescent="0.25">
      <c r="A14" s="2">
        <v>46216</v>
      </c>
      <c r="B14" s="1" t="str">
        <f ca="1">IF(Información1[[#This Row],[Fecha]]='Ajuste de fechas'!$A$2,"Día actual","Día anterior")</f>
        <v>Día anterior</v>
      </c>
      <c r="C14" s="3" t="s">
        <v>60</v>
      </c>
      <c r="D14" t="s">
        <v>61</v>
      </c>
      <c r="E14" s="3" t="s">
        <v>111</v>
      </c>
      <c r="F14" s="3" t="s">
        <v>34</v>
      </c>
      <c r="G14" s="3" t="s">
        <v>112</v>
      </c>
      <c r="H14" s="3" t="s">
        <v>8</v>
      </c>
      <c r="I14" s="3" t="s">
        <v>7</v>
      </c>
      <c r="J14" s="3" t="s">
        <v>31</v>
      </c>
      <c r="K14" s="3" t="s">
        <v>62</v>
      </c>
      <c r="L14" s="3" t="s">
        <v>26</v>
      </c>
      <c r="M14">
        <v>1</v>
      </c>
    </row>
    <row r="15" spans="1:13" x14ac:dyDescent="0.25">
      <c r="A15" s="2">
        <v>46216</v>
      </c>
      <c r="B15" s="1" t="str">
        <f ca="1">IF(Información1[[#This Row],[Fecha]]='Ajuste de fechas'!$A$2,"Día actual","Día anterior")</f>
        <v>Día anterior</v>
      </c>
      <c r="C15" s="3" t="s">
        <v>60</v>
      </c>
      <c r="D15" t="s">
        <v>61</v>
      </c>
      <c r="E15" s="3" t="s">
        <v>113</v>
      </c>
      <c r="F15" s="3" t="s">
        <v>9</v>
      </c>
      <c r="G15" s="3" t="s">
        <v>114</v>
      </c>
      <c r="H15" s="3" t="s">
        <v>8</v>
      </c>
      <c r="I15" s="3" t="s">
        <v>7</v>
      </c>
      <c r="J15" s="3" t="s">
        <v>31</v>
      </c>
      <c r="K15" s="3" t="s">
        <v>62</v>
      </c>
      <c r="L15" s="3" t="s">
        <v>26</v>
      </c>
      <c r="M15">
        <v>1</v>
      </c>
    </row>
    <row r="16" spans="1:13" x14ac:dyDescent="0.25">
      <c r="A16" s="2">
        <v>46216</v>
      </c>
      <c r="B16" s="1" t="str">
        <f ca="1">IF(Información1[[#This Row],[Fecha]]='Ajuste de fechas'!$A$2,"Día actual","Día anterior")</f>
        <v>Día anterior</v>
      </c>
      <c r="C16" s="3" t="s">
        <v>60</v>
      </c>
      <c r="D16" t="s">
        <v>61</v>
      </c>
      <c r="E16" s="3" t="s">
        <v>115</v>
      </c>
      <c r="F16" s="3" t="s">
        <v>35</v>
      </c>
      <c r="G16" s="3" t="s">
        <v>64</v>
      </c>
      <c r="H16" s="3" t="s">
        <v>8</v>
      </c>
      <c r="I16" s="3" t="s">
        <v>7</v>
      </c>
      <c r="J16" s="3" t="s">
        <v>31</v>
      </c>
      <c r="K16" s="3" t="s">
        <v>62</v>
      </c>
      <c r="L16" s="3" t="s">
        <v>26</v>
      </c>
      <c r="M16">
        <v>1</v>
      </c>
    </row>
    <row r="17" spans="1:13" x14ac:dyDescent="0.25">
      <c r="A17" s="2">
        <v>46216</v>
      </c>
      <c r="B17" s="1" t="str">
        <f ca="1">IF(Información1[[#This Row],[Fecha]]='Ajuste de fechas'!$A$2,"Día actual","Día anterior")</f>
        <v>Día anterior</v>
      </c>
      <c r="C17" s="3" t="s">
        <v>60</v>
      </c>
      <c r="D17" t="s">
        <v>61</v>
      </c>
      <c r="E17" s="3" t="s">
        <v>116</v>
      </c>
      <c r="F17" s="3" t="s">
        <v>15</v>
      </c>
      <c r="G17" s="3" t="s">
        <v>81</v>
      </c>
      <c r="H17" s="3" t="s">
        <v>8</v>
      </c>
      <c r="I17" s="3" t="s">
        <v>7</v>
      </c>
      <c r="J17" s="3" t="s">
        <v>31</v>
      </c>
      <c r="K17" s="3" t="s">
        <v>62</v>
      </c>
      <c r="L17" s="3" t="s">
        <v>26</v>
      </c>
      <c r="M17">
        <v>1</v>
      </c>
    </row>
    <row r="18" spans="1:13" x14ac:dyDescent="0.25">
      <c r="A18" s="2">
        <v>46216</v>
      </c>
      <c r="B18" s="1" t="str">
        <f ca="1">IF(Información1[[#This Row],[Fecha]]='Ajuste de fechas'!$A$2,"Día actual","Día anterior")</f>
        <v>Día anterior</v>
      </c>
      <c r="C18" s="3" t="s">
        <v>57</v>
      </c>
      <c r="D18" t="s">
        <v>63</v>
      </c>
      <c r="E18" s="3" t="s">
        <v>96</v>
      </c>
      <c r="F18" s="3" t="s">
        <v>97</v>
      </c>
      <c r="G18" s="3" t="s">
        <v>98</v>
      </c>
      <c r="H18" s="3" t="s">
        <v>8</v>
      </c>
      <c r="I18" s="3" t="s">
        <v>7</v>
      </c>
      <c r="J18" s="3" t="s">
        <v>99</v>
      </c>
      <c r="K18" s="3" t="s">
        <v>59</v>
      </c>
      <c r="L18" s="3" t="s">
        <v>24</v>
      </c>
      <c r="M18">
        <v>1</v>
      </c>
    </row>
    <row r="19" spans="1:13" x14ac:dyDescent="0.25">
      <c r="A19" s="2">
        <v>46216</v>
      </c>
      <c r="B19" s="1" t="str">
        <f ca="1">IF(Información1[[#This Row],[Fecha]]='Ajuste de fechas'!$A$2,"Día actual","Día anterior")</f>
        <v>Día anterior</v>
      </c>
      <c r="C19" s="3" t="s">
        <v>57</v>
      </c>
      <c r="D19" t="s">
        <v>63</v>
      </c>
      <c r="E19" s="3" t="s">
        <v>117</v>
      </c>
      <c r="F19" s="3" t="s">
        <v>10</v>
      </c>
      <c r="G19" s="3" t="s">
        <v>118</v>
      </c>
      <c r="H19" s="3" t="s">
        <v>8</v>
      </c>
      <c r="I19" s="3" t="s">
        <v>7</v>
      </c>
      <c r="J19" s="3" t="s">
        <v>33</v>
      </c>
      <c r="K19" s="3" t="s">
        <v>59</v>
      </c>
      <c r="L19" s="3" t="s">
        <v>24</v>
      </c>
      <c r="M19">
        <v>1</v>
      </c>
    </row>
    <row r="20" spans="1:13" x14ac:dyDescent="0.25">
      <c r="A20" s="2">
        <v>46216</v>
      </c>
      <c r="B20" s="1" t="str">
        <f ca="1">IF(Información1[[#This Row],[Fecha]]='Ajuste de fechas'!$A$2,"Día actual","Día anterior")</f>
        <v>Día anterior</v>
      </c>
      <c r="C20" s="3" t="s">
        <v>57</v>
      </c>
      <c r="D20" t="s">
        <v>63</v>
      </c>
      <c r="E20" s="3" t="s">
        <v>80</v>
      </c>
      <c r="F20" s="3" t="s">
        <v>10</v>
      </c>
      <c r="G20" s="3" t="s">
        <v>68</v>
      </c>
      <c r="H20" s="3" t="s">
        <v>8</v>
      </c>
      <c r="I20" s="3" t="s">
        <v>7</v>
      </c>
      <c r="J20" s="3" t="s">
        <v>33</v>
      </c>
      <c r="K20" s="3" t="s">
        <v>59</v>
      </c>
      <c r="L20" s="3" t="s">
        <v>24</v>
      </c>
      <c r="M20">
        <v>1</v>
      </c>
    </row>
    <row r="21" spans="1:13" x14ac:dyDescent="0.25">
      <c r="A21" s="2">
        <v>46216</v>
      </c>
      <c r="B21" s="1" t="str">
        <f ca="1">IF(Información1[[#This Row],[Fecha]]='Ajuste de fechas'!$A$2,"Día actual","Día anterior")</f>
        <v>Día anterior</v>
      </c>
      <c r="C21" s="3" t="s">
        <v>57</v>
      </c>
      <c r="D21" t="s">
        <v>63</v>
      </c>
      <c r="E21" s="3" t="s">
        <v>119</v>
      </c>
      <c r="F21" s="3" t="s">
        <v>34</v>
      </c>
      <c r="G21" s="3" t="s">
        <v>120</v>
      </c>
      <c r="H21" s="3" t="s">
        <v>8</v>
      </c>
      <c r="I21" s="3" t="s">
        <v>14</v>
      </c>
      <c r="J21" s="3" t="s">
        <v>31</v>
      </c>
      <c r="K21" s="3" t="s">
        <v>37</v>
      </c>
      <c r="L21" s="3" t="s">
        <v>25</v>
      </c>
      <c r="M21">
        <v>1</v>
      </c>
    </row>
    <row r="22" spans="1:13" x14ac:dyDescent="0.25">
      <c r="A22" s="2">
        <v>46216</v>
      </c>
      <c r="B22" s="1" t="str">
        <f ca="1">IF(Información1[[#This Row],[Fecha]]='Ajuste de fechas'!$A$2,"Día actual","Día anterior")</f>
        <v>Día anterior</v>
      </c>
      <c r="C22" s="3" t="s">
        <v>57</v>
      </c>
      <c r="D22" t="s">
        <v>63</v>
      </c>
      <c r="E22" s="3" t="s">
        <v>121</v>
      </c>
      <c r="F22" s="3" t="s">
        <v>12</v>
      </c>
      <c r="G22" s="3" t="s">
        <v>122</v>
      </c>
      <c r="H22" s="3" t="s">
        <v>8</v>
      </c>
      <c r="I22" s="3" t="s">
        <v>7</v>
      </c>
      <c r="J22" s="3" t="s">
        <v>31</v>
      </c>
      <c r="K22" s="3" t="s">
        <v>55</v>
      </c>
      <c r="L22" s="3" t="s">
        <v>24</v>
      </c>
      <c r="M22">
        <v>1</v>
      </c>
    </row>
    <row r="23" spans="1:13" x14ac:dyDescent="0.25">
      <c r="A23" s="2">
        <v>46216</v>
      </c>
      <c r="B23" s="1" t="str">
        <f ca="1">IF(Información1[[#This Row],[Fecha]]='Ajuste de fechas'!$A$2,"Día actual","Día anterior")</f>
        <v>Día anterior</v>
      </c>
      <c r="C23" s="3" t="s">
        <v>57</v>
      </c>
      <c r="D23" t="s">
        <v>63</v>
      </c>
      <c r="E23" s="3" t="s">
        <v>123</v>
      </c>
      <c r="F23" s="3" t="s">
        <v>124</v>
      </c>
      <c r="G23" s="3" t="s">
        <v>95</v>
      </c>
      <c r="H23" s="3" t="s">
        <v>8</v>
      </c>
      <c r="I23" s="3" t="s">
        <v>7</v>
      </c>
      <c r="J23" s="3" t="s">
        <v>31</v>
      </c>
      <c r="K23" s="3" t="s">
        <v>55</v>
      </c>
      <c r="L23" s="3" t="s">
        <v>24</v>
      </c>
      <c r="M23">
        <v>1</v>
      </c>
    </row>
    <row r="24" spans="1:13" x14ac:dyDescent="0.25">
      <c r="A24" s="2">
        <v>46216</v>
      </c>
      <c r="B24" s="1" t="str">
        <f ca="1">IF(Información1[[#This Row],[Fecha]]='Ajuste de fechas'!$A$2,"Día actual","Día anterior")</f>
        <v>Día anterior</v>
      </c>
      <c r="C24" s="3" t="s">
        <v>57</v>
      </c>
      <c r="D24" t="s">
        <v>63</v>
      </c>
      <c r="E24" s="3" t="s">
        <v>125</v>
      </c>
      <c r="F24" s="3" t="s">
        <v>15</v>
      </c>
      <c r="G24" s="3" t="s">
        <v>126</v>
      </c>
      <c r="H24" s="3" t="s">
        <v>8</v>
      </c>
      <c r="I24" s="3" t="s">
        <v>7</v>
      </c>
      <c r="J24" s="3" t="s">
        <v>31</v>
      </c>
      <c r="K24" s="3" t="s">
        <v>55</v>
      </c>
      <c r="L24" s="3" t="s">
        <v>24</v>
      </c>
      <c r="M24">
        <v>1</v>
      </c>
    </row>
    <row r="25" spans="1:13" x14ac:dyDescent="0.25">
      <c r="A25" s="2">
        <v>46216</v>
      </c>
      <c r="B25" s="1" t="str">
        <f ca="1">IF(Información1[[#This Row],[Fecha]]='Ajuste de fechas'!$A$2,"Día actual","Día anterior")</f>
        <v>Día anterior</v>
      </c>
      <c r="C25" s="3" t="s">
        <v>57</v>
      </c>
      <c r="D25" t="s">
        <v>63</v>
      </c>
      <c r="E25" s="3" t="s">
        <v>127</v>
      </c>
      <c r="F25" s="3" t="s">
        <v>15</v>
      </c>
      <c r="G25" s="3" t="s">
        <v>95</v>
      </c>
      <c r="H25" s="3" t="s">
        <v>8</v>
      </c>
      <c r="I25" s="3" t="s">
        <v>7</v>
      </c>
      <c r="J25" s="3" t="s">
        <v>31</v>
      </c>
      <c r="K25" s="3" t="s">
        <v>55</v>
      </c>
      <c r="L25" s="3" t="s">
        <v>24</v>
      </c>
      <c r="M25">
        <v>1</v>
      </c>
    </row>
    <row r="26" spans="1:13" x14ac:dyDescent="0.25">
      <c r="A26" s="2">
        <v>46216</v>
      </c>
      <c r="B26" s="1" t="str">
        <f ca="1">IF(Información1[[#This Row],[Fecha]]='Ajuste de fechas'!$A$2,"Día actual","Día anterior")</f>
        <v>Día anterior</v>
      </c>
      <c r="C26" s="3" t="s">
        <v>57</v>
      </c>
      <c r="D26" t="s">
        <v>63</v>
      </c>
      <c r="E26" s="3" t="s">
        <v>128</v>
      </c>
      <c r="F26" s="3" t="s">
        <v>34</v>
      </c>
      <c r="G26" s="3" t="s">
        <v>95</v>
      </c>
      <c r="H26" s="3" t="s">
        <v>8</v>
      </c>
      <c r="I26" s="3" t="s">
        <v>7</v>
      </c>
      <c r="J26" s="3" t="s">
        <v>31</v>
      </c>
      <c r="K26" s="3" t="s">
        <v>55</v>
      </c>
      <c r="L26" s="3" t="s">
        <v>24</v>
      </c>
      <c r="M26">
        <v>1</v>
      </c>
    </row>
    <row r="27" spans="1:13" x14ac:dyDescent="0.25">
      <c r="A27" s="2">
        <v>46216</v>
      </c>
      <c r="B27" s="1" t="str">
        <f ca="1">IF(Información1[[#This Row],[Fecha]]='Ajuste de fechas'!$A$2,"Día actual","Día anterior")</f>
        <v>Día anterior</v>
      </c>
      <c r="C27" s="3" t="s">
        <v>57</v>
      </c>
      <c r="D27" t="s">
        <v>63</v>
      </c>
      <c r="E27" s="3" t="s">
        <v>129</v>
      </c>
      <c r="F27" s="3" t="s">
        <v>67</v>
      </c>
      <c r="G27" s="3" t="s">
        <v>95</v>
      </c>
      <c r="H27" s="3" t="s">
        <v>8</v>
      </c>
      <c r="I27" s="3" t="s">
        <v>7</v>
      </c>
      <c r="J27" s="3" t="s">
        <v>31</v>
      </c>
      <c r="K27" s="3" t="s">
        <v>55</v>
      </c>
      <c r="L27" s="3" t="s">
        <v>24</v>
      </c>
      <c r="M27">
        <v>1</v>
      </c>
    </row>
    <row r="28" spans="1:13" x14ac:dyDescent="0.25">
      <c r="A28" s="2">
        <v>46216</v>
      </c>
      <c r="B28" s="1" t="str">
        <f ca="1">IF(Información1[[#This Row],[Fecha]]='Ajuste de fechas'!$A$2,"Día actual","Día anterior")</f>
        <v>Día anterior</v>
      </c>
      <c r="C28" s="3" t="s">
        <v>57</v>
      </c>
      <c r="D28" t="s">
        <v>63</v>
      </c>
      <c r="E28" s="3" t="s">
        <v>130</v>
      </c>
      <c r="F28" s="3" t="s">
        <v>67</v>
      </c>
      <c r="G28" s="3" t="s">
        <v>95</v>
      </c>
      <c r="H28" s="3" t="s">
        <v>8</v>
      </c>
      <c r="I28" s="3" t="s">
        <v>7</v>
      </c>
      <c r="J28" s="3" t="s">
        <v>31</v>
      </c>
      <c r="K28" s="3" t="s">
        <v>55</v>
      </c>
      <c r="L28" s="3" t="s">
        <v>24</v>
      </c>
      <c r="M28">
        <v>1</v>
      </c>
    </row>
    <row r="29" spans="1:13" x14ac:dyDescent="0.25">
      <c r="A29" s="2">
        <v>46216</v>
      </c>
      <c r="B29" s="1" t="str">
        <f ca="1">IF(Información1[[#This Row],[Fecha]]='Ajuste de fechas'!$A$2,"Día actual","Día anterior")</f>
        <v>Día anterior</v>
      </c>
      <c r="C29" s="3" t="s">
        <v>57</v>
      </c>
      <c r="D29" t="s">
        <v>63</v>
      </c>
      <c r="E29" s="3" t="s">
        <v>131</v>
      </c>
      <c r="F29" s="3" t="s">
        <v>12</v>
      </c>
      <c r="G29" s="3" t="s">
        <v>132</v>
      </c>
      <c r="H29" s="3" t="s">
        <v>8</v>
      </c>
      <c r="I29" s="3" t="s">
        <v>7</v>
      </c>
      <c r="J29" s="3" t="s">
        <v>31</v>
      </c>
      <c r="K29" s="3" t="s">
        <v>55</v>
      </c>
      <c r="L29" s="3" t="s">
        <v>26</v>
      </c>
      <c r="M29">
        <v>1</v>
      </c>
    </row>
    <row r="30" spans="1:13" x14ac:dyDescent="0.25">
      <c r="A30" s="2">
        <v>46216</v>
      </c>
      <c r="B30" s="1" t="str">
        <f ca="1">IF(Información1[[#This Row],[Fecha]]='Ajuste de fechas'!$A$2,"Día actual","Día anterior")</f>
        <v>Día anterior</v>
      </c>
      <c r="C30" s="3" t="s">
        <v>41</v>
      </c>
      <c r="D30" t="s">
        <v>42</v>
      </c>
      <c r="E30" s="3" t="s">
        <v>133</v>
      </c>
      <c r="F30" s="3" t="s">
        <v>6</v>
      </c>
      <c r="G30" s="3" t="s">
        <v>52</v>
      </c>
      <c r="H30" s="3" t="s">
        <v>8</v>
      </c>
      <c r="I30" s="3" t="s">
        <v>14</v>
      </c>
      <c r="J30" s="3" t="s">
        <v>31</v>
      </c>
      <c r="K30" s="3" t="s">
        <v>43</v>
      </c>
      <c r="L30" s="3" t="s">
        <v>25</v>
      </c>
      <c r="M30">
        <v>1</v>
      </c>
    </row>
    <row r="31" spans="1:13" x14ac:dyDescent="0.25">
      <c r="A31" s="2">
        <v>46216</v>
      </c>
      <c r="B31" s="1" t="str">
        <f ca="1">IF(Información1[[#This Row],[Fecha]]='Ajuste de fechas'!$A$2,"Día actual","Día anterior")</f>
        <v>Día anterior</v>
      </c>
      <c r="C31" s="3" t="s">
        <v>41</v>
      </c>
      <c r="D31" t="s">
        <v>42</v>
      </c>
      <c r="E31" s="3" t="s">
        <v>134</v>
      </c>
      <c r="F31" s="3" t="s">
        <v>6</v>
      </c>
      <c r="G31" s="3" t="s">
        <v>52</v>
      </c>
      <c r="H31" s="3" t="s">
        <v>8</v>
      </c>
      <c r="I31" s="3" t="s">
        <v>14</v>
      </c>
      <c r="J31" s="3" t="s">
        <v>31</v>
      </c>
      <c r="K31" s="3" t="s">
        <v>43</v>
      </c>
      <c r="L31" s="3" t="s">
        <v>25</v>
      </c>
      <c r="M31">
        <v>1</v>
      </c>
    </row>
    <row r="32" spans="1:13" x14ac:dyDescent="0.25">
      <c r="A32" s="2">
        <v>46216</v>
      </c>
      <c r="B32" s="1" t="str">
        <f ca="1">IF(Información1[[#This Row],[Fecha]]='Ajuste de fechas'!$A$2,"Día actual","Día anterior")</f>
        <v>Día anterior</v>
      </c>
      <c r="C32" s="3" t="s">
        <v>16</v>
      </c>
      <c r="D32" t="s">
        <v>53</v>
      </c>
      <c r="E32" s="3" t="s">
        <v>135</v>
      </c>
      <c r="F32" s="3" t="s">
        <v>12</v>
      </c>
      <c r="G32" s="3" t="s">
        <v>136</v>
      </c>
      <c r="H32" s="3" t="s">
        <v>8</v>
      </c>
      <c r="I32" s="3" t="s">
        <v>7</v>
      </c>
      <c r="J32" s="3" t="s">
        <v>31</v>
      </c>
      <c r="K32" s="3" t="s">
        <v>54</v>
      </c>
      <c r="L32" s="3" t="s">
        <v>24</v>
      </c>
      <c r="M32">
        <v>1</v>
      </c>
    </row>
    <row r="33" spans="1:13" x14ac:dyDescent="0.25">
      <c r="A33" s="2">
        <v>46216</v>
      </c>
      <c r="B33" s="1" t="str">
        <f ca="1">IF(Información1[[#This Row],[Fecha]]='Ajuste de fechas'!$A$2,"Día actual","Día anterior")</f>
        <v>Día anterior</v>
      </c>
      <c r="C33" s="3" t="s">
        <v>41</v>
      </c>
      <c r="D33" t="s">
        <v>42</v>
      </c>
      <c r="E33" s="3" t="s">
        <v>137</v>
      </c>
      <c r="F33" s="3" t="s">
        <v>11</v>
      </c>
      <c r="G33" s="3" t="s">
        <v>66</v>
      </c>
      <c r="H33" s="3" t="s">
        <v>8</v>
      </c>
      <c r="I33" s="3" t="s">
        <v>7</v>
      </c>
      <c r="J33" s="3" t="s">
        <v>32</v>
      </c>
      <c r="K33" s="3" t="s">
        <v>43</v>
      </c>
      <c r="L33" s="3" t="s">
        <v>24</v>
      </c>
      <c r="M33">
        <v>1</v>
      </c>
    </row>
    <row r="34" spans="1:13" x14ac:dyDescent="0.25">
      <c r="A34" s="2">
        <v>46216</v>
      </c>
      <c r="B34" s="1" t="str">
        <f ca="1">IF(Información1[[#This Row],[Fecha]]='Ajuste de fechas'!$A$2,"Día actual","Día anterior")</f>
        <v>Día anterior</v>
      </c>
      <c r="C34" s="3" t="s">
        <v>41</v>
      </c>
      <c r="D34" t="s">
        <v>42</v>
      </c>
      <c r="E34" s="3" t="s">
        <v>44</v>
      </c>
      <c r="F34" s="3" t="s">
        <v>10</v>
      </c>
      <c r="G34" s="3" t="s">
        <v>138</v>
      </c>
      <c r="H34" s="3" t="s">
        <v>8</v>
      </c>
      <c r="I34" s="3" t="s">
        <v>40</v>
      </c>
      <c r="J34" s="3" t="s">
        <v>33</v>
      </c>
      <c r="K34" s="3" t="s">
        <v>43</v>
      </c>
      <c r="L34" s="3" t="s">
        <v>25</v>
      </c>
      <c r="M34">
        <v>1</v>
      </c>
    </row>
    <row r="35" spans="1:13" x14ac:dyDescent="0.25">
      <c r="A35" s="2">
        <v>46216</v>
      </c>
      <c r="B35" s="1" t="str">
        <f ca="1">IF(Información1[[#This Row],[Fecha]]='Ajuste de fechas'!$A$2,"Día actual","Día anterior")</f>
        <v>Día anterior</v>
      </c>
      <c r="C35" s="3" t="s">
        <v>41</v>
      </c>
      <c r="D35" t="s">
        <v>42</v>
      </c>
      <c r="E35" s="3" t="s">
        <v>46</v>
      </c>
      <c r="F35" s="3" t="s">
        <v>10</v>
      </c>
      <c r="G35" s="3" t="s">
        <v>138</v>
      </c>
      <c r="H35" s="3" t="s">
        <v>8</v>
      </c>
      <c r="I35" s="3" t="s">
        <v>40</v>
      </c>
      <c r="J35" s="3" t="s">
        <v>33</v>
      </c>
      <c r="K35" s="3" t="s">
        <v>43</v>
      </c>
      <c r="L35" s="3" t="s">
        <v>25</v>
      </c>
      <c r="M35">
        <v>1</v>
      </c>
    </row>
    <row r="36" spans="1:13" x14ac:dyDescent="0.25">
      <c r="A36" s="2">
        <v>46216</v>
      </c>
      <c r="B36" s="1" t="str">
        <f ca="1">IF(Información1[[#This Row],[Fecha]]='Ajuste de fechas'!$A$2,"Día actual","Día anterior")</f>
        <v>Día anterior</v>
      </c>
      <c r="C36" s="3" t="s">
        <v>41</v>
      </c>
      <c r="D36" t="s">
        <v>42</v>
      </c>
      <c r="E36" s="3" t="s">
        <v>47</v>
      </c>
      <c r="F36" s="3" t="s">
        <v>34</v>
      </c>
      <c r="G36" s="3" t="s">
        <v>138</v>
      </c>
      <c r="H36" s="3" t="s">
        <v>8</v>
      </c>
      <c r="I36" s="3" t="s">
        <v>40</v>
      </c>
      <c r="J36" s="3" t="s">
        <v>31</v>
      </c>
      <c r="K36" s="3" t="s">
        <v>43</v>
      </c>
      <c r="L36" s="3" t="s">
        <v>25</v>
      </c>
      <c r="M36">
        <v>1</v>
      </c>
    </row>
    <row r="37" spans="1:13" x14ac:dyDescent="0.25">
      <c r="A37" s="2">
        <v>46216</v>
      </c>
      <c r="B37" s="1" t="str">
        <f ca="1">IF(Información1[[#This Row],[Fecha]]='Ajuste de fechas'!$A$2,"Día actual","Día anterior")</f>
        <v>Día anterior</v>
      </c>
      <c r="C37" s="3" t="s">
        <v>41</v>
      </c>
      <c r="D37" t="s">
        <v>42</v>
      </c>
      <c r="E37" s="3" t="s">
        <v>51</v>
      </c>
      <c r="F37" s="3" t="s">
        <v>30</v>
      </c>
      <c r="G37" s="3" t="s">
        <v>138</v>
      </c>
      <c r="H37" s="3" t="s">
        <v>8</v>
      </c>
      <c r="I37" s="3" t="s">
        <v>40</v>
      </c>
      <c r="J37" s="3" t="s">
        <v>13</v>
      </c>
      <c r="K37" s="3" t="s">
        <v>43</v>
      </c>
      <c r="L37" s="3" t="s">
        <v>25</v>
      </c>
      <c r="M37">
        <v>1</v>
      </c>
    </row>
    <row r="38" spans="1:13" x14ac:dyDescent="0.25">
      <c r="A38" s="2">
        <v>46216</v>
      </c>
      <c r="B38" s="1" t="str">
        <f ca="1">IF(Información1[[#This Row],[Fecha]]='Ajuste de fechas'!$A$2,"Día actual","Día anterior")</f>
        <v>Día anterior</v>
      </c>
      <c r="C38" s="3" t="s">
        <v>41</v>
      </c>
      <c r="D38" t="s">
        <v>42</v>
      </c>
      <c r="E38" s="3" t="s">
        <v>48</v>
      </c>
      <c r="F38" s="3" t="s">
        <v>9</v>
      </c>
      <c r="G38" s="3" t="s">
        <v>138</v>
      </c>
      <c r="H38" s="3" t="s">
        <v>8</v>
      </c>
      <c r="I38" s="3" t="s">
        <v>40</v>
      </c>
      <c r="J38" s="3" t="s">
        <v>31</v>
      </c>
      <c r="K38" s="3" t="s">
        <v>43</v>
      </c>
      <c r="L38" s="3" t="s">
        <v>25</v>
      </c>
      <c r="M38">
        <v>1</v>
      </c>
    </row>
    <row r="39" spans="1:13" x14ac:dyDescent="0.25">
      <c r="A39" s="2">
        <v>46216</v>
      </c>
      <c r="B39" s="1" t="str">
        <f ca="1">IF(Información1[[#This Row],[Fecha]]='Ajuste de fechas'!$A$2,"Día actual","Día anterior")</f>
        <v>Día anterior</v>
      </c>
      <c r="C39" s="3" t="s">
        <v>41</v>
      </c>
      <c r="D39" t="s">
        <v>42</v>
      </c>
      <c r="E39" s="3" t="s">
        <v>49</v>
      </c>
      <c r="F39" s="3" t="s">
        <v>38</v>
      </c>
      <c r="G39" s="3" t="s">
        <v>138</v>
      </c>
      <c r="H39" s="3" t="s">
        <v>8</v>
      </c>
      <c r="I39" s="3" t="s">
        <v>40</v>
      </c>
      <c r="J39" s="3" t="s">
        <v>31</v>
      </c>
      <c r="K39" s="3" t="s">
        <v>43</v>
      </c>
      <c r="L39" s="3" t="s">
        <v>25</v>
      </c>
      <c r="M39">
        <v>1</v>
      </c>
    </row>
    <row r="40" spans="1:13" x14ac:dyDescent="0.25">
      <c r="A40" s="2">
        <v>46216</v>
      </c>
      <c r="B40" s="1" t="str">
        <f ca="1">IF(Información1[[#This Row],[Fecha]]='Ajuste de fechas'!$A$2,"Día actual","Día anterior")</f>
        <v>Día anterior</v>
      </c>
      <c r="C40" s="3" t="s">
        <v>41</v>
      </c>
      <c r="D40" t="s">
        <v>42</v>
      </c>
      <c r="E40" s="3" t="s">
        <v>50</v>
      </c>
      <c r="F40" s="3" t="s">
        <v>38</v>
      </c>
      <c r="G40" s="3" t="s">
        <v>138</v>
      </c>
      <c r="H40" s="3" t="s">
        <v>8</v>
      </c>
      <c r="I40" s="3" t="s">
        <v>40</v>
      </c>
      <c r="J40" s="3" t="s">
        <v>31</v>
      </c>
      <c r="K40" s="3" t="s">
        <v>43</v>
      </c>
      <c r="L40" s="3" t="s">
        <v>25</v>
      </c>
      <c r="M40">
        <v>1</v>
      </c>
    </row>
    <row r="41" spans="1:13" x14ac:dyDescent="0.25">
      <c r="A41" s="2">
        <v>46216</v>
      </c>
      <c r="B41" s="1" t="str">
        <f ca="1">IF(Información1[[#This Row],[Fecha]]='Ajuste de fechas'!$A$2,"Día actual","Día anterior")</f>
        <v>Día anterior</v>
      </c>
      <c r="C41" s="3" t="s">
        <v>41</v>
      </c>
      <c r="D41" t="s">
        <v>42</v>
      </c>
      <c r="E41" s="3" t="s">
        <v>139</v>
      </c>
      <c r="F41" s="3" t="s">
        <v>10</v>
      </c>
      <c r="G41" s="3" t="s">
        <v>45</v>
      </c>
      <c r="H41" s="3" t="s">
        <v>8</v>
      </c>
      <c r="I41" s="3" t="s">
        <v>40</v>
      </c>
      <c r="J41" s="3" t="s">
        <v>33</v>
      </c>
      <c r="K41" s="3" t="s">
        <v>43</v>
      </c>
      <c r="L41" s="3" t="s">
        <v>25</v>
      </c>
      <c r="M41">
        <v>1</v>
      </c>
    </row>
    <row r="42" spans="1:13" x14ac:dyDescent="0.25">
      <c r="A42" s="2">
        <v>46216</v>
      </c>
      <c r="B42" s="1" t="str">
        <f ca="1">IF(Información1[[#This Row],[Fecha]]='Ajuste de fechas'!$A$2,"Día actual","Día anterior")</f>
        <v>Día anterior</v>
      </c>
      <c r="C42" s="3" t="s">
        <v>41</v>
      </c>
      <c r="D42" t="s">
        <v>42</v>
      </c>
      <c r="E42" s="3" t="s">
        <v>140</v>
      </c>
      <c r="F42" s="3" t="s">
        <v>10</v>
      </c>
      <c r="G42" s="3" t="s">
        <v>45</v>
      </c>
      <c r="H42" s="3" t="s">
        <v>8</v>
      </c>
      <c r="I42" s="3" t="s">
        <v>40</v>
      </c>
      <c r="J42" s="3" t="s">
        <v>33</v>
      </c>
      <c r="K42" s="3" t="s">
        <v>43</v>
      </c>
      <c r="L42" s="3" t="s">
        <v>25</v>
      </c>
      <c r="M42">
        <v>1</v>
      </c>
    </row>
    <row r="43" spans="1:13" x14ac:dyDescent="0.25">
      <c r="A43" s="2">
        <v>46216</v>
      </c>
      <c r="B43" s="1" t="str">
        <f ca="1">IF(Información1[[#This Row],[Fecha]]='Ajuste de fechas'!$A$2,"Día actual","Día anterior")</f>
        <v>Día anterior</v>
      </c>
      <c r="C43" s="3" t="s">
        <v>41</v>
      </c>
      <c r="D43" t="s">
        <v>42</v>
      </c>
      <c r="E43" s="3" t="s">
        <v>141</v>
      </c>
      <c r="F43" s="3" t="s">
        <v>10</v>
      </c>
      <c r="G43" s="3" t="s">
        <v>45</v>
      </c>
      <c r="H43" s="3" t="s">
        <v>8</v>
      </c>
      <c r="I43" s="3" t="s">
        <v>7</v>
      </c>
      <c r="J43" s="3" t="s">
        <v>33</v>
      </c>
      <c r="K43" s="3" t="s">
        <v>43</v>
      </c>
      <c r="L43" s="3" t="s">
        <v>36</v>
      </c>
      <c r="M43">
        <v>1</v>
      </c>
    </row>
    <row r="44" spans="1:13" x14ac:dyDescent="0.25">
      <c r="A44" s="2">
        <v>46216</v>
      </c>
      <c r="B44" s="1" t="str">
        <f ca="1">IF(Información1[[#This Row],[Fecha]]='Ajuste de fechas'!$A$2,"Día actual","Día anterior")</f>
        <v>Día anterior</v>
      </c>
      <c r="C44" s="3" t="s">
        <v>16</v>
      </c>
      <c r="D44" t="s">
        <v>72</v>
      </c>
      <c r="E44" s="3" t="s">
        <v>142</v>
      </c>
      <c r="F44" s="3" t="s">
        <v>38</v>
      </c>
      <c r="G44" s="3" t="s">
        <v>143</v>
      </c>
      <c r="H44" s="3" t="s">
        <v>8</v>
      </c>
      <c r="I44" s="3" t="s">
        <v>14</v>
      </c>
      <c r="J44" s="3" t="s">
        <v>31</v>
      </c>
      <c r="K44" s="3" t="s">
        <v>73</v>
      </c>
      <c r="L44" s="3" t="s">
        <v>24</v>
      </c>
      <c r="M44">
        <v>1</v>
      </c>
    </row>
    <row r="45" spans="1:13" x14ac:dyDescent="0.25">
      <c r="A45" s="2">
        <v>46216</v>
      </c>
      <c r="B45" s="1" t="str">
        <f ca="1">IF(Información1[[#This Row],[Fecha]]='Ajuste de fechas'!$A$2,"Día actual","Día anterior")</f>
        <v>Día anterior</v>
      </c>
      <c r="C45" s="3" t="s">
        <v>16</v>
      </c>
      <c r="D45" t="s">
        <v>53</v>
      </c>
      <c r="E45" s="3" t="s">
        <v>144</v>
      </c>
      <c r="F45" s="3" t="s">
        <v>34</v>
      </c>
      <c r="G45" s="3" t="s">
        <v>112</v>
      </c>
      <c r="H45" s="3" t="s">
        <v>8</v>
      </c>
      <c r="I45" s="3" t="s">
        <v>7</v>
      </c>
      <c r="J45" s="3" t="s">
        <v>31</v>
      </c>
      <c r="K45" s="3" t="s">
        <v>54</v>
      </c>
      <c r="L45" s="3" t="s">
        <v>24</v>
      </c>
      <c r="M45">
        <v>1</v>
      </c>
    </row>
    <row r="46" spans="1:13" x14ac:dyDescent="0.25">
      <c r="A46" s="2">
        <v>46216</v>
      </c>
      <c r="B46" s="1" t="str">
        <f ca="1">IF(Información1[[#This Row],[Fecha]]='Ajuste de fechas'!$A$2,"Día actual","Día anterior")</f>
        <v>Día anterior</v>
      </c>
      <c r="C46" s="3" t="s">
        <v>16</v>
      </c>
      <c r="D46" t="s">
        <v>53</v>
      </c>
      <c r="E46" s="3" t="s">
        <v>145</v>
      </c>
      <c r="F46" s="3" t="s">
        <v>12</v>
      </c>
      <c r="G46" s="3" t="s">
        <v>132</v>
      </c>
      <c r="H46" s="3" t="s">
        <v>8</v>
      </c>
      <c r="I46" s="3" t="s">
        <v>7</v>
      </c>
      <c r="J46" s="3" t="s">
        <v>31</v>
      </c>
      <c r="K46" s="3" t="s">
        <v>54</v>
      </c>
      <c r="L46" s="3" t="s">
        <v>24</v>
      </c>
      <c r="M46">
        <v>1</v>
      </c>
    </row>
    <row r="47" spans="1:13" x14ac:dyDescent="0.25">
      <c r="A47" s="2">
        <v>46216</v>
      </c>
      <c r="B47" s="1" t="str">
        <f ca="1">IF(Información1[[#This Row],[Fecha]]='Ajuste de fechas'!$A$2,"Día actual","Día anterior")</f>
        <v>Día anterior</v>
      </c>
      <c r="C47" s="3" t="s">
        <v>16</v>
      </c>
      <c r="D47" t="s">
        <v>53</v>
      </c>
      <c r="E47" s="3" t="s">
        <v>146</v>
      </c>
      <c r="F47" s="3" t="s">
        <v>35</v>
      </c>
      <c r="G47" s="3" t="s">
        <v>64</v>
      </c>
      <c r="H47" s="3" t="s">
        <v>8</v>
      </c>
      <c r="I47" s="3" t="s">
        <v>7</v>
      </c>
      <c r="J47" s="3" t="s">
        <v>31</v>
      </c>
      <c r="K47" s="3" t="s">
        <v>54</v>
      </c>
      <c r="L47" s="3" t="s">
        <v>24</v>
      </c>
      <c r="M47">
        <v>1</v>
      </c>
    </row>
    <row r="48" spans="1:13" x14ac:dyDescent="0.25">
      <c r="A48" s="2">
        <v>46216</v>
      </c>
      <c r="B48" s="1" t="str">
        <f ca="1">IF(Información1[[#This Row],[Fecha]]='Ajuste de fechas'!$A$2,"Día actual","Día anterior")</f>
        <v>Día anterior</v>
      </c>
      <c r="C48" s="3" t="s">
        <v>41</v>
      </c>
      <c r="D48" t="s">
        <v>42</v>
      </c>
      <c r="E48" s="3" t="s">
        <v>147</v>
      </c>
      <c r="F48" s="3" t="s">
        <v>35</v>
      </c>
      <c r="G48" s="3" t="s">
        <v>64</v>
      </c>
      <c r="H48" s="3" t="s">
        <v>8</v>
      </c>
      <c r="I48" s="3" t="s">
        <v>7</v>
      </c>
      <c r="J48" s="3" t="s">
        <v>31</v>
      </c>
      <c r="K48" s="3" t="s">
        <v>43</v>
      </c>
      <c r="L48" s="3" t="s">
        <v>26</v>
      </c>
      <c r="M48">
        <v>1</v>
      </c>
    </row>
    <row r="49" spans="1:13" x14ac:dyDescent="0.25">
      <c r="A49" s="2">
        <v>46216</v>
      </c>
      <c r="B49" s="1" t="str">
        <f ca="1">IF(Información1[[#This Row],[Fecha]]='Ajuste de fechas'!$A$2,"Día actual","Día anterior")</f>
        <v>Día anterior</v>
      </c>
      <c r="C49" s="3" t="s">
        <v>16</v>
      </c>
      <c r="D49" t="s">
        <v>53</v>
      </c>
      <c r="E49" s="3" t="s">
        <v>148</v>
      </c>
      <c r="F49" s="3" t="s">
        <v>12</v>
      </c>
      <c r="G49" s="3" t="s">
        <v>78</v>
      </c>
      <c r="H49" s="3" t="s">
        <v>8</v>
      </c>
      <c r="I49" s="3" t="s">
        <v>7</v>
      </c>
      <c r="J49" s="3" t="s">
        <v>31</v>
      </c>
      <c r="K49" s="3" t="s">
        <v>54</v>
      </c>
      <c r="L49" s="3" t="s">
        <v>24</v>
      </c>
      <c r="M49">
        <v>1</v>
      </c>
    </row>
    <row r="50" spans="1:13" x14ac:dyDescent="0.25">
      <c r="A50" s="2">
        <v>46216</v>
      </c>
      <c r="B50" s="1" t="str">
        <f ca="1">IF(Información1[[#This Row],[Fecha]]='Ajuste de fechas'!$A$2,"Día actual","Día anterior")</f>
        <v>Día anterior</v>
      </c>
      <c r="C50" s="3" t="s">
        <v>16</v>
      </c>
      <c r="D50" t="s">
        <v>72</v>
      </c>
      <c r="E50" s="3" t="s">
        <v>149</v>
      </c>
      <c r="F50" s="3" t="s">
        <v>10</v>
      </c>
      <c r="G50" s="3" t="s">
        <v>150</v>
      </c>
      <c r="H50" s="3" t="s">
        <v>8</v>
      </c>
      <c r="I50" s="3" t="s">
        <v>7</v>
      </c>
      <c r="J50" s="3" t="s">
        <v>33</v>
      </c>
      <c r="K50" s="3" t="s">
        <v>73</v>
      </c>
      <c r="L50" s="3" t="s">
        <v>24</v>
      </c>
      <c r="M50">
        <v>1</v>
      </c>
    </row>
    <row r="51" spans="1:13" x14ac:dyDescent="0.25">
      <c r="A51" s="2">
        <v>46216</v>
      </c>
      <c r="B51" s="1" t="str">
        <f ca="1">IF(Información1[[#This Row],[Fecha]]='Ajuste de fechas'!$A$2,"Día actual","Día anterior")</f>
        <v>Día anterior</v>
      </c>
      <c r="C51" s="3" t="s">
        <v>16</v>
      </c>
      <c r="D51" t="s">
        <v>72</v>
      </c>
      <c r="E51" s="3" t="s">
        <v>151</v>
      </c>
      <c r="F51" s="3" t="s">
        <v>13</v>
      </c>
      <c r="G51" s="3" t="s">
        <v>150</v>
      </c>
      <c r="H51" s="3" t="s">
        <v>8</v>
      </c>
      <c r="I51" s="3" t="s">
        <v>7</v>
      </c>
      <c r="J51" s="3" t="s">
        <v>13</v>
      </c>
      <c r="K51" s="3" t="s">
        <v>73</v>
      </c>
      <c r="L51" s="3" t="s">
        <v>24</v>
      </c>
      <c r="M51">
        <v>1</v>
      </c>
    </row>
    <row r="52" spans="1:13" x14ac:dyDescent="0.25">
      <c r="A52" s="2">
        <v>46216</v>
      </c>
      <c r="B52" s="1" t="str">
        <f ca="1">IF(Información1[[#This Row],[Fecha]]='Ajuste de fechas'!$A$2,"Día actual","Día anterior")</f>
        <v>Día anterior</v>
      </c>
      <c r="C52" s="3" t="s">
        <v>16</v>
      </c>
      <c r="D52" t="s">
        <v>53</v>
      </c>
      <c r="E52" s="3" t="s">
        <v>152</v>
      </c>
      <c r="F52" s="3" t="s">
        <v>13</v>
      </c>
      <c r="G52" s="3" t="s">
        <v>150</v>
      </c>
      <c r="H52" s="3" t="s">
        <v>8</v>
      </c>
      <c r="I52" s="3" t="s">
        <v>7</v>
      </c>
      <c r="J52" s="3" t="s">
        <v>13</v>
      </c>
      <c r="K52" s="3" t="s">
        <v>54</v>
      </c>
      <c r="L52" s="3" t="s">
        <v>24</v>
      </c>
      <c r="M52">
        <v>1</v>
      </c>
    </row>
    <row r="53" spans="1:13" x14ac:dyDescent="0.25">
      <c r="A53" s="2">
        <v>46216</v>
      </c>
      <c r="B53" s="1" t="str">
        <f ca="1">IF(Información1[[#This Row],[Fecha]]='Ajuste de fechas'!$A$2,"Día actual","Día anterior")</f>
        <v>Día anterior</v>
      </c>
      <c r="C53" s="3" t="s">
        <v>16</v>
      </c>
      <c r="D53" t="s">
        <v>53</v>
      </c>
      <c r="E53" s="3" t="s">
        <v>153</v>
      </c>
      <c r="F53" s="3" t="s">
        <v>56</v>
      </c>
      <c r="G53" s="3" t="s">
        <v>84</v>
      </c>
      <c r="H53" s="3" t="s">
        <v>8</v>
      </c>
      <c r="I53" s="3" t="s">
        <v>7</v>
      </c>
      <c r="J53" s="3" t="s">
        <v>31</v>
      </c>
      <c r="K53" s="3" t="s">
        <v>54</v>
      </c>
      <c r="L53" s="3" t="s">
        <v>25</v>
      </c>
      <c r="M53">
        <v>1</v>
      </c>
    </row>
    <row r="54" spans="1:13" x14ac:dyDescent="0.25">
      <c r="A54" s="2">
        <v>46216</v>
      </c>
      <c r="B54" s="1" t="str">
        <f ca="1">IF(Información1[[#This Row],[Fecha]]='Ajuste de fechas'!$A$2,"Día actual","Día anterior")</f>
        <v>Día anterior</v>
      </c>
      <c r="C54" s="3" t="s">
        <v>16</v>
      </c>
      <c r="D54" t="s">
        <v>53</v>
      </c>
      <c r="E54" s="3" t="s">
        <v>154</v>
      </c>
      <c r="F54" s="3" t="s">
        <v>56</v>
      </c>
      <c r="G54" s="3" t="s">
        <v>84</v>
      </c>
      <c r="H54" s="3" t="s">
        <v>8</v>
      </c>
      <c r="I54" s="3" t="s">
        <v>7</v>
      </c>
      <c r="J54" s="3" t="s">
        <v>31</v>
      </c>
      <c r="K54" s="3" t="s">
        <v>54</v>
      </c>
      <c r="L54" s="3" t="s">
        <v>24</v>
      </c>
      <c r="M54">
        <v>1</v>
      </c>
    </row>
    <row r="55" spans="1:13" x14ac:dyDescent="0.25">
      <c r="A55" s="2">
        <v>46216</v>
      </c>
      <c r="B55" s="1" t="str">
        <f ca="1">IF(Información1[[#This Row],[Fecha]]='Ajuste de fechas'!$A$2,"Día actual","Día anterior")</f>
        <v>Día anterior</v>
      </c>
      <c r="C55" s="3" t="s">
        <v>41</v>
      </c>
      <c r="D55" t="s">
        <v>42</v>
      </c>
      <c r="E55" s="3" t="s">
        <v>83</v>
      </c>
      <c r="F55" s="3" t="s">
        <v>56</v>
      </c>
      <c r="G55" s="3" t="s">
        <v>84</v>
      </c>
      <c r="H55" s="3" t="s">
        <v>8</v>
      </c>
      <c r="I55" s="3" t="s">
        <v>7</v>
      </c>
      <c r="J55" s="3" t="s">
        <v>31</v>
      </c>
      <c r="K55" s="3" t="s">
        <v>43</v>
      </c>
      <c r="L55" s="3" t="s">
        <v>26</v>
      </c>
      <c r="M55">
        <v>1</v>
      </c>
    </row>
    <row r="56" spans="1:13" x14ac:dyDescent="0.25">
      <c r="A56" s="2">
        <v>46216</v>
      </c>
      <c r="B56" s="1" t="str">
        <f ca="1">IF(Información1[[#This Row],[Fecha]]='Ajuste de fechas'!$A$2,"Día actual","Día anterior")</f>
        <v>Día anterior</v>
      </c>
      <c r="C56" s="3" t="s">
        <v>16</v>
      </c>
      <c r="D56" t="s">
        <v>53</v>
      </c>
      <c r="E56" s="3" t="s">
        <v>155</v>
      </c>
      <c r="F56" s="3" t="s">
        <v>70</v>
      </c>
      <c r="G56" s="3" t="s">
        <v>68</v>
      </c>
      <c r="H56" s="3" t="s">
        <v>8</v>
      </c>
      <c r="I56" s="3" t="s">
        <v>7</v>
      </c>
      <c r="J56" s="3" t="s">
        <v>31</v>
      </c>
      <c r="K56" s="3" t="s">
        <v>54</v>
      </c>
      <c r="L56" s="3" t="s">
        <v>24</v>
      </c>
      <c r="M56">
        <v>1</v>
      </c>
    </row>
    <row r="57" spans="1:13" x14ac:dyDescent="0.25">
      <c r="A57" s="2">
        <v>46216</v>
      </c>
      <c r="B57" s="1" t="str">
        <f ca="1">IF(Información1[[#This Row],[Fecha]]='Ajuste de fechas'!$A$2,"Día actual","Día anterior")</f>
        <v>Día anterior</v>
      </c>
      <c r="C57" s="3" t="s">
        <v>16</v>
      </c>
      <c r="D57" t="s">
        <v>72</v>
      </c>
      <c r="E57" s="3" t="s">
        <v>156</v>
      </c>
      <c r="F57" s="3" t="s">
        <v>9</v>
      </c>
      <c r="G57" s="3" t="s">
        <v>157</v>
      </c>
      <c r="H57" s="3" t="s">
        <v>8</v>
      </c>
      <c r="I57" s="3" t="s">
        <v>7</v>
      </c>
      <c r="J57" s="3" t="s">
        <v>31</v>
      </c>
      <c r="K57" s="3" t="s">
        <v>73</v>
      </c>
      <c r="L57" s="3" t="s">
        <v>24</v>
      </c>
      <c r="M57">
        <v>1</v>
      </c>
    </row>
    <row r="58" spans="1:13" x14ac:dyDescent="0.25">
      <c r="A58" s="2">
        <v>46216</v>
      </c>
      <c r="B58" s="1" t="str">
        <f ca="1">IF(Información1[[#This Row],[Fecha]]='Ajuste de fechas'!$A$2,"Día actual","Día anterior")</f>
        <v>Día anterior</v>
      </c>
      <c r="C58" s="3" t="s">
        <v>41</v>
      </c>
      <c r="D58" t="s">
        <v>42</v>
      </c>
      <c r="E58" s="3" t="s">
        <v>158</v>
      </c>
      <c r="F58" s="3" t="s">
        <v>6</v>
      </c>
      <c r="G58" s="3" t="s">
        <v>77</v>
      </c>
      <c r="H58" s="3" t="s">
        <v>8</v>
      </c>
      <c r="I58" s="3" t="s">
        <v>14</v>
      </c>
      <c r="J58" s="3" t="s">
        <v>31</v>
      </c>
      <c r="K58" s="3" t="s">
        <v>43</v>
      </c>
      <c r="L58" s="3" t="s">
        <v>25</v>
      </c>
      <c r="M58">
        <v>1</v>
      </c>
    </row>
    <row r="59" spans="1:13" x14ac:dyDescent="0.25">
      <c r="A59" s="2">
        <v>46216</v>
      </c>
      <c r="B59" s="1" t="str">
        <f ca="1">IF(Información1[[#This Row],[Fecha]]='Ajuste de fechas'!$A$2,"Día actual","Día anterior")</f>
        <v>Día anterior</v>
      </c>
      <c r="C59" s="3" t="s">
        <v>74</v>
      </c>
      <c r="D59" t="s">
        <v>75</v>
      </c>
      <c r="E59" s="3" t="s">
        <v>159</v>
      </c>
      <c r="F59" s="3" t="s">
        <v>34</v>
      </c>
      <c r="G59" s="3" t="s">
        <v>160</v>
      </c>
      <c r="H59" s="3" t="s">
        <v>8</v>
      </c>
      <c r="I59" s="3" t="s">
        <v>7</v>
      </c>
      <c r="J59" s="3" t="s">
        <v>31</v>
      </c>
      <c r="K59" s="3" t="s">
        <v>76</v>
      </c>
      <c r="L59" s="3" t="s">
        <v>26</v>
      </c>
      <c r="M59">
        <v>1</v>
      </c>
    </row>
    <row r="60" spans="1:13" x14ac:dyDescent="0.25">
      <c r="A60" s="2">
        <v>46216</v>
      </c>
      <c r="B60" s="1" t="str">
        <f ca="1">IF(Información1[[#This Row],[Fecha]]='Ajuste de fechas'!$A$2,"Día actual","Día anterior")</f>
        <v>Día anterior</v>
      </c>
      <c r="C60" s="3" t="s">
        <v>41</v>
      </c>
      <c r="D60" t="s">
        <v>42</v>
      </c>
      <c r="E60" s="3" t="s">
        <v>161</v>
      </c>
      <c r="F60" s="3" t="s">
        <v>162</v>
      </c>
      <c r="G60" s="3" t="s">
        <v>163</v>
      </c>
      <c r="H60" s="3" t="s">
        <v>8</v>
      </c>
      <c r="I60" s="3" t="s">
        <v>7</v>
      </c>
      <c r="J60" s="3" t="s">
        <v>31</v>
      </c>
      <c r="K60" s="3" t="s">
        <v>43</v>
      </c>
      <c r="L60" s="3" t="s">
        <v>26</v>
      </c>
      <c r="M60">
        <v>1</v>
      </c>
    </row>
    <row r="61" spans="1:13" x14ac:dyDescent="0.25">
      <c r="A61" s="2">
        <v>46216</v>
      </c>
      <c r="B61" s="1" t="str">
        <f ca="1">IF(Información1[[#This Row],[Fecha]]='Ajuste de fechas'!$A$2,"Día actual","Día anterior")</f>
        <v>Día anterior</v>
      </c>
      <c r="C61" s="3" t="s">
        <v>16</v>
      </c>
      <c r="D61" t="s">
        <v>72</v>
      </c>
      <c r="E61" s="3" t="s">
        <v>164</v>
      </c>
      <c r="F61" s="3" t="s">
        <v>34</v>
      </c>
      <c r="G61" s="3" t="s">
        <v>165</v>
      </c>
      <c r="H61" s="3" t="s">
        <v>8</v>
      </c>
      <c r="I61" s="3" t="s">
        <v>7</v>
      </c>
      <c r="J61" s="3" t="s">
        <v>31</v>
      </c>
      <c r="K61" s="3" t="s">
        <v>73</v>
      </c>
      <c r="L61" s="3" t="s">
        <v>24</v>
      </c>
      <c r="M61">
        <v>1</v>
      </c>
    </row>
    <row r="62" spans="1:13" x14ac:dyDescent="0.25">
      <c r="A62" s="2">
        <v>46216</v>
      </c>
      <c r="B62" s="1" t="str">
        <f ca="1">IF(Información1[[#This Row],[Fecha]]='Ajuste de fechas'!$A$2,"Día actual","Día anterior")</f>
        <v>Día anterior</v>
      </c>
      <c r="C62" s="3" t="s">
        <v>16</v>
      </c>
      <c r="D62" t="s">
        <v>53</v>
      </c>
      <c r="E62" s="3" t="s">
        <v>166</v>
      </c>
      <c r="F62" s="3" t="s">
        <v>34</v>
      </c>
      <c r="G62" s="3" t="s">
        <v>165</v>
      </c>
      <c r="H62" s="3" t="s">
        <v>8</v>
      </c>
      <c r="I62" s="3" t="s">
        <v>7</v>
      </c>
      <c r="J62" s="3" t="s">
        <v>31</v>
      </c>
      <c r="K62" s="3" t="s">
        <v>54</v>
      </c>
      <c r="L62" s="3" t="s">
        <v>24</v>
      </c>
      <c r="M62">
        <v>1</v>
      </c>
    </row>
    <row r="63" spans="1:13" x14ac:dyDescent="0.25">
      <c r="A63" s="2">
        <v>46216</v>
      </c>
      <c r="B63" s="1" t="str">
        <f ca="1">IF(Información1[[#This Row],[Fecha]]='Ajuste de fechas'!$A$2,"Día actual","Día anterior")</f>
        <v>Día anterior</v>
      </c>
      <c r="C63" s="3" t="s">
        <v>16</v>
      </c>
      <c r="D63" t="s">
        <v>72</v>
      </c>
      <c r="E63" s="3" t="s">
        <v>167</v>
      </c>
      <c r="F63" s="3" t="s">
        <v>11</v>
      </c>
      <c r="G63" s="3" t="s">
        <v>89</v>
      </c>
      <c r="H63" s="3" t="s">
        <v>8</v>
      </c>
      <c r="I63" s="3" t="s">
        <v>7</v>
      </c>
      <c r="J63" s="3" t="s">
        <v>32</v>
      </c>
      <c r="K63" s="3" t="s">
        <v>73</v>
      </c>
      <c r="L63" s="3" t="s">
        <v>24</v>
      </c>
      <c r="M63">
        <v>1</v>
      </c>
    </row>
    <row r="64" spans="1:13" x14ac:dyDescent="0.25">
      <c r="A64" s="2">
        <v>46216</v>
      </c>
      <c r="B64" s="1" t="str">
        <f ca="1">IF(Información1[[#This Row],[Fecha]]='Ajuste de fechas'!$A$2,"Día actual","Día anterior")</f>
        <v>Día anterior</v>
      </c>
      <c r="C64" s="3" t="s">
        <v>16</v>
      </c>
      <c r="D64" t="s">
        <v>53</v>
      </c>
      <c r="E64" s="3" t="s">
        <v>167</v>
      </c>
      <c r="F64" s="3" t="s">
        <v>11</v>
      </c>
      <c r="G64" s="3" t="s">
        <v>89</v>
      </c>
      <c r="H64" s="3" t="s">
        <v>8</v>
      </c>
      <c r="I64" s="3" t="s">
        <v>7</v>
      </c>
      <c r="J64" s="3" t="s">
        <v>32</v>
      </c>
      <c r="K64" s="3" t="s">
        <v>54</v>
      </c>
      <c r="L64" s="3" t="s">
        <v>24</v>
      </c>
      <c r="M64">
        <v>1</v>
      </c>
    </row>
    <row r="65" spans="1:13" x14ac:dyDescent="0.25">
      <c r="A65" s="2">
        <v>46216</v>
      </c>
      <c r="B65" s="1" t="str">
        <f ca="1">IF(Información1[[#This Row],[Fecha]]='Ajuste de fechas'!$A$2,"Día actual","Día anterior")</f>
        <v>Día anterior</v>
      </c>
      <c r="C65" s="3" t="s">
        <v>41</v>
      </c>
      <c r="D65" t="s">
        <v>42</v>
      </c>
      <c r="E65" s="3" t="s">
        <v>168</v>
      </c>
      <c r="F65" s="3" t="s">
        <v>10</v>
      </c>
      <c r="G65" s="3" t="s">
        <v>169</v>
      </c>
      <c r="H65" s="3" t="s">
        <v>8</v>
      </c>
      <c r="I65" s="3" t="s">
        <v>7</v>
      </c>
      <c r="J65" s="3" t="s">
        <v>33</v>
      </c>
      <c r="K65" s="3" t="s">
        <v>43</v>
      </c>
      <c r="L65" s="3" t="s">
        <v>25</v>
      </c>
      <c r="M65">
        <v>1</v>
      </c>
    </row>
    <row r="66" spans="1:13" x14ac:dyDescent="0.25">
      <c r="A66" s="2">
        <v>46216</v>
      </c>
      <c r="B66" s="1" t="str">
        <f ca="1">IF(Información1[[#This Row],[Fecha]]='Ajuste de fechas'!$A$2,"Día actual","Día anterior")</f>
        <v>Día anterior</v>
      </c>
      <c r="C66" s="3" t="s">
        <v>16</v>
      </c>
      <c r="D66" t="s">
        <v>72</v>
      </c>
      <c r="E66" s="3" t="s">
        <v>170</v>
      </c>
      <c r="F66" s="3" t="s">
        <v>35</v>
      </c>
      <c r="G66" s="3" t="s">
        <v>105</v>
      </c>
      <c r="H66" s="3" t="s">
        <v>8</v>
      </c>
      <c r="I66" s="3" t="s">
        <v>7</v>
      </c>
      <c r="J66" s="3" t="s">
        <v>31</v>
      </c>
      <c r="K66" s="3" t="s">
        <v>73</v>
      </c>
      <c r="L66" s="3" t="s">
        <v>24</v>
      </c>
      <c r="M66">
        <v>1</v>
      </c>
    </row>
    <row r="67" spans="1:13" x14ac:dyDescent="0.25">
      <c r="A67" s="2">
        <v>46216</v>
      </c>
      <c r="B67" s="1" t="str">
        <f ca="1">IF(Información1[[#This Row],[Fecha]]='Ajuste de fechas'!$A$2,"Día actual","Día anterior")</f>
        <v>Día anterior</v>
      </c>
      <c r="C67" s="3" t="s">
        <v>16</v>
      </c>
      <c r="D67" t="s">
        <v>72</v>
      </c>
      <c r="E67" s="3" t="s">
        <v>171</v>
      </c>
      <c r="F67" s="3" t="s">
        <v>17</v>
      </c>
      <c r="G67" s="3" t="s">
        <v>95</v>
      </c>
      <c r="H67" s="3" t="s">
        <v>8</v>
      </c>
      <c r="I67" s="3" t="s">
        <v>7</v>
      </c>
      <c r="J67" s="3" t="s">
        <v>31</v>
      </c>
      <c r="K67" s="3" t="s">
        <v>73</v>
      </c>
      <c r="L67" s="3" t="s">
        <v>24</v>
      </c>
      <c r="M67">
        <v>1</v>
      </c>
    </row>
    <row r="68" spans="1:13" x14ac:dyDescent="0.25">
      <c r="A68" s="2">
        <v>46216</v>
      </c>
      <c r="B68" s="1" t="str">
        <f ca="1">IF(Información1[[#This Row],[Fecha]]='Ajuste de fechas'!$A$2,"Día actual","Día anterior")</f>
        <v>Día anterior</v>
      </c>
      <c r="C68" s="3" t="s">
        <v>16</v>
      </c>
      <c r="D68" t="s">
        <v>72</v>
      </c>
      <c r="E68" s="3" t="s">
        <v>172</v>
      </c>
      <c r="F68" s="3" t="s">
        <v>173</v>
      </c>
      <c r="G68" s="3" t="s">
        <v>95</v>
      </c>
      <c r="H68" s="3" t="s">
        <v>8</v>
      </c>
      <c r="I68" s="3" t="s">
        <v>7</v>
      </c>
      <c r="J68" s="3" t="s">
        <v>31</v>
      </c>
      <c r="K68" s="3" t="s">
        <v>73</v>
      </c>
      <c r="L68" s="3" t="s">
        <v>24</v>
      </c>
      <c r="M68">
        <v>1</v>
      </c>
    </row>
    <row r="69" spans="1:13" x14ac:dyDescent="0.25">
      <c r="A69" s="2">
        <v>46216</v>
      </c>
      <c r="B69" s="1" t="str">
        <f ca="1">IF(Información1[[#This Row],[Fecha]]='Ajuste de fechas'!$A$2,"Día actual","Día anterior")</f>
        <v>Día anterior</v>
      </c>
      <c r="C69" s="3" t="s">
        <v>16</v>
      </c>
      <c r="D69" t="s">
        <v>72</v>
      </c>
      <c r="E69" s="3" t="s">
        <v>174</v>
      </c>
      <c r="F69" s="3" t="s">
        <v>34</v>
      </c>
      <c r="G69" s="3" t="s">
        <v>95</v>
      </c>
      <c r="H69" s="3" t="s">
        <v>8</v>
      </c>
      <c r="I69" s="3" t="s">
        <v>7</v>
      </c>
      <c r="J69" s="3" t="s">
        <v>31</v>
      </c>
      <c r="K69" s="3" t="s">
        <v>73</v>
      </c>
      <c r="L69" s="3" t="s">
        <v>24</v>
      </c>
      <c r="M69">
        <v>1</v>
      </c>
    </row>
    <row r="70" spans="1:13" x14ac:dyDescent="0.25">
      <c r="A70" s="2">
        <v>46216</v>
      </c>
      <c r="B70" s="1" t="str">
        <f ca="1">IF(Información1[[#This Row],[Fecha]]='Ajuste de fechas'!$A$2,"Día actual","Día anterior")</f>
        <v>Día anterior</v>
      </c>
      <c r="C70" s="3" t="s">
        <v>74</v>
      </c>
      <c r="D70" t="s">
        <v>75</v>
      </c>
      <c r="E70" s="3" t="s">
        <v>175</v>
      </c>
      <c r="F70" s="3" t="s">
        <v>15</v>
      </c>
      <c r="G70" s="3" t="s">
        <v>81</v>
      </c>
      <c r="H70" s="3" t="s">
        <v>8</v>
      </c>
      <c r="I70" s="3" t="s">
        <v>7</v>
      </c>
      <c r="J70" s="3" t="s">
        <v>31</v>
      </c>
      <c r="K70" s="3" t="s">
        <v>76</v>
      </c>
      <c r="L70" s="3" t="s">
        <v>26</v>
      </c>
      <c r="M70">
        <v>1</v>
      </c>
    </row>
    <row r="71" spans="1:13" x14ac:dyDescent="0.25">
      <c r="A71" s="2">
        <v>46216</v>
      </c>
      <c r="B71" s="1" t="str">
        <f ca="1">IF(Información1[[#This Row],[Fecha]]='Ajuste de fechas'!$A$2,"Día actual","Día anterior")</f>
        <v>Día anterior</v>
      </c>
      <c r="C71" s="3" t="s">
        <v>16</v>
      </c>
      <c r="D71" t="s">
        <v>53</v>
      </c>
      <c r="E71" s="3" t="s">
        <v>176</v>
      </c>
      <c r="F71" s="3" t="s">
        <v>9</v>
      </c>
      <c r="G71" s="3" t="s">
        <v>177</v>
      </c>
      <c r="H71" s="3" t="s">
        <v>8</v>
      </c>
      <c r="I71" s="3" t="s">
        <v>7</v>
      </c>
      <c r="J71" s="3" t="s">
        <v>31</v>
      </c>
      <c r="K71" s="3" t="s">
        <v>54</v>
      </c>
      <c r="L71" s="3" t="s">
        <v>24</v>
      </c>
      <c r="M71">
        <v>1</v>
      </c>
    </row>
    <row r="72" spans="1:13" x14ac:dyDescent="0.25">
      <c r="A72" s="2">
        <v>46216</v>
      </c>
      <c r="B72" s="1" t="str">
        <f ca="1">IF(Información1[[#This Row],[Fecha]]='Ajuste de fechas'!$A$2,"Día actual","Día anterior")</f>
        <v>Día anterior</v>
      </c>
      <c r="C72" s="3" t="s">
        <v>16</v>
      </c>
      <c r="D72" t="s">
        <v>53</v>
      </c>
      <c r="E72" s="3" t="s">
        <v>178</v>
      </c>
      <c r="F72" s="3" t="s">
        <v>70</v>
      </c>
      <c r="G72" s="3" t="s">
        <v>179</v>
      </c>
      <c r="H72" s="3" t="s">
        <v>8</v>
      </c>
      <c r="I72" s="3" t="s">
        <v>7</v>
      </c>
      <c r="J72" s="3" t="s">
        <v>31</v>
      </c>
      <c r="K72" s="3" t="s">
        <v>54</v>
      </c>
      <c r="L72" s="3" t="s">
        <v>24</v>
      </c>
      <c r="M72">
        <v>1</v>
      </c>
    </row>
    <row r="73" spans="1:13" x14ac:dyDescent="0.25">
      <c r="A73" s="2">
        <v>46216</v>
      </c>
      <c r="B73" s="1" t="str">
        <f ca="1">IF(Información1[[#This Row],[Fecha]]='Ajuste de fechas'!$A$2,"Día actual","Día anterior")</f>
        <v>Día anterior</v>
      </c>
      <c r="C73" s="3" t="s">
        <v>41</v>
      </c>
      <c r="D73" t="s">
        <v>42</v>
      </c>
      <c r="E73" s="3" t="s">
        <v>180</v>
      </c>
      <c r="F73" s="3" t="s">
        <v>9</v>
      </c>
      <c r="G73" s="3" t="s">
        <v>79</v>
      </c>
      <c r="H73" s="3" t="s">
        <v>8</v>
      </c>
      <c r="I73" s="3" t="s">
        <v>7</v>
      </c>
      <c r="J73" s="3" t="s">
        <v>31</v>
      </c>
      <c r="K73" s="3" t="s">
        <v>43</v>
      </c>
      <c r="L73" s="3" t="s">
        <v>24</v>
      </c>
      <c r="M73">
        <v>1</v>
      </c>
    </row>
    <row r="74" spans="1:13" x14ac:dyDescent="0.25">
      <c r="A74" s="2">
        <v>46216</v>
      </c>
      <c r="B74" s="1" t="str">
        <f ca="1">IF(Información1[[#This Row],[Fecha]]='Ajuste de fechas'!$A$2,"Día actual","Día anterior")</f>
        <v>Día anterior</v>
      </c>
      <c r="C74" s="3" t="s">
        <v>16</v>
      </c>
      <c r="D74" t="s">
        <v>72</v>
      </c>
      <c r="E74" s="3" t="s">
        <v>181</v>
      </c>
      <c r="F74" s="3" t="s">
        <v>182</v>
      </c>
      <c r="G74" s="3" t="s">
        <v>183</v>
      </c>
      <c r="H74" s="3" t="s">
        <v>8</v>
      </c>
      <c r="I74" s="3" t="s">
        <v>7</v>
      </c>
      <c r="J74" s="3" t="s">
        <v>13</v>
      </c>
      <c r="K74" s="3" t="s">
        <v>73</v>
      </c>
      <c r="L74" s="3" t="s">
        <v>24</v>
      </c>
      <c r="M74">
        <v>1</v>
      </c>
    </row>
    <row r="75" spans="1:13" x14ac:dyDescent="0.25">
      <c r="A75" s="2">
        <v>46216</v>
      </c>
      <c r="B75" s="1" t="str">
        <f ca="1">IF(Información1[[#This Row],[Fecha]]='Ajuste de fechas'!$A$2,"Día actual","Día anterior")</f>
        <v>Día anterior</v>
      </c>
      <c r="C75" s="3" t="s">
        <v>16</v>
      </c>
      <c r="D75" t="s">
        <v>53</v>
      </c>
      <c r="E75" s="3" t="s">
        <v>184</v>
      </c>
      <c r="F75" s="3" t="s">
        <v>11</v>
      </c>
      <c r="G75" s="3" t="s">
        <v>101</v>
      </c>
      <c r="H75" s="3" t="s">
        <v>8</v>
      </c>
      <c r="I75" s="3" t="s">
        <v>7</v>
      </c>
      <c r="J75" s="3" t="s">
        <v>32</v>
      </c>
      <c r="K75" s="3" t="s">
        <v>54</v>
      </c>
      <c r="L75" s="3" t="s">
        <v>24</v>
      </c>
      <c r="M75">
        <v>2</v>
      </c>
    </row>
    <row r="76" spans="1:13" x14ac:dyDescent="0.25">
      <c r="A76" s="2">
        <v>46216</v>
      </c>
      <c r="B76" s="1" t="str">
        <f ca="1">IF(Información1[[#This Row],[Fecha]]='Ajuste de fechas'!$A$2,"Día actual","Día anterior")</f>
        <v>Día anterior</v>
      </c>
      <c r="C76" s="3" t="s">
        <v>16</v>
      </c>
      <c r="D76" t="s">
        <v>72</v>
      </c>
      <c r="E76" s="3" t="s">
        <v>185</v>
      </c>
      <c r="F76" s="3" t="s">
        <v>39</v>
      </c>
      <c r="G76" s="3" t="s">
        <v>186</v>
      </c>
      <c r="H76" s="3" t="s">
        <v>8</v>
      </c>
      <c r="I76" s="3" t="s">
        <v>7</v>
      </c>
      <c r="J76" s="3" t="s">
        <v>31</v>
      </c>
      <c r="K76" s="3" t="s">
        <v>73</v>
      </c>
      <c r="L76" s="3" t="s">
        <v>24</v>
      </c>
      <c r="M76">
        <v>1</v>
      </c>
    </row>
    <row r="77" spans="1:13" x14ac:dyDescent="0.25">
      <c r="A77" s="2">
        <v>46216</v>
      </c>
      <c r="B77" s="1" t="str">
        <f ca="1">IF(Información1[[#This Row],[Fecha]]='Ajuste de fechas'!$A$2,"Día actual","Día anterior")</f>
        <v>Día anterior</v>
      </c>
      <c r="C77" s="3" t="s">
        <v>41</v>
      </c>
      <c r="D77" t="s">
        <v>42</v>
      </c>
      <c r="E77" s="3" t="s">
        <v>187</v>
      </c>
      <c r="F77" s="3" t="s">
        <v>10</v>
      </c>
      <c r="G77" s="3" t="s">
        <v>65</v>
      </c>
      <c r="H77" s="3" t="s">
        <v>8</v>
      </c>
      <c r="I77" s="3" t="s">
        <v>14</v>
      </c>
      <c r="J77" s="3" t="s">
        <v>33</v>
      </c>
      <c r="K77" s="3" t="s">
        <v>43</v>
      </c>
      <c r="L77" s="3" t="s">
        <v>25</v>
      </c>
      <c r="M77">
        <v>1</v>
      </c>
    </row>
    <row r="78" spans="1:13" x14ac:dyDescent="0.25">
      <c r="A78" s="2">
        <v>46216</v>
      </c>
      <c r="B78" s="1" t="str">
        <f ca="1">IF(Información1[[#This Row],[Fecha]]='Ajuste de fechas'!$A$2,"Día actual","Día anterior")</f>
        <v>Día anterior</v>
      </c>
      <c r="C78" s="3" t="s">
        <v>41</v>
      </c>
      <c r="D78" t="s">
        <v>42</v>
      </c>
      <c r="E78" s="3" t="s">
        <v>188</v>
      </c>
      <c r="F78" s="3" t="s">
        <v>10</v>
      </c>
      <c r="G78" s="3" t="s">
        <v>65</v>
      </c>
      <c r="H78" s="3" t="s">
        <v>8</v>
      </c>
      <c r="I78" s="3" t="s">
        <v>7</v>
      </c>
      <c r="J78" s="3" t="s">
        <v>33</v>
      </c>
      <c r="K78" s="3" t="s">
        <v>43</v>
      </c>
      <c r="L78" s="3" t="s">
        <v>25</v>
      </c>
      <c r="M78">
        <v>1</v>
      </c>
    </row>
    <row r="79" spans="1:13" x14ac:dyDescent="0.25">
      <c r="A79" s="2">
        <v>46217</v>
      </c>
      <c r="B79" s="1" t="str">
        <f ca="1">IF(Información1[[#This Row],[Fecha]]='Ajuste de fechas'!$A$2,"Día actual","Día anterior")</f>
        <v>Día actual</v>
      </c>
      <c r="C79" s="3" t="s">
        <v>57</v>
      </c>
      <c r="D79" t="s">
        <v>58</v>
      </c>
      <c r="E79" s="3" t="s">
        <v>189</v>
      </c>
      <c r="F79" s="3" t="s">
        <v>11</v>
      </c>
      <c r="G79" s="3" t="s">
        <v>190</v>
      </c>
      <c r="H79" s="3" t="s">
        <v>8</v>
      </c>
      <c r="I79" s="3" t="s">
        <v>7</v>
      </c>
      <c r="J79" s="3" t="s">
        <v>32</v>
      </c>
      <c r="K79" s="3" t="s">
        <v>59</v>
      </c>
      <c r="L79" s="3" t="s">
        <v>24</v>
      </c>
      <c r="M79">
        <v>1</v>
      </c>
    </row>
    <row r="80" spans="1:13" x14ac:dyDescent="0.25">
      <c r="A80" s="2">
        <v>46217</v>
      </c>
      <c r="B80" s="1" t="str">
        <f ca="1">IF(Información1[[#This Row],[Fecha]]='Ajuste de fechas'!$A$2,"Día actual","Día anterior")</f>
        <v>Día actual</v>
      </c>
      <c r="C80" s="3" t="s">
        <v>57</v>
      </c>
      <c r="D80" t="s">
        <v>58</v>
      </c>
      <c r="E80" s="3" t="s">
        <v>191</v>
      </c>
      <c r="F80" s="3" t="s">
        <v>11</v>
      </c>
      <c r="G80" s="3" t="s">
        <v>69</v>
      </c>
      <c r="H80" s="3" t="s">
        <v>8</v>
      </c>
      <c r="I80" s="3" t="s">
        <v>7</v>
      </c>
      <c r="J80" s="3" t="s">
        <v>32</v>
      </c>
      <c r="K80" s="3" t="s">
        <v>59</v>
      </c>
      <c r="L80" s="3" t="s">
        <v>24</v>
      </c>
      <c r="M80">
        <v>1</v>
      </c>
    </row>
    <row r="81" spans="1:13" x14ac:dyDescent="0.25">
      <c r="A81" s="2">
        <v>46217</v>
      </c>
      <c r="B81" s="1" t="str">
        <f ca="1">IF(Información1[[#This Row],[Fecha]]='Ajuste de fechas'!$A$2,"Día actual","Día anterior")</f>
        <v>Día actual</v>
      </c>
      <c r="C81" s="3" t="s">
        <v>57</v>
      </c>
      <c r="D81" t="s">
        <v>58</v>
      </c>
      <c r="E81" s="3" t="s">
        <v>192</v>
      </c>
      <c r="F81" s="3" t="s">
        <v>38</v>
      </c>
      <c r="G81" s="3" t="s">
        <v>193</v>
      </c>
      <c r="H81" s="3" t="s">
        <v>8</v>
      </c>
      <c r="I81" s="3" t="s">
        <v>14</v>
      </c>
      <c r="J81" s="3" t="s">
        <v>31</v>
      </c>
      <c r="K81" s="3" t="s">
        <v>37</v>
      </c>
      <c r="L81" s="3" t="s">
        <v>25</v>
      </c>
      <c r="M81">
        <v>1</v>
      </c>
    </row>
    <row r="82" spans="1:13" x14ac:dyDescent="0.25">
      <c r="A82" s="2">
        <v>46217</v>
      </c>
      <c r="B82" s="1" t="str">
        <f ca="1">IF(Información1[[#This Row],[Fecha]]='Ajuste de fechas'!$A$2,"Día actual","Día anterior")</f>
        <v>Día actual</v>
      </c>
      <c r="C82" s="3" t="s">
        <v>60</v>
      </c>
      <c r="D82" t="s">
        <v>61</v>
      </c>
      <c r="E82" s="3" t="s">
        <v>194</v>
      </c>
      <c r="F82" s="3" t="s">
        <v>10</v>
      </c>
      <c r="G82" s="3" t="s">
        <v>114</v>
      </c>
      <c r="H82" s="3" t="s">
        <v>8</v>
      </c>
      <c r="I82" s="3" t="s">
        <v>14</v>
      </c>
      <c r="J82" s="3" t="s">
        <v>33</v>
      </c>
      <c r="K82" s="3" t="s">
        <v>62</v>
      </c>
      <c r="L82" s="3" t="s">
        <v>24</v>
      </c>
      <c r="M82">
        <v>1</v>
      </c>
    </row>
    <row r="83" spans="1:13" x14ac:dyDescent="0.25">
      <c r="A83" s="2">
        <v>46217</v>
      </c>
      <c r="B83" s="1" t="str">
        <f ca="1">IF(Información1[[#This Row],[Fecha]]='Ajuste de fechas'!$A$2,"Día actual","Día anterior")</f>
        <v>Día actual</v>
      </c>
      <c r="C83" s="3" t="s">
        <v>60</v>
      </c>
      <c r="D83" t="s">
        <v>61</v>
      </c>
      <c r="E83" s="3" t="s">
        <v>195</v>
      </c>
      <c r="F83" s="3" t="s">
        <v>34</v>
      </c>
      <c r="G83" s="3" t="s">
        <v>105</v>
      </c>
      <c r="H83" s="3" t="s">
        <v>8</v>
      </c>
      <c r="I83" s="3" t="s">
        <v>14</v>
      </c>
      <c r="J83" s="3" t="s">
        <v>31</v>
      </c>
      <c r="K83" s="3" t="s">
        <v>62</v>
      </c>
      <c r="L83" s="3" t="s">
        <v>24</v>
      </c>
      <c r="M83">
        <v>1</v>
      </c>
    </row>
    <row r="84" spans="1:13" x14ac:dyDescent="0.25">
      <c r="A84" s="2">
        <v>46217</v>
      </c>
      <c r="B84" s="1" t="str">
        <f ca="1">IF(Información1[[#This Row],[Fecha]]='Ajuste de fechas'!$A$2,"Día actual","Día anterior")</f>
        <v>Día actual</v>
      </c>
      <c r="C84" s="3" t="s">
        <v>60</v>
      </c>
      <c r="D84" t="s">
        <v>61</v>
      </c>
      <c r="E84" s="3" t="s">
        <v>196</v>
      </c>
      <c r="F84" s="3" t="s">
        <v>15</v>
      </c>
      <c r="G84" s="3" t="s">
        <v>197</v>
      </c>
      <c r="H84" s="3" t="s">
        <v>8</v>
      </c>
      <c r="I84" s="3" t="s">
        <v>40</v>
      </c>
      <c r="J84" s="3" t="s">
        <v>31</v>
      </c>
      <c r="K84" s="3" t="s">
        <v>62</v>
      </c>
      <c r="L84" s="3" t="s">
        <v>25</v>
      </c>
      <c r="M84">
        <v>1</v>
      </c>
    </row>
    <row r="85" spans="1:13" x14ac:dyDescent="0.25">
      <c r="A85" s="2">
        <v>46217</v>
      </c>
      <c r="B85" s="1" t="str">
        <f ca="1">IF(Información1[[#This Row],[Fecha]]='Ajuste de fechas'!$A$2,"Día actual","Día anterior")</f>
        <v>Día actual</v>
      </c>
      <c r="C85" s="3" t="s">
        <v>60</v>
      </c>
      <c r="D85" t="s">
        <v>61</v>
      </c>
      <c r="E85" s="3" t="s">
        <v>195</v>
      </c>
      <c r="F85" s="3" t="s">
        <v>35</v>
      </c>
      <c r="G85" s="3" t="s">
        <v>105</v>
      </c>
      <c r="H85" s="3" t="s">
        <v>8</v>
      </c>
      <c r="I85" s="3" t="s">
        <v>7</v>
      </c>
      <c r="J85" s="3" t="s">
        <v>31</v>
      </c>
      <c r="K85" s="3" t="s">
        <v>62</v>
      </c>
      <c r="L85" s="3" t="s">
        <v>24</v>
      </c>
      <c r="M85">
        <v>1</v>
      </c>
    </row>
    <row r="86" spans="1:13" x14ac:dyDescent="0.25">
      <c r="A86" s="2">
        <v>46217</v>
      </c>
      <c r="B86" s="1" t="str">
        <f ca="1">IF(Información1[[#This Row],[Fecha]]='Ajuste de fechas'!$A$2,"Día actual","Día anterior")</f>
        <v>Día actual</v>
      </c>
      <c r="C86" s="3" t="s">
        <v>60</v>
      </c>
      <c r="D86" t="s">
        <v>61</v>
      </c>
      <c r="E86" s="3" t="s">
        <v>198</v>
      </c>
      <c r="F86" s="3" t="s">
        <v>173</v>
      </c>
      <c r="G86" s="3" t="s">
        <v>71</v>
      </c>
      <c r="H86" s="3" t="s">
        <v>8</v>
      </c>
      <c r="I86" s="3" t="s">
        <v>7</v>
      </c>
      <c r="J86" s="3" t="s">
        <v>31</v>
      </c>
      <c r="K86" s="3" t="s">
        <v>62</v>
      </c>
      <c r="L86" s="3" t="s">
        <v>26</v>
      </c>
      <c r="M86">
        <v>1</v>
      </c>
    </row>
    <row r="87" spans="1:13" x14ac:dyDescent="0.25">
      <c r="A87" s="2">
        <v>46217</v>
      </c>
      <c r="B87" s="1" t="str">
        <f ca="1">IF(Información1[[#This Row],[Fecha]]='Ajuste de fechas'!$A$2,"Día actual","Día anterior")</f>
        <v>Día actual</v>
      </c>
      <c r="C87" s="3" t="s">
        <v>60</v>
      </c>
      <c r="D87" t="s">
        <v>61</v>
      </c>
      <c r="E87" s="3" t="s">
        <v>199</v>
      </c>
      <c r="F87" s="3" t="s">
        <v>200</v>
      </c>
      <c r="G87" s="3" t="s">
        <v>201</v>
      </c>
      <c r="H87" s="3" t="s">
        <v>8</v>
      </c>
      <c r="I87" s="3" t="s">
        <v>7</v>
      </c>
      <c r="J87" s="3" t="s">
        <v>31</v>
      </c>
      <c r="K87" s="3" t="s">
        <v>62</v>
      </c>
      <c r="L87" s="3" t="s">
        <v>26</v>
      </c>
      <c r="M87">
        <v>1</v>
      </c>
    </row>
    <row r="88" spans="1:13" x14ac:dyDescent="0.25">
      <c r="A88" s="2">
        <v>46217</v>
      </c>
      <c r="B88" s="1" t="str">
        <f ca="1">IF(Información1[[#This Row],[Fecha]]='Ajuste de fechas'!$A$2,"Día actual","Día anterior")</f>
        <v>Día actual</v>
      </c>
      <c r="C88" s="3" t="s">
        <v>60</v>
      </c>
      <c r="D88" t="s">
        <v>61</v>
      </c>
      <c r="E88" s="3" t="s">
        <v>202</v>
      </c>
      <c r="F88" s="3" t="s">
        <v>34</v>
      </c>
      <c r="G88" s="3" t="s">
        <v>203</v>
      </c>
      <c r="H88" s="3" t="s">
        <v>8</v>
      </c>
      <c r="I88" s="3" t="s">
        <v>7</v>
      </c>
      <c r="J88" s="3" t="s">
        <v>31</v>
      </c>
      <c r="K88" s="3" t="s">
        <v>62</v>
      </c>
      <c r="L88" s="3" t="s">
        <v>26</v>
      </c>
      <c r="M88">
        <v>1</v>
      </c>
    </row>
    <row r="89" spans="1:13" x14ac:dyDescent="0.25">
      <c r="A89" s="2">
        <v>46217</v>
      </c>
      <c r="B89" s="1" t="str">
        <f ca="1">IF(Información1[[#This Row],[Fecha]]='Ajuste de fechas'!$A$2,"Día actual","Día anterior")</f>
        <v>Día actual</v>
      </c>
      <c r="C89" s="3" t="s">
        <v>60</v>
      </c>
      <c r="D89" t="s">
        <v>61</v>
      </c>
      <c r="E89" s="3" t="s">
        <v>204</v>
      </c>
      <c r="F89" s="3" t="s">
        <v>109</v>
      </c>
      <c r="G89" s="3" t="s">
        <v>205</v>
      </c>
      <c r="H89" s="3" t="s">
        <v>8</v>
      </c>
      <c r="I89" s="3" t="s">
        <v>7</v>
      </c>
      <c r="J89" s="3" t="s">
        <v>31</v>
      </c>
      <c r="K89" s="3" t="s">
        <v>62</v>
      </c>
      <c r="L89" s="3" t="s">
        <v>26</v>
      </c>
      <c r="M89">
        <v>1</v>
      </c>
    </row>
    <row r="90" spans="1:13" x14ac:dyDescent="0.25">
      <c r="A90" s="2">
        <v>46217</v>
      </c>
      <c r="B90" s="1" t="str">
        <f ca="1">IF(Información1[[#This Row],[Fecha]]='Ajuste de fechas'!$A$2,"Día actual","Día anterior")</f>
        <v>Día actual</v>
      </c>
      <c r="C90" s="3" t="s">
        <v>60</v>
      </c>
      <c r="D90" t="s">
        <v>61</v>
      </c>
      <c r="E90" s="3" t="s">
        <v>206</v>
      </c>
      <c r="F90" s="3" t="s">
        <v>15</v>
      </c>
      <c r="G90" s="3" t="s">
        <v>207</v>
      </c>
      <c r="H90" s="3" t="s">
        <v>8</v>
      </c>
      <c r="I90" s="3" t="s">
        <v>7</v>
      </c>
      <c r="J90" s="3" t="s">
        <v>31</v>
      </c>
      <c r="K90" s="3" t="s">
        <v>62</v>
      </c>
      <c r="L90" s="3" t="s">
        <v>26</v>
      </c>
      <c r="M90">
        <v>1</v>
      </c>
    </row>
    <row r="91" spans="1:13" x14ac:dyDescent="0.25">
      <c r="A91" s="2">
        <v>46217</v>
      </c>
      <c r="B91" s="1" t="str">
        <f ca="1">IF(Información1[[#This Row],[Fecha]]='Ajuste de fechas'!$A$2,"Día actual","Día anterior")</f>
        <v>Día actual</v>
      </c>
      <c r="C91" s="3" t="s">
        <v>60</v>
      </c>
      <c r="D91" t="s">
        <v>61</v>
      </c>
      <c r="E91" s="3" t="s">
        <v>208</v>
      </c>
      <c r="F91" s="3" t="s">
        <v>15</v>
      </c>
      <c r="G91" s="3" t="s">
        <v>209</v>
      </c>
      <c r="H91" s="3" t="s">
        <v>8</v>
      </c>
      <c r="I91" s="3" t="s">
        <v>7</v>
      </c>
      <c r="J91" s="3" t="s">
        <v>31</v>
      </c>
      <c r="K91" s="3" t="s">
        <v>62</v>
      </c>
      <c r="L91" s="3" t="s">
        <v>26</v>
      </c>
      <c r="M91">
        <v>1</v>
      </c>
    </row>
    <row r="92" spans="1:13" x14ac:dyDescent="0.25">
      <c r="A92" s="2">
        <v>46217</v>
      </c>
      <c r="B92" s="1" t="str">
        <f ca="1">IF(Información1[[#This Row],[Fecha]]='Ajuste de fechas'!$A$2,"Día actual","Día anterior")</f>
        <v>Día actual</v>
      </c>
      <c r="C92" s="3" t="s">
        <v>57</v>
      </c>
      <c r="D92" t="s">
        <v>63</v>
      </c>
      <c r="E92" s="3" t="s">
        <v>210</v>
      </c>
      <c r="F92" s="3" t="s">
        <v>211</v>
      </c>
      <c r="G92" s="3" t="s">
        <v>212</v>
      </c>
      <c r="H92" s="3" t="s">
        <v>8</v>
      </c>
      <c r="I92" s="3" t="s">
        <v>7</v>
      </c>
      <c r="J92" s="3" t="s">
        <v>13</v>
      </c>
      <c r="K92" s="3" t="s">
        <v>59</v>
      </c>
      <c r="L92" s="3" t="s">
        <v>36</v>
      </c>
      <c r="M92">
        <v>1</v>
      </c>
    </row>
    <row r="93" spans="1:13" x14ac:dyDescent="0.25">
      <c r="A93" s="2">
        <v>46217</v>
      </c>
      <c r="B93" s="1" t="str">
        <f ca="1">IF(Información1[[#This Row],[Fecha]]='Ajuste de fechas'!$A$2,"Día actual","Día anterior")</f>
        <v>Día actual</v>
      </c>
      <c r="C93" s="3" t="s">
        <v>57</v>
      </c>
      <c r="D93" t="s">
        <v>63</v>
      </c>
      <c r="E93" s="3" t="s">
        <v>213</v>
      </c>
      <c r="F93" s="3" t="s">
        <v>15</v>
      </c>
      <c r="G93" s="3" t="s">
        <v>197</v>
      </c>
      <c r="H93" s="3" t="s">
        <v>8</v>
      </c>
      <c r="I93" s="3" t="s">
        <v>40</v>
      </c>
      <c r="J93" s="3" t="s">
        <v>31</v>
      </c>
      <c r="K93" s="3" t="s">
        <v>59</v>
      </c>
      <c r="L93" s="3" t="s">
        <v>25</v>
      </c>
      <c r="M93">
        <v>1</v>
      </c>
    </row>
    <row r="94" spans="1:13" x14ac:dyDescent="0.25">
      <c r="A94" s="2">
        <v>46217</v>
      </c>
      <c r="B94" s="1" t="str">
        <f ca="1">IF(Información1[[#This Row],[Fecha]]='Ajuste de fechas'!$A$2,"Día actual","Día anterior")</f>
        <v>Día actual</v>
      </c>
      <c r="C94" s="3" t="s">
        <v>57</v>
      </c>
      <c r="D94" t="s">
        <v>63</v>
      </c>
      <c r="E94" s="3" t="s">
        <v>214</v>
      </c>
      <c r="F94" s="3" t="s">
        <v>34</v>
      </c>
      <c r="G94" s="3" t="s">
        <v>215</v>
      </c>
      <c r="H94" s="3" t="s">
        <v>8</v>
      </c>
      <c r="I94" s="3" t="s">
        <v>7</v>
      </c>
      <c r="J94" s="3" t="s">
        <v>31</v>
      </c>
      <c r="K94" s="3" t="s">
        <v>55</v>
      </c>
      <c r="L94" s="3" t="s">
        <v>36</v>
      </c>
      <c r="M94">
        <v>1</v>
      </c>
    </row>
    <row r="95" spans="1:13" x14ac:dyDescent="0.25">
      <c r="A95" s="2">
        <v>46217</v>
      </c>
      <c r="B95" s="1" t="str">
        <f ca="1">IF(Información1[[#This Row],[Fecha]]='Ajuste de fechas'!$A$2,"Día actual","Día anterior")</f>
        <v>Día actual</v>
      </c>
      <c r="C95" s="3" t="s">
        <v>57</v>
      </c>
      <c r="D95" t="s">
        <v>63</v>
      </c>
      <c r="E95" s="3" t="s">
        <v>216</v>
      </c>
      <c r="F95" s="3" t="s">
        <v>200</v>
      </c>
      <c r="G95" s="3" t="s">
        <v>201</v>
      </c>
      <c r="H95" s="3" t="s">
        <v>8</v>
      </c>
      <c r="I95" s="3" t="s">
        <v>7</v>
      </c>
      <c r="J95" s="3" t="s">
        <v>31</v>
      </c>
      <c r="K95" s="3" t="s">
        <v>55</v>
      </c>
      <c r="L95" s="3" t="s">
        <v>26</v>
      </c>
      <c r="M95">
        <v>1</v>
      </c>
    </row>
    <row r="96" spans="1:13" x14ac:dyDescent="0.25">
      <c r="A96" s="2">
        <v>46217</v>
      </c>
      <c r="B96" s="1" t="str">
        <f ca="1">IF(Información1[[#This Row],[Fecha]]='Ajuste de fechas'!$A$2,"Día actual","Día anterior")</f>
        <v>Día actual</v>
      </c>
      <c r="C96" s="3" t="s">
        <v>57</v>
      </c>
      <c r="D96" t="s">
        <v>63</v>
      </c>
      <c r="E96" s="3" t="s">
        <v>206</v>
      </c>
      <c r="F96" s="3" t="s">
        <v>15</v>
      </c>
      <c r="G96" s="3" t="s">
        <v>207</v>
      </c>
      <c r="H96" s="3" t="s">
        <v>8</v>
      </c>
      <c r="I96" s="3" t="s">
        <v>7</v>
      </c>
      <c r="J96" s="3" t="s">
        <v>31</v>
      </c>
      <c r="K96" s="3" t="s">
        <v>55</v>
      </c>
      <c r="L96" s="3" t="s">
        <v>26</v>
      </c>
      <c r="M96">
        <v>1</v>
      </c>
    </row>
    <row r="97" spans="1:13" x14ac:dyDescent="0.25">
      <c r="A97" s="2">
        <v>46217</v>
      </c>
      <c r="B97" s="1" t="str">
        <f ca="1">IF(Información1[[#This Row],[Fecha]]='Ajuste de fechas'!$A$2,"Día actual","Día anterior")</f>
        <v>Día actual</v>
      </c>
      <c r="C97" s="3" t="s">
        <v>57</v>
      </c>
      <c r="D97" t="s">
        <v>63</v>
      </c>
      <c r="E97" s="3" t="s">
        <v>217</v>
      </c>
      <c r="F97" s="3" t="s">
        <v>15</v>
      </c>
      <c r="G97" s="3" t="s">
        <v>209</v>
      </c>
      <c r="H97" s="3" t="s">
        <v>8</v>
      </c>
      <c r="I97" s="3" t="s">
        <v>7</v>
      </c>
      <c r="J97" s="3" t="s">
        <v>31</v>
      </c>
      <c r="K97" s="3" t="s">
        <v>55</v>
      </c>
      <c r="L97" s="3" t="s">
        <v>26</v>
      </c>
      <c r="M97">
        <v>1</v>
      </c>
    </row>
    <row r="98" spans="1:13" x14ac:dyDescent="0.25">
      <c r="A98" s="2">
        <v>46217</v>
      </c>
      <c r="B98" s="1" t="str">
        <f ca="1">IF(Información1[[#This Row],[Fecha]]='Ajuste de fechas'!$A$2,"Día actual","Día anterior")</f>
        <v>Día actual</v>
      </c>
      <c r="C98" s="3" t="s">
        <v>57</v>
      </c>
      <c r="D98" t="s">
        <v>63</v>
      </c>
      <c r="E98" s="3" t="s">
        <v>218</v>
      </c>
      <c r="F98" s="3" t="s">
        <v>38</v>
      </c>
      <c r="G98" s="3" t="s">
        <v>82</v>
      </c>
      <c r="H98" s="3" t="s">
        <v>8</v>
      </c>
      <c r="I98" s="3" t="s">
        <v>7</v>
      </c>
      <c r="J98" s="3" t="s">
        <v>31</v>
      </c>
      <c r="K98" s="3" t="s">
        <v>55</v>
      </c>
      <c r="L98" s="3" t="s">
        <v>26</v>
      </c>
      <c r="M98">
        <v>1</v>
      </c>
    </row>
    <row r="99" spans="1:13" x14ac:dyDescent="0.25">
      <c r="A99" s="2">
        <v>46216</v>
      </c>
      <c r="B99" s="1" t="str">
        <f ca="1">IF(Información1[[#This Row],[Fecha]]='Ajuste de fechas'!$A$2,"Día actual","Día anterior")</f>
        <v>Día anterior</v>
      </c>
      <c r="C99" s="3" t="s">
        <v>219</v>
      </c>
      <c r="D99" t="s">
        <v>220</v>
      </c>
      <c r="E99" s="3" t="s">
        <v>221</v>
      </c>
      <c r="F99" s="3" t="s">
        <v>10</v>
      </c>
      <c r="G99" s="3" t="s">
        <v>114</v>
      </c>
      <c r="H99" s="3" t="s">
        <v>86</v>
      </c>
      <c r="I99" s="3" t="s">
        <v>7</v>
      </c>
      <c r="J99" s="3" t="s">
        <v>33</v>
      </c>
      <c r="K99" s="3" t="s">
        <v>55</v>
      </c>
      <c r="L99" s="3" t="s">
        <v>24</v>
      </c>
      <c r="M99">
        <v>1</v>
      </c>
    </row>
    <row r="100" spans="1:13" x14ac:dyDescent="0.25">
      <c r="A100" s="2">
        <v>46216</v>
      </c>
      <c r="B100" s="1" t="str">
        <f ca="1">IF(Información1[[#This Row],[Fecha]]='Ajuste de fechas'!$A$2,"Día actual","Día anterior")</f>
        <v>Día anterior</v>
      </c>
      <c r="C100" s="3" t="s">
        <v>219</v>
      </c>
      <c r="D100" t="s">
        <v>220</v>
      </c>
      <c r="E100" s="3" t="s">
        <v>222</v>
      </c>
      <c r="F100" s="3" t="s">
        <v>9</v>
      </c>
      <c r="G100" s="3" t="s">
        <v>114</v>
      </c>
      <c r="H100" s="3" t="s">
        <v>86</v>
      </c>
      <c r="I100" s="3" t="s">
        <v>7</v>
      </c>
      <c r="J100" s="3" t="s">
        <v>31</v>
      </c>
      <c r="K100" s="3" t="s">
        <v>55</v>
      </c>
      <c r="L100" s="3" t="s">
        <v>24</v>
      </c>
      <c r="M100">
        <v>1</v>
      </c>
    </row>
    <row r="101" spans="1:13" x14ac:dyDescent="0.25">
      <c r="A101" s="2">
        <v>46216</v>
      </c>
      <c r="B101" s="1" t="str">
        <f ca="1">IF(Información1[[#This Row],[Fecha]]='Ajuste de fechas'!$A$2,"Día actual","Día anterior")</f>
        <v>Día anterior</v>
      </c>
      <c r="C101" s="3" t="s">
        <v>219</v>
      </c>
      <c r="D101" t="s">
        <v>220</v>
      </c>
      <c r="E101" s="3" t="s">
        <v>223</v>
      </c>
      <c r="F101" s="3" t="s">
        <v>9</v>
      </c>
      <c r="G101" s="3" t="s">
        <v>114</v>
      </c>
      <c r="H101" s="3" t="s">
        <v>86</v>
      </c>
      <c r="I101" s="3" t="s">
        <v>7</v>
      </c>
      <c r="J101" s="3" t="s">
        <v>31</v>
      </c>
      <c r="K101" s="3" t="s">
        <v>55</v>
      </c>
      <c r="L101" s="3" t="s">
        <v>24</v>
      </c>
      <c r="M101">
        <v>1</v>
      </c>
    </row>
    <row r="102" spans="1:13" x14ac:dyDescent="0.25">
      <c r="A102" s="2">
        <v>46216</v>
      </c>
      <c r="B102" s="1" t="str">
        <f ca="1">IF(Información1[[#This Row],[Fecha]]='Ajuste de fechas'!$A$2,"Día actual","Día anterior")</f>
        <v>Día anterior</v>
      </c>
      <c r="C102" s="3" t="s">
        <v>219</v>
      </c>
      <c r="D102" t="s">
        <v>220</v>
      </c>
      <c r="E102" s="3" t="s">
        <v>224</v>
      </c>
      <c r="F102" s="3" t="s">
        <v>67</v>
      </c>
      <c r="G102" s="3" t="s">
        <v>95</v>
      </c>
      <c r="H102" s="3" t="s">
        <v>86</v>
      </c>
      <c r="I102" s="3" t="s">
        <v>7</v>
      </c>
      <c r="J102" s="3" t="s">
        <v>31</v>
      </c>
      <c r="K102" s="3" t="s">
        <v>55</v>
      </c>
      <c r="L102" s="3" t="s">
        <v>24</v>
      </c>
      <c r="M102">
        <v>1</v>
      </c>
    </row>
    <row r="103" spans="1:13" x14ac:dyDescent="0.25">
      <c r="A103" s="2">
        <v>46216</v>
      </c>
      <c r="B103" s="1" t="str">
        <f ca="1">IF(Información1[[#This Row],[Fecha]]='Ajuste de fechas'!$A$2,"Día actual","Día anterior")</f>
        <v>Día anterior</v>
      </c>
      <c r="C103" s="3" t="s">
        <v>219</v>
      </c>
      <c r="D103" t="s">
        <v>220</v>
      </c>
      <c r="E103" s="3" t="s">
        <v>225</v>
      </c>
      <c r="F103" s="3" t="s">
        <v>35</v>
      </c>
      <c r="G103" s="3" t="s">
        <v>91</v>
      </c>
      <c r="H103" s="3" t="s">
        <v>86</v>
      </c>
      <c r="I103" s="3" t="s">
        <v>7</v>
      </c>
      <c r="J103" s="3" t="s">
        <v>31</v>
      </c>
      <c r="K103" s="3" t="s">
        <v>55</v>
      </c>
      <c r="L103" s="3" t="s">
        <v>24</v>
      </c>
      <c r="M103">
        <v>1</v>
      </c>
    </row>
    <row r="104" spans="1:13" x14ac:dyDescent="0.25">
      <c r="A104" s="2">
        <v>46216</v>
      </c>
      <c r="B104" s="1" t="str">
        <f ca="1">IF(Información1[[#This Row],[Fecha]]='Ajuste de fechas'!$A$2,"Día actual","Día anterior")</f>
        <v>Día anterior</v>
      </c>
      <c r="C104" s="3" t="s">
        <v>219</v>
      </c>
      <c r="D104" t="s">
        <v>220</v>
      </c>
      <c r="E104" s="3" t="s">
        <v>226</v>
      </c>
      <c r="F104" s="3" t="s">
        <v>35</v>
      </c>
      <c r="G104" s="3" t="s">
        <v>105</v>
      </c>
      <c r="H104" s="3" t="s">
        <v>86</v>
      </c>
      <c r="I104" s="3" t="s">
        <v>7</v>
      </c>
      <c r="J104" s="3" t="s">
        <v>31</v>
      </c>
      <c r="K104" s="3" t="s">
        <v>55</v>
      </c>
      <c r="L104" s="3" t="s">
        <v>24</v>
      </c>
      <c r="M104">
        <v>1</v>
      </c>
    </row>
    <row r="105" spans="1:13" x14ac:dyDescent="0.25">
      <c r="A105" s="2">
        <v>46216</v>
      </c>
      <c r="B105" s="1" t="str">
        <f ca="1">IF(Información1[[#This Row],[Fecha]]='Ajuste de fechas'!$A$2,"Día actual","Día anterior")</f>
        <v>Día anterior</v>
      </c>
      <c r="C105" s="3" t="s">
        <v>219</v>
      </c>
      <c r="D105" t="s">
        <v>220</v>
      </c>
      <c r="E105" s="3" t="s">
        <v>227</v>
      </c>
      <c r="F105" s="3" t="s">
        <v>10</v>
      </c>
      <c r="G105" s="3" t="s">
        <v>228</v>
      </c>
      <c r="H105" s="3" t="s">
        <v>86</v>
      </c>
      <c r="I105" s="3" t="s">
        <v>7</v>
      </c>
      <c r="J105" s="3" t="s">
        <v>33</v>
      </c>
      <c r="K105" s="3" t="s">
        <v>55</v>
      </c>
      <c r="L105" s="3" t="s">
        <v>24</v>
      </c>
      <c r="M105">
        <v>1</v>
      </c>
    </row>
    <row r="106" spans="1:13" x14ac:dyDescent="0.25">
      <c r="A106" s="2">
        <v>46216</v>
      </c>
      <c r="B106" s="1" t="str">
        <f ca="1">IF(Información1[[#This Row],[Fecha]]='Ajuste de fechas'!$A$2,"Día actual","Día anterior")</f>
        <v>Día anterior</v>
      </c>
      <c r="C106" s="3" t="s">
        <v>219</v>
      </c>
      <c r="D106" t="s">
        <v>220</v>
      </c>
      <c r="E106" s="3" t="s">
        <v>229</v>
      </c>
      <c r="F106" s="3" t="s">
        <v>200</v>
      </c>
      <c r="G106" s="3" t="s">
        <v>230</v>
      </c>
      <c r="H106" s="3" t="s">
        <v>86</v>
      </c>
      <c r="I106" s="3" t="s">
        <v>7</v>
      </c>
      <c r="J106" s="3" t="s">
        <v>31</v>
      </c>
      <c r="K106" s="3" t="s">
        <v>55</v>
      </c>
      <c r="L106" s="3" t="s">
        <v>24</v>
      </c>
      <c r="M106">
        <v>1</v>
      </c>
    </row>
    <row r="107" spans="1:13" x14ac:dyDescent="0.25">
      <c r="A107" s="2">
        <v>46216</v>
      </c>
      <c r="B107" s="1" t="str">
        <f ca="1">IF(Información1[[#This Row],[Fecha]]='Ajuste de fechas'!$A$2,"Día actual","Día anterior")</f>
        <v>Día anterior</v>
      </c>
      <c r="C107" s="3" t="s">
        <v>219</v>
      </c>
      <c r="D107" t="s">
        <v>220</v>
      </c>
      <c r="E107" s="3" t="s">
        <v>231</v>
      </c>
      <c r="F107" s="3" t="s">
        <v>200</v>
      </c>
      <c r="G107" s="3" t="s">
        <v>201</v>
      </c>
      <c r="H107" s="3" t="s">
        <v>86</v>
      </c>
      <c r="I107" s="3" t="s">
        <v>7</v>
      </c>
      <c r="J107" s="3" t="s">
        <v>31</v>
      </c>
      <c r="K107" s="3" t="s">
        <v>55</v>
      </c>
      <c r="L107" s="3" t="s">
        <v>24</v>
      </c>
      <c r="M107">
        <v>1</v>
      </c>
    </row>
    <row r="108" spans="1:13" x14ac:dyDescent="0.25">
      <c r="A108" s="2">
        <v>46216</v>
      </c>
      <c r="B108" s="1" t="str">
        <f ca="1">IF(Información1[[#This Row],[Fecha]]='Ajuste de fechas'!$A$2,"Día actual","Día anterior")</f>
        <v>Día anterior</v>
      </c>
      <c r="C108" s="3" t="s">
        <v>219</v>
      </c>
      <c r="D108" t="s">
        <v>220</v>
      </c>
      <c r="E108" s="3" t="s">
        <v>232</v>
      </c>
      <c r="F108" s="3" t="s">
        <v>15</v>
      </c>
      <c r="G108" s="3" t="s">
        <v>233</v>
      </c>
      <c r="H108" s="3" t="s">
        <v>86</v>
      </c>
      <c r="I108" s="3" t="s">
        <v>7</v>
      </c>
      <c r="J108" s="3" t="s">
        <v>31</v>
      </c>
      <c r="K108" s="3" t="s">
        <v>55</v>
      </c>
      <c r="L108" s="3" t="s">
        <v>24</v>
      </c>
      <c r="M108">
        <v>1</v>
      </c>
    </row>
    <row r="109" spans="1:13" x14ac:dyDescent="0.25">
      <c r="A109" s="2">
        <v>46216</v>
      </c>
      <c r="B109" s="1" t="str">
        <f ca="1">IF(Información1[[#This Row],[Fecha]]='Ajuste de fechas'!$A$2,"Día actual","Día anterior")</f>
        <v>Día anterior</v>
      </c>
      <c r="C109" s="3" t="s">
        <v>219</v>
      </c>
      <c r="D109" t="s">
        <v>220</v>
      </c>
      <c r="E109" s="3" t="s">
        <v>232</v>
      </c>
      <c r="F109" s="3" t="s">
        <v>39</v>
      </c>
      <c r="G109" s="3" t="s">
        <v>233</v>
      </c>
      <c r="H109" s="3" t="s">
        <v>86</v>
      </c>
      <c r="I109" s="3" t="s">
        <v>7</v>
      </c>
      <c r="J109" s="3" t="s">
        <v>31</v>
      </c>
      <c r="K109" s="3" t="s">
        <v>55</v>
      </c>
      <c r="L109" s="3" t="s">
        <v>24</v>
      </c>
      <c r="M109">
        <v>1</v>
      </c>
    </row>
    <row r="110" spans="1:13" x14ac:dyDescent="0.25">
      <c r="A110" s="2">
        <v>46216</v>
      </c>
      <c r="B110" s="1" t="str">
        <f ca="1">IF(Información1[[#This Row],[Fecha]]='Ajuste de fechas'!$A$2,"Día actual","Día anterior")</f>
        <v>Día anterior</v>
      </c>
      <c r="C110" s="3" t="s">
        <v>219</v>
      </c>
      <c r="D110" t="s">
        <v>220</v>
      </c>
      <c r="E110" s="3" t="s">
        <v>234</v>
      </c>
      <c r="F110" s="3" t="s">
        <v>15</v>
      </c>
      <c r="G110" s="3" t="s">
        <v>235</v>
      </c>
      <c r="H110" s="3" t="s">
        <v>86</v>
      </c>
      <c r="I110" s="3" t="s">
        <v>7</v>
      </c>
      <c r="J110" s="3" t="s">
        <v>31</v>
      </c>
      <c r="K110" s="3" t="s">
        <v>55</v>
      </c>
      <c r="L110" s="3" t="s">
        <v>24</v>
      </c>
      <c r="M110">
        <v>1</v>
      </c>
    </row>
    <row r="111" spans="1:13" x14ac:dyDescent="0.25">
      <c r="A111" s="2">
        <v>46216</v>
      </c>
      <c r="B111" s="1" t="str">
        <f ca="1">IF(Información1[[#This Row],[Fecha]]='Ajuste de fechas'!$A$2,"Día actual","Día anterior")</f>
        <v>Día anterior</v>
      </c>
      <c r="C111" s="3" t="s">
        <v>219</v>
      </c>
      <c r="D111" t="s">
        <v>220</v>
      </c>
      <c r="E111" s="3" t="s">
        <v>236</v>
      </c>
      <c r="F111" s="3" t="s">
        <v>15</v>
      </c>
      <c r="G111" s="3" t="s">
        <v>237</v>
      </c>
      <c r="H111" s="3" t="s">
        <v>86</v>
      </c>
      <c r="I111" s="3" t="s">
        <v>7</v>
      </c>
      <c r="J111" s="3" t="s">
        <v>31</v>
      </c>
      <c r="K111" s="3" t="s">
        <v>55</v>
      </c>
      <c r="L111" s="3" t="s">
        <v>24</v>
      </c>
      <c r="M111">
        <v>1</v>
      </c>
    </row>
    <row r="112" spans="1:13" x14ac:dyDescent="0.25">
      <c r="A112" s="2">
        <v>46216</v>
      </c>
      <c r="B112" s="1" t="str">
        <f ca="1">IF(Información1[[#This Row],[Fecha]]='Ajuste de fechas'!$A$2,"Día actual","Día anterior")</f>
        <v>Día anterior</v>
      </c>
      <c r="C112" s="3" t="s">
        <v>219</v>
      </c>
      <c r="D112" t="s">
        <v>220</v>
      </c>
      <c r="E112" s="3" t="s">
        <v>238</v>
      </c>
      <c r="F112" s="3" t="s">
        <v>67</v>
      </c>
      <c r="G112" s="3" t="s">
        <v>207</v>
      </c>
      <c r="H112" s="3" t="s">
        <v>86</v>
      </c>
      <c r="I112" s="3" t="s">
        <v>40</v>
      </c>
      <c r="J112" s="3" t="s">
        <v>31</v>
      </c>
      <c r="K112" s="3" t="s">
        <v>55</v>
      </c>
      <c r="L112" s="3" t="s">
        <v>25</v>
      </c>
      <c r="M112">
        <v>1</v>
      </c>
    </row>
    <row r="113" spans="1:13" x14ac:dyDescent="0.25">
      <c r="A113" s="2">
        <v>46216</v>
      </c>
      <c r="B113" s="1" t="str">
        <f ca="1">IF(Información1[[#This Row],[Fecha]]='Ajuste de fechas'!$A$2,"Día actual","Día anterior")</f>
        <v>Día anterior</v>
      </c>
      <c r="C113" s="3" t="s">
        <v>219</v>
      </c>
      <c r="D113" t="s">
        <v>220</v>
      </c>
      <c r="E113" s="3" t="s">
        <v>239</v>
      </c>
      <c r="F113" s="3" t="s">
        <v>15</v>
      </c>
      <c r="G113" s="3" t="s">
        <v>207</v>
      </c>
      <c r="H113" s="3" t="s">
        <v>86</v>
      </c>
      <c r="I113" s="3" t="s">
        <v>7</v>
      </c>
      <c r="J113" s="3" t="s">
        <v>31</v>
      </c>
      <c r="K113" s="3" t="s">
        <v>55</v>
      </c>
      <c r="L113" s="3" t="s">
        <v>24</v>
      </c>
      <c r="M113">
        <v>1</v>
      </c>
    </row>
    <row r="114" spans="1:13" x14ac:dyDescent="0.25">
      <c r="A114" s="2">
        <v>46217</v>
      </c>
      <c r="B114" s="1" t="str">
        <f ca="1">IF(Información1[[#This Row],[Fecha]]='Ajuste de fechas'!$A$2,"Día actual","Día anterior")</f>
        <v>Día actual</v>
      </c>
      <c r="C114" s="3" t="s">
        <v>240</v>
      </c>
      <c r="D114" t="s">
        <v>241</v>
      </c>
      <c r="E114" s="3" t="s">
        <v>218</v>
      </c>
      <c r="F114" s="3" t="s">
        <v>38</v>
      </c>
      <c r="G114" s="3" t="s">
        <v>82</v>
      </c>
      <c r="H114" s="3" t="s">
        <v>8</v>
      </c>
      <c r="I114" s="3" t="s">
        <v>7</v>
      </c>
      <c r="J114" s="3" t="s">
        <v>31</v>
      </c>
      <c r="K114" s="3" t="s">
        <v>242</v>
      </c>
      <c r="L114" s="3" t="s">
        <v>26</v>
      </c>
      <c r="M114">
        <v>1</v>
      </c>
    </row>
    <row r="115" spans="1:13" x14ac:dyDescent="0.25">
      <c r="A115" s="2">
        <v>46217</v>
      </c>
      <c r="B115" s="1" t="str">
        <f ca="1">IF(Información1[[#This Row],[Fecha]]='Ajuste de fechas'!$A$2,"Día actual","Día anterior")</f>
        <v>Día actual</v>
      </c>
      <c r="C115" s="3" t="s">
        <v>240</v>
      </c>
      <c r="D115" t="s">
        <v>241</v>
      </c>
      <c r="E115" s="3" t="s">
        <v>243</v>
      </c>
      <c r="F115" s="3" t="s">
        <v>34</v>
      </c>
      <c r="G115" s="3" t="s">
        <v>244</v>
      </c>
      <c r="H115" s="3" t="s">
        <v>8</v>
      </c>
      <c r="I115" s="3" t="s">
        <v>7</v>
      </c>
      <c r="J115" s="3" t="s">
        <v>31</v>
      </c>
      <c r="K115" s="3" t="s">
        <v>242</v>
      </c>
      <c r="L115" s="3" t="s">
        <v>24</v>
      </c>
      <c r="M115">
        <v>1</v>
      </c>
    </row>
    <row r="116" spans="1:13" x14ac:dyDescent="0.25">
      <c r="A116" s="2">
        <v>46217</v>
      </c>
      <c r="B116" s="1" t="str">
        <f ca="1">IF(Información1[[#This Row],[Fecha]]='Ajuste de fechas'!$A$2,"Día actual","Día anterior")</f>
        <v>Día actual</v>
      </c>
      <c r="C116" s="3" t="s">
        <v>240</v>
      </c>
      <c r="D116" t="s">
        <v>241</v>
      </c>
      <c r="E116" s="3" t="s">
        <v>245</v>
      </c>
      <c r="F116" s="3" t="s">
        <v>10</v>
      </c>
      <c r="G116" s="3" t="s">
        <v>68</v>
      </c>
      <c r="H116" s="3" t="s">
        <v>8</v>
      </c>
      <c r="I116" s="3" t="s">
        <v>7</v>
      </c>
      <c r="J116" s="3" t="s">
        <v>33</v>
      </c>
      <c r="K116" s="3" t="s">
        <v>242</v>
      </c>
      <c r="L116" s="3" t="s">
        <v>36</v>
      </c>
      <c r="M116">
        <v>1</v>
      </c>
    </row>
    <row r="117" spans="1:13" x14ac:dyDescent="0.25">
      <c r="A117" s="2">
        <v>46217</v>
      </c>
      <c r="B117" s="1" t="str">
        <f ca="1">IF(Información1[[#This Row],[Fecha]]='Ajuste de fechas'!$A$2,"Día actual","Día anterior")</f>
        <v>Día actual</v>
      </c>
      <c r="C117" s="3" t="s">
        <v>240</v>
      </c>
      <c r="D117" t="s">
        <v>241</v>
      </c>
      <c r="E117" s="3" t="s">
        <v>246</v>
      </c>
      <c r="F117" s="3" t="s">
        <v>200</v>
      </c>
      <c r="G117" s="3" t="s">
        <v>201</v>
      </c>
      <c r="H117" s="3" t="s">
        <v>8</v>
      </c>
      <c r="I117" s="3" t="s">
        <v>7</v>
      </c>
      <c r="J117" s="3" t="s">
        <v>31</v>
      </c>
      <c r="K117" s="3" t="s">
        <v>242</v>
      </c>
      <c r="L117" s="3" t="s">
        <v>26</v>
      </c>
      <c r="M117">
        <v>1</v>
      </c>
    </row>
    <row r="118" spans="1:13" x14ac:dyDescent="0.25">
      <c r="A118" s="2">
        <v>46217</v>
      </c>
      <c r="B118" s="1" t="str">
        <f ca="1">IF(Información1[[#This Row],[Fecha]]='Ajuste de fechas'!$A$2,"Día actual","Día anterior")</f>
        <v>Día actual</v>
      </c>
      <c r="C118" s="3" t="s">
        <v>240</v>
      </c>
      <c r="D118" t="s">
        <v>241</v>
      </c>
      <c r="E118" s="3" t="s">
        <v>208</v>
      </c>
      <c r="F118" s="3" t="s">
        <v>15</v>
      </c>
      <c r="G118" s="3" t="s">
        <v>209</v>
      </c>
      <c r="H118" s="3" t="s">
        <v>8</v>
      </c>
      <c r="I118" s="3" t="s">
        <v>7</v>
      </c>
      <c r="J118" s="3" t="s">
        <v>31</v>
      </c>
      <c r="K118" s="3" t="s">
        <v>242</v>
      </c>
      <c r="L118" s="3" t="s">
        <v>26</v>
      </c>
      <c r="M118">
        <v>1</v>
      </c>
    </row>
    <row r="119" spans="1:13" x14ac:dyDescent="0.25">
      <c r="A119" s="2">
        <v>46217</v>
      </c>
      <c r="B119" s="1" t="str">
        <f ca="1">IF(Información1[[#This Row],[Fecha]]='Ajuste de fechas'!$A$2,"Día actual","Día anterior")</f>
        <v>Día actual</v>
      </c>
      <c r="C119" s="3" t="s">
        <v>240</v>
      </c>
      <c r="D119" t="s">
        <v>241</v>
      </c>
      <c r="E119" s="3" t="s">
        <v>247</v>
      </c>
      <c r="F119" s="3" t="s">
        <v>56</v>
      </c>
      <c r="G119" s="3" t="s">
        <v>248</v>
      </c>
      <c r="H119" s="3" t="s">
        <v>8</v>
      </c>
      <c r="I119" s="3" t="s">
        <v>7</v>
      </c>
      <c r="J119" s="3" t="s">
        <v>31</v>
      </c>
      <c r="K119" s="3" t="s">
        <v>242</v>
      </c>
      <c r="L119" s="3" t="s">
        <v>24</v>
      </c>
      <c r="M119">
        <v>1</v>
      </c>
    </row>
    <row r="120" spans="1:13" x14ac:dyDescent="0.25">
      <c r="A120" s="2">
        <v>46217</v>
      </c>
      <c r="B120" s="1" t="str">
        <f ca="1">IF(Información1[[#This Row],[Fecha]]='Ajuste de fechas'!$A$2,"Día actual","Día anterior")</f>
        <v>Día actual</v>
      </c>
      <c r="C120" s="3" t="s">
        <v>240</v>
      </c>
      <c r="D120" t="s">
        <v>241</v>
      </c>
      <c r="E120" s="3" t="s">
        <v>249</v>
      </c>
      <c r="F120" s="3" t="s">
        <v>56</v>
      </c>
      <c r="G120" s="3" t="s">
        <v>250</v>
      </c>
      <c r="H120" s="3" t="s">
        <v>8</v>
      </c>
      <c r="I120" s="3" t="s">
        <v>7</v>
      </c>
      <c r="J120" s="3" t="s">
        <v>31</v>
      </c>
      <c r="K120" s="3" t="s">
        <v>242</v>
      </c>
      <c r="L120" s="3" t="s">
        <v>24</v>
      </c>
      <c r="M120">
        <v>1</v>
      </c>
    </row>
    <row r="121" spans="1:13" x14ac:dyDescent="0.25">
      <c r="A121" s="2">
        <v>46217</v>
      </c>
      <c r="B121" s="1" t="str">
        <f ca="1">IF(Información1[[#This Row],[Fecha]]='Ajuste de fechas'!$A$2,"Día actual","Día anterior")</f>
        <v>Día actual</v>
      </c>
      <c r="C121" s="3" t="s">
        <v>240</v>
      </c>
      <c r="D121" t="s">
        <v>241</v>
      </c>
      <c r="E121" s="3" t="s">
        <v>251</v>
      </c>
      <c r="F121" s="3" t="s">
        <v>9</v>
      </c>
      <c r="G121" s="3" t="s">
        <v>78</v>
      </c>
      <c r="H121" s="3" t="s">
        <v>8</v>
      </c>
      <c r="I121" s="3" t="s">
        <v>7</v>
      </c>
      <c r="J121" s="3" t="s">
        <v>31</v>
      </c>
      <c r="K121" s="3" t="s">
        <v>242</v>
      </c>
      <c r="L121" s="3" t="s">
        <v>24</v>
      </c>
      <c r="M121">
        <v>1</v>
      </c>
    </row>
    <row r="122" spans="1:13" x14ac:dyDescent="0.25">
      <c r="A122" s="2">
        <v>46217</v>
      </c>
      <c r="B122" s="1" t="str">
        <f ca="1">IF(Información1[[#This Row],[Fecha]]='Ajuste de fechas'!$A$2,"Día actual","Día anterior")</f>
        <v>Día actual</v>
      </c>
      <c r="C122" s="3" t="s">
        <v>240</v>
      </c>
      <c r="D122" t="s">
        <v>241</v>
      </c>
      <c r="E122" s="3" t="s">
        <v>252</v>
      </c>
      <c r="F122" s="3" t="s">
        <v>10</v>
      </c>
      <c r="G122" s="3" t="s">
        <v>105</v>
      </c>
      <c r="H122" s="3" t="s">
        <v>8</v>
      </c>
      <c r="I122" s="3" t="s">
        <v>7</v>
      </c>
      <c r="J122" s="3" t="s">
        <v>33</v>
      </c>
      <c r="K122" s="3" t="s">
        <v>242</v>
      </c>
      <c r="L122" s="3" t="s">
        <v>24</v>
      </c>
      <c r="M122">
        <v>1</v>
      </c>
    </row>
    <row r="123" spans="1:13" x14ac:dyDescent="0.25">
      <c r="A123" s="2">
        <v>46217</v>
      </c>
      <c r="B123" s="1" t="str">
        <f ca="1">IF(Información1[[#This Row],[Fecha]]='Ajuste de fechas'!$A$2,"Día actual","Día anterior")</f>
        <v>Día actual</v>
      </c>
      <c r="C123" s="3" t="s">
        <v>240</v>
      </c>
      <c r="D123" t="s">
        <v>241</v>
      </c>
      <c r="E123" s="3" t="s">
        <v>253</v>
      </c>
      <c r="F123" s="3" t="s">
        <v>10</v>
      </c>
      <c r="G123" s="3" t="s">
        <v>254</v>
      </c>
      <c r="H123" s="3" t="s">
        <v>8</v>
      </c>
      <c r="I123" s="3" t="s">
        <v>7</v>
      </c>
      <c r="J123" s="3" t="s">
        <v>33</v>
      </c>
      <c r="K123" s="3" t="s">
        <v>242</v>
      </c>
      <c r="L123" s="3" t="s">
        <v>24</v>
      </c>
      <c r="M123">
        <v>1</v>
      </c>
    </row>
    <row r="124" spans="1:13" x14ac:dyDescent="0.25">
      <c r="A124" s="2">
        <v>46217</v>
      </c>
      <c r="B124" s="1" t="str">
        <f ca="1">IF(Información1[[#This Row],[Fecha]]='Ajuste de fechas'!$A$2,"Día actual","Día anterior")</f>
        <v>Día actual</v>
      </c>
      <c r="C124" s="3" t="s">
        <v>240</v>
      </c>
      <c r="D124" t="s">
        <v>241</v>
      </c>
      <c r="E124" s="3" t="s">
        <v>255</v>
      </c>
      <c r="F124" s="3" t="s">
        <v>35</v>
      </c>
      <c r="G124" s="3" t="s">
        <v>91</v>
      </c>
      <c r="H124" s="3" t="s">
        <v>8</v>
      </c>
      <c r="I124" s="3" t="s">
        <v>7</v>
      </c>
      <c r="J124" s="3" t="s">
        <v>31</v>
      </c>
      <c r="K124" s="3" t="s">
        <v>242</v>
      </c>
      <c r="L124" s="3" t="s">
        <v>24</v>
      </c>
      <c r="M124">
        <v>1</v>
      </c>
    </row>
    <row r="125" spans="1:13" x14ac:dyDescent="0.25">
      <c r="A125" s="2">
        <v>46217</v>
      </c>
      <c r="B125" s="1" t="str">
        <f ca="1">IF(Información1[[#This Row],[Fecha]]='Ajuste de fechas'!$A$2,"Día actual","Día anterior")</f>
        <v>Día actual</v>
      </c>
      <c r="C125" s="3" t="s">
        <v>240</v>
      </c>
      <c r="D125" t="s">
        <v>241</v>
      </c>
      <c r="E125" s="3" t="s">
        <v>256</v>
      </c>
      <c r="F125" s="3" t="s">
        <v>10</v>
      </c>
      <c r="G125" s="3" t="s">
        <v>257</v>
      </c>
      <c r="H125" s="3" t="s">
        <v>8</v>
      </c>
      <c r="I125" s="3" t="s">
        <v>7</v>
      </c>
      <c r="J125" s="3" t="s">
        <v>33</v>
      </c>
      <c r="K125" s="3" t="s">
        <v>242</v>
      </c>
      <c r="L125" s="3" t="s">
        <v>24</v>
      </c>
      <c r="M125">
        <v>1</v>
      </c>
    </row>
    <row r="126" spans="1:13" x14ac:dyDescent="0.25">
      <c r="A126" s="2">
        <v>46217</v>
      </c>
      <c r="B126" s="1" t="str">
        <f ca="1">IF(Información1[[#This Row],[Fecha]]='Ajuste de fechas'!$A$2,"Día actual","Día anterior")</f>
        <v>Día actual</v>
      </c>
      <c r="C126" s="3" t="s">
        <v>85</v>
      </c>
      <c r="D126" t="s">
        <v>258</v>
      </c>
      <c r="E126" s="3" t="s">
        <v>259</v>
      </c>
      <c r="F126" s="3" t="s">
        <v>56</v>
      </c>
      <c r="G126" s="3" t="s">
        <v>260</v>
      </c>
      <c r="H126" s="3" t="s">
        <v>86</v>
      </c>
      <c r="I126" s="3" t="s">
        <v>7</v>
      </c>
      <c r="J126" s="3" t="s">
        <v>31</v>
      </c>
      <c r="K126" s="3" t="s">
        <v>261</v>
      </c>
      <c r="L126" s="3" t="s">
        <v>24</v>
      </c>
      <c r="M126">
        <v>1</v>
      </c>
    </row>
    <row r="127" spans="1:13" x14ac:dyDescent="0.25">
      <c r="A127" s="2">
        <v>46217</v>
      </c>
      <c r="B127" s="1" t="str">
        <f ca="1">IF(Información1[[#This Row],[Fecha]]='Ajuste de fechas'!$A$2,"Día actual","Día anterior")</f>
        <v>Día actual</v>
      </c>
      <c r="C127" s="3" t="s">
        <v>85</v>
      </c>
      <c r="D127" t="s">
        <v>258</v>
      </c>
      <c r="E127" s="3" t="s">
        <v>246</v>
      </c>
      <c r="F127" s="3" t="s">
        <v>200</v>
      </c>
      <c r="G127" s="3" t="s">
        <v>201</v>
      </c>
      <c r="H127" s="3" t="s">
        <v>86</v>
      </c>
      <c r="I127" s="3" t="s">
        <v>7</v>
      </c>
      <c r="J127" s="3" t="s">
        <v>31</v>
      </c>
      <c r="K127" s="3" t="s">
        <v>261</v>
      </c>
      <c r="L127" s="3" t="s">
        <v>26</v>
      </c>
      <c r="M127">
        <v>1</v>
      </c>
    </row>
    <row r="128" spans="1:13" x14ac:dyDescent="0.25">
      <c r="A128" s="2">
        <v>46217</v>
      </c>
      <c r="B128" s="1" t="str">
        <f ca="1">IF(Información1[[#This Row],[Fecha]]='Ajuste de fechas'!$A$2,"Día actual","Día anterior")</f>
        <v>Día actual</v>
      </c>
      <c r="C128" s="3" t="s">
        <v>85</v>
      </c>
      <c r="D128" t="s">
        <v>258</v>
      </c>
      <c r="E128" s="3" t="s">
        <v>262</v>
      </c>
      <c r="F128" s="3" t="s">
        <v>263</v>
      </c>
      <c r="G128" s="3" t="s">
        <v>264</v>
      </c>
      <c r="H128" s="3" t="s">
        <v>86</v>
      </c>
      <c r="I128" s="3" t="s">
        <v>7</v>
      </c>
      <c r="J128" s="3" t="s">
        <v>99</v>
      </c>
      <c r="K128" s="3" t="s">
        <v>261</v>
      </c>
      <c r="L128" s="3" t="s">
        <v>24</v>
      </c>
      <c r="M128">
        <v>1</v>
      </c>
    </row>
    <row r="129" spans="1:13" x14ac:dyDescent="0.25">
      <c r="A129" s="2">
        <v>46217</v>
      </c>
      <c r="B129" s="1" t="str">
        <f ca="1">IF(Información1[[#This Row],[Fecha]]='Ajuste de fechas'!$A$2,"Día actual","Día anterior")</f>
        <v>Día actual</v>
      </c>
      <c r="C129" s="3" t="s">
        <v>85</v>
      </c>
      <c r="D129" t="s">
        <v>258</v>
      </c>
      <c r="E129" s="3" t="s">
        <v>202</v>
      </c>
      <c r="F129" s="3" t="s">
        <v>34</v>
      </c>
      <c r="G129" s="3" t="s">
        <v>203</v>
      </c>
      <c r="H129" s="3" t="s">
        <v>86</v>
      </c>
      <c r="I129" s="3" t="s">
        <v>7</v>
      </c>
      <c r="J129" s="3" t="s">
        <v>31</v>
      </c>
      <c r="K129" s="3" t="s">
        <v>261</v>
      </c>
      <c r="L129" s="3" t="s">
        <v>26</v>
      </c>
      <c r="M129">
        <v>1</v>
      </c>
    </row>
    <row r="130" spans="1:13" x14ac:dyDescent="0.25">
      <c r="A130" s="2">
        <v>46217</v>
      </c>
      <c r="B130" s="1" t="str">
        <f ca="1">IF(Información1[[#This Row],[Fecha]]='Ajuste de fechas'!$A$2,"Día actual","Día anterior")</f>
        <v>Día actual</v>
      </c>
      <c r="C130" s="3" t="s">
        <v>85</v>
      </c>
      <c r="D130" t="s">
        <v>258</v>
      </c>
      <c r="E130" s="3" t="s">
        <v>204</v>
      </c>
      <c r="F130" s="3" t="s">
        <v>109</v>
      </c>
      <c r="G130" s="3" t="s">
        <v>205</v>
      </c>
      <c r="H130" s="3" t="s">
        <v>86</v>
      </c>
      <c r="I130" s="3" t="s">
        <v>7</v>
      </c>
      <c r="J130" s="3" t="s">
        <v>31</v>
      </c>
      <c r="K130" s="3" t="s">
        <v>261</v>
      </c>
      <c r="L130" s="3" t="s">
        <v>26</v>
      </c>
      <c r="M130">
        <v>1</v>
      </c>
    </row>
    <row r="131" spans="1:13" x14ac:dyDescent="0.25">
      <c r="A131" s="2">
        <v>46217</v>
      </c>
      <c r="B131" s="1" t="str">
        <f ca="1">IF(Información1[[#This Row],[Fecha]]='Ajuste de fechas'!$A$2,"Día actual","Día anterior")</f>
        <v>Día actual</v>
      </c>
      <c r="C131" s="3" t="s">
        <v>85</v>
      </c>
      <c r="D131" t="s">
        <v>258</v>
      </c>
      <c r="E131" s="3" t="s">
        <v>265</v>
      </c>
      <c r="F131" s="3" t="s">
        <v>15</v>
      </c>
      <c r="G131" s="3" t="s">
        <v>237</v>
      </c>
      <c r="H131" s="3" t="s">
        <v>86</v>
      </c>
      <c r="I131" s="3" t="s">
        <v>7</v>
      </c>
      <c r="J131" s="3" t="s">
        <v>31</v>
      </c>
      <c r="K131" s="3" t="s">
        <v>266</v>
      </c>
      <c r="L131" s="3" t="s">
        <v>24</v>
      </c>
      <c r="M131">
        <v>1</v>
      </c>
    </row>
    <row r="132" spans="1:13" x14ac:dyDescent="0.25">
      <c r="A132" s="2">
        <v>46217</v>
      </c>
      <c r="B132" s="1" t="str">
        <f ca="1">IF(Información1[[#This Row],[Fecha]]='Ajuste de fechas'!$A$2,"Día actual","Día anterior")</f>
        <v>Día actual</v>
      </c>
      <c r="C132" s="3" t="s">
        <v>85</v>
      </c>
      <c r="D132" t="s">
        <v>258</v>
      </c>
      <c r="E132" s="3" t="s">
        <v>267</v>
      </c>
      <c r="F132" s="3" t="s">
        <v>10</v>
      </c>
      <c r="G132" s="3" t="s">
        <v>268</v>
      </c>
      <c r="H132" s="3" t="s">
        <v>86</v>
      </c>
      <c r="I132" s="3" t="s">
        <v>7</v>
      </c>
      <c r="J132" s="3" t="s">
        <v>33</v>
      </c>
      <c r="K132" s="3" t="s">
        <v>266</v>
      </c>
      <c r="L132" s="3" t="s">
        <v>24</v>
      </c>
      <c r="M132">
        <v>1</v>
      </c>
    </row>
    <row r="133" spans="1:13" x14ac:dyDescent="0.25">
      <c r="A133" s="2">
        <v>46217</v>
      </c>
      <c r="B133" s="1" t="str">
        <f ca="1">IF(Información1[[#This Row],[Fecha]]='Ajuste de fechas'!$A$2,"Día actual","Día anterior")</f>
        <v>Día actual</v>
      </c>
      <c r="C133" s="3" t="s">
        <v>85</v>
      </c>
      <c r="D133" t="s">
        <v>258</v>
      </c>
      <c r="E133" s="3" t="s">
        <v>269</v>
      </c>
      <c r="F133" s="3" t="s">
        <v>6</v>
      </c>
      <c r="G133" s="3" t="s">
        <v>270</v>
      </c>
      <c r="H133" s="3" t="s">
        <v>86</v>
      </c>
      <c r="I133" s="3" t="s">
        <v>7</v>
      </c>
      <c r="J133" s="3" t="s">
        <v>31</v>
      </c>
      <c r="K133" s="3" t="s">
        <v>261</v>
      </c>
      <c r="L133" s="3" t="s">
        <v>24</v>
      </c>
      <c r="M133">
        <v>1</v>
      </c>
    </row>
    <row r="134" spans="1:13" x14ac:dyDescent="0.25">
      <c r="A134" s="2">
        <v>46217</v>
      </c>
      <c r="B134" s="1" t="str">
        <f ca="1">IF(Información1[[#This Row],[Fecha]]='Ajuste de fechas'!$A$2,"Día actual","Día anterior")</f>
        <v>Día actual</v>
      </c>
      <c r="C134" s="3" t="s">
        <v>85</v>
      </c>
      <c r="D134" t="s">
        <v>258</v>
      </c>
      <c r="E134" s="3" t="s">
        <v>269</v>
      </c>
      <c r="F134" s="3" t="s">
        <v>271</v>
      </c>
      <c r="G134" s="3" t="s">
        <v>270</v>
      </c>
      <c r="H134" s="3" t="s">
        <v>86</v>
      </c>
      <c r="I134" s="3" t="s">
        <v>7</v>
      </c>
      <c r="J134" s="3" t="s">
        <v>31</v>
      </c>
      <c r="K134" s="3" t="s">
        <v>261</v>
      </c>
      <c r="L134" s="3" t="s">
        <v>24</v>
      </c>
      <c r="M134">
        <v>1</v>
      </c>
    </row>
    <row r="135" spans="1:13" x14ac:dyDescent="0.25">
      <c r="A135" s="2">
        <v>46217</v>
      </c>
      <c r="B135" s="1" t="str">
        <f ca="1">IF(Información1[[#This Row],[Fecha]]='Ajuste de fechas'!$A$2,"Día actual","Día anterior")</f>
        <v>Día actual</v>
      </c>
      <c r="C135" s="3" t="s">
        <v>85</v>
      </c>
      <c r="D135" t="s">
        <v>258</v>
      </c>
      <c r="E135" s="3" t="s">
        <v>272</v>
      </c>
      <c r="F135" s="3" t="s">
        <v>15</v>
      </c>
      <c r="G135" s="3" t="s">
        <v>273</v>
      </c>
      <c r="H135" s="3" t="s">
        <v>86</v>
      </c>
      <c r="I135" s="3" t="s">
        <v>7</v>
      </c>
      <c r="J135" s="3" t="s">
        <v>31</v>
      </c>
      <c r="K135" s="3" t="s">
        <v>261</v>
      </c>
      <c r="L135" s="3" t="s">
        <v>24</v>
      </c>
      <c r="M135">
        <v>1</v>
      </c>
    </row>
    <row r="136" spans="1:13" x14ac:dyDescent="0.25">
      <c r="A136" s="2">
        <v>46217</v>
      </c>
      <c r="B136" s="1" t="str">
        <f ca="1">IF(Información1[[#This Row],[Fecha]]='Ajuste de fechas'!$A$2,"Día actual","Día anterior")</f>
        <v>Día actual</v>
      </c>
      <c r="C136" s="3" t="s">
        <v>85</v>
      </c>
      <c r="D136" t="s">
        <v>258</v>
      </c>
      <c r="E136" s="3" t="s">
        <v>274</v>
      </c>
      <c r="F136" s="3" t="s">
        <v>15</v>
      </c>
      <c r="G136" s="3" t="s">
        <v>209</v>
      </c>
      <c r="H136" s="3" t="s">
        <v>86</v>
      </c>
      <c r="I136" s="3" t="s">
        <v>7</v>
      </c>
      <c r="J136" s="3" t="s">
        <v>31</v>
      </c>
      <c r="K136" s="3" t="s">
        <v>261</v>
      </c>
      <c r="L136" s="3" t="s">
        <v>24</v>
      </c>
      <c r="M136">
        <v>1</v>
      </c>
    </row>
    <row r="137" spans="1:13" x14ac:dyDescent="0.25">
      <c r="A137" s="2">
        <v>46217</v>
      </c>
      <c r="B137" s="1" t="str">
        <f ca="1">IF(Información1[[#This Row],[Fecha]]='Ajuste de fechas'!$A$2,"Día actual","Día anterior")</f>
        <v>Día actual</v>
      </c>
      <c r="C137" s="3" t="s">
        <v>85</v>
      </c>
      <c r="D137" t="s">
        <v>258</v>
      </c>
      <c r="E137" s="3" t="s">
        <v>275</v>
      </c>
      <c r="F137" s="3" t="s">
        <v>15</v>
      </c>
      <c r="G137" s="3" t="s">
        <v>207</v>
      </c>
      <c r="H137" s="3" t="s">
        <v>86</v>
      </c>
      <c r="I137" s="3" t="s">
        <v>7</v>
      </c>
      <c r="J137" s="3" t="s">
        <v>31</v>
      </c>
      <c r="K137" s="3" t="s">
        <v>261</v>
      </c>
      <c r="L137" s="3" t="s">
        <v>26</v>
      </c>
      <c r="M137">
        <v>1</v>
      </c>
    </row>
    <row r="138" spans="1:13" x14ac:dyDescent="0.25">
      <c r="A138" s="2">
        <v>46217</v>
      </c>
      <c r="B138" s="1" t="str">
        <f ca="1">IF(Información1[[#This Row],[Fecha]]='Ajuste de fechas'!$A$2,"Día actual","Día anterior")</f>
        <v>Día actual</v>
      </c>
      <c r="C138" s="3" t="s">
        <v>85</v>
      </c>
      <c r="D138" t="s">
        <v>258</v>
      </c>
      <c r="E138" s="3" t="s">
        <v>276</v>
      </c>
      <c r="F138" s="3" t="s">
        <v>34</v>
      </c>
      <c r="G138" s="3" t="s">
        <v>244</v>
      </c>
      <c r="H138" s="3" t="s">
        <v>86</v>
      </c>
      <c r="I138" s="3" t="s">
        <v>7</v>
      </c>
      <c r="J138" s="3" t="s">
        <v>31</v>
      </c>
      <c r="K138" s="3" t="s">
        <v>261</v>
      </c>
      <c r="L138" s="3" t="s">
        <v>24</v>
      </c>
      <c r="M138">
        <v>1</v>
      </c>
    </row>
    <row r="139" spans="1:13" x14ac:dyDescent="0.25">
      <c r="A139" s="2">
        <v>46217</v>
      </c>
      <c r="B139" s="1" t="str">
        <f ca="1">IF(Información1[[#This Row],[Fecha]]='Ajuste de fechas'!$A$2,"Día actual","Día anterior")</f>
        <v>Día actual</v>
      </c>
      <c r="C139" s="3" t="s">
        <v>85</v>
      </c>
      <c r="D139" t="s">
        <v>258</v>
      </c>
      <c r="E139" s="3" t="s">
        <v>277</v>
      </c>
      <c r="F139" s="3" t="s">
        <v>9</v>
      </c>
      <c r="G139" s="3" t="s">
        <v>278</v>
      </c>
      <c r="H139" s="3" t="s">
        <v>86</v>
      </c>
      <c r="I139" s="3" t="s">
        <v>7</v>
      </c>
      <c r="J139" s="3" t="s">
        <v>31</v>
      </c>
      <c r="K139" s="3" t="s">
        <v>261</v>
      </c>
      <c r="L139" s="3" t="s">
        <v>24</v>
      </c>
      <c r="M139">
        <v>1</v>
      </c>
    </row>
    <row r="140" spans="1:13" x14ac:dyDescent="0.25">
      <c r="A140" s="2">
        <v>46217</v>
      </c>
      <c r="B140" s="1" t="str">
        <f ca="1">IF(Información1[[#This Row],[Fecha]]='Ajuste de fechas'!$A$2,"Día actual","Día anterior")</f>
        <v>Día actual</v>
      </c>
      <c r="C140" s="3" t="s">
        <v>85</v>
      </c>
      <c r="D140" t="s">
        <v>258</v>
      </c>
      <c r="E140" s="3" t="s">
        <v>218</v>
      </c>
      <c r="F140" s="3" t="s">
        <v>38</v>
      </c>
      <c r="G140" s="3" t="s">
        <v>82</v>
      </c>
      <c r="H140" s="3" t="s">
        <v>86</v>
      </c>
      <c r="I140" s="3" t="s">
        <v>7</v>
      </c>
      <c r="J140" s="3" t="s">
        <v>31</v>
      </c>
      <c r="K140" s="3" t="s">
        <v>261</v>
      </c>
      <c r="L140" s="3" t="s">
        <v>26</v>
      </c>
      <c r="M140">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3" sqref="A3"/>
    </sheetView>
  </sheetViews>
  <sheetFormatPr baseColWidth="10" defaultRowHeight="15" x14ac:dyDescent="0.25"/>
  <sheetData>
    <row r="1" spans="1:2" x14ac:dyDescent="0.25">
      <c r="A1" t="s">
        <v>28</v>
      </c>
      <c r="B1" t="s">
        <v>29</v>
      </c>
    </row>
    <row r="2" spans="1:2" x14ac:dyDescent="0.25">
      <c r="A2" s="2">
        <f ca="1">TODAY()</f>
        <v>46217</v>
      </c>
      <c r="B2" s="2">
        <f ca="1">A2-1</f>
        <v>46216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2026-07-14T22:46:06Z</dcterms:modified>
</cp:coreProperties>
</file>