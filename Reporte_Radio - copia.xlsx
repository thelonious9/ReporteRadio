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DD75A0C3-488B-4E32-9837-9933438943D5}"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71" i="2"/>
  <c r="B73" i="2"/>
  <c r="B75" i="2"/>
  <c r="B101" i="2"/>
  <c r="B104" i="2"/>
  <c r="B107" i="2"/>
  <c r="B110" i="2"/>
  <c r="B113" i="2"/>
  <c r="B116" i="2"/>
  <c r="B119" i="2"/>
  <c r="B121" i="2"/>
  <c r="B124" i="2"/>
  <c r="B127" i="2"/>
  <c r="B130" i="2"/>
  <c r="B133" i="2"/>
  <c r="B136" i="2"/>
  <c r="B139" i="2"/>
  <c r="B142" i="2"/>
  <c r="B143" i="2"/>
  <c r="B146" i="2"/>
  <c r="B149"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2" i="2"/>
  <c r="B74" i="2"/>
  <c r="B100" i="2"/>
  <c r="B103" i="2"/>
  <c r="B106" i="2"/>
  <c r="B109" i="2"/>
  <c r="B111" i="2"/>
  <c r="B114" i="2"/>
  <c r="B117" i="2"/>
  <c r="B120" i="2"/>
  <c r="B123" i="2"/>
  <c r="B126" i="2"/>
  <c r="B129" i="2"/>
  <c r="B132" i="2"/>
  <c r="B135" i="2"/>
  <c r="B138" i="2"/>
  <c r="B141" i="2"/>
  <c r="B144" i="2"/>
  <c r="B147" i="2"/>
  <c r="B76" i="2"/>
  <c r="B77" i="2"/>
  <c r="B78" i="2"/>
  <c r="B79" i="2"/>
  <c r="B80" i="2"/>
  <c r="B81" i="2"/>
  <c r="B82" i="2"/>
  <c r="B83" i="2"/>
  <c r="B84" i="2"/>
  <c r="B85" i="2"/>
  <c r="B86" i="2"/>
  <c r="B87" i="2"/>
  <c r="B88" i="2"/>
  <c r="B89" i="2"/>
  <c r="B90" i="2"/>
  <c r="B91" i="2"/>
  <c r="B92" i="2"/>
  <c r="B93" i="2"/>
  <c r="B94" i="2"/>
  <c r="B95" i="2"/>
  <c r="B96" i="2"/>
  <c r="B97" i="2"/>
  <c r="B98" i="2"/>
  <c r="B99" i="2"/>
  <c r="B102" i="2"/>
  <c r="B105" i="2"/>
  <c r="B108" i="2"/>
  <c r="B112" i="2"/>
  <c r="B115" i="2"/>
  <c r="B118" i="2"/>
  <c r="B122" i="2"/>
  <c r="B125" i="2"/>
  <c r="B128" i="2"/>
  <c r="B131" i="2"/>
  <c r="B134" i="2"/>
  <c r="B137" i="2"/>
  <c r="B140" i="2"/>
  <c r="B145" i="2"/>
  <c r="B14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<sst xmlns="http://schemas.openxmlformats.org/spreadsheetml/2006/main" count="1493" uniqueCount="271">
  <si>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</si>
  <si>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</si>
  <si>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</si>
  <si>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</si>
  <si>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</si>
  <si>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</si>
  <si>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</si>
  <si>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</si>
  <si>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</si>
  <si>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</si>
  <si>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</si>
  <si>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</si>
  <si>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</si>
  <si>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</si>
  <si>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</si>
  <si>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</si>
  <si>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</si>
  <si>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</si>
  <si>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</si>
  <si>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</si>
  <si>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</si>
  <si>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</si>
  <si>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</si>
  <si>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</si>
  <si>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</si>
  <si>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</si>
  <si>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</si>
  <si>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</si>
  <si>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</si>
  <si>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</si>
  <si>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</si>
  <si>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</si>
  <si>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Canal del Pueblo</t>
  </si>
  <si>
    <t>Vocales Radio</t>
  </si>
  <si>
    <t>Planeación</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</si>
  <si>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</si>
  <si>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</si>
  <si>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</si>
  <si>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</si>
  <si>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</si>
  <si>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</si>
  <si>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</si>
  <si>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</si>
  <si>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</si>
  <si>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</si>
  <si>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</si>
  <si>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</si>
  <si>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</si>
  <si>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</si>
  <si>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</si>
  <si>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</si>
  <si>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</si>
  <si>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</si>
  <si>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</si>
  <si>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</si>
  <si>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</si>
  <si>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</si>
  <si>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Ke Buena 106.7 FM</t>
  </si>
  <si>
    <t>Noticias 106.7</t>
  </si>
  <si>
    <t>David Cárdenas</t>
  </si>
  <si>
    <t>Enlace Hidalgo1</t>
  </si>
  <si>
    <t>Mundial De Futbol</t>
  </si>
  <si>
    <t>OCSAD</t>
  </si>
  <si>
    <t>Ruta de la Transformación</t>
  </si>
  <si>
    <t>Queja transporte público</t>
  </si>
  <si>
    <t>Eulalio Larrieta agradece a Edith Balderas de la Secretaria de Educación Pública.</t>
  </si>
  <si>
    <t>Eulalio Larrieta agradece Paola García y Lic. Sarahi Pineda, por estar atentas a los mensajes de la ciudadanía y por atenderlos.</t>
  </si>
  <si>
    <t>Turismo</t>
  </si>
  <si>
    <t>Congreso</t>
  </si>
  <si>
    <t>Tauromaquia</t>
  </si>
  <si>
    <t>Exigen Esclarecer Feminicidio</t>
  </si>
  <si>
    <t>Radioescucha Sr. Paredes sigue reportando que no funciona la lámpara que está en la esquina del callejón de Quintana Roo y Plaza de Patoni</t>
  </si>
  <si>
    <t>Luminarias</t>
  </si>
  <si>
    <t>Relleno Sanitario</t>
  </si>
  <si>
    <t>Accidente transporte público</t>
  </si>
  <si>
    <t>Tecnificación De Riego</t>
  </si>
  <si>
    <t>TSJEH</t>
  </si>
  <si>
    <t>Cultura</t>
  </si>
  <si>
    <t>Contraloría</t>
  </si>
  <si>
    <t>Padrón de proveedores</t>
  </si>
  <si>
    <t>Alerta Meteorológica</t>
  </si>
  <si>
    <t>Hidalgo fortalece la conservación de murciélagos tras registro relevante en cueva de Cuautepec</t>
  </si>
  <si>
    <t>Semarnath</t>
  </si>
  <si>
    <t>Conservación de especies</t>
  </si>
  <si>
    <t>Vinculación feminicida</t>
  </si>
  <si>
    <t>Combate Al Narcomenudeo</t>
  </si>
  <si>
    <t>SSH</t>
  </si>
  <si>
    <t>Accidente Tuzobús</t>
  </si>
  <si>
    <t>Desfogue De Presa</t>
  </si>
  <si>
    <t>Ejecuciones</t>
  </si>
  <si>
    <t>Mosco Culex</t>
  </si>
  <si>
    <t>Control lirio acuático</t>
  </si>
  <si>
    <t>Radio Lobo 96.7 FM</t>
  </si>
  <si>
    <t>Enlace Noticias</t>
  </si>
  <si>
    <t>Gina Lorenzo</t>
  </si>
  <si>
    <t>Fuga De Agua</t>
  </si>
  <si>
    <t>Llega a Huichapan la campaña “¡A ver… a ver!”</t>
  </si>
  <si>
    <t>Salud Visual</t>
  </si>
  <si>
    <t>Gobierno de Hidalgo invierte 7.6 mdp en escuelas de Chapantongo y Alfajayucan</t>
  </si>
  <si>
    <t>Entrega de infraestructura escolar</t>
  </si>
  <si>
    <t>Depura Contraloría padrón de proveedores</t>
  </si>
  <si>
    <t>Difícil jornada para el Tuzobús, por la mañana se volteó un camión en el bulevar Felipe Ángeles; por la tarde una falla mecánica generó la evacuación de la estación Tecnológico de Monterrey y por la noche, un adulto mayor fue arrollado frente a la central de autobuses.</t>
  </si>
  <si>
    <t>Protección Civil llama a reforzar medidas preventivas ante temporada de ciclones y lluvias intensas</t>
  </si>
  <si>
    <t>Prevención De Riesgos</t>
  </si>
  <si>
    <t>Gabinete de Seguridad captura a 28 personas señaladas por actos delictivos</t>
  </si>
  <si>
    <t>Reunión Gabinete De Seguridad</t>
  </si>
  <si>
    <t>La fiscalía general de la República (FGR) en Hidalgo obtuvo una sentencia condenatoria superior a los cinco años de prisión en contra de Jorge «N» y Carlos «N», así como de otra persona identificada como Edgar «N», por su plena responsabilidad en delitos relacionados con la portación ilegal de armas de fuego. [ De acuerdo con el informe oficial, los hechos ocurrieron en Tizayuca, Hidalgo, donde los ahora sentenciados fueron detenidos por autoridades locales y estatales con armas de fuego y cartuchos. A través de un procedimiento abreviado, se les dictó sentencia por portación de arma de fuego de uso exclusivo y sin licencia.</t>
  </si>
  <si>
    <t>Sentencia</t>
  </si>
  <si>
    <t>David Kershenobich, secretario de Salud federal, informó que en México no se ha registrado ningún caso de ébola y que el riesgo de propagación en el territorio nacional es “muy bajo”. En la conferencia matutina de Palacio Nacional, Kershenobich Stalnikowitz detalló una serie de medidas y recomendaciones de viaje ante el brote por dicha enfermedad, que se localiza principalmente en la República Democrática del Congo y Uganda. Kershenobich Stalnikowitz subrayó que México, como país coanfitrión del Mundial 2026, está comprometido a proporcionar el ambiente más seguro posible.</t>
  </si>
  <si>
    <t>Vigilancia Epidemiológica</t>
  </si>
  <si>
    <t>Ante el inicio de la temporada de lluvias, autoridades del municipio de Ixmiquilpan reforzarán las acciones de prevención en la localidad del Valante, una de las zonas que resultó afectada el año pasado tras el desbordamiento del arroyo Pallares, situación que dejó severas inundaciones y cuantiosas pérdidas en campos de siembra y cosecha. Este lunes el gobierno municipal informó que a partir de esta semana personal de Protección Civil y Seguridad Pública realizará recorridos de supervisión y análisis en la zona para detectar riesgos y definir estrategias que permitan evitar que el afluente vuelva a colapsar durante las precipitaciones más intensas. Entre las acciones contempladas también se encuentra la posibilidad de organizar faenas de limpieza en el arroyo Pallares, con el objetivo de retirar maleza, basura y material acumulado que pudiera obstruir el paso del agua y aumentar el riesgo de desbordamientos. Fue en el mes de julio del año pasado, cuando las precipitaciones provocaron el desborde del cauce, ocasionando daños a las localidades de la Colonia Miguel Hidalgo, El Valante, Humedades y El Tephe. Dejando pérdidas totales en parcelas de cultivo de maíz, alfalfa y lechuga, así como anegaciones en casas y carreteras.</t>
  </si>
  <si>
    <t>Elementos de la Agencia de Investigación Criminal detuvieron en Tlaxcoapan a un hombre en posesión de estupefacientes y cartuchos de arma de fuego.</t>
  </si>
  <si>
    <t>Llega a Huichapan la campaña “¡A ver… a ver!” (AUDIO MATV).</t>
  </si>
  <si>
    <t>Vinculado a proceso probable responsable de feminicidio ocurrido en Actopan.</t>
  </si>
  <si>
    <t>Protección Civil llama a reforzar medidas preventivas ante temporada de ciclones y lluvias intensas.</t>
  </si>
  <si>
    <t>Gabinete de Seguridad captura a 28 personas señaladas por actos delictivos.</t>
  </si>
  <si>
    <t>Gabinete de Seguridad</t>
  </si>
  <si>
    <t>Locutor David Cárdenas informó que, el gobernador Julio Menchaca llegó a Chilcuautla como parte de las rutas de la transformación, para entregar apoyos y realizar trámites a través de los servicios para el pueblo. (AUDIO JMS).</t>
  </si>
  <si>
    <t>La agencia S&amp;P National Ratings subió calificación del estado de Hidalgo a ‘mxAA-’</t>
  </si>
  <si>
    <t>Hacienda</t>
  </si>
  <si>
    <t>Calificación crediticia</t>
  </si>
  <si>
    <t>La evaluación sobre policías tampoco mostró una diferencia significativa respecto a la tendencia nacional. Hidalgo obtuvo 5.1 puntos frente a una media de 5.2. El dato coloca a la entidad lejos de estados con mejor percepción de seguridad pública como Yucatán, Coahuila o Nuevo León, donde las corporaciones policiales superaron los 6 puntos. La encuesta exhibe una constante nacional: la confianza ciudadana hacia policías estatales y municipales permanece baja, incluso en entidades con mejores indicadores.</t>
  </si>
  <si>
    <t>Percepción de inseguridad</t>
  </si>
  <si>
    <t>La peor calificación dada por habitantes del estado en cuanto a la evaluación de servicios básicos no tuvo que ver con la seguridad sino en algo que millones de personas circulan, pisan, esquivan y padecen todos los días: las calles. Con 3.8 puntos en una escala de 0 a 10, el estado de Hidalgo quedó en último lugar nacional en el rubro de calles y avenidas, ya que ninguna otra entidad recibió una evaluación tan baja, tanto que quedó muy por debajo de la media nacional que fue de 5.1 puntos de calificación. En pocas palabras: si el promedio nacional es una cifra reprobatoria, el estado quedó muy abajo. El dato coloca a la entidad por debajo, incluso de estados históricamente golpeados por rezagos urbanos; mientras que la percepción ciudadana retrata una realidad cotidiana marcada por baches, pavimento deteriorado, vialidades parchadas y trayectos cada vez más lentos y costosos que especialmente brotan cada temporada de lluvias. La evaluación del Inegi no mide únicamente el estado físico del asfalto, sino que también refleja desgaste urbano acumulado y la percepción de abandono en uno de los servicios públicos más visibles para la población. El deterioro vial aparece además como un problema que atraviesa prácticamente toda la dinámica urbana. Así, impacta transporte público, tiempos de traslado, movilidad laboral, desgaste vehicular y seguridad vial. De hecho, recientemente se publicó que moverse en la capital del estado hoy implica más tiempo, más dinero y mayor incertidumbre. En 15 años, el tiempo promedio de traslado pasó de 15 a 38 minutos, un incremento que refleja el deterioro del sistema de transporte público en la zona metropolitana. Pero no sólo las calles constituyen un problema, pues el segundo peor indicador para la entidad fue carreteras y caminos sin cuota; en este rubro la entidad obtuvo 5 puntos frente a una media nacional de 5.7. Sólo Zacatecas tuvo una evaluación más baja.</t>
  </si>
  <si>
    <t>Vialidad En Mal Estado</t>
  </si>
  <si>
    <t>Con sensibilidad, compromiso social y la convicción de que la inclusión transforma vidas, la presidenta municipal de Tulancingo, Lorena García Cázares, realizó este lunes 25 de mayo una visita al CRIT Hidalgo, en Pachuca, para formalizar un importante convenio de colaboración con Fundación Teletón en beneficio de las familias tulancinguenses. Durante este encuentro, Agustín Lagunas Oseguera, director general del CRIT Hidalgo, brindó la recepción y apertura al diálogo que permitió avanzar en gestiones enfocadas en apoyar a quienes más lo necesitan, fortaleciendo así una alianza con profundo sentido humano.</t>
  </si>
  <si>
    <t>Firma De Convenio</t>
  </si>
  <si>
    <t>Locutor Juan Carlos Santamaría informa que, como parte de la gira de las rutas de la transformación, el gobernador Julio Menchaca estará el día de hoy en el municipio de Chilcuautla.</t>
  </si>
  <si>
    <t>Agenda gobernador</t>
  </si>
  <si>
    <t>Entrevista vía telefónica Jesica Belén Enciso Cruz y Diana Judith Hernández Álvarez, estudiantes de la Maestría en Desarrollo Turístico y Gastronómico Sustentable por la Universidad Tecnológica del Valle del Mezquital: Hablaron sobre las cualidades y ventajas de que ofrecer la Maestría en Desarrollo Turístico y Gastronómico Sustentable, la cual está enfocada formar especialistas en la innovación, gestión y conservación del patrimonio cultural y natural durante el plan de estudios de seis cuatrimestres; el siguiente cuatrimestre inicia en el mes de septiembre, por lo que, invitaron a las y los interesados a ingresar a la página oficial de la de la Universidad Tecnológica del Valle del Mezquital para mayores informes sobre el proceso de admisión.</t>
  </si>
  <si>
    <t>Oferta educativa</t>
  </si>
  <si>
    <t>Entrevista</t>
  </si>
  <si>
    <t>Se reforzará la vacunación en Hidalgo durante la Semana Nacional de Salud Pública 2026.</t>
  </si>
  <si>
    <t>Vacunación</t>
  </si>
  <si>
    <t>Pobladores de distintas comunidades ribereñas de la presa Endhó se reunieron con autoridades de los diferentes niveles de gobierno, esto fue la comunidad de la comunidad de Michimaloya en Tula. Hugo García Reyes, delegado de Xitejé de Zapata en Tula, habló sobre los acuerdos alcanzados en esta reunión. Informó que el día de ayer tuvieron una reunión, en donde estan solicitando la presencia de los titulares ya que solo a reuniones se presentan puros subsecretario, pura gente que no puede dar ninguna solución a ese problema, AUDIO APOYO</t>
  </si>
  <si>
    <t>Con una inversión superior a los 3 millones de pesos, el presidente municipal Cristhian Martínez dio el banderazo de inicio a la remodelación de las canchas de tenis de la unidad deportiva, obra con la que se busca fortalecer la infraestructura deportiva y brindar espacios dignos para las y los deportistas.Durante el arranque de obra, el alcalde destacó que este proyecto permitirá mejorar las condiciones para la práctica del deporte y fomentar la sana convivencia entre niñas, niños, jóvenes y familias del municipio.Los trabajos contemplan la rehabilitación y mejoramiento integral de las canchas, con el objetivo de ofrecer instalaciones de mayor calidad para quienes utilizan este espacio deportivo.Cristhian Martínez reiteró que su administración continuará impulsando acciones y proyectos enfocados en el desarrollo del municipio y en promover estilos de vida saludables a través del deporte. AUDIO DE APOYO</t>
  </si>
  <si>
    <t>Radioescucha reporta falta de agua en Arizpe.</t>
  </si>
  <si>
    <t>Radioescucha reporta falta de agua en Santa Julia, en calle Nardo, en la Nueva Francisco I. Madero.</t>
  </si>
  <si>
    <t>Radioescucha reporta falta de agua en Valle del Palmar</t>
  </si>
  <si>
    <t>Nota de Nadime Ashane : En menos de una semana, dos hechos relacionados con el transporte han vuelto a encender la conversación pública sobre la seguridad vial en la capital hidalguense. Por un lado, una persona perdió la vida la noche de ayer tras ser atropellada por una unidad del sistema Tuzobús en el bulevar Rojo Gómez, a la altura de la estación central de autobuses en Pachuca. De acuerdo con información preliminar emitida por la Semot, la persona habría ingresado al arroyo vehicular y fue impactada por el transporte. Y otro caso es que la comunidad de la Universidad Autónoma del Estado de Hidalgo se mantiene de luto tras confirmarse el fallecimiento de Lloratzi N., estudiante del Instituto de Ciencias Económico-Administrativas, quien resultó lesionada en el accidente de transporte público registrado el pasado 20 de mayo sobre el bulevar Minero, en Pachuca</t>
  </si>
  <si>
    <t>El conductor presuntamente responsable del accidente de una urvan en el bulevar Minero, en Pachuca, permanecerá en prisión preventiva mientras continúan las investigaciones. El percance dejó ya dos personas fallecidas y 17 lesionadas. La audiencia para definir si el imputado será vinculado a proceso se reanudará el próximo 29 de mayo.</t>
  </si>
  <si>
    <t>Comenta el conductor Eulalio Larrieta: “Yo creo que ayer el Tuzobús se tenía que hacer una limpia, una limpia con avestruz negra, en la mañana, la volcadura de una alimentadora; más tarde, en una estación del Tuzobús, tuvieron que evacuar a la gente porque empezó a salir humo por todos lados; luego, un accidente en siglo XXI un carro se estrella en la estación; y luego, en la noche, en la central de autobuses, una alimentadora atropelló a una persona de la 3ra edad y perdió la vida. Una tras otra se registró; alguien le puso la maldición al Tuzobús</t>
  </si>
  <si>
    <t>Román Bernal, subsecretario de Protección Civil y Gestión de Riesgos del Estado de Hidalgo, detalló el panorama meteorológico previsto para las próximas semanas en el estado, así como los posibles efectos que podrían presentarse en la entidad ante la presencia del fenómeno climático del Niño, AUDIO APOYO</t>
  </si>
  <si>
    <t>Radioescucha, ¿cuándo movilidad va a checar el servicio de taxis? Están cobrando del C. Doria a Prepa 1 $100.00 pesos.</t>
  </si>
  <si>
    <t>Alteración tarifa de transporte</t>
  </si>
  <si>
    <t>Una nueva agresión armada se registró en el municipio de Progreso de Obregón, luego de que fuera asesinado un hombre identificado como testigo clave en la investigación que involucra a nueve elementos de la Dirección de Seguridad Pública Municipal, señalados por su presunta participación en un caso de homicidio y lesiones.Según los reportes, el ataque ocurrió la noche del domingo en la Colonia Centro de Progreso, Obregón, donde el hombre fue localizado sin vida al interior de un inmueble con impactos de arma de fuego. El hombre asesinado había sobrevivido previamente a los hechos registrados el pasado 11 de mayo en Nisquiahuala, donde otra persona fue localizada sin vida en un camino de terracería de la Colonia Jagüey Blanco,</t>
  </si>
  <si>
    <t>Ataque Armado</t>
  </si>
  <si>
    <t>Radioescucha reporta que la calle Fernando Ortiz Cortes en la colonia Doctores está en muy mal estado; pide bacheo por parte del municipio.</t>
  </si>
  <si>
    <t>Bacheo</t>
  </si>
  <si>
    <t>Productores de cebada de Hidalgo bloquearon los accesos a la planta de Grupo Modelo en Apan, pues solicitan la adquisición de su cereal; pero la empresa argumenta que esos actores no fueron parte del acuerdo para la compra de la cosecha del ciclo agrícola 2025. El 11 de mayo de 2026, en colaboración con la Secretaría de Agricultura y Desarrollo Rural, y de acuerdo con el Sistema Producto de Cebada, Grupo Modelo y agricultores del Altiplano llegaron a un acuerdo para la compra de cebada para el ciclo agrícola 2026. Se fijó el precio de comercialización de la cebada en 7 mil pesos por tonelada para el ciclo agrícola 2026."A pesar de concretar este acuerdo con el acompañamiento de autoridades federales, han surgido bloqueos reiterados a la cervecería en Apan, Hidalgo, por parte de productores que no formaron parte de las negociaciones", destacó la cervecera.</t>
  </si>
  <si>
    <t>Cebaderos</t>
  </si>
  <si>
    <t>El tema del Mosco-Culex del lirio acuático en la presa Endhó continúa, los vecinos y vecinas se siguen reuniendo siguen buscando diálogo de manera pacífica. Comenta conductor: “Conocemos a los pobladores de las comunidades ribereñas de la presa Endhó sabemos que es gente pacífica, gente que dialoga, gente que está cansada por supuesto de lo que está sucediendo, pero que también se presta al diálogo”. Pide no creer medios amarillistas que dicen que la gente es agresiva</t>
  </si>
  <si>
    <t>Ante la plaga del mosco Culex que lleva ya meses afectando de manera directa a 27 localidades de Tula y Tepetitlán, y de manera indirecta a otras 15 de municipios cercanos de Tlaxcoapan, Tezontepec de Aldama, la población señala que la invasión del lirio acuático es de un 80 por ciento de la superficie de la presa Endhó.Ante este problema, el gobernador de Hidalgo, Julio Menchaca Salazar, habló del compromiso que tienen los gobiernos para combatir esta problemática. AUDIO DE APOYO.</t>
  </si>
  <si>
    <t>Certificarán a trabajadoras del hogar en el cuidado de personas adultas mayores, AUDIO APOYO</t>
  </si>
  <si>
    <t>Cuidadores De Adultos Mayores</t>
  </si>
  <si>
    <t>Certificarán a trabajadoras del hogar en el cuidado de personas adultas mayores</t>
  </si>
  <si>
    <t>Con la finalidad de tener un mayor aprovechamiento del agua almacenada en los embalses, la Conagua, a través de su Dirección Local Hidalgo, realiza maniobras programadas y controladas de trasvase de la presa Javier Rojo Gómez a la presa Vicente Aguirre por medio de un desfogue controlado de hasta 15 metros cúbicos por segundo (m3/s).Dichas labores entre ambas presas ubicadas en el municipio de Alfajayucan se realizan de manera programada y vigilada, por lo que no representan riesgo alguno para la población.</t>
  </si>
  <si>
    <t>Una intensa movilización policíaca se registró hoy martes en la Colonia 16 de Enero, aquí en Tula, luego de que vecinos reportaban múltiples detonaciones de armas de fuego a plena luz del día. Tras el llamado de emergencia, corporaciones de seguridad implementaron un operativo de búsqueda en la zona y minutos más tarde fue localizado el cuerpo sin vida de un joven de aproximadamente 22 años de edad. De acuerdo con fuentes extraoficiales, la víctima sería habitante de la misma colonia la 16 de enero.Hasta el momento, las autoridades no han informado sobre personas detenidas ni los posibles motivos de este asesinato.</t>
  </si>
  <si>
    <t>Mientras que un grupo de mujeres se manifestaba afuera de los juzgados para exigir justicia. AUDIO DE APOYO</t>
  </si>
  <si>
    <t>Radioescucha Marco reporta fuga de agua en Piracantos y Caasim no hace nada</t>
  </si>
  <si>
    <t>Radioescucha señora Rebeca Zúñiga Bárcena, pide que los funcionarios que visiten las zonas ribereñas de la Presa Endhó, y que tengan conocimiento cuando hacen las reuniones, informó que utiliza mínimo tres latas de insecticida a la semana para intentar sobrevivir con el mosco</t>
  </si>
  <si>
    <t>En Hidalgo habrá... 20 municipios tendrán nuevas canchas de fútbol como parte de los proyectos ligados al mundial y al rescate social a través del deporte. AUDIO DE APOYO</t>
  </si>
  <si>
    <t>Con el proyecto "Murales para el Mundial", 17 municipios del estado tendrán obras urbanas inspiradas en el fútbol, la identidad local y la cultura hidalguense rumbo a la Copa Mundial 2026. Serán 24 murales en espacios públicos de municipios como Apan, Pachuca, Tulancingo, Real del Monte, Huejutla, Ixmiquilpan, Singuilucan, Tizayuca y más, llevando el ambiente mundialista a todo el estado. AUDIO DE APOYO</t>
  </si>
  <si>
    <t>Hidalgo se declara listo para vivir la fiesta mundialista Entra testimonial. Del 4 al 9 de junio, el estado recibirá a la delegación de Sudáfrica integrada por exjugadores, artistas y representantes culturales, quienes participarán en diversas actividades deportivas y culturales en municipios como Pachuca, Real del Monte, Tulancingo y Villa de Tezontepec. AUDIOS DE APOYO</t>
  </si>
  <si>
    <t>El Instituto Mexicano del Seguro Social (IMSS) en Hidalgo exhorta a las personas para tomar las precauciones necesarias, para evitar el golpe de calor debió a las altas temperaturas que son características de la temporada primavera de verano.Es importante evitar la exposición solar entre las 11:00 y 17:00 horas debido a que durante este horario la temperatura es más aun cuando se encuentre a la sombra, se debe prestar cuidado a niños, adultos mayores, mujeres embarazadas y enfermos crónicos debido a que son los que mayor riesgo presentan.“El golpe de calor ocurre cuando la temperatura corporal sube por encima de los 40 °C y el organismo pierde la capacidad de regularla, lo que puede provocar daños severos en órganos vitales como el cerebro, el corazón y los riñones”, destacó la coordinadora de Enfermería en salud pública del IMSS en Hidalgo, Yenny Leticia Pérez Corona.</t>
  </si>
  <si>
    <t>Prevención De Enfermedades</t>
  </si>
  <si>
    <t>Hidalgo enfrentará meses de calor extremo, sequías y lluvias intensas. Protección Civil del Estado alertó que el fenómeno de El Niño provocará condiciones severas durante el segundo semestre de 2026, con altas temperaturas históricas, tormentas fuertes y riesgo de deslaves, principalmente en la región Otomí-Tepehua. Julio y agosto traerán calor y sequía; septiembre y octubre podrían registrar lluvias torrenciales. También se espera una intensa temporada de ciclones. Los riesgos en algunas regiones del estado como la Otomí-Tepehua. AUDIOS DE APOYO</t>
  </si>
  <si>
    <t>Radioescucha, no es el mal del transporte público, es el mal manejo del transporte.</t>
  </si>
  <si>
    <t>Comenta el conductor Eulalio Larrieta: “Señores del transporte público, en especial los choferes de las urban, ya hagan su chamba y eviten accidentes, por favor”</t>
  </si>
  <si>
    <t>Bloqueos y caos vial en la carretera Tula-San Marcos.Colonos cerraron distintos puntos, uno frente al Infonavit San Marcos, otro en San Lorenzo y uno más a la altura del fraccionamiento Las Palmas, en protesta por la crisis de residuos sólidos urbanos que enfrenta el municipio.Los manifestantes exigen el restablecimiento inmediato del servicio de recolección de basura, suspendido oficialmente desde el martes de la semana pasada por el ayuntamiento, ante la falta de un espacio autorizado para el destino final de los desechos.La problemática se agravó luego de que la Semarnath clausuró el confinamiento temporal habilitado por la alcaldía en la comunidad de Bomintzhá, al determinar que no cumplía con la normatividad ambiental requerida.Durante su manifestación se registró una riña entre los propios vecinos.</t>
  </si>
  <si>
    <t>Recolección De Basura</t>
  </si>
  <si>
    <t>Radioescucha pregunta: ¿Cuándo es el último día del refrendo? Comenta el conductor que tiene hasta el último día de junio para realizar su pago.</t>
  </si>
  <si>
    <t>Refrendo Vehicular</t>
  </si>
  <si>
    <t>El presidente municipal de Tula, informó que el municipio podría contar en aproximadamente 15 días con un nuevo relleno sanitario, luego del colapso del relleno sanitario regional que afectó el servicio de recolección. El alcalde señaló que ya comenzó la recolección intermitente en colonias y comunidades de Tula, mientras los residuos sólidos urbanos están siendo trasladados al municipio de Zumpango en el Estado de México, hoy estamos resolviendo problemas de muchos años, AUDIO APOYO ENTREVISTA</t>
  </si>
  <si>
    <t>El Gabinete de Seguridad de Hidalgo reportó la detención de 28 personas relacionadas con diversos delitos durante la última semana, resultado de operativos coordinados entre autoridades de los tres niveles de gobierno, informó el gobernador Julio Menchaca Salazar. Entre las acciones destacadas en Atotonilco de Tula y Mineral de la Reforma fueron detenidas seis personas; además, se recuperaron más de 37 mil litros de combustible presuntamente robado, un tractocamión, un autotanque, 39 contenedores, mangueras y cuatro vehículos. También fue localizada una cisterna clandestina utilizada para almacenar hidrocarburo.En Tepeapulco, elementos de seguridad capturaron a un presunto generador de violencia que portaba armas de alto poder, una camioneta y más de 400 dosis de droga, Asimismo, en operativos realizados en 10 municipios fueron aseguradas 21 personas, ocho vehículos, un arma larga y más de 6 mil 500 dosis de distintos narcóticos. En Tepetitlán, fuerzas de seguridad desmantelaron un predio donde aseguraron armas largas, cartuchos, chalecos balísticos y 17 vehículos con reporte de robo y alteraciones en sus números de identificación.Finalmente, las autoridades informaron la localización de ocho personas con ficha de búsqueda y reportaron atención a afectaciones por lluvias en 20 municipios, donde se registraron árboles caídos, encharcamientos y anegaciones. Protección Civil mantiene vigilancia permanente ante el pronóstico de más precipitaciones</t>
  </si>
  <si>
    <t>Diversos bloqueos carreteros y afectaciones a la circulación fueron reportados este lunes en la región Huasteca, principalmente sobre la vía que conecta San Felipe Orizatlán con Huejutla.Pobladores de Coacuilo realizaron el cierre de la carretera como medida de protesta ante las constantes fallas en el suministro de energía eléctrica.</t>
  </si>
  <si>
    <t>Suministro eléctrico</t>
  </si>
  <si>
    <t>La actriz mexicana Kate del Castillo lanzó una campaña pública en video dirigida al gobernador de Hidalgo, Julio Menchaca Salazar, exigiéndole que apoye la prohibición de las corridas de toros en el estado. Calificó la tauromaquia como una práctica cruel y pidió a las autoridades actuar para garantizar el bienestar animal, AUDIO VIDEO</t>
  </si>
  <si>
    <t>Semanalmente se lleva acabo la mesa de análisis de Enfoque Regional, el diputado José Luis Rodríguez Higareda, presidente de la Comisión de Gobernación del Congreso de Hidalgo, dejó en claro que no han autorizado la tauromaquia en el Estado, sólo piden que la ciudadanía opinen en torno a este importante tema. El diputado menciono que el fin de semana se colocaron carteles que en Plaza Juárez , como si ya hubiéran aprobado que siga la tauromaquia en el Estado de Hidalgo, lo único que aprobaron es que se realice una consulta, AUDIO APOYO</t>
  </si>
  <si>
    <t>El desabasto de agua para riego agrícola volvió a colocarse en el centro de las demandas de productores del Valle del Mezquital, luego de que campesinos retomaran sus reuniones semanales para exponer las afectaciones derivadas de las obras en el canal de fuerza - Tlamaco-JuandhóDurante el encuentro, los productores manifestaron su inconformidad ante el presunto incumplimiento de la Conagua en los trabajos de revestimiento del canal, señalando que las deficiencias en la obra han generado problemas en el suministro de agua para uso agrícola, AUDIO APOYO</t>
  </si>
  <si>
    <t>La Procuraduría General de Justicia del Estado de Hidalgo obtuvo la vinculación a proceso de un hombre señalado como probable responsable del delito de feminicidio ocurrido en el municipio de Actopan.De acuerdo con las investigaciones, los hechos se registraron el pasado 17 de mayo, cuando la víctima fue atacada con disparos de arma de fuego, lesiones que posteriormente le provocaron la muerte. Durante la continuación de la audiencia, el Ministerio Público presentó datos de prueba suficientes para que un juez de control dictara el auto de vinculación a proceso contra el imputado.Además, se le impuso la medida cautelar de prisión preventiva y se fijó un plazo de tres meses para el cierre de la investigación complementaria</t>
  </si>
  <si>
    <t>Enlace Hidalgo2</t>
  </si>
  <si>
    <t>PGJEH investiga feminicidio; el probable responsable se encuentra en prisión preventiva oficiosa</t>
  </si>
  <si>
    <t>Hidalgo alcanza 83.2 % de cumplimiento en declaraciones patrimoniales</t>
  </si>
  <si>
    <t>Declaración patrimonial</t>
  </si>
  <si>
    <t>Respalda gobierno de Hidalgo a pequeños productores tras afectaciones climáticas. (AUDIO NGP).</t>
  </si>
  <si>
    <t>Saderh</t>
  </si>
  <si>
    <t>Apoyo por catástrofes agropecuarias</t>
  </si>
  <si>
    <t>Caen presuntos narcomenudistas tras operativo en Tepeji del Río</t>
  </si>
  <si>
    <t>Rutas de la Transformación acercan orientación laboral a las y los hidalguenses. (AUDIO MVM).</t>
  </si>
  <si>
    <t>Atención comunitaria en Huichapan con Brigadas de la Salud.</t>
  </si>
  <si>
    <t>Brigadas De Salud</t>
  </si>
  <si>
    <t>Tarjeta informativa en relación con la vigilancia de la adecuada operación del transporte público sobre la avenida Madero y la calle Iglesias, con motivo de los cortes y desvíos de circulación derivados de los trabajos que se realizan en la zona.</t>
  </si>
  <si>
    <t>Supervisión de Transporte</t>
  </si>
  <si>
    <t>Tarjeta informativa respecto al incidente registrado esta mañana en la estación Tecnológico de Monterrey del Tuzobús</t>
  </si>
  <si>
    <t>Tras participar en Mesas de Acercamiento de Bienestar y Paz, una madre logró reunirse con su hijo menor de edad</t>
  </si>
  <si>
    <t>Mesas de acercamiento</t>
  </si>
  <si>
    <t>SSPH asegura a cinco personas por traslado de hidrocarburo robado en Mineral de la Reforma.</t>
  </si>
  <si>
    <t>Combate Al Huachicol</t>
  </si>
  <si>
    <t>SNTE y SEPH reconocen compromiso del magisterio Hidalguenses</t>
  </si>
  <si>
    <t>Día del maestro</t>
  </si>
  <si>
    <t>El secretario de Gobierno Guillermo Olivares, encabezó la mesa de diálogo por La Paz en Francisco I. Madero.</t>
  </si>
  <si>
    <t>El gobernador Julio Menchaca encabezó el evento en Palacio de Gobierno al que asistieron los y las 84 alcaldes del estado.</t>
  </si>
  <si>
    <t>Asociación de Alcaldes</t>
  </si>
  <si>
    <t>Jorge Reyes es el nuevo presidente de la Asociación de Alcaldes del Estado de Hidalgo.</t>
  </si>
  <si>
    <t>Tarjeta informativa respecto a la obstrucción de camino por desfogue controlado en presa Rojo Gómez.</t>
  </si>
  <si>
    <t>En vivo desde la conferencia mañanera, locutor Juan Carlos Santamaría transmite audio de la secretaria de Cultura, Neyda Naranjo Baltazar en donde informó a cerca de los 21 murales desarrollados en 17 municipios, murales que representan la cultura hidalguense mezclada con el fútbol. (AUDIO NNB).</t>
  </si>
  <si>
    <t>Mañanera de Hidalgo</t>
  </si>
  <si>
    <t>En vivo desde la conferencia mañanera, Juan Carlos Santamaría informó sobre la participación del delegado de la Sedatu, Julio Valera Piedras quien dio a conocer sobre las mil 200 canchas que se están construyendo en el país como parte del denominado “Mundial Social” que se realiza en 500 municipios de la república mexicana. En el caso de Hidalgo, dijo, son 29 los municipios donde se están construyendo estas canchas, entre ellos, Pachuca y Tulancingo.</t>
  </si>
  <si>
    <t>En vivo desde la conferencia mañanera del Gobierno de Hidalgo, locutor Juan Carlos Santamaría informó que, en su participación, la secretaria de Turismo, Elizabeth Quintanar Gómez dio a conocer que, a partir del 4 junio llegará a Hidalgo la delegación sudafricana de fútbol, misma que se ubicará en los municipios de Pachuca, Tulancingo, Villa de Tezontepec y Mineral del Monte, dicha delegación llegará a la entidad hidalguense con música, danza y gastronomía. (AUDIO EQG).</t>
  </si>
  <si>
    <t>En vivo desde el notimóvil, Rene Aguilar realiza recorrido sobre la carretera Tulancingo-Cuautepec en donde se reportan encharcamientos a la altura del tramo “La Pasadita” y “El Espejo”, además, de que no se observó ninguna coladera que lleve todo el drenaje pluvial, por lo que, hace una llamada a la empresa encargada de esta obra para su posible solución recordando, que esta es una obra estatal.</t>
  </si>
  <si>
    <t>Rehabilitación carretera</t>
  </si>
  <si>
    <t>En vivo desde la conferencia mañanera del Gobierno de Hidalgo, locutor Juan Carlos Santamaría transmite audio de Edmundo Pineda sobre la presentación de la sección “círculos de dialogo” actividad encabezada por el gobernador Julio Menchaca en donde sostuvo un encuentro con habitantes del municipio de Mixquiahuala.</t>
  </si>
  <si>
    <t>En vivo desde la conferencia mañanera de Gobierno de Hidalgo, Juan Carlos Santamaría informa, que la conferencia da inicio con el comentario del Coordinador de Comunicación Gubernamental, Edmundo Pineda López, quien, en primera instancia ha felicitado a los compañeros de medios de comunicación provenientes desde la región de Tula, entendiendo que, con la cercanía a la planta muchos de ellos son aficionados al Cruz Azul; con este comentario cercano y futbolero es como da inicio esta conferencia matutina.</t>
  </si>
  <si>
    <t>En vivo desde la conferencia mañanera de Gobierno de Hidalgo, Juan Carlos Santamaría informa sobre las autoridades que encabezarán el evento, entre los que destacan: Julio Valera Piedras, delegado de la Sedatu; Elizabeth Quintanar Gómez, secretaria de Turismo; Mónica Mixtega, titular de la Semarnarth y Román Bernal Días, titular de la subsecretaría de Protección Civil y Gestión de Riesgos,</t>
  </si>
  <si>
    <t>Aclaración en mañanera</t>
  </si>
  <si>
    <t>Familiares de Dulce y colectivas feministas convocaron a una manifestación este lunes en los Juzgados Penales de Actopan para exigir justicia por la joven que fue privada de la vida en ese municipio.A través de redes sociales, la colectiva Mercadita Las Insurgentes Feminista-Protesta difundió una convocatoria para realizar una protesta pacífica y exigir el esclarecimiento de los hechos en el caso de feminicidio.</t>
  </si>
  <si>
    <t>Hoy, frente al Juzgado Penal de Zacualtipán, familiares, amigos y ciudadanos se concentraron para exigir justicia por Karla Espinoza y Estrella, dos jóvenes estudiantes víctimas de la irresponsabilidad de un conductor alcoholizado.Karla perdió la vida, dejando sueños y un futuro truncado.Estrella sigue grave en el hospital, peleando por conservar la suya.</t>
  </si>
  <si>
    <t>Exigen esclarecer homicidio</t>
  </si>
  <si>
    <t>Un hombre de 28 años de edad fue asesinado a balazos alrededor de un domicilio ubicado en la zona centro del municipio de Progreso de Obregón, la tarde de ayer domingo, los hechos ocurrieron sobre la calle Santos de Goyado, esquina con Mariano Escobedo, donde vecinos alertaron a las autoridades tras escuchar múltiples detonaciones de arma de fuego.</t>
  </si>
  <si>
    <t>Una mujer perdió la vida al ser agredida con disparos de arma de fuego en un bar en el municipio de Tezontepec de Aldama. El agresor escapó. Sin duda, continúan las agresiones contra mujeres en nuestro estado.</t>
  </si>
  <si>
    <t>Este domingo, diversas organizaciones civiles y colectivos animalistas realizaron una marcha pacífica desde Plaza Independencia hasta Plaza Juárez, en Pachuca, para manifestarse contra la aprobación de la consulta popular sobre corridas de toros avalada recientemente por el Congreso de Hidalgo, AUDIO APOYO</t>
  </si>
  <si>
    <t>Pobladores de los pueblos ribereños se reunieron ayer a unos metros del acceso a la cortina de este afluente, esto en la comunidad de General Pedro María Naya, municipio de Tepetitlán, con la intención de organizar un retorno al problema que viven por el mosco cúlex y el Lirio acuático, se reunieron a unos metros del acceso a la cortina de este afluente, con la intención de organizar un retorno al problema que viven, AUDIO APOYO</t>
  </si>
  <si>
    <t>Será hasta el mes de septiembre, cuando llegue la maquinaria especializada contemplada para el saneamiento de la presa Endhó, así lo informó el director de Conagua, Félix Brambila. Ya está en proceso de adquisición, el tema es que son máquinas hechas a la medida, es una máquina que va a recolectar el Lirio, lo va a triturar, lo va a empaquetar, y luego habrá otro barco que lo va a llevar a tierra, y el plan maestro que nos ha comentado, cumplió la licenciada Mayela, es que se haga energía eléctrica con esa máquina. AUDIO DE APOYO.</t>
  </si>
  <si>
    <t>Durante la conferencia mañanera la secretaria de Turismo de Hidalgo, Elizabeth Quintanar Gómez, informó que la selección de fútbol de Sudáfrica llegará a partir del 4 de junio, como parte de su preparación para el Mundial 2026 , explicó que el combinado sudafricano se hospedará del 4 al 9 de junio en Pachuca, Real del Monte, Tula, Tulancingo y Villas de Tezontepec, como parte de su preparación deportiva, AUDIO APOYO</t>
  </si>
  <si>
    <t>Hoy como todos los lunes, se llevo acabo la conferencia mañanera del Gobierno de Hidalgo, donde se presento sección “círculos de dialogo” actividad encabezada por el gobernador Julio Menchaca en donde sostuvo un encuentro con jovenes del municipio de Mixquiahuala, AUDIO APOYO</t>
  </si>
  <si>
    <t>Con hechos, respalda gobierno de Hidalgo a pequeños productores tras afectaciones climáticas</t>
  </si>
  <si>
    <t>El señor Isidro Ángeles, vecino del municipio de Tetepango, alzó la voz para denunciar las severas deficiencias en la pavimentación de la calle Melchor Ocampo, una obra ejecutada en mayo de 2025 que, a un año de distancia, sigue afectando la movilidad de los habitantes. De acuerdo con el reporte del ciudadano, el camino quedó mal nivelado, lo que provoca la formación de grandes charcos e inundaciones tanto al inicio como al término de la vialidad durante la actual temporada de lluvias.</t>
  </si>
  <si>
    <t>Deficiencias en obra</t>
  </si>
  <si>
    <t>Radioescucha señor Erasmo Jiménez del Carmen, nos dice que cada que llueve en la carretera Tula-Tepeji por el Carmen, conocido como el columpio, se anhela el agua.</t>
  </si>
  <si>
    <t>Atención Afectaciones Por Lluvias</t>
  </si>
  <si>
    <t>Hablando de las inclemencias del clima, en Mineral del Monte un rayo impactó la iglesia principal de Nuestra Señora del Rosario provocando la caída de una cruz metálica ubicada en la parte alta de la cúpula donde se encuentra el reloj.No hay personas lesionadas, sin embargo se va a realizar una inspección por parte de Protección Civil para ver si esta descarga generó algunos problemas en la infraestructura del templo allá en Mineral del Monte</t>
  </si>
  <si>
    <t>Afectaciones Por Lluvias</t>
  </si>
  <si>
    <t>Y más de 2.3 millones de pesos fueron destinados por el gobierno de Hidalgo para apoyar a familias productoras afectadas por las recientes contingencias climatológicas. Ayer domingo la Secretaría de Agricultura y Desarrollo Rural entregó más de 500 cheques como parte del programa de apoyos. El titular de la SADER, Napoleón González Pérez, destacó que la instrucción del gobernador Julio Menchaca Salazar es respaldar primero a las y los pequeños productores que arriesgan su patrimonio ante las inclemencias del clima. Los apoyos fueron entregados de manera directa sin intermediarios a productores de municipios como Ixmiquilpan, Tlaxcoapan, Zempoala, Tulancingo, Mineral de la Reforma y Tenango de Doria, entre otros municipios.</t>
  </si>
  <si>
    <t>El acceso a la justicia laboral ya no depende de viajar hasta Pachuca. El gobierno de Hidalgo fortaleció la atención regional del Centro de Conciliación Laboral del Estado de Hidalgo, haciendo asesorías gratuitas a las comunidades a través de rutas de la transformación. Su titular, Mariela Valero Mota, informó que muchas personas desconocen sus derechos laborales o consideran costoso iniciar un proceso, por lo que se instalaron módulos de atención jurídica en distintas regiones del estado. AUDIOS DE APOYO</t>
  </si>
  <si>
    <t>STPSH</t>
  </si>
  <si>
    <t>Conciliación Laboral</t>
  </si>
  <si>
    <t>La muerte de un bebé de apenas un año y tres meses conmocionó al municipio de Tizayuca. Con los niños no. Durante esas semanas, vecinos de la colonia Antorcha escucharon gritos, golpes y agresiones dentro de una vivienda, pero la madre de menor aseguraba que todo se debía a que el niño era muy inquieto. Por eso lo golpeaba, pero días después el pequeño comenzó a presentar dificultades para respirar y fue trasladado de emergencia al hospital, donde lamentablemente perdió la vida. Las investigaciones de la Procuraduría de Justicia revelaron presuntas evidencias de maltrato infantil y contradicciones en la versión de la madre, identificada como Griselda, quien pues terminó detenida y vinculada a proceso por homicidio doloso</t>
  </si>
  <si>
    <t>Maltrato infantil</t>
  </si>
  <si>
    <t>SSPH asegura a cinco por traslado de hidrocarburo robado en Mineral de la Reforma</t>
  </si>
  <si>
    <t>Combate al huachicol</t>
  </si>
  <si>
    <t>Un operativo coordinado entre fases estatales y federales permitió desarticular un presunto punto de venta de droga en Tepeji del Río, donde fueron detenidos tres hombres y aseguradas diversas dosis de presuntos narcóticos.La intervención se realizó en un inmueble de la colonia Tianguistengo. Durante el cateo, las autoridades localizaron más de 700 dosis de hierba con características de marihuana y sustancia similar al cristal. Además de la droga, fueron aseguradas cuatro motocicletas y un vehículo sedán blanco, presuntamente relacionados con actividades de distribución en la zona. Las personas detenidas y lo decomisado quedaron a disposición de las autoridades ministeriales, mientras continúan las investigaciones correspondientes.</t>
  </si>
  <si>
    <t>Combate al narcomenudeo</t>
  </si>
  <si>
    <t>Autoridades de protección civil de Hidalgo informaron que la presa Rojo Gómez en el municipio de Alfajayucan mantienen un desfogue controlado que alcanzará hasta 10 metros cúbicos por segundo durante esta semana. La dependencia detalló que parte del caudal será utilizado para el riego, por lo que se trata de una maniobra programada y sin riesgo para la población. Sin embargo, hay que tener en cuenta, si usted circula por esta zona, derivado de la espuma generada por el desfogue, fue cerrado de manera temporal un tramo de la carretera Alfajayucan-Chilcuautla a la altura de la comunidad de La Cañada. Protección civil aseguró que la zona no se encuentra incomunicada ya que existen vías alternas de circulación, además de que se mantiene en monitoreo permanente ante cualquier eventualidad.</t>
  </si>
  <si>
    <t>Por su parte, el gobernador de Hidalgo, Julio Menchaca Salazar, destacó que continúan las investigaciones.Además, enfatizó que cualquier conductor del transporte público que no respete la ley le será retirada la condición. ¿Están en proceso? Porque también tienen el derecho de defensa. Son trámites administrativos, pero yo me comprometo a que sean más enérgicas. AUDIO DE APOYO JMS ENTREVISTA</t>
  </si>
  <si>
    <t>El conductor de la camioneta de materiales involucrada en el choque contra una combi del transporte público fue vinculado a proceso y permanecerá en presión preventiva mientras avanzan las investigaciones. Este hecho sin duda conmocionó a la zona metropolitana de nuestro estado. El accidente, usted recuerda, dejó a una mujer sin vida y al menos 13 personas lesionadas. Durante la audiencia, víctimas y familiares acudieron para exigir justicia por este hecho. El imputado enfrenta cargos por homicidio, lesiones y daños culposos. En tanto, continúan las diligencias para esclarecer responsabilidades.</t>
  </si>
  <si>
    <t>Con 20 votos a favor, 5 en contra y una abstención, el Congreso de Hidalgo aprobó la solicitud para realizar una consulta popular que permita a la ciudadanía decidir sobre la continuidad o prohibición de las corridas de toros en la entidad. El debate dividió posturas entre legisladores que consideran la tauromaquia una tradición cultural y quienes sostienen que la protección animal ya está contemplada en la Constitución y no debería someterse a consulta.La aprobación de esta solicitud abre un nuevo capítulo en uno de los debates más polémicos en Hidalgo, donde organizaciones animalistas y sectores taurinos mantienen posiciones completamente opuestas. De hecho, continúan las corridas, por ejemplo, en el municipio de San Salvador, en la comunidad de Caxuxi y toda esta parte del Valle del Mezquital, donde están a favor de la tauromaquia y siguen realizando año con año corridas de toros allá en estos municipios.</t>
  </si>
  <si>
    <t>La Unidad de Planeación y Prospectiva de Hidalgo impulsa proyectos estratégicos para fortalecer la productividad agrícola en el Valle del Mezquital mediante acciones enfocadas al mejor aprovechamiento del agua y la tecnificación del campo. El Secretario de Planeación, Miguel Ángel Tello Vargas, informó que en coordinación con la CONAGUA y el Gobierno de México se trabaja en la rehabilitación de canales, ampliación de redes de distribución y nivelación de parcelas para mejorar las condiciones de siembra en la región. AUDIOS DE APOYO</t>
  </si>
  <si>
    <t>La Semarnath realizó una visita técnica a una cueva en el municipio de Cuautepec de Hinojosa, donde identificó al menos dos especies de murciélagos, incluyendo una colonia de más de 50 ejemplares de murciélago orejón (Corynorhinus aff. mexicanus). Durante el recorrido, especialistas y autoridades acordaron impulsar medidas de protección para el sitio, considerado de relevancia ecológica por la presencia de especies sensibles a la actividad humana.En la inspección también se registraron menos de 20 individuos del murciélago frugívoro azteca (Dermanura azteca), además de indicios de una tercera especie insectívora de presencia estacional, posiblemente el murciélago mexicano de cola libre (Tadarida brasiliensis).Asimismo, mediante fotografías proporcionadas por guías locales, se identificó en la denominada Cueva de la Neblina otra colonia integrada por murciélago frugívoro azteca y murciélago frugívoro gigante (Artibeus lituratus.</t>
  </si>
  <si>
    <t>El secretario de Educación Pública de Hidalgo, Natividad Castrejón informó que todo está listo para las clausuras escolares y la entrega de uniformes en la primera semana de septiembre. No, no, no, nuestros procesos tienen que llevar su propio tiempo, y ahora tenemos que tener los uniformes la primera semana de septiembre. En los temas hay algunas voces, ayer yo platicaba con algunos profesores de distintos niveles de primaria, de secundaria y mencionaban que había algunas voces que decían que se iba a modificar el calendario, también al secretario se le preguntó al respecto, confirmó que no habrá suspensión de clases por causa del mundial. No lo creo, no estamos buscando excusas ni pretextos por todos lados, el ciclo debe cumplirse y solo en una emergencia se puede suspender o mandar en línea en alguna emergencia, y cuando llegue la fecha del mundial, que los partidos creo que son en la noche, los niños no van a las clases en la noche, con excepción de la inauguración, lo podemos revisar. AUDIO DE APOYO</t>
  </si>
  <si>
    <t>Uniformes escolares</t>
  </si>
  <si>
    <t>Se acuerda usted que la semana pasada en este espacio aquí le presentamos primero que nadie los datos del INEGI sobre corrupción a nivel nacional? Hicimos un desglose importante de esta encuesta que realizó el INEGI en dos mil veinticinco. Bueno, ahora hoy se ubica entre los estados donde la corrupción ya no se oculta, sino que se denuncia y se combate institucionalmente. Así lo refleja la encuesta nacional de calidad e impacto gubernamental dos mil veinticinco del INEGI, que reportó una prevalencia de veintiún mil cuatrocientos cincuenta y dos personas afectadas por actos de corrupción por casi cien mil habitantes.El secretario de Contraloría Álvaro Bardales aseguró que este indicador también muestra una mayor visibilización de prácticas indebidas que durante años permanecieron normalizadas, al señalar que ahora existen más mecanismos de denuncia y sanción. Por su parte, el gobernador de Hidalgo señaló que durante su actual administración se han presentado más de noventa denuncias penales por posibles actos de corrupción y se irá trabajando en eso. AUDIO APOYO DE ENTREVISTA JMS</t>
  </si>
  <si>
    <t>Combate a la corrupción</t>
  </si>
  <si>
    <t>La mañana de este lunes, un hombre sin vida fue localizado en la carretera Pachuca-Sahagún, en el tramo correspondiente al municipio de Tlanalapa, Hidalgo.El hallazgo ocurrió a la altura del Rancho San Francisco.</t>
  </si>
  <si>
    <t>Localización de cuerpo</t>
  </si>
  <si>
    <t>Radioescucha manda audio y dice que algunas colectivas hacen paradas donde les da la gana, van como locos, se meten en tercera fila.</t>
  </si>
  <si>
    <t>Radioescucha reporta a urban por dar mal trato al pasaje y maneja muy rápido; venía hablando palabras antisonantes también. La colectiva trae el número A54548K.</t>
  </si>
  <si>
    <t>Radioescucha reporta una fuga de agua en la calle Porfirio Díaz esquina José María Morelos y Pavón, colonia Felipe Ángeles.</t>
  </si>
  <si>
    <t>Radioescucha reporta una fuga de agua en la colonia Felipe Ángeles; la tenemos desde ayer</t>
  </si>
  <si>
    <t>Radioescucha reporta falta de agua en calle Arizpe , ya llevamos semana y media</t>
  </si>
  <si>
    <t>Radioescucha reporta falta de agua en Arizpe en el Centro, ya se reporto desde la semana pasada</t>
  </si>
  <si>
    <t>Radioescucha comenta : Pronto se llevará a cabo lo del mundial y Pachuca será sede de entrenamiento del equipo de Sudáfrica. ¿Estamos preparados para cualquier tema de Ébola?</t>
  </si>
  <si>
    <t>La presidenta Claudia Sheinbaum anunció que el próximo domingo 31 de mayo rendirá un informe de rendición de cuentas para conmemorar que el 2 de junio se cumplen dos años de su victoria en las urnas.Explicó que, en lugar de pedir que la gente viaje a la Ciudad de México, se convocará a los ciudadanos a reunirse de forma simultánea en las plazas principales de las 32 entidades de la República, donde se conectarán a distancia para escuchar el mensaje.</t>
  </si>
  <si>
    <t>Informe Sheinbaum</t>
  </si>
  <si>
    <t>Reportan que en el Boulevard Felipe Ángeles, a la altura del siglo XXI en dirección hacia el centro, un vehículo invadió el carril del Tuzobús y fue proyectado, por otro más, contra las barras de protección de esa estación</t>
  </si>
  <si>
    <t>Accidente Vial</t>
  </si>
  <si>
    <t>La Semot y el Sistema Integrado de Transporte Masivo de Hidalgo (Sitmah), informa que este Lunes una unidad del Tuzobús volcó cuando circulaba sobre el bulevar Felipe Ángeles de Pachuca, la unidad del Tuzobús con número económico 105 circulaba sin pasajeros y se dirigía a iniciar operaciones. Mientras transitaba a baja velocidad, la unidad presentó una inclinación hacia uno de sus costados debido a un desnivel en la vialidad y la proximidad con el muro del distribuidor vial, lo que ocasionó la volcadura.El operador del Tuzobús no sufrió lesiones y no se vieron involucradas otras personas ni vehículos. El Sitmah y la empresa operadora aseguraron que continúan dando seguimiento al incidente conforme a sus protocolos operativos. Asimismo, confirmaron que el servicio del Sistema Tuzobús se mantiene habitual y sin afectaciones.</t>
  </si>
  <si>
    <t>El chofer de la camioneta particular involucrada en el trágico choque contra una combi de pasajeros en el bulevar Minero de Pachuca se encuentra detenido. El responsable fue vinculado a proceso y se le dictó prisión preventiva tras el fatal percance</t>
  </si>
  <si>
    <t>En Tezontepec de Aldama, una mujer de 25 años de edad murió tras ser baleada al interior del bar La Escondida ubicado en la comunidad de Huitel. La policía municipal recibió el reporte sobre detonaciones de arma de fuego en el establecimiento. Al llegar al lugar, los elementos policíacos encontraron a la joven con heridas causadas por proyectil de arma de fuego, por lo que fue trasladada de emergencia al Hospital de Cinta Larga, donde horas después falleció.De acuerdo con reportes policíacos, un hombre ingresó al bar, disparó contra la víctima y huyó con rumbo desconocido. La Procuraduría General de Justicia del Estado de Hidalgo abrió una carpeta de investigación por homicidio del oso.</t>
  </si>
  <si>
    <t>Caen presuntos narcomenudistas tras operativo de la SSPH en Tepeji del Río</t>
  </si>
  <si>
    <t>Eulalio Larrieta agradece a Carlos Gamiño por estar al pendiente de temas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</si>
</sst>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49" tableType="queryTable" totalsRowShown="0">
  <autoFilter ref="A1:M149"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49"/>
  <sheetViews>
    <sheetView tabSelected="1" topLeftCell="A114" workbookViewId="0">
      <selection activeCell="A149" sqref="A149"/>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20.85546875" bestFit="1" customWidth="1"/>
    <col min="7" max="7" width="34"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37</v>
      </c>
      <c r="C1" t="s">
        <v>38</v>
      </c>
      <c r="D1" t="s">
        <v>39</v>
      </c>
      <c r="E1" t="s">
        <v>1</v>
      </c>
      <c r="F1" t="s">
        <v>2</v>
      </c>
      <c r="G1" t="s">
        <v>4</v>
      </c>
      <c r="H1" t="s">
        <v>3</v>
      </c>
      <c r="I1" t="s">
        <v>5</v>
      </c>
      <c r="J1" t="s">
        <v>40</v>
      </c>
      <c r="K1" t="s">
        <v>41</v>
      </c>
      <c r="L1" t="s">
        <v>42</v>
      </c>
      <c r="M1" t="s">
        <v>49</v>
      </c>
    </row>
    <row r="2" spans="1:13" x14ac:dyDescent="0.25">
      <c r="A2" s="2">
        <v>46167</v>
      </c>
      <c r="B2" s="1" t="str">
        <f ca="1">IF(Información1[[#This Row],[Fecha]]='Ajuste de fechas'!$A$2,"Día actual","Día anterior")</f>
        <v>Día anterior</v>
      </c>
      <c r="C2" s="3" t="s">
        <v>55</v>
      </c>
      <c r="D2" t="s">
        <v>181</v>
      </c>
      <c r="E2" s="3" t="s">
        <v>81</v>
      </c>
      <c r="F2" s="3" t="s">
        <v>82</v>
      </c>
      <c r="G2" s="3" t="s">
        <v>83</v>
      </c>
      <c r="H2" s="3" t="s">
        <v>11</v>
      </c>
      <c r="I2" s="3" t="s">
        <v>7</v>
      </c>
      <c r="J2" s="3" t="s">
        <v>43</v>
      </c>
      <c r="K2" s="3" t="s">
        <v>56</v>
      </c>
      <c r="L2" s="3" t="s">
        <v>46</v>
      </c>
      <c r="M2">
        <v>1</v>
      </c>
    </row>
    <row r="3" spans="1:13" x14ac:dyDescent="0.25">
      <c r="A3" s="2">
        <v>46167</v>
      </c>
      <c r="B3" s="1" t="str">
        <f ca="1">IF(Información1[[#This Row],[Fecha]]='Ajuste de fechas'!$A$2,"Día actual","Día anterior")</f>
        <v>Día anterior</v>
      </c>
      <c r="C3" s="3" t="s">
        <v>57</v>
      </c>
      <c r="D3" t="s">
        <v>58</v>
      </c>
      <c r="E3" s="3" t="s">
        <v>182</v>
      </c>
      <c r="F3" s="3" t="s">
        <v>53</v>
      </c>
      <c r="G3" s="3" t="s">
        <v>84</v>
      </c>
      <c r="H3" s="3" t="s">
        <v>11</v>
      </c>
      <c r="I3" s="3" t="s">
        <v>7</v>
      </c>
      <c r="J3" s="3" t="s">
        <v>43</v>
      </c>
      <c r="K3" s="3" t="s">
        <v>59</v>
      </c>
      <c r="L3" s="3" t="s">
        <v>46</v>
      </c>
      <c r="M3">
        <v>1</v>
      </c>
    </row>
    <row r="4" spans="1:13" x14ac:dyDescent="0.25">
      <c r="A4" s="2">
        <v>46167</v>
      </c>
      <c r="B4" s="1" t="str">
        <f ca="1">IF(Información1[[#This Row],[Fecha]]='Ajuste de fechas'!$A$2,"Día actual","Día anterior")</f>
        <v>Día anterior</v>
      </c>
      <c r="C4" s="3" t="s">
        <v>57</v>
      </c>
      <c r="D4" t="s">
        <v>58</v>
      </c>
      <c r="E4" s="3" t="s">
        <v>183</v>
      </c>
      <c r="F4" s="3" t="s">
        <v>78</v>
      </c>
      <c r="G4" s="3" t="s">
        <v>184</v>
      </c>
      <c r="H4" s="3" t="s">
        <v>11</v>
      </c>
      <c r="I4" s="3" t="s">
        <v>7</v>
      </c>
      <c r="J4" s="3" t="s">
        <v>43</v>
      </c>
      <c r="K4" s="3" t="s">
        <v>59</v>
      </c>
      <c r="L4" s="3" t="s">
        <v>46</v>
      </c>
      <c r="M4">
        <v>1</v>
      </c>
    </row>
    <row r="5" spans="1:13" x14ac:dyDescent="0.25">
      <c r="A5" s="2">
        <v>46167</v>
      </c>
      <c r="B5" s="1" t="str">
        <f ca="1">IF(Información1[[#This Row],[Fecha]]='Ajuste de fechas'!$A$2,"Día actual","Día anterior")</f>
        <v>Día anterior</v>
      </c>
      <c r="C5" s="3" t="s">
        <v>57</v>
      </c>
      <c r="D5" t="s">
        <v>58</v>
      </c>
      <c r="E5" s="3" t="s">
        <v>81</v>
      </c>
      <c r="F5" s="3" t="s">
        <v>82</v>
      </c>
      <c r="G5" s="3" t="s">
        <v>83</v>
      </c>
      <c r="H5" s="3" t="s">
        <v>11</v>
      </c>
      <c r="I5" s="3" t="s">
        <v>7</v>
      </c>
      <c r="J5" s="3" t="s">
        <v>43</v>
      </c>
      <c r="K5" s="3" t="s">
        <v>59</v>
      </c>
      <c r="L5" s="3" t="s">
        <v>46</v>
      </c>
      <c r="M5">
        <v>1</v>
      </c>
    </row>
    <row r="6" spans="1:13" x14ac:dyDescent="0.25">
      <c r="A6" s="2">
        <v>46167</v>
      </c>
      <c r="B6" s="1" t="str">
        <f ca="1">IF(Información1[[#This Row],[Fecha]]='Ajuste de fechas'!$A$2,"Día actual","Día anterior")</f>
        <v>Día anterior</v>
      </c>
      <c r="C6" s="3" t="s">
        <v>57</v>
      </c>
      <c r="D6" t="s">
        <v>58</v>
      </c>
      <c r="E6" s="3" t="s">
        <v>185</v>
      </c>
      <c r="F6" s="3" t="s">
        <v>186</v>
      </c>
      <c r="G6" s="3" t="s">
        <v>187</v>
      </c>
      <c r="H6" s="3" t="s">
        <v>11</v>
      </c>
      <c r="I6" s="3" t="s">
        <v>7</v>
      </c>
      <c r="J6" s="3" t="s">
        <v>43</v>
      </c>
      <c r="K6" s="3" t="s">
        <v>59</v>
      </c>
      <c r="L6" s="3" t="s">
        <v>46</v>
      </c>
      <c r="M6">
        <v>1</v>
      </c>
    </row>
    <row r="7" spans="1:13" x14ac:dyDescent="0.25">
      <c r="A7" s="2">
        <v>46167</v>
      </c>
      <c r="B7" s="1" t="str">
        <f ca="1">IF(Información1[[#This Row],[Fecha]]='Ajuste de fechas'!$A$2,"Día actual","Día anterior")</f>
        <v>Día anterior</v>
      </c>
      <c r="C7" s="3" t="s">
        <v>57</v>
      </c>
      <c r="D7" t="s">
        <v>58</v>
      </c>
      <c r="E7" s="3" t="s">
        <v>188</v>
      </c>
      <c r="F7" s="3" t="s">
        <v>23</v>
      </c>
      <c r="G7" s="3" t="s">
        <v>85</v>
      </c>
      <c r="H7" s="3" t="s">
        <v>11</v>
      </c>
      <c r="I7" s="3" t="s">
        <v>7</v>
      </c>
      <c r="J7" s="3" t="s">
        <v>43</v>
      </c>
      <c r="K7" s="3" t="s">
        <v>59</v>
      </c>
      <c r="L7" s="3" t="s">
        <v>46</v>
      </c>
      <c r="M7">
        <v>1</v>
      </c>
    </row>
    <row r="8" spans="1:13" x14ac:dyDescent="0.25">
      <c r="A8" s="2">
        <v>46167</v>
      </c>
      <c r="B8" s="1" t="str">
        <f ca="1">IF(Información1[[#This Row],[Fecha]]='Ajuste de fechas'!$A$2,"Día actual","Día anterior")</f>
        <v>Día anterior</v>
      </c>
      <c r="C8" s="3" t="s">
        <v>57</v>
      </c>
      <c r="D8" t="s">
        <v>58</v>
      </c>
      <c r="E8" s="3" t="s">
        <v>189</v>
      </c>
      <c r="F8" s="3" t="s">
        <v>62</v>
      </c>
      <c r="G8" s="3" t="s">
        <v>63</v>
      </c>
      <c r="H8" s="3" t="s">
        <v>11</v>
      </c>
      <c r="I8" s="3" t="s">
        <v>7</v>
      </c>
      <c r="J8" s="3" t="s">
        <v>43</v>
      </c>
      <c r="K8" s="3" t="s">
        <v>59</v>
      </c>
      <c r="L8" s="3" t="s">
        <v>46</v>
      </c>
      <c r="M8">
        <v>1</v>
      </c>
    </row>
    <row r="9" spans="1:13" x14ac:dyDescent="0.25">
      <c r="A9" s="2">
        <v>46167</v>
      </c>
      <c r="B9" s="1" t="str">
        <f ca="1">IF(Información1[[#This Row],[Fecha]]='Ajuste de fechas'!$A$2,"Día actual","Día anterior")</f>
        <v>Día anterior</v>
      </c>
      <c r="C9" s="3" t="s">
        <v>57</v>
      </c>
      <c r="D9" t="s">
        <v>58</v>
      </c>
      <c r="E9" s="3" t="s">
        <v>190</v>
      </c>
      <c r="F9" s="3" t="s">
        <v>86</v>
      </c>
      <c r="G9" s="3" t="s">
        <v>191</v>
      </c>
      <c r="H9" s="3" t="s">
        <v>11</v>
      </c>
      <c r="I9" s="3" t="s">
        <v>7</v>
      </c>
      <c r="J9" s="3" t="s">
        <v>43</v>
      </c>
      <c r="K9" s="3" t="s">
        <v>59</v>
      </c>
      <c r="L9" s="3" t="s">
        <v>46</v>
      </c>
      <c r="M9">
        <v>1</v>
      </c>
    </row>
    <row r="10" spans="1:13" x14ac:dyDescent="0.25">
      <c r="A10" s="2">
        <v>46167</v>
      </c>
      <c r="B10" s="1" t="str">
        <f ca="1">IF(Información1[[#This Row],[Fecha]]='Ajuste de fechas'!$A$2,"Día actual","Día anterior")</f>
        <v>Día anterior</v>
      </c>
      <c r="C10" s="3" t="s">
        <v>57</v>
      </c>
      <c r="D10" t="s">
        <v>58</v>
      </c>
      <c r="E10" s="3" t="s">
        <v>192</v>
      </c>
      <c r="F10" s="3" t="s">
        <v>17</v>
      </c>
      <c r="G10" s="3" t="s">
        <v>193</v>
      </c>
      <c r="H10" s="3" t="s">
        <v>11</v>
      </c>
      <c r="I10" s="3" t="s">
        <v>7</v>
      </c>
      <c r="J10" s="3" t="s">
        <v>43</v>
      </c>
      <c r="K10" s="3" t="s">
        <v>59</v>
      </c>
      <c r="L10" s="3" t="s">
        <v>46</v>
      </c>
      <c r="M10">
        <v>1</v>
      </c>
    </row>
    <row r="11" spans="1:13" x14ac:dyDescent="0.25">
      <c r="A11" s="2">
        <v>46167</v>
      </c>
      <c r="B11" s="1" t="str">
        <f ca="1">IF(Información1[[#This Row],[Fecha]]='Ajuste de fechas'!$A$2,"Día actual","Día anterior")</f>
        <v>Día anterior</v>
      </c>
      <c r="C11" s="3" t="s">
        <v>57</v>
      </c>
      <c r="D11" t="s">
        <v>58</v>
      </c>
      <c r="E11" s="3" t="s">
        <v>194</v>
      </c>
      <c r="F11" s="3" t="s">
        <v>17</v>
      </c>
      <c r="G11" s="3" t="s">
        <v>87</v>
      </c>
      <c r="H11" s="3" t="s">
        <v>11</v>
      </c>
      <c r="I11" s="3" t="s">
        <v>7</v>
      </c>
      <c r="J11" s="3" t="s">
        <v>43</v>
      </c>
      <c r="K11" s="3" t="s">
        <v>59</v>
      </c>
      <c r="L11" s="3" t="s">
        <v>46</v>
      </c>
      <c r="M11">
        <v>1</v>
      </c>
    </row>
    <row r="12" spans="1:13" x14ac:dyDescent="0.25">
      <c r="A12" s="2">
        <v>46167</v>
      </c>
      <c r="B12" s="1" t="str">
        <f ca="1">IF(Información1[[#This Row],[Fecha]]='Ajuste de fechas'!$A$2,"Día actual","Día anterior")</f>
        <v>Día anterior</v>
      </c>
      <c r="C12" s="3" t="s">
        <v>57</v>
      </c>
      <c r="D12" t="s">
        <v>58</v>
      </c>
      <c r="E12" s="3" t="s">
        <v>195</v>
      </c>
      <c r="F12" s="3" t="s">
        <v>15</v>
      </c>
      <c r="G12" s="3" t="s">
        <v>196</v>
      </c>
      <c r="H12" s="3" t="s">
        <v>11</v>
      </c>
      <c r="I12" s="3" t="s">
        <v>7</v>
      </c>
      <c r="J12" s="3" t="s">
        <v>43</v>
      </c>
      <c r="K12" s="3" t="s">
        <v>59</v>
      </c>
      <c r="L12" s="3" t="s">
        <v>46</v>
      </c>
      <c r="M12">
        <v>1</v>
      </c>
    </row>
    <row r="13" spans="1:13" x14ac:dyDescent="0.25">
      <c r="A13" s="2">
        <v>46167</v>
      </c>
      <c r="B13" s="1" t="str">
        <f ca="1">IF(Información1[[#This Row],[Fecha]]='Ajuste de fechas'!$A$2,"Día actual","Día anterior")</f>
        <v>Día anterior</v>
      </c>
      <c r="C13" s="3" t="s">
        <v>57</v>
      </c>
      <c r="D13" t="s">
        <v>58</v>
      </c>
      <c r="E13" s="3" t="s">
        <v>197</v>
      </c>
      <c r="F13" s="3" t="s">
        <v>23</v>
      </c>
      <c r="G13" s="3" t="s">
        <v>198</v>
      </c>
      <c r="H13" s="3" t="s">
        <v>11</v>
      </c>
      <c r="I13" s="3" t="s">
        <v>7</v>
      </c>
      <c r="J13" s="3" t="s">
        <v>43</v>
      </c>
      <c r="K13" s="3" t="s">
        <v>59</v>
      </c>
      <c r="L13" s="3" t="s">
        <v>46</v>
      </c>
      <c r="M13">
        <v>1</v>
      </c>
    </row>
    <row r="14" spans="1:13" x14ac:dyDescent="0.25">
      <c r="A14" s="2">
        <v>46167</v>
      </c>
      <c r="B14" s="1" t="str">
        <f ca="1">IF(Información1[[#This Row],[Fecha]]='Ajuste de fechas'!$A$2,"Día actual","Día anterior")</f>
        <v>Día anterior</v>
      </c>
      <c r="C14" s="3" t="s">
        <v>32</v>
      </c>
      <c r="D14" t="s">
        <v>33</v>
      </c>
      <c r="E14" s="3" t="s">
        <v>199</v>
      </c>
      <c r="F14" s="3" t="s">
        <v>21</v>
      </c>
      <c r="G14" s="3" t="s">
        <v>200</v>
      </c>
      <c r="H14" s="3" t="s">
        <v>11</v>
      </c>
      <c r="I14" s="3" t="s">
        <v>7</v>
      </c>
      <c r="J14" s="3" t="s">
        <v>43</v>
      </c>
      <c r="K14" s="3" t="s">
        <v>27</v>
      </c>
      <c r="L14" s="3" t="s">
        <v>44</v>
      </c>
      <c r="M14">
        <v>1</v>
      </c>
    </row>
    <row r="15" spans="1:13" x14ac:dyDescent="0.25">
      <c r="A15" s="2">
        <v>46167</v>
      </c>
      <c r="B15" s="1" t="str">
        <f ca="1">IF(Información1[[#This Row],[Fecha]]='Ajuste de fechas'!$A$2,"Día actual","Día anterior")</f>
        <v>Día anterior</v>
      </c>
      <c r="C15" s="3" t="s">
        <v>32</v>
      </c>
      <c r="D15" t="s">
        <v>33</v>
      </c>
      <c r="E15" s="3" t="s">
        <v>201</v>
      </c>
      <c r="F15" s="3" t="s">
        <v>15</v>
      </c>
      <c r="G15" s="3" t="s">
        <v>196</v>
      </c>
      <c r="H15" s="3" t="s">
        <v>11</v>
      </c>
      <c r="I15" s="3" t="s">
        <v>7</v>
      </c>
      <c r="J15" s="3" t="s">
        <v>43</v>
      </c>
      <c r="K15" s="3" t="s">
        <v>27</v>
      </c>
      <c r="L15" s="3" t="s">
        <v>44</v>
      </c>
      <c r="M15">
        <v>1</v>
      </c>
    </row>
    <row r="16" spans="1:13" x14ac:dyDescent="0.25">
      <c r="A16" s="2">
        <v>46167</v>
      </c>
      <c r="B16" s="1" t="str">
        <f ca="1">IF(Información1[[#This Row],[Fecha]]='Ajuste de fechas'!$A$2,"Día actual","Día anterior")</f>
        <v>Día anterior</v>
      </c>
      <c r="C16" s="3" t="s">
        <v>32</v>
      </c>
      <c r="D16" t="s">
        <v>33</v>
      </c>
      <c r="E16" s="3" t="s">
        <v>202</v>
      </c>
      <c r="F16" s="3" t="s">
        <v>26</v>
      </c>
      <c r="G16" s="3" t="s">
        <v>203</v>
      </c>
      <c r="H16" s="3" t="s">
        <v>11</v>
      </c>
      <c r="I16" s="3" t="s">
        <v>7</v>
      </c>
      <c r="J16" s="3" t="s">
        <v>43</v>
      </c>
      <c r="K16" s="3" t="s">
        <v>27</v>
      </c>
      <c r="L16" s="3" t="s">
        <v>44</v>
      </c>
      <c r="M16">
        <v>1</v>
      </c>
    </row>
    <row r="17" spans="1:13" x14ac:dyDescent="0.25">
      <c r="A17" s="2">
        <v>46167</v>
      </c>
      <c r="B17" s="1" t="str">
        <f ca="1">IF(Información1[[#This Row],[Fecha]]='Ajuste de fechas'!$A$2,"Día actual","Día anterior")</f>
        <v>Día anterior</v>
      </c>
      <c r="C17" s="3" t="s">
        <v>32</v>
      </c>
      <c r="D17" t="s">
        <v>33</v>
      </c>
      <c r="E17" s="3" t="s">
        <v>204</v>
      </c>
      <c r="F17" s="3" t="s">
        <v>19</v>
      </c>
      <c r="G17" s="3" t="s">
        <v>203</v>
      </c>
      <c r="H17" s="3" t="s">
        <v>11</v>
      </c>
      <c r="I17" s="3" t="s">
        <v>7</v>
      </c>
      <c r="J17" s="3" t="s">
        <v>47</v>
      </c>
      <c r="K17" s="3" t="s">
        <v>27</v>
      </c>
      <c r="L17" s="3" t="s">
        <v>44</v>
      </c>
      <c r="M17">
        <v>1</v>
      </c>
    </row>
    <row r="18" spans="1:13" x14ac:dyDescent="0.25">
      <c r="A18" s="2">
        <v>46167</v>
      </c>
      <c r="B18" s="1" t="str">
        <f ca="1">IF(Información1[[#This Row],[Fecha]]='Ajuste de fechas'!$A$2,"Día actual","Día anterior")</f>
        <v>Día anterior</v>
      </c>
      <c r="C18" s="3" t="s">
        <v>55</v>
      </c>
      <c r="D18" t="s">
        <v>60</v>
      </c>
      <c r="E18" s="3" t="s">
        <v>197</v>
      </c>
      <c r="F18" s="3" t="s">
        <v>23</v>
      </c>
      <c r="G18" s="3" t="s">
        <v>198</v>
      </c>
      <c r="H18" s="3" t="s">
        <v>11</v>
      </c>
      <c r="I18" s="3" t="s">
        <v>7</v>
      </c>
      <c r="J18" s="3" t="s">
        <v>43</v>
      </c>
      <c r="K18" s="3" t="s">
        <v>54</v>
      </c>
      <c r="L18" s="3" t="s">
        <v>46</v>
      </c>
      <c r="M18">
        <v>1</v>
      </c>
    </row>
    <row r="19" spans="1:13" x14ac:dyDescent="0.25">
      <c r="A19" s="2">
        <v>46167</v>
      </c>
      <c r="B19" s="1" t="str">
        <f ca="1">IF(Información1[[#This Row],[Fecha]]='Ajuste de fechas'!$A$2,"Día actual","Día anterior")</f>
        <v>Día anterior</v>
      </c>
      <c r="C19" s="3" t="s">
        <v>55</v>
      </c>
      <c r="D19" t="s">
        <v>60</v>
      </c>
      <c r="E19" s="3" t="s">
        <v>205</v>
      </c>
      <c r="F19" s="3" t="s">
        <v>15</v>
      </c>
      <c r="G19" s="3" t="s">
        <v>88</v>
      </c>
      <c r="H19" s="3" t="s">
        <v>11</v>
      </c>
      <c r="I19" s="3" t="s">
        <v>7</v>
      </c>
      <c r="J19" s="3" t="s">
        <v>43</v>
      </c>
      <c r="K19" s="3" t="s">
        <v>54</v>
      </c>
      <c r="L19" s="3" t="s">
        <v>46</v>
      </c>
      <c r="M19">
        <v>1</v>
      </c>
    </row>
    <row r="20" spans="1:13" x14ac:dyDescent="0.25">
      <c r="A20" s="2">
        <v>46167</v>
      </c>
      <c r="B20" s="1" t="str">
        <f ca="1">IF(Información1[[#This Row],[Fecha]]='Ajuste de fechas'!$A$2,"Día actual","Día anterior")</f>
        <v>Día anterior</v>
      </c>
      <c r="C20" s="3" t="s">
        <v>55</v>
      </c>
      <c r="D20" t="s">
        <v>60</v>
      </c>
      <c r="E20" s="3" t="s">
        <v>206</v>
      </c>
      <c r="F20" s="3" t="s">
        <v>77</v>
      </c>
      <c r="G20" s="3" t="s">
        <v>207</v>
      </c>
      <c r="H20" s="3" t="s">
        <v>11</v>
      </c>
      <c r="I20" s="3" t="s">
        <v>7</v>
      </c>
      <c r="J20" s="3" t="s">
        <v>43</v>
      </c>
      <c r="K20" s="3" t="s">
        <v>54</v>
      </c>
      <c r="L20" s="3" t="s">
        <v>44</v>
      </c>
      <c r="M20">
        <v>1</v>
      </c>
    </row>
    <row r="21" spans="1:13" x14ac:dyDescent="0.25">
      <c r="A21" s="2">
        <v>46167</v>
      </c>
      <c r="B21" s="1" t="str">
        <f ca="1">IF(Información1[[#This Row],[Fecha]]='Ajuste de fechas'!$A$2,"Día actual","Día anterior")</f>
        <v>Día anterior</v>
      </c>
      <c r="C21" s="3" t="s">
        <v>55</v>
      </c>
      <c r="D21" t="s">
        <v>60</v>
      </c>
      <c r="E21" s="3" t="s">
        <v>208</v>
      </c>
      <c r="F21" s="3" t="s">
        <v>22</v>
      </c>
      <c r="G21" s="3" t="s">
        <v>207</v>
      </c>
      <c r="H21" s="3" t="s">
        <v>11</v>
      </c>
      <c r="I21" s="3" t="s">
        <v>7</v>
      </c>
      <c r="J21" s="3" t="s">
        <v>48</v>
      </c>
      <c r="K21" s="3" t="s">
        <v>54</v>
      </c>
      <c r="L21" s="3" t="s">
        <v>44</v>
      </c>
      <c r="M21">
        <v>1</v>
      </c>
    </row>
    <row r="22" spans="1:13" x14ac:dyDescent="0.25">
      <c r="A22" s="2">
        <v>46167</v>
      </c>
      <c r="B22" s="1" t="str">
        <f ca="1">IF(Información1[[#This Row],[Fecha]]='Ajuste de fechas'!$A$2,"Día actual","Día anterior")</f>
        <v>Día anterior</v>
      </c>
      <c r="C22" s="3" t="s">
        <v>55</v>
      </c>
      <c r="D22" t="s">
        <v>60</v>
      </c>
      <c r="E22" s="3" t="s">
        <v>209</v>
      </c>
      <c r="F22" s="3" t="s">
        <v>67</v>
      </c>
      <c r="G22" s="3" t="s">
        <v>61</v>
      </c>
      <c r="H22" s="3" t="s">
        <v>11</v>
      </c>
      <c r="I22" s="3" t="s">
        <v>7</v>
      </c>
      <c r="J22" s="3" t="s">
        <v>43</v>
      </c>
      <c r="K22" s="3" t="s">
        <v>54</v>
      </c>
      <c r="L22" s="3" t="s">
        <v>44</v>
      </c>
      <c r="M22">
        <v>1</v>
      </c>
    </row>
    <row r="23" spans="1:13" x14ac:dyDescent="0.25">
      <c r="A23" s="2">
        <v>46167</v>
      </c>
      <c r="B23" s="1" t="str">
        <f ca="1">IF(Información1[[#This Row],[Fecha]]='Ajuste de fechas'!$A$2,"Día actual","Día anterior")</f>
        <v>Día anterior</v>
      </c>
      <c r="C23" s="3" t="s">
        <v>55</v>
      </c>
      <c r="D23" t="s">
        <v>60</v>
      </c>
      <c r="E23" s="3" t="s">
        <v>210</v>
      </c>
      <c r="F23" s="3" t="s">
        <v>6</v>
      </c>
      <c r="G23" s="3" t="s">
        <v>211</v>
      </c>
      <c r="H23" s="3" t="s">
        <v>11</v>
      </c>
      <c r="I23" s="3" t="s">
        <v>7</v>
      </c>
      <c r="J23" s="3" t="s">
        <v>43</v>
      </c>
      <c r="K23" s="3" t="s">
        <v>56</v>
      </c>
      <c r="L23" s="3" t="s">
        <v>44</v>
      </c>
      <c r="M23">
        <v>1</v>
      </c>
    </row>
    <row r="24" spans="1:13" x14ac:dyDescent="0.25">
      <c r="A24" s="2">
        <v>46167</v>
      </c>
      <c r="B24" s="1" t="str">
        <f ca="1">IF(Información1[[#This Row],[Fecha]]='Ajuste de fechas'!$A$2,"Día actual","Día anterior")</f>
        <v>Día anterior</v>
      </c>
      <c r="C24" s="3" t="s">
        <v>55</v>
      </c>
      <c r="D24" t="s">
        <v>60</v>
      </c>
      <c r="E24" s="3" t="s">
        <v>212</v>
      </c>
      <c r="F24" s="3" t="s">
        <v>62</v>
      </c>
      <c r="G24" s="3" t="s">
        <v>207</v>
      </c>
      <c r="H24" s="3" t="s">
        <v>11</v>
      </c>
      <c r="I24" s="3" t="s">
        <v>7</v>
      </c>
      <c r="J24" s="3" t="s">
        <v>43</v>
      </c>
      <c r="K24" s="3" t="s">
        <v>54</v>
      </c>
      <c r="L24" s="3" t="s">
        <v>44</v>
      </c>
      <c r="M24">
        <v>1</v>
      </c>
    </row>
    <row r="25" spans="1:13" x14ac:dyDescent="0.25">
      <c r="A25" s="2">
        <v>46167</v>
      </c>
      <c r="B25" s="1" t="str">
        <f ca="1">IF(Información1[[#This Row],[Fecha]]='Ajuste de fechas'!$A$2,"Día actual","Día anterior")</f>
        <v>Día anterior</v>
      </c>
      <c r="C25" s="3" t="s">
        <v>55</v>
      </c>
      <c r="D25" t="s">
        <v>60</v>
      </c>
      <c r="E25" s="3" t="s">
        <v>213</v>
      </c>
      <c r="F25" s="3" t="s">
        <v>62</v>
      </c>
      <c r="G25" s="3" t="s">
        <v>207</v>
      </c>
      <c r="H25" s="3" t="s">
        <v>11</v>
      </c>
      <c r="I25" s="3" t="s">
        <v>7</v>
      </c>
      <c r="J25" s="3" t="s">
        <v>43</v>
      </c>
      <c r="K25" s="3" t="s">
        <v>54</v>
      </c>
      <c r="L25" s="3" t="s">
        <v>44</v>
      </c>
      <c r="M25">
        <v>1</v>
      </c>
    </row>
    <row r="26" spans="1:13" x14ac:dyDescent="0.25">
      <c r="A26" s="2">
        <v>46167</v>
      </c>
      <c r="B26" s="1" t="str">
        <f ca="1">IF(Información1[[#This Row],[Fecha]]='Ajuste de fechas'!$A$2,"Día actual","Día anterior")</f>
        <v>Día anterior</v>
      </c>
      <c r="C26" s="3" t="s">
        <v>55</v>
      </c>
      <c r="D26" t="s">
        <v>60</v>
      </c>
      <c r="E26" s="3" t="s">
        <v>214</v>
      </c>
      <c r="F26" s="3" t="s">
        <v>62</v>
      </c>
      <c r="G26" s="3" t="s">
        <v>215</v>
      </c>
      <c r="H26" s="3" t="s">
        <v>11</v>
      </c>
      <c r="I26" s="3" t="s">
        <v>7</v>
      </c>
      <c r="J26" s="3" t="s">
        <v>43</v>
      </c>
      <c r="K26" s="3" t="s">
        <v>54</v>
      </c>
      <c r="L26" s="3" t="s">
        <v>44</v>
      </c>
      <c r="M26">
        <v>1</v>
      </c>
    </row>
    <row r="27" spans="1:13" x14ac:dyDescent="0.25">
      <c r="A27" s="2">
        <v>46167</v>
      </c>
      <c r="B27" s="1" t="str">
        <f ca="1">IF(Información1[[#This Row],[Fecha]]='Ajuste de fechas'!$A$2,"Día actual","Día anterior")</f>
        <v>Día anterior</v>
      </c>
      <c r="C27" s="3" t="s">
        <v>28</v>
      </c>
      <c r="D27" t="s">
        <v>31</v>
      </c>
      <c r="E27" s="3" t="s">
        <v>216</v>
      </c>
      <c r="F27" s="3" t="s">
        <v>76</v>
      </c>
      <c r="G27" s="3" t="s">
        <v>70</v>
      </c>
      <c r="H27" s="3" t="s">
        <v>11</v>
      </c>
      <c r="I27" s="3" t="s">
        <v>7</v>
      </c>
      <c r="J27" s="3" t="s">
        <v>24</v>
      </c>
      <c r="K27" s="3" t="s">
        <v>29</v>
      </c>
      <c r="L27" s="3" t="s">
        <v>44</v>
      </c>
      <c r="M27">
        <v>1</v>
      </c>
    </row>
    <row r="28" spans="1:13" x14ac:dyDescent="0.25">
      <c r="A28" s="2">
        <v>46167</v>
      </c>
      <c r="B28" s="1" t="str">
        <f ca="1">IF(Información1[[#This Row],[Fecha]]='Ajuste de fechas'!$A$2,"Día actual","Día anterior")</f>
        <v>Día anterior</v>
      </c>
      <c r="C28" s="3" t="s">
        <v>28</v>
      </c>
      <c r="D28" t="s">
        <v>31</v>
      </c>
      <c r="E28" s="3" t="s">
        <v>217</v>
      </c>
      <c r="F28" s="3" t="s">
        <v>76</v>
      </c>
      <c r="G28" s="3" t="s">
        <v>218</v>
      </c>
      <c r="H28" s="3" t="s">
        <v>11</v>
      </c>
      <c r="I28" s="3" t="s">
        <v>7</v>
      </c>
      <c r="J28" s="3" t="s">
        <v>24</v>
      </c>
      <c r="K28" s="3" t="s">
        <v>29</v>
      </c>
      <c r="L28" s="3" t="s">
        <v>44</v>
      </c>
      <c r="M28">
        <v>1</v>
      </c>
    </row>
    <row r="29" spans="1:13" x14ac:dyDescent="0.25">
      <c r="A29" s="2">
        <v>46167</v>
      </c>
      <c r="B29" s="1" t="str">
        <f ca="1">IF(Información1[[#This Row],[Fecha]]='Ajuste de fechas'!$A$2,"Día actual","Día anterior")</f>
        <v>Día anterior</v>
      </c>
      <c r="C29" s="3" t="s">
        <v>28</v>
      </c>
      <c r="D29" t="s">
        <v>31</v>
      </c>
      <c r="E29" s="3" t="s">
        <v>219</v>
      </c>
      <c r="F29" s="3" t="s">
        <v>23</v>
      </c>
      <c r="G29" s="3" t="s">
        <v>89</v>
      </c>
      <c r="H29" s="3" t="s">
        <v>11</v>
      </c>
      <c r="I29" s="3" t="s">
        <v>7</v>
      </c>
      <c r="J29" s="3" t="s">
        <v>43</v>
      </c>
      <c r="K29" s="3" t="s">
        <v>29</v>
      </c>
      <c r="L29" s="3" t="s">
        <v>44</v>
      </c>
      <c r="M29">
        <v>1</v>
      </c>
    </row>
    <row r="30" spans="1:13" x14ac:dyDescent="0.25">
      <c r="A30" s="2">
        <v>46167</v>
      </c>
      <c r="B30" s="1" t="str">
        <f ca="1">IF(Información1[[#This Row],[Fecha]]='Ajuste de fechas'!$A$2,"Día actual","Día anterior")</f>
        <v>Día anterior</v>
      </c>
      <c r="C30" s="3" t="s">
        <v>28</v>
      </c>
      <c r="D30" t="s">
        <v>31</v>
      </c>
      <c r="E30" s="3" t="s">
        <v>220</v>
      </c>
      <c r="F30" s="3" t="s">
        <v>23</v>
      </c>
      <c r="G30" s="3" t="s">
        <v>89</v>
      </c>
      <c r="H30" s="3" t="s">
        <v>11</v>
      </c>
      <c r="I30" s="3" t="s">
        <v>7</v>
      </c>
      <c r="J30" s="3" t="s">
        <v>43</v>
      </c>
      <c r="K30" s="3" t="s">
        <v>29</v>
      </c>
      <c r="L30" s="3" t="s">
        <v>44</v>
      </c>
      <c r="M30">
        <v>1</v>
      </c>
    </row>
    <row r="31" spans="1:13" x14ac:dyDescent="0.25">
      <c r="A31" s="2">
        <v>46167</v>
      </c>
      <c r="B31" s="1" t="str">
        <f ca="1">IF(Información1[[#This Row],[Fecha]]='Ajuste de fechas'!$A$2,"Día actual","Día anterior")</f>
        <v>Día anterior</v>
      </c>
      <c r="C31" s="3" t="s">
        <v>28</v>
      </c>
      <c r="D31" t="s">
        <v>31</v>
      </c>
      <c r="E31" s="3" t="s">
        <v>221</v>
      </c>
      <c r="F31" s="3" t="s">
        <v>68</v>
      </c>
      <c r="G31" s="3" t="s">
        <v>69</v>
      </c>
      <c r="H31" s="3" t="s">
        <v>11</v>
      </c>
      <c r="I31" s="3" t="s">
        <v>7</v>
      </c>
      <c r="J31" s="3" t="s">
        <v>24</v>
      </c>
      <c r="K31" s="3" t="s">
        <v>29</v>
      </c>
      <c r="L31" s="3" t="s">
        <v>44</v>
      </c>
      <c r="M31">
        <v>1</v>
      </c>
    </row>
    <row r="32" spans="1:13" x14ac:dyDescent="0.25">
      <c r="A32" s="2">
        <v>46167</v>
      </c>
      <c r="B32" s="1" t="str">
        <f ca="1">IF(Información1[[#This Row],[Fecha]]='Ajuste de fechas'!$A$2,"Día actual","Día anterior")</f>
        <v>Día anterior</v>
      </c>
      <c r="C32" s="3" t="s">
        <v>28</v>
      </c>
      <c r="D32" t="s">
        <v>31</v>
      </c>
      <c r="E32" s="3" t="s">
        <v>222</v>
      </c>
      <c r="F32" s="3" t="s">
        <v>19</v>
      </c>
      <c r="G32" s="3" t="s">
        <v>90</v>
      </c>
      <c r="H32" s="3" t="s">
        <v>11</v>
      </c>
      <c r="I32" s="3" t="s">
        <v>7</v>
      </c>
      <c r="J32" s="3" t="s">
        <v>47</v>
      </c>
      <c r="K32" s="3" t="s">
        <v>29</v>
      </c>
      <c r="L32" s="3" t="s">
        <v>44</v>
      </c>
      <c r="M32">
        <v>1</v>
      </c>
    </row>
    <row r="33" spans="1:13" x14ac:dyDescent="0.25">
      <c r="A33" s="2">
        <v>46167</v>
      </c>
      <c r="B33" s="1" t="str">
        <f ca="1">IF(Información1[[#This Row],[Fecha]]='Ajuste de fechas'!$A$2,"Día actual","Día anterior")</f>
        <v>Día anterior</v>
      </c>
      <c r="C33" s="3" t="s">
        <v>28</v>
      </c>
      <c r="D33" t="s">
        <v>31</v>
      </c>
      <c r="E33" s="3" t="s">
        <v>223</v>
      </c>
      <c r="F33" s="3" t="s">
        <v>22</v>
      </c>
      <c r="G33" s="3" t="s">
        <v>91</v>
      </c>
      <c r="H33" s="3" t="s">
        <v>11</v>
      </c>
      <c r="I33" s="3" t="s">
        <v>7</v>
      </c>
      <c r="J33" s="3" t="s">
        <v>48</v>
      </c>
      <c r="K33" s="3" t="s">
        <v>29</v>
      </c>
      <c r="L33" s="3" t="s">
        <v>44</v>
      </c>
      <c r="M33">
        <v>2</v>
      </c>
    </row>
    <row r="34" spans="1:13" x14ac:dyDescent="0.25">
      <c r="A34" s="2">
        <v>46167</v>
      </c>
      <c r="B34" s="1" t="str">
        <f ca="1">IF(Información1[[#This Row],[Fecha]]='Ajuste de fechas'!$A$2,"Día actual","Día anterior")</f>
        <v>Día anterior</v>
      </c>
      <c r="C34" s="3" t="s">
        <v>28</v>
      </c>
      <c r="D34" t="s">
        <v>31</v>
      </c>
      <c r="E34" s="3" t="s">
        <v>224</v>
      </c>
      <c r="F34" s="3" t="s">
        <v>67</v>
      </c>
      <c r="G34" s="3" t="s">
        <v>61</v>
      </c>
      <c r="H34" s="3" t="s">
        <v>11</v>
      </c>
      <c r="I34" s="3" t="s">
        <v>7</v>
      </c>
      <c r="J34" s="3" t="s">
        <v>43</v>
      </c>
      <c r="K34" s="3" t="s">
        <v>29</v>
      </c>
      <c r="L34" s="3" t="s">
        <v>44</v>
      </c>
      <c r="M34">
        <v>1</v>
      </c>
    </row>
    <row r="35" spans="1:13" x14ac:dyDescent="0.25">
      <c r="A35" s="2">
        <v>46167</v>
      </c>
      <c r="B35" s="1" t="str">
        <f ca="1">IF(Información1[[#This Row],[Fecha]]='Ajuste de fechas'!$A$2,"Día actual","Día anterior")</f>
        <v>Día anterior</v>
      </c>
      <c r="C35" s="3" t="s">
        <v>28</v>
      </c>
      <c r="D35" t="s">
        <v>31</v>
      </c>
      <c r="E35" s="3" t="s">
        <v>225</v>
      </c>
      <c r="F35" s="3" t="s">
        <v>62</v>
      </c>
      <c r="G35" s="3" t="s">
        <v>207</v>
      </c>
      <c r="H35" s="3" t="s">
        <v>11</v>
      </c>
      <c r="I35" s="3" t="s">
        <v>7</v>
      </c>
      <c r="J35" s="3" t="s">
        <v>43</v>
      </c>
      <c r="K35" s="3" t="s">
        <v>29</v>
      </c>
      <c r="L35" s="3" t="s">
        <v>44</v>
      </c>
      <c r="M35">
        <v>1</v>
      </c>
    </row>
    <row r="36" spans="1:13" x14ac:dyDescent="0.25">
      <c r="A36" s="2">
        <v>46167</v>
      </c>
      <c r="B36" s="1" t="str">
        <f ca="1">IF(Información1[[#This Row],[Fecha]]='Ajuste de fechas'!$A$2,"Día actual","Día anterior")</f>
        <v>Día anterior</v>
      </c>
      <c r="C36" s="3" t="s">
        <v>92</v>
      </c>
      <c r="D36" t="s">
        <v>93</v>
      </c>
      <c r="E36" s="3" t="s">
        <v>226</v>
      </c>
      <c r="F36" s="3" t="s">
        <v>186</v>
      </c>
      <c r="G36" s="3" t="s">
        <v>187</v>
      </c>
      <c r="H36" s="3" t="s">
        <v>11</v>
      </c>
      <c r="I36" s="3" t="s">
        <v>7</v>
      </c>
      <c r="J36" s="3" t="s">
        <v>43</v>
      </c>
      <c r="K36" s="3" t="s">
        <v>94</v>
      </c>
      <c r="L36" s="3" t="s">
        <v>46</v>
      </c>
      <c r="M36">
        <v>1</v>
      </c>
    </row>
    <row r="37" spans="1:13" x14ac:dyDescent="0.25">
      <c r="A37" s="2">
        <v>46167</v>
      </c>
      <c r="B37" s="1" t="str">
        <f ca="1">IF(Información1[[#This Row],[Fecha]]='Ajuste de fechas'!$A$2,"Día actual","Día anterior")</f>
        <v>Día anterior</v>
      </c>
      <c r="C37" s="3" t="s">
        <v>28</v>
      </c>
      <c r="D37" t="s">
        <v>31</v>
      </c>
      <c r="E37" s="3" t="s">
        <v>220</v>
      </c>
      <c r="F37" s="3" t="s">
        <v>23</v>
      </c>
      <c r="G37" s="3" t="s">
        <v>89</v>
      </c>
      <c r="H37" s="3" t="s">
        <v>11</v>
      </c>
      <c r="I37" s="3" t="s">
        <v>25</v>
      </c>
      <c r="J37" s="3" t="s">
        <v>43</v>
      </c>
      <c r="K37" s="3" t="s">
        <v>29</v>
      </c>
      <c r="L37" s="3" t="s">
        <v>44</v>
      </c>
      <c r="M37">
        <v>1</v>
      </c>
    </row>
    <row r="38" spans="1:13" x14ac:dyDescent="0.25">
      <c r="A38" s="2">
        <v>46167</v>
      </c>
      <c r="B38" s="1" t="str">
        <f ca="1">IF(Información1[[#This Row],[Fecha]]='Ajuste de fechas'!$A$2,"Día actual","Día anterior")</f>
        <v>Día anterior</v>
      </c>
      <c r="C38" s="3" t="s">
        <v>28</v>
      </c>
      <c r="D38" t="s">
        <v>31</v>
      </c>
      <c r="E38" s="3" t="s">
        <v>227</v>
      </c>
      <c r="F38" s="3" t="s">
        <v>19</v>
      </c>
      <c r="G38" s="3" t="s">
        <v>228</v>
      </c>
      <c r="H38" s="3" t="s">
        <v>11</v>
      </c>
      <c r="I38" s="3" t="s">
        <v>25</v>
      </c>
      <c r="J38" s="3" t="s">
        <v>47</v>
      </c>
      <c r="K38" s="3" t="s">
        <v>29</v>
      </c>
      <c r="L38" s="3" t="s">
        <v>45</v>
      </c>
      <c r="M38">
        <v>1</v>
      </c>
    </row>
    <row r="39" spans="1:13" x14ac:dyDescent="0.25">
      <c r="A39" s="2">
        <v>46167</v>
      </c>
      <c r="B39" s="1" t="str">
        <f ca="1">IF(Información1[[#This Row],[Fecha]]='Ajuste de fechas'!$A$2,"Día actual","Día anterior")</f>
        <v>Día anterior</v>
      </c>
      <c r="C39" s="3" t="s">
        <v>28</v>
      </c>
      <c r="D39" t="s">
        <v>31</v>
      </c>
      <c r="E39" s="3" t="s">
        <v>229</v>
      </c>
      <c r="F39" s="3" t="s">
        <v>19</v>
      </c>
      <c r="G39" s="3" t="s">
        <v>230</v>
      </c>
      <c r="H39" s="3" t="s">
        <v>11</v>
      </c>
      <c r="I39" s="3" t="s">
        <v>7</v>
      </c>
      <c r="J39" s="3" t="s">
        <v>47</v>
      </c>
      <c r="K39" s="3" t="s">
        <v>9</v>
      </c>
      <c r="L39" s="3" t="s">
        <v>45</v>
      </c>
      <c r="M39">
        <v>1</v>
      </c>
    </row>
    <row r="40" spans="1:13" x14ac:dyDescent="0.25">
      <c r="A40" s="2">
        <v>46167</v>
      </c>
      <c r="B40" s="1" t="str">
        <f ca="1">IF(Información1[[#This Row],[Fecha]]='Ajuste de fechas'!$A$2,"Día actual","Día anterior")</f>
        <v>Día anterior</v>
      </c>
      <c r="C40" s="3" t="s">
        <v>28</v>
      </c>
      <c r="D40" t="s">
        <v>31</v>
      </c>
      <c r="E40" s="3" t="s">
        <v>231</v>
      </c>
      <c r="F40" s="3" t="s">
        <v>19</v>
      </c>
      <c r="G40" s="3" t="s">
        <v>232</v>
      </c>
      <c r="H40" s="3" t="s">
        <v>11</v>
      </c>
      <c r="I40" s="3" t="s">
        <v>7</v>
      </c>
      <c r="J40" s="3" t="s">
        <v>47</v>
      </c>
      <c r="K40" s="3" t="s">
        <v>29</v>
      </c>
      <c r="L40" s="3" t="s">
        <v>44</v>
      </c>
      <c r="M40">
        <v>1</v>
      </c>
    </row>
    <row r="41" spans="1:13" x14ac:dyDescent="0.25">
      <c r="A41" s="2">
        <v>46167</v>
      </c>
      <c r="B41" s="1" t="str">
        <f ca="1">IF(Información1[[#This Row],[Fecha]]='Ajuste de fechas'!$A$2,"Día actual","Día anterior")</f>
        <v>Día anterior</v>
      </c>
      <c r="C41" s="3" t="s">
        <v>28</v>
      </c>
      <c r="D41" t="s">
        <v>31</v>
      </c>
      <c r="E41" s="3" t="s">
        <v>233</v>
      </c>
      <c r="F41" s="3" t="s">
        <v>186</v>
      </c>
      <c r="G41" s="3" t="s">
        <v>187</v>
      </c>
      <c r="H41" s="3" t="s">
        <v>11</v>
      </c>
      <c r="I41" s="3" t="s">
        <v>7</v>
      </c>
      <c r="J41" s="3" t="s">
        <v>43</v>
      </c>
      <c r="K41" s="3" t="s">
        <v>29</v>
      </c>
      <c r="L41" s="3" t="s">
        <v>44</v>
      </c>
      <c r="M41">
        <v>1</v>
      </c>
    </row>
    <row r="42" spans="1:13" x14ac:dyDescent="0.25">
      <c r="A42" s="2">
        <v>46167</v>
      </c>
      <c r="B42" s="1" t="str">
        <f ca="1">IF(Información1[[#This Row],[Fecha]]='Ajuste de fechas'!$A$2,"Día actual","Día anterior")</f>
        <v>Día anterior</v>
      </c>
      <c r="C42" s="3" t="s">
        <v>28</v>
      </c>
      <c r="D42" t="s">
        <v>31</v>
      </c>
      <c r="E42" s="3" t="s">
        <v>234</v>
      </c>
      <c r="F42" s="3" t="s">
        <v>235</v>
      </c>
      <c r="G42" s="3" t="s">
        <v>236</v>
      </c>
      <c r="H42" s="3" t="s">
        <v>11</v>
      </c>
      <c r="I42" s="3" t="s">
        <v>7</v>
      </c>
      <c r="J42" s="3" t="s">
        <v>43</v>
      </c>
      <c r="K42" s="3" t="s">
        <v>29</v>
      </c>
      <c r="L42" s="3" t="s">
        <v>46</v>
      </c>
      <c r="M42">
        <v>1</v>
      </c>
    </row>
    <row r="43" spans="1:13" x14ac:dyDescent="0.25">
      <c r="A43" s="2">
        <v>46167</v>
      </c>
      <c r="B43" s="1" t="str">
        <f ca="1">IF(Información1[[#This Row],[Fecha]]='Ajuste de fechas'!$A$2,"Día actual","Día anterior")</f>
        <v>Día anterior</v>
      </c>
      <c r="C43" s="3" t="s">
        <v>28</v>
      </c>
      <c r="D43" t="s">
        <v>31</v>
      </c>
      <c r="E43" s="3" t="s">
        <v>237</v>
      </c>
      <c r="F43" s="3" t="s">
        <v>53</v>
      </c>
      <c r="G43" s="3" t="s">
        <v>238</v>
      </c>
      <c r="H43" s="3" t="s">
        <v>11</v>
      </c>
      <c r="I43" s="3" t="s">
        <v>7</v>
      </c>
      <c r="J43" s="3" t="s">
        <v>43</v>
      </c>
      <c r="K43" s="3" t="s">
        <v>29</v>
      </c>
      <c r="L43" s="3" t="s">
        <v>44</v>
      </c>
      <c r="M43">
        <v>1</v>
      </c>
    </row>
    <row r="44" spans="1:13" x14ac:dyDescent="0.25">
      <c r="A44" s="2">
        <v>46167</v>
      </c>
      <c r="B44" s="1" t="str">
        <f ca="1">IF(Información1[[#This Row],[Fecha]]='Ajuste de fechas'!$A$2,"Día actual","Día anterior")</f>
        <v>Día anterior</v>
      </c>
      <c r="C44" s="3" t="s">
        <v>28</v>
      </c>
      <c r="D44" t="s">
        <v>31</v>
      </c>
      <c r="E44" s="3" t="s">
        <v>239</v>
      </c>
      <c r="F44" s="3" t="s">
        <v>23</v>
      </c>
      <c r="G44" s="3" t="s">
        <v>240</v>
      </c>
      <c r="H44" s="3" t="s">
        <v>11</v>
      </c>
      <c r="I44" s="3" t="s">
        <v>7</v>
      </c>
      <c r="J44" s="3" t="s">
        <v>43</v>
      </c>
      <c r="K44" s="3" t="s">
        <v>29</v>
      </c>
      <c r="L44" s="3" t="s">
        <v>46</v>
      </c>
      <c r="M44">
        <v>1</v>
      </c>
    </row>
    <row r="45" spans="1:13" x14ac:dyDescent="0.25">
      <c r="A45" s="2">
        <v>46167</v>
      </c>
      <c r="B45" s="1" t="str">
        <f ca="1">IF(Información1[[#This Row],[Fecha]]='Ajuste de fechas'!$A$2,"Día actual","Día anterior")</f>
        <v>Día anterior</v>
      </c>
      <c r="C45" s="3" t="s">
        <v>28</v>
      </c>
      <c r="D45" t="s">
        <v>31</v>
      </c>
      <c r="E45" s="3" t="s">
        <v>182</v>
      </c>
      <c r="F45" s="3" t="s">
        <v>53</v>
      </c>
      <c r="G45" s="3" t="s">
        <v>84</v>
      </c>
      <c r="H45" s="3" t="s">
        <v>11</v>
      </c>
      <c r="I45" s="3" t="s">
        <v>7</v>
      </c>
      <c r="J45" s="3" t="s">
        <v>43</v>
      </c>
      <c r="K45" s="3" t="s">
        <v>29</v>
      </c>
      <c r="L45" s="3" t="s">
        <v>46</v>
      </c>
      <c r="M45">
        <v>1</v>
      </c>
    </row>
    <row r="46" spans="1:13" x14ac:dyDescent="0.25">
      <c r="A46" s="2">
        <v>46167</v>
      </c>
      <c r="B46" s="1" t="str">
        <f ca="1">IF(Información1[[#This Row],[Fecha]]='Ajuste de fechas'!$A$2,"Día actual","Día anterior")</f>
        <v>Día anterior</v>
      </c>
      <c r="C46" s="3" t="s">
        <v>28</v>
      </c>
      <c r="D46" t="s">
        <v>31</v>
      </c>
      <c r="E46" s="3" t="s">
        <v>241</v>
      </c>
      <c r="F46" s="3" t="s">
        <v>23</v>
      </c>
      <c r="G46" s="3" t="s">
        <v>242</v>
      </c>
      <c r="H46" s="3" t="s">
        <v>11</v>
      </c>
      <c r="I46" s="3" t="s">
        <v>7</v>
      </c>
      <c r="J46" s="3" t="s">
        <v>43</v>
      </c>
      <c r="K46" s="3" t="s">
        <v>29</v>
      </c>
      <c r="L46" s="3" t="s">
        <v>44</v>
      </c>
      <c r="M46">
        <v>1</v>
      </c>
    </row>
    <row r="47" spans="1:13" x14ac:dyDescent="0.25">
      <c r="A47" s="2">
        <v>46167</v>
      </c>
      <c r="B47" s="1" t="str">
        <f ca="1">IF(Información1[[#This Row],[Fecha]]='Ajuste de fechas'!$A$2,"Día actual","Día anterior")</f>
        <v>Día anterior</v>
      </c>
      <c r="C47" s="3" t="s">
        <v>28</v>
      </c>
      <c r="D47" t="s">
        <v>31</v>
      </c>
      <c r="E47" s="3" t="s">
        <v>243</v>
      </c>
      <c r="F47" s="3" t="s">
        <v>15</v>
      </c>
      <c r="G47" s="3" t="s">
        <v>88</v>
      </c>
      <c r="H47" s="3" t="s">
        <v>11</v>
      </c>
      <c r="I47" s="3" t="s">
        <v>7</v>
      </c>
      <c r="J47" s="3" t="s">
        <v>43</v>
      </c>
      <c r="K47" s="3" t="s">
        <v>29</v>
      </c>
      <c r="L47" s="3" t="s">
        <v>44</v>
      </c>
      <c r="M47">
        <v>1</v>
      </c>
    </row>
    <row r="48" spans="1:13" x14ac:dyDescent="0.25">
      <c r="A48" s="2">
        <v>46167</v>
      </c>
      <c r="B48" s="1" t="str">
        <f ca="1">IF(Información1[[#This Row],[Fecha]]='Ajuste de fechas'!$A$2,"Día actual","Día anterior")</f>
        <v>Día anterior</v>
      </c>
      <c r="C48" s="3" t="s">
        <v>28</v>
      </c>
      <c r="D48" t="s">
        <v>31</v>
      </c>
      <c r="E48" s="3" t="s">
        <v>244</v>
      </c>
      <c r="F48" s="3" t="s">
        <v>26</v>
      </c>
      <c r="G48" s="3" t="s">
        <v>74</v>
      </c>
      <c r="H48" s="3" t="s">
        <v>11</v>
      </c>
      <c r="I48" s="3" t="s">
        <v>7</v>
      </c>
      <c r="J48" s="3" t="s">
        <v>43</v>
      </c>
      <c r="K48" s="3" t="s">
        <v>29</v>
      </c>
      <c r="L48" s="3" t="s">
        <v>45</v>
      </c>
      <c r="M48">
        <v>1</v>
      </c>
    </row>
    <row r="49" spans="1:13" x14ac:dyDescent="0.25">
      <c r="A49" s="2">
        <v>46167</v>
      </c>
      <c r="B49" s="1" t="str">
        <f ca="1">IF(Información1[[#This Row],[Fecha]]='Ajuste de fechas'!$A$2,"Día actual","Día anterior")</f>
        <v>Día anterior</v>
      </c>
      <c r="C49" s="3" t="s">
        <v>28</v>
      </c>
      <c r="D49" t="s">
        <v>31</v>
      </c>
      <c r="E49" s="3" t="s">
        <v>245</v>
      </c>
      <c r="F49" s="3" t="s">
        <v>17</v>
      </c>
      <c r="G49" s="3" t="s">
        <v>74</v>
      </c>
      <c r="H49" s="3" t="s">
        <v>11</v>
      </c>
      <c r="I49" s="3" t="s">
        <v>7</v>
      </c>
      <c r="J49" s="3" t="s">
        <v>43</v>
      </c>
      <c r="K49" s="3" t="s">
        <v>29</v>
      </c>
      <c r="L49" s="3" t="s">
        <v>44</v>
      </c>
      <c r="M49">
        <v>1</v>
      </c>
    </row>
    <row r="50" spans="1:13" x14ac:dyDescent="0.25">
      <c r="A50" s="2">
        <v>46167</v>
      </c>
      <c r="B50" s="1" t="str">
        <f ca="1">IF(Información1[[#This Row],[Fecha]]='Ajuste de fechas'!$A$2,"Día actual","Día anterior")</f>
        <v>Día anterior</v>
      </c>
      <c r="C50" s="3" t="s">
        <v>28</v>
      </c>
      <c r="D50" t="s">
        <v>31</v>
      </c>
      <c r="E50" s="3" t="s">
        <v>246</v>
      </c>
      <c r="F50" s="3" t="s">
        <v>68</v>
      </c>
      <c r="G50" s="3" t="s">
        <v>69</v>
      </c>
      <c r="H50" s="3" t="s">
        <v>11</v>
      </c>
      <c r="I50" s="3" t="s">
        <v>7</v>
      </c>
      <c r="J50" s="3" t="s">
        <v>24</v>
      </c>
      <c r="K50" s="3" t="s">
        <v>29</v>
      </c>
      <c r="L50" s="3" t="s">
        <v>44</v>
      </c>
      <c r="M50">
        <v>1</v>
      </c>
    </row>
    <row r="51" spans="1:13" x14ac:dyDescent="0.25">
      <c r="A51" s="2">
        <v>46167</v>
      </c>
      <c r="B51" s="1" t="str">
        <f ca="1">IF(Información1[[#This Row],[Fecha]]='Ajuste de fechas'!$A$2,"Día actual","Día anterior")</f>
        <v>Día anterior</v>
      </c>
      <c r="C51" s="3" t="s">
        <v>28</v>
      </c>
      <c r="D51" t="s">
        <v>31</v>
      </c>
      <c r="E51" s="3" t="s">
        <v>247</v>
      </c>
      <c r="F51" s="3" t="s">
        <v>34</v>
      </c>
      <c r="G51" s="3" t="s">
        <v>75</v>
      </c>
      <c r="H51" s="3" t="s">
        <v>11</v>
      </c>
      <c r="I51" s="3" t="s">
        <v>7</v>
      </c>
      <c r="J51" s="3" t="s">
        <v>43</v>
      </c>
      <c r="K51" s="3" t="s">
        <v>29</v>
      </c>
      <c r="L51" s="3" t="s">
        <v>44</v>
      </c>
      <c r="M51">
        <v>1</v>
      </c>
    </row>
    <row r="52" spans="1:13" x14ac:dyDescent="0.25">
      <c r="A52" s="2">
        <v>46167</v>
      </c>
      <c r="B52" s="1" t="str">
        <f ca="1">IF(Información1[[#This Row],[Fecha]]='Ajuste de fechas'!$A$2,"Día actual","Día anterior")</f>
        <v>Día anterior</v>
      </c>
      <c r="C52" s="3" t="s">
        <v>28</v>
      </c>
      <c r="D52" t="s">
        <v>31</v>
      </c>
      <c r="E52" s="3" t="s">
        <v>248</v>
      </c>
      <c r="F52" s="3" t="s">
        <v>82</v>
      </c>
      <c r="G52" s="3" t="s">
        <v>83</v>
      </c>
      <c r="H52" s="3" t="s">
        <v>11</v>
      </c>
      <c r="I52" s="3" t="s">
        <v>7</v>
      </c>
      <c r="J52" s="3" t="s">
        <v>43</v>
      </c>
      <c r="K52" s="3" t="s">
        <v>29</v>
      </c>
      <c r="L52" s="3" t="s">
        <v>44</v>
      </c>
      <c r="M52">
        <v>1</v>
      </c>
    </row>
    <row r="53" spans="1:13" x14ac:dyDescent="0.25">
      <c r="A53" s="2">
        <v>46167</v>
      </c>
      <c r="B53" s="1" t="str">
        <f ca="1">IF(Información1[[#This Row],[Fecha]]='Ajuste de fechas'!$A$2,"Día actual","Día anterior")</f>
        <v>Día anterior</v>
      </c>
      <c r="C53" s="3" t="s">
        <v>28</v>
      </c>
      <c r="D53" t="s">
        <v>31</v>
      </c>
      <c r="E53" s="3" t="s">
        <v>249</v>
      </c>
      <c r="F53" s="3" t="s">
        <v>21</v>
      </c>
      <c r="G53" s="3" t="s">
        <v>250</v>
      </c>
      <c r="H53" s="3" t="s">
        <v>11</v>
      </c>
      <c r="I53" s="3" t="s">
        <v>7</v>
      </c>
      <c r="J53" s="3" t="s">
        <v>43</v>
      </c>
      <c r="K53" s="3" t="s">
        <v>29</v>
      </c>
      <c r="L53" s="3" t="s">
        <v>44</v>
      </c>
      <c r="M53">
        <v>1</v>
      </c>
    </row>
    <row r="54" spans="1:13" x14ac:dyDescent="0.25">
      <c r="A54" s="2">
        <v>46167</v>
      </c>
      <c r="B54" s="1" t="str">
        <f ca="1">IF(Información1[[#This Row],[Fecha]]='Ajuste de fechas'!$A$2,"Día actual","Día anterior")</f>
        <v>Día anterior</v>
      </c>
      <c r="C54" s="3" t="s">
        <v>28</v>
      </c>
      <c r="D54" t="s">
        <v>31</v>
      </c>
      <c r="E54" s="3" t="s">
        <v>251</v>
      </c>
      <c r="F54" s="3" t="s">
        <v>26</v>
      </c>
      <c r="G54" s="3" t="s">
        <v>252</v>
      </c>
      <c r="H54" s="3" t="s">
        <v>11</v>
      </c>
      <c r="I54" s="3" t="s">
        <v>7</v>
      </c>
      <c r="J54" s="3" t="s">
        <v>43</v>
      </c>
      <c r="K54" s="3" t="s">
        <v>29</v>
      </c>
      <c r="L54" s="3" t="s">
        <v>45</v>
      </c>
      <c r="M54">
        <v>1</v>
      </c>
    </row>
    <row r="55" spans="1:13" x14ac:dyDescent="0.25">
      <c r="A55" s="2">
        <v>46167</v>
      </c>
      <c r="B55" s="1" t="str">
        <f ca="1">IF(Información1[[#This Row],[Fecha]]='Ajuste de fechas'!$A$2,"Día actual","Día anterior")</f>
        <v>Día anterior</v>
      </c>
      <c r="C55" s="3" t="s">
        <v>8</v>
      </c>
      <c r="D55" t="s">
        <v>10</v>
      </c>
      <c r="E55" s="3" t="s">
        <v>71</v>
      </c>
      <c r="F55" s="3" t="s">
        <v>19</v>
      </c>
      <c r="G55" s="3" t="s">
        <v>72</v>
      </c>
      <c r="H55" s="3" t="s">
        <v>11</v>
      </c>
      <c r="I55" s="3" t="s">
        <v>25</v>
      </c>
      <c r="J55" s="3" t="s">
        <v>47</v>
      </c>
      <c r="K55" s="3" t="s">
        <v>9</v>
      </c>
      <c r="L55" s="3" t="s">
        <v>45</v>
      </c>
      <c r="M55">
        <v>1</v>
      </c>
    </row>
    <row r="56" spans="1:13" x14ac:dyDescent="0.25">
      <c r="A56" s="2">
        <v>46167</v>
      </c>
      <c r="B56" s="1" t="str">
        <f ca="1">IF(Información1[[#This Row],[Fecha]]='Ajuste de fechas'!$A$2,"Día actual","Día anterior")</f>
        <v>Día anterior</v>
      </c>
      <c r="C56" s="3" t="s">
        <v>8</v>
      </c>
      <c r="D56" t="s">
        <v>10</v>
      </c>
      <c r="E56" s="3" t="s">
        <v>253</v>
      </c>
      <c r="F56" s="3" t="s">
        <v>23</v>
      </c>
      <c r="G56" s="3" t="s">
        <v>254</v>
      </c>
      <c r="H56" s="3" t="s">
        <v>11</v>
      </c>
      <c r="I56" s="3" t="s">
        <v>25</v>
      </c>
      <c r="J56" s="3" t="s">
        <v>43</v>
      </c>
      <c r="K56" s="3" t="s">
        <v>9</v>
      </c>
      <c r="L56" s="3" t="s">
        <v>45</v>
      </c>
      <c r="M56">
        <v>1</v>
      </c>
    </row>
    <row r="57" spans="1:13" x14ac:dyDescent="0.25">
      <c r="A57" s="2">
        <v>46167</v>
      </c>
      <c r="B57" s="1" t="str">
        <f ca="1">IF(Información1[[#This Row],[Fecha]]='Ajuste de fechas'!$A$2,"Día actual","Día anterior")</f>
        <v>Día anterior</v>
      </c>
      <c r="C57" s="3" t="s">
        <v>8</v>
      </c>
      <c r="D57" t="s">
        <v>10</v>
      </c>
      <c r="E57" s="3" t="s">
        <v>255</v>
      </c>
      <c r="F57" s="3" t="s">
        <v>17</v>
      </c>
      <c r="G57" s="3" t="s">
        <v>64</v>
      </c>
      <c r="H57" s="3" t="s">
        <v>11</v>
      </c>
      <c r="I57" s="3" t="s">
        <v>25</v>
      </c>
      <c r="J57" s="3" t="s">
        <v>43</v>
      </c>
      <c r="K57" s="3" t="s">
        <v>9</v>
      </c>
      <c r="L57" s="3" t="s">
        <v>45</v>
      </c>
      <c r="M57">
        <v>1</v>
      </c>
    </row>
    <row r="58" spans="1:13" x14ac:dyDescent="0.25">
      <c r="A58" s="2">
        <v>46167</v>
      </c>
      <c r="B58" s="1" t="str">
        <f ca="1">IF(Información1[[#This Row],[Fecha]]='Ajuste de fechas'!$A$2,"Día actual","Día anterior")</f>
        <v>Día anterior</v>
      </c>
      <c r="C58" s="3" t="s">
        <v>8</v>
      </c>
      <c r="D58" t="s">
        <v>10</v>
      </c>
      <c r="E58" s="3" t="s">
        <v>256</v>
      </c>
      <c r="F58" s="3" t="s">
        <v>17</v>
      </c>
      <c r="G58" s="3" t="s">
        <v>64</v>
      </c>
      <c r="H58" s="3" t="s">
        <v>11</v>
      </c>
      <c r="I58" s="3" t="s">
        <v>25</v>
      </c>
      <c r="J58" s="3" t="s">
        <v>43</v>
      </c>
      <c r="K58" s="3" t="s">
        <v>9</v>
      </c>
      <c r="L58" s="3" t="s">
        <v>45</v>
      </c>
      <c r="M58">
        <v>1</v>
      </c>
    </row>
    <row r="59" spans="1:13" x14ac:dyDescent="0.25">
      <c r="A59" s="2">
        <v>46167</v>
      </c>
      <c r="B59" s="1" t="str">
        <f ca="1">IF(Información1[[#This Row],[Fecha]]='Ajuste de fechas'!$A$2,"Día actual","Día anterior")</f>
        <v>Día anterior</v>
      </c>
      <c r="C59" s="3" t="s">
        <v>8</v>
      </c>
      <c r="D59" t="s">
        <v>10</v>
      </c>
      <c r="E59" s="3" t="s">
        <v>257</v>
      </c>
      <c r="F59" s="3" t="s">
        <v>6</v>
      </c>
      <c r="G59" s="3" t="s">
        <v>95</v>
      </c>
      <c r="H59" s="3" t="s">
        <v>11</v>
      </c>
      <c r="I59" s="3" t="s">
        <v>25</v>
      </c>
      <c r="J59" s="3" t="s">
        <v>43</v>
      </c>
      <c r="K59" s="3" t="s">
        <v>9</v>
      </c>
      <c r="L59" s="3" t="s">
        <v>45</v>
      </c>
      <c r="M59">
        <v>1</v>
      </c>
    </row>
    <row r="60" spans="1:13" x14ac:dyDescent="0.25">
      <c r="A60" s="2">
        <v>46167</v>
      </c>
      <c r="B60" s="1" t="str">
        <f ca="1">IF(Información1[[#This Row],[Fecha]]='Ajuste de fechas'!$A$2,"Día actual","Día anterior")</f>
        <v>Día anterior</v>
      </c>
      <c r="C60" s="3" t="s">
        <v>8</v>
      </c>
      <c r="D60" t="s">
        <v>10</v>
      </c>
      <c r="E60" s="3" t="s">
        <v>258</v>
      </c>
      <c r="F60" s="3" t="s">
        <v>6</v>
      </c>
      <c r="G60" s="3" t="s">
        <v>95</v>
      </c>
      <c r="H60" s="3" t="s">
        <v>11</v>
      </c>
      <c r="I60" s="3" t="s">
        <v>25</v>
      </c>
      <c r="J60" s="3" t="s">
        <v>43</v>
      </c>
      <c r="K60" s="3" t="s">
        <v>9</v>
      </c>
      <c r="L60" s="3" t="s">
        <v>45</v>
      </c>
      <c r="M60">
        <v>1</v>
      </c>
    </row>
    <row r="61" spans="1:13" x14ac:dyDescent="0.25">
      <c r="A61" s="2">
        <v>46167</v>
      </c>
      <c r="B61" s="1" t="str">
        <f ca="1">IF(Información1[[#This Row],[Fecha]]='Ajuste de fechas'!$A$2,"Día actual","Día anterior")</f>
        <v>Día anterior</v>
      </c>
      <c r="C61" s="3" t="s">
        <v>8</v>
      </c>
      <c r="D61" t="s">
        <v>10</v>
      </c>
      <c r="E61" s="3" t="s">
        <v>259</v>
      </c>
      <c r="F61" s="3" t="s">
        <v>6</v>
      </c>
      <c r="G61" s="3" t="s">
        <v>52</v>
      </c>
      <c r="H61" s="3" t="s">
        <v>11</v>
      </c>
      <c r="I61" s="3" t="s">
        <v>25</v>
      </c>
      <c r="J61" s="3" t="s">
        <v>43</v>
      </c>
      <c r="K61" s="3" t="s">
        <v>9</v>
      </c>
      <c r="L61" s="3" t="s">
        <v>45</v>
      </c>
      <c r="M61">
        <v>1</v>
      </c>
    </row>
    <row r="62" spans="1:13" x14ac:dyDescent="0.25">
      <c r="A62" s="2">
        <v>46167</v>
      </c>
      <c r="B62" s="1" t="str">
        <f ca="1">IF(Información1[[#This Row],[Fecha]]='Ajuste de fechas'!$A$2,"Día actual","Día anterior")</f>
        <v>Día anterior</v>
      </c>
      <c r="C62" s="3" t="s">
        <v>8</v>
      </c>
      <c r="D62" t="s">
        <v>10</v>
      </c>
      <c r="E62" s="3" t="s">
        <v>260</v>
      </c>
      <c r="F62" s="3" t="s">
        <v>6</v>
      </c>
      <c r="G62" s="3" t="s">
        <v>52</v>
      </c>
      <c r="H62" s="3" t="s">
        <v>11</v>
      </c>
      <c r="I62" s="3" t="s">
        <v>25</v>
      </c>
      <c r="J62" s="3" t="s">
        <v>43</v>
      </c>
      <c r="K62" s="3" t="s">
        <v>9</v>
      </c>
      <c r="L62" s="3" t="s">
        <v>45</v>
      </c>
      <c r="M62">
        <v>1</v>
      </c>
    </row>
    <row r="63" spans="1:13" x14ac:dyDescent="0.25">
      <c r="A63" s="2">
        <v>46167</v>
      </c>
      <c r="B63" s="1" t="str">
        <f ca="1">IF(Información1[[#This Row],[Fecha]]='Ajuste de fechas'!$A$2,"Día actual","Día anterior")</f>
        <v>Día anterior</v>
      </c>
      <c r="C63" s="3" t="s">
        <v>8</v>
      </c>
      <c r="D63" t="s">
        <v>10</v>
      </c>
      <c r="E63" s="3" t="s">
        <v>261</v>
      </c>
      <c r="F63" s="3" t="s">
        <v>86</v>
      </c>
      <c r="G63" s="3" t="s">
        <v>61</v>
      </c>
      <c r="H63" s="3" t="s">
        <v>11</v>
      </c>
      <c r="I63" s="3" t="s">
        <v>7</v>
      </c>
      <c r="J63" s="3" t="s">
        <v>43</v>
      </c>
      <c r="K63" s="3" t="s">
        <v>9</v>
      </c>
      <c r="L63" s="3" t="s">
        <v>45</v>
      </c>
      <c r="M63">
        <v>1</v>
      </c>
    </row>
    <row r="64" spans="1:13" x14ac:dyDescent="0.25">
      <c r="A64" s="2">
        <v>46167</v>
      </c>
      <c r="B64" s="1" t="str">
        <f ca="1">IF(Información1[[#This Row],[Fecha]]='Ajuste de fechas'!$A$2,"Día actual","Día anterior")</f>
        <v>Día anterior</v>
      </c>
      <c r="C64" s="3" t="s">
        <v>8</v>
      </c>
      <c r="D64" t="s">
        <v>10</v>
      </c>
      <c r="E64" s="3" t="s">
        <v>262</v>
      </c>
      <c r="F64" s="3" t="s">
        <v>22</v>
      </c>
      <c r="G64" s="3" t="s">
        <v>263</v>
      </c>
      <c r="H64" s="3" t="s">
        <v>11</v>
      </c>
      <c r="I64" s="3" t="s">
        <v>7</v>
      </c>
      <c r="J64" s="3" t="s">
        <v>48</v>
      </c>
      <c r="K64" s="3" t="s">
        <v>14</v>
      </c>
      <c r="L64" s="3" t="s">
        <v>44</v>
      </c>
      <c r="M64">
        <v>1</v>
      </c>
    </row>
    <row r="65" spans="1:13" x14ac:dyDescent="0.25">
      <c r="A65" s="2">
        <v>46167</v>
      </c>
      <c r="B65" s="1" t="str">
        <f ca="1">IF(Información1[[#This Row],[Fecha]]='Ajuste de fechas'!$A$2,"Día actual","Día anterior")</f>
        <v>Día anterior</v>
      </c>
      <c r="C65" s="3" t="s">
        <v>8</v>
      </c>
      <c r="D65" t="s">
        <v>10</v>
      </c>
      <c r="E65" s="3" t="s">
        <v>264</v>
      </c>
      <c r="F65" s="3" t="s">
        <v>24</v>
      </c>
      <c r="G65" s="3" t="s">
        <v>265</v>
      </c>
      <c r="H65" s="3" t="s">
        <v>11</v>
      </c>
      <c r="I65" s="3" t="s">
        <v>7</v>
      </c>
      <c r="J65" s="3" t="s">
        <v>24</v>
      </c>
      <c r="K65" s="3" t="s">
        <v>14</v>
      </c>
      <c r="L65" s="3" t="s">
        <v>44</v>
      </c>
      <c r="M65">
        <v>1</v>
      </c>
    </row>
    <row r="66" spans="1:13" x14ac:dyDescent="0.25">
      <c r="A66" s="2">
        <v>46167</v>
      </c>
      <c r="B66" s="1" t="str">
        <f ca="1">IF(Información1[[#This Row],[Fecha]]='Ajuste de fechas'!$A$2,"Día actual","Día anterior")</f>
        <v>Día anterior</v>
      </c>
      <c r="C66" s="3" t="s">
        <v>8</v>
      </c>
      <c r="D66" t="s">
        <v>10</v>
      </c>
      <c r="E66" s="3" t="s">
        <v>266</v>
      </c>
      <c r="F66" s="3" t="s">
        <v>17</v>
      </c>
      <c r="G66" s="3" t="s">
        <v>87</v>
      </c>
      <c r="H66" s="3" t="s">
        <v>11</v>
      </c>
      <c r="I66" s="3" t="s">
        <v>7</v>
      </c>
      <c r="J66" s="3" t="s">
        <v>43</v>
      </c>
      <c r="K66" s="3" t="s">
        <v>14</v>
      </c>
      <c r="L66" s="3" t="s">
        <v>44</v>
      </c>
      <c r="M66">
        <v>1</v>
      </c>
    </row>
    <row r="67" spans="1:13" x14ac:dyDescent="0.25">
      <c r="A67" s="2">
        <v>46167</v>
      </c>
      <c r="B67" s="1" t="str">
        <f ca="1">IF(Información1[[#This Row],[Fecha]]='Ajuste de fechas'!$A$2,"Día actual","Día anterior")</f>
        <v>Día anterior</v>
      </c>
      <c r="C67" s="3" t="s">
        <v>8</v>
      </c>
      <c r="D67" t="s">
        <v>10</v>
      </c>
      <c r="E67" s="3" t="s">
        <v>267</v>
      </c>
      <c r="F67" s="3" t="s">
        <v>53</v>
      </c>
      <c r="G67" s="3" t="s">
        <v>74</v>
      </c>
      <c r="H67" s="3" t="s">
        <v>11</v>
      </c>
      <c r="I67" s="3" t="s">
        <v>7</v>
      </c>
      <c r="J67" s="3" t="s">
        <v>43</v>
      </c>
      <c r="K67" s="3" t="s">
        <v>14</v>
      </c>
      <c r="L67" s="3" t="s">
        <v>44</v>
      </c>
      <c r="M67">
        <v>1</v>
      </c>
    </row>
    <row r="68" spans="1:13" x14ac:dyDescent="0.25">
      <c r="A68" s="2">
        <v>46167</v>
      </c>
      <c r="B68" s="1" t="str">
        <f ca="1">IF(Información1[[#This Row],[Fecha]]='Ajuste de fechas'!$A$2,"Día actual","Día anterior")</f>
        <v>Día anterior</v>
      </c>
      <c r="C68" s="3" t="s">
        <v>8</v>
      </c>
      <c r="D68" t="s">
        <v>10</v>
      </c>
      <c r="E68" s="3" t="s">
        <v>182</v>
      </c>
      <c r="F68" s="3" t="s">
        <v>53</v>
      </c>
      <c r="G68" s="3" t="s">
        <v>84</v>
      </c>
      <c r="H68" s="3" t="s">
        <v>11</v>
      </c>
      <c r="I68" s="3" t="s">
        <v>7</v>
      </c>
      <c r="J68" s="3" t="s">
        <v>43</v>
      </c>
      <c r="K68" s="3" t="s">
        <v>14</v>
      </c>
      <c r="L68" s="3" t="s">
        <v>46</v>
      </c>
      <c r="M68">
        <v>1</v>
      </c>
    </row>
    <row r="69" spans="1:13" x14ac:dyDescent="0.25">
      <c r="A69" s="2">
        <v>46167</v>
      </c>
      <c r="B69" s="1" t="str">
        <f ca="1">IF(Información1[[#This Row],[Fecha]]='Ajuste de fechas'!$A$2,"Día actual","Día anterior")</f>
        <v>Día anterior</v>
      </c>
      <c r="C69" s="3" t="s">
        <v>8</v>
      </c>
      <c r="D69" t="s">
        <v>10</v>
      </c>
      <c r="E69" s="3" t="s">
        <v>268</v>
      </c>
      <c r="F69" s="3" t="s">
        <v>53</v>
      </c>
      <c r="G69" s="3" t="s">
        <v>89</v>
      </c>
      <c r="H69" s="3" t="s">
        <v>11</v>
      </c>
      <c r="I69" s="3" t="s">
        <v>7</v>
      </c>
      <c r="J69" s="3" t="s">
        <v>43</v>
      </c>
      <c r="K69" s="3" t="s">
        <v>14</v>
      </c>
      <c r="L69" s="3" t="s">
        <v>44</v>
      </c>
      <c r="M69">
        <v>1</v>
      </c>
    </row>
    <row r="70" spans="1:13" x14ac:dyDescent="0.25">
      <c r="A70" s="2">
        <v>46167</v>
      </c>
      <c r="B70" s="1" t="str">
        <f ca="1">IF(Información1[[#This Row],[Fecha]]='Ajuste de fechas'!$A$2,"Día actual","Día anterior")</f>
        <v>Día anterior</v>
      </c>
      <c r="C70" s="3" t="s">
        <v>8</v>
      </c>
      <c r="D70" t="s">
        <v>10</v>
      </c>
      <c r="E70" s="3" t="s">
        <v>269</v>
      </c>
      <c r="F70" s="3" t="s">
        <v>23</v>
      </c>
      <c r="G70" s="3" t="s">
        <v>242</v>
      </c>
      <c r="H70" s="3" t="s">
        <v>11</v>
      </c>
      <c r="I70" s="3" t="s">
        <v>7</v>
      </c>
      <c r="J70" s="3" t="s">
        <v>43</v>
      </c>
      <c r="K70" s="3" t="s">
        <v>14</v>
      </c>
      <c r="L70" s="3" t="s">
        <v>46</v>
      </c>
      <c r="M70">
        <v>1</v>
      </c>
    </row>
    <row r="71" spans="1:13" x14ac:dyDescent="0.25">
      <c r="A71" s="2">
        <v>46167</v>
      </c>
      <c r="B71" s="1" t="str">
        <f ca="1">IF(Información1[[#This Row],[Fecha]]='Ajuste de fechas'!$A$2,"Día actual","Día anterior")</f>
        <v>Día anterior</v>
      </c>
      <c r="C71" s="3" t="s">
        <v>8</v>
      </c>
      <c r="D71" t="s">
        <v>10</v>
      </c>
      <c r="E71" s="3" t="s">
        <v>20</v>
      </c>
      <c r="F71" s="3" t="s">
        <v>19</v>
      </c>
      <c r="G71" s="3" t="s">
        <v>35</v>
      </c>
      <c r="H71" s="3" t="s">
        <v>11</v>
      </c>
      <c r="I71" s="3" t="s">
        <v>12</v>
      </c>
      <c r="J71" s="3" t="s">
        <v>47</v>
      </c>
      <c r="K71" s="3" t="s">
        <v>14</v>
      </c>
      <c r="L71" s="3" t="s">
        <v>45</v>
      </c>
      <c r="M71">
        <v>1</v>
      </c>
    </row>
    <row r="72" spans="1:13" x14ac:dyDescent="0.25">
      <c r="A72" s="2">
        <v>46167</v>
      </c>
      <c r="B72" s="1" t="str">
        <f ca="1">IF(Información1[[#This Row],[Fecha]]='Ajuste de fechas'!$A$2,"Día actual","Día anterior")</f>
        <v>Día anterior</v>
      </c>
      <c r="C72" s="3" t="s">
        <v>8</v>
      </c>
      <c r="D72" t="s">
        <v>10</v>
      </c>
      <c r="E72" s="3" t="s">
        <v>18</v>
      </c>
      <c r="F72" s="3" t="s">
        <v>19</v>
      </c>
      <c r="G72" s="3" t="s">
        <v>35</v>
      </c>
      <c r="H72" s="3" t="s">
        <v>11</v>
      </c>
      <c r="I72" s="3" t="s">
        <v>12</v>
      </c>
      <c r="J72" s="3" t="s">
        <v>47</v>
      </c>
      <c r="K72" s="3" t="s">
        <v>14</v>
      </c>
      <c r="L72" s="3" t="s">
        <v>45</v>
      </c>
      <c r="M72">
        <v>1</v>
      </c>
    </row>
    <row r="73" spans="1:13" x14ac:dyDescent="0.25">
      <c r="A73" s="2">
        <v>46167</v>
      </c>
      <c r="B73" s="1" t="str">
        <f ca="1">IF(Información1[[#This Row],[Fecha]]='Ajuste de fechas'!$A$2,"Día actual","Día anterior")</f>
        <v>Día anterior</v>
      </c>
      <c r="C73" s="3" t="s">
        <v>8</v>
      </c>
      <c r="D73" t="s">
        <v>10</v>
      </c>
      <c r="E73" s="3" t="s">
        <v>270</v>
      </c>
      <c r="F73" s="3" t="s">
        <v>68</v>
      </c>
      <c r="G73" s="3" t="s">
        <v>35</v>
      </c>
      <c r="H73" s="3" t="s">
        <v>11</v>
      </c>
      <c r="I73" s="3" t="s">
        <v>12</v>
      </c>
      <c r="J73" s="3" t="s">
        <v>24</v>
      </c>
      <c r="K73" s="3" t="s">
        <v>14</v>
      </c>
      <c r="L73" s="3" t="s">
        <v>45</v>
      </c>
      <c r="M73">
        <v>1</v>
      </c>
    </row>
    <row r="74" spans="1:13" x14ac:dyDescent="0.25">
      <c r="A74" s="2">
        <v>46167</v>
      </c>
      <c r="B74" s="1" t="str">
        <f ca="1">IF(Información1[[#This Row],[Fecha]]='Ajuste de fechas'!$A$2,"Día actual","Día anterior")</f>
        <v>Día anterior</v>
      </c>
      <c r="C74" s="3" t="s">
        <v>8</v>
      </c>
      <c r="D74" t="s">
        <v>10</v>
      </c>
      <c r="E74" s="3" t="s">
        <v>65</v>
      </c>
      <c r="F74" s="3" t="s">
        <v>21</v>
      </c>
      <c r="G74" s="3" t="s">
        <v>35</v>
      </c>
      <c r="H74" s="3" t="s">
        <v>11</v>
      </c>
      <c r="I74" s="3" t="s">
        <v>12</v>
      </c>
      <c r="J74" s="3" t="s">
        <v>43</v>
      </c>
      <c r="K74" s="3" t="s">
        <v>14</v>
      </c>
      <c r="L74" s="3" t="s">
        <v>45</v>
      </c>
      <c r="M74">
        <v>1</v>
      </c>
    </row>
    <row r="75" spans="1:13" x14ac:dyDescent="0.25">
      <c r="A75" s="2">
        <v>46167</v>
      </c>
      <c r="B75" s="1" t="str">
        <f ca="1">IF(Información1[[#This Row],[Fecha]]='Ajuste de fechas'!$A$2,"Día actual","Día anterior")</f>
        <v>Día anterior</v>
      </c>
      <c r="C75" s="3" t="s">
        <v>8</v>
      </c>
      <c r="D75" t="s">
        <v>10</v>
      </c>
      <c r="E75" s="3" t="s">
        <v>13</v>
      </c>
      <c r="F75" s="3" t="s">
        <v>15</v>
      </c>
      <c r="G75" s="3" t="s">
        <v>35</v>
      </c>
      <c r="H75" s="3" t="s">
        <v>11</v>
      </c>
      <c r="I75" s="3" t="s">
        <v>12</v>
      </c>
      <c r="J75" s="3" t="s">
        <v>43</v>
      </c>
      <c r="K75" s="3" t="s">
        <v>14</v>
      </c>
      <c r="L75" s="3" t="s">
        <v>45</v>
      </c>
      <c r="M75">
        <v>1</v>
      </c>
    </row>
    <row r="76" spans="1:13" x14ac:dyDescent="0.25">
      <c r="A76" s="2">
        <v>46167</v>
      </c>
      <c r="B76" s="1" t="str">
        <f ca="1">IF(Información1[[#This Row],[Fecha]]='Ajuste de fechas'!$A$2,"Día actual","Día anterior")</f>
        <v>Día anterior</v>
      </c>
      <c r="C76" s="3" t="s">
        <v>8</v>
      </c>
      <c r="D76" t="s">
        <v>10</v>
      </c>
      <c r="E76" s="3" t="s">
        <v>16</v>
      </c>
      <c r="F76" s="3" t="s">
        <v>17</v>
      </c>
      <c r="G76" s="3" t="s">
        <v>35</v>
      </c>
      <c r="H76" s="3" t="s">
        <v>11</v>
      </c>
      <c r="I76" s="3" t="s">
        <v>12</v>
      </c>
      <c r="J76" s="3" t="s">
        <v>43</v>
      </c>
      <c r="K76" s="3" t="s">
        <v>14</v>
      </c>
      <c r="L76" s="3" t="s">
        <v>45</v>
      </c>
      <c r="M76">
        <v>1</v>
      </c>
    </row>
    <row r="77" spans="1:13" x14ac:dyDescent="0.25">
      <c r="A77" s="2">
        <v>46167</v>
      </c>
      <c r="B77" s="1" t="str">
        <f ca="1">IF(Información1[[#This Row],[Fecha]]='Ajuste de fechas'!$A$2,"Día actual","Día anterior")</f>
        <v>Día anterior</v>
      </c>
      <c r="C77" s="3" t="s">
        <v>8</v>
      </c>
      <c r="D77" t="s">
        <v>10</v>
      </c>
      <c r="E77" s="3" t="s">
        <v>66</v>
      </c>
      <c r="F77" s="3" t="s">
        <v>6</v>
      </c>
      <c r="G77" s="3" t="s">
        <v>35</v>
      </c>
      <c r="H77" s="3" t="s">
        <v>11</v>
      </c>
      <c r="I77" s="3" t="s">
        <v>12</v>
      </c>
      <c r="J77" s="3" t="s">
        <v>43</v>
      </c>
      <c r="K77" s="3" t="s">
        <v>14</v>
      </c>
      <c r="L77" s="3" t="s">
        <v>45</v>
      </c>
      <c r="M77">
        <v>1</v>
      </c>
    </row>
    <row r="78" spans="1:13" x14ac:dyDescent="0.25">
      <c r="A78" s="2">
        <v>46168</v>
      </c>
      <c r="B78" s="1" t="str">
        <f ca="1">IF(Información1[[#This Row],[Fecha]]='Ajuste de fechas'!$A$2,"Día actual","Día anterior")</f>
        <v>Día actual</v>
      </c>
      <c r="C78" s="3" t="s">
        <v>32</v>
      </c>
      <c r="D78" t="s">
        <v>33</v>
      </c>
      <c r="E78" s="3" t="s">
        <v>96</v>
      </c>
      <c r="F78" s="3" t="s">
        <v>34</v>
      </c>
      <c r="G78" s="3" t="s">
        <v>97</v>
      </c>
      <c r="H78" s="3" t="s">
        <v>11</v>
      </c>
      <c r="I78" s="3" t="s">
        <v>7</v>
      </c>
      <c r="J78" s="3" t="s">
        <v>43</v>
      </c>
      <c r="K78" s="3" t="s">
        <v>27</v>
      </c>
      <c r="L78" s="3" t="s">
        <v>46</v>
      </c>
      <c r="M78">
        <v>1</v>
      </c>
    </row>
    <row r="79" spans="1:13" x14ac:dyDescent="0.25">
      <c r="A79" s="2">
        <v>46168</v>
      </c>
      <c r="B79" s="1" t="str">
        <f ca="1">IF(Información1[[#This Row],[Fecha]]='Ajuste de fechas'!$A$2,"Día actual","Día anterior")</f>
        <v>Día actual</v>
      </c>
      <c r="C79" s="3" t="s">
        <v>32</v>
      </c>
      <c r="D79" t="s">
        <v>33</v>
      </c>
      <c r="E79" s="3" t="s">
        <v>98</v>
      </c>
      <c r="F79" s="3" t="s">
        <v>21</v>
      </c>
      <c r="G79" s="3" t="s">
        <v>99</v>
      </c>
      <c r="H79" s="3" t="s">
        <v>11</v>
      </c>
      <c r="I79" s="3" t="s">
        <v>7</v>
      </c>
      <c r="J79" s="3" t="s">
        <v>43</v>
      </c>
      <c r="K79" s="3" t="s">
        <v>27</v>
      </c>
      <c r="L79" s="3" t="s">
        <v>46</v>
      </c>
      <c r="M79">
        <v>1</v>
      </c>
    </row>
    <row r="80" spans="1:13" x14ac:dyDescent="0.25">
      <c r="A80" s="2">
        <v>46168</v>
      </c>
      <c r="B80" s="1" t="str">
        <f ca="1">IF(Información1[[#This Row],[Fecha]]='Ajuste de fechas'!$A$2,"Día actual","Día anterior")</f>
        <v>Día actual</v>
      </c>
      <c r="C80" s="3" t="s">
        <v>32</v>
      </c>
      <c r="D80" t="s">
        <v>33</v>
      </c>
      <c r="E80" s="3" t="s">
        <v>100</v>
      </c>
      <c r="F80" s="3" t="s">
        <v>78</v>
      </c>
      <c r="G80" s="3" t="s">
        <v>79</v>
      </c>
      <c r="H80" s="3" t="s">
        <v>11</v>
      </c>
      <c r="I80" s="3" t="s">
        <v>7</v>
      </c>
      <c r="J80" s="3" t="s">
        <v>43</v>
      </c>
      <c r="K80" s="3" t="s">
        <v>27</v>
      </c>
      <c r="L80" s="3" t="s">
        <v>46</v>
      </c>
      <c r="M80">
        <v>1</v>
      </c>
    </row>
    <row r="81" spans="1:13" x14ac:dyDescent="0.25">
      <c r="A81" s="2">
        <v>46168</v>
      </c>
      <c r="B81" s="1" t="str">
        <f ca="1">IF(Información1[[#This Row],[Fecha]]='Ajuste de fechas'!$A$2,"Día actual","Día anterior")</f>
        <v>Día actual</v>
      </c>
      <c r="C81" s="3" t="s">
        <v>32</v>
      </c>
      <c r="D81" t="s">
        <v>33</v>
      </c>
      <c r="E81" s="3" t="s">
        <v>101</v>
      </c>
      <c r="F81" s="3" t="s">
        <v>17</v>
      </c>
      <c r="G81" s="3" t="s">
        <v>87</v>
      </c>
      <c r="H81" s="3" t="s">
        <v>11</v>
      </c>
      <c r="I81" s="3" t="s">
        <v>25</v>
      </c>
      <c r="J81" s="3" t="s">
        <v>43</v>
      </c>
      <c r="K81" s="3" t="s">
        <v>27</v>
      </c>
      <c r="L81" s="3" t="s">
        <v>44</v>
      </c>
      <c r="M81">
        <v>1</v>
      </c>
    </row>
    <row r="82" spans="1:13" x14ac:dyDescent="0.25">
      <c r="A82" s="2">
        <v>46168</v>
      </c>
      <c r="B82" s="1" t="str">
        <f ca="1">IF(Información1[[#This Row],[Fecha]]='Ajuste de fechas'!$A$2,"Día actual","Día anterior")</f>
        <v>Día actual</v>
      </c>
      <c r="C82" s="3" t="s">
        <v>32</v>
      </c>
      <c r="D82" t="s">
        <v>33</v>
      </c>
      <c r="E82" s="3" t="s">
        <v>102</v>
      </c>
      <c r="F82" s="3" t="s">
        <v>15</v>
      </c>
      <c r="G82" s="3" t="s">
        <v>103</v>
      </c>
      <c r="H82" s="3" t="s">
        <v>11</v>
      </c>
      <c r="I82" s="3" t="s">
        <v>7</v>
      </c>
      <c r="J82" s="3" t="s">
        <v>43</v>
      </c>
      <c r="K82" s="3" t="s">
        <v>27</v>
      </c>
      <c r="L82" s="3" t="s">
        <v>46</v>
      </c>
      <c r="M82">
        <v>1</v>
      </c>
    </row>
    <row r="83" spans="1:13" x14ac:dyDescent="0.25">
      <c r="A83" s="2">
        <v>46168</v>
      </c>
      <c r="B83" s="1" t="str">
        <f ca="1">IF(Información1[[#This Row],[Fecha]]='Ajuste de fechas'!$A$2,"Día actual","Día anterior")</f>
        <v>Día actual</v>
      </c>
      <c r="C83" s="3" t="s">
        <v>32</v>
      </c>
      <c r="D83" t="s">
        <v>33</v>
      </c>
      <c r="E83" s="3" t="s">
        <v>104</v>
      </c>
      <c r="F83" s="3" t="s">
        <v>15</v>
      </c>
      <c r="G83" s="3" t="s">
        <v>105</v>
      </c>
      <c r="H83" s="3" t="s">
        <v>11</v>
      </c>
      <c r="I83" s="3" t="s">
        <v>7</v>
      </c>
      <c r="J83" s="3" t="s">
        <v>43</v>
      </c>
      <c r="K83" s="3" t="s">
        <v>27</v>
      </c>
      <c r="L83" s="3" t="s">
        <v>46</v>
      </c>
      <c r="M83">
        <v>1</v>
      </c>
    </row>
    <row r="84" spans="1:13" x14ac:dyDescent="0.25">
      <c r="A84" s="2">
        <v>46168</v>
      </c>
      <c r="B84" s="1" t="str">
        <f ca="1">IF(Información1[[#This Row],[Fecha]]='Ajuste de fechas'!$A$2,"Día actual","Día anterior")</f>
        <v>Día actual</v>
      </c>
      <c r="C84" s="3" t="s">
        <v>57</v>
      </c>
      <c r="D84" t="s">
        <v>58</v>
      </c>
      <c r="E84" s="3" t="s">
        <v>106</v>
      </c>
      <c r="F84" s="3" t="s">
        <v>22</v>
      </c>
      <c r="G84" s="3" t="s">
        <v>107</v>
      </c>
      <c r="H84" s="3" t="s">
        <v>11</v>
      </c>
      <c r="I84" s="3" t="s">
        <v>7</v>
      </c>
      <c r="J84" s="3" t="s">
        <v>48</v>
      </c>
      <c r="K84" s="3" t="s">
        <v>59</v>
      </c>
      <c r="L84" s="3" t="s">
        <v>44</v>
      </c>
      <c r="M84">
        <v>1</v>
      </c>
    </row>
    <row r="85" spans="1:13" x14ac:dyDescent="0.25">
      <c r="A85" s="2">
        <v>46168</v>
      </c>
      <c r="B85" s="1" t="str">
        <f ca="1">IF(Información1[[#This Row],[Fecha]]='Ajuste de fechas'!$A$2,"Día actual","Día anterior")</f>
        <v>Día actual</v>
      </c>
      <c r="C85" s="3" t="s">
        <v>57</v>
      </c>
      <c r="D85" t="s">
        <v>58</v>
      </c>
      <c r="E85" s="3" t="s">
        <v>108</v>
      </c>
      <c r="F85" s="3" t="s">
        <v>22</v>
      </c>
      <c r="G85" s="3" t="s">
        <v>109</v>
      </c>
      <c r="H85" s="3" t="s">
        <v>11</v>
      </c>
      <c r="I85" s="3" t="s">
        <v>7</v>
      </c>
      <c r="J85" s="3" t="s">
        <v>48</v>
      </c>
      <c r="K85" s="3" t="s">
        <v>59</v>
      </c>
      <c r="L85" s="3" t="s">
        <v>44</v>
      </c>
      <c r="M85">
        <v>1</v>
      </c>
    </row>
    <row r="86" spans="1:13" x14ac:dyDescent="0.25">
      <c r="A86" s="2">
        <v>46168</v>
      </c>
      <c r="B86" s="1" t="str">
        <f ca="1">IF(Información1[[#This Row],[Fecha]]='Ajuste de fechas'!$A$2,"Día actual","Día anterior")</f>
        <v>Día actual</v>
      </c>
      <c r="C86" s="3" t="s">
        <v>57</v>
      </c>
      <c r="D86" t="s">
        <v>58</v>
      </c>
      <c r="E86" s="3" t="s">
        <v>110</v>
      </c>
      <c r="F86" s="3" t="s">
        <v>19</v>
      </c>
      <c r="G86" s="3" t="s">
        <v>103</v>
      </c>
      <c r="H86" s="3" t="s">
        <v>11</v>
      </c>
      <c r="I86" s="3" t="s">
        <v>7</v>
      </c>
      <c r="J86" s="3" t="s">
        <v>47</v>
      </c>
      <c r="K86" s="3" t="s">
        <v>59</v>
      </c>
      <c r="L86" s="3" t="s">
        <v>44</v>
      </c>
      <c r="M86">
        <v>1</v>
      </c>
    </row>
    <row r="87" spans="1:13" x14ac:dyDescent="0.25">
      <c r="A87" s="2">
        <v>46168</v>
      </c>
      <c r="B87" s="1" t="str">
        <f ca="1">IF(Información1[[#This Row],[Fecha]]='Ajuste de fechas'!$A$2,"Día actual","Día anterior")</f>
        <v>Día actual</v>
      </c>
      <c r="C87" s="3" t="s">
        <v>57</v>
      </c>
      <c r="D87" t="s">
        <v>58</v>
      </c>
      <c r="E87" s="3" t="s">
        <v>111</v>
      </c>
      <c r="F87" s="3" t="s">
        <v>53</v>
      </c>
      <c r="G87" s="3" t="s">
        <v>85</v>
      </c>
      <c r="H87" s="3" t="s">
        <v>11</v>
      </c>
      <c r="I87" s="3" t="s">
        <v>7</v>
      </c>
      <c r="J87" s="3" t="s">
        <v>43</v>
      </c>
      <c r="K87" s="3" t="s">
        <v>59</v>
      </c>
      <c r="L87" s="3" t="s">
        <v>46</v>
      </c>
      <c r="M87">
        <v>1</v>
      </c>
    </row>
    <row r="88" spans="1:13" x14ac:dyDescent="0.25">
      <c r="A88" s="2">
        <v>46168</v>
      </c>
      <c r="B88" s="1" t="str">
        <f ca="1">IF(Información1[[#This Row],[Fecha]]='Ajuste de fechas'!$A$2,"Día actual","Día anterior")</f>
        <v>Día actual</v>
      </c>
      <c r="C88" s="3" t="s">
        <v>57</v>
      </c>
      <c r="D88" t="s">
        <v>58</v>
      </c>
      <c r="E88" s="3" t="s">
        <v>112</v>
      </c>
      <c r="F88" s="3" t="s">
        <v>34</v>
      </c>
      <c r="G88" s="3" t="s">
        <v>97</v>
      </c>
      <c r="H88" s="3" t="s">
        <v>11</v>
      </c>
      <c r="I88" s="3" t="s">
        <v>7</v>
      </c>
      <c r="J88" s="3" t="s">
        <v>43</v>
      </c>
      <c r="K88" s="3" t="s">
        <v>59</v>
      </c>
      <c r="L88" s="3" t="s">
        <v>46</v>
      </c>
      <c r="M88">
        <v>1</v>
      </c>
    </row>
    <row r="89" spans="1:13" x14ac:dyDescent="0.25">
      <c r="A89" s="2">
        <v>46168</v>
      </c>
      <c r="B89" s="1" t="str">
        <f ca="1">IF(Información1[[#This Row],[Fecha]]='Ajuste de fechas'!$A$2,"Día actual","Día anterior")</f>
        <v>Día actual</v>
      </c>
      <c r="C89" s="3" t="s">
        <v>57</v>
      </c>
      <c r="D89" t="s">
        <v>58</v>
      </c>
      <c r="E89" s="3" t="s">
        <v>113</v>
      </c>
      <c r="F89" s="3" t="s">
        <v>53</v>
      </c>
      <c r="G89" s="3" t="s">
        <v>84</v>
      </c>
      <c r="H89" s="3" t="s">
        <v>11</v>
      </c>
      <c r="I89" s="3" t="s">
        <v>7</v>
      </c>
      <c r="J89" s="3" t="s">
        <v>43</v>
      </c>
      <c r="K89" s="3" t="s">
        <v>59</v>
      </c>
      <c r="L89" s="3" t="s">
        <v>46</v>
      </c>
      <c r="M89">
        <v>1</v>
      </c>
    </row>
    <row r="90" spans="1:13" x14ac:dyDescent="0.25">
      <c r="A90" s="2">
        <v>46168</v>
      </c>
      <c r="B90" s="1" t="str">
        <f ca="1">IF(Información1[[#This Row],[Fecha]]='Ajuste de fechas'!$A$2,"Día actual","Día anterior")</f>
        <v>Día actual</v>
      </c>
      <c r="C90" s="3" t="s">
        <v>57</v>
      </c>
      <c r="D90" t="s">
        <v>58</v>
      </c>
      <c r="E90" s="3" t="s">
        <v>114</v>
      </c>
      <c r="F90" s="3" t="s">
        <v>62</v>
      </c>
      <c r="G90" s="3" t="s">
        <v>103</v>
      </c>
      <c r="H90" s="3" t="s">
        <v>11</v>
      </c>
      <c r="I90" s="3" t="s">
        <v>7</v>
      </c>
      <c r="J90" s="3" t="s">
        <v>43</v>
      </c>
      <c r="K90" s="3" t="s">
        <v>59</v>
      </c>
      <c r="L90" s="3" t="s">
        <v>46</v>
      </c>
      <c r="M90">
        <v>1</v>
      </c>
    </row>
    <row r="91" spans="1:13" x14ac:dyDescent="0.25">
      <c r="A91" s="2">
        <v>46168</v>
      </c>
      <c r="B91" s="1" t="str">
        <f ca="1">IF(Información1[[#This Row],[Fecha]]='Ajuste de fechas'!$A$2,"Día actual","Día anterior")</f>
        <v>Día actual</v>
      </c>
      <c r="C91" s="3" t="s">
        <v>57</v>
      </c>
      <c r="D91" t="s">
        <v>58</v>
      </c>
      <c r="E91" s="3" t="s">
        <v>115</v>
      </c>
      <c r="F91" s="3" t="s">
        <v>116</v>
      </c>
      <c r="G91" s="3" t="s">
        <v>105</v>
      </c>
      <c r="H91" s="3" t="s">
        <v>11</v>
      </c>
      <c r="I91" s="3" t="s">
        <v>7</v>
      </c>
      <c r="J91" s="3" t="s">
        <v>43</v>
      </c>
      <c r="K91" s="3" t="s">
        <v>59</v>
      </c>
      <c r="L91" s="3" t="s">
        <v>46</v>
      </c>
      <c r="M91">
        <v>1</v>
      </c>
    </row>
    <row r="92" spans="1:13" x14ac:dyDescent="0.25">
      <c r="A92" s="2">
        <v>46168</v>
      </c>
      <c r="B92" s="1" t="str">
        <f ca="1">IF(Información1[[#This Row],[Fecha]]='Ajuste de fechas'!$A$2,"Día actual","Día anterior")</f>
        <v>Día actual</v>
      </c>
      <c r="C92" s="3" t="s">
        <v>57</v>
      </c>
      <c r="D92" t="s">
        <v>58</v>
      </c>
      <c r="E92" s="3" t="s">
        <v>117</v>
      </c>
      <c r="F92" s="3" t="s">
        <v>26</v>
      </c>
      <c r="G92" s="3" t="s">
        <v>63</v>
      </c>
      <c r="H92" s="3" t="s">
        <v>11</v>
      </c>
      <c r="I92" s="3" t="s">
        <v>12</v>
      </c>
      <c r="J92" s="3" t="s">
        <v>43</v>
      </c>
      <c r="K92" s="3" t="s">
        <v>59</v>
      </c>
      <c r="L92" s="3" t="s">
        <v>44</v>
      </c>
      <c r="M92">
        <v>1</v>
      </c>
    </row>
    <row r="93" spans="1:13" x14ac:dyDescent="0.25">
      <c r="A93" s="2">
        <v>46168</v>
      </c>
      <c r="B93" s="1" t="str">
        <f ca="1">IF(Información1[[#This Row],[Fecha]]='Ajuste de fechas'!$A$2,"Día actual","Día anterior")</f>
        <v>Día actual</v>
      </c>
      <c r="C93" s="3" t="s">
        <v>57</v>
      </c>
      <c r="D93" t="s">
        <v>58</v>
      </c>
      <c r="E93" s="3" t="s">
        <v>118</v>
      </c>
      <c r="F93" s="3" t="s">
        <v>119</v>
      </c>
      <c r="G93" s="3" t="s">
        <v>120</v>
      </c>
      <c r="H93" s="3" t="s">
        <v>11</v>
      </c>
      <c r="I93" s="3" t="s">
        <v>7</v>
      </c>
      <c r="J93" s="3" t="s">
        <v>43</v>
      </c>
      <c r="K93" s="3" t="s">
        <v>59</v>
      </c>
      <c r="L93" s="3" t="s">
        <v>46</v>
      </c>
      <c r="M93">
        <v>1</v>
      </c>
    </row>
    <row r="94" spans="1:13" x14ac:dyDescent="0.25">
      <c r="A94" s="2">
        <v>46168</v>
      </c>
      <c r="B94" s="1" t="str">
        <f ca="1">IF(Información1[[#This Row],[Fecha]]='Ajuste de fechas'!$A$2,"Día actual","Día anterior")</f>
        <v>Día actual</v>
      </c>
      <c r="C94" s="3" t="s">
        <v>55</v>
      </c>
      <c r="D94" t="s">
        <v>60</v>
      </c>
      <c r="E94" s="3" t="s">
        <v>121</v>
      </c>
      <c r="F94" s="3" t="s">
        <v>23</v>
      </c>
      <c r="G94" s="3" t="s">
        <v>122</v>
      </c>
      <c r="H94" s="3" t="s">
        <v>11</v>
      </c>
      <c r="I94" s="3" t="s">
        <v>25</v>
      </c>
      <c r="J94" s="3" t="s">
        <v>43</v>
      </c>
      <c r="K94" s="3" t="s">
        <v>56</v>
      </c>
      <c r="L94" s="3" t="s">
        <v>44</v>
      </c>
      <c r="M94">
        <v>1</v>
      </c>
    </row>
    <row r="95" spans="1:13" x14ac:dyDescent="0.25">
      <c r="A95" s="2">
        <v>46168</v>
      </c>
      <c r="B95" s="1" t="str">
        <f ca="1">IF(Información1[[#This Row],[Fecha]]='Ajuste de fechas'!$A$2,"Día actual","Día anterior")</f>
        <v>Día actual</v>
      </c>
      <c r="C95" s="3" t="s">
        <v>55</v>
      </c>
      <c r="D95" t="s">
        <v>60</v>
      </c>
      <c r="E95" s="3" t="s">
        <v>123</v>
      </c>
      <c r="F95" s="3" t="s">
        <v>6</v>
      </c>
      <c r="G95" s="3" t="s">
        <v>124</v>
      </c>
      <c r="H95" s="3" t="s">
        <v>11</v>
      </c>
      <c r="I95" s="3" t="s">
        <v>25</v>
      </c>
      <c r="J95" s="3" t="s">
        <v>43</v>
      </c>
      <c r="K95" s="3" t="s">
        <v>56</v>
      </c>
      <c r="L95" s="3" t="s">
        <v>44</v>
      </c>
      <c r="M95">
        <v>1</v>
      </c>
    </row>
    <row r="96" spans="1:13" x14ac:dyDescent="0.25">
      <c r="A96" s="2">
        <v>46168</v>
      </c>
      <c r="B96" s="1" t="str">
        <f ca="1">IF(Información1[[#This Row],[Fecha]]='Ajuste de fechas'!$A$2,"Día actual","Día anterior")</f>
        <v>Día actual</v>
      </c>
      <c r="C96" s="3" t="s">
        <v>55</v>
      </c>
      <c r="D96" t="s">
        <v>60</v>
      </c>
      <c r="E96" s="3" t="s">
        <v>125</v>
      </c>
      <c r="F96" s="3" t="s">
        <v>19</v>
      </c>
      <c r="G96" s="3" t="s">
        <v>126</v>
      </c>
      <c r="H96" s="3" t="s">
        <v>11</v>
      </c>
      <c r="I96" s="3" t="s">
        <v>7</v>
      </c>
      <c r="J96" s="3" t="s">
        <v>47</v>
      </c>
      <c r="K96" s="3" t="s">
        <v>56</v>
      </c>
      <c r="L96" s="3" t="s">
        <v>44</v>
      </c>
      <c r="M96">
        <v>1</v>
      </c>
    </row>
    <row r="97" spans="1:13" x14ac:dyDescent="0.25">
      <c r="A97" s="2">
        <v>46168</v>
      </c>
      <c r="B97" s="1" t="str">
        <f ca="1">IF(Información1[[#This Row],[Fecha]]='Ajuste de fechas'!$A$2,"Día actual","Día anterior")</f>
        <v>Día actual</v>
      </c>
      <c r="C97" s="3" t="s">
        <v>55</v>
      </c>
      <c r="D97" t="s">
        <v>60</v>
      </c>
      <c r="E97" s="3" t="s">
        <v>127</v>
      </c>
      <c r="F97" s="3" t="s">
        <v>26</v>
      </c>
      <c r="G97" s="3" t="s">
        <v>128</v>
      </c>
      <c r="H97" s="3" t="s">
        <v>11</v>
      </c>
      <c r="I97" s="3" t="s">
        <v>7</v>
      </c>
      <c r="J97" s="3" t="s">
        <v>43</v>
      </c>
      <c r="K97" s="3" t="s">
        <v>54</v>
      </c>
      <c r="L97" s="3" t="s">
        <v>44</v>
      </c>
      <c r="M97">
        <v>1</v>
      </c>
    </row>
    <row r="98" spans="1:13" x14ac:dyDescent="0.25">
      <c r="A98" s="2">
        <v>46168</v>
      </c>
      <c r="B98" s="1" t="str">
        <f ca="1">IF(Información1[[#This Row],[Fecha]]='Ajuste de fechas'!$A$2,"Día actual","Día anterior")</f>
        <v>Día actual</v>
      </c>
      <c r="C98" s="3" t="s">
        <v>55</v>
      </c>
      <c r="D98" t="s">
        <v>60</v>
      </c>
      <c r="E98" s="3" t="s">
        <v>113</v>
      </c>
      <c r="F98" s="3" t="s">
        <v>53</v>
      </c>
      <c r="G98" s="3" t="s">
        <v>84</v>
      </c>
      <c r="H98" s="3" t="s">
        <v>11</v>
      </c>
      <c r="I98" s="3" t="s">
        <v>7</v>
      </c>
      <c r="J98" s="3" t="s">
        <v>43</v>
      </c>
      <c r="K98" s="3" t="s">
        <v>54</v>
      </c>
      <c r="L98" s="3" t="s">
        <v>46</v>
      </c>
      <c r="M98">
        <v>1</v>
      </c>
    </row>
    <row r="99" spans="1:13" x14ac:dyDescent="0.25">
      <c r="A99" s="2">
        <v>46168</v>
      </c>
      <c r="B99" s="1" t="str">
        <f ca="1">IF(Información1[[#This Row],[Fecha]]='Ajuste de fechas'!$A$2,"Día actual","Día anterior")</f>
        <v>Día actual</v>
      </c>
      <c r="C99" s="3" t="s">
        <v>55</v>
      </c>
      <c r="D99" t="s">
        <v>60</v>
      </c>
      <c r="E99" s="3" t="s">
        <v>129</v>
      </c>
      <c r="F99" s="3" t="s">
        <v>21</v>
      </c>
      <c r="G99" s="3" t="s">
        <v>130</v>
      </c>
      <c r="H99" s="3" t="s">
        <v>11</v>
      </c>
      <c r="I99" s="3" t="s">
        <v>7</v>
      </c>
      <c r="J99" s="3" t="s">
        <v>43</v>
      </c>
      <c r="K99" s="3" t="s">
        <v>54</v>
      </c>
      <c r="L99" s="3" t="s">
        <v>131</v>
      </c>
      <c r="M99">
        <v>1</v>
      </c>
    </row>
    <row r="100" spans="1:13" x14ac:dyDescent="0.25">
      <c r="A100" s="2">
        <v>46168</v>
      </c>
      <c r="B100" s="1" t="str">
        <f ca="1">IF(Información1[[#This Row],[Fecha]]='Ajuste de fechas'!$A$2,"Día actual","Día anterior")</f>
        <v>Día actual</v>
      </c>
      <c r="C100" s="3" t="s">
        <v>55</v>
      </c>
      <c r="D100" t="s">
        <v>60</v>
      </c>
      <c r="E100" s="3" t="s">
        <v>132</v>
      </c>
      <c r="F100" s="3" t="s">
        <v>86</v>
      </c>
      <c r="G100" s="3" t="s">
        <v>133</v>
      </c>
      <c r="H100" s="3" t="s">
        <v>11</v>
      </c>
      <c r="I100" s="3" t="s">
        <v>7</v>
      </c>
      <c r="J100" s="3" t="s">
        <v>43</v>
      </c>
      <c r="K100" s="3" t="s">
        <v>54</v>
      </c>
      <c r="L100" s="3" t="s">
        <v>46</v>
      </c>
      <c r="M100">
        <v>1</v>
      </c>
    </row>
    <row r="101" spans="1:13" x14ac:dyDescent="0.25">
      <c r="A101" s="2">
        <v>46168</v>
      </c>
      <c r="B101" s="1" t="str">
        <f ca="1">IF(Información1[[#This Row],[Fecha]]='Ajuste de fechas'!$A$2,"Día actual","Día anterior")</f>
        <v>Día actual</v>
      </c>
      <c r="C101" s="3" t="s">
        <v>28</v>
      </c>
      <c r="D101" t="s">
        <v>30</v>
      </c>
      <c r="E101" s="3" t="s">
        <v>134</v>
      </c>
      <c r="F101" s="3" t="s">
        <v>24</v>
      </c>
      <c r="G101" s="3"/>
      <c r="H101" s="3" t="s">
        <v>11</v>
      </c>
      <c r="I101" s="3" t="s">
        <v>7</v>
      </c>
      <c r="J101" s="3" t="s">
        <v>24</v>
      </c>
      <c r="K101" s="3" t="s">
        <v>36</v>
      </c>
      <c r="L101" s="3" t="s">
        <v>44</v>
      </c>
      <c r="M101">
        <v>1</v>
      </c>
    </row>
    <row r="102" spans="1:13" x14ac:dyDescent="0.25">
      <c r="A102" s="2">
        <v>46168</v>
      </c>
      <c r="B102" s="1" t="str">
        <f ca="1">IF(Información1[[#This Row],[Fecha]]='Ajuste de fechas'!$A$2,"Día actual","Día anterior")</f>
        <v>Día actual</v>
      </c>
      <c r="C102" s="3" t="s">
        <v>28</v>
      </c>
      <c r="D102" t="s">
        <v>31</v>
      </c>
      <c r="E102" s="3" t="s">
        <v>135</v>
      </c>
      <c r="F102" s="3" t="s">
        <v>19</v>
      </c>
      <c r="G102" s="3"/>
      <c r="H102" s="3" t="s">
        <v>11</v>
      </c>
      <c r="I102" s="3" t="s">
        <v>7</v>
      </c>
      <c r="J102" s="3" t="s">
        <v>47</v>
      </c>
      <c r="K102" s="3" t="s">
        <v>29</v>
      </c>
      <c r="L102" s="3" t="s">
        <v>44</v>
      </c>
      <c r="M102">
        <v>1</v>
      </c>
    </row>
    <row r="103" spans="1:13" x14ac:dyDescent="0.25">
      <c r="A103" s="2">
        <v>46168</v>
      </c>
      <c r="B103" s="1" t="str">
        <f ca="1">IF(Información1[[#This Row],[Fecha]]='Ajuste de fechas'!$A$2,"Día actual","Día anterior")</f>
        <v>Día actual</v>
      </c>
      <c r="C103" s="3" t="s">
        <v>8</v>
      </c>
      <c r="D103" t="s">
        <v>10</v>
      </c>
      <c r="E103" s="3" t="s">
        <v>136</v>
      </c>
      <c r="F103" s="3" t="s">
        <v>6</v>
      </c>
      <c r="G103" s="3" t="s">
        <v>52</v>
      </c>
      <c r="H103" s="3" t="s">
        <v>11</v>
      </c>
      <c r="I103" s="3" t="s">
        <v>25</v>
      </c>
      <c r="J103" s="3" t="s">
        <v>43</v>
      </c>
      <c r="K103" s="3" t="s">
        <v>9</v>
      </c>
      <c r="L103" s="3" t="s">
        <v>45</v>
      </c>
      <c r="M103">
        <v>1</v>
      </c>
    </row>
    <row r="104" spans="1:13" x14ac:dyDescent="0.25">
      <c r="A104" s="2">
        <v>46168</v>
      </c>
      <c r="B104" s="1" t="str">
        <f ca="1">IF(Información1[[#This Row],[Fecha]]='Ajuste de fechas'!$A$2,"Día actual","Día anterior")</f>
        <v>Día actual</v>
      </c>
      <c r="C104" s="3" t="s">
        <v>8</v>
      </c>
      <c r="D104" t="s">
        <v>10</v>
      </c>
      <c r="E104" s="3" t="s">
        <v>137</v>
      </c>
      <c r="F104" s="3" t="s">
        <v>6</v>
      </c>
      <c r="G104" s="3" t="s">
        <v>52</v>
      </c>
      <c r="H104" s="3" t="s">
        <v>11</v>
      </c>
      <c r="I104" s="3" t="s">
        <v>25</v>
      </c>
      <c r="J104" s="3" t="s">
        <v>43</v>
      </c>
      <c r="K104" s="3" t="s">
        <v>9</v>
      </c>
      <c r="L104" s="3" t="s">
        <v>45</v>
      </c>
      <c r="M104">
        <v>1</v>
      </c>
    </row>
    <row r="105" spans="1:13" x14ac:dyDescent="0.25">
      <c r="A105" s="2">
        <v>46168</v>
      </c>
      <c r="B105" s="1" t="str">
        <f ca="1">IF(Información1[[#This Row],[Fecha]]='Ajuste de fechas'!$A$2,"Día actual","Día anterior")</f>
        <v>Día actual</v>
      </c>
      <c r="C105" s="3" t="s">
        <v>8</v>
      </c>
      <c r="D105" t="s">
        <v>10</v>
      </c>
      <c r="E105" s="3" t="s">
        <v>138</v>
      </c>
      <c r="F105" s="3" t="s">
        <v>6</v>
      </c>
      <c r="G105" s="3" t="s">
        <v>52</v>
      </c>
      <c r="H105" s="3" t="s">
        <v>11</v>
      </c>
      <c r="I105" s="3" t="s">
        <v>25</v>
      </c>
      <c r="J105" s="3" t="s">
        <v>43</v>
      </c>
      <c r="K105" s="3" t="s">
        <v>9</v>
      </c>
      <c r="L105" s="3" t="s">
        <v>45</v>
      </c>
      <c r="M105">
        <v>1</v>
      </c>
    </row>
    <row r="106" spans="1:13" x14ac:dyDescent="0.25">
      <c r="A106" s="2">
        <v>46168</v>
      </c>
      <c r="B106" s="1" t="str">
        <f ca="1">IF(Información1[[#This Row],[Fecha]]='Ajuste de fechas'!$A$2,"Día actual","Día anterior")</f>
        <v>Día actual</v>
      </c>
      <c r="C106" s="3" t="s">
        <v>28</v>
      </c>
      <c r="D106" t="s">
        <v>30</v>
      </c>
      <c r="E106" s="3" t="s">
        <v>139</v>
      </c>
      <c r="F106" s="3" t="s">
        <v>17</v>
      </c>
      <c r="G106" s="3" t="s">
        <v>74</v>
      </c>
      <c r="H106" s="3" t="s">
        <v>11</v>
      </c>
      <c r="I106" s="3" t="s">
        <v>25</v>
      </c>
      <c r="J106" s="3" t="s">
        <v>43</v>
      </c>
      <c r="K106" s="3" t="s">
        <v>36</v>
      </c>
      <c r="L106" s="3" t="s">
        <v>44</v>
      </c>
      <c r="M106">
        <v>1</v>
      </c>
    </row>
    <row r="107" spans="1:13" x14ac:dyDescent="0.25">
      <c r="A107" s="2">
        <v>46168</v>
      </c>
      <c r="B107" s="1" t="str">
        <f ca="1">IF(Información1[[#This Row],[Fecha]]='Ajuste de fechas'!$A$2,"Día actual","Día anterior")</f>
        <v>Día actual</v>
      </c>
      <c r="C107" s="3" t="s">
        <v>28</v>
      </c>
      <c r="D107" t="s">
        <v>31</v>
      </c>
      <c r="E107" s="3" t="s">
        <v>140</v>
      </c>
      <c r="F107" s="3" t="s">
        <v>17</v>
      </c>
      <c r="G107" s="3" t="s">
        <v>74</v>
      </c>
      <c r="H107" s="3" t="s">
        <v>11</v>
      </c>
      <c r="I107" s="3" t="s">
        <v>7</v>
      </c>
      <c r="J107" s="3" t="s">
        <v>43</v>
      </c>
      <c r="K107" s="3" t="s">
        <v>29</v>
      </c>
      <c r="L107" s="3" t="s">
        <v>44</v>
      </c>
      <c r="M107">
        <v>1</v>
      </c>
    </row>
    <row r="108" spans="1:13" x14ac:dyDescent="0.25">
      <c r="A108" s="2">
        <v>46168</v>
      </c>
      <c r="B108" s="1" t="str">
        <f ca="1">IF(Información1[[#This Row],[Fecha]]='Ajuste de fechas'!$A$2,"Día actual","Día anterior")</f>
        <v>Día actual</v>
      </c>
      <c r="C108" s="3" t="s">
        <v>28</v>
      </c>
      <c r="D108" t="s">
        <v>30</v>
      </c>
      <c r="E108" s="3" t="s">
        <v>139</v>
      </c>
      <c r="F108" s="3" t="s">
        <v>17</v>
      </c>
      <c r="G108" s="3" t="s">
        <v>87</v>
      </c>
      <c r="H108" s="3" t="s">
        <v>11</v>
      </c>
      <c r="I108" s="3" t="s">
        <v>25</v>
      </c>
      <c r="J108" s="3" t="s">
        <v>43</v>
      </c>
      <c r="K108" s="3" t="s">
        <v>36</v>
      </c>
      <c r="L108" s="3" t="s">
        <v>44</v>
      </c>
      <c r="M108">
        <v>1</v>
      </c>
    </row>
    <row r="109" spans="1:13" x14ac:dyDescent="0.25">
      <c r="A109" s="2">
        <v>46168</v>
      </c>
      <c r="B109" s="1" t="str">
        <f ca="1">IF(Información1[[#This Row],[Fecha]]='Ajuste de fechas'!$A$2,"Día actual","Día anterior")</f>
        <v>Día actual</v>
      </c>
      <c r="C109" s="3" t="s">
        <v>8</v>
      </c>
      <c r="D109" t="s">
        <v>10</v>
      </c>
      <c r="E109" s="3" t="s">
        <v>141</v>
      </c>
      <c r="F109" s="3" t="s">
        <v>17</v>
      </c>
      <c r="G109" s="3" t="s">
        <v>87</v>
      </c>
      <c r="H109" s="3" t="s">
        <v>11</v>
      </c>
      <c r="I109" s="3" t="s">
        <v>25</v>
      </c>
      <c r="J109" s="3" t="s">
        <v>43</v>
      </c>
      <c r="K109" s="3" t="s">
        <v>14</v>
      </c>
      <c r="L109" s="3" t="s">
        <v>45</v>
      </c>
      <c r="M109">
        <v>1</v>
      </c>
    </row>
    <row r="110" spans="1:13" x14ac:dyDescent="0.25">
      <c r="A110" s="2">
        <v>46168</v>
      </c>
      <c r="B110" s="1" t="str">
        <f ca="1">IF(Información1[[#This Row],[Fecha]]='Ajuste de fechas'!$A$2,"Día actual","Día anterior")</f>
        <v>Día actual</v>
      </c>
      <c r="C110" s="3" t="s">
        <v>28</v>
      </c>
      <c r="D110" t="s">
        <v>30</v>
      </c>
      <c r="E110" s="3" t="s">
        <v>142</v>
      </c>
      <c r="F110" s="3" t="s">
        <v>15</v>
      </c>
      <c r="G110" s="3" t="s">
        <v>80</v>
      </c>
      <c r="H110" s="3" t="s">
        <v>11</v>
      </c>
      <c r="I110" s="3" t="s">
        <v>7</v>
      </c>
      <c r="J110" s="3" t="s">
        <v>43</v>
      </c>
      <c r="K110" s="3" t="s">
        <v>36</v>
      </c>
      <c r="L110" s="3" t="s">
        <v>44</v>
      </c>
      <c r="M110">
        <v>1</v>
      </c>
    </row>
    <row r="111" spans="1:13" x14ac:dyDescent="0.25">
      <c r="A111" s="2">
        <v>46168</v>
      </c>
      <c r="B111" s="1" t="str">
        <f ca="1">IF(Información1[[#This Row],[Fecha]]='Ajuste de fechas'!$A$2,"Día actual","Día anterior")</f>
        <v>Día actual</v>
      </c>
      <c r="C111" s="3" t="s">
        <v>8</v>
      </c>
      <c r="D111" t="s">
        <v>10</v>
      </c>
      <c r="E111" s="3" t="s">
        <v>143</v>
      </c>
      <c r="F111" s="3" t="s">
        <v>17</v>
      </c>
      <c r="G111" s="3" t="s">
        <v>144</v>
      </c>
      <c r="H111" s="3" t="s">
        <v>11</v>
      </c>
      <c r="I111" s="3" t="s">
        <v>25</v>
      </c>
      <c r="J111" s="3" t="s">
        <v>43</v>
      </c>
      <c r="K111" s="3" t="s">
        <v>9</v>
      </c>
      <c r="L111" s="3" t="s">
        <v>45</v>
      </c>
      <c r="M111">
        <v>1</v>
      </c>
    </row>
    <row r="112" spans="1:13" x14ac:dyDescent="0.25">
      <c r="A112" s="2">
        <v>46168</v>
      </c>
      <c r="B112" s="1" t="str">
        <f ca="1">IF(Información1[[#This Row],[Fecha]]='Ajuste de fechas'!$A$2,"Día actual","Día anterior")</f>
        <v>Día actual</v>
      </c>
      <c r="C112" s="3" t="s">
        <v>28</v>
      </c>
      <c r="D112" t="s">
        <v>30</v>
      </c>
      <c r="E112" s="3" t="s">
        <v>145</v>
      </c>
      <c r="F112" s="3" t="s">
        <v>23</v>
      </c>
      <c r="G112" s="3" t="s">
        <v>146</v>
      </c>
      <c r="H112" s="3" t="s">
        <v>11</v>
      </c>
      <c r="I112" s="3" t="s">
        <v>25</v>
      </c>
      <c r="J112" s="3" t="s">
        <v>43</v>
      </c>
      <c r="K112" s="3" t="s">
        <v>36</v>
      </c>
      <c r="L112" s="3" t="s">
        <v>44</v>
      </c>
      <c r="M112">
        <v>1</v>
      </c>
    </row>
    <row r="113" spans="1:13" x14ac:dyDescent="0.25">
      <c r="A113" s="2">
        <v>46168</v>
      </c>
      <c r="B113" s="1" t="str">
        <f ca="1">IF(Información1[[#This Row],[Fecha]]='Ajuste de fechas'!$A$2,"Día actual","Día anterior")</f>
        <v>Día actual</v>
      </c>
      <c r="C113" s="3" t="s">
        <v>8</v>
      </c>
      <c r="D113" t="s">
        <v>10</v>
      </c>
      <c r="E113" s="3" t="s">
        <v>20</v>
      </c>
      <c r="F113" s="3" t="s">
        <v>19</v>
      </c>
      <c r="G113" s="3" t="s">
        <v>35</v>
      </c>
      <c r="H113" s="3" t="s">
        <v>11</v>
      </c>
      <c r="I113" s="3" t="s">
        <v>12</v>
      </c>
      <c r="J113" s="3" t="s">
        <v>47</v>
      </c>
      <c r="K113" s="3" t="s">
        <v>14</v>
      </c>
      <c r="L113" s="3" t="s">
        <v>45</v>
      </c>
      <c r="M113">
        <v>1</v>
      </c>
    </row>
    <row r="114" spans="1:13" x14ac:dyDescent="0.25">
      <c r="A114" s="2">
        <v>46168</v>
      </c>
      <c r="B114" s="1" t="str">
        <f ca="1">IF(Información1[[#This Row],[Fecha]]='Ajuste de fechas'!$A$2,"Día actual","Día anterior")</f>
        <v>Día actual</v>
      </c>
      <c r="C114" s="3" t="s">
        <v>8</v>
      </c>
      <c r="D114" t="s">
        <v>10</v>
      </c>
      <c r="E114" s="3" t="s">
        <v>18</v>
      </c>
      <c r="F114" s="3" t="s">
        <v>19</v>
      </c>
      <c r="G114" s="3" t="s">
        <v>35</v>
      </c>
      <c r="H114" s="3" t="s">
        <v>11</v>
      </c>
      <c r="I114" s="3" t="s">
        <v>12</v>
      </c>
      <c r="J114" s="3" t="s">
        <v>47</v>
      </c>
      <c r="K114" s="3" t="s">
        <v>14</v>
      </c>
      <c r="L114" s="3" t="s">
        <v>45</v>
      </c>
      <c r="M114">
        <v>1</v>
      </c>
    </row>
    <row r="115" spans="1:13" x14ac:dyDescent="0.25">
      <c r="A115" s="2">
        <v>46168</v>
      </c>
      <c r="B115" s="1" t="str">
        <f ca="1">IF(Información1[[#This Row],[Fecha]]='Ajuste de fechas'!$A$2,"Día actual","Día anterior")</f>
        <v>Día actual</v>
      </c>
      <c r="C115" s="3" t="s">
        <v>8</v>
      </c>
      <c r="D115" t="s">
        <v>10</v>
      </c>
      <c r="E115" s="3" t="s">
        <v>65</v>
      </c>
      <c r="F115" s="3" t="s">
        <v>21</v>
      </c>
      <c r="G115" s="3" t="s">
        <v>35</v>
      </c>
      <c r="H115" s="3" t="s">
        <v>11</v>
      </c>
      <c r="I115" s="3" t="s">
        <v>12</v>
      </c>
      <c r="J115" s="3" t="s">
        <v>43</v>
      </c>
      <c r="K115" s="3" t="s">
        <v>14</v>
      </c>
      <c r="L115" s="3" t="s">
        <v>45</v>
      </c>
      <c r="M115">
        <v>1</v>
      </c>
    </row>
    <row r="116" spans="1:13" x14ac:dyDescent="0.25">
      <c r="A116" s="2">
        <v>46168</v>
      </c>
      <c r="B116" s="1" t="str">
        <f ca="1">IF(Información1[[#This Row],[Fecha]]='Ajuste de fechas'!$A$2,"Día actual","Día anterior")</f>
        <v>Día actual</v>
      </c>
      <c r="C116" s="3" t="s">
        <v>8</v>
      </c>
      <c r="D116" t="s">
        <v>10</v>
      </c>
      <c r="E116" s="3" t="s">
        <v>13</v>
      </c>
      <c r="F116" s="3" t="s">
        <v>15</v>
      </c>
      <c r="G116" s="3" t="s">
        <v>35</v>
      </c>
      <c r="H116" s="3" t="s">
        <v>11</v>
      </c>
      <c r="I116" s="3" t="s">
        <v>12</v>
      </c>
      <c r="J116" s="3" t="s">
        <v>43</v>
      </c>
      <c r="K116" s="3" t="s">
        <v>14</v>
      </c>
      <c r="L116" s="3" t="s">
        <v>45</v>
      </c>
      <c r="M116">
        <v>1</v>
      </c>
    </row>
    <row r="117" spans="1:13" x14ac:dyDescent="0.25">
      <c r="A117" s="2">
        <v>46168</v>
      </c>
      <c r="B117" s="1" t="str">
        <f ca="1">IF(Información1[[#This Row],[Fecha]]='Ajuste de fechas'!$A$2,"Día actual","Día anterior")</f>
        <v>Día actual</v>
      </c>
      <c r="C117" s="3" t="s">
        <v>8</v>
      </c>
      <c r="D117" t="s">
        <v>10</v>
      </c>
      <c r="E117" s="3" t="s">
        <v>16</v>
      </c>
      <c r="F117" s="3" t="s">
        <v>17</v>
      </c>
      <c r="G117" s="3" t="s">
        <v>35</v>
      </c>
      <c r="H117" s="3" t="s">
        <v>11</v>
      </c>
      <c r="I117" s="3" t="s">
        <v>12</v>
      </c>
      <c r="J117" s="3" t="s">
        <v>43</v>
      </c>
      <c r="K117" s="3" t="s">
        <v>14</v>
      </c>
      <c r="L117" s="3" t="s">
        <v>45</v>
      </c>
      <c r="M117">
        <v>1</v>
      </c>
    </row>
    <row r="118" spans="1:13" x14ac:dyDescent="0.25">
      <c r="A118" s="2">
        <v>46168</v>
      </c>
      <c r="B118" s="1" t="str">
        <f ca="1">IF(Información1[[#This Row],[Fecha]]='Ajuste de fechas'!$A$2,"Día actual","Día anterior")</f>
        <v>Día actual</v>
      </c>
      <c r="C118" s="3" t="s">
        <v>8</v>
      </c>
      <c r="D118" t="s">
        <v>10</v>
      </c>
      <c r="E118" s="3" t="s">
        <v>66</v>
      </c>
      <c r="F118" s="3" t="s">
        <v>6</v>
      </c>
      <c r="G118" s="3" t="s">
        <v>35</v>
      </c>
      <c r="H118" s="3" t="s">
        <v>11</v>
      </c>
      <c r="I118" s="3" t="s">
        <v>12</v>
      </c>
      <c r="J118" s="3" t="s">
        <v>43</v>
      </c>
      <c r="K118" s="3" t="s">
        <v>14</v>
      </c>
      <c r="L118" s="3" t="s">
        <v>45</v>
      </c>
      <c r="M118">
        <v>1</v>
      </c>
    </row>
    <row r="119" spans="1:13" x14ac:dyDescent="0.25">
      <c r="A119" s="2">
        <v>46168</v>
      </c>
      <c r="B119" s="1" t="str">
        <f ca="1">IF(Información1[[#This Row],[Fecha]]='Ajuste de fechas'!$A$2,"Día actual","Día anterior")</f>
        <v>Día actual</v>
      </c>
      <c r="C119" s="3" t="s">
        <v>8</v>
      </c>
      <c r="D119" t="s">
        <v>10</v>
      </c>
      <c r="E119" s="3" t="s">
        <v>147</v>
      </c>
      <c r="F119" s="3" t="s">
        <v>19</v>
      </c>
      <c r="G119" s="3" t="s">
        <v>148</v>
      </c>
      <c r="H119" s="3" t="s">
        <v>11</v>
      </c>
      <c r="I119" s="3" t="s">
        <v>25</v>
      </c>
      <c r="J119" s="3" t="s">
        <v>47</v>
      </c>
      <c r="K119" s="3" t="s">
        <v>9</v>
      </c>
      <c r="L119" s="3" t="s">
        <v>45</v>
      </c>
      <c r="M119">
        <v>1</v>
      </c>
    </row>
    <row r="120" spans="1:13" x14ac:dyDescent="0.25">
      <c r="A120" s="2">
        <v>46168</v>
      </c>
      <c r="B120" s="1" t="str">
        <f ca="1">IF(Información1[[#This Row],[Fecha]]='Ajuste de fechas'!$A$2,"Día actual","Día anterior")</f>
        <v>Día actual</v>
      </c>
      <c r="C120" s="3" t="s">
        <v>28</v>
      </c>
      <c r="D120" t="s">
        <v>31</v>
      </c>
      <c r="E120" s="3" t="s">
        <v>149</v>
      </c>
      <c r="F120" s="3" t="s">
        <v>24</v>
      </c>
      <c r="G120" s="3" t="s">
        <v>150</v>
      </c>
      <c r="H120" s="3" t="s">
        <v>11</v>
      </c>
      <c r="I120" s="3" t="s">
        <v>7</v>
      </c>
      <c r="J120" s="3" t="s">
        <v>24</v>
      </c>
      <c r="K120" s="3" t="s">
        <v>29</v>
      </c>
      <c r="L120" s="3" t="s">
        <v>44</v>
      </c>
      <c r="M120">
        <v>1</v>
      </c>
    </row>
    <row r="121" spans="1:13" x14ac:dyDescent="0.25">
      <c r="A121" s="2">
        <v>46168</v>
      </c>
      <c r="B121" s="1" t="str">
        <f ca="1">IF(Información1[[#This Row],[Fecha]]='Ajuste de fechas'!$A$2,"Día actual","Día anterior")</f>
        <v>Día actual</v>
      </c>
      <c r="C121" s="3" t="s">
        <v>8</v>
      </c>
      <c r="D121" t="s">
        <v>10</v>
      </c>
      <c r="E121" s="3" t="s">
        <v>81</v>
      </c>
      <c r="F121" s="3" t="s">
        <v>82</v>
      </c>
      <c r="G121" s="3" t="s">
        <v>83</v>
      </c>
      <c r="H121" s="3" t="s">
        <v>11</v>
      </c>
      <c r="I121" s="3" t="s">
        <v>7</v>
      </c>
      <c r="J121" s="3" t="s">
        <v>43</v>
      </c>
      <c r="K121" s="3" t="s">
        <v>14</v>
      </c>
      <c r="L121" s="3" t="s">
        <v>46</v>
      </c>
      <c r="M121">
        <v>1</v>
      </c>
    </row>
    <row r="122" spans="1:13" x14ac:dyDescent="0.25">
      <c r="A122" s="2">
        <v>46168</v>
      </c>
      <c r="B122" s="1" t="str">
        <f ca="1">IF(Información1[[#This Row],[Fecha]]='Ajuste de fechas'!$A$2,"Día actual","Día anterior")</f>
        <v>Día actual</v>
      </c>
      <c r="C122" s="3" t="s">
        <v>28</v>
      </c>
      <c r="D122" t="s">
        <v>30</v>
      </c>
      <c r="E122" s="3" t="s">
        <v>151</v>
      </c>
      <c r="F122" s="3" t="s">
        <v>24</v>
      </c>
      <c r="G122" s="3" t="s">
        <v>91</v>
      </c>
      <c r="H122" s="3" t="s">
        <v>11</v>
      </c>
      <c r="I122" s="3" t="s">
        <v>7</v>
      </c>
      <c r="J122" s="3" t="s">
        <v>24</v>
      </c>
      <c r="K122" s="3" t="s">
        <v>36</v>
      </c>
      <c r="L122" s="3" t="s">
        <v>44</v>
      </c>
      <c r="M122">
        <v>1</v>
      </c>
    </row>
    <row r="123" spans="1:13" x14ac:dyDescent="0.25">
      <c r="A123" s="2">
        <v>46168</v>
      </c>
      <c r="B123" s="1" t="str">
        <f ca="1">IF(Información1[[#This Row],[Fecha]]='Ajuste de fechas'!$A$2,"Día actual","Día anterior")</f>
        <v>Día actual</v>
      </c>
      <c r="C123" s="3" t="s">
        <v>28</v>
      </c>
      <c r="D123" t="s">
        <v>31</v>
      </c>
      <c r="E123" s="3" t="s">
        <v>152</v>
      </c>
      <c r="F123" s="3" t="s">
        <v>26</v>
      </c>
      <c r="G123" s="3" t="s">
        <v>91</v>
      </c>
      <c r="H123" s="3" t="s">
        <v>11</v>
      </c>
      <c r="I123" s="3" t="s">
        <v>7</v>
      </c>
      <c r="J123" s="3" t="s">
        <v>43</v>
      </c>
      <c r="K123" s="3" t="s">
        <v>29</v>
      </c>
      <c r="L123" s="3" t="s">
        <v>44</v>
      </c>
      <c r="M123">
        <v>1</v>
      </c>
    </row>
    <row r="124" spans="1:13" x14ac:dyDescent="0.25">
      <c r="A124" s="2">
        <v>46168</v>
      </c>
      <c r="B124" s="1" t="str">
        <f ca="1">IF(Información1[[#This Row],[Fecha]]='Ajuste de fechas'!$A$2,"Día actual","Día anterior")</f>
        <v>Día actual</v>
      </c>
      <c r="C124" s="3" t="s">
        <v>28</v>
      </c>
      <c r="D124" t="s">
        <v>30</v>
      </c>
      <c r="E124" s="3" t="s">
        <v>153</v>
      </c>
      <c r="F124" s="3" t="s">
        <v>15</v>
      </c>
      <c r="G124" s="3" t="s">
        <v>154</v>
      </c>
      <c r="H124" s="3" t="s">
        <v>11</v>
      </c>
      <c r="I124" s="3" t="s">
        <v>7</v>
      </c>
      <c r="J124" s="3" t="s">
        <v>43</v>
      </c>
      <c r="K124" s="3" t="s">
        <v>36</v>
      </c>
      <c r="L124" s="3" t="s">
        <v>46</v>
      </c>
      <c r="M124">
        <v>1</v>
      </c>
    </row>
    <row r="125" spans="1:13" x14ac:dyDescent="0.25">
      <c r="A125" s="2">
        <v>46168</v>
      </c>
      <c r="B125" s="1" t="str">
        <f ca="1">IF(Información1[[#This Row],[Fecha]]='Ajuste de fechas'!$A$2,"Día actual","Día anterior")</f>
        <v>Día actual</v>
      </c>
      <c r="C125" s="3" t="s">
        <v>92</v>
      </c>
      <c r="D125" t="s">
        <v>93</v>
      </c>
      <c r="E125" s="3" t="s">
        <v>155</v>
      </c>
      <c r="F125" s="3" t="s">
        <v>15</v>
      </c>
      <c r="G125" s="3" t="s">
        <v>154</v>
      </c>
      <c r="H125" s="3" t="s">
        <v>11</v>
      </c>
      <c r="I125" s="3" t="s">
        <v>7</v>
      </c>
      <c r="J125" s="3" t="s">
        <v>43</v>
      </c>
      <c r="K125" s="3" t="s">
        <v>94</v>
      </c>
      <c r="L125" s="3" t="s">
        <v>46</v>
      </c>
      <c r="M125">
        <v>1</v>
      </c>
    </row>
    <row r="126" spans="1:13" x14ac:dyDescent="0.25">
      <c r="A126" s="2">
        <v>46168</v>
      </c>
      <c r="B126" s="1" t="str">
        <f ca="1">IF(Información1[[#This Row],[Fecha]]='Ajuste de fechas'!$A$2,"Día actual","Día anterior")</f>
        <v>Día actual</v>
      </c>
      <c r="C126" s="3" t="s">
        <v>8</v>
      </c>
      <c r="D126" t="s">
        <v>10</v>
      </c>
      <c r="E126" s="3" t="s">
        <v>156</v>
      </c>
      <c r="F126" s="3" t="s">
        <v>22</v>
      </c>
      <c r="G126" s="3" t="s">
        <v>88</v>
      </c>
      <c r="H126" s="3" t="s">
        <v>11</v>
      </c>
      <c r="I126" s="3" t="s">
        <v>7</v>
      </c>
      <c r="J126" s="3" t="s">
        <v>48</v>
      </c>
      <c r="K126" s="3" t="s">
        <v>14</v>
      </c>
      <c r="L126" s="3" t="s">
        <v>44</v>
      </c>
      <c r="M126">
        <v>1</v>
      </c>
    </row>
    <row r="127" spans="1:13" x14ac:dyDescent="0.25">
      <c r="A127" s="2">
        <v>46168</v>
      </c>
      <c r="B127" s="1" t="str">
        <f ca="1">IF(Información1[[#This Row],[Fecha]]='Ajuste de fechas'!$A$2,"Día actual","Día anterior")</f>
        <v>Día actual</v>
      </c>
      <c r="C127" s="3" t="s">
        <v>28</v>
      </c>
      <c r="D127" t="s">
        <v>30</v>
      </c>
      <c r="E127" s="3" t="s">
        <v>157</v>
      </c>
      <c r="F127" s="3" t="s">
        <v>19</v>
      </c>
      <c r="G127" s="3" t="s">
        <v>89</v>
      </c>
      <c r="H127" s="3" t="s">
        <v>11</v>
      </c>
      <c r="I127" s="3" t="s">
        <v>25</v>
      </c>
      <c r="J127" s="3" t="s">
        <v>47</v>
      </c>
      <c r="K127" s="3" t="s">
        <v>36</v>
      </c>
      <c r="L127" s="3" t="s">
        <v>44</v>
      </c>
      <c r="M127">
        <v>1</v>
      </c>
    </row>
    <row r="128" spans="1:13" x14ac:dyDescent="0.25">
      <c r="A128" s="2">
        <v>46168</v>
      </c>
      <c r="B128" s="1" t="str">
        <f ca="1">IF(Información1[[#This Row],[Fecha]]='Ajuste de fechas'!$A$2,"Día actual","Día anterior")</f>
        <v>Día actual</v>
      </c>
      <c r="C128" s="3" t="s">
        <v>28</v>
      </c>
      <c r="D128" t="s">
        <v>31</v>
      </c>
      <c r="E128" s="3" t="s">
        <v>158</v>
      </c>
      <c r="F128" s="3" t="s">
        <v>76</v>
      </c>
      <c r="G128" s="3" t="s">
        <v>70</v>
      </c>
      <c r="H128" s="3" t="s">
        <v>11</v>
      </c>
      <c r="I128" s="3" t="s">
        <v>25</v>
      </c>
      <c r="J128" s="3" t="s">
        <v>24</v>
      </c>
      <c r="K128" s="3" t="s">
        <v>29</v>
      </c>
      <c r="L128" s="3" t="s">
        <v>44</v>
      </c>
      <c r="M128">
        <v>1</v>
      </c>
    </row>
    <row r="129" spans="1:13" x14ac:dyDescent="0.25">
      <c r="A129" s="2">
        <v>46168</v>
      </c>
      <c r="B129" s="1" t="str">
        <f ca="1">IF(Información1[[#This Row],[Fecha]]='Ajuste de fechas'!$A$2,"Día actual","Día anterior")</f>
        <v>Día actual</v>
      </c>
      <c r="C129" s="3" t="s">
        <v>8</v>
      </c>
      <c r="D129" t="s">
        <v>10</v>
      </c>
      <c r="E129" s="3" t="s">
        <v>159</v>
      </c>
      <c r="F129" s="3" t="s">
        <v>6</v>
      </c>
      <c r="G129" s="3" t="s">
        <v>95</v>
      </c>
      <c r="H129" s="3" t="s">
        <v>11</v>
      </c>
      <c r="I129" s="3" t="s">
        <v>25</v>
      </c>
      <c r="J129" s="3" t="s">
        <v>43</v>
      </c>
      <c r="K129" s="3" t="s">
        <v>9</v>
      </c>
      <c r="L129" s="3" t="s">
        <v>45</v>
      </c>
      <c r="M129">
        <v>1</v>
      </c>
    </row>
    <row r="130" spans="1:13" x14ac:dyDescent="0.25">
      <c r="A130" s="2">
        <v>46168</v>
      </c>
      <c r="B130" s="1" t="str">
        <f ca="1">IF(Información1[[#This Row],[Fecha]]='Ajuste de fechas'!$A$2,"Día actual","Día anterior")</f>
        <v>Día actual</v>
      </c>
      <c r="C130" s="3" t="s">
        <v>8</v>
      </c>
      <c r="D130" t="s">
        <v>10</v>
      </c>
      <c r="E130" s="3" t="s">
        <v>71</v>
      </c>
      <c r="F130" s="3" t="s">
        <v>19</v>
      </c>
      <c r="G130" s="3" t="s">
        <v>72</v>
      </c>
      <c r="H130" s="3" t="s">
        <v>11</v>
      </c>
      <c r="I130" s="3" t="s">
        <v>25</v>
      </c>
      <c r="J130" s="3" t="s">
        <v>47</v>
      </c>
      <c r="K130" s="3" t="s">
        <v>9</v>
      </c>
      <c r="L130" s="3" t="s">
        <v>45</v>
      </c>
      <c r="M130">
        <v>1</v>
      </c>
    </row>
    <row r="131" spans="1:13" x14ac:dyDescent="0.25">
      <c r="A131" s="2">
        <v>46168</v>
      </c>
      <c r="B131" s="1" t="str">
        <f ca="1">IF(Información1[[#This Row],[Fecha]]='Ajuste de fechas'!$A$2,"Día actual","Día anterior")</f>
        <v>Día actual</v>
      </c>
      <c r="C131" s="3" t="s">
        <v>28</v>
      </c>
      <c r="D131" t="s">
        <v>30</v>
      </c>
      <c r="E131" s="3" t="s">
        <v>160</v>
      </c>
      <c r="F131" s="3" t="s">
        <v>24</v>
      </c>
      <c r="G131" s="3" t="s">
        <v>90</v>
      </c>
      <c r="H131" s="3" t="s">
        <v>11</v>
      </c>
      <c r="I131" s="3" t="s">
        <v>25</v>
      </c>
      <c r="J131" s="3" t="s">
        <v>24</v>
      </c>
      <c r="K131" s="3" t="s">
        <v>9</v>
      </c>
      <c r="L131" s="3" t="s">
        <v>45</v>
      </c>
      <c r="M131">
        <v>1</v>
      </c>
    </row>
    <row r="132" spans="1:13" x14ac:dyDescent="0.25">
      <c r="A132" s="2">
        <v>46168</v>
      </c>
      <c r="B132" s="1" t="str">
        <f ca="1">IF(Información1[[#This Row],[Fecha]]='Ajuste de fechas'!$A$2,"Día actual","Día anterior")</f>
        <v>Día actual</v>
      </c>
      <c r="C132" s="3" t="s">
        <v>28</v>
      </c>
      <c r="D132" t="s">
        <v>31</v>
      </c>
      <c r="E132" s="3" t="s">
        <v>161</v>
      </c>
      <c r="F132" s="3" t="s">
        <v>22</v>
      </c>
      <c r="G132" s="3" t="s">
        <v>61</v>
      </c>
      <c r="H132" s="3" t="s">
        <v>11</v>
      </c>
      <c r="I132" s="3" t="s">
        <v>7</v>
      </c>
      <c r="J132" s="3" t="s">
        <v>48</v>
      </c>
      <c r="K132" s="3" t="s">
        <v>29</v>
      </c>
      <c r="L132" s="3" t="s">
        <v>44</v>
      </c>
      <c r="M132">
        <v>1</v>
      </c>
    </row>
    <row r="133" spans="1:13" x14ac:dyDescent="0.25">
      <c r="A133" s="2">
        <v>46168</v>
      </c>
      <c r="B133" s="1" t="str">
        <f ca="1">IF(Información1[[#This Row],[Fecha]]='Ajuste de fechas'!$A$2,"Día actual","Día anterior")</f>
        <v>Día actual</v>
      </c>
      <c r="C133" s="3" t="s">
        <v>28</v>
      </c>
      <c r="D133" t="s">
        <v>31</v>
      </c>
      <c r="E133" s="3" t="s">
        <v>162</v>
      </c>
      <c r="F133" s="3" t="s">
        <v>77</v>
      </c>
      <c r="G133" s="3" t="s">
        <v>61</v>
      </c>
      <c r="H133" s="3" t="s">
        <v>11</v>
      </c>
      <c r="I133" s="3" t="s">
        <v>7</v>
      </c>
      <c r="J133" s="3" t="s">
        <v>43</v>
      </c>
      <c r="K133" s="3" t="s">
        <v>29</v>
      </c>
      <c r="L133" s="3" t="s">
        <v>44</v>
      </c>
      <c r="M133">
        <v>1</v>
      </c>
    </row>
    <row r="134" spans="1:13" x14ac:dyDescent="0.25">
      <c r="A134" s="2">
        <v>46168</v>
      </c>
      <c r="B134" s="1" t="str">
        <f ca="1">IF(Información1[[#This Row],[Fecha]]='Ajuste de fechas'!$A$2,"Día actual","Día anterior")</f>
        <v>Día actual</v>
      </c>
      <c r="C134" s="3" t="s">
        <v>28</v>
      </c>
      <c r="D134" t="s">
        <v>31</v>
      </c>
      <c r="E134" s="3" t="s">
        <v>163</v>
      </c>
      <c r="F134" s="3" t="s">
        <v>67</v>
      </c>
      <c r="G134" s="3" t="s">
        <v>61</v>
      </c>
      <c r="H134" s="3" t="s">
        <v>11</v>
      </c>
      <c r="I134" s="3" t="s">
        <v>7</v>
      </c>
      <c r="J134" s="3" t="s">
        <v>43</v>
      </c>
      <c r="K134" s="3" t="s">
        <v>29</v>
      </c>
      <c r="L134" s="3" t="s">
        <v>44</v>
      </c>
      <c r="M134">
        <v>1</v>
      </c>
    </row>
    <row r="135" spans="1:13" x14ac:dyDescent="0.25">
      <c r="A135" s="2">
        <v>46168</v>
      </c>
      <c r="B135" s="1" t="str">
        <f ca="1">IF(Información1[[#This Row],[Fecha]]='Ajuste de fechas'!$A$2,"Día actual","Día anterior")</f>
        <v>Día actual</v>
      </c>
      <c r="C135" s="3" t="s">
        <v>8</v>
      </c>
      <c r="D135" t="s">
        <v>10</v>
      </c>
      <c r="E135" s="3" t="s">
        <v>164</v>
      </c>
      <c r="F135" s="3" t="s">
        <v>22</v>
      </c>
      <c r="G135" s="3" t="s">
        <v>165</v>
      </c>
      <c r="H135" s="3" t="s">
        <v>11</v>
      </c>
      <c r="I135" s="3" t="s">
        <v>7</v>
      </c>
      <c r="J135" s="3" t="s">
        <v>48</v>
      </c>
      <c r="K135" s="3" t="s">
        <v>14</v>
      </c>
      <c r="L135" s="3" t="s">
        <v>44</v>
      </c>
      <c r="M135">
        <v>1</v>
      </c>
    </row>
    <row r="136" spans="1:13" x14ac:dyDescent="0.25">
      <c r="A136" s="2">
        <v>46168</v>
      </c>
      <c r="B136" s="1" t="str">
        <f ca="1">IF(Información1[[#This Row],[Fecha]]='Ajuste de fechas'!$A$2,"Día actual","Día anterior")</f>
        <v>Día actual</v>
      </c>
      <c r="C136" s="3" t="s">
        <v>28</v>
      </c>
      <c r="D136" t="s">
        <v>31</v>
      </c>
      <c r="E136" s="3" t="s">
        <v>166</v>
      </c>
      <c r="F136" s="3" t="s">
        <v>15</v>
      </c>
      <c r="G136" s="3" t="s">
        <v>103</v>
      </c>
      <c r="H136" s="3" t="s">
        <v>11</v>
      </c>
      <c r="I136" s="3" t="s">
        <v>7</v>
      </c>
      <c r="J136" s="3" t="s">
        <v>43</v>
      </c>
      <c r="K136" s="3" t="s">
        <v>29</v>
      </c>
      <c r="L136" s="3" t="s">
        <v>44</v>
      </c>
      <c r="M136">
        <v>1</v>
      </c>
    </row>
    <row r="137" spans="1:13" x14ac:dyDescent="0.25">
      <c r="A137" s="2">
        <v>46168</v>
      </c>
      <c r="B137" s="1" t="str">
        <f ca="1">IF(Información1[[#This Row],[Fecha]]='Ajuste de fechas'!$A$2,"Día actual","Día anterior")</f>
        <v>Día actual</v>
      </c>
      <c r="C137" s="3" t="s">
        <v>8</v>
      </c>
      <c r="D137" t="s">
        <v>10</v>
      </c>
      <c r="E137" s="3" t="s">
        <v>102</v>
      </c>
      <c r="F137" s="3" t="s">
        <v>62</v>
      </c>
      <c r="G137" s="3" t="s">
        <v>103</v>
      </c>
      <c r="H137" s="3" t="s">
        <v>11</v>
      </c>
      <c r="I137" s="3" t="s">
        <v>7</v>
      </c>
      <c r="J137" s="3" t="s">
        <v>43</v>
      </c>
      <c r="K137" s="3" t="s">
        <v>14</v>
      </c>
      <c r="L137" s="3" t="s">
        <v>46</v>
      </c>
      <c r="M137">
        <v>1</v>
      </c>
    </row>
    <row r="138" spans="1:13" x14ac:dyDescent="0.25">
      <c r="A138" s="2">
        <v>46168</v>
      </c>
      <c r="B138" s="1" t="str">
        <f ca="1">IF(Información1[[#This Row],[Fecha]]='Ajuste de fechas'!$A$2,"Día actual","Día anterior")</f>
        <v>Día actual</v>
      </c>
      <c r="C138" s="3" t="s">
        <v>8</v>
      </c>
      <c r="D138" t="s">
        <v>10</v>
      </c>
      <c r="E138" s="3" t="s">
        <v>167</v>
      </c>
      <c r="F138" s="3" t="s">
        <v>17</v>
      </c>
      <c r="G138" s="3" t="s">
        <v>64</v>
      </c>
      <c r="H138" s="3" t="s">
        <v>11</v>
      </c>
      <c r="I138" s="3" t="s">
        <v>25</v>
      </c>
      <c r="J138" s="3" t="s">
        <v>43</v>
      </c>
      <c r="K138" s="3" t="s">
        <v>9</v>
      </c>
      <c r="L138" s="3" t="s">
        <v>45</v>
      </c>
      <c r="M138">
        <v>1</v>
      </c>
    </row>
    <row r="139" spans="1:13" x14ac:dyDescent="0.25">
      <c r="A139" s="2">
        <v>46168</v>
      </c>
      <c r="B139" s="1" t="str">
        <f ca="1">IF(Información1[[#This Row],[Fecha]]='Ajuste de fechas'!$A$2,"Día actual","Día anterior")</f>
        <v>Día actual</v>
      </c>
      <c r="C139" s="3" t="s">
        <v>8</v>
      </c>
      <c r="D139" t="s">
        <v>10</v>
      </c>
      <c r="E139" s="3" t="s">
        <v>168</v>
      </c>
      <c r="F139" s="3" t="s">
        <v>17</v>
      </c>
      <c r="G139" s="3" t="s">
        <v>64</v>
      </c>
      <c r="H139" s="3" t="s">
        <v>11</v>
      </c>
      <c r="I139" s="3" t="s">
        <v>25</v>
      </c>
      <c r="J139" s="3" t="s">
        <v>43</v>
      </c>
      <c r="K139" s="3" t="s">
        <v>14</v>
      </c>
      <c r="L139" s="3" t="s">
        <v>45</v>
      </c>
      <c r="M139">
        <v>1</v>
      </c>
    </row>
    <row r="140" spans="1:13" x14ac:dyDescent="0.25">
      <c r="A140" s="2">
        <v>46168</v>
      </c>
      <c r="B140" s="1" t="str">
        <f ca="1">IF(Información1[[#This Row],[Fecha]]='Ajuste de fechas'!$A$2,"Día actual","Día anterior")</f>
        <v>Día actual</v>
      </c>
      <c r="C140" s="3" t="s">
        <v>28</v>
      </c>
      <c r="D140" t="s">
        <v>31</v>
      </c>
      <c r="E140" s="3" t="s">
        <v>169</v>
      </c>
      <c r="F140" s="3" t="s">
        <v>19</v>
      </c>
      <c r="G140" s="3" t="s">
        <v>170</v>
      </c>
      <c r="H140" s="3" t="s">
        <v>11</v>
      </c>
      <c r="I140" s="3" t="s">
        <v>25</v>
      </c>
      <c r="J140" s="3" t="s">
        <v>47</v>
      </c>
      <c r="K140" s="3" t="s">
        <v>29</v>
      </c>
      <c r="L140" s="3" t="s">
        <v>44</v>
      </c>
      <c r="M140">
        <v>1</v>
      </c>
    </row>
    <row r="141" spans="1:13" x14ac:dyDescent="0.25">
      <c r="A141" s="2">
        <v>46168</v>
      </c>
      <c r="B141" s="1" t="str">
        <f ca="1">IF(Información1[[#This Row],[Fecha]]='Ajuste de fechas'!$A$2,"Día actual","Día anterior")</f>
        <v>Día actual</v>
      </c>
      <c r="C141" s="3" t="s">
        <v>8</v>
      </c>
      <c r="D141" t="s">
        <v>10</v>
      </c>
      <c r="E141" s="3" t="s">
        <v>171</v>
      </c>
      <c r="F141" s="3" t="s">
        <v>119</v>
      </c>
      <c r="G141" s="3" t="s">
        <v>172</v>
      </c>
      <c r="H141" s="3" t="s">
        <v>11</v>
      </c>
      <c r="I141" s="3" t="s">
        <v>7</v>
      </c>
      <c r="J141" s="3" t="s">
        <v>43</v>
      </c>
      <c r="K141" s="3" t="s">
        <v>9</v>
      </c>
      <c r="L141" s="3" t="s">
        <v>45</v>
      </c>
      <c r="M141">
        <v>1</v>
      </c>
    </row>
    <row r="142" spans="1:13" x14ac:dyDescent="0.25">
      <c r="A142" s="2">
        <v>46168</v>
      </c>
      <c r="B142" s="1" t="str">
        <f ca="1">IF(Información1[[#This Row],[Fecha]]='Ajuste de fechas'!$A$2,"Día actual","Día anterior")</f>
        <v>Día actual</v>
      </c>
      <c r="C142" s="3" t="s">
        <v>28</v>
      </c>
      <c r="D142" t="s">
        <v>30</v>
      </c>
      <c r="E142" s="3" t="s">
        <v>173</v>
      </c>
      <c r="F142" s="3" t="s">
        <v>19</v>
      </c>
      <c r="G142" s="3" t="s">
        <v>73</v>
      </c>
      <c r="H142" s="3" t="s">
        <v>11</v>
      </c>
      <c r="I142" s="3" t="s">
        <v>7</v>
      </c>
      <c r="J142" s="3" t="s">
        <v>47</v>
      </c>
      <c r="K142" s="3" t="s">
        <v>36</v>
      </c>
      <c r="L142" s="3" t="s">
        <v>44</v>
      </c>
      <c r="M142">
        <v>1</v>
      </c>
    </row>
    <row r="143" spans="1:13" x14ac:dyDescent="0.25">
      <c r="A143" s="2">
        <v>46168</v>
      </c>
      <c r="B143" s="1" t="str">
        <f ca="1">IF(Información1[[#This Row],[Fecha]]='Ajuste de fechas'!$A$2,"Día actual","Día anterior")</f>
        <v>Día actual</v>
      </c>
      <c r="C143" s="3" t="s">
        <v>28</v>
      </c>
      <c r="D143" t="s">
        <v>31</v>
      </c>
      <c r="E143" s="3" t="s">
        <v>174</v>
      </c>
      <c r="F143" s="3" t="s">
        <v>26</v>
      </c>
      <c r="G143" s="3" t="s">
        <v>105</v>
      </c>
      <c r="H143" s="3" t="s">
        <v>11</v>
      </c>
      <c r="I143" s="3" t="s">
        <v>7</v>
      </c>
      <c r="J143" s="3" t="s">
        <v>43</v>
      </c>
      <c r="K143" s="3" t="s">
        <v>29</v>
      </c>
      <c r="L143" s="3" t="s">
        <v>44</v>
      </c>
      <c r="M143">
        <v>1</v>
      </c>
    </row>
    <row r="144" spans="1:13" x14ac:dyDescent="0.25">
      <c r="A144" s="2">
        <v>46168</v>
      </c>
      <c r="B144" s="1" t="str">
        <f ca="1">IF(Información1[[#This Row],[Fecha]]='Ajuste de fechas'!$A$2,"Día actual","Día anterior")</f>
        <v>Día actual</v>
      </c>
      <c r="C144" s="3" t="s">
        <v>8</v>
      </c>
      <c r="D144" t="s">
        <v>10</v>
      </c>
      <c r="E144" s="3" t="s">
        <v>104</v>
      </c>
      <c r="F144" s="3" t="s">
        <v>26</v>
      </c>
      <c r="G144" s="3" t="s">
        <v>105</v>
      </c>
      <c r="H144" s="3" t="s">
        <v>11</v>
      </c>
      <c r="I144" s="3" t="s">
        <v>7</v>
      </c>
      <c r="J144" s="3" t="s">
        <v>43</v>
      </c>
      <c r="K144" s="3" t="s">
        <v>14</v>
      </c>
      <c r="L144" s="3" t="s">
        <v>46</v>
      </c>
      <c r="M144">
        <v>1</v>
      </c>
    </row>
    <row r="145" spans="1:13" x14ac:dyDescent="0.25">
      <c r="A145" s="2">
        <v>46168</v>
      </c>
      <c r="B145" s="1" t="str">
        <f ca="1">IF(Información1[[#This Row],[Fecha]]='Ajuste de fechas'!$A$2,"Día actual","Día anterior")</f>
        <v>Día actual</v>
      </c>
      <c r="C145" s="3" t="s">
        <v>28</v>
      </c>
      <c r="D145" t="s">
        <v>31</v>
      </c>
      <c r="E145" s="3" t="s">
        <v>175</v>
      </c>
      <c r="F145" s="3" t="s">
        <v>22</v>
      </c>
      <c r="G145" s="3" t="s">
        <v>176</v>
      </c>
      <c r="H145" s="3" t="s">
        <v>11</v>
      </c>
      <c r="I145" s="3" t="s">
        <v>25</v>
      </c>
      <c r="J145" s="3" t="s">
        <v>48</v>
      </c>
      <c r="K145" s="3" t="s">
        <v>29</v>
      </c>
      <c r="L145" s="3" t="s">
        <v>44</v>
      </c>
      <c r="M145">
        <v>1</v>
      </c>
    </row>
    <row r="146" spans="1:13" x14ac:dyDescent="0.25">
      <c r="A146" s="2">
        <v>46168</v>
      </c>
      <c r="B146" s="1" t="str">
        <f ca="1">IF(Información1[[#This Row],[Fecha]]='Ajuste de fechas'!$A$2,"Día actual","Día anterior")</f>
        <v>Día actual</v>
      </c>
      <c r="C146" s="3" t="s">
        <v>28</v>
      </c>
      <c r="D146" t="s">
        <v>30</v>
      </c>
      <c r="E146" s="3" t="s">
        <v>177</v>
      </c>
      <c r="F146" s="3" t="s">
        <v>24</v>
      </c>
      <c r="G146" s="3" t="s">
        <v>69</v>
      </c>
      <c r="H146" s="3" t="s">
        <v>11</v>
      </c>
      <c r="I146" s="3" t="s">
        <v>7</v>
      </c>
      <c r="J146" s="3" t="s">
        <v>24</v>
      </c>
      <c r="K146" s="3" t="s">
        <v>36</v>
      </c>
      <c r="L146" s="3" t="s">
        <v>44</v>
      </c>
      <c r="M146">
        <v>1</v>
      </c>
    </row>
    <row r="147" spans="1:13" x14ac:dyDescent="0.25">
      <c r="A147" s="2">
        <v>46168</v>
      </c>
      <c r="B147" s="1" t="str">
        <f ca="1">IF(Información1[[#This Row],[Fecha]]='Ajuste de fechas'!$A$2,"Día actual","Día anterior")</f>
        <v>Día actual</v>
      </c>
      <c r="C147" s="3" t="s">
        <v>28</v>
      </c>
      <c r="D147" t="s">
        <v>30</v>
      </c>
      <c r="E147" s="3" t="s">
        <v>178</v>
      </c>
      <c r="F147" s="3" t="s">
        <v>68</v>
      </c>
      <c r="G147" s="3" t="s">
        <v>69</v>
      </c>
      <c r="H147" s="3" t="s">
        <v>11</v>
      </c>
      <c r="I147" s="3" t="s">
        <v>7</v>
      </c>
      <c r="J147" s="3" t="s">
        <v>24</v>
      </c>
      <c r="K147" s="3" t="s">
        <v>36</v>
      </c>
      <c r="L147" s="3" t="s">
        <v>44</v>
      </c>
      <c r="M147">
        <v>1</v>
      </c>
    </row>
    <row r="148" spans="1:13" x14ac:dyDescent="0.25">
      <c r="A148" s="2">
        <v>46168</v>
      </c>
      <c r="B148" s="1" t="str">
        <f ca="1">IF(Información1[[#This Row],[Fecha]]='Ajuste de fechas'!$A$2,"Día actual","Día anterior")</f>
        <v>Día actual</v>
      </c>
      <c r="C148" s="3" t="s">
        <v>28</v>
      </c>
      <c r="D148" t="s">
        <v>30</v>
      </c>
      <c r="E148" s="3" t="s">
        <v>179</v>
      </c>
      <c r="F148" s="3" t="s">
        <v>22</v>
      </c>
      <c r="G148" s="3" t="s">
        <v>75</v>
      </c>
      <c r="H148" s="3" t="s">
        <v>11</v>
      </c>
      <c r="I148" s="3" t="s">
        <v>25</v>
      </c>
      <c r="J148" s="3" t="s">
        <v>48</v>
      </c>
      <c r="K148" s="3" t="s">
        <v>36</v>
      </c>
      <c r="L148" s="3" t="s">
        <v>44</v>
      </c>
      <c r="M148">
        <v>1</v>
      </c>
    </row>
    <row r="149" spans="1:13" x14ac:dyDescent="0.25">
      <c r="A149" s="2">
        <v>46168</v>
      </c>
      <c r="B149" s="1" t="str">
        <f ca="1">IF(Información1[[#This Row],[Fecha]]='Ajuste de fechas'!$A$2,"Día actual","Día anterior")</f>
        <v>Día actual</v>
      </c>
      <c r="C149" s="3" t="s">
        <v>28</v>
      </c>
      <c r="D149" t="s">
        <v>31</v>
      </c>
      <c r="E149" s="3" t="s">
        <v>180</v>
      </c>
      <c r="F149" s="3" t="s">
        <v>53</v>
      </c>
      <c r="G149" s="3" t="s">
        <v>84</v>
      </c>
      <c r="H149" s="3" t="s">
        <v>11</v>
      </c>
      <c r="I149" s="3" t="s">
        <v>7</v>
      </c>
      <c r="J149" s="3" t="s">
        <v>43</v>
      </c>
      <c r="K149" s="3" t="s">
        <v>29</v>
      </c>
      <c r="L149" s="3" t="s">
        <v>44</v>
      </c>
      <c r="M149">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50</v>
      </c>
      <c r="B1" t="s">
        <v>51</v>
      </c>
    </row>
    <row r="2" spans="1:2" x14ac:dyDescent="0.25">
      <c r="A2" s="2">
        <f ca="1">TODAY()</f>
        <v>46168</v>
      </c>
      <c r="B2" s="2">
        <f ca="1">A2-1</f>
        <v>46167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2026-05-27T00:41:55Z</dcterms:modified>
</cp:coreProperties>
</file>