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9C8350B5-F992-4EF6-A079-611B0CDE430D}"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94" i="2" l="1"/>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22" i="2"/>
  <c r="B24" i="2"/>
  <c r="B26" i="2"/>
  <c r="B28" i="2"/>
  <c r="B30" i="2"/>
  <c r="B31" i="2"/>
  <c r="B33" i="2"/>
  <c r="B35" i="2"/>
  <c r="B37" i="2"/>
  <c r="B39" i="2"/>
  <c r="B41" i="2"/>
  <c r="B43" i="2"/>
  <c r="B45" i="2"/>
  <c r="B47" i="2"/>
  <c r="B50" i="2"/>
  <c r="B52" i="2"/>
  <c r="B54" i="2"/>
  <c r="B56" i="2"/>
  <c r="B58" i="2"/>
  <c r="B61" i="2"/>
  <c r="B63" i="2"/>
  <c r="B177" i="2"/>
  <c r="B179" i="2"/>
  <c r="B181" i="2"/>
  <c r="B184" i="2"/>
  <c r="B186" i="2"/>
  <c r="B188" i="2"/>
  <c r="B190" i="2"/>
  <c r="B64" i="2"/>
  <c r="B66" i="2"/>
  <c r="B68" i="2"/>
  <c r="B69" i="2"/>
  <c r="B70" i="2"/>
  <c r="B71" i="2"/>
  <c r="B72" i="2"/>
  <c r="B73" i="2"/>
  <c r="B74" i="2"/>
  <c r="B75" i="2"/>
  <c r="B76" i="2"/>
  <c r="B83" i="2"/>
  <c r="B85" i="2"/>
  <c r="B87" i="2"/>
  <c r="B89" i="2"/>
  <c r="B91" i="2"/>
  <c r="B93"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2" i="2"/>
  <c r="B3" i="2"/>
  <c r="B4" i="2"/>
  <c r="B5" i="2"/>
  <c r="B6" i="2"/>
  <c r="B7" i="2"/>
  <c r="B8" i="2"/>
  <c r="B9" i="2"/>
  <c r="B10" i="2"/>
  <c r="B11" i="2"/>
  <c r="B12" i="2"/>
  <c r="B13" i="2"/>
  <c r="B14" i="2"/>
  <c r="B15" i="2"/>
  <c r="B16" i="2"/>
  <c r="B17" i="2"/>
  <c r="B18" i="2"/>
  <c r="B19" i="2"/>
  <c r="B20" i="2"/>
  <c r="B21" i="2"/>
  <c r="B23" i="2"/>
  <c r="B25" i="2"/>
  <c r="B27" i="2"/>
  <c r="B29" i="2"/>
  <c r="B32" i="2"/>
  <c r="B34" i="2"/>
  <c r="B36" i="2"/>
  <c r="B38" i="2"/>
  <c r="B40" i="2"/>
  <c r="B42" i="2"/>
  <c r="B44" i="2"/>
  <c r="B46" i="2"/>
  <c r="B48" i="2"/>
  <c r="B49" i="2"/>
  <c r="B51" i="2"/>
  <c r="B53" i="2"/>
  <c r="B55" i="2"/>
  <c r="B57" i="2"/>
  <c r="B59" i="2"/>
  <c r="B60" i="2"/>
  <c r="B62" i="2"/>
  <c r="B176" i="2"/>
  <c r="B178" i="2"/>
  <c r="B180" i="2"/>
  <c r="B182" i="2"/>
  <c r="B183" i="2"/>
  <c r="B185" i="2"/>
  <c r="B187" i="2"/>
  <c r="B189" i="2"/>
  <c r="B65" i="2"/>
  <c r="B67" i="2"/>
  <c r="B77" i="2"/>
  <c r="B78" i="2"/>
  <c r="B79" i="2"/>
  <c r="B80" i="2"/>
  <c r="B81" i="2"/>
  <c r="B82" i="2"/>
  <c r="B84" i="2"/>
  <c r="B86" i="2"/>
  <c r="B88" i="2"/>
  <c r="B90" i="2"/>
  <c r="B92"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<sst xmlns="http://schemas.openxmlformats.org/spreadsheetml/2006/main" count="1905" uniqueCount="347">
  <si>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</si>
  <si>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</si>
  <si>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</si>
  <si>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</si>
  <si>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</si>
  <si>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</si>
  <si>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</si>
  <si>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</si>
  <si>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</si>
  <si>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</si>
  <si>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</si>
  <si>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</si>
  <si>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</si>
  <si>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</si>
  <si>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</si>
  <si>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</si>
  <si>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</si>
  <si>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</si>
  <si>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</si>
  <si>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</si>
  <si>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</si>
  <si>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</si>
  <si>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Congreso</t>
  </si>
  <si>
    <t>Presidencia</t>
  </si>
  <si>
    <t>SSPH</t>
  </si>
  <si>
    <t>SSH</t>
  </si>
  <si>
    <t>Otros</t>
  </si>
  <si>
    <t>Negativa</t>
  </si>
  <si>
    <t>Gobernador</t>
  </si>
  <si>
    <t>Luminarias</t>
  </si>
  <si>
    <t>Andrés Torres</t>
  </si>
  <si>
    <t>Ke Buena 106.7 FM</t>
  </si>
  <si>
    <t>David Cárdenas</t>
  </si>
  <si>
    <t>Noticias 106.7</t>
  </si>
  <si>
    <t>La Poderosa Tuxpan 93.1 FM</t>
  </si>
  <si>
    <t>Liz Argüelles</t>
  </si>
  <si>
    <t>NN Nuestras Noticias Zona Norte</t>
  </si>
  <si>
    <t>Turismo</t>
  </si>
  <si>
    <t>Súper Stéreo 100.5 FM</t>
  </si>
  <si>
    <t>Rodolfo López</t>
  </si>
  <si>
    <t>Enfoque Regional Meridiano</t>
  </si>
  <si>
    <t>Enfoque Regional Matutino</t>
  </si>
  <si>
    <t>TV Cable hidalguense Canal 6</t>
  </si>
  <si>
    <t>Juan Carlos Santamaria</t>
  </si>
  <si>
    <t>Contigo Noticias</t>
  </si>
  <si>
    <t>TV local</t>
  </si>
  <si>
    <t>Auxilio a la ciudadanía</t>
  </si>
  <si>
    <t>PGJEH</t>
  </si>
  <si>
    <t>Canal del Pueblo</t>
  </si>
  <si>
    <t>Vocales Radio</t>
  </si>
  <si>
    <t>Semarnath</t>
  </si>
  <si>
    <t>NQ 90.1 FM</t>
  </si>
  <si>
    <t>Jesús Riveros</t>
  </si>
  <si>
    <t>Enlace Hidalgo1</t>
  </si>
  <si>
    <t>Enlace Hidalgo2</t>
  </si>
  <si>
    <t>Radio Lobo 96.7 FM</t>
  </si>
  <si>
    <t>Planeación</t>
  </si>
  <si>
    <t>Ultra 102.9 FM</t>
  </si>
  <si>
    <t>Ultra Noticias1</t>
  </si>
  <si>
    <t>Daniel Martínez</t>
  </si>
  <si>
    <t>Eulalio Larrieta agradece a Carlos Gamiño por estar al pendiente de temas</t>
  </si>
  <si>
    <t>Iniciativa</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</si>
  <si>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</si>
  <si>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</si>
  <si>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</si>
  <si>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</si>
  <si>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</si>
  <si>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</si>
  <si>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</si>
  <si>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</si>
  <si>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</si>
  <si>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</si>
  <si>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</si>
  <si>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</si>
  <si>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</si>
  <si>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</si>
  <si>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</si>
  <si>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</si>
  <si>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</si>
  <si>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</si>
  <si>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</si>
  <si>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Prevención De Riesgos</t>
  </si>
  <si>
    <t>Combate Al Narcomenudeo</t>
  </si>
  <si>
    <t>Rehabilitación Vial</t>
  </si>
  <si>
    <t>Gusano barrenador</t>
  </si>
  <si>
    <t>Ambulantaje</t>
  </si>
  <si>
    <t>Concierto Sinfónico</t>
  </si>
  <si>
    <t>Becas De Posgrado</t>
  </si>
  <si>
    <t>Inclusión</t>
  </si>
  <si>
    <t>Carril confinado</t>
  </si>
  <si>
    <t>Detención</t>
  </si>
  <si>
    <t>Combate a la delincuencia</t>
  </si>
  <si>
    <t>Día del Niño</t>
  </si>
  <si>
    <t>Enlace Noticias</t>
  </si>
  <si>
    <t>Gina Lorenzo</t>
  </si>
  <si>
    <t>Fuga De Agua</t>
  </si>
  <si>
    <t>Capacitación</t>
  </si>
  <si>
    <t>Huracán Priscilla</t>
  </si>
  <si>
    <t>DIFH</t>
  </si>
  <si>
    <t>Entrevista pautada</t>
  </si>
  <si>
    <t>Recolección De Basura</t>
  </si>
  <si>
    <t>Radioescucha reporta que los semaforos que estan rumbo a Tulipanes por Chedraui, no funcioanan y eso puede causar un accidente</t>
  </si>
  <si>
    <t>Semaforización</t>
  </si>
  <si>
    <t>Zona Arqueológica</t>
  </si>
  <si>
    <t>Contraloría</t>
  </si>
  <si>
    <t>Atención Socioemocional</t>
  </si>
  <si>
    <t>Saderh</t>
  </si>
  <si>
    <t>STPSH</t>
  </si>
  <si>
    <t>Galardón</t>
  </si>
  <si>
    <t>Oferta educativa</t>
  </si>
  <si>
    <t>Eulalio Larrieta agradece a Edith Balderas de la Secretaria de Educación Pública.</t>
  </si>
  <si>
    <t>Centros asistenciales</t>
  </si>
  <si>
    <t>Combate Al Huachicol</t>
  </si>
  <si>
    <t>Desazolve</t>
  </si>
  <si>
    <t>Inatención</t>
  </si>
  <si>
    <t>Queja transporte público</t>
  </si>
  <si>
    <t>Tauromaquia</t>
  </si>
  <si>
    <t>Violencia Escolar</t>
  </si>
  <si>
    <t>Verificación vehicular</t>
  </si>
  <si>
    <t>Modernización Tuzobús</t>
  </si>
  <si>
    <t>Boletín 717: SSPH frena operaciones de punto de venta de narcóticos en el Valle del Mezquital</t>
  </si>
  <si>
    <t>Se registró un operativo policial en la comunidad de San Juan Tilcuautla, en el municipio de San Agustín Tlaxiaca, donde autoridades estatales aseguraron dos vehículos que transportaban contenedores con combustible.Según información oficialfue ubicada una camioneta tipo Suburban color azul, que contenía varios bidones con hidrocarburo.</t>
  </si>
  <si>
    <t>Sobre el tema del paro de labores por parte de transportistas que trabajan en la obra del canal Tlamaco – Juandho, el conductor Jesús Gonzalez comento: “Más que querer culpar a Conagua o a la Secretaría de Hacienda, habrá que revisar las empresas, tenemos entendido que las empresas deben ir solventando todo el proceso de la obra y hasta el final hacen hacen cuentas con la Conagua para que les pague lo que les debe. Las empresas están obligadas a pagarle a los trabajadores, por eso se realiza la licitación, pero las empresas están obligadas a eso, a tener un fondo para pagar”</t>
  </si>
  <si>
    <t>Plan Hídrico</t>
  </si>
  <si>
    <t>Integrantes del sindicato de transportistas realizaron un paro de labores como reclamo a los representantes de la empresa que realiza la obra del canal Tlamaco-Juandho , debido a la falta de pago durante más de siete semanas, dijeron que no es la primera vez que se retrasan en los pagos las empresas encargadas de las obras de los canales de riego. “Conagua dice que es cosa es de la Secretaría de Hacienda odos se echan la bolita y nosotros solo somos los afectados”. Los transportistas fueron escuchados por representantes de la empresa, quienes dijeron que no han recibido recurso económico por parte de la Conagua desde diciembre, AUDIO APOYO</t>
  </si>
  <si>
    <t>Luego del colapso del relleno sanitario regional de Tula de Allende, el presidente municipal Cristhian Evanivaldo Martínez Reséndiz informó que en aproximadamente tres meses se habilitará una nueva celda para la disposición de los residuos sólidos.El edil explicó que la operará la empresa Marsacto S.A de C.V, encargada también de la operación de residuos en la capital hidalguense, al cumplir con todos los requisitos y autorizaciones de la Secretaría de Medio Ambiente y Recursos Naturales del Estado de Hidalgo (Semarnath).El predio destinado para esta nueva celda, dijo, no se encuentra cercano a zonas habitadas ni colindante con ductos de Petróleos Mexicanos (Pemex) o instalaciones de la Comisión Federal de Electricidad (CFE)., AUDIO APOYO</t>
  </si>
  <si>
    <t>Relleno Sanitario</t>
  </si>
  <si>
    <t>La presidenta Claudia Sheinbaum anunció que el Tren Suburbano pasa de manos de privados al gobierno mexicano y tendrá el nombre “Felipe Ángeles”.Confirmó además la inaguración de un nuevo tramo este domingo, de Buenavista al Aeropuerto Internacional Felipe Ángeles (AIFA), AUDIO APOYO</t>
  </si>
  <si>
    <t>Tren AIFA</t>
  </si>
  <si>
    <t>Conductor Jesús González informó que, la presidenta Claudia Sheinbaum visitará el Estado de Hidalgo este fin de semana; supervisará la obra del tren AIFA-Pachuca en el municipio de Villa de Tezontepec. Además, se tiene previsto que visite los municipios de Singuilucan y Acaxochitlán.</t>
  </si>
  <si>
    <t>Visita Sheinbaum</t>
  </si>
  <si>
    <t>Entrevista vía telefónica Doctora Shanik Jayne Cahun Gama, directora de Políticas y Estrategias de la SSH - Habló sobre la reciente detección del primer caso de gusano barrenador en una persona, derivado de lo anterior, dio a conocer las medidas de prevención a poner en práctica para poder evitar contagios. En ese sentido, dijo, desde la SSH se está trabajando en coordinación con la Senasica y los municipios para prevenir o en su caso detectar a tiempo la propagación del gusano barrenador en animales</t>
  </si>
  <si>
    <t>Comenta conductor Jesús González que confirma Secretaría de Salud primer caso de gusano barrenador en humanos</t>
  </si>
  <si>
    <t>Boletín 15:SEGOBH fomenta Plan de Acción Municipal para la Prevención del Embarazo en Adolescentes</t>
  </si>
  <si>
    <t>Prevención De Embarazo Adolescente</t>
  </si>
  <si>
    <t>Boletín 294: “Voces pequeñas, raíces grandes”: niñas, niños y adolescentes del programa PILARES alzan la voz por sus comunidades en Hidalgo</t>
  </si>
  <si>
    <t>Pilares</t>
  </si>
  <si>
    <t>Boletín 33: Apoyos económicos agropecuarios fortalecen al campo hidalguense en 11 municipios, AUDIO APOYO</t>
  </si>
  <si>
    <t>Apoyo por catástrofes agropecuarias</t>
  </si>
  <si>
    <t>Boletín 28: Gobierno de Hidalgo acerca programas de apoyo a estudiantes del Iteshu, AUDIO APOYO</t>
  </si>
  <si>
    <t>Vía telefónica Doctora vía telefónica Doctora Shanik Jayne Cahun Gama, Directora de Políticas y Estrategias de Salud Pública, con el tema : Recomendaciones para prevenir contagio de Gusano barrenador</t>
  </si>
  <si>
    <t>Boletín 28: Gobierno de Hidalgo acerca programas de apoyo a estudiantes del Iteshu</t>
  </si>
  <si>
    <t>Derivado de los reportes recibidos sobre olor a gas LP en diferentes puntos de los municipios de Tetepango y Tezontepec de Aldama, las áreas de protección civil se encuentran realizando recorridos de inspección y monitoreo en los diferentes barrios colonias desde ayer por la tarde para localizar el origen y atender la situación de manera inmediata</t>
  </si>
  <si>
    <t>Déjeme platicarle, y seguramente usted tiene la mejor opinión. Usted conoce a sus hijos, a sus hijas. Usted conoce los entornos escolares en los que se están desarrollando.Ya las autoridades a nivel nacional lanzaron una alerta por una tendencia, un tren viral en plataformas digitales. Específicamente, una tendencia en TikTok sobre supuestas amenazas en escuelas con la frase, mañana tiroteo. Esta situación ha causado mucha alarma ya que son ya varias las escuelas en cuatro estados de la república que han entrado en alerta ante supuestas amenazas de tiroteos.Es Nuevo León, Tamaulipas, Sonora, Puebla e Hidalgo donde ya se presenta esta tendencia de que aparecen letreros alertando de que va a haber un tiroteo en esas instituciones públicas. Aquí en Hidalgo, autoridades de Tizayuca encendieron la alerta por la difusión de una falsa tendencia. Lamentablemente no sabemos si es falsa o en algún momento alguien sí vaya a cumplirla.Y es que la Secretaría de Seguridad Ciudadana informó que el pasado 20 de abril atendió reportes en la telesecundaria de Tepojaco tras amenazas en TikTok que advertían sobre un supuesto ataque armado. Sin embargo, se confirmó que todo se trató de una falsa alarma, de una broma. Una broma de muy mal gusto, por decirlo.Un caso similar también se registró en la secundaria Elisa Acuña Rosetti donde también circularon rumores sin fundamento que generaron temor entre la comunidad escolar. De acuerdo con la corporación, estas publicaciones forman parte de una tendencia viral internacional que busca provocar pánico sin que exista un riesgo real hasta el momento. Ante ello, se exhorta a madres y padres de familia a supervisar el uso de redes sociales,fomentar la comunicación con sus hijos y verificar cualquier información a través de fuentes oficiales para evitar desinformación y alarma innecesaria.Hasta el día de ayer solamente eran amenazas en redes sociales. Pero ayer se cancelaron clases en una escuela secundaria de San Salvador en la comunidad de Cerritos donde apareció un cartel al interior de los baños de esta secundaria donde decía mañana tiroteo el que venga es perplejo porque los vamos a matar. Se cancelaron clases, se está investigando, se están tomando las medidas necesarias, pero a ver, no es culpa de las autoridades, no es culpa de los administrativos</t>
  </si>
  <si>
    <t>Ayer en el Congreso del Estado, pues fue escenario de un diálogo intenso, innecesario, álgido en algunos momentos, ya que el bienestar y la protección animal frente a la llamada fiesta brava, pues es un tema que se está discutiendo en el Congreso. Especialistas, académicos, organizaciones civiles y ciudadanía analizaron desde lo técnico, científico, jurídico y social los distintos ángulos de esta discusión, las posturas son claras, pero también profundamente encontradas.</t>
  </si>
  <si>
    <t>En Mixquiahuala detienen a tres personas presuntamente dedicadas al narcomenudeo. La información con Joselyn Sánchez. Como resultado de labores de investigación e intervención inmediata, elementos de la División de Investigación de la Agencia de Investigación Criminal de la Procuraduría General de Justicia del Estado de Hidalgo detuvieron en Mixquiahuala de Juárez a tres personas presuntamente dedicadas al narcomenudeo.</t>
  </si>
  <si>
    <t>Personal del Instituto Nacional de Migración realizó un operativo en el municipio de El Arenal. Las acciones se llevaron a cabo sobre la carretera México-Laredo. El objetivo es detectar la presencia de personas en situación migratoria irregular. Hasta el momento no se reportan detenciones.</t>
  </si>
  <si>
    <t>Operativo migratorio</t>
  </si>
  <si>
    <t>¿Se acuerda de este líder de comerciantes que en muchas administraciones ha dado mucho de qué hablar? Pues ahora el Ayuntamiento Municipal de Pachuca liberó la Plaza Constitución y reubicó a los comerciantes ambulantes en un espacio digno junto al Mercado Benito Juárez. Pero el líder de la Federación de Organizaciones Independientes del Estado de Hidalgo, Oscar Pelcastre, señaló que ellos no aceptarán el lugar y quieren un mercado. Y a modo de protesta colocaron solo sus carpas por incumplimiento de los acuerdos que se tenían con el Gobierno Municipal de Pachuca desde administraciones pasadas. AUDIO DE APOYO</t>
  </si>
  <si>
    <t>Boletín 105: Confirma Secretaría de Salud primer caso de gusano barrenador en humanos</t>
  </si>
  <si>
    <t>El titular de la Secretaría de Seguridad y Protección Ciudadana, Omar García Hartfush, informó ayer que se desarticuló una poderosa red de huachicol, tras un operativo coordinado entre el Estado de México e Hidalgo, que dejó a siete personas detenidas, entre ellas el presunto líder del grupo. Derivado de labores de investigación, vigilancia y seguimiento continuo sobre esta organización, se logró identificar su estructura criminal, sus principales operadores y los patrones de operación que utilizaban. A partir de ello, se ubicaron diversos inmuebles empleados como centro de almacenamiento, trasvase y distribución ilícita, principalmente de gas LP, lo que permitió consolidar las líneas de investigación. Como parte de las investigaciones se ejecutaron 20 órdenes de cateo, distribuidas de la siguiente manera, 10 en el Estado de México y 10 en Hidalgo. Estas acciones permitieron ubicar inmuebles utilizados para el almacenamiento, distribución y operación del combustible de procedencia ilícita. Durante estas acciones se aseguraron más de 150 mil litros de hidrocarburos de gas LP, 61 pipas, 20 tanques de almacenamiento, 55 autotanques, 11 tractocamiones, vehículos, armamento, droga, dinero en efectivo, equipo de cómputo que la Fiscalía General de la República ya está analizando, dispositivos de almacenamiento, sistemas de videograbación y los inmuebles utilizados para estas actividades ilícitas. Con estas acciones se desarticuló este grupo criminal, dedicado principalmente al robo de gas LP, en los municipios , Jilotepec, Tepeji del Río, Apasco, Tula de Allende, Atotonilco de Tula y Cuautitlán Izcalli. Es importante destacar que esta célula tenía una capacidad de extracción estimada de hasta un millón y medio de litros de hidrocarburos por semana en la región. AUDIO APOYO</t>
  </si>
  <si>
    <t>Radioescucha reporta que en el Tecnológico de Pachuca no tenemos agua en los baños para los alumnos; urge una solución. Comenta conductora Jaqueline Servín, que hace un llamado a Caasim para que habiliten agua en el plantel educativo</t>
  </si>
  <si>
    <t>Abasto De Agua</t>
  </si>
  <si>
    <t>Radioescucha reporta que no tiene agua en la Plutarco Elías Calles, que marcaron y no contestaron, dijeron que pondrían servicio el pasado domingo y no tuvimos nada</t>
  </si>
  <si>
    <t>Sobre el reporte nuevamente de fuga de agua en calle Dorado, comentó el conductor Eulalio Larrieta que ese reporte ya se pasó varias veces, pero no sabe por qué no le dan atención.</t>
  </si>
  <si>
    <t>Radioescucha reporta que sigue fuga de agua en la banqueta la calle Dorado en Valle del Palmar.</t>
  </si>
  <si>
    <t>Radioescucha ¿Es verdad que mañana viernes van a realizar un bloqueo? Comenta conductora Jaqueline Servín que el grupo Voces H. Inocentes Mx, anunció que mañana 24 de abril a las 9:30 am se manifestarán en el Centro de Justicia para Mujeres en Pachuca, supuestamente es en contra de medios de comunicación.</t>
  </si>
  <si>
    <t>Manifestación informe</t>
  </si>
  <si>
    <t>Radioecucha agradece al personal de Caasim, ya fueron a checar lo de Paseo Chavarria</t>
  </si>
  <si>
    <t>Radioescucha comenta: “Hidalgo, realmente sí es primero el pueblo. ¿Cuándo llegan las nuevas unidades de la línea troncal?”. Comenta conductor que se supone que ya están llegando y en mayo ya van a iniciar.</t>
  </si>
  <si>
    <t>Elementos de la Secretaría de Seguridad Ciudadana de Mineral de la Reforma, detuvieron a una persona dedicada a la venta de aves protegidas sobre el bulevar Providencia, a la altura del fraccionamiento San Luis I.El hombre ofrecía dichas especies sin el permiso correspondiente, por lo que luego del reporte ciudadano ante el C5i que alertaba sobre la presencia del hombre, la policía municipal implementó un operativo para su localización.Al llegar, fue ubicada la persona quien se identificó con las iniciales J.L.Z.C., de 33 años de edad, y en ese momento tenía en su poder dos crías de aves de la especie psitácidos mexicanos, conocidos como pericos de frente naranja, los cuales están protegidos ante la Norma Oficial Mexicana 0-59 y los ofrecía a la venta.Al no acreditas la legal procedencia y documentos para la transportación de estas especies, el sujeto fue detenido y el aseguramientos de los dos ejemplares de aves, para ser puestos a disposición del Ministerio Público de la Fiscalía General de la República (FGR).</t>
  </si>
  <si>
    <t>La Secretaría de Seguridad Pública, Tránsito y Vialidad de Pachuca brindó atención a un ciudadano extranjero de 90 años de edad, quien acudió a las instalaciones de la corporación tras ser trasladado en un vehículo particular por un tercero.El masculino, identificado con las iniciales B.W.H. y de nacionalidad canadiense, solicitó apoyo al manifestar que presuntamente habría estado en una situación de restricción de su libertad en un domicilio ubicado en la zona de Carboneras, sin proporcionar mayores detalles. Asimismo, expresó su intención de regresar a su país de origen.Derivado de lo anterior, autoridades municipales establecieron contacto con la Embajada de Canadá y el Consulado en la Ciudad de México, quienes informaron que darían seguimiento al caso. El propio ciudadano confirmó su decisión de no presentar acciones legales.De acuerdo con su declaración, la persona señalada como presunta responsable habría sido su cuidadora en Canadá, motivo por el cual viajó a México con la intención de localizarla y retomar sus servicios.</t>
  </si>
  <si>
    <t>Radioescucha comenta: “Ojalá el señor gobernador lo escuche, para ver si se apiada de los ciudadanos, para que habilite el carril confinado al carril compartido para la salida a México, ya que todos los días se hacen hasta 40 minutos en un tramo corto de C. Doria al puente de Telléz”</t>
  </si>
  <si>
    <t>Vía telefónica, Arturo Gómez Canales, diputado con el tema trabajo legislativo. Habló de que en este momento va rumbo a una escuela en Tulancingo para inaugurar una biblioteca, la cual apoyamos con material didáctico. También se está muy activo en el congreso, ya que se subieron algunas iniciativas para jóvenes; se trabaja también en temas de salud, exhorto que se dio para las personas afectadas por la vaguada monzónica, la promoción de la vacuna de sarampión y pronto se subirá una iniciativa para los conductores de motocicleta.</t>
  </si>
  <si>
    <t>Trabajo legislativo</t>
  </si>
  <si>
    <t>El Instituto Mexicano del Seguro Social (IMSS) en Hidalgo hace un llamado a las mujeres que han iniciado su vida sexual a realizarse el Papanicolaou y prevenir cáncer cervicouterino.El Virus del Papiloma (VPH) es una infección de transmisión sexual muy común que puede afectar a la piel, la región genital y anal y la garganta. La mayoría de las personas sexualmente activas contraen este virus en algún momento de su vida, generalmente sin presentar síntomas.El titular de la Jefatura de Prestaciones Médicas del IMSS en Hidalgo, doctor Héctor Peña Dehesa, refirió que “el cáncer cervicouterino es curable si se detecta a tiempo; el papanicolaou es el único estudio para la detección oportuna de este padecimiento que, junto con el cáncer de mama, son una de las principales causas de muerte de las mujeres en México”.</t>
  </si>
  <si>
    <t>Prevención De Enfermedades</t>
  </si>
  <si>
    <t>Comenta el conductor Eulalio Larrieta que ojala den información sobre la casa hogar Ciudad de los Niños ya no funcionaba, y dicen que siguen llegando recursos, ropa y víveres a ese lugar y nos gustaría saber a dónde se va eso</t>
  </si>
  <si>
    <t>Radioescucha comenta que estuvo espectacular el concierto del dia de ayer de la Orquesta Filarmónica de Pachuca</t>
  </si>
  <si>
    <t>Comenta el conductor Eulalio Larrieta que el concierto de ayer que se llevó acabo en la Parroquia Basílica de Santa María de Guadalupe, por la Orquesta Filarmónica de Pachuca, en conjunto con el Coro de Pachuca y el Coro del Estado de Hidalgo, fue un éxito, gente parada y muy muy bonito</t>
  </si>
  <si>
    <t>Vía telefónica Doctora vía telefónica Doctora Shanik Jayne Cahun Gama, Directora de Políticas y Estrategias de Salud Pública, con el tema : Recomendaciones para contagio de Gusano barrenador. Dijo que es importante conocer la información para tomar acciones necesarias,esta situación del gusano barrenador se da en personas que tienen alguna lesión expuesta y que pueden estar en contacto con estas moscas o que tienen contacto con animales que tienen este tipo de problema. Es muy importante recomendarle a la población, no tener factores de riesgo; si vamos a estar en zonas donde hay animales, utilizar ropa holgada, manga larga, de preferencia no traer los pies descubiertos, una buena higiene, nuestro baño normal, cuidar las enfermedades de la piel. La única forma de contagio sería que si se tuviera una herida y que se tuviera contacto con estas moscas o con estas larvas. Si tienen alguna duda, se pueden acercar a cualquier unidad de salud pública , para recibir atención o si tienen sospecha o no o algún síntoma. Es muy importante no automedicarse.</t>
  </si>
  <si>
    <t>La Secretaría de Salud de Hidalgo, encabezada por Vanesa Escalante Arroyo, confirmó el primer caso detectado de miasis en humano por gusano barrenador en la entidad, registrado en un paciente masculino de 57 años, originario de Tenango de Doria, quien recibió atención médica especializada conforme a los protocolos establecidos.De acuerdo con la información clínica, el paciente presentaba una herida crónica no atendida, lo que favoreció el desarrollo de miasis.Tras la confirmación del caso este 22 de abril, la dependencia estatal activó de manera inmediata los protocolos de prevención y atención mediante acciones coordinadas de vigilancia epidemiológica, con el objetivo de contener riesgos y evitar nuevos contagios.</t>
  </si>
  <si>
    <t>La temporada de lluvias iniciará formalmente el próximo 15 de mayo y para reducir el riesgo de inundaciones y daños a la población, la Comisión Nacional del Agua (Conagua) hizo este martes un llamado urgente a las autoridades, empresas y a la ciudadanía para que no arrojen desechos sólidos en calles, coladeras, cauces ni orillas de ríos.Y es que objetos de gran tamaño como vehículos, colchones, sillones y refrigeradores obstruyen los sistemas de drenaje y desagüe.Mediante un comunicado informó que, como parte de las acciones preventivas, Conagua ha realizado en 2026 nueve operativos de limpieza y desazolve en los estados de Sonora, Jalisco, Guerrero, Tamaulipas e Hidalgo.</t>
  </si>
  <si>
    <t>El titular de la Secretaría de Seguridad y Protección Ciudadana (SSPC), Omar García Harfuch, informó que fue desarticulada una de las principales redes de contrabando de huachicol fiscal en el país, la cual operaba mediante empresas fachada, facturación falsa y simulación de operaciones comerciales.Durante una conferencia de prensa, el funcionario explicó que esta célula delincuencial se dedicaba al robo de gas LP en municipios del Estado de México e Hidalgo, como Jiquipilco, Polotitlán, Tepeji del Río, Tula de Allende, Atotonilco de Tula y Cuautitlán Izcalli. La organización tenía una capacidad de extracción de hasta un millón y medio de litros de hidrocarburo por semana, operando bajo un esquema integral que incluía la sustracción ilegal, traslado, almacenamiento y comercialización del combustible.Tras siete meses de labores de inteligencia, el Gabinete de Seguridad ejecutó un operativo con 20 órdenes de cateo. En 10 de los inmuebles asegurados se comercializaba combustible robado, principalmente en gaseras que funcionaban como puntos de venta al público</t>
  </si>
  <si>
    <t>Nacionales Conade</t>
  </si>
  <si>
    <t>Un hombre de 90 años, originario de Canadá, acudió a instalaciones de Seguridad Pública en Pachuca para solicitar apoyo, luego de señalar que presuntamente fue retenido en contra de su voluntad en un domicilio ubicado en la zona de Carboneras. El adulto mayor, identificado con las iniciales B.W.H., indicó a las autoridades que durante su estancia en la capital hidalguense vivió una situación que limitó su libertad, aunque no proporcionó más detalles sobre los hechos. Tras el reporte, autoridades municipales establecieron comunicación con la Embajada de Canadá y el consulado en la Ciudad de México, quienes asumieron el acompañamiento del ciudadano. El propio afectado decidió no presentar denuncia formal.</t>
  </si>
  <si>
    <t>Conalep Hidalgo fortalece vinculación con sector empresarial</t>
  </si>
  <si>
    <t>Vinculación Académica</t>
  </si>
  <si>
    <t>A una semana del desalojo de más de 200 vendedores informales de la Plaza Constitución, este miércoles comenzó la instalación de un grupo de comerciantes en un nuevo espacio ubicado a un costado del mercado Benito Juárez. Alrededor de 60 personas colocaron carpas y puestos, luego de permanecer varios días sin actividad comercial ni ingresos, lo que los llevó a ocupar esta zona para retomar sus ventas.Geazul Pelcastre González, representante de la OCTIH, explicó que la decisión de instalarse responde a la necesidad urgente de trabajar, tras permanecer cerca de siete días sin generar recursos. Ante este cambio, solicitó a las autoridades ajustar las rutas del transporte público para dirigirlas hacia este punto, ya que advirtió que la falta de afluencia de personas impactaría directamente en sus ventas. Señaló que aún hay comerciantes pendientes por incorporarse y que el espacio podría resultar limitado para todos los integrantes de organizaciones como la OCTIH y la FOIDEH. Para enfrentar esta situación, adelantó que se contempla establecer un esquema de rotación de días de trabajo, con el fin de que todos los afiliados tengan oportunidad de vender.</t>
  </si>
  <si>
    <t>A seis meses de la vaguada monzónica, la Secretaría de Infraestructura, Comunicaciones y Transportes (SICT) ya publicó la licitación del 80 % de la obra, misma que ya inició en tres municipios: La Misión, Nicolás Flores y San Bartolo Tutotepec. Así lo informó Pablo Octavio Olvera Sánchez, director general de esta dependencia federal en Hidalgo, quien recordó que el presupuesto federal para la reconstrucción asciende a más de 4 mil 900 millones de pesos, lo cual involucra 129 contratos. “Ya hay una cantidad importante de contratos en territorio, ya con fallo, con obras adjudicadas, ya está llegando la maquinaria y las empresas a diferentes puntos del estado”, dijo. Entre las obras se encuentra la intervención de 48 puentes: 20 nuevos y 28 serán rehabilitados, principalmente en la región de la Huasteca, aunque ninguno de estos es contratado todavía.</t>
  </si>
  <si>
    <t>La Secretaría de Seguridad y Protección Ciudadana (SSPC) informó la desarticulación de una de las principales redes de robo de hidrocarburos que dejó siete detenidos, aseguramientos millonarios y el decomiso de infraestructura clave tras siete meses de investigación. Omar García Harfuch, Secretario de Seguridad y Protección Ciudadana, detalló que el operativo, coordinado con la Fiscalía General de la República, permitió afectar las capacidades operativas y financieras de la organización dedicada al mercado ilícito de combustibles. El grupo criminal desarticulado se dedicaba principalmente al robo de gas LP en los municipios de Jiquipilco, Polotitlán, Tepeji del Río, Tula de Allende, Atotonilco de Tula y Cuautitlán Izcalli. “Es importante destacar que esta célula tenía una capacidad de extracción estimada de hasta un millón y medio de litros de hidrocarburo por semana en la región”, destacó Harfuch.</t>
  </si>
  <si>
    <t>En tres meses estará operando una nueva celda para el depósito y tratamiento final de la basura que se recolecta en Tula de Allende, confirmó el alcalde Cristhian Evanivaldo Reséndiz. La empresa operadora del nuevo espacio, que estará ubicado rumbo a la localidad de Teocalco, será Marsacot, encargada de recolectar la basura en Pachuca, así como de su tratamiento final en un predio ubicado en la localidad de El Huixmi, dentro de la misma capital del Estado de Hidalgo. El predio en mención, no está cerca de zonas habitadas ni de instalaciones de empresas o espacios estratégicos. Fue hace aproximadamente un mes cuando el espacio donde se depositaba la basura tanto de Tula de Allende, como de otros 14 municipios, colapsó, lo que impidió que siguiera brindando el servicio. “El actual relleno está colapsado, es una celda que cumplió su vida por eso es que no estamos tirando más en ese relleno y ya Semarnath tendrá que darle el seguimiento y lo que tenga que ver con el término de la vida de ese sitio”, enfatizó el alcalde de Tula.</t>
  </si>
  <si>
    <t>El gobierno de Tulancingo tiene considerados alrededor de 64 millones de pesos para realizar labores de rehabilitación de vialidades en varias zonas del municipio durante el presente año. La confirmación fue realizada por Armando Pérez Alcibar, Secretario de Desarrollo Urbano, Obras Públicas y Medio Ambiente, detallando parte de las obras a vialidades que se tienen consideradas para el 2026. Entre ellas la pavimentación en concreto hidráulico en La Morena, entre la zona de locales comerciales hasta llegar a la fuente, donde se registra una gran cantidad de tráfico vehicular. En Napateco se tienen consideradas tres rehabilitaciones de vialidades, una de ellas a partir de una farmacia de autoservicio, hacia calle arriba. Las otras dos ya programadas son sobre la calle Roberto Tello entre la calle principal hacia Haciendas de Napateco, así como en varias bocacalles, a partir del parque de la U. Otras zonas del municipio donde se tienen considerados trabajos de rehabilitación a vialidad son la calle Los Pinos, en la localidad de La Lagunilla; en la calle Cortina, de la colonia El Paraíso, así como la calle Miguel Allende, acceso a la biblioteca de Santa Ana Hueytlalpan.</t>
  </si>
  <si>
    <t>Hasta el momento el gobierno de Hidalgo no ha recibido petición para reforzar la seguridad en zonas arqueológicas, así como recintos culturales ubicados dentro de la entidad, señaló José Arturo Sosa Echeverría, Subsecretario estatal de Gobierno. Las declaraciones son ofrecidas luego de que el pasado lunes 20 de abril, un hombre disparara contra un grupo de turistas en la zona arqueológica de Teotihuacán, con saldo de una mujer fallecida y 8 lesionados, entre ellos un niño. El funcionario señaló que el reforzamiento de la seguridad es un tema que debe socializar la Secretaría de Cultura estatal, así como el Instituto Nacional de Antropología e Historia, para que el gobierno de Hidalgo establezca los apoyos a brindar en el tema de seguridad pública. En la entidad existen cuatro zonas arqueológicas: Tula de Allende; Huapalcalco, ubicada en Tulancingo; Xihuingo, dentro del municipio de Tepeapulco, así como El Pañhú en Tecozautla. Con excepción de Tula, los espacios arqueológicos se encuentran en zonas naturales, sobre todo cerros, por lo que no cuentan con acceso controlado de visitantes. Respecto a la seguridad para la población en general así como para turistas y visitantes que arriben al Estado de Hidalgo durante la celebración de la Copa Mundial de Futbol, señaló que está garantizado por medio de operativos ya diseñados.</t>
  </si>
  <si>
    <t>Refuezo de segiridad</t>
  </si>
  <si>
    <t>Las obras de mejora y rehabilitación en cuatro zonas arqueológicas de Hidalgo registran avances conforme a lo esperado para concluir las primeras semanas de mayo, como parte de las inversiones del gobierno federal de cara a la Copa Mundial FIFA 2026. Lo anterior fue informado por Manuel Villarruel Vázquez titular del Centro INAH Hidalgo, al referirse a los trabajos que se realizan en las zonas arqueológicas de Tula, Huapalcalco, El Pahñú y Xihuingo. En el caso de Tula, explicó que se llevan a cabo trabajos de restauración en elementos arqueológicos como los dos juegos de pelota, uno de ellos considerado el más grande de Mesoamérica. Así como el Palacio Quemado, la Columnata, la pirámide donde se ubican los Atlantes, así como la rehabilitación del techo y muro del Coatepantli; también se realizaron mejoras en el museo y áreas de atención al visitante, alcanzando el 70 por ciento de avance. En tanto, en Huapalcalco se reporta alrededor del 25 por ciento, en El Pahñú, del 35 por ciento y en Xihuingo, donde se ejecutan trabajos menores, del 7 por ciento. Las tareas se realizan con la participación de empresas especializadas, restauradores, arqueólogos y arquitectos. Villaruel Vázaquez detalló que la inversión federal destinada a estos proyectos es superior los ocho millones de pesos, siendo la Zona Arqueológica de Tula la que cuenta con el mayor recurso con más de cinco millones; Huapalcalco 1.7 millones.</t>
  </si>
  <si>
    <t>Daniel Martínez critica que el gentilicio de los habitantes de Santiago Tulantepec sea "Tulantepecanos", cuando llevan décadas diciéndoles "Santiaguenses" y esto habla de poquísimo respeto que tienen quienes están a cargo de la administración municipal de este municipio hacia sus habitantes al endilgarles un gentilicio que ni utilizan y que cree que no van utilizar, porque además de que se oye espantoso es difícil de pronunciar. Desde que se creó este municipio hace 80 años se les ha dicho "Santiaguenses" y ahí es donde está la identidad, no a partir de decretos que publican, que además deja ver la poquísima cultura que tienen las y los asambleístas municipales en donde hay una buena cantidad de maestras y maestros que quién sabe si leyeron lo que estaban aprobando para levantar la mano y decir que eso estaba mal o tal vez es más fácil estirar la mano para sus pagos quincenales. da lectura a la reseña de Abraham Ascencio sobre el cambio del gentilicio, quien califica esto como una ocurrencia.</t>
  </si>
  <si>
    <t>Decreto</t>
  </si>
  <si>
    <t>La circulación de mensajes en redes sociales con advertencias de supuestos ataques armados en escuelas provocó temor en diversos municipios de Hidalgo, especialmente en Tizayuca, donde autoridades pusieron en marcha operativos de seguridad para resguardar a la comunidad educativa. Los textos difundidos incluían frases como “mañana tiroteo”, lo que generó inquietud entre alumnos, maestros y padres de familia, derivando incluso en la suspensión de clases en algunos planteles como medida preventiva. Tras los reportes, corporaciones de seguridad desplegaron acciones de vigilancia, entre ellas monitoreo en plataformas digitales, con el fin de ubicar el origen de las publicaciones. De acuerdo con los primeros resultados de las investigaciones, los mensajes fueron emitidos desde cuentas de reciente creación y no corresponden a una amenaza real. Autoridades explicaron que este tipo de publicaciones forman parte de una tendencia detectada en redes sociales, replicada en distintos estados del país e incluso a nivel internacional, cuyo objetivo es generar miedo entre la población.</t>
  </si>
  <si>
    <t>Amenazas</t>
  </si>
  <si>
    <t>Vía telefónica el reporte de Bombero y Protección Civil con Abner Yáñez informa que se atendió un incendio forestal en la zona del Abra que afectó 11 hectáreas de matorral, magueyales y pasto seco. Asimismo, da el reporte de otros reportes que atendieron como incendios de pasto en lotes valdíos.</t>
  </si>
  <si>
    <t>Incendios forestales</t>
  </si>
  <si>
    <t>Tulancingo se convirtió este 22 de abril en un espacio de diálogo y compromiso con la inclusión, al realizarse el Foro Estatal de Derechos Humanos Inclusivos, un encuentro que reunió a autoridades, representantes de la sociedad civil, sector educativo y empresarial. Convocado por el orden estatal, el evento contó con la presencia del subsecretario de Gobierno, José Arturo Sosa Echeverría, y de la directora general de Derechos Humanos de la Secretaría de Gobierno del Estado de Hidalgo, Yanet Herrera Meneses, así como de la presidenta municipal, Lorena García Cázares, quien encabezó el foro como anfitriona. Durante el encuentro se destacó que Tulancingo lidera en inclusión, siendo el primer municipio del país en contar con una dirección que ofrece atención integral a personas con discapacidad y sus cuidadores. La presidenta Lorena García Cázares refrendó su compromiso con la igualdad, subrayando la necesidad de reformas educativas y sociales que eliminen barreras culturales y de aprendizaje, para garantizar oportunidades reales a todas las personas. El subsecretario de Gobierno, José Arturo Sosa Echeverría, resaltó que la inclusión y la igualdad de oportunidades ya se reflejan en diversos ámbitos, incluyendo el electoral, donde en Hidalgo actualmente 41 mujeres son titulares del ejecutivo municipal, ocupando espacios de decisión importantes.</t>
  </si>
  <si>
    <t>Autoridades de salud en Hidalgo confirmaron el primer caso de miasis en una persona, provocado por el gusano barrenador. Se trata de un hombre de 57 años, originario del municipio de Tenango de Doria, quien ya recibe atención médica bajo los lineamientos establecidos. Tras este hecho, se realizó la Segunda Sesión Extraordinaria del Consejo de Salud del Estado de Hidalgo 2026, donde se acordó reforzar las acciones de prevención y control con la participación de instancias de los tres niveles de gobierno, así como de distintos sectores involucrados. Durante el encuentro se contó con la presencia de organismos federales como el Servicio Nacional de Sanidad, Inocuidad y Calidad Agroalimentaria, además de dependencias estatales, instituciones de salud, hospitales privados y colegios de médicos veterinarios, quienes colaboran en la estrategia para contener esta enfermedad. Las autoridades destacaron la importancia de la coordinación interinstitucional para enfrentar este problema sanitario y reducir riesgos para la población.</t>
  </si>
  <si>
    <t>La alcaldesa de Tulancingo, Lorena García Cázares, señaló que hasta el momento no ha recibido notificación por parte de alguna autoridad ministerial, por el presunto delito de peculado. Lo anterior luego de que la semana pasada, el Síndico Hacendario municipal, Pedro Hiram Soto Márquez, señalara en rueda de prensa que había detectado un esquema de supuesta entrega de apoyos sociales que fueron entregados en efectivo. En dicho esquema estarían implicados por lo menos siete asambleístas municipales que habrían recibido los recursos económicos a través de otras personas. Soto Márquez señaló que por ello presentó una denuncia ante el Órgano de Control Interno municipal, así como ante la Auditoría Superior del Estado de Hidalgo. Así como una denuncia ante la Fiscalía Especializada en delitos Contra la Corrupción, dependiente de la Procuraduría General de Justicia del Estado de Hidalgo, quedando asentado bajó el número de carpeta 12-2026-4645, por el posible delito de peculado hacia quien resulte responsable. Al respecto, la alcaldesa García Cázares afirmó que hasta el momento no ha recibido notificación alguna por parte de alguna autoridad ministerial, enfatizando que se encuentra tranquila.</t>
  </si>
  <si>
    <t>Desvío de recursos</t>
  </si>
  <si>
    <t>En cabina la diputada federal de Morena por el Distrito 7 Tepeapulco, Mirna Rubio habla de su trabajo legislativo. Destaca que ha presentado 26 iniciativas, de las cuales 4 han sido dictaminadas como el tema de considerar a los animales como seres sintientes. Señaló que se espera un aumento salarial a los maestros, labor por la que se ha trabajado. Sobre la desafiliación de Sergio Hernández del Partido Nueva Alianza, dijo que reconoce su trabajo, pero tendrá sus razones.</t>
  </si>
  <si>
    <t>Mañana el SNTE Sección 15 realizará el festejo por el Día de la educadora y seguramente estará prsente el gobernador Julio Menchaca.</t>
  </si>
  <si>
    <t>Día de la educadora</t>
  </si>
  <si>
    <t>Ayer en el Congreso se pronunciaron sobre el retiro del comodato del inmueble que ocupaba la Fundación Arturo Herrera Cabañas. Hubo opiniones a favor y en contra. Parece que esto se va ir a tribunales .</t>
  </si>
  <si>
    <t>Fundación Arturo Herrera</t>
  </si>
  <si>
    <t>“Voces pequeñas, raíces grandes”: niñas, niños y adolescentes del programa PILARES alzan la voz por sus comunidades en Hidalgo</t>
  </si>
  <si>
    <t>La presidenta municipal de Tepeji del Río, Tania Valdez ya hizo declaraciones sobe sus aspiraciones para las próximas elecciones.</t>
  </si>
  <si>
    <t>Aspirantes</t>
  </si>
  <si>
    <t>UPE recibe Mención Honorífica en el Premio de Excelencia Dual 2026</t>
  </si>
  <si>
    <t>Educación dual</t>
  </si>
  <si>
    <t>Detectan primer caso de miasis humana en Hidalgo</t>
  </si>
  <si>
    <t>La presidenta de México, Claudia Sheinbaum estará en Hidalgo el viernes en Villa de Tezontepec para supervisar las obras del tren Pachuca -IFA. Más tarde se trasladará a Singuilucan para asistir a una conferencia en el Cecyteh y aún no está confirmado pero se habla de que el sábado estará en la capital hidalguense por temas del deporte.</t>
  </si>
  <si>
    <t>Locutor Jesús Riveros informó que, la presidenta Claudia Sheinbaum visitará el Estado de Hidalgo este fin de semana; supervisará la obra del tren AIFA-Pachuca en el municipio de Villa de Tezontepec. Además, se tiene previsto que visite los municipios de Singuilucan y Acaxochitlán.</t>
  </si>
  <si>
    <t>El avance y próxima terminación de la segunda etapa de la pavimentación hidráulica en la carretera Cuautepec–Tulancingo es resultado de un trabajo coordinado entre el Gobierno del Estado, el gobierno municipal de Cuautepec de Hinojosa y la ciudadanía, quienes han sumado esfuerzos para mejorar la infraestructura vial en beneficio de la población, señaló el alcalde Jorge Hernández Araus. En enlace directo con medios de comunicación, el presidente cuautepequense recalcó que, a través de esta colaboración interinstitucional, se han establecido canales de diálogo permanentes que permiten atender de manera oportuna las inquietudes de la ciudadanía, priorizando el bienestar de quienes transitan y habitan en la zona. La participación activa de vecinas y vecinos ha sido fundamental para fortalecer el desarrollo de esta obra, generando un intercambio abierto y constructivo entre todas las partes involucradas. En este sentido, las autoridades estatales y municipales desde sus diferentes trincheras han brindado atención puntual, acompañamiento y seguimiento a las necesidades planteadas por la población, garantizando que cada voz sea escuchada y considerada en la toma de decisiones. Tal como se dio a conocer en una reciente reunión vecinal, la construcción de acuerdos y la implementación de estrategias conjuntas han permitido avanzar de manera ordenada y eficiente en los trabajos de esta importante vialidad, que muy pronto estarás concluida y responderá así a las necesidades reales de la comunidad. "Pasaron muchísimos años para que Cuautepec fuera volteado a ver, para que nos tomaran en cuenta en algo tan indispensable como lo es esa carretera, sin duda la vida de los y las cuautepequenses se transformará con una vialidad que pronto será una realidad", subrayó Araus.</t>
  </si>
  <si>
    <t>Rehabilitación carretera</t>
  </si>
  <si>
    <t>Un hombre de origen canadiense, identificado con las iniciales B. W. H., de 90 años de edad, solicitó apoyo de la Policía Municipal de Pachuca, luego de informar que se encontraba retenido contra su voluntad en el municipio de Mineral de la Reforma, donde una mujer, quien había sido su cuidadora en Canadá, también tenía el control de su dinero. Se informó que el ciudadano canadiense fue trasladado en automóvil a las oficinas de la Secretaría de seguridad pública, por una tercera persona. En el lugar denunció que se encontraba privado de su libertad en un domicilio ubicado en la zona de Carboneras; sin embargo, no pudo proporcionar mayores datos del lugar. Durante su entrevista con los agentes de seguridad, destacó que la persona que lo mantenía bajo restricción de su libertad había sido su cuidadora en su país de origen. El hombre recibió atención por parte de la corporación policiaca, la cual estableció enlace con la embajada de Canadá y el consulado en la Ciudad de México, quienes brindaron acompañamiento, luego de que él manifestara su decisión de no proceder legalmente. Asimismo, se indicó que la representación diplomática canceló las cuentas que se encontraban bajo control de la cuidadora y se programó el retorno de B. W. H. a su país de origen. También se informó que fue trasladado a la Ciudad de México, donde ingresó a una casa de resguardo designada por la embajada, en tanto se da continuidad a su traslado. La situación quedó bajo atención de la representación consular y en apego a los protocolos de asistencia internacional.</t>
  </si>
  <si>
    <t>Elementos de la Secretaría de Seguridad Pública, Tránsito y Vialidad de Pachuca realizaron la detención de un masculino de 21 años, identificado con las iniciales E.I.D.T., originario de la Ciudad de México, luego de ser detectado circulando en motocicleta sin luces y sin casco de seguridad en la colonia Santa Julia. Durante la intervención, los oficiales observaron que el conductor transitaba a bordo de una motocicleta marca Italika FT150, color negro con verde, con placas del estado de Hidalgo, incumpliendo con las medidas básicas de seguridad vial. Al realizar la inspección correspondiente y consultar sus datos en Plataforma México, se confirmó que el individuo contaba con un mandamiento vigente emitido por autoridades de la Ciudad de México por el delito de robo agravado. Tras el hallazgo, se estableció coordinación con la Policía de Investigación de la Ciudad de México para dar continuidad al procedimiento legal.</t>
  </si>
  <si>
    <t>La presidenta municipal de Tulancingo, Lorena García Cázares, se pronunció respecto a la denuncia presentada el pasado 15 de abril por el síndico procurador hacendario, Pedro Hiram Soto Márquez, en la que señala manejos irregulares dentro de la administración pública municipal. El síndico procurador hacendario dio a conocer ante medios que, derivado de la inspección y vigilancia del uso de los recursos financieros y patrimoniales del ayuntamiento, identificó anomalías administrativas en el ejercicio del gasto público, al respecto la alcaldesa indicó que su postura se mantiene firme en actuar con cautela y respeto a los procesos legales en curso, evitando cualquier intervención que pudiera entorpecer el desarrollo de las investigaciones. “Todo se mantiene como tiene que estar para no interferir en situaciones legales”, expresó, al tiempo que reiteró que la información relacionada con el caso debe manejarse con discreción para evitar confusiones o interpretaciones erróneas. En ese sentido, insistió en que los detalles del proceso deben tratarse de manera “hermética”, priorizando la claridad y la legalidad por encima de especulaciones. En relación con los señalamientos que involucran a algunos regidores por presuntamente haber otorgado apoyos sociales a familiares, García Cázares fue enfática al señalar que no emitirá juicios hasta que exista una resolución oficial. “Yo tengo que esperar hasta que salga toda la resolución”. Sobre la dinámica laboral con el síndico y otros integrantes del ayuntamiento, García Cázares aseguró que prevalece un ambiente de respeto y cordialidad, indispensable para garantizar el funcionamiento del gobierno municipal. “Creo que siempre he sido cordial en la medida de lo posible. No tengo por qué hacer algo incorrecto, no es mi forma”. Afirmó que, pese a las diferencias, las sesiones y actividades institucionales continúan desarrollándose con normalidad. Cuestionada sobre si ha sido notificada formalmente de alguna demanda en su contra, la presidenta municipal indicó que hasta ahora no ha recibido ningún aviso oficial. “No, porque no están totalmente seguros”, respondió, dejando entrever que los procedimientos aún podrían estar en proceso de integración o definición. En cuanto a la posibilidad de modificar los mecanismos de entrega de apoyos sociales desde la Secretaría Particular, García Cázares señaló que cualquier cambio se evaluará una vez que se conozcan los resultados de las investigaciones. “Hasta no ver el resultado, creo que podríamos ya tomar decisiones”.</t>
  </si>
  <si>
    <t>Boletín 573: Sebiso convoca a artesanos a participar en la Feria San Francisco 2026</t>
  </si>
  <si>
    <t>Bienestar</t>
  </si>
  <si>
    <t>Feria Pachuca</t>
  </si>
  <si>
    <t>Boletín: En operación nueva línea de conducción de agua potable en Mineral de la Reforma</t>
  </si>
  <si>
    <t>Infraestructura hidráulica</t>
  </si>
  <si>
    <t>Locutor Jesús Rivero da lectura a comentario de radioescucha que comenta, que chistoso que mañana que viene la presidenta, estén bacheando la carretera de Acaxochitlán, cuando desde hace tiempo necesita reencarpetamiento.</t>
  </si>
  <si>
    <t>Carretera En Mal Estado</t>
  </si>
  <si>
    <t>El Estado de Hidalgo ya obtuvo sus primeras preseas en la Olimpiada Nacional Conade 2026 gracias a la participación de los representantes en la disciplina de ciclismo, que se convirtió en la encargada de inaugurar el medallero para la entidad. El primer oro llegó de la mano de Jeancarlo Manuel Celaya Escárcega campeón nacional en la modalidad contra reloj categoría cadete varonil; la jornada dorada continúo con la pedalista Valeia Quetzali Domínguez quien en la categoría junior femenil resgitró un tiempo de 18:49, suficiente para adjudicarse la segunda medalla de oro; el esfuerzo hidalguense se completó con Emily Yamila Mendoza Martínez en la categoría cadete femenil conquistando la medalla de bronce.</t>
  </si>
  <si>
    <t>Boletín 1053: Menchaca Salazar refrenda alianza con el magisterio para impulsar la transformación educativ</t>
  </si>
  <si>
    <t>Locutor David Cárdenas da lectura a columna Leonardo Herrera - Punto x Punto - La propuesta para la consejera nacional de Morena y exalcaldesa de Tizayuca, Susana Ángeles Quezada, estaba en la mesa, devolver parte del dinero que no ha podido solventar de la cuenta pública 2023 y 2024, el último tramo de su administración municipal que alcanzan en promedio 20 millones de pesos o enfrentar los procedimientos judiciales, se negó bajo el argumento que hacerlo sería aceptar la responsabilidad de algo que asegura no cometió, con ello, marcó el destino que tendrán los procedimientos cada vez más cerca de la Procuraduría de Justicia en el estado. De ahí que, en los últimos días, la directora general de relaciones institucionales de la Secretaría de las Mujeres, decidió iniciar un amparo en contra de la Auditoría Superior del Estado de Hidalgo (ASEH), por supuestas omisiones en el procedimiento y con ello, tratar de frenar las acciones de fondo con una suspensión, que no consiguió. La salida que se le ofreció a Ángeles Quezada, ya fue utilizada por morenistas como Jorge Hernández Araus, que devolvió casi 5 millones de pesos, para evitar el proceso legal en su contra por desvió de recursos públicos, recientemente a la expriista y ex secretaria de Finanzas del gobierno estatal, Jessica Blancas, quien busca librar el proceso en su contra con cerca de 25 millones de pesos.</t>
  </si>
  <si>
    <t>Observaciones ASEH</t>
  </si>
  <si>
    <t>Sucesión gubernamental</t>
  </si>
  <si>
    <t>La presidenta Claudia Sheinbaum Pardo inicia una gira de trabajo por el estado este viernes 24 y sábado 25 de abril; supervisará el avance del Tren AIFA–Pachuca, el proyecto que cambiará la forma en que nos conectamos con la CDMX; visita al Centro de Alto Rendimiento y anuncio de nuevas unidades para el Tuzobús, además de la modernización del aeropuerto estatal con un nuevo FBO. La gira seguirá por Acaxochitlán y Tenango de Doria.</t>
  </si>
  <si>
    <t>Habitantes del municipio de Nopala de Villagrán solicitaron a las autoridades locales reforzar la regulación en el uso de motocicletas, especialmente en lo referente al uso obligatorio de casco de seguridad y la circulación de unidades con escapes modificados que generan ruido excesivo. De acuerdo a la información brindada por parte de Protección Civil Municipal, esta petición surge ante la preocupación ciudadana por el incremento de incidentes viales que involucran motocicletas y las constantes molestias ocasionadas por las aletaraciones a las mismas. Ante la demanda ciudadana las autoridades prevén realizar revisiones y recorridos preventivos para verificar que los conductores cumplan con las medidas básicas de seguridad, así como identificar motocicletas que presenten modificaciones irregulares en sus sistemas de escape. De igual forma, habitantes solicitaron a las autoridades prestar especial atención a los jóvenes estudiantes que se trasladan en motocicleta, pues señalaron que en muchos casos circulan a exceso de velocidad y sin casco, situación que representa un riesgo tanto para ellos como para otros usuarios de la vía.</t>
  </si>
  <si>
    <t>Prevención de accidentes</t>
  </si>
  <si>
    <t>El Congreso del Estado Libre y Soberano de Hidalgo participó en el segundo Encuentro Metropolitano Hacendario, con el objetivo de construir las bases técnicas, normativas y financieras para la integración progresiva de los sistemas catastrales metropolitanos, fortaleciendo su coordinación con el ámbito registral y estableciendo las condiciones para avanzar, de manera gradual, hacia un modelo que garantice certeza patrimonial, reduzca desigualdades territoriales y promueva la sostenibilidad fiscal. El presidente de la Junta de Gobierno, diputado Andrés Velázquez Vázquez se congratuló con esta reunión entre funcionarios federales, estatales, del Congreso y los municipios “para que podamos tener una misma línea de trabajo “.</t>
  </si>
  <si>
    <t>Boletín 1638: Convoca UTVM a cursar la Maestría en Desarrollo Turístico y Gastronómico Sustentable</t>
  </si>
  <si>
    <t>Autoridades educativas, cuerpos de seguridad y padres de familia del CBTIS No. 83 implementaron un operativo de vigilancia y revisión de mochilas la mañana de este viernes, luego de que ayer fuera localizado un mensaje en los sanitarios del plantel que advertía sobre un presunto tiroteo. A pesar de la alerta, la institución determinó mantener las actividades escolares de manera regular, aunque bajo un estricto protocolo de prevención. El despliegue de seguridad contó con la participación de elementos de la Policía Municipal, la Policía Estatal y la Guardia Nacional, quienes custodiaron el ingreso de los alumnos en las inmediaciones del centro educativo. De manera paralela, integrantes del Comité de Padres de Familia realizaron el operativo mochila, revisando las pertenencias de los estudiantes con el fin de detectar cualquier objeto de riesgo. Las autoridades escolares enfatizaron que estas acciones se ejecutaron de forma voluntaria y coordinada para brindar tranquilidad a los docentes, personal administrativo y a la propia comunidad estudiantil.</t>
  </si>
  <si>
    <t>Amenazas en escuela</t>
  </si>
  <si>
    <t>Boletín 29: Analizan programas de vialidad en la zona de Tula</t>
  </si>
  <si>
    <t>Ordenamiento vial</t>
  </si>
  <si>
    <t>Boletín 108: Refuerzan vigilancia epidemiológica y vacunación en Hidalgo</t>
  </si>
  <si>
    <t>Vigilancia Epidemiológica</t>
  </si>
  <si>
    <t>Boletín 26: SEGOBH fomenta Plan de Acción Municipal para la Prevención del Embarazo en Adolescentes</t>
  </si>
  <si>
    <t>Boletín 33: Apoyos económicos agropecuarios fortalecen al campo hidalguense en 11 municipios</t>
  </si>
  <si>
    <t>Boletín 017: Fortalece control interno con capacitación estratégica</t>
  </si>
  <si>
    <t>Boletín 34: Entregan 70 mil crías de trucha en la Comarca Minera y Otomí-Tepehua (AUDIO NGP):</t>
  </si>
  <si>
    <t>Acuicultura</t>
  </si>
  <si>
    <t>Boletín 924: “Voces pequeñas, raíces grandes”: niñas, niños y adolescentes del programa PILARES alzan la voz por sus comunidades en Hidalgo</t>
  </si>
  <si>
    <t>Boletín 60: Fortalece Icathi vinculación internacional y participación del sector productivo</t>
  </si>
  <si>
    <t>Misión SES</t>
  </si>
  <si>
    <t>Boletín: Continúa la promoción de convocatorias del Gobierno de Hidalgo en las instituciones de educación superior</t>
  </si>
  <si>
    <t>El presidente municipal de Cuautepec realizó un publicación en donde avisó que la carretera Cuautepec-Tulancingo estará abierta hasta el próximo viernes, ya que la carretera estatal está a un 98 por ciento, es decir, no se terminó de colocar todo el concreto hidráulico, por lo cual, hay que esperar unos días más.</t>
  </si>
  <si>
    <t>Más de cinco horas se llevaron los trabajos de recolocación de un segmento del puente peatonal ubicado sobre la carretera México-Tuxpan, a la altura del Hospital General de Tulancingo, que hace unas semanas había sido derribado por la pluma de una grúa, la cual no bajaron por descuido. En esta labor trabajaron de manera conjunta los gobiernos municipales de Tulancingo y Santiago Tulantepec, quienes hicieron previamente el anuncio de la recolocación, para que la ciudadanía y los automovilistas tuvieran conocimiento. Los estudios para determinar los daños al puente peatonal los realizó la Secretaría de Infraestructura, Comunicaciones y Transportes federal; no obstante, los daños fueron solo en la base de concreto de dicho puente, no así en sus columnas estructurales. Para la recolocación de este puente peatonal, se contrató una empresa privada. Además, el flujo vehicular se sedujo a un solo carril, pasando por la lateral, que al mismo tiempo es acceso al Centro de Rehabilitación Integral, que se encuentra a un costado del Hospital General de Tulancingo. En su momento, el secretario de Obras Públicas de Tulancingo, Armando Alcíbar, explicó que el daño principal se concentró en la losa, mientras que las vigas permanecieron intactas. Precisó que una de las vigas se encontraba únicamente apoyada por lo que, tras la colisión, cayó y provocó el deterioro de la losa, sin comprometer la estabilidad general del puente. Además, se realizó la revisión de la estructura, reforzamiento a las juntas, montaje y verificación del mismo. Cabe recordar que fue el pasado 26 de marzo de este año, cuando la pluma de una grúa, que continuaba levantada, golpeó el puente peatonal provocando su desplazamiento y posterior caída; pero afortunadamente no hubo daños a vehículos ni personas lesionadas.</t>
  </si>
  <si>
    <t>Colapso de puente</t>
  </si>
  <si>
    <t>Boletín 718: La experiencia del programa “Ciudad Policía” impulsa la cultura de la prevención en infancias de Mineral del Chico</t>
  </si>
  <si>
    <t>Prevención del delito</t>
  </si>
  <si>
    <t>Bajo la consigna “Soy papá, no criminal”, un grupo de manifestantes e integrantes de diversas familias se movilizaron la mañana de este viernes en las principales vialidades de Pachuca, con el objetivo de denunciar procesos judiciales que consideran injustos y exigir un alto a las denuncias falsas.El contingente partió de las instalaciones del Centro de Justicia para las Mujeres con destino a la Procuraduría General de Justicia del Estado de Hidalgo (PGJEH). Durante el recorrido, los participantes señalaron que su movimiento representa “la voz de muchas familias que han sido ignoradas” y el eco de historias que, hasta ahora, no habían tenido un espacio para ser escuchadas.</t>
  </si>
  <si>
    <t>Queja padres de familia</t>
  </si>
  <si>
    <t>Radioescucha señor Eugenio Flores, visitó las instalaciones de la estación de radio y se queja de la recolección de la basura en Tula. AUDIO APOYO.</t>
  </si>
  <si>
    <t>Sobre la noticia del diputado Marco Antonio Mendoza Bustamante presentó una iniciativa para proteger la fiesta brava y las peleas de gallos considerándolas como como parte del patrimonio intangible de la entidad, comento : “ Se viene una andanada de protestas por parte de animalistas, defensores de animales, porque si esto se aprueba, si de nueva cuenta se pone sobre la mesa que los toros, la fiesta brava, sea patrimonio intangible de la entidad, pues estaríamos aceptando la violencia contra esos animales. Es un tema muy delicado”</t>
  </si>
  <si>
    <t>Aunque el Congreso del Estado no ha definido el destino de la propuesta del diputado Avelino Tovar Iglesias para prohibir las corridas de toros en el estado, este día, el diputado Marco Antonio Mendoza Bustamante presentó una iniciativa para proteger la fiesta brava y las peleas de gallos considerándolas como como parte del patrimonio intangible de la entidad.</t>
  </si>
  <si>
    <t>El Gobierno Municipal de Atitalaquia, encabezado por la Presidenta Municipal Claudia Sandoval, te invita a vivir una tarde inolvidable en el Gran Festival del Día del Niño, hoy 24 de abril a las 3:30 en la Unidad Deportiva</t>
  </si>
  <si>
    <t>El Gobierno Municipal Tepetitlán 2024-2027 presentó la ruta oficial de la Primera Carrera Atlética 6K “Juntos por un Nuevo Comienzo”, que se realizará el 26 de abril a las 7:00 de la mañana.La carrera iniciará en la Parada de Santa María Daxtho y concluirá en la Presidencia Municipal de Tepetitlán, recorriendo diversos puntos del municipio. Habrá categorías Infantil, Juvenil, Libre, Máster y Veteranos, en ramas femenil y varonil, para que corredores de todas las edades puedan participar.</t>
  </si>
  <si>
    <t>Carrera atlética</t>
  </si>
  <si>
    <t>El gobierno municipal de Tula de Allende, encabezado por el alcalde Cristhian Martínez Reséndiz, realizó la entrega y supervisión de una obra de electrificación en la colonia El Recinto, dentro del Ejido de Pueblo Nuevo, AUDIO APOYO</t>
  </si>
  <si>
    <t>Supervisión de obra</t>
  </si>
  <si>
    <t>Como parte de la estrategia del Gobierno de México para garantizar los derechos sociales, la presidenta Claudia Sheinbaum Pardo realizará una gira de trabajo por Hidalgo los próximos 24 y 25 de abril, donde supervisará el avance de los Programas para el Bienestar en distintos municipios.Durante su visita, la mandataria recorrerá Singuilucan, Tenango de Doria y Acaxochitlán, con el objetivo de mantener contacto directo con la población y evaluar la implementación de apoyos dirigidos a estudiantes, personas adultas mayores y mujeres.La agenda contempla actividades en instituciones educativas y espacios públicos: 24 de abril Singuilucan: Encuentro con la comunidad educativa en el CECyTEH a las 16:00 horas, 25 de abril Tenango de Doria: Visita a la Universidad Intercultural a las 11:00 horas Acaxochitlán: Evento público en el CECyTEH a las 16:00 horas, AUDIO APOYO</t>
  </si>
  <si>
    <t>Vía telefónica Josefina Bravo Rangel, titular de la Unidad Coordinadora de Proyectos Prioritarios, Vinculación Social y Derechos Humanos de Semarnat Federal, con el tema: Restauración ecológica de la Presa Endhó. Comentó que se están realizando unas asambleas. El pasado 26 de septiembre del 2024, se emitió un decreto en donde se está declarando un programa de restauración ecológica de la presa Endhó. Este programa está a cargo de la Dirección General de Restauración Ambiental, que depende de la Semarnat. Este fue emitido a partir de un estudio técnico muy importante, en el cual se identificó una serie de problemas ambientales que se viven en esa región en materia de agua, aire, suelo y biodiversidad. Este programa comprende acciones diversas en 36 mil hectáreas, en las cuales se comprenden 8 municipios del estado de Hidalgo. Tiene como objetivo llevar a cabo las acciones necesarias para poder regenerar, recuperar y restablecer las condiciones de los procesos naturales de los ecosistemas de esa región. Dentro de este decreto, compete a la Semarnat como autoridad responsable, formular y ejecutar el programa de restauración ecológica; es por ello que se llevaron a cabo desde el año pasado reuniones con las comunidades indígenas que se encuentran alrededor de la presa Endhó. En este momento nos encontramos en las asambleas informativas en cada comunidad, de las cuales llevamos 11 por el momento y nos faltan 7.</t>
  </si>
  <si>
    <t>Restauración Ecológica</t>
  </si>
  <si>
    <t>Vía telefónica cantautor hidalguense Fausto Villagrán será reconocido el próximo 24 de abril en Ciudad Juárez, Chihuahua, con la presea Aída Cuevas, un logro destacado en su trayectoria artística. Durante una entrevista telefónica en Enfoque Regional Primera Emisión, el artista agradeció el espacio y compartió su emoción por este importante reconocimiento.</t>
  </si>
  <si>
    <t>En el municipio de Tlaxcoapan se celebra una de las festividades más importantes de la región, estamos hablando de la solemne vigilia procesión de las espigas que se va a realizar pues este fin de semana, mañana sábado, es una celebración usted que nos escucha en el Estado de México, Ciudad de México o en otros municipios del Estado de Hidalgo.</t>
  </si>
  <si>
    <t>Promoción turística</t>
  </si>
  <si>
    <t>El señor Ernesto Fuentes de aquí, Fuente de aquí de Tula, nos hace un comentario interesante sobre este tema de las escuelas y esta tendencia que se está dando en redes sociales sobre el tiroteo, los tiroteos que amanecen amenazas a través de redes sociales o ya está en los propios institutos públicos, que no es un tema solamente de nuestro estado.</t>
  </si>
  <si>
    <t>El caso detectado en la Sierra Otomi – Tepehua es un llamado a reforzar medidas de atención en heridas, sobre todo en sectores vulnerables, así lo indicó Erick José Canales Vargas, coordinador del programa estatal de la Secretaría de Salud Estatal. AUDIO DE APOYO.</t>
  </si>
  <si>
    <t>La Administración Municipal de Actopan emitió un comunicado urgente a través de la Dirección de Desarrollo Agropecuario donde se informó sobre la detección de un posible caso de gusano barrenador en la comunidad del Daxthá lo que pues ha encendido las alarmas en la región. Hasta ahora Hidalgo registra 340 casos acumulados de gusano barrenador en 46 de sus 84 municipios, más de la mitad del estado ya cuenta con casos activos, además suman 87 casos en 32 municipios lo que lo coloca en el octavo lugar nacional en total activo, son 62 en bovinos, 13 en caninos y 3 en equinos.</t>
  </si>
  <si>
    <t>Autoridades de Hidalgo activaron protocolos de seguridad en planteles educativos luego de la alerta por la difusión de un falso trend, una tendencia en redes sociales que simula amenazas de tiroteos en escuelas. Ante ello se exhorta a madres y padres de familia a supervisar el uso de redes sociales, fomentar la comunicación con sus hijos y verificar cualquier información a través de fuentes oficiales para evitar desinformación y alarma innecesaria. Los padres de familia señalan que son mensajes que no deben tomarse a la ligera. Yo no veo un operativo como tal, creo que a lo mejor está minimizando los hechos y si será conveniente que no sea fuera el cuidado, porque creo que el riesgo está adentro…. Los padres y madres de familia tenemos la responsabilidad de revisar no solamente la mochila de nuestros hijos, sus redes sociales, con quién se junta y tener un diálogo abierto con ellos para conocer cuáles son sus necesidades, inquietudes, qué es lo que están viviendo en la escuela, en la calle… AUDIOS PADRES DE FAMILIA.</t>
  </si>
  <si>
    <t>La presidenta de México, Claudia Sheinbaum, realizará una gira de trabajo en Hidalgo los días 24 y 25 de abril, con actividades en distintos municipios. Iniciará en Villa de Tezontepec con la supervisión del tren AIFA-Pachuca y continuará en Singuilucan con un evento oficial. Al día siguiente, visitará Pachuca para inaugurar un centro de alto rendimiento junto al gobernador Julio Menchaca Salazar, y cerrará su recorrido en Acaxochitlán y Tenango de Doria. Durante la gira, se destacó el proyecto del tren suburbano “Felipe Ángeles”, que conectará la Ciudad de México con el Aeropuerto Internacional Felipe Ángeles y posteriormente con Pachuca. Este sistema será operado por el gobierno federal, dejando atrás el esquema privado, con el objetivo de mejorar la movilidad en la zona centro del país.Las tarifas se mantendrán en 11.50 pesos para tramos cortos y 26.50 para largos, con una promoción inicial de 45 pesos hasta el AIFA. El proyecto busca facilitar el traslado diario de miles de personas entre Hidalgo y la zona metropolitana, ofreciendo una alternativa más económica y eficiente de transporte. AUDIOS APOYO MAÑANERA</t>
  </si>
  <si>
    <t>Radioescucha Sr. Paredes reporta que no funciona la lámpara que está en la esquina del callejón de Quintana Roo y Plaza de Patoni</t>
  </si>
  <si>
    <t>Radioescucha reporta una colectiva con la matrícula A55012K que iba manejando y hablando con el celular desde Mercado Morelos a Trigueros.</t>
  </si>
  <si>
    <t>Radioescucha reporta que la página para sacar la cita de la verificación no está funcionando bien.</t>
  </si>
  <si>
    <t>Radioescucha pregunta: "¿Hasta cuándo van a abrir la calle Melchor Ocampo, ya que no se ha terminado y ya empezaron con la Avenida Madero?"</t>
  </si>
  <si>
    <t>Radioescucha reporta que ya pagó su reconexión de agua y no han venido a quitar el sello, se supone que el miércoles pasarían y nada.</t>
  </si>
  <si>
    <t>Medidores de agua</t>
  </si>
  <si>
    <t>Radioescucha pregunta si pueden dar información del evento que se llevará a cabo en las instalaciones de la feria con motivo del Día del Niño. Comenta conductor que es este viernes 24 y sábado 25 de abril, de 11 de la mañana a 5 de la tarde.</t>
  </si>
  <si>
    <t>Elementos de la Secretaría de Seguridad Pública del estado, en coordinación con el H. Cuerpo de Bomberos, atendieron un reporte por presunto olor a gas en una institución educativa ubicada en la colonia San Cayetano, en Pachuca.El incidente se registró en la escuela primaria “Francisco I. Madero”, donde personal de emergencia acudió tras recibir el llamado a través de los canales de auxilio. De manera inmediata, los cuerpos de atención se trasladaron al plantel para verificar la situación y descartar cualquier posible riesgo para la comunidad escolar.</t>
  </si>
  <si>
    <t>Uno de los principales programas que ha fortalecido la presidenta del Patronato del Sistema Municipal DIF de Mineral de la Reforma, Samantha Esparza Hernández, es “Manos que Impulsan”, una iniciativa que mejora la calidad de vida de las niñas, niños y adolescentes, mediante la elaboración y entrega de prótesis de mano personalizadas con tecnología de impresión 3D.Gracias al apoyo del presidente municipal, Eduardo Medécigo Rubio, este programa, único en el estado de Hidalgo, ofrece apoyo y orientación especializada a quienes más lo necesitan, promoviendo su independencia, una mejor autoestima y bienestar.</t>
  </si>
  <si>
    <t>Entrega De Apoyos</t>
  </si>
  <si>
    <t>Boletín 108:Refuerzan vigilancia epidemiológica y vacunación en Hidalgo</t>
  </si>
  <si>
    <t>Vía telefónica, Olga compañera de ACIR, quien apoya en sus momentos libres a pequeños con cáncer y niños en orfandad. Ella platica la historia que es del albergue Ciudad de los Niños, comentó que se quedaron los niños que requieren más apoyo, lo único que pasó es que ya no están en resguardo de las religiosas, ya es particular.</t>
  </si>
  <si>
    <t>El Congreso del Estado de Hidalgo participó en el Segundo Encuentro Metropolitano Hacendario, donde autoridades federales, estatales y municipales analizaron estrategias para modernizar los sistemas catastrales y mejorar la coordinación con el registro público.Durante el evento, el presidente de la Junta de Gobierno, Andrés Velázquez Vázquez, destacó la importancia de alinear esfuerzos entre los distintos niveles de gobierno para avanzar en un modelo que brinde certeza patrimonial y fortalezca las finanzas públicas.</t>
  </si>
  <si>
    <t>En sesión ordinaria, diputadas y diputados integrantes de la LXVI Legislatura avalaron con 25 votos a favor, cero en contra y cero abstenciones, la minuta que reforma la Constitución Política de los Estados Unidos Mexicanos, en materia de feminicidio, enviada por la Cámara de Diputados del Congreso de la Unión.La legisladora Diana Rangel Zúñiga (Morena) indicó que esta reforma establece como mínimo los tipos penales y sanciones de feminicidio, secuestro, desaparición, extorsión, entre otros, en una ley general única.La diputada Johana Montcerrat Hernández Pérez (PRI) aseguró que mientras una mujer tenga que rogar por justicia en este país o en cualquier otro, cualquier ley será insuficiente. No estamos aquí para aplaudir, estamos aquí para responder por lo que todavía no hemos sido capaces de garantizar, la vida y la seguridad de las mujeres en México.La legisladora Karla Perales Arrieta (MC) respaldó esta reforma y exigió que las autoridades respondan “desde el primer inicio de violencia, golpe, amenaza y denuncia. Tenemos que hablar de quienes muchas veces quedan en el olvido: las víctimas indirectas, hijas e hijos de mujeres víctimas de feminicidio, las familias que quedan desintegradas, las infancias que crecen marcadas por la violencia”.</t>
  </si>
  <si>
    <t>Reforma De Ley</t>
  </si>
  <si>
    <t>La Comisión Nacional del Agua (Conagua), a través de la Dirección Local Hidalgo, concluyó los trabajos de limpieza y desazolve en el río Tula, en las inmediaciones del ejido San Mateo, a fin de contribuir a garantizar el flujo continuo del agua en el cauce y a proteger a los centros de población y sus bienes previo a la temporada de lluvias.A través de las brigadas Conagua, por medio de un camión plataforma y grúa articulada, se realizaron labores para retirar troncos, maleza y lodos que obstruían el cuerpo de agua, principalmente a causa de la gran cantidad de árboles caídos en el cauce aguas abajo del tanque amortiguador de la presa Endhó, abarcando una longitud de 2 km.</t>
  </si>
  <si>
    <t>Radio Disney 95.7FM</t>
  </si>
  <si>
    <t>Contenido gubernamental</t>
  </si>
  <si>
    <t>Vía telefónica, Edda Vite, presidenta del Patronato del Sistema Dif Hidalgo, con el tema Día de la Niña y del Niño, habló de que ya están a punto de iniciar los festejos del mes de las infancias este viernes 24 y sábado 25 de abril en las instalaciones de la feria de 11 de la mañana a 5 de la tarde, en donde se brindarán muchas actividades con respecto al mundial, una diversidad de 30 actividades y atracciones, este evento es para todo público; pueden asistir por sus boletos a los 4 puntos: Hospital del Niño, CRIH, Junta General de Asistencia Social y Sistema DIF Hidalgo</t>
  </si>
  <si>
    <t>Locutor</t>
  </si>
  <si>
    <t>Canal 12 Huejutla</t>
  </si>
  <si>
    <t>Contacto Informativo N</t>
  </si>
  <si>
    <t>Vía telefónica Doctora Shanik Jayne Cahun Gama, directora de Políticas y Estrategias de la SSH - Habló sobre la reciente detección del primer caso de gusano barrenador en una persona, derivado de lo anterior, dio a conocer las medidas de prevención a poner en práctica para poder evitar contagios. En ese sentido, dijo, desde la SSH se está trabajando en coordinación con la Senasica y los municipios para prevenir o en su caso detectar a tiempo la propagación del gusano barrenador en animales</t>
  </si>
  <si>
    <t>Jackeline Vazquez</t>
  </si>
  <si>
    <t>El equipo de voleibol femenil de Hidalgo, logró una importante victoria al imponerse 2 a 1 ante Jalisco en los cuartos de final de la categoría juvenil menor, asegurando su pase a las semifinales de la Olimpiada Nacional CONADE 2026.</t>
  </si>
  <si>
    <t>SSPH frena operaciones de punto de venta de narcóticos en el Valle del Mezquital</t>
  </si>
  <si>
    <t>En operación nueva línea de conducción de agua potable en Mineral de la Reforma</t>
  </si>
  <si>
    <t>Infraestructura Hidráulica</t>
  </si>
  <si>
    <t>Moderniza SIPDUS vialidad Alcholoya–San Bartolo para impulsar el desarrollo en Acatlán</t>
  </si>
  <si>
    <t>Fortalece control interno con capacitación estratégica</t>
  </si>
  <si>
    <t>Sebiso convoca a artesanos a participar en la Feria San Francisco 2026</t>
  </si>
  <si>
    <t>Vía telefónica Edson Vélez reporta que un extraño olor a gas en el ambiente reportaron habitantes de varios municipios de la región de Tula la noche de ayer y madrugada de este jueves. Fue minutos después de las 21 horas cuando los números de emergencia de municipios como Atitalaquia, Tetepango, Ajacuba, Tlaxcoapan, Tezontepec de Aldama, Tepetitlán y Chapantongo comenzaron a sonar recibiendo reportes de un fuerte olor a gas. De inmediato, las autoridades locales emitieron a través de las redes sociales comunicados a la población avisando que se realizarían recorridos para identificar y atender el origen del fuerte olor, acción que concluyó alrededor de las 2 de la mañana de este jueves, sin encontrar una fuente aparente de fuga o cualquier otro indicio. Los municipios de Tetepango y Chapantongo, que se encuentran a 57 kilómetros de distancia uno del otro y en medio de ellos el resto de los municipios, donde se reportó el incidente de Protección Civil de esa estas demarcaciones dijeron no haber encontrado alguna fuga, por lo que la búsqueda se dio por concluida. Sin embargo, el director de Protección Civil y Bomberos de Atitalaquia, Ángel Barañanos, dijo que el olor provenía del movimiento de aguas negras estancadas en el canal que cruza por los municipios de Atitalaquia, Tetepango y Ajacuba, que la Conagua está revistiendo, debido a que los sedimentos removidos se pudren y con las lluvias de ayer se removieron generando el fétido olor.</t>
  </si>
  <si>
    <t>Edson Vélez</t>
  </si>
  <si>
    <t>Gobierno de Hidalgo acerca programas de apoyo a estudiantes del Iteshu,</t>
  </si>
  <si>
    <t>Apoyos económicos agropecuarios fortalecen al campo hidalguense en 11 municipios</t>
  </si>
  <si>
    <t>Confirma Secretaría de Salud primer caso de gusano barrenador en humanos</t>
  </si>
  <si>
    <t>Vecinos del fraccionamiento Pedregal de Los Ángeles, retuvieron y golpearon a una mujer acusada de cometer actos delictivos en dicho lugar. La presunta ladrona fue amarrada y golpeada por los vecinos y posteriormente entregada a elementos de la policía municipal.</t>
  </si>
  <si>
    <t>Justicia Por Propia Mano</t>
  </si>
  <si>
    <t>Alumnos y personal docente de la escuela primaria “Francisco I. Madero” en la colonia San Cayetano en Pachuca, fueron evacuados de manera preventiva por un intenso olor a gas LP en el ambiente. La medida ocurrió luego que elementos del cuerpo de bomberos y protección civil ordenaron el desalojo del plantel educativo en tanto realizaban las acciones correspondientes para determinar el origen del olor a combustible. Luego de varios minutos de labores por parte de los cuerpos de emergencia, se determinó y comprobó que el olor provenía de una bodega contigua a la escuela, donde alguien manipulo un cilindro de gas vacío cuyos residuos fueron la causa de la emergencia.</t>
  </si>
  <si>
    <t>Por causas hasta el momento desconocidas y en plena central de autobuses de la ciudad de Pachuca, un hombre agredió a guardias de seguridad privada que vigilan el desarrollo de las actividades y después a policías, para finalmente acabar arrestado. De acuerdo con los testigos y datos preliminares dados, el accidente de violencia pasó por la mañana de este jueves 23 de abril en el área de taquillas de la terminal camionera, frente a clientes que esperaban la salida de su viaje, entre familias enteras, parejas, amigos y personas solitarias, quienes se alarmaron.</t>
  </si>
  <si>
    <t>Elementos de Seguridad Pública Municipal y del Ejército, desplegaron un operativo preventivo en la Escuela Secundaria General “Héroe Antonio Reyes” (ESGHAR), luego del hallazgo de un mensaje que advertía sobre un ataque armado en el plantel. Desde la mañana de este jueves 23 de abril, elementos de Seguridad Pública Municipal y del Ejército Mexicano implementaron protocolos de emergencia, tras el hallazgo del mensaje escrito en el baño de hombres que advertía sobre un posible tiroteo para este mismo día. La dirección escolar notificó de inmediato al Comité de Participación Social y a la Supervisión Escolar, además de solicitar la intervención del área de Prevención del Delito. Durante la jornada, fuerzas de seguridad realizaron recorridos al interior y en el perímetro de la institución. Sin embargo, el temor generado provocó una baja asistencia de alumnos. El plantel exhortó a madres y padres de familia a revisar mochilas y objetos personales, así como mantener comunicación constante con sus hijos para detectar conductas de riesgo. También pidió reportar cualquier información que ayude a identificar a los responsables.</t>
  </si>
  <si>
    <t>Desarrollan ITESHU y CBTA 179 proyectos para mejorar cultivos en el Valle del Mezquital.</t>
  </si>
  <si>
    <t>Investigación académica</t>
  </si>
  <si>
    <t>En los primeros 31 días del año se registraron casi 30 detenciones de extranjeros en territorio hidalguense, la mayoría de ellos fueron venezolanos, cubanos y colombianos; este número representó una disminución significativa con respecto a enero del 2025, cuando las detenciones rebasaron los 200 casos. De acuerdo con los datos de la Unidad de Política Migratoria, Registro e Identidad de Personas de la Secretaría de Gobernación federal, al corte de 31 de enero, 23 hombres y seis mujeres fueron interceptados por elementos del Instituto Nacional de Migración (INM) y no pudieron demostrar una estancia regular en el país, por lo que fueron asegurados. Entre estas 26 personas deportadas solamente se registraron a mayores de edad originarios de Venezuela, Colombia y Cuba, en su mayoría, según los datos del Centro Nacional de Monitoreo de Movilidad y Migración Internacional (CENAMMMI).</t>
  </si>
  <si>
    <t>Deportaciones</t>
  </si>
  <si>
    <t>Congreso - Junta de Gobierno - Pachuca - El Congreso del Estado Libre y Soberano de Hidalgo participó en el segundo Encuentro Metropolitano Hacendario, con el objetivo de construir las bases técnicas, normativas y financieras para la integración progresiva de los sistemas catastrales metropolitanos, fortaleciendo su coordinación con el ámbito registral y estableciendo las condiciones para avanzar, de manera gradual, hacia un modelo que garantice certeza patrimonial, reduzca desigualdades territoriales y promueva la sostenibilidad fiscal. El presidente de la Junta de Gobierno, diputado Andrés Velázquez Vázquez se congratuló con esta reunión entre funcionarios federales, estatales, del Congreso y los municipios “para que podamos tener una misma línea de trabajo “.</t>
  </si>
  <si>
    <t>Con el objetivo de procurar la correcta ejecución de la obra pública y consolidar un principio fundamental de todo buen gobierno, este miércoles se llevó a cabo la capacitación de nueve comités de Contraloría Social en Tulancingo, como parte del programa anual implementado por el orden estatal. La capacitación fue impartida por personal de la Dirección General de Vinculación y Contraloría Social de la Secretaría de Contraloría Estatal, quienes brindaron a los participantes los conocimientos necesarios para vigilar que las obras públicas se ejecuten conforme a las metas programadas. Las obras que serán supervisadas por los comités se ubican en distintos puntos estratégicos de la ciudad, entre ellos San José Caltengo, Napateco, Plan de Ayala y Alamoxtitla. En su intervención, el titular del Órgano Interno de Control, maestro Miguel Ángel Romero Mejía, destacó que estos comités constituyen un mecanismo clave para fortalecer la transparencia, la rendición de cuentas y la participación ciudadana en la vigilancia de la obra pública.</t>
  </si>
  <si>
    <t>Contraloría Social</t>
  </si>
  <si>
    <t>Daniel Martínes señala que las unidades del Tuzobús se están cayendo a cachitos y que los operadores hacen su mejor esfuerzo para que jalen. Tanto la troncal como las alimentadoras ya están de “mírame y no me toques”, aseveró. Asimismo, dijo que hay unidades que se tardan hasta 2 horas en completar el recorrido por la condiciones mecánicas y físicas que tienen.</t>
  </si>
  <si>
    <t>Deficiencias Tuzobús</t>
  </si>
  <si>
    <t>desde el 20 de abril comenzó la llegada de nuevos autobuses que serán incorporados al sistema Tuzobús, como parte de una estrategia para reforzar y ampliar el servicio de transporte público en la zona metropolitana de la capital. La incorporación de estas unidades responde a un análisis previo sobre las condiciones actuales del sistema, en el que se identificó la necesidad de incrementar la capacidad operativa, mejorar la cobertura de rutas y ofrecer mejores condiciones de traslado a los usuarios. Información de la Oficialía Mayor indica que, en una primera fase, se contempla la integración de 80 unidades mediante un esquema de arrendamiento. A este grupo se sumará posteriormente la contratación de 60 vehículos adicionales que también estarán destinados al funcionamiento del Tuzobús.</t>
  </si>
  <si>
    <t>Oficialía Mayor</t>
  </si>
  <si>
    <t>La falta de espacios de estacionamiento en el centro de Pachuca ha comenzado a impactar la actividad comercial, de acuerdo con empresarios de la zona, quienes plantearon la posibilidad de reactivar el sistema de parquímetros como una medida para ordenar la movilidad y facilitar la llegada de clientes. Según el representante de ProCentro, Ramiro Gutiérrez Barranco, actualmente algunos automovilistas ocupan los lugares de estacionamiento durante periodos prolongados, lo que reduce la disponibilidad para quienes acuden a realizar compras o contratar servicios. Señaló que esta situación ha sido expuesta en distintas ocasiones ante autoridades municipales, debido a que incide directamente en las ventas de los establecimientos formales. Gutiérrez Barranco indicó que, aunque se ha mencionado que existen impedimentos de carácter jurídico para reinstalar los parquímetros, hasta el momento no se ha presentado una alternativa concreta que permita resolver el problema.</t>
  </si>
  <si>
    <t>Parquímetros</t>
  </si>
  <si>
    <t>La Secretaría de Turismo en Hidalgo (Secturh) propondrá recorridos turísticos y gastronómicos hacia Tulancingo y otros municipios cercanos a este, a llevarse a cabo durante las fechas que se celebre el Mundial de Futbol. La propuesta fue presentada en reciente visita de trabajo a la región por parte Elizabeth Quintanar Gómez, la titular de la dependencia estatal, aprovechando que en la misma temporalidad se llevará a cabo una muestra turística, folklórica y gastronómica en Campo Marte, en la Ciudad de México. Señaló que todas las entidades federativas tendrán un espacio sin costo alguno para dar a conocer sus atractivos, asegurando que Tulancingo tendrá una presencia importante dentro del espacio que le corresponda al Estado de Hidalgo. La funcionaria estatal explicó que a los visitantes al stand hidalguense se les ofrecerá trasladarlos a la región Tulancingo para que conozcan sus atractivos y su patrimonio gastronómico. La eventual actividad se denominaría la Ruta de Quetzalcóatl, siendo desarrollada en forma coordinada entre el Gobierno de Hidalgo, los gobiernos municipales del Valle de Tulancingo junto con prestadores de servicios turísticos y gastronómicos.</t>
  </si>
  <si>
    <t>Mundial De Futbol</t>
  </si>
  <si>
    <t>La presidenta de México, Claudia Sheinbaum Pardo, llevará a cabo una gira de trabajo en el estado de Hidalgo durante los días 24 y 25 de abril, con actividades en distintos municipios enfocadas en infraestructura, educación y deporte. De acuerdo con la agenda oficial, el recorrido iniciará el viernes en Villa de Tezontepec a las 15:00 horas, donde la mandataria supervisará los avances del proyecto ferroviario que conectará el Aeropuerto Internacional Felipe Ángeles con Pachuca. Más tarde, a las 18:00 horas, se trasladará a Singuilucan para encabezar una conferencia en el Colegio de Estudios Científicos y Tecnológicos del Estado de Hidalgo (CECyTEH). Las actividades continuarán el sábado en Pachuca, donde visitará el Centro de Alto Rendimiento. En este punto se prevé que emita anuncios relacionados con el impulso al deporte en la entidad, aunque el horario aún no ha sido confirmado. Posteriormente, la gira se extenderá hacia la región oriente y la sierra hidalguense, con visitas programadas en Acaxochitlán y Tenango de Doria, donde se llevarán a cabo recorridos de supervisión.</t>
  </si>
  <si>
    <t>El inicio de la construcción del nuevo salón de plenos del Congreso de Hidalgo se encuentra detenida, pues en marzo pasado concluyeron la labores de demolición del antiguo edificio, y hasta la fecha no se ha emitido la licitación para la edificación. De acuerdo con datos del Poder Legislativo, para el nuevo edificio se contempla una inversión de 80 millones de pesos; sin embargo, el recurso puede variar dependiendo del proceso de licitación. A inicios de marzo concluyó la demolición del salón de plenos, que de acuerdo con la licitación pública EO-SIPDUS-N176-2025, tuvo un costo de 4 millones 984 mil 997.71 pesos y la empresa encargada fue Grupo Inelpro, que inició los trabajos en noviembre de 2025.</t>
  </si>
  <si>
    <t>Salón De Plenos</t>
  </si>
  <si>
    <t>El gobierno federal informó que la construcción del tren de pasajeros que conectará el Aeropuerto Internacional Felipe Ángeles con Pachuca avanza sin complicaciones, ya que se cuenta con la totalidad del derecho de vía, lo que permite dar continuidad a los trabajos con miras a su próxima conclusión. Durante la conferencia matutina de este jueves, el director del Banco Nacional de Obras y Servicios Públicos, Jorge Alberto Mendoza Sánchez, dio a conocer que se concretó la compra de acciones del tren suburbano que actualmente opera de Buenavista a Cuautitlán, en el Estado de México. Este sistema cuenta con un ramal en Lechería que llegará al AIFA, el cual será inaugurado este fin de semana por la presidenta Claudia Sheinbaum Pardo. El funcionario detalló que este servicio ferroviario pasará a denominarse “Felipe Ángeles” y estará bajo operación del Estado mexicano, al igual que las futuras conexiones hacia el aeropuerto y la zona metropolitana de Pachuca, en Hidalgo.</t>
  </si>
  <si>
    <t>Vía telefónica el reporte de Bombero y Protección Civil con Abner Yáñez informa que se atendieron 5 incendio de pasto seco, entre otras emergencias reportadas por la ciudadanía.</t>
  </si>
  <si>
    <t>El Gobierno de México invierte alrededor de 40 millones de pesos en la rehabilitación de siete calles del municipio de Tulancingo que presentaban fuerte deterioro en su cinta de rodamiento. Lo anterior fue informado por Armando Pérez Alcibar, secretario municipal de Desarrollo Urbano, Obras Públicas y Medio Ambiente. Señaló que la administración federal solicitó al gobierno de Tulancingo un listado acompañado de expedientes de cien calles del municipio, de las cuales fueron elegidas siete para ser intervenidas. Se trata de las calles Chapultepec, Martín Urrutia, Olmeca, Miguel Negrete, 20 de noviembre, 7 de febrero en dos secciones, todas ubicadas en el norte del casco urbano.</t>
  </si>
  <si>
    <t>Con el fin de fortalecer las estrategias de seguridad en el estado, en el Congreso de Hidalgo se presentó una iniciativa para tipificar como delito el halconeo y el sabotaje a las instituciones de seguridad pública en el Código Penal estatal con penas de 3 a 7 años y de 4 a 8 años de prisión, respectivamente. Durante sesión ordinaria, legisladores presentaron una iniciativa para reformar el Código Penal de Hidalgo que además de la penas en prisión por halconeo, se propone multa de 100 a 300 veces el valor diario de la Unidad de Medida y Actualización, es decir de 11 mil 731 a los 35 mil 193 pesos, a quien, sin autorización legal y con el propósito expreso de facilitar la comisión de un delito o de evadir la acción de la justicia realice esa actividad. La propuesta plantea sancionar como halconeo a quien transmita o difunda, mediante el uso de radiotransmisores, equipos de escaneo de frecuencias o cualquier dispositivo tecnológico, información táctica sobre las rutas, despliegues, posiciones o planes operativos de los elementos que integran las instituciones de seguridad pública, de administración o procuración de justicia del estado o de sus municipios, mientras dichas acciones se encuentren en fase de ejecución.</t>
  </si>
  <si>
    <t>Durante el primer trimestre del año, el Centro de Cultura Emocional de la Familia en Tulancingo atendió 129 casos de depresión y ansiedad en niñas, niños y adolescentes, informó la directora de la Unidad de Primer Contacto, Magdiel Camila. En entrevista con Ultra Noticias, junto con la presidenta del Patronato del DIF municipal, Jessica Garrido Cázares, detalló que estos casos fueron canalizados principalmente por la Subprocuraduría de Niñas, Niños y Adolescentes, con la que mantienen coordinación permanente. Precisó que la atención tiene alcance regional, ya que el centro recibe a menores provenientes de distintos municipios, y que la mayoría de los casos están vinculados a situaciones de violencia. Sobre el proceso de atención, explicó que en el caso de menores de edad se realiza inicialmente una entrevista con padres o tutores para conocer el entorno familiar.</t>
  </si>
  <si>
    <t>El Sistema DIF hidalgo ya inició lo festejos del Día del Niño y de la Niña, promoviendo actividades culturales y educativas en todo el estado.</t>
  </si>
  <si>
    <t>Milton Cortés</t>
  </si>
  <si>
    <t>Milton Cortés Informa que el regidor del ayuntamiento de Pachuca, Carlos García Monzalvo, anunció su renuncia al Partido Revolucionario Institucional, para declararse como “independiente”. Aseguró que su decisión responde a un acto de “congruencia” tras años de militancia y experiencia política, al señalar que el partido dejó de ser una herramienta al servicio de la ciudadanía. En su intervención, criticó a la dirigencia nacional del tricolor, a la que responsabilizó del debilitamiento del instituto político, acusándola de actuar con “soberbia”, de cerrar espacios a la militancia y de priorizar intereses personales sobre los de la ciudadanía.</t>
  </si>
  <si>
    <t>Renuncias PRI</t>
  </si>
  <si>
    <t>En sesión ordinaria, diputadas y diputados integrantes de la LXVI Legislatura avalaron con 25 votos a favor, cero en contra y cero abstenciones, la minuta que reforma la Constitución Política de los Estados Unidos Mexicanos, en materia de feminicidio, enviada por la Cámara de Diputados del Congreso de la Unión. La legisladora Diana Rangel Zúñiga (Morena) indicó que esta reforma establece como mínimo los tipos penales y sanciones de feminicidio, secuestro, desaparición, extorsión, entre otros, en una ley general única.</t>
  </si>
  <si>
    <t>Continúa la promoción de convocatorias del Gobierno de Hidalgo en las instituciones de educación superior</t>
  </si>
  <si>
    <t>La presidenta del DIFH, Edda Vite encabezará el arranque del programa Festejemos a las niñas y los Niños de Hidalgo en las instalaciones de la Feria de Pachuca.</t>
  </si>
  <si>
    <t>Hoy es el festejo del Día de la Educadora por parte de la SEPH y la Sección 15 del SNTE en un salón de fiestas conocido de Mineral de la Reforma y el gobernador Julio Menchaca acudirá junto con el secretario de la SEPH, Natividad Castrejón y el dirigente del SNTE, Said Vargas.</t>
  </si>
  <si>
    <t>André Torres anuncia que pronto en La Voz del Pueblo Hñahñú se contará con programación propia porque ya están por poner esta estación en marcha. Asimismo, recuerda que El Vocero Huasteco está fuera del aire por problemas técnicos de la estación.</t>
  </si>
  <si>
    <t>Radiodifusoras</t>
  </si>
  <si>
    <t>El día de hoy y mañana sábado hay gira presidencial, viene la presidenta Claudia Sheinbaum a Hidalgo y estará acompañada por el gobernador Julio Menchaca. El viernes 24 de abril a las 15:00 horas, la mandataria federal visitará el municipio de Villa de Tezontepec, donde supervisará los avances del Tren AIFA–Pachuca, más tarde estará en Singuilucan en un evento del IMSS Bienestar. Para el sábado 25 de abril, aún con horario por confirmar, Claudia Sheinbaum Pardo visitará Pachuca, específicamente el Centro de Alto Rendimiento, donde se contempla una jornada enfocada en el deporte y la juventud. Posteriormente, continuará su gira por los municipios de Acaxochitlán y Tenango de Doria, con actividades aún por detallar.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</si>
</sst>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90" tableType="queryTable" totalsRowShown="0">
  <autoFilter ref="A1:M190" xr:uid="{717AF3FA-E95C-4D17-A1C9-B8D7CBE34EF0}"/>
  <sortState xmlns:xlrd2="http://schemas.microsoft.com/office/spreadsheetml/2017/richdata2" ref="A2:M190">
    <sortCondition ref="B1:B190"/>
  </sortState>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90"/>
  <sheetViews>
    <sheetView tabSelected="1" topLeftCell="A155" workbookViewId="0">
      <selection activeCell="B190" sqref="B190"/>
    </sheetView>
  </sheetViews>
  <sheetFormatPr baseColWidth="10" defaultRowHeight="15" x14ac:dyDescent="0.25"/>
  <cols>
    <col min="1" max="1" width="10.42578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4.4257812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65</v>
      </c>
      <c r="C1" t="s">
        <v>66</v>
      </c>
      <c r="D1" t="s">
        <v>67</v>
      </c>
      <c r="E1" t="s">
        <v>1</v>
      </c>
      <c r="F1" t="s">
        <v>2</v>
      </c>
      <c r="G1" t="s">
        <v>4</v>
      </c>
      <c r="H1" t="s">
        <v>3</v>
      </c>
      <c r="I1" t="s">
        <v>5</v>
      </c>
      <c r="J1" t="s">
        <v>68</v>
      </c>
      <c r="K1" t="s">
        <v>69</v>
      </c>
      <c r="L1" t="s">
        <v>70</v>
      </c>
      <c r="M1" t="s">
        <v>78</v>
      </c>
    </row>
    <row r="2" spans="1:13" x14ac:dyDescent="0.25">
      <c r="A2" s="1">
        <v>46136</v>
      </c>
      <c r="B2" s="1" t="str">
        <f ca="1">IF(Información1[[#This Row],[Fecha]]='Ajuste de fechas'!$A$2,"Día actual","Día anterior")</f>
        <v>Día actual</v>
      </c>
      <c r="C2" t="s">
        <v>51</v>
      </c>
      <c r="D2" t="s">
        <v>54</v>
      </c>
      <c r="E2" t="s">
        <v>219</v>
      </c>
      <c r="F2" t="s">
        <v>6</v>
      </c>
      <c r="G2" t="s">
        <v>220</v>
      </c>
      <c r="H2" t="s">
        <v>11</v>
      </c>
      <c r="I2" t="s">
        <v>27</v>
      </c>
      <c r="J2" t="s">
        <v>71</v>
      </c>
      <c r="K2" t="s">
        <v>9</v>
      </c>
      <c r="L2" t="s">
        <v>73</v>
      </c>
      <c r="M2">
        <v>1</v>
      </c>
    </row>
    <row r="3" spans="1:13" x14ac:dyDescent="0.25">
      <c r="A3" s="1">
        <v>46136</v>
      </c>
      <c r="B3" s="1" t="str">
        <f ca="1">IF(Información1[[#This Row],[Fecha]]='Ajuste de fechas'!$A$2,"Día actual","Día anterior")</f>
        <v>Día actual</v>
      </c>
      <c r="C3" t="s">
        <v>51</v>
      </c>
      <c r="D3" t="s">
        <v>54</v>
      </c>
      <c r="E3" t="s">
        <v>221</v>
      </c>
      <c r="F3" t="s">
        <v>21</v>
      </c>
      <c r="G3" t="s">
        <v>174</v>
      </c>
      <c r="H3" t="s">
        <v>11</v>
      </c>
      <c r="I3" t="s">
        <v>12</v>
      </c>
      <c r="J3" t="s">
        <v>71</v>
      </c>
      <c r="K3" t="s">
        <v>52</v>
      </c>
      <c r="L3" t="s">
        <v>72</v>
      </c>
      <c r="M3">
        <v>1</v>
      </c>
    </row>
    <row r="4" spans="1:13" x14ac:dyDescent="0.25">
      <c r="A4" s="1">
        <v>46136</v>
      </c>
      <c r="B4" s="1" t="str">
        <f ca="1">IF(Información1[[#This Row],[Fecha]]='Ajuste de fechas'!$A$2,"Día actual","Día anterior")</f>
        <v>Día actual</v>
      </c>
      <c r="C4" t="s">
        <v>51</v>
      </c>
      <c r="D4" t="s">
        <v>54</v>
      </c>
      <c r="E4" t="s">
        <v>222</v>
      </c>
      <c r="F4" t="s">
        <v>28</v>
      </c>
      <c r="G4" t="s">
        <v>198</v>
      </c>
      <c r="H4" t="s">
        <v>11</v>
      </c>
      <c r="I4" t="s">
        <v>7</v>
      </c>
      <c r="J4" t="s">
        <v>71</v>
      </c>
      <c r="K4" t="s">
        <v>52</v>
      </c>
      <c r="L4" t="s">
        <v>74</v>
      </c>
      <c r="M4">
        <v>1</v>
      </c>
    </row>
    <row r="5" spans="1:13" x14ac:dyDescent="0.25">
      <c r="A5" s="1">
        <v>46136</v>
      </c>
      <c r="B5" s="1" t="str">
        <f ca="1">IF(Información1[[#This Row],[Fecha]]='Ajuste de fechas'!$A$2,"Día actual","Día anterior")</f>
        <v>Día actual</v>
      </c>
      <c r="C5" t="s">
        <v>31</v>
      </c>
      <c r="D5" t="s">
        <v>33</v>
      </c>
      <c r="E5" t="s">
        <v>223</v>
      </c>
      <c r="F5" t="s">
        <v>203</v>
      </c>
      <c r="G5" t="s">
        <v>224</v>
      </c>
      <c r="H5" t="s">
        <v>11</v>
      </c>
      <c r="I5" t="s">
        <v>27</v>
      </c>
      <c r="J5" t="s">
        <v>225</v>
      </c>
      <c r="K5" t="s">
        <v>32</v>
      </c>
      <c r="L5" t="s">
        <v>73</v>
      </c>
      <c r="M5">
        <v>1</v>
      </c>
    </row>
    <row r="6" spans="1:13" x14ac:dyDescent="0.25">
      <c r="A6" s="1">
        <v>46136</v>
      </c>
      <c r="B6" s="1" t="str">
        <f ca="1">IF(Información1[[#This Row],[Fecha]]='Ajuste de fechas'!$A$2,"Día actual","Día anterior")</f>
        <v>Día actual</v>
      </c>
      <c r="C6" t="s">
        <v>31</v>
      </c>
      <c r="D6" t="s">
        <v>33</v>
      </c>
      <c r="E6" t="s">
        <v>226</v>
      </c>
      <c r="F6" t="s">
        <v>23</v>
      </c>
      <c r="G6" t="s">
        <v>130</v>
      </c>
      <c r="H6" t="s">
        <v>11</v>
      </c>
      <c r="I6" t="s">
        <v>7</v>
      </c>
      <c r="J6" t="s">
        <v>76</v>
      </c>
      <c r="K6" t="s">
        <v>32</v>
      </c>
      <c r="L6" t="s">
        <v>72</v>
      </c>
      <c r="M6">
        <v>1</v>
      </c>
    </row>
    <row r="7" spans="1:13" x14ac:dyDescent="0.25">
      <c r="A7" s="1">
        <v>46136</v>
      </c>
      <c r="B7" s="1" t="str">
        <f ca="1">IF(Información1[[#This Row],[Fecha]]='Ajuste de fechas'!$A$2,"Día actual","Día anterior")</f>
        <v>Día actual</v>
      </c>
      <c r="C7" t="s">
        <v>31</v>
      </c>
      <c r="D7" t="s">
        <v>33</v>
      </c>
      <c r="E7" t="s">
        <v>227</v>
      </c>
      <c r="F7" t="s">
        <v>19</v>
      </c>
      <c r="G7" t="s">
        <v>228</v>
      </c>
      <c r="H7" t="s">
        <v>11</v>
      </c>
      <c r="I7" t="s">
        <v>7</v>
      </c>
      <c r="J7" t="s">
        <v>75</v>
      </c>
      <c r="K7" t="s">
        <v>32</v>
      </c>
      <c r="L7" t="s">
        <v>72</v>
      </c>
      <c r="M7">
        <v>1</v>
      </c>
    </row>
    <row r="8" spans="1:13" x14ac:dyDescent="0.25">
      <c r="A8" s="1">
        <v>46136</v>
      </c>
      <c r="B8" s="1" t="str">
        <f ca="1">IF(Información1[[#This Row],[Fecha]]='Ajuste de fechas'!$A$2,"Día actual","Día anterior")</f>
        <v>Día actual</v>
      </c>
      <c r="C8" t="s">
        <v>31</v>
      </c>
      <c r="D8" t="s">
        <v>33</v>
      </c>
      <c r="E8" t="s">
        <v>229</v>
      </c>
      <c r="F8" t="s">
        <v>22</v>
      </c>
      <c r="G8" t="s">
        <v>164</v>
      </c>
      <c r="H8" t="s">
        <v>11</v>
      </c>
      <c r="I8" t="s">
        <v>7</v>
      </c>
      <c r="J8" t="s">
        <v>26</v>
      </c>
      <c r="K8" t="s">
        <v>32</v>
      </c>
      <c r="L8" t="s">
        <v>72</v>
      </c>
      <c r="M8">
        <v>1</v>
      </c>
    </row>
    <row r="9" spans="1:13" x14ac:dyDescent="0.25">
      <c r="A9" s="1">
        <v>46136</v>
      </c>
      <c r="B9" s="1" t="str">
        <f ca="1">IF(Información1[[#This Row],[Fecha]]='Ajuste de fechas'!$A$2,"Día actual","Día anterior")</f>
        <v>Día actual</v>
      </c>
      <c r="C9" t="s">
        <v>31</v>
      </c>
      <c r="D9" t="s">
        <v>33</v>
      </c>
      <c r="E9" t="s">
        <v>230</v>
      </c>
      <c r="F9" t="s">
        <v>21</v>
      </c>
      <c r="G9" t="s">
        <v>109</v>
      </c>
      <c r="H9" t="s">
        <v>11</v>
      </c>
      <c r="I9" t="s">
        <v>7</v>
      </c>
      <c r="J9" t="s">
        <v>71</v>
      </c>
      <c r="K9" t="s">
        <v>32</v>
      </c>
      <c r="L9" t="s">
        <v>74</v>
      </c>
      <c r="M9">
        <v>1</v>
      </c>
    </row>
    <row r="10" spans="1:13" x14ac:dyDescent="0.25">
      <c r="A10" s="1">
        <v>46136</v>
      </c>
      <c r="B10" s="1" t="str">
        <f ca="1">IF(Información1[[#This Row],[Fecha]]='Ajuste de fechas'!$A$2,"Día actual","Día anterior")</f>
        <v>Día actual</v>
      </c>
      <c r="C10" t="s">
        <v>31</v>
      </c>
      <c r="D10" t="s">
        <v>33</v>
      </c>
      <c r="E10" t="s">
        <v>231</v>
      </c>
      <c r="F10" t="s">
        <v>21</v>
      </c>
      <c r="G10" t="s">
        <v>232</v>
      </c>
      <c r="H10" t="s">
        <v>11</v>
      </c>
      <c r="I10" t="s">
        <v>7</v>
      </c>
      <c r="J10" t="s">
        <v>71</v>
      </c>
      <c r="K10" t="s">
        <v>32</v>
      </c>
      <c r="L10" t="s">
        <v>74</v>
      </c>
      <c r="M10">
        <v>1</v>
      </c>
    </row>
    <row r="11" spans="1:13" x14ac:dyDescent="0.25">
      <c r="A11" s="1">
        <v>46136</v>
      </c>
      <c r="B11" s="1" t="str">
        <f ca="1">IF(Información1[[#This Row],[Fecha]]='Ajuste de fechas'!$A$2,"Día actual","Día anterior")</f>
        <v>Día actual</v>
      </c>
      <c r="C11" t="s">
        <v>31</v>
      </c>
      <c r="D11" t="s">
        <v>33</v>
      </c>
      <c r="E11" t="s">
        <v>233</v>
      </c>
      <c r="F11" t="s">
        <v>56</v>
      </c>
      <c r="G11" t="s">
        <v>234</v>
      </c>
      <c r="H11" t="s">
        <v>11</v>
      </c>
      <c r="I11" t="s">
        <v>7</v>
      </c>
      <c r="J11" t="s">
        <v>71</v>
      </c>
      <c r="K11" t="s">
        <v>32</v>
      </c>
      <c r="L11" t="s">
        <v>74</v>
      </c>
      <c r="M11">
        <v>1</v>
      </c>
    </row>
    <row r="12" spans="1:13" x14ac:dyDescent="0.25">
      <c r="A12" s="1">
        <v>46136</v>
      </c>
      <c r="B12" s="1" t="str">
        <f ca="1">IF(Información1[[#This Row],[Fecha]]='Ajuste de fechas'!$A$2,"Día actual","Día anterior")</f>
        <v>Día actual</v>
      </c>
      <c r="C12" t="s">
        <v>31</v>
      </c>
      <c r="D12" t="s">
        <v>33</v>
      </c>
      <c r="E12" t="s">
        <v>235</v>
      </c>
      <c r="F12" t="s">
        <v>25</v>
      </c>
      <c r="G12" t="s">
        <v>236</v>
      </c>
      <c r="H12" t="s">
        <v>11</v>
      </c>
      <c r="I12" t="s">
        <v>7</v>
      </c>
      <c r="J12" t="s">
        <v>71</v>
      </c>
      <c r="K12" t="s">
        <v>32</v>
      </c>
      <c r="L12" t="s">
        <v>74</v>
      </c>
      <c r="M12">
        <v>1</v>
      </c>
    </row>
    <row r="13" spans="1:13" x14ac:dyDescent="0.25">
      <c r="A13" s="1">
        <v>46136</v>
      </c>
      <c r="B13" s="1" t="str">
        <f ca="1">IF(Información1[[#This Row],[Fecha]]='Ajuste de fechas'!$A$2,"Día actual","Día anterior")</f>
        <v>Día actual</v>
      </c>
      <c r="C13" t="s">
        <v>31</v>
      </c>
      <c r="D13" t="s">
        <v>33</v>
      </c>
      <c r="E13" t="s">
        <v>237</v>
      </c>
      <c r="F13" t="s">
        <v>15</v>
      </c>
      <c r="G13" t="s">
        <v>134</v>
      </c>
      <c r="H13" t="s">
        <v>11</v>
      </c>
      <c r="I13" t="s">
        <v>7</v>
      </c>
      <c r="J13" t="s">
        <v>71</v>
      </c>
      <c r="K13" t="s">
        <v>32</v>
      </c>
      <c r="L13" t="s">
        <v>74</v>
      </c>
      <c r="M13">
        <v>1</v>
      </c>
    </row>
    <row r="14" spans="1:13" x14ac:dyDescent="0.25">
      <c r="A14" s="1">
        <v>46136</v>
      </c>
      <c r="B14" s="1" t="str">
        <f ca="1">IF(Información1[[#This Row],[Fecha]]='Ajuste de fechas'!$A$2,"Día actual","Día anterior")</f>
        <v>Día actual</v>
      </c>
      <c r="C14" t="s">
        <v>31</v>
      </c>
      <c r="D14" t="s">
        <v>33</v>
      </c>
      <c r="E14" t="s">
        <v>238</v>
      </c>
      <c r="F14" t="s">
        <v>106</v>
      </c>
      <c r="G14" t="s">
        <v>138</v>
      </c>
      <c r="H14" t="s">
        <v>11</v>
      </c>
      <c r="I14" t="s">
        <v>7</v>
      </c>
      <c r="J14" t="s">
        <v>71</v>
      </c>
      <c r="K14" t="s">
        <v>32</v>
      </c>
      <c r="L14" t="s">
        <v>74</v>
      </c>
      <c r="M14">
        <v>1</v>
      </c>
    </row>
    <row r="15" spans="1:13" x14ac:dyDescent="0.25">
      <c r="A15" s="1">
        <v>46136</v>
      </c>
      <c r="B15" s="1" t="str">
        <f ca="1">IF(Información1[[#This Row],[Fecha]]='Ajuste de fechas'!$A$2,"Día actual","Día anterior")</f>
        <v>Día actual</v>
      </c>
      <c r="C15" t="s">
        <v>31</v>
      </c>
      <c r="D15" t="s">
        <v>33</v>
      </c>
      <c r="E15" t="s">
        <v>239</v>
      </c>
      <c r="F15" t="s">
        <v>104</v>
      </c>
      <c r="G15" t="s">
        <v>96</v>
      </c>
      <c r="H15" t="s">
        <v>11</v>
      </c>
      <c r="I15" t="s">
        <v>7</v>
      </c>
      <c r="J15" t="s">
        <v>71</v>
      </c>
      <c r="K15" t="s">
        <v>32</v>
      </c>
      <c r="L15" t="s">
        <v>74</v>
      </c>
      <c r="M15">
        <v>1</v>
      </c>
    </row>
    <row r="16" spans="1:13" x14ac:dyDescent="0.25">
      <c r="A16" s="1">
        <v>46136</v>
      </c>
      <c r="B16" s="1" t="str">
        <f ca="1">IF(Información1[[#This Row],[Fecha]]='Ajuste de fechas'!$A$2,"Día actual","Día anterior")</f>
        <v>Día actual</v>
      </c>
      <c r="C16" t="s">
        <v>31</v>
      </c>
      <c r="D16" t="s">
        <v>33</v>
      </c>
      <c r="E16" t="s">
        <v>240</v>
      </c>
      <c r="F16" t="s">
        <v>106</v>
      </c>
      <c r="G16" t="s">
        <v>241</v>
      </c>
      <c r="H16" t="s">
        <v>11</v>
      </c>
      <c r="I16" t="s">
        <v>7</v>
      </c>
      <c r="J16" t="s">
        <v>71</v>
      </c>
      <c r="K16" t="s">
        <v>32</v>
      </c>
      <c r="L16" t="s">
        <v>74</v>
      </c>
      <c r="M16">
        <v>1</v>
      </c>
    </row>
    <row r="17" spans="1:13" x14ac:dyDescent="0.25">
      <c r="A17" s="1">
        <v>46136</v>
      </c>
      <c r="B17" s="1" t="str">
        <f ca="1">IF(Información1[[#This Row],[Fecha]]='Ajuste de fechas'!$A$2,"Día actual","Día anterior")</f>
        <v>Día actual</v>
      </c>
      <c r="C17" t="s">
        <v>31</v>
      </c>
      <c r="D17" t="s">
        <v>33</v>
      </c>
      <c r="E17" t="s">
        <v>242</v>
      </c>
      <c r="F17" t="s">
        <v>98</v>
      </c>
      <c r="G17" t="s">
        <v>136</v>
      </c>
      <c r="H17" t="s">
        <v>11</v>
      </c>
      <c r="I17" t="s">
        <v>7</v>
      </c>
      <c r="J17" t="s">
        <v>71</v>
      </c>
      <c r="K17" t="s">
        <v>32</v>
      </c>
      <c r="L17" t="s">
        <v>74</v>
      </c>
      <c r="M17">
        <v>1</v>
      </c>
    </row>
    <row r="18" spans="1:13" x14ac:dyDescent="0.25">
      <c r="A18" s="1">
        <v>46136</v>
      </c>
      <c r="B18" s="1" t="str">
        <f ca="1">IF(Información1[[#This Row],[Fecha]]='Ajuste de fechas'!$A$2,"Día actual","Día anterior")</f>
        <v>Día actual</v>
      </c>
      <c r="C18" t="s">
        <v>31</v>
      </c>
      <c r="D18" t="s">
        <v>33</v>
      </c>
      <c r="E18" t="s">
        <v>243</v>
      </c>
      <c r="F18" t="s">
        <v>107</v>
      </c>
      <c r="G18" t="s">
        <v>244</v>
      </c>
      <c r="H18" t="s">
        <v>11</v>
      </c>
      <c r="I18" t="s">
        <v>7</v>
      </c>
      <c r="J18" t="s">
        <v>71</v>
      </c>
      <c r="K18" t="s">
        <v>32</v>
      </c>
      <c r="L18" t="s">
        <v>74</v>
      </c>
      <c r="M18">
        <v>1</v>
      </c>
    </row>
    <row r="19" spans="1:13" x14ac:dyDescent="0.25">
      <c r="A19" s="1">
        <v>46136</v>
      </c>
      <c r="B19" s="1" t="str">
        <f ca="1">IF(Información1[[#This Row],[Fecha]]='Ajuste de fechas'!$A$2,"Día actual","Día anterior")</f>
        <v>Día actual</v>
      </c>
      <c r="C19" t="s">
        <v>31</v>
      </c>
      <c r="D19" t="s">
        <v>33</v>
      </c>
      <c r="E19" t="s">
        <v>245</v>
      </c>
      <c r="F19" t="s">
        <v>56</v>
      </c>
      <c r="G19" t="s">
        <v>87</v>
      </c>
      <c r="H19" t="s">
        <v>11</v>
      </c>
      <c r="I19" t="s">
        <v>7</v>
      </c>
      <c r="J19" t="s">
        <v>71</v>
      </c>
      <c r="K19" t="s">
        <v>32</v>
      </c>
      <c r="L19" t="s">
        <v>74</v>
      </c>
      <c r="M19">
        <v>1</v>
      </c>
    </row>
    <row r="20" spans="1:13" x14ac:dyDescent="0.25">
      <c r="A20" s="1">
        <v>46136</v>
      </c>
      <c r="B20" s="1" t="str">
        <f ca="1">IF(Información1[[#This Row],[Fecha]]='Ajuste de fechas'!$A$2,"Día actual","Día anterior")</f>
        <v>Día actual</v>
      </c>
      <c r="C20" t="s">
        <v>51</v>
      </c>
      <c r="D20" t="s">
        <v>53</v>
      </c>
      <c r="E20" t="s">
        <v>246</v>
      </c>
      <c r="F20" t="s">
        <v>19</v>
      </c>
      <c r="G20" t="s">
        <v>210</v>
      </c>
      <c r="H20" t="s">
        <v>11</v>
      </c>
      <c r="I20" t="s">
        <v>7</v>
      </c>
      <c r="J20" t="s">
        <v>75</v>
      </c>
      <c r="K20" t="s">
        <v>52</v>
      </c>
      <c r="L20" t="s">
        <v>72</v>
      </c>
      <c r="M20">
        <v>1</v>
      </c>
    </row>
    <row r="21" spans="1:13" x14ac:dyDescent="0.25">
      <c r="A21" s="1">
        <v>46136</v>
      </c>
      <c r="B21" s="1" t="str">
        <f ca="1">IF(Información1[[#This Row],[Fecha]]='Ajuste de fechas'!$A$2,"Día actual","Día anterior")</f>
        <v>Día actual</v>
      </c>
      <c r="C21" t="s">
        <v>51</v>
      </c>
      <c r="D21" t="s">
        <v>53</v>
      </c>
      <c r="E21" t="s">
        <v>247</v>
      </c>
      <c r="F21" t="s">
        <v>19</v>
      </c>
      <c r="G21" t="s">
        <v>248</v>
      </c>
      <c r="H21" t="s">
        <v>11</v>
      </c>
      <c r="I21" t="s">
        <v>7</v>
      </c>
      <c r="J21" t="s">
        <v>75</v>
      </c>
      <c r="K21" t="s">
        <v>52</v>
      </c>
      <c r="L21" t="s">
        <v>72</v>
      </c>
      <c r="M21">
        <v>1</v>
      </c>
    </row>
    <row r="22" spans="1:13" x14ac:dyDescent="0.25">
      <c r="A22" s="1">
        <v>46136</v>
      </c>
      <c r="B22" s="1" t="str">
        <f ca="1">IF(Información1[[#This Row],[Fecha]]='Ajuste de fechas'!$A$2,"Día actual","Día anterior")</f>
        <v>Día actual</v>
      </c>
      <c r="C22" t="s">
        <v>51</v>
      </c>
      <c r="D22" t="s">
        <v>53</v>
      </c>
      <c r="E22" t="s">
        <v>235</v>
      </c>
      <c r="F22" t="s">
        <v>25</v>
      </c>
      <c r="G22" t="s">
        <v>236</v>
      </c>
      <c r="H22" t="s">
        <v>11</v>
      </c>
      <c r="I22" t="s">
        <v>7</v>
      </c>
      <c r="J22" t="s">
        <v>71</v>
      </c>
      <c r="K22" t="s">
        <v>43</v>
      </c>
      <c r="L22" t="s">
        <v>74</v>
      </c>
      <c r="M22">
        <v>1</v>
      </c>
    </row>
    <row r="23" spans="1:13" x14ac:dyDescent="0.25">
      <c r="A23" s="1">
        <v>46136</v>
      </c>
      <c r="B23" s="1" t="str">
        <f ca="1">IF(Información1[[#This Row],[Fecha]]='Ajuste de fechas'!$A$2,"Día actual","Día anterior")</f>
        <v>Día actual</v>
      </c>
      <c r="C23" t="s">
        <v>51</v>
      </c>
      <c r="D23" t="s">
        <v>53</v>
      </c>
      <c r="E23" t="s">
        <v>245</v>
      </c>
      <c r="F23" t="s">
        <v>56</v>
      </c>
      <c r="G23" t="s">
        <v>87</v>
      </c>
      <c r="H23" t="s">
        <v>11</v>
      </c>
      <c r="I23" t="s">
        <v>7</v>
      </c>
      <c r="J23" t="s">
        <v>71</v>
      </c>
      <c r="K23" t="s">
        <v>43</v>
      </c>
      <c r="L23" t="s">
        <v>74</v>
      </c>
      <c r="M23">
        <v>1</v>
      </c>
    </row>
    <row r="24" spans="1:13" x14ac:dyDescent="0.25">
      <c r="A24" s="1">
        <v>46136</v>
      </c>
      <c r="B24" s="1" t="str">
        <f ca="1">IF(Información1[[#This Row],[Fecha]]='Ajuste de fechas'!$A$2,"Día actual","Día anterior")</f>
        <v>Día actual</v>
      </c>
      <c r="C24" t="s">
        <v>51</v>
      </c>
      <c r="D24" t="s">
        <v>53</v>
      </c>
      <c r="E24" t="s">
        <v>249</v>
      </c>
      <c r="F24" t="s">
        <v>24</v>
      </c>
      <c r="G24" t="s">
        <v>250</v>
      </c>
      <c r="H24" t="s">
        <v>11</v>
      </c>
      <c r="I24" t="s">
        <v>7</v>
      </c>
      <c r="J24" t="s">
        <v>71</v>
      </c>
      <c r="K24" t="s">
        <v>43</v>
      </c>
      <c r="L24" t="s">
        <v>74</v>
      </c>
      <c r="M24">
        <v>1</v>
      </c>
    </row>
    <row r="25" spans="1:13" x14ac:dyDescent="0.25">
      <c r="A25" s="1">
        <v>46136</v>
      </c>
      <c r="B25" s="1" t="str">
        <f ca="1">IF(Información1[[#This Row],[Fecha]]='Ajuste de fechas'!$A$2,"Día actual","Día anterior")</f>
        <v>Día actual</v>
      </c>
      <c r="C25" t="s">
        <v>38</v>
      </c>
      <c r="D25" t="s">
        <v>40</v>
      </c>
      <c r="E25" t="s">
        <v>251</v>
      </c>
      <c r="F25" t="s">
        <v>47</v>
      </c>
      <c r="G25" t="s">
        <v>252</v>
      </c>
      <c r="H25" t="s">
        <v>11</v>
      </c>
      <c r="I25" t="s">
        <v>27</v>
      </c>
      <c r="J25" t="s">
        <v>71</v>
      </c>
      <c r="K25" t="s">
        <v>63</v>
      </c>
      <c r="L25" t="s">
        <v>72</v>
      </c>
      <c r="M25">
        <v>1</v>
      </c>
    </row>
    <row r="26" spans="1:13" x14ac:dyDescent="0.25">
      <c r="A26" s="1">
        <v>46136</v>
      </c>
      <c r="B26" s="1" t="str">
        <f ca="1">IF(Información1[[#This Row],[Fecha]]='Ajuste de fechas'!$A$2,"Día actual","Día anterior")</f>
        <v>Día actual</v>
      </c>
      <c r="C26" t="s">
        <v>38</v>
      </c>
      <c r="D26" t="s">
        <v>40</v>
      </c>
      <c r="E26" t="s">
        <v>253</v>
      </c>
      <c r="F26" t="s">
        <v>19</v>
      </c>
      <c r="G26" t="s">
        <v>100</v>
      </c>
      <c r="H26" t="s">
        <v>11</v>
      </c>
      <c r="I26" t="s">
        <v>7</v>
      </c>
      <c r="J26" t="s">
        <v>75</v>
      </c>
      <c r="K26" t="s">
        <v>9</v>
      </c>
      <c r="L26" t="s">
        <v>73</v>
      </c>
      <c r="M26">
        <v>1</v>
      </c>
    </row>
    <row r="27" spans="1:13" x14ac:dyDescent="0.25">
      <c r="A27" s="1">
        <v>46136</v>
      </c>
      <c r="B27" s="1" t="str">
        <f ca="1">IF(Información1[[#This Row],[Fecha]]='Ajuste de fechas'!$A$2,"Día actual","Día anterior")</f>
        <v>Día actual</v>
      </c>
      <c r="C27" t="s">
        <v>38</v>
      </c>
      <c r="D27" t="s">
        <v>40</v>
      </c>
      <c r="E27" t="s">
        <v>254</v>
      </c>
      <c r="F27" t="s">
        <v>26</v>
      </c>
      <c r="G27" t="s">
        <v>116</v>
      </c>
      <c r="H27" t="s">
        <v>11</v>
      </c>
      <c r="I27" t="s">
        <v>7</v>
      </c>
      <c r="J27" t="s">
        <v>26</v>
      </c>
      <c r="K27" t="s">
        <v>63</v>
      </c>
      <c r="L27" t="s">
        <v>73</v>
      </c>
      <c r="M27">
        <v>1</v>
      </c>
    </row>
    <row r="28" spans="1:13" x14ac:dyDescent="0.25">
      <c r="A28" s="1">
        <v>46136</v>
      </c>
      <c r="B28" s="1" t="str">
        <f ca="1">IF(Información1[[#This Row],[Fecha]]='Ajuste de fechas'!$A$2,"Día actual","Día anterior")</f>
        <v>Día actual</v>
      </c>
      <c r="C28" t="s">
        <v>38</v>
      </c>
      <c r="D28" t="s">
        <v>40</v>
      </c>
      <c r="E28" t="s">
        <v>255</v>
      </c>
      <c r="F28" t="s">
        <v>22</v>
      </c>
      <c r="G28" t="s">
        <v>116</v>
      </c>
      <c r="H28" t="s">
        <v>11</v>
      </c>
      <c r="I28" t="s">
        <v>7</v>
      </c>
      <c r="J28" t="s">
        <v>26</v>
      </c>
      <c r="K28" t="s">
        <v>63</v>
      </c>
      <c r="L28" t="s">
        <v>72</v>
      </c>
      <c r="M28">
        <v>1</v>
      </c>
    </row>
    <row r="29" spans="1:13" x14ac:dyDescent="0.25">
      <c r="A29" s="1">
        <v>46136</v>
      </c>
      <c r="B29" s="1" t="str">
        <f ca="1">IF(Información1[[#This Row],[Fecha]]='Ajuste de fechas'!$A$2,"Día actual","Día anterior")</f>
        <v>Día actual</v>
      </c>
      <c r="C29" t="s">
        <v>38</v>
      </c>
      <c r="D29" t="s">
        <v>40</v>
      </c>
      <c r="E29" t="s">
        <v>256</v>
      </c>
      <c r="F29" t="s">
        <v>19</v>
      </c>
      <c r="G29" t="s">
        <v>92</v>
      </c>
      <c r="H29" t="s">
        <v>11</v>
      </c>
      <c r="I29" t="s">
        <v>7</v>
      </c>
      <c r="J29" t="s">
        <v>75</v>
      </c>
      <c r="K29" t="s">
        <v>63</v>
      </c>
      <c r="L29" t="s">
        <v>72</v>
      </c>
      <c r="M29">
        <v>1</v>
      </c>
    </row>
    <row r="30" spans="1:13" x14ac:dyDescent="0.25">
      <c r="A30" s="1">
        <v>46136</v>
      </c>
      <c r="B30" s="1" t="str">
        <f ca="1">IF(Información1[[#This Row],[Fecha]]='Ajuste de fechas'!$A$2,"Día actual","Día anterior")</f>
        <v>Día actual</v>
      </c>
      <c r="C30" t="s">
        <v>38</v>
      </c>
      <c r="D30" t="s">
        <v>40</v>
      </c>
      <c r="E30" t="s">
        <v>257</v>
      </c>
      <c r="F30" t="s">
        <v>19</v>
      </c>
      <c r="G30" t="s">
        <v>258</v>
      </c>
      <c r="H30" t="s">
        <v>11</v>
      </c>
      <c r="I30" t="s">
        <v>7</v>
      </c>
      <c r="J30" t="s">
        <v>75</v>
      </c>
      <c r="K30" t="s">
        <v>63</v>
      </c>
      <c r="L30" t="s">
        <v>72</v>
      </c>
      <c r="M30">
        <v>1</v>
      </c>
    </row>
    <row r="31" spans="1:13" x14ac:dyDescent="0.25">
      <c r="A31" s="1">
        <v>46136</v>
      </c>
      <c r="B31" s="1" t="str">
        <f ca="1">IF(Información1[[#This Row],[Fecha]]='Ajuste de fechas'!$A$2,"Día actual","Día anterior")</f>
        <v>Día actual</v>
      </c>
      <c r="C31" t="s">
        <v>38</v>
      </c>
      <c r="D31" t="s">
        <v>40</v>
      </c>
      <c r="E31" t="s">
        <v>259</v>
      </c>
      <c r="F31" t="s">
        <v>19</v>
      </c>
      <c r="G31" t="s">
        <v>260</v>
      </c>
      <c r="H31" t="s">
        <v>11</v>
      </c>
      <c r="I31" t="s">
        <v>7</v>
      </c>
      <c r="J31" t="s">
        <v>75</v>
      </c>
      <c r="K31" t="s">
        <v>63</v>
      </c>
      <c r="L31" t="s">
        <v>72</v>
      </c>
      <c r="M31">
        <v>1</v>
      </c>
    </row>
    <row r="32" spans="1:13" x14ac:dyDescent="0.25">
      <c r="A32" s="1">
        <v>46136</v>
      </c>
      <c r="B32" s="1" t="str">
        <f ca="1">IF(Información1[[#This Row],[Fecha]]='Ajuste de fechas'!$A$2,"Día actual","Día anterior")</f>
        <v>Día actual</v>
      </c>
      <c r="C32" t="s">
        <v>38</v>
      </c>
      <c r="D32" t="s">
        <v>40</v>
      </c>
      <c r="E32" t="s">
        <v>261</v>
      </c>
      <c r="F32" t="s">
        <v>23</v>
      </c>
      <c r="G32" t="s">
        <v>130</v>
      </c>
      <c r="H32" t="s">
        <v>11</v>
      </c>
      <c r="I32" t="s">
        <v>7</v>
      </c>
      <c r="J32" t="s">
        <v>76</v>
      </c>
      <c r="K32" t="s">
        <v>63</v>
      </c>
      <c r="L32" t="s">
        <v>72</v>
      </c>
      <c r="M32">
        <v>1</v>
      </c>
    </row>
    <row r="33" spans="1:13" x14ac:dyDescent="0.25">
      <c r="A33" s="1">
        <v>46136</v>
      </c>
      <c r="B33" s="1" t="str">
        <f ca="1">IF(Información1[[#This Row],[Fecha]]='Ajuste de fechas'!$A$2,"Día actual","Día anterior")</f>
        <v>Día actual</v>
      </c>
      <c r="C33" t="s">
        <v>38</v>
      </c>
      <c r="D33" t="s">
        <v>40</v>
      </c>
      <c r="E33" t="s">
        <v>262</v>
      </c>
      <c r="F33" t="s">
        <v>23</v>
      </c>
      <c r="G33" t="s">
        <v>263</v>
      </c>
      <c r="H33" t="s">
        <v>11</v>
      </c>
      <c r="I33" t="s">
        <v>7</v>
      </c>
      <c r="J33" t="s">
        <v>76</v>
      </c>
      <c r="K33" t="s">
        <v>63</v>
      </c>
      <c r="L33" t="s">
        <v>77</v>
      </c>
      <c r="M33">
        <v>1</v>
      </c>
    </row>
    <row r="34" spans="1:13" x14ac:dyDescent="0.25">
      <c r="A34" s="1">
        <v>46136</v>
      </c>
      <c r="B34" s="1" t="str">
        <f ca="1">IF(Información1[[#This Row],[Fecha]]='Ajuste de fechas'!$A$2,"Día actual","Día anterior")</f>
        <v>Día actual</v>
      </c>
      <c r="C34" t="s">
        <v>38</v>
      </c>
      <c r="D34" t="s">
        <v>41</v>
      </c>
      <c r="E34" t="s">
        <v>264</v>
      </c>
      <c r="F34" t="s">
        <v>26</v>
      </c>
      <c r="G34" t="s">
        <v>108</v>
      </c>
      <c r="H34" t="s">
        <v>11</v>
      </c>
      <c r="I34" t="s">
        <v>7</v>
      </c>
      <c r="J34" t="s">
        <v>26</v>
      </c>
      <c r="K34" t="s">
        <v>39</v>
      </c>
      <c r="L34" t="s">
        <v>77</v>
      </c>
      <c r="M34">
        <v>1</v>
      </c>
    </row>
    <row r="35" spans="1:13" x14ac:dyDescent="0.25">
      <c r="A35" s="1">
        <v>46136</v>
      </c>
      <c r="B35" s="1" t="str">
        <f ca="1">IF(Información1[[#This Row],[Fecha]]='Ajuste de fechas'!$A$2,"Día actual","Día anterior")</f>
        <v>Día actual</v>
      </c>
      <c r="C35" t="s">
        <v>38</v>
      </c>
      <c r="D35" t="s">
        <v>41</v>
      </c>
      <c r="E35" t="s">
        <v>265</v>
      </c>
      <c r="F35" t="s">
        <v>19</v>
      </c>
      <c r="G35" t="s">
        <v>266</v>
      </c>
      <c r="H35" t="s">
        <v>11</v>
      </c>
      <c r="I35" t="s">
        <v>7</v>
      </c>
      <c r="J35" t="s">
        <v>75</v>
      </c>
      <c r="K35" t="s">
        <v>39</v>
      </c>
      <c r="L35" t="s">
        <v>72</v>
      </c>
      <c r="M35">
        <v>1</v>
      </c>
    </row>
    <row r="36" spans="1:13" x14ac:dyDescent="0.25">
      <c r="A36" s="1">
        <v>46136</v>
      </c>
      <c r="B36" s="1" t="str">
        <f ca="1">IF(Información1[[#This Row],[Fecha]]='Ajuste de fechas'!$A$2,"Día actual","Día anterior")</f>
        <v>Día actual</v>
      </c>
      <c r="C36" t="s">
        <v>38</v>
      </c>
      <c r="D36" t="s">
        <v>41</v>
      </c>
      <c r="E36" t="s">
        <v>267</v>
      </c>
      <c r="F36" t="s">
        <v>21</v>
      </c>
      <c r="G36" t="s">
        <v>232</v>
      </c>
      <c r="H36" t="s">
        <v>11</v>
      </c>
      <c r="I36" t="s">
        <v>7</v>
      </c>
      <c r="J36" t="s">
        <v>71</v>
      </c>
      <c r="K36" t="s">
        <v>39</v>
      </c>
      <c r="L36" t="s">
        <v>73</v>
      </c>
      <c r="M36">
        <v>1</v>
      </c>
    </row>
    <row r="37" spans="1:13" x14ac:dyDescent="0.25">
      <c r="A37" s="1">
        <v>46136</v>
      </c>
      <c r="B37" s="1" t="str">
        <f ca="1">IF(Información1[[#This Row],[Fecha]]='Ajuste de fechas'!$A$2,"Día actual","Día anterior")</f>
        <v>Día actual</v>
      </c>
      <c r="C37" t="s">
        <v>38</v>
      </c>
      <c r="D37" t="s">
        <v>41</v>
      </c>
      <c r="E37" t="s">
        <v>233</v>
      </c>
      <c r="F37" t="s">
        <v>56</v>
      </c>
      <c r="G37" t="s">
        <v>234</v>
      </c>
      <c r="H37" t="s">
        <v>11</v>
      </c>
      <c r="I37" t="s">
        <v>7</v>
      </c>
      <c r="J37" t="s">
        <v>71</v>
      </c>
      <c r="K37" t="s">
        <v>39</v>
      </c>
      <c r="L37" t="s">
        <v>74</v>
      </c>
      <c r="M37">
        <v>1</v>
      </c>
    </row>
    <row r="38" spans="1:13" x14ac:dyDescent="0.25">
      <c r="A38" s="1">
        <v>46136</v>
      </c>
      <c r="B38" s="1" t="str">
        <f ca="1">IF(Información1[[#This Row],[Fecha]]='Ajuste de fechas'!$A$2,"Día actual","Día anterior")</f>
        <v>Día actual</v>
      </c>
      <c r="C38" t="s">
        <v>38</v>
      </c>
      <c r="D38" t="s">
        <v>41</v>
      </c>
      <c r="E38" t="s">
        <v>235</v>
      </c>
      <c r="F38" t="s">
        <v>25</v>
      </c>
      <c r="G38" t="s">
        <v>236</v>
      </c>
      <c r="H38" t="s">
        <v>11</v>
      </c>
      <c r="I38" t="s">
        <v>7</v>
      </c>
      <c r="J38" t="s">
        <v>71</v>
      </c>
      <c r="K38" t="s">
        <v>39</v>
      </c>
      <c r="L38" t="s">
        <v>74</v>
      </c>
      <c r="M38">
        <v>1</v>
      </c>
    </row>
    <row r="39" spans="1:13" x14ac:dyDescent="0.25">
      <c r="A39" s="1">
        <v>46136</v>
      </c>
      <c r="B39" s="1" t="str">
        <f ca="1">IF(Información1[[#This Row],[Fecha]]='Ajuste de fechas'!$A$2,"Día actual","Día anterior")</f>
        <v>Día actual</v>
      </c>
      <c r="C39" t="s">
        <v>38</v>
      </c>
      <c r="D39" t="s">
        <v>41</v>
      </c>
      <c r="E39" t="s">
        <v>268</v>
      </c>
      <c r="F39" t="s">
        <v>25</v>
      </c>
      <c r="G39" t="s">
        <v>84</v>
      </c>
      <c r="H39" t="s">
        <v>11</v>
      </c>
      <c r="I39" t="s">
        <v>7</v>
      </c>
      <c r="J39" t="s">
        <v>71</v>
      </c>
      <c r="K39" t="s">
        <v>39</v>
      </c>
      <c r="L39" t="s">
        <v>72</v>
      </c>
      <c r="M39">
        <v>1</v>
      </c>
    </row>
    <row r="40" spans="1:13" x14ac:dyDescent="0.25">
      <c r="A40" s="1">
        <v>46136</v>
      </c>
      <c r="B40" s="1" t="str">
        <f ca="1">IF(Información1[[#This Row],[Fecha]]='Ajuste de fechas'!$A$2,"Día actual","Día anterior")</f>
        <v>Día actual</v>
      </c>
      <c r="C40" t="s">
        <v>38</v>
      </c>
      <c r="D40" t="s">
        <v>41</v>
      </c>
      <c r="E40" t="s">
        <v>269</v>
      </c>
      <c r="F40" t="s">
        <v>19</v>
      </c>
      <c r="G40" t="s">
        <v>84</v>
      </c>
      <c r="H40" t="s">
        <v>11</v>
      </c>
      <c r="I40" t="s">
        <v>7</v>
      </c>
      <c r="J40" t="s">
        <v>75</v>
      </c>
      <c r="K40" t="s">
        <v>39</v>
      </c>
      <c r="L40" t="s">
        <v>72</v>
      </c>
      <c r="M40">
        <v>1</v>
      </c>
    </row>
    <row r="41" spans="1:13" x14ac:dyDescent="0.25">
      <c r="A41" s="1">
        <v>46136</v>
      </c>
      <c r="B41" s="1" t="str">
        <f ca="1">IF(Información1[[#This Row],[Fecha]]='Ajuste de fechas'!$A$2,"Día actual","Día anterior")</f>
        <v>Día actual</v>
      </c>
      <c r="C41" t="s">
        <v>38</v>
      </c>
      <c r="D41" t="s">
        <v>41</v>
      </c>
      <c r="E41" t="s">
        <v>270</v>
      </c>
      <c r="F41" t="s">
        <v>21</v>
      </c>
      <c r="G41" t="s">
        <v>232</v>
      </c>
      <c r="H41" t="s">
        <v>11</v>
      </c>
      <c r="I41" t="s">
        <v>7</v>
      </c>
      <c r="J41" t="s">
        <v>71</v>
      </c>
      <c r="K41" t="s">
        <v>39</v>
      </c>
      <c r="L41" t="s">
        <v>72</v>
      </c>
      <c r="M41">
        <v>1</v>
      </c>
    </row>
    <row r="42" spans="1:13" x14ac:dyDescent="0.25">
      <c r="A42" s="1">
        <v>46136</v>
      </c>
      <c r="B42" s="1" t="str">
        <f ca="1">IF(Información1[[#This Row],[Fecha]]='Ajuste de fechas'!$A$2,"Día actual","Día anterior")</f>
        <v>Día actual</v>
      </c>
      <c r="C42" t="s">
        <v>38</v>
      </c>
      <c r="D42" t="s">
        <v>41</v>
      </c>
      <c r="E42" t="s">
        <v>271</v>
      </c>
      <c r="F42" t="s">
        <v>23</v>
      </c>
      <c r="G42" t="s">
        <v>130</v>
      </c>
      <c r="H42" t="s">
        <v>11</v>
      </c>
      <c r="I42" t="s">
        <v>7</v>
      </c>
      <c r="J42" t="s">
        <v>76</v>
      </c>
      <c r="K42" t="s">
        <v>39</v>
      </c>
      <c r="L42" t="s">
        <v>72</v>
      </c>
      <c r="M42">
        <v>1</v>
      </c>
    </row>
    <row r="43" spans="1:13" x14ac:dyDescent="0.25">
      <c r="A43" s="1">
        <v>46136</v>
      </c>
      <c r="B43" s="1" t="str">
        <f ca="1">IF(Información1[[#This Row],[Fecha]]='Ajuste de fechas'!$A$2,"Día actual","Día anterior")</f>
        <v>Día actual</v>
      </c>
      <c r="C43" t="s">
        <v>8</v>
      </c>
      <c r="D43" t="s">
        <v>10</v>
      </c>
      <c r="E43" t="s">
        <v>272</v>
      </c>
      <c r="F43" t="s">
        <v>19</v>
      </c>
      <c r="G43" t="s">
        <v>29</v>
      </c>
      <c r="H43" t="s">
        <v>11</v>
      </c>
      <c r="I43" t="s">
        <v>27</v>
      </c>
      <c r="J43" t="s">
        <v>75</v>
      </c>
      <c r="K43" t="s">
        <v>14</v>
      </c>
      <c r="L43" t="s">
        <v>73</v>
      </c>
      <c r="M43">
        <v>1</v>
      </c>
    </row>
    <row r="44" spans="1:13" x14ac:dyDescent="0.25">
      <c r="A44" s="1">
        <v>46136</v>
      </c>
      <c r="B44" s="1" t="str">
        <f ca="1">IF(Información1[[#This Row],[Fecha]]='Ajuste de fechas'!$A$2,"Día actual","Día anterior")</f>
        <v>Día actual</v>
      </c>
      <c r="C44" t="s">
        <v>8</v>
      </c>
      <c r="D44" t="s">
        <v>10</v>
      </c>
      <c r="E44" t="s">
        <v>101</v>
      </c>
      <c r="F44" t="s">
        <v>19</v>
      </c>
      <c r="G44" t="s">
        <v>102</v>
      </c>
      <c r="H44" t="s">
        <v>11</v>
      </c>
      <c r="I44" t="s">
        <v>27</v>
      </c>
      <c r="J44" t="s">
        <v>75</v>
      </c>
      <c r="K44" t="s">
        <v>14</v>
      </c>
      <c r="L44" t="s">
        <v>73</v>
      </c>
      <c r="M44">
        <v>1</v>
      </c>
    </row>
    <row r="45" spans="1:13" x14ac:dyDescent="0.25">
      <c r="A45" s="1">
        <v>46136</v>
      </c>
      <c r="B45" s="1" t="str">
        <f ca="1">IF(Información1[[#This Row],[Fecha]]='Ajuste de fechas'!$A$2,"Día actual","Día anterior")</f>
        <v>Día actual</v>
      </c>
      <c r="C45" t="s">
        <v>8</v>
      </c>
      <c r="D45" t="s">
        <v>10</v>
      </c>
      <c r="E45" t="s">
        <v>273</v>
      </c>
      <c r="F45" t="s">
        <v>17</v>
      </c>
      <c r="G45" t="s">
        <v>115</v>
      </c>
      <c r="H45" t="s">
        <v>11</v>
      </c>
      <c r="I45" t="s">
        <v>27</v>
      </c>
      <c r="J45" t="s">
        <v>71</v>
      </c>
      <c r="K45" t="s">
        <v>14</v>
      </c>
      <c r="L45" t="s">
        <v>73</v>
      </c>
      <c r="M45">
        <v>1</v>
      </c>
    </row>
    <row r="46" spans="1:13" x14ac:dyDescent="0.25">
      <c r="A46" s="1">
        <v>46136</v>
      </c>
      <c r="B46" s="1" t="str">
        <f ca="1">IF(Información1[[#This Row],[Fecha]]='Ajuste de fechas'!$A$2,"Día actual","Día anterior")</f>
        <v>Día actual</v>
      </c>
      <c r="C46" t="s">
        <v>8</v>
      </c>
      <c r="D46" t="s">
        <v>10</v>
      </c>
      <c r="E46" t="s">
        <v>274</v>
      </c>
      <c r="F46" t="s">
        <v>50</v>
      </c>
      <c r="G46" t="s">
        <v>118</v>
      </c>
      <c r="H46" t="s">
        <v>11</v>
      </c>
      <c r="I46" t="s">
        <v>27</v>
      </c>
      <c r="J46" t="s">
        <v>71</v>
      </c>
      <c r="K46" t="s">
        <v>14</v>
      </c>
      <c r="L46" t="s">
        <v>73</v>
      </c>
      <c r="M46">
        <v>1</v>
      </c>
    </row>
    <row r="47" spans="1:13" x14ac:dyDescent="0.25">
      <c r="A47" s="1">
        <v>46136</v>
      </c>
      <c r="B47" s="1" t="str">
        <f ca="1">IF(Información1[[#This Row],[Fecha]]='Ajuste de fechas'!$A$2,"Día actual","Día anterior")</f>
        <v>Día actual</v>
      </c>
      <c r="C47" t="s">
        <v>8</v>
      </c>
      <c r="D47" t="s">
        <v>10</v>
      </c>
      <c r="E47" t="s">
        <v>275</v>
      </c>
      <c r="F47" t="s">
        <v>6</v>
      </c>
      <c r="G47" t="s">
        <v>83</v>
      </c>
      <c r="H47" t="s">
        <v>11</v>
      </c>
      <c r="I47" t="s">
        <v>27</v>
      </c>
      <c r="J47" t="s">
        <v>71</v>
      </c>
      <c r="K47" t="s">
        <v>14</v>
      </c>
      <c r="L47" t="s">
        <v>73</v>
      </c>
      <c r="M47">
        <v>1</v>
      </c>
    </row>
    <row r="48" spans="1:13" x14ac:dyDescent="0.25">
      <c r="A48" s="1">
        <v>46136</v>
      </c>
      <c r="B48" s="1" t="str">
        <f ca="1">IF(Información1[[#This Row],[Fecha]]='Ajuste de fechas'!$A$2,"Día actual","Día anterior")</f>
        <v>Día actual</v>
      </c>
      <c r="C48" t="s">
        <v>8</v>
      </c>
      <c r="D48" t="s">
        <v>10</v>
      </c>
      <c r="E48" t="s">
        <v>276</v>
      </c>
      <c r="F48" t="s">
        <v>6</v>
      </c>
      <c r="G48" t="s">
        <v>277</v>
      </c>
      <c r="H48" t="s">
        <v>11</v>
      </c>
      <c r="I48" t="s">
        <v>27</v>
      </c>
      <c r="J48" t="s">
        <v>71</v>
      </c>
      <c r="K48" t="s">
        <v>14</v>
      </c>
      <c r="L48" t="s">
        <v>73</v>
      </c>
      <c r="M48">
        <v>1</v>
      </c>
    </row>
    <row r="49" spans="1:13" x14ac:dyDescent="0.25">
      <c r="A49" s="1">
        <v>46136</v>
      </c>
      <c r="B49" s="1" t="str">
        <f ca="1">IF(Información1[[#This Row],[Fecha]]='Ajuste de fechas'!$A$2,"Día actual","Día anterior")</f>
        <v>Día actual</v>
      </c>
      <c r="C49" t="s">
        <v>8</v>
      </c>
      <c r="D49" t="s">
        <v>10</v>
      </c>
      <c r="E49" t="s">
        <v>278</v>
      </c>
      <c r="F49" t="s">
        <v>98</v>
      </c>
      <c r="G49" t="s">
        <v>92</v>
      </c>
      <c r="H49" t="s">
        <v>11</v>
      </c>
      <c r="I49" t="s">
        <v>7</v>
      </c>
      <c r="J49" t="s">
        <v>71</v>
      </c>
      <c r="K49" t="s">
        <v>14</v>
      </c>
      <c r="L49" t="s">
        <v>73</v>
      </c>
      <c r="M49">
        <v>1</v>
      </c>
    </row>
    <row r="50" spans="1:13" x14ac:dyDescent="0.25">
      <c r="A50" s="1">
        <v>46136</v>
      </c>
      <c r="B50" s="1" t="str">
        <f ca="1">IF(Información1[[#This Row],[Fecha]]='Ajuste de fechas'!$A$2,"Día actual","Día anterior")</f>
        <v>Día actual</v>
      </c>
      <c r="C50" t="s">
        <v>8</v>
      </c>
      <c r="D50" t="s">
        <v>10</v>
      </c>
      <c r="E50" t="s">
        <v>279</v>
      </c>
      <c r="F50" t="s">
        <v>24</v>
      </c>
      <c r="G50" t="s">
        <v>81</v>
      </c>
      <c r="H50" t="s">
        <v>11</v>
      </c>
      <c r="I50" t="s">
        <v>7</v>
      </c>
      <c r="J50" t="s">
        <v>71</v>
      </c>
      <c r="K50" t="s">
        <v>14</v>
      </c>
      <c r="L50" t="s">
        <v>74</v>
      </c>
      <c r="M50">
        <v>1</v>
      </c>
    </row>
    <row r="51" spans="1:13" x14ac:dyDescent="0.25">
      <c r="A51" s="1">
        <v>46136</v>
      </c>
      <c r="B51" s="1" t="str">
        <f ca="1">IF(Información1[[#This Row],[Fecha]]='Ajuste de fechas'!$A$2,"Día actual","Día anterior")</f>
        <v>Día actual</v>
      </c>
      <c r="C51" t="s">
        <v>8</v>
      </c>
      <c r="D51" t="s">
        <v>10</v>
      </c>
      <c r="E51" t="s">
        <v>280</v>
      </c>
      <c r="F51" t="s">
        <v>19</v>
      </c>
      <c r="G51" t="s">
        <v>281</v>
      </c>
      <c r="H51" t="s">
        <v>11</v>
      </c>
      <c r="I51" t="s">
        <v>7</v>
      </c>
      <c r="J51" t="s">
        <v>75</v>
      </c>
      <c r="K51" t="s">
        <v>14</v>
      </c>
      <c r="L51" t="s">
        <v>72</v>
      </c>
      <c r="M51">
        <v>1</v>
      </c>
    </row>
    <row r="52" spans="1:13" x14ac:dyDescent="0.25">
      <c r="A52" s="1">
        <v>46136</v>
      </c>
      <c r="B52" s="1" t="str">
        <f ca="1">IF(Información1[[#This Row],[Fecha]]='Ajuste de fechas'!$A$2,"Día actual","Día anterior")</f>
        <v>Día actual</v>
      </c>
      <c r="C52" t="s">
        <v>8</v>
      </c>
      <c r="D52" t="s">
        <v>10</v>
      </c>
      <c r="E52" t="s">
        <v>282</v>
      </c>
      <c r="F52" t="s">
        <v>25</v>
      </c>
      <c r="G52" t="s">
        <v>236</v>
      </c>
      <c r="H52" t="s">
        <v>11</v>
      </c>
      <c r="I52" t="s">
        <v>7</v>
      </c>
      <c r="J52" t="s">
        <v>71</v>
      </c>
      <c r="K52" t="s">
        <v>14</v>
      </c>
      <c r="L52" t="s">
        <v>74</v>
      </c>
      <c r="M52">
        <v>1</v>
      </c>
    </row>
    <row r="53" spans="1:13" x14ac:dyDescent="0.25">
      <c r="A53" s="1">
        <v>46136</v>
      </c>
      <c r="B53" s="1" t="str">
        <f ca="1">IF(Información1[[#This Row],[Fecha]]='Ajuste de fechas'!$A$2,"Día actual","Día anterior")</f>
        <v>Día actual</v>
      </c>
      <c r="C53" t="s">
        <v>8</v>
      </c>
      <c r="D53" t="s">
        <v>10</v>
      </c>
      <c r="E53" t="s">
        <v>283</v>
      </c>
      <c r="F53" t="s">
        <v>26</v>
      </c>
      <c r="G53" t="s">
        <v>111</v>
      </c>
      <c r="H53" t="s">
        <v>11</v>
      </c>
      <c r="I53" t="s">
        <v>7</v>
      </c>
      <c r="J53" t="s">
        <v>26</v>
      </c>
      <c r="K53" t="s">
        <v>14</v>
      </c>
      <c r="L53" t="s">
        <v>77</v>
      </c>
      <c r="M53">
        <v>1</v>
      </c>
    </row>
    <row r="54" spans="1:13" x14ac:dyDescent="0.25">
      <c r="A54" s="1">
        <v>46136</v>
      </c>
      <c r="B54" s="1" t="str">
        <f ca="1">IF(Información1[[#This Row],[Fecha]]='Ajuste de fechas'!$A$2,"Día actual","Día anterior")</f>
        <v>Día actual</v>
      </c>
      <c r="C54" t="s">
        <v>8</v>
      </c>
      <c r="D54" t="s">
        <v>10</v>
      </c>
      <c r="E54" t="s">
        <v>284</v>
      </c>
      <c r="F54" t="s">
        <v>22</v>
      </c>
      <c r="G54" t="s">
        <v>164</v>
      </c>
      <c r="H54" t="s">
        <v>11</v>
      </c>
      <c r="I54" t="s">
        <v>7</v>
      </c>
      <c r="J54" t="s">
        <v>26</v>
      </c>
      <c r="K54" t="s">
        <v>14</v>
      </c>
      <c r="L54" t="s">
        <v>72</v>
      </c>
      <c r="M54">
        <v>1</v>
      </c>
    </row>
    <row r="55" spans="1:13" x14ac:dyDescent="0.25">
      <c r="A55" s="1">
        <v>46136</v>
      </c>
      <c r="B55" s="1" t="str">
        <f ca="1">IF(Información1[[#This Row],[Fecha]]='Ajuste de fechas'!$A$2,"Día actual","Día anterior")</f>
        <v>Día actual</v>
      </c>
      <c r="C55" t="s">
        <v>8</v>
      </c>
      <c r="D55" t="s">
        <v>10</v>
      </c>
      <c r="E55" t="s">
        <v>285</v>
      </c>
      <c r="F55" t="s">
        <v>22</v>
      </c>
      <c r="G55" t="s">
        <v>286</v>
      </c>
      <c r="H55" t="s">
        <v>11</v>
      </c>
      <c r="I55" t="s">
        <v>7</v>
      </c>
      <c r="J55" t="s">
        <v>26</v>
      </c>
      <c r="K55" t="s">
        <v>14</v>
      </c>
      <c r="L55" t="s">
        <v>72</v>
      </c>
      <c r="M55">
        <v>1</v>
      </c>
    </row>
    <row r="56" spans="1:13" x14ac:dyDescent="0.25">
      <c r="A56" s="1">
        <v>46136</v>
      </c>
      <c r="B56" s="1" t="str">
        <f ca="1">IF(Información1[[#This Row],[Fecha]]='Ajuste de fechas'!$A$2,"Día actual","Día anterior")</f>
        <v>Día actual</v>
      </c>
      <c r="C56" t="s">
        <v>8</v>
      </c>
      <c r="D56" t="s">
        <v>10</v>
      </c>
      <c r="E56" t="s">
        <v>287</v>
      </c>
      <c r="F56" t="s">
        <v>23</v>
      </c>
      <c r="G56" t="s">
        <v>113</v>
      </c>
      <c r="H56" t="s">
        <v>11</v>
      </c>
      <c r="I56" t="s">
        <v>7</v>
      </c>
      <c r="J56" t="s">
        <v>76</v>
      </c>
      <c r="K56" t="s">
        <v>14</v>
      </c>
      <c r="L56" t="s">
        <v>72</v>
      </c>
      <c r="M56">
        <v>1</v>
      </c>
    </row>
    <row r="57" spans="1:13" x14ac:dyDescent="0.25">
      <c r="A57" s="1">
        <v>46136</v>
      </c>
      <c r="B57" s="1" t="str">
        <f ca="1">IF(Información1[[#This Row],[Fecha]]='Ajuste de fechas'!$A$2,"Día actual","Día anterior")</f>
        <v>Día actual</v>
      </c>
      <c r="C57" t="s">
        <v>8</v>
      </c>
      <c r="D57" t="s">
        <v>10</v>
      </c>
      <c r="E57" t="s">
        <v>20</v>
      </c>
      <c r="F57" t="s">
        <v>19</v>
      </c>
      <c r="G57" t="s">
        <v>62</v>
      </c>
      <c r="H57" t="s">
        <v>11</v>
      </c>
      <c r="I57" t="s">
        <v>12</v>
      </c>
      <c r="J57" t="s">
        <v>75</v>
      </c>
      <c r="K57" t="s">
        <v>14</v>
      </c>
      <c r="L57" t="s">
        <v>73</v>
      </c>
      <c r="M57">
        <v>1</v>
      </c>
    </row>
    <row r="58" spans="1:13" x14ac:dyDescent="0.25">
      <c r="A58" s="1">
        <v>46136</v>
      </c>
      <c r="B58" s="1" t="str">
        <f ca="1">IF(Información1[[#This Row],[Fecha]]='Ajuste de fechas'!$A$2,"Día actual","Día anterior")</f>
        <v>Día actual</v>
      </c>
      <c r="C58" t="s">
        <v>8</v>
      </c>
      <c r="D58" t="s">
        <v>10</v>
      </c>
      <c r="E58" t="s">
        <v>18</v>
      </c>
      <c r="F58" t="s">
        <v>19</v>
      </c>
      <c r="G58" t="s">
        <v>62</v>
      </c>
      <c r="H58" t="s">
        <v>11</v>
      </c>
      <c r="I58" t="s">
        <v>12</v>
      </c>
      <c r="J58" t="s">
        <v>75</v>
      </c>
      <c r="K58" t="s">
        <v>14</v>
      </c>
      <c r="L58" t="s">
        <v>73</v>
      </c>
      <c r="M58">
        <v>1</v>
      </c>
    </row>
    <row r="59" spans="1:13" x14ac:dyDescent="0.25">
      <c r="A59" s="1">
        <v>46136</v>
      </c>
      <c r="B59" s="1" t="str">
        <f ca="1">IF(Información1[[#This Row],[Fecha]]='Ajuste de fechas'!$A$2,"Día actual","Día anterior")</f>
        <v>Día actual</v>
      </c>
      <c r="C59" t="s">
        <v>8</v>
      </c>
      <c r="D59" t="s">
        <v>10</v>
      </c>
      <c r="E59" t="s">
        <v>110</v>
      </c>
      <c r="F59" t="s">
        <v>21</v>
      </c>
      <c r="G59" t="s">
        <v>62</v>
      </c>
      <c r="H59" t="s">
        <v>11</v>
      </c>
      <c r="I59" t="s">
        <v>12</v>
      </c>
      <c r="J59" t="s">
        <v>71</v>
      </c>
      <c r="K59" t="s">
        <v>14</v>
      </c>
      <c r="L59" t="s">
        <v>73</v>
      </c>
      <c r="M59">
        <v>1</v>
      </c>
    </row>
    <row r="60" spans="1:13" x14ac:dyDescent="0.25">
      <c r="A60" s="1">
        <v>46136</v>
      </c>
      <c r="B60" s="1" t="str">
        <f ca="1">IF(Información1[[#This Row],[Fecha]]='Ajuste de fechas'!$A$2,"Día actual","Día anterior")</f>
        <v>Día actual</v>
      </c>
      <c r="C60" t="s">
        <v>8</v>
      </c>
      <c r="D60" t="s">
        <v>10</v>
      </c>
      <c r="E60" t="s">
        <v>60</v>
      </c>
      <c r="F60" t="s">
        <v>22</v>
      </c>
      <c r="G60" t="s">
        <v>62</v>
      </c>
      <c r="H60" t="s">
        <v>11</v>
      </c>
      <c r="I60" t="s">
        <v>12</v>
      </c>
      <c r="J60" t="s">
        <v>26</v>
      </c>
      <c r="K60" t="s">
        <v>14</v>
      </c>
      <c r="L60" t="s">
        <v>73</v>
      </c>
      <c r="M60">
        <v>1</v>
      </c>
    </row>
    <row r="61" spans="1:13" x14ac:dyDescent="0.25">
      <c r="A61" s="1">
        <v>46136</v>
      </c>
      <c r="B61" s="1" t="str">
        <f ca="1">IF(Información1[[#This Row],[Fecha]]='Ajuste de fechas'!$A$2,"Día actual","Día anterior")</f>
        <v>Día actual</v>
      </c>
      <c r="C61" t="s">
        <v>8</v>
      </c>
      <c r="D61" t="s">
        <v>10</v>
      </c>
      <c r="E61" t="s">
        <v>13</v>
      </c>
      <c r="F61" t="s">
        <v>15</v>
      </c>
      <c r="G61" t="s">
        <v>62</v>
      </c>
      <c r="H61" t="s">
        <v>11</v>
      </c>
      <c r="I61" t="s">
        <v>12</v>
      </c>
      <c r="J61" t="s">
        <v>71</v>
      </c>
      <c r="K61" t="s">
        <v>14</v>
      </c>
      <c r="L61" t="s">
        <v>73</v>
      </c>
      <c r="M61">
        <v>1</v>
      </c>
    </row>
    <row r="62" spans="1:13" x14ac:dyDescent="0.25">
      <c r="A62" s="1">
        <v>46136</v>
      </c>
      <c r="B62" s="1" t="str">
        <f ca="1">IF(Información1[[#This Row],[Fecha]]='Ajuste de fechas'!$A$2,"Día actual","Día anterior")</f>
        <v>Día actual</v>
      </c>
      <c r="C62" t="s">
        <v>8</v>
      </c>
      <c r="D62" t="s">
        <v>10</v>
      </c>
      <c r="E62" t="s">
        <v>16</v>
      </c>
      <c r="F62" t="s">
        <v>17</v>
      </c>
      <c r="G62" t="s">
        <v>62</v>
      </c>
      <c r="H62" t="s">
        <v>11</v>
      </c>
      <c r="I62" t="s">
        <v>12</v>
      </c>
      <c r="J62" t="s">
        <v>71</v>
      </c>
      <c r="K62" t="s">
        <v>14</v>
      </c>
      <c r="L62" t="s">
        <v>73</v>
      </c>
      <c r="M62">
        <v>1</v>
      </c>
    </row>
    <row r="63" spans="1:13" x14ac:dyDescent="0.25">
      <c r="A63" s="1">
        <v>46136</v>
      </c>
      <c r="B63" s="1" t="str">
        <f ca="1">IF(Información1[[#This Row],[Fecha]]='Ajuste de fechas'!$A$2,"Día actual","Día anterior")</f>
        <v>Día actual</v>
      </c>
      <c r="C63" t="s">
        <v>8</v>
      </c>
      <c r="D63" t="s">
        <v>10</v>
      </c>
      <c r="E63" t="s">
        <v>64</v>
      </c>
      <c r="F63" t="s">
        <v>6</v>
      </c>
      <c r="G63" t="s">
        <v>62</v>
      </c>
      <c r="H63" t="s">
        <v>11</v>
      </c>
      <c r="I63" t="s">
        <v>12</v>
      </c>
      <c r="J63" t="s">
        <v>71</v>
      </c>
      <c r="K63" t="s">
        <v>14</v>
      </c>
      <c r="L63" t="s">
        <v>73</v>
      </c>
      <c r="M63">
        <v>1</v>
      </c>
    </row>
    <row r="64" spans="1:13" x14ac:dyDescent="0.25">
      <c r="A64" s="1">
        <v>46136</v>
      </c>
      <c r="B64" s="1" t="str">
        <f ca="1">IF(Información1[[#This Row],[Fecha]]='Ajuste de fechas'!$A$2,"Día actual","Día anterior")</f>
        <v>Día actual</v>
      </c>
      <c r="C64" t="s">
        <v>57</v>
      </c>
      <c r="D64" t="s">
        <v>58</v>
      </c>
      <c r="E64" t="s">
        <v>308</v>
      </c>
      <c r="F64" t="s">
        <v>19</v>
      </c>
      <c r="G64" t="s">
        <v>309</v>
      </c>
      <c r="H64" t="s">
        <v>11</v>
      </c>
      <c r="I64" t="s">
        <v>7</v>
      </c>
      <c r="J64" t="s">
        <v>75</v>
      </c>
      <c r="K64" t="s">
        <v>59</v>
      </c>
      <c r="L64" t="s">
        <v>72</v>
      </c>
      <c r="M64">
        <v>1</v>
      </c>
    </row>
    <row r="65" spans="1:13" x14ac:dyDescent="0.25">
      <c r="A65" s="1">
        <v>46136</v>
      </c>
      <c r="B65" s="1" t="str">
        <f ca="1">IF(Información1[[#This Row],[Fecha]]='Ajuste de fechas'!$A$2,"Día actual","Día anterior")</f>
        <v>Día actual</v>
      </c>
      <c r="C65" t="s">
        <v>57</v>
      </c>
      <c r="D65" t="s">
        <v>58</v>
      </c>
      <c r="E65" t="s">
        <v>310</v>
      </c>
      <c r="F65" t="s">
        <v>24</v>
      </c>
      <c r="G65" t="s">
        <v>81</v>
      </c>
      <c r="H65" t="s">
        <v>11</v>
      </c>
      <c r="I65" t="s">
        <v>7</v>
      </c>
      <c r="J65" t="s">
        <v>71</v>
      </c>
      <c r="K65" t="s">
        <v>59</v>
      </c>
      <c r="L65" t="s">
        <v>72</v>
      </c>
      <c r="M65">
        <v>1</v>
      </c>
    </row>
    <row r="66" spans="1:13" x14ac:dyDescent="0.25">
      <c r="A66" s="1">
        <v>46136</v>
      </c>
      <c r="B66" s="1" t="str">
        <f ca="1">IF(Información1[[#This Row],[Fecha]]='Ajuste de fechas'!$A$2,"Día actual","Día anterior")</f>
        <v>Día actual</v>
      </c>
      <c r="C66" t="s">
        <v>57</v>
      </c>
      <c r="D66" t="s">
        <v>58</v>
      </c>
      <c r="E66" t="s">
        <v>311</v>
      </c>
      <c r="F66" t="s">
        <v>19</v>
      </c>
      <c r="G66" t="s">
        <v>90</v>
      </c>
      <c r="H66" t="s">
        <v>11</v>
      </c>
      <c r="I66" t="s">
        <v>7</v>
      </c>
      <c r="J66" t="s">
        <v>75</v>
      </c>
      <c r="K66" t="s">
        <v>59</v>
      </c>
      <c r="L66" t="s">
        <v>72</v>
      </c>
      <c r="M66">
        <v>1</v>
      </c>
    </row>
    <row r="67" spans="1:13" x14ac:dyDescent="0.25">
      <c r="A67" s="1">
        <v>46136</v>
      </c>
      <c r="B67" s="1" t="str">
        <f ca="1">IF(Información1[[#This Row],[Fecha]]='Ajuste de fechas'!$A$2,"Día actual","Día anterior")</f>
        <v>Día actual</v>
      </c>
      <c r="C67" t="s">
        <v>57</v>
      </c>
      <c r="D67" t="s">
        <v>58</v>
      </c>
      <c r="E67" t="s">
        <v>312</v>
      </c>
      <c r="F67" t="s">
        <v>21</v>
      </c>
      <c r="G67" t="s">
        <v>232</v>
      </c>
      <c r="H67" t="s">
        <v>11</v>
      </c>
      <c r="I67" t="s">
        <v>7</v>
      </c>
      <c r="J67" t="s">
        <v>71</v>
      </c>
      <c r="K67" t="s">
        <v>59</v>
      </c>
      <c r="L67" t="s">
        <v>72</v>
      </c>
      <c r="M67">
        <v>1</v>
      </c>
    </row>
    <row r="68" spans="1:13" x14ac:dyDescent="0.25">
      <c r="A68" s="1">
        <v>46136</v>
      </c>
      <c r="B68" s="1" t="str">
        <f ca="1">IF(Información1[[#This Row],[Fecha]]='Ajuste de fechas'!$A$2,"Día actual","Día anterior")</f>
        <v>Día actual</v>
      </c>
      <c r="C68" t="s">
        <v>57</v>
      </c>
      <c r="D68" t="s">
        <v>58</v>
      </c>
      <c r="E68" t="s">
        <v>312</v>
      </c>
      <c r="F68" t="s">
        <v>19</v>
      </c>
      <c r="G68" t="s">
        <v>232</v>
      </c>
      <c r="H68" t="s">
        <v>11</v>
      </c>
      <c r="I68" t="s">
        <v>7</v>
      </c>
      <c r="J68" t="s">
        <v>75</v>
      </c>
      <c r="K68" t="s">
        <v>59</v>
      </c>
      <c r="L68" t="s">
        <v>72</v>
      </c>
      <c r="M68">
        <v>1</v>
      </c>
    </row>
    <row r="69" spans="1:13" x14ac:dyDescent="0.25">
      <c r="A69" s="1">
        <v>46136</v>
      </c>
      <c r="B69" s="1" t="str">
        <f ca="1">IF(Información1[[#This Row],[Fecha]]='Ajuste de fechas'!$A$2,"Día actual","Día anterior")</f>
        <v>Día actual</v>
      </c>
      <c r="C69" t="s">
        <v>57</v>
      </c>
      <c r="D69" t="s">
        <v>58</v>
      </c>
      <c r="E69" t="s">
        <v>313</v>
      </c>
      <c r="F69" t="s">
        <v>21</v>
      </c>
      <c r="G69" t="s">
        <v>314</v>
      </c>
      <c r="H69" t="s">
        <v>11</v>
      </c>
      <c r="I69" t="s">
        <v>7</v>
      </c>
      <c r="J69" t="s">
        <v>71</v>
      </c>
      <c r="K69" t="s">
        <v>59</v>
      </c>
      <c r="L69" t="s">
        <v>74</v>
      </c>
      <c r="M69">
        <v>1</v>
      </c>
    </row>
    <row r="70" spans="1:13" x14ac:dyDescent="0.25">
      <c r="A70" s="1">
        <v>46136</v>
      </c>
      <c r="B70" s="1" t="str">
        <f ca="1">IF(Información1[[#This Row],[Fecha]]='Ajuste de fechas'!$A$2,"Día actual","Día anterior")</f>
        <v>Día actual</v>
      </c>
      <c r="C70" t="s">
        <v>57</v>
      </c>
      <c r="D70" t="s">
        <v>58</v>
      </c>
      <c r="E70" t="s">
        <v>315</v>
      </c>
      <c r="F70" t="s">
        <v>23</v>
      </c>
      <c r="G70" t="s">
        <v>316</v>
      </c>
      <c r="H70" t="s">
        <v>11</v>
      </c>
      <c r="I70" t="s">
        <v>7</v>
      </c>
      <c r="J70" t="s">
        <v>76</v>
      </c>
      <c r="K70" t="s">
        <v>59</v>
      </c>
      <c r="L70" t="s">
        <v>72</v>
      </c>
      <c r="M70">
        <v>1</v>
      </c>
    </row>
    <row r="71" spans="1:13" x14ac:dyDescent="0.25">
      <c r="A71" s="1">
        <v>46136</v>
      </c>
      <c r="B71" s="1" t="str">
        <f ca="1">IF(Información1[[#This Row],[Fecha]]='Ajuste de fechas'!$A$2,"Día actual","Día anterior")</f>
        <v>Día actual</v>
      </c>
      <c r="C71" t="s">
        <v>57</v>
      </c>
      <c r="D71" t="s">
        <v>58</v>
      </c>
      <c r="E71" t="s">
        <v>317</v>
      </c>
      <c r="F71" t="s">
        <v>22</v>
      </c>
      <c r="G71" t="s">
        <v>164</v>
      </c>
      <c r="H71" t="s">
        <v>11</v>
      </c>
      <c r="I71" t="s">
        <v>7</v>
      </c>
      <c r="J71" t="s">
        <v>26</v>
      </c>
      <c r="K71" t="s">
        <v>59</v>
      </c>
      <c r="L71" t="s">
        <v>72</v>
      </c>
      <c r="M71">
        <v>1</v>
      </c>
    </row>
    <row r="72" spans="1:13" x14ac:dyDescent="0.25">
      <c r="A72" s="1">
        <v>46136</v>
      </c>
      <c r="B72" s="1" t="str">
        <f ca="1">IF(Información1[[#This Row],[Fecha]]='Ajuste de fechas'!$A$2,"Día actual","Día anterior")</f>
        <v>Día actual</v>
      </c>
      <c r="C72" t="s">
        <v>57</v>
      </c>
      <c r="D72" t="s">
        <v>58</v>
      </c>
      <c r="E72" t="s">
        <v>318</v>
      </c>
      <c r="F72" t="s">
        <v>104</v>
      </c>
      <c r="G72" t="s">
        <v>319</v>
      </c>
      <c r="H72" t="s">
        <v>11</v>
      </c>
      <c r="I72" t="s">
        <v>7</v>
      </c>
      <c r="J72" t="s">
        <v>71</v>
      </c>
      <c r="K72" t="s">
        <v>59</v>
      </c>
      <c r="L72" t="s">
        <v>72</v>
      </c>
      <c r="M72">
        <v>1</v>
      </c>
    </row>
    <row r="73" spans="1:13" x14ac:dyDescent="0.25">
      <c r="A73" s="1">
        <v>46136</v>
      </c>
      <c r="B73" s="1" t="str">
        <f ca="1">IF(Información1[[#This Row],[Fecha]]='Ajuste de fechas'!$A$2,"Día actual","Día anterior")</f>
        <v>Día actual</v>
      </c>
      <c r="C73" t="s">
        <v>57</v>
      </c>
      <c r="D73" t="s">
        <v>58</v>
      </c>
      <c r="E73" t="s">
        <v>320</v>
      </c>
      <c r="F73" t="s">
        <v>17</v>
      </c>
      <c r="G73" t="s">
        <v>321</v>
      </c>
      <c r="H73" t="s">
        <v>11</v>
      </c>
      <c r="I73" t="s">
        <v>27</v>
      </c>
      <c r="J73" t="s">
        <v>71</v>
      </c>
      <c r="K73" t="s">
        <v>59</v>
      </c>
      <c r="L73" t="s">
        <v>73</v>
      </c>
      <c r="M73">
        <v>1</v>
      </c>
    </row>
    <row r="74" spans="1:13" x14ac:dyDescent="0.25">
      <c r="A74" s="1">
        <v>46136</v>
      </c>
      <c r="B74" s="1" t="str">
        <f ca="1">IF(Información1[[#This Row],[Fecha]]='Ajuste de fechas'!$A$2,"Día actual","Día anterior")</f>
        <v>Día actual</v>
      </c>
      <c r="C74" t="s">
        <v>57</v>
      </c>
      <c r="D74" t="s">
        <v>58</v>
      </c>
      <c r="E74" t="s">
        <v>322</v>
      </c>
      <c r="F74" t="s">
        <v>323</v>
      </c>
      <c r="G74" t="s">
        <v>119</v>
      </c>
      <c r="H74" t="s">
        <v>11</v>
      </c>
      <c r="I74" t="s">
        <v>7</v>
      </c>
      <c r="J74" t="s">
        <v>71</v>
      </c>
      <c r="K74" t="s">
        <v>59</v>
      </c>
      <c r="L74" t="s">
        <v>72</v>
      </c>
      <c r="M74">
        <v>1</v>
      </c>
    </row>
    <row r="75" spans="1:13" x14ac:dyDescent="0.25">
      <c r="A75" s="1">
        <v>46136</v>
      </c>
      <c r="B75" s="1" t="str">
        <f ca="1">IF(Información1[[#This Row],[Fecha]]='Ajuste de fechas'!$A$2,"Día actual","Día anterior")</f>
        <v>Día actual</v>
      </c>
      <c r="C75" t="s">
        <v>57</v>
      </c>
      <c r="D75" t="s">
        <v>58</v>
      </c>
      <c r="E75" t="s">
        <v>324</v>
      </c>
      <c r="F75" t="s">
        <v>26</v>
      </c>
      <c r="G75" t="s">
        <v>325</v>
      </c>
      <c r="H75" t="s">
        <v>11</v>
      </c>
      <c r="I75" t="s">
        <v>7</v>
      </c>
      <c r="J75" t="s">
        <v>26</v>
      </c>
      <c r="K75" t="s">
        <v>59</v>
      </c>
      <c r="L75" t="s">
        <v>72</v>
      </c>
      <c r="M75">
        <v>1</v>
      </c>
    </row>
    <row r="76" spans="1:13" x14ac:dyDescent="0.25">
      <c r="A76" s="1">
        <v>46136</v>
      </c>
      <c r="B76" s="1" t="str">
        <f ca="1">IF(Información1[[#This Row],[Fecha]]='Ajuste de fechas'!$A$2,"Día actual","Día anterior")</f>
        <v>Día actual</v>
      </c>
      <c r="C76" t="s">
        <v>57</v>
      </c>
      <c r="D76" t="s">
        <v>58</v>
      </c>
      <c r="E76" t="s">
        <v>326</v>
      </c>
      <c r="F76" t="s">
        <v>37</v>
      </c>
      <c r="G76" t="s">
        <v>327</v>
      </c>
      <c r="H76" t="s">
        <v>11</v>
      </c>
      <c r="I76" t="s">
        <v>7</v>
      </c>
      <c r="J76" t="s">
        <v>71</v>
      </c>
      <c r="K76" t="s">
        <v>59</v>
      </c>
      <c r="L76" t="s">
        <v>72</v>
      </c>
      <c r="M76">
        <v>1</v>
      </c>
    </row>
    <row r="77" spans="1:13" x14ac:dyDescent="0.25">
      <c r="A77" s="1">
        <v>46136</v>
      </c>
      <c r="B77" s="1" t="str">
        <f ca="1">IF(Información1[[#This Row],[Fecha]]='Ajuste de fechas'!$A$2,"Día actual","Día anterior")</f>
        <v>Día actual</v>
      </c>
      <c r="C77" t="s">
        <v>57</v>
      </c>
      <c r="D77" t="s">
        <v>58</v>
      </c>
      <c r="E77" t="s">
        <v>328</v>
      </c>
      <c r="F77" t="s">
        <v>23</v>
      </c>
      <c r="G77" t="s">
        <v>130</v>
      </c>
      <c r="H77" t="s">
        <v>11</v>
      </c>
      <c r="I77" t="s">
        <v>7</v>
      </c>
      <c r="J77" t="s">
        <v>76</v>
      </c>
      <c r="K77" t="s">
        <v>59</v>
      </c>
      <c r="L77" t="s">
        <v>72</v>
      </c>
      <c r="M77">
        <v>1</v>
      </c>
    </row>
    <row r="78" spans="1:13" x14ac:dyDescent="0.25">
      <c r="A78" s="1">
        <v>46136</v>
      </c>
      <c r="B78" s="1" t="str">
        <f ca="1">IF(Información1[[#This Row],[Fecha]]='Ajuste de fechas'!$A$2,"Día actual","Día anterior")</f>
        <v>Día actual</v>
      </c>
      <c r="C78" t="s">
        <v>57</v>
      </c>
      <c r="D78" t="s">
        <v>58</v>
      </c>
      <c r="E78" t="s">
        <v>329</v>
      </c>
      <c r="F78" t="s">
        <v>22</v>
      </c>
      <c r="G78" t="s">
        <v>330</v>
      </c>
      <c r="H78" t="s">
        <v>11</v>
      </c>
      <c r="I78" t="s">
        <v>7</v>
      </c>
      <c r="J78" t="s">
        <v>26</v>
      </c>
      <c r="K78" t="s">
        <v>59</v>
      </c>
      <c r="L78" t="s">
        <v>72</v>
      </c>
      <c r="M78">
        <v>1</v>
      </c>
    </row>
    <row r="79" spans="1:13" x14ac:dyDescent="0.25">
      <c r="A79" s="1">
        <v>46136</v>
      </c>
      <c r="B79" s="1" t="str">
        <f ca="1">IF(Información1[[#This Row],[Fecha]]='Ajuste de fechas'!$A$2,"Día actual","Día anterior")</f>
        <v>Día actual</v>
      </c>
      <c r="C79" t="s">
        <v>57</v>
      </c>
      <c r="D79" t="s">
        <v>58</v>
      </c>
      <c r="E79" t="s">
        <v>331</v>
      </c>
      <c r="F79" t="s">
        <v>23</v>
      </c>
      <c r="G79" t="s">
        <v>128</v>
      </c>
      <c r="H79" t="s">
        <v>11</v>
      </c>
      <c r="I79" t="s">
        <v>7</v>
      </c>
      <c r="J79" t="s">
        <v>76</v>
      </c>
      <c r="K79" t="s">
        <v>59</v>
      </c>
      <c r="L79" t="s">
        <v>72</v>
      </c>
      <c r="M79">
        <v>1</v>
      </c>
    </row>
    <row r="80" spans="1:13" x14ac:dyDescent="0.25">
      <c r="A80" s="1">
        <v>46136</v>
      </c>
      <c r="B80" s="1" t="str">
        <f ca="1">IF(Información1[[#This Row],[Fecha]]='Ajuste de fechas'!$A$2,"Día actual","Día anterior")</f>
        <v>Día actual</v>
      </c>
      <c r="C80" t="s">
        <v>57</v>
      </c>
      <c r="D80" t="s">
        <v>58</v>
      </c>
      <c r="E80" t="s">
        <v>300</v>
      </c>
      <c r="F80" t="s">
        <v>6</v>
      </c>
      <c r="G80" t="s">
        <v>83</v>
      </c>
      <c r="H80" t="s">
        <v>11</v>
      </c>
      <c r="I80" t="s">
        <v>7</v>
      </c>
      <c r="J80" t="s">
        <v>71</v>
      </c>
      <c r="K80" t="s">
        <v>59</v>
      </c>
      <c r="L80" t="s">
        <v>74</v>
      </c>
      <c r="M80">
        <v>1</v>
      </c>
    </row>
    <row r="81" spans="1:13" x14ac:dyDescent="0.25">
      <c r="A81" s="1">
        <v>46136</v>
      </c>
      <c r="B81" s="1" t="str">
        <f ca="1">IF(Información1[[#This Row],[Fecha]]='Ajuste de fechas'!$A$2,"Día actual","Día anterior")</f>
        <v>Día actual</v>
      </c>
      <c r="C81" t="s">
        <v>57</v>
      </c>
      <c r="D81" t="s">
        <v>58</v>
      </c>
      <c r="E81" t="s">
        <v>332</v>
      </c>
      <c r="F81" t="s">
        <v>19</v>
      </c>
      <c r="G81" t="s">
        <v>46</v>
      </c>
      <c r="H81" t="s">
        <v>11</v>
      </c>
      <c r="I81" t="s">
        <v>7</v>
      </c>
      <c r="J81" t="s">
        <v>75</v>
      </c>
      <c r="K81" t="s">
        <v>59</v>
      </c>
      <c r="L81" t="s">
        <v>72</v>
      </c>
      <c r="M81">
        <v>1</v>
      </c>
    </row>
    <row r="82" spans="1:13" x14ac:dyDescent="0.25">
      <c r="A82" s="1">
        <v>46136</v>
      </c>
      <c r="B82" s="1" t="str">
        <f ca="1">IF(Información1[[#This Row],[Fecha]]='Ajuste de fechas'!$A$2,"Día actual","Día anterior")</f>
        <v>Día actual</v>
      </c>
      <c r="C82" t="s">
        <v>57</v>
      </c>
      <c r="D82" t="s">
        <v>58</v>
      </c>
      <c r="E82" t="s">
        <v>333</v>
      </c>
      <c r="F82" t="s">
        <v>19</v>
      </c>
      <c r="G82" t="s">
        <v>83</v>
      </c>
      <c r="H82" t="s">
        <v>11</v>
      </c>
      <c r="I82" t="s">
        <v>7</v>
      </c>
      <c r="J82" t="s">
        <v>75</v>
      </c>
      <c r="K82" t="s">
        <v>59</v>
      </c>
      <c r="L82" t="s">
        <v>72</v>
      </c>
      <c r="M82">
        <v>1</v>
      </c>
    </row>
    <row r="83" spans="1:13" x14ac:dyDescent="0.25">
      <c r="A83" s="1">
        <v>46136</v>
      </c>
      <c r="B83" s="1" t="str">
        <f ca="1">IF(Información1[[#This Row],[Fecha]]='Ajuste de fechas'!$A$2,"Día actual","Día anterior")</f>
        <v>Día actual</v>
      </c>
      <c r="C83" t="s">
        <v>57</v>
      </c>
      <c r="D83" t="s">
        <v>58</v>
      </c>
      <c r="E83" t="s">
        <v>334</v>
      </c>
      <c r="F83" t="s">
        <v>22</v>
      </c>
      <c r="G83" t="s">
        <v>61</v>
      </c>
      <c r="H83" t="s">
        <v>11</v>
      </c>
      <c r="I83" t="s">
        <v>7</v>
      </c>
      <c r="J83" t="s">
        <v>26</v>
      </c>
      <c r="K83" t="s">
        <v>59</v>
      </c>
      <c r="L83" t="s">
        <v>72</v>
      </c>
      <c r="M83">
        <v>1</v>
      </c>
    </row>
    <row r="84" spans="1:13" x14ac:dyDescent="0.25">
      <c r="A84" s="1">
        <v>46136</v>
      </c>
      <c r="B84" s="1" t="str">
        <f ca="1">IF(Información1[[#This Row],[Fecha]]='Ajuste de fechas'!$A$2,"Día actual","Día anterior")</f>
        <v>Día actual</v>
      </c>
      <c r="C84" t="s">
        <v>57</v>
      </c>
      <c r="D84" t="s">
        <v>58</v>
      </c>
      <c r="E84" t="s">
        <v>335</v>
      </c>
      <c r="F84" t="s">
        <v>19</v>
      </c>
      <c r="G84" t="s">
        <v>105</v>
      </c>
      <c r="H84" t="s">
        <v>11</v>
      </c>
      <c r="I84" t="s">
        <v>7</v>
      </c>
      <c r="J84" t="s">
        <v>75</v>
      </c>
      <c r="K84" t="s">
        <v>59</v>
      </c>
      <c r="L84" t="s">
        <v>72</v>
      </c>
      <c r="M84">
        <v>1</v>
      </c>
    </row>
    <row r="85" spans="1:13" x14ac:dyDescent="0.25">
      <c r="A85" s="1">
        <v>46136</v>
      </c>
      <c r="B85" s="1" t="str">
        <f ca="1">IF(Información1[[#This Row],[Fecha]]='Ajuste de fechas'!$A$2,"Día actual","Día anterior")</f>
        <v>Día actual</v>
      </c>
      <c r="C85" t="s">
        <v>48</v>
      </c>
      <c r="D85" t="s">
        <v>49</v>
      </c>
      <c r="E85" t="s">
        <v>336</v>
      </c>
      <c r="F85" t="s">
        <v>98</v>
      </c>
      <c r="G85" t="s">
        <v>92</v>
      </c>
      <c r="H85" t="s">
        <v>45</v>
      </c>
      <c r="I85" t="s">
        <v>7</v>
      </c>
      <c r="J85" t="s">
        <v>71</v>
      </c>
      <c r="K85" t="s">
        <v>337</v>
      </c>
      <c r="L85" t="s">
        <v>72</v>
      </c>
      <c r="M85">
        <v>1</v>
      </c>
    </row>
    <row r="86" spans="1:13" x14ac:dyDescent="0.25">
      <c r="A86" s="1">
        <v>46136</v>
      </c>
      <c r="B86" s="1" t="str">
        <f ca="1">IF(Información1[[#This Row],[Fecha]]='Ajuste de fechas'!$A$2,"Día actual","Día anterior")</f>
        <v>Día actual</v>
      </c>
      <c r="C86" t="s">
        <v>48</v>
      </c>
      <c r="D86" t="s">
        <v>49</v>
      </c>
      <c r="E86" t="s">
        <v>338</v>
      </c>
      <c r="F86" t="s">
        <v>19</v>
      </c>
      <c r="G86" t="s">
        <v>339</v>
      </c>
      <c r="H86" t="s">
        <v>45</v>
      </c>
      <c r="I86" t="s">
        <v>7</v>
      </c>
      <c r="J86" t="s">
        <v>75</v>
      </c>
      <c r="K86" t="s">
        <v>337</v>
      </c>
      <c r="L86" t="s">
        <v>72</v>
      </c>
      <c r="M86">
        <v>1</v>
      </c>
    </row>
    <row r="87" spans="1:13" x14ac:dyDescent="0.25">
      <c r="A87" s="1">
        <v>46136</v>
      </c>
      <c r="B87" s="1" t="str">
        <f ca="1">IF(Información1[[#This Row],[Fecha]]='Ajuste de fechas'!$A$2,"Día actual","Día anterior")</f>
        <v>Día actual</v>
      </c>
      <c r="C87" t="s">
        <v>48</v>
      </c>
      <c r="D87" t="s">
        <v>49</v>
      </c>
      <c r="E87" t="s">
        <v>340</v>
      </c>
      <c r="F87" t="s">
        <v>22</v>
      </c>
      <c r="G87" t="s">
        <v>286</v>
      </c>
      <c r="H87" t="s">
        <v>45</v>
      </c>
      <c r="I87" t="s">
        <v>7</v>
      </c>
      <c r="J87" t="s">
        <v>26</v>
      </c>
      <c r="K87" t="s">
        <v>30</v>
      </c>
      <c r="L87" t="s">
        <v>72</v>
      </c>
      <c r="M87">
        <v>1</v>
      </c>
    </row>
    <row r="88" spans="1:13" x14ac:dyDescent="0.25">
      <c r="A88" s="1">
        <v>46136</v>
      </c>
      <c r="B88" s="1" t="str">
        <f ca="1">IF(Información1[[#This Row],[Fecha]]='Ajuste de fechas'!$A$2,"Día actual","Día anterior")</f>
        <v>Día actual</v>
      </c>
      <c r="C88" t="s">
        <v>48</v>
      </c>
      <c r="D88" t="s">
        <v>49</v>
      </c>
      <c r="E88" t="s">
        <v>341</v>
      </c>
      <c r="F88" t="s">
        <v>56</v>
      </c>
      <c r="G88" t="s">
        <v>87</v>
      </c>
      <c r="H88" t="s">
        <v>45</v>
      </c>
      <c r="I88" t="s">
        <v>7</v>
      </c>
      <c r="J88" t="s">
        <v>71</v>
      </c>
      <c r="K88" t="s">
        <v>30</v>
      </c>
      <c r="L88" t="s">
        <v>74</v>
      </c>
      <c r="M88">
        <v>1</v>
      </c>
    </row>
    <row r="89" spans="1:13" x14ac:dyDescent="0.25">
      <c r="A89" s="1">
        <v>46136</v>
      </c>
      <c r="B89" s="1" t="str">
        <f ca="1">IF(Información1[[#This Row],[Fecha]]='Ajuste de fechas'!$A$2,"Día actual","Día anterior")</f>
        <v>Día actual</v>
      </c>
      <c r="C89" t="s">
        <v>48</v>
      </c>
      <c r="D89" t="s">
        <v>49</v>
      </c>
      <c r="E89" t="s">
        <v>229</v>
      </c>
      <c r="F89" t="s">
        <v>22</v>
      </c>
      <c r="G89" t="s">
        <v>164</v>
      </c>
      <c r="H89" t="s">
        <v>45</v>
      </c>
      <c r="I89" t="s">
        <v>7</v>
      </c>
      <c r="J89" t="s">
        <v>26</v>
      </c>
      <c r="K89" t="s">
        <v>30</v>
      </c>
      <c r="L89" t="s">
        <v>72</v>
      </c>
      <c r="M89">
        <v>1</v>
      </c>
    </row>
    <row r="90" spans="1:13" x14ac:dyDescent="0.25">
      <c r="A90" s="1">
        <v>46136</v>
      </c>
      <c r="B90" s="1" t="str">
        <f ca="1">IF(Información1[[#This Row],[Fecha]]='Ajuste de fechas'!$A$2,"Día actual","Día anterior")</f>
        <v>Día actual</v>
      </c>
      <c r="C90" t="s">
        <v>48</v>
      </c>
      <c r="D90" t="s">
        <v>49</v>
      </c>
      <c r="E90" t="s">
        <v>342</v>
      </c>
      <c r="F90" t="s">
        <v>98</v>
      </c>
      <c r="G90" t="s">
        <v>92</v>
      </c>
      <c r="H90" t="s">
        <v>45</v>
      </c>
      <c r="I90" t="s">
        <v>7</v>
      </c>
      <c r="J90" t="s">
        <v>71</v>
      </c>
      <c r="K90" t="s">
        <v>30</v>
      </c>
      <c r="L90" t="s">
        <v>72</v>
      </c>
      <c r="M90">
        <v>1</v>
      </c>
    </row>
    <row r="91" spans="1:13" x14ac:dyDescent="0.25">
      <c r="A91" s="1">
        <v>46136</v>
      </c>
      <c r="B91" s="1" t="str">
        <f ca="1">IF(Información1[[#This Row],[Fecha]]='Ajuste de fechas'!$A$2,"Día actual","Día anterior")</f>
        <v>Día actual</v>
      </c>
      <c r="C91" t="s">
        <v>48</v>
      </c>
      <c r="D91" t="s">
        <v>49</v>
      </c>
      <c r="E91" t="s">
        <v>343</v>
      </c>
      <c r="F91" t="s">
        <v>28</v>
      </c>
      <c r="G91" t="s">
        <v>198</v>
      </c>
      <c r="H91" t="s">
        <v>45</v>
      </c>
      <c r="I91" t="s">
        <v>7</v>
      </c>
      <c r="J91" t="s">
        <v>71</v>
      </c>
      <c r="K91" t="s">
        <v>30</v>
      </c>
      <c r="L91" t="s">
        <v>72</v>
      </c>
      <c r="M91">
        <v>1</v>
      </c>
    </row>
    <row r="92" spans="1:13" x14ac:dyDescent="0.25">
      <c r="A92" s="1">
        <v>46136</v>
      </c>
      <c r="B92" s="1" t="str">
        <f ca="1">IF(Información1[[#This Row],[Fecha]]='Ajuste de fechas'!$A$2,"Día actual","Día anterior")</f>
        <v>Día actual</v>
      </c>
      <c r="C92" t="s">
        <v>48</v>
      </c>
      <c r="D92" t="s">
        <v>49</v>
      </c>
      <c r="E92" t="s">
        <v>344</v>
      </c>
      <c r="F92" t="s">
        <v>15</v>
      </c>
      <c r="G92" t="s">
        <v>345</v>
      </c>
      <c r="H92" t="s">
        <v>45</v>
      </c>
      <c r="I92" t="s">
        <v>7</v>
      </c>
      <c r="J92" t="s">
        <v>71</v>
      </c>
      <c r="K92" t="s">
        <v>30</v>
      </c>
      <c r="L92" t="s">
        <v>72</v>
      </c>
      <c r="M92">
        <v>1</v>
      </c>
    </row>
    <row r="93" spans="1:13" x14ac:dyDescent="0.25">
      <c r="A93" s="1">
        <v>46136</v>
      </c>
      <c r="B93" s="1" t="str">
        <f ca="1">IF(Información1[[#This Row],[Fecha]]='Ajuste de fechas'!$A$2,"Día actual","Día anterior")</f>
        <v>Día actual</v>
      </c>
      <c r="C93" t="s">
        <v>48</v>
      </c>
      <c r="D93" t="s">
        <v>49</v>
      </c>
      <c r="E93" t="s">
        <v>346</v>
      </c>
      <c r="F93" t="s">
        <v>23</v>
      </c>
      <c r="G93" t="s">
        <v>130</v>
      </c>
      <c r="H93" t="s">
        <v>45</v>
      </c>
      <c r="I93" t="s">
        <v>7</v>
      </c>
      <c r="J93" t="s">
        <v>76</v>
      </c>
      <c r="K93" t="s">
        <v>30</v>
      </c>
      <c r="L93" t="s">
        <v>72</v>
      </c>
      <c r="M93">
        <v>1</v>
      </c>
    </row>
    <row r="94" spans="1:13" x14ac:dyDescent="0.25">
      <c r="A94" s="1">
        <v>46135</v>
      </c>
      <c r="B94" s="1" t="str">
        <f ca="1">IF(Información1[[#This Row],[Fecha]]='Ajuste de fechas'!$A$2,"Día actual","Día anterior")</f>
        <v>Día anterior</v>
      </c>
      <c r="C94" t="s">
        <v>38</v>
      </c>
      <c r="D94" t="s">
        <v>40</v>
      </c>
      <c r="E94" t="s">
        <v>120</v>
      </c>
      <c r="F94" t="s">
        <v>24</v>
      </c>
      <c r="G94" t="s">
        <v>91</v>
      </c>
      <c r="H94" t="s">
        <v>11</v>
      </c>
      <c r="I94" t="s">
        <v>7</v>
      </c>
      <c r="J94" t="s">
        <v>71</v>
      </c>
      <c r="K94" t="s">
        <v>63</v>
      </c>
      <c r="L94" t="s">
        <v>74</v>
      </c>
      <c r="M94">
        <v>1</v>
      </c>
    </row>
    <row r="95" spans="1:13" x14ac:dyDescent="0.25">
      <c r="A95" s="1">
        <v>46135</v>
      </c>
      <c r="B95" s="1" t="str">
        <f ca="1">IF(Información1[[#This Row],[Fecha]]='Ajuste de fechas'!$A$2,"Día actual","Día anterior")</f>
        <v>Día anterior</v>
      </c>
      <c r="C95" t="s">
        <v>38</v>
      </c>
      <c r="D95" t="s">
        <v>40</v>
      </c>
      <c r="E95" t="s">
        <v>121</v>
      </c>
      <c r="F95" t="s">
        <v>24</v>
      </c>
      <c r="G95" t="s">
        <v>112</v>
      </c>
      <c r="H95" t="s">
        <v>11</v>
      </c>
      <c r="I95" t="s">
        <v>7</v>
      </c>
      <c r="J95" t="s">
        <v>71</v>
      </c>
      <c r="K95" t="s">
        <v>63</v>
      </c>
      <c r="L95" t="s">
        <v>72</v>
      </c>
      <c r="M95">
        <v>1</v>
      </c>
    </row>
    <row r="96" spans="1:13" x14ac:dyDescent="0.25">
      <c r="A96" s="1">
        <v>46135</v>
      </c>
      <c r="B96" s="1" t="str">
        <f ca="1">IF(Información1[[#This Row],[Fecha]]='Ajuste de fechas'!$A$2,"Día actual","Día anterior")</f>
        <v>Día anterior</v>
      </c>
      <c r="C96" t="s">
        <v>38</v>
      </c>
      <c r="D96" t="s">
        <v>40</v>
      </c>
      <c r="E96" t="s">
        <v>122</v>
      </c>
      <c r="F96" t="s">
        <v>23</v>
      </c>
      <c r="G96" t="s">
        <v>123</v>
      </c>
      <c r="H96" t="s">
        <v>11</v>
      </c>
      <c r="I96" t="s">
        <v>7</v>
      </c>
      <c r="J96" t="s">
        <v>76</v>
      </c>
      <c r="K96" t="s">
        <v>63</v>
      </c>
      <c r="L96" t="s">
        <v>72</v>
      </c>
      <c r="M96">
        <v>1</v>
      </c>
    </row>
    <row r="97" spans="1:13" x14ac:dyDescent="0.25">
      <c r="A97" s="1">
        <v>46135</v>
      </c>
      <c r="B97" s="1" t="str">
        <f ca="1">IF(Información1[[#This Row],[Fecha]]='Ajuste de fechas'!$A$2,"Día actual","Día anterior")</f>
        <v>Día anterior</v>
      </c>
      <c r="C97" t="s">
        <v>38</v>
      </c>
      <c r="D97" t="s">
        <v>40</v>
      </c>
      <c r="E97" t="s">
        <v>124</v>
      </c>
      <c r="F97" t="s">
        <v>23</v>
      </c>
      <c r="G97" t="s">
        <v>123</v>
      </c>
      <c r="H97" t="s">
        <v>11</v>
      </c>
      <c r="I97" t="s">
        <v>7</v>
      </c>
      <c r="J97" t="s">
        <v>76</v>
      </c>
      <c r="K97" t="s">
        <v>63</v>
      </c>
      <c r="L97" t="s">
        <v>72</v>
      </c>
      <c r="M97">
        <v>1</v>
      </c>
    </row>
    <row r="98" spans="1:13" x14ac:dyDescent="0.25">
      <c r="A98" s="1">
        <v>46135</v>
      </c>
      <c r="B98" s="1" t="str">
        <f ca="1">IF(Información1[[#This Row],[Fecha]]='Ajuste de fechas'!$A$2,"Día actual","Día anterior")</f>
        <v>Día anterior</v>
      </c>
      <c r="C98" t="s">
        <v>38</v>
      </c>
      <c r="D98" t="s">
        <v>40</v>
      </c>
      <c r="E98" t="s">
        <v>125</v>
      </c>
      <c r="F98" t="s">
        <v>19</v>
      </c>
      <c r="G98" t="s">
        <v>126</v>
      </c>
      <c r="H98" t="s">
        <v>11</v>
      </c>
      <c r="I98" t="s">
        <v>7</v>
      </c>
      <c r="J98" t="s">
        <v>75</v>
      </c>
      <c r="K98" t="s">
        <v>63</v>
      </c>
      <c r="L98" t="s">
        <v>72</v>
      </c>
      <c r="M98">
        <v>1</v>
      </c>
    </row>
    <row r="99" spans="1:13" x14ac:dyDescent="0.25">
      <c r="A99" s="1">
        <v>46135</v>
      </c>
      <c r="B99" s="1" t="str">
        <f ca="1">IF(Información1[[#This Row],[Fecha]]='Ajuste de fechas'!$A$2,"Día actual","Día anterior")</f>
        <v>Día anterior</v>
      </c>
      <c r="C99" t="s">
        <v>38</v>
      </c>
      <c r="D99" t="s">
        <v>40</v>
      </c>
      <c r="E99" t="s">
        <v>127</v>
      </c>
      <c r="F99" t="s">
        <v>23</v>
      </c>
      <c r="G99" t="s">
        <v>128</v>
      </c>
      <c r="H99" t="s">
        <v>11</v>
      </c>
      <c r="I99" t="s">
        <v>7</v>
      </c>
      <c r="J99" t="s">
        <v>76</v>
      </c>
      <c r="K99" t="s">
        <v>63</v>
      </c>
      <c r="L99" t="s">
        <v>72</v>
      </c>
      <c r="M99">
        <v>1</v>
      </c>
    </row>
    <row r="100" spans="1:13" x14ac:dyDescent="0.25">
      <c r="A100" s="1">
        <v>46135</v>
      </c>
      <c r="B100" s="1" t="str">
        <f ca="1">IF(Información1[[#This Row],[Fecha]]='Ajuste de fechas'!$A$2,"Día actual","Día anterior")</f>
        <v>Día anterior</v>
      </c>
      <c r="C100" t="s">
        <v>38</v>
      </c>
      <c r="D100" t="s">
        <v>40</v>
      </c>
      <c r="E100" t="s">
        <v>129</v>
      </c>
      <c r="F100" t="s">
        <v>23</v>
      </c>
      <c r="G100" t="s">
        <v>130</v>
      </c>
      <c r="H100" t="s">
        <v>11</v>
      </c>
      <c r="I100" t="s">
        <v>7</v>
      </c>
      <c r="J100" t="s">
        <v>76</v>
      </c>
      <c r="K100" t="s">
        <v>63</v>
      </c>
      <c r="L100" t="s">
        <v>72</v>
      </c>
      <c r="M100">
        <v>1</v>
      </c>
    </row>
    <row r="101" spans="1:13" x14ac:dyDescent="0.25">
      <c r="A101" s="1">
        <v>46135</v>
      </c>
      <c r="B101" s="1" t="str">
        <f ca="1">IF(Información1[[#This Row],[Fecha]]='Ajuste de fechas'!$A$2,"Día actual","Día anterior")</f>
        <v>Día anterior</v>
      </c>
      <c r="C101" t="s">
        <v>38</v>
      </c>
      <c r="D101" t="s">
        <v>40</v>
      </c>
      <c r="E101" t="s">
        <v>131</v>
      </c>
      <c r="F101" t="s">
        <v>25</v>
      </c>
      <c r="G101" t="s">
        <v>84</v>
      </c>
      <c r="H101" t="s">
        <v>11</v>
      </c>
      <c r="I101" t="s">
        <v>12</v>
      </c>
      <c r="J101" t="s">
        <v>71</v>
      </c>
      <c r="K101" t="s">
        <v>63</v>
      </c>
      <c r="L101" t="s">
        <v>99</v>
      </c>
      <c r="M101">
        <v>1</v>
      </c>
    </row>
    <row r="102" spans="1:13" x14ac:dyDescent="0.25">
      <c r="A102" s="1">
        <v>46135</v>
      </c>
      <c r="B102" s="1" t="str">
        <f ca="1">IF(Información1[[#This Row],[Fecha]]='Ajuste de fechas'!$A$2,"Día actual","Día anterior")</f>
        <v>Día anterior</v>
      </c>
      <c r="C102" t="s">
        <v>38</v>
      </c>
      <c r="D102" t="s">
        <v>40</v>
      </c>
      <c r="E102" t="s">
        <v>132</v>
      </c>
      <c r="F102" t="s">
        <v>25</v>
      </c>
      <c r="G102" t="s">
        <v>84</v>
      </c>
      <c r="H102" t="s">
        <v>11</v>
      </c>
      <c r="I102" t="s">
        <v>7</v>
      </c>
      <c r="J102" t="s">
        <v>71</v>
      </c>
      <c r="K102" t="s">
        <v>63</v>
      </c>
      <c r="L102" t="s">
        <v>72</v>
      </c>
      <c r="M102">
        <v>1</v>
      </c>
    </row>
    <row r="103" spans="1:13" x14ac:dyDescent="0.25">
      <c r="A103" s="1">
        <v>46135</v>
      </c>
      <c r="B103" s="1" t="str">
        <f ca="1">IF(Información1[[#This Row],[Fecha]]='Ajuste de fechas'!$A$2,"Día actual","Día anterior")</f>
        <v>Día anterior</v>
      </c>
      <c r="C103" t="s">
        <v>55</v>
      </c>
      <c r="D103" t="s">
        <v>93</v>
      </c>
      <c r="E103" t="s">
        <v>133</v>
      </c>
      <c r="F103" t="s">
        <v>15</v>
      </c>
      <c r="G103" t="s">
        <v>134</v>
      </c>
      <c r="H103" t="s">
        <v>11</v>
      </c>
      <c r="I103" t="s">
        <v>7</v>
      </c>
      <c r="J103" t="s">
        <v>71</v>
      </c>
      <c r="K103" t="s">
        <v>94</v>
      </c>
      <c r="L103" t="s">
        <v>74</v>
      </c>
      <c r="M103">
        <v>1</v>
      </c>
    </row>
    <row r="104" spans="1:13" x14ac:dyDescent="0.25">
      <c r="A104" s="1">
        <v>46135</v>
      </c>
      <c r="B104" s="1" t="str">
        <f ca="1">IF(Información1[[#This Row],[Fecha]]='Ajuste de fechas'!$A$2,"Día actual","Día anterior")</f>
        <v>Día anterior</v>
      </c>
      <c r="C104" t="s">
        <v>34</v>
      </c>
      <c r="D104" t="s">
        <v>36</v>
      </c>
      <c r="E104" t="s">
        <v>135</v>
      </c>
      <c r="F104" t="s">
        <v>98</v>
      </c>
      <c r="G104" t="s">
        <v>136</v>
      </c>
      <c r="H104" t="s">
        <v>11</v>
      </c>
      <c r="I104" t="s">
        <v>7</v>
      </c>
      <c r="J104" t="s">
        <v>71</v>
      </c>
      <c r="K104" t="s">
        <v>35</v>
      </c>
      <c r="L104" t="s">
        <v>74</v>
      </c>
      <c r="M104">
        <v>1</v>
      </c>
    </row>
    <row r="105" spans="1:13" x14ac:dyDescent="0.25">
      <c r="A105" s="1">
        <v>46135</v>
      </c>
      <c r="B105" s="1" t="str">
        <f ca="1">IF(Información1[[#This Row],[Fecha]]='Ajuste de fechas'!$A$2,"Día actual","Día anterior")</f>
        <v>Día anterior</v>
      </c>
      <c r="C105" t="s">
        <v>34</v>
      </c>
      <c r="D105" t="s">
        <v>36</v>
      </c>
      <c r="E105" t="s">
        <v>137</v>
      </c>
      <c r="F105" t="s">
        <v>106</v>
      </c>
      <c r="G105" t="s">
        <v>138</v>
      </c>
      <c r="H105" t="s">
        <v>11</v>
      </c>
      <c r="I105" t="s">
        <v>7</v>
      </c>
      <c r="J105" t="s">
        <v>71</v>
      </c>
      <c r="K105" t="s">
        <v>35</v>
      </c>
      <c r="L105" t="s">
        <v>74</v>
      </c>
      <c r="M105">
        <v>1</v>
      </c>
    </row>
    <row r="106" spans="1:13" x14ac:dyDescent="0.25">
      <c r="A106" s="1">
        <v>46135</v>
      </c>
      <c r="B106" s="1" t="str">
        <f ca="1">IF(Información1[[#This Row],[Fecha]]='Ajuste de fechas'!$A$2,"Día actual","Día anterior")</f>
        <v>Día anterior</v>
      </c>
      <c r="C106" t="s">
        <v>34</v>
      </c>
      <c r="D106" t="s">
        <v>36</v>
      </c>
      <c r="E106" t="s">
        <v>139</v>
      </c>
      <c r="F106" t="s">
        <v>56</v>
      </c>
      <c r="G106" t="s">
        <v>87</v>
      </c>
      <c r="H106" t="s">
        <v>11</v>
      </c>
      <c r="I106" t="s">
        <v>7</v>
      </c>
      <c r="J106" t="s">
        <v>71</v>
      </c>
      <c r="K106" t="s">
        <v>35</v>
      </c>
      <c r="L106" t="s">
        <v>74</v>
      </c>
      <c r="M106">
        <v>1</v>
      </c>
    </row>
    <row r="107" spans="1:13" x14ac:dyDescent="0.25">
      <c r="A107" s="1">
        <v>46135</v>
      </c>
      <c r="B107" s="1" t="str">
        <f ca="1">IF(Información1[[#This Row],[Fecha]]='Ajuste de fechas'!$A$2,"Día actual","Día anterior")</f>
        <v>Día anterior</v>
      </c>
      <c r="C107" t="s">
        <v>31</v>
      </c>
      <c r="D107" t="s">
        <v>33</v>
      </c>
      <c r="E107" t="s">
        <v>140</v>
      </c>
      <c r="F107" t="s">
        <v>25</v>
      </c>
      <c r="G107" t="s">
        <v>84</v>
      </c>
      <c r="H107" t="s">
        <v>11</v>
      </c>
      <c r="I107" t="s">
        <v>12</v>
      </c>
      <c r="J107" t="s">
        <v>71</v>
      </c>
      <c r="K107" t="s">
        <v>32</v>
      </c>
      <c r="L107" t="s">
        <v>99</v>
      </c>
      <c r="M107">
        <v>1</v>
      </c>
    </row>
    <row r="108" spans="1:13" x14ac:dyDescent="0.25">
      <c r="A108" s="1">
        <v>46135</v>
      </c>
      <c r="B108" s="1" t="str">
        <f ca="1">IF(Información1[[#This Row],[Fecha]]='Ajuste de fechas'!$A$2,"Día actual","Día anterior")</f>
        <v>Día anterior</v>
      </c>
      <c r="C108" t="s">
        <v>38</v>
      </c>
      <c r="D108" t="s">
        <v>41</v>
      </c>
      <c r="E108" t="s">
        <v>141</v>
      </c>
      <c r="F108" t="s">
        <v>56</v>
      </c>
      <c r="G108" t="s">
        <v>87</v>
      </c>
      <c r="H108" t="s">
        <v>11</v>
      </c>
      <c r="I108" t="s">
        <v>7</v>
      </c>
      <c r="J108" t="s">
        <v>71</v>
      </c>
      <c r="K108" t="s">
        <v>39</v>
      </c>
      <c r="L108" t="s">
        <v>74</v>
      </c>
      <c r="M108">
        <v>1</v>
      </c>
    </row>
    <row r="109" spans="1:13" x14ac:dyDescent="0.25">
      <c r="A109" s="1">
        <v>46135</v>
      </c>
      <c r="B109" s="1" t="str">
        <f ca="1">IF(Información1[[#This Row],[Fecha]]='Ajuste de fechas'!$A$2,"Día actual","Día anterior")</f>
        <v>Día anterior</v>
      </c>
      <c r="C109" t="s">
        <v>38</v>
      </c>
      <c r="D109" t="s">
        <v>41</v>
      </c>
      <c r="E109" t="s">
        <v>142</v>
      </c>
      <c r="F109" t="s">
        <v>19</v>
      </c>
      <c r="G109" t="s">
        <v>81</v>
      </c>
      <c r="H109" t="s">
        <v>11</v>
      </c>
      <c r="I109" t="s">
        <v>7</v>
      </c>
      <c r="J109" t="s">
        <v>75</v>
      </c>
      <c r="K109" t="s">
        <v>39</v>
      </c>
      <c r="L109" t="s">
        <v>72</v>
      </c>
      <c r="M109">
        <v>1</v>
      </c>
    </row>
    <row r="110" spans="1:13" x14ac:dyDescent="0.25">
      <c r="A110" s="1">
        <v>46135</v>
      </c>
      <c r="B110" s="1" t="str">
        <f ca="1">IF(Información1[[#This Row],[Fecha]]='Ajuste de fechas'!$A$2,"Día actual","Día anterior")</f>
        <v>Día anterior</v>
      </c>
      <c r="C110" t="s">
        <v>38</v>
      </c>
      <c r="D110" t="s">
        <v>41</v>
      </c>
      <c r="E110" t="s">
        <v>143</v>
      </c>
      <c r="F110" t="s">
        <v>19</v>
      </c>
      <c r="G110" t="s">
        <v>117</v>
      </c>
      <c r="H110" t="s">
        <v>11</v>
      </c>
      <c r="I110" t="s">
        <v>7</v>
      </c>
      <c r="J110" t="s">
        <v>75</v>
      </c>
      <c r="K110" t="s">
        <v>39</v>
      </c>
      <c r="L110" t="s">
        <v>72</v>
      </c>
      <c r="M110">
        <v>1</v>
      </c>
    </row>
    <row r="111" spans="1:13" x14ac:dyDescent="0.25">
      <c r="A111" s="1">
        <v>46135</v>
      </c>
      <c r="B111" s="1" t="str">
        <f ca="1">IF(Información1[[#This Row],[Fecha]]='Ajuste de fechas'!$A$2,"Día actual","Día anterior")</f>
        <v>Día anterior</v>
      </c>
      <c r="C111" t="s">
        <v>38</v>
      </c>
      <c r="D111" t="s">
        <v>41</v>
      </c>
      <c r="E111" t="s">
        <v>144</v>
      </c>
      <c r="F111" t="s">
        <v>22</v>
      </c>
      <c r="G111" t="s">
        <v>116</v>
      </c>
      <c r="H111" t="s">
        <v>11</v>
      </c>
      <c r="I111" t="s">
        <v>7</v>
      </c>
      <c r="J111" t="s">
        <v>26</v>
      </c>
      <c r="K111" t="s">
        <v>39</v>
      </c>
      <c r="L111" t="s">
        <v>72</v>
      </c>
      <c r="M111">
        <v>1</v>
      </c>
    </row>
    <row r="112" spans="1:13" x14ac:dyDescent="0.25">
      <c r="A112" s="1">
        <v>46135</v>
      </c>
      <c r="B112" s="1" t="str">
        <f ca="1">IF(Información1[[#This Row],[Fecha]]='Ajuste de fechas'!$A$2,"Día actual","Día anterior")</f>
        <v>Día anterior</v>
      </c>
      <c r="C112" t="s">
        <v>38</v>
      </c>
      <c r="D112" t="s">
        <v>41</v>
      </c>
      <c r="E112" t="s">
        <v>120</v>
      </c>
      <c r="F112" t="s">
        <v>24</v>
      </c>
      <c r="G112" t="s">
        <v>91</v>
      </c>
      <c r="H112" t="s">
        <v>11</v>
      </c>
      <c r="I112" t="s">
        <v>7</v>
      </c>
      <c r="J112" t="s">
        <v>71</v>
      </c>
      <c r="K112" t="s">
        <v>39</v>
      </c>
      <c r="L112" t="s">
        <v>74</v>
      </c>
      <c r="M112">
        <v>1</v>
      </c>
    </row>
    <row r="113" spans="1:13" x14ac:dyDescent="0.25">
      <c r="A113" s="1">
        <v>46135</v>
      </c>
      <c r="B113" s="1" t="str">
        <f ca="1">IF(Información1[[#This Row],[Fecha]]='Ajuste de fechas'!$A$2,"Día actual","Día anterior")</f>
        <v>Día anterior</v>
      </c>
      <c r="C113" t="s">
        <v>38</v>
      </c>
      <c r="D113" t="s">
        <v>41</v>
      </c>
      <c r="E113" t="s">
        <v>145</v>
      </c>
      <c r="F113" t="s">
        <v>47</v>
      </c>
      <c r="G113" t="s">
        <v>82</v>
      </c>
      <c r="H113" t="s">
        <v>11</v>
      </c>
      <c r="I113" t="s">
        <v>7</v>
      </c>
      <c r="J113" t="s">
        <v>71</v>
      </c>
      <c r="K113" t="s">
        <v>39</v>
      </c>
      <c r="L113" t="s">
        <v>72</v>
      </c>
      <c r="M113">
        <v>1</v>
      </c>
    </row>
    <row r="114" spans="1:13" x14ac:dyDescent="0.25">
      <c r="A114" s="1">
        <v>46135</v>
      </c>
      <c r="B114" s="1" t="str">
        <f ca="1">IF(Información1[[#This Row],[Fecha]]='Ajuste de fechas'!$A$2,"Día actual","Día anterior")</f>
        <v>Día anterior</v>
      </c>
      <c r="C114" t="s">
        <v>38</v>
      </c>
      <c r="D114" t="s">
        <v>41</v>
      </c>
      <c r="E114" t="s">
        <v>146</v>
      </c>
      <c r="F114" t="s">
        <v>23</v>
      </c>
      <c r="G114" t="s">
        <v>147</v>
      </c>
      <c r="H114" t="s">
        <v>11</v>
      </c>
      <c r="I114" t="s">
        <v>7</v>
      </c>
      <c r="J114" t="s">
        <v>76</v>
      </c>
      <c r="K114" t="s">
        <v>39</v>
      </c>
      <c r="L114" t="s">
        <v>72</v>
      </c>
      <c r="M114">
        <v>1</v>
      </c>
    </row>
    <row r="115" spans="1:13" x14ac:dyDescent="0.25">
      <c r="A115" s="1">
        <v>46135</v>
      </c>
      <c r="B115" s="1" t="str">
        <f ca="1">IF(Información1[[#This Row],[Fecha]]='Ajuste de fechas'!$A$2,"Día actual","Día anterior")</f>
        <v>Día anterior</v>
      </c>
      <c r="C115" t="s">
        <v>38</v>
      </c>
      <c r="D115" t="s">
        <v>41</v>
      </c>
      <c r="E115" t="s">
        <v>148</v>
      </c>
      <c r="F115" t="s">
        <v>19</v>
      </c>
      <c r="G115" t="s">
        <v>85</v>
      </c>
      <c r="H115" t="s">
        <v>11</v>
      </c>
      <c r="I115" t="s">
        <v>7</v>
      </c>
      <c r="J115" t="s">
        <v>75</v>
      </c>
      <c r="K115" t="s">
        <v>39</v>
      </c>
      <c r="L115" t="s">
        <v>72</v>
      </c>
      <c r="M115">
        <v>1</v>
      </c>
    </row>
    <row r="116" spans="1:13" x14ac:dyDescent="0.25">
      <c r="A116" s="1">
        <v>46135</v>
      </c>
      <c r="B116" s="1" t="str">
        <f ca="1">IF(Información1[[#This Row],[Fecha]]='Ajuste de fechas'!$A$2,"Día actual","Día anterior")</f>
        <v>Día anterior</v>
      </c>
      <c r="C116" t="s">
        <v>38</v>
      </c>
      <c r="D116" t="s">
        <v>41</v>
      </c>
      <c r="E116" t="s">
        <v>149</v>
      </c>
      <c r="F116" t="s">
        <v>25</v>
      </c>
      <c r="G116" t="s">
        <v>84</v>
      </c>
      <c r="H116" t="s">
        <v>11</v>
      </c>
      <c r="I116" t="s">
        <v>7</v>
      </c>
      <c r="J116" t="s">
        <v>71</v>
      </c>
      <c r="K116" t="s">
        <v>39</v>
      </c>
      <c r="L116" t="s">
        <v>74</v>
      </c>
      <c r="M116">
        <v>1</v>
      </c>
    </row>
    <row r="117" spans="1:13" x14ac:dyDescent="0.25">
      <c r="A117" s="1">
        <v>46135</v>
      </c>
      <c r="B117" s="1" t="str">
        <f ca="1">IF(Información1[[#This Row],[Fecha]]='Ajuste de fechas'!$A$2,"Día actual","Día anterior")</f>
        <v>Día anterior</v>
      </c>
      <c r="C117" t="s">
        <v>38</v>
      </c>
      <c r="D117" t="s">
        <v>41</v>
      </c>
      <c r="E117" t="s">
        <v>150</v>
      </c>
      <c r="F117" t="s">
        <v>23</v>
      </c>
      <c r="G117" t="s">
        <v>112</v>
      </c>
      <c r="H117" t="s">
        <v>11</v>
      </c>
      <c r="I117" t="s">
        <v>7</v>
      </c>
      <c r="J117" t="s">
        <v>76</v>
      </c>
      <c r="K117" t="s">
        <v>39</v>
      </c>
      <c r="L117" t="s">
        <v>72</v>
      </c>
      <c r="M117">
        <v>1</v>
      </c>
    </row>
    <row r="118" spans="1:13" x14ac:dyDescent="0.25">
      <c r="A118" s="1">
        <v>46135</v>
      </c>
      <c r="B118" s="1" t="str">
        <f ca="1">IF(Información1[[#This Row],[Fecha]]='Ajuste de fechas'!$A$2,"Día actual","Día anterior")</f>
        <v>Día anterior</v>
      </c>
      <c r="C118" t="s">
        <v>8</v>
      </c>
      <c r="D118" t="s">
        <v>10</v>
      </c>
      <c r="E118" t="s">
        <v>151</v>
      </c>
      <c r="F118" t="s">
        <v>6</v>
      </c>
      <c r="G118" t="s">
        <v>152</v>
      </c>
      <c r="H118" t="s">
        <v>11</v>
      </c>
      <c r="I118" t="s">
        <v>27</v>
      </c>
      <c r="J118" t="s">
        <v>71</v>
      </c>
      <c r="K118" t="s">
        <v>9</v>
      </c>
      <c r="L118" t="s">
        <v>73</v>
      </c>
      <c r="M118">
        <v>1</v>
      </c>
    </row>
    <row r="119" spans="1:13" x14ac:dyDescent="0.25">
      <c r="A119" s="1">
        <v>46135</v>
      </c>
      <c r="B119" s="1" t="str">
        <f ca="1">IF(Información1[[#This Row],[Fecha]]='Ajuste de fechas'!$A$2,"Día actual","Día anterior")</f>
        <v>Día anterior</v>
      </c>
      <c r="C119" t="s">
        <v>8</v>
      </c>
      <c r="D119" t="s">
        <v>10</v>
      </c>
      <c r="E119" t="s">
        <v>153</v>
      </c>
      <c r="F119" t="s">
        <v>6</v>
      </c>
      <c r="G119" t="s">
        <v>152</v>
      </c>
      <c r="H119" t="s">
        <v>11</v>
      </c>
      <c r="I119" t="s">
        <v>27</v>
      </c>
      <c r="J119" t="s">
        <v>71</v>
      </c>
      <c r="K119" t="s">
        <v>9</v>
      </c>
      <c r="L119" t="s">
        <v>73</v>
      </c>
      <c r="M119">
        <v>1</v>
      </c>
    </row>
    <row r="120" spans="1:13" x14ac:dyDescent="0.25">
      <c r="A120" s="1">
        <v>46135</v>
      </c>
      <c r="B120" s="1" t="str">
        <f ca="1">IF(Información1[[#This Row],[Fecha]]='Ajuste de fechas'!$A$2,"Día actual","Día anterior")</f>
        <v>Día anterior</v>
      </c>
      <c r="C120" t="s">
        <v>8</v>
      </c>
      <c r="D120" t="s">
        <v>10</v>
      </c>
      <c r="E120" t="s">
        <v>154</v>
      </c>
      <c r="F120" t="s">
        <v>6</v>
      </c>
      <c r="G120" t="s">
        <v>114</v>
      </c>
      <c r="H120" t="s">
        <v>11</v>
      </c>
      <c r="I120" t="s">
        <v>27</v>
      </c>
      <c r="J120" t="s">
        <v>71</v>
      </c>
      <c r="K120" t="s">
        <v>14</v>
      </c>
      <c r="L120" t="s">
        <v>73</v>
      </c>
      <c r="M120">
        <v>1</v>
      </c>
    </row>
    <row r="121" spans="1:13" x14ac:dyDescent="0.25">
      <c r="A121" s="1">
        <v>46135</v>
      </c>
      <c r="B121" s="1" t="str">
        <f ca="1">IF(Información1[[#This Row],[Fecha]]='Ajuste de fechas'!$A$2,"Día actual","Día anterior")</f>
        <v>Día anterior</v>
      </c>
      <c r="C121" t="s">
        <v>8</v>
      </c>
      <c r="D121" t="s">
        <v>10</v>
      </c>
      <c r="E121" t="s">
        <v>155</v>
      </c>
      <c r="F121" t="s">
        <v>6</v>
      </c>
      <c r="G121" t="s">
        <v>95</v>
      </c>
      <c r="H121" t="s">
        <v>11</v>
      </c>
      <c r="I121" t="s">
        <v>27</v>
      </c>
      <c r="J121" t="s">
        <v>71</v>
      </c>
      <c r="K121" t="s">
        <v>9</v>
      </c>
      <c r="L121" t="s">
        <v>73</v>
      </c>
      <c r="M121">
        <v>1</v>
      </c>
    </row>
    <row r="122" spans="1:13" x14ac:dyDescent="0.25">
      <c r="A122" s="1">
        <v>46135</v>
      </c>
      <c r="B122" s="1" t="str">
        <f ca="1">IF(Información1[[#This Row],[Fecha]]='Ajuste de fechas'!$A$2,"Día actual","Día anterior")</f>
        <v>Día anterior</v>
      </c>
      <c r="C122" t="s">
        <v>8</v>
      </c>
      <c r="D122" t="s">
        <v>10</v>
      </c>
      <c r="E122" t="s">
        <v>156</v>
      </c>
      <c r="F122" t="s">
        <v>26</v>
      </c>
      <c r="G122" t="s">
        <v>157</v>
      </c>
      <c r="H122" t="s">
        <v>11</v>
      </c>
      <c r="I122" t="s">
        <v>7</v>
      </c>
      <c r="J122" t="s">
        <v>26</v>
      </c>
      <c r="K122" t="s">
        <v>9</v>
      </c>
      <c r="L122" t="s">
        <v>73</v>
      </c>
      <c r="M122">
        <v>1</v>
      </c>
    </row>
    <row r="123" spans="1:13" x14ac:dyDescent="0.25">
      <c r="A123" s="1">
        <v>46135</v>
      </c>
      <c r="B123" s="1" t="str">
        <f ca="1">IF(Información1[[#This Row],[Fecha]]='Ajuste de fechas'!$A$2,"Día actual","Día anterior")</f>
        <v>Día anterior</v>
      </c>
      <c r="C123" t="s">
        <v>8</v>
      </c>
      <c r="D123" t="s">
        <v>10</v>
      </c>
      <c r="E123" t="s">
        <v>158</v>
      </c>
      <c r="F123" t="s">
        <v>6</v>
      </c>
      <c r="G123" t="s">
        <v>95</v>
      </c>
      <c r="H123" t="s">
        <v>11</v>
      </c>
      <c r="I123" t="s">
        <v>12</v>
      </c>
      <c r="J123" t="s">
        <v>71</v>
      </c>
      <c r="K123" t="s">
        <v>9</v>
      </c>
      <c r="L123" t="s">
        <v>73</v>
      </c>
      <c r="M123">
        <v>1</v>
      </c>
    </row>
    <row r="124" spans="1:13" x14ac:dyDescent="0.25">
      <c r="A124" s="1">
        <v>46135</v>
      </c>
      <c r="B124" s="1" t="str">
        <f ca="1">IF(Información1[[#This Row],[Fecha]]='Ajuste de fechas'!$A$2,"Día actual","Día anterior")</f>
        <v>Día anterior</v>
      </c>
      <c r="C124" t="s">
        <v>8</v>
      </c>
      <c r="D124" t="s">
        <v>10</v>
      </c>
      <c r="E124" t="s">
        <v>159</v>
      </c>
      <c r="F124" t="s">
        <v>17</v>
      </c>
      <c r="G124" t="s">
        <v>119</v>
      </c>
      <c r="H124" t="s">
        <v>11</v>
      </c>
      <c r="I124" t="s">
        <v>7</v>
      </c>
      <c r="J124" t="s">
        <v>71</v>
      </c>
      <c r="K124" t="s">
        <v>9</v>
      </c>
      <c r="L124" t="s">
        <v>73</v>
      </c>
      <c r="M124">
        <v>1</v>
      </c>
    </row>
    <row r="125" spans="1:13" x14ac:dyDescent="0.25">
      <c r="A125" s="1">
        <v>46135</v>
      </c>
      <c r="B125" s="1" t="str">
        <f ca="1">IF(Información1[[#This Row],[Fecha]]='Ajuste de fechas'!$A$2,"Día actual","Día anterior")</f>
        <v>Día anterior</v>
      </c>
      <c r="C125" t="s">
        <v>8</v>
      </c>
      <c r="D125" t="s">
        <v>10</v>
      </c>
      <c r="E125" t="s">
        <v>160</v>
      </c>
      <c r="F125" t="s">
        <v>19</v>
      </c>
      <c r="G125" t="s">
        <v>90</v>
      </c>
      <c r="H125" t="s">
        <v>11</v>
      </c>
      <c r="I125" t="s">
        <v>7</v>
      </c>
      <c r="J125" t="s">
        <v>75</v>
      </c>
      <c r="K125" t="s">
        <v>14</v>
      </c>
      <c r="L125" t="s">
        <v>72</v>
      </c>
      <c r="M125">
        <v>1</v>
      </c>
    </row>
    <row r="126" spans="1:13" x14ac:dyDescent="0.25">
      <c r="A126" s="1">
        <v>46135</v>
      </c>
      <c r="B126" s="1" t="str">
        <f ca="1">IF(Información1[[#This Row],[Fecha]]='Ajuste de fechas'!$A$2,"Día actual","Día anterior")</f>
        <v>Día anterior</v>
      </c>
      <c r="C126" t="s">
        <v>8</v>
      </c>
      <c r="D126" t="s">
        <v>10</v>
      </c>
      <c r="E126" t="s">
        <v>161</v>
      </c>
      <c r="F126" t="s">
        <v>19</v>
      </c>
      <c r="G126" t="s">
        <v>46</v>
      </c>
      <c r="H126" t="s">
        <v>11</v>
      </c>
      <c r="I126" t="s">
        <v>7</v>
      </c>
      <c r="J126" t="s">
        <v>75</v>
      </c>
      <c r="K126" t="s">
        <v>14</v>
      </c>
      <c r="L126" t="s">
        <v>72</v>
      </c>
      <c r="M126">
        <v>1</v>
      </c>
    </row>
    <row r="127" spans="1:13" x14ac:dyDescent="0.25">
      <c r="A127" s="1">
        <v>46135</v>
      </c>
      <c r="B127" s="1" t="str">
        <f ca="1">IF(Información1[[#This Row],[Fecha]]='Ajuste de fechas'!$A$2,"Día actual","Día anterior")</f>
        <v>Día anterior</v>
      </c>
      <c r="C127" t="s">
        <v>8</v>
      </c>
      <c r="D127" t="s">
        <v>10</v>
      </c>
      <c r="E127" t="s">
        <v>162</v>
      </c>
      <c r="F127" t="s">
        <v>17</v>
      </c>
      <c r="G127" t="s">
        <v>89</v>
      </c>
      <c r="H127" t="s">
        <v>11</v>
      </c>
      <c r="I127" t="s">
        <v>7</v>
      </c>
      <c r="J127" t="s">
        <v>71</v>
      </c>
      <c r="K127" t="s">
        <v>9</v>
      </c>
      <c r="L127" t="s">
        <v>73</v>
      </c>
      <c r="M127">
        <v>1</v>
      </c>
    </row>
    <row r="128" spans="1:13" x14ac:dyDescent="0.25">
      <c r="A128" s="1">
        <v>46135</v>
      </c>
      <c r="B128" s="1" t="str">
        <f ca="1">IF(Información1[[#This Row],[Fecha]]='Ajuste de fechas'!$A$2,"Día actual","Día anterior")</f>
        <v>Día anterior</v>
      </c>
      <c r="C128" t="s">
        <v>8</v>
      </c>
      <c r="D128" t="s">
        <v>10</v>
      </c>
      <c r="E128" t="s">
        <v>163</v>
      </c>
      <c r="F128" t="s">
        <v>22</v>
      </c>
      <c r="G128" t="s">
        <v>164</v>
      </c>
      <c r="H128" t="s">
        <v>11</v>
      </c>
      <c r="I128" t="s">
        <v>7</v>
      </c>
      <c r="J128" t="s">
        <v>26</v>
      </c>
      <c r="K128" t="s">
        <v>14</v>
      </c>
      <c r="L128" t="s">
        <v>77</v>
      </c>
      <c r="M128">
        <v>1</v>
      </c>
    </row>
    <row r="129" spans="1:13" x14ac:dyDescent="0.25">
      <c r="A129" s="1">
        <v>46135</v>
      </c>
      <c r="B129" s="1" t="str">
        <f ca="1">IF(Información1[[#This Row],[Fecha]]='Ajuste de fechas'!$A$2,"Día actual","Día anterior")</f>
        <v>Día anterior</v>
      </c>
      <c r="C129" t="s">
        <v>8</v>
      </c>
      <c r="D129" t="s">
        <v>10</v>
      </c>
      <c r="E129" t="s">
        <v>165</v>
      </c>
      <c r="F129" t="s">
        <v>23</v>
      </c>
      <c r="G129" t="s">
        <v>166</v>
      </c>
      <c r="H129" t="s">
        <v>11</v>
      </c>
      <c r="I129" t="s">
        <v>7</v>
      </c>
      <c r="J129" t="s">
        <v>76</v>
      </c>
      <c r="K129" t="s">
        <v>14</v>
      </c>
      <c r="L129" t="s">
        <v>72</v>
      </c>
      <c r="M129">
        <v>1</v>
      </c>
    </row>
    <row r="130" spans="1:13" x14ac:dyDescent="0.25">
      <c r="A130" s="1">
        <v>46135</v>
      </c>
      <c r="B130" s="1" t="str">
        <f ca="1">IF(Información1[[#This Row],[Fecha]]='Ajuste de fechas'!$A$2,"Día actual","Día anterior")</f>
        <v>Día anterior</v>
      </c>
      <c r="C130" t="s">
        <v>8</v>
      </c>
      <c r="D130" t="s">
        <v>10</v>
      </c>
      <c r="E130" t="s">
        <v>167</v>
      </c>
      <c r="F130" t="s">
        <v>26</v>
      </c>
      <c r="G130" t="s">
        <v>111</v>
      </c>
      <c r="H130" t="s">
        <v>11</v>
      </c>
      <c r="I130" t="s">
        <v>7</v>
      </c>
      <c r="J130" t="s">
        <v>26</v>
      </c>
      <c r="K130" t="s">
        <v>14</v>
      </c>
      <c r="L130" t="s">
        <v>73</v>
      </c>
      <c r="M130">
        <v>1</v>
      </c>
    </row>
    <row r="131" spans="1:13" x14ac:dyDescent="0.25">
      <c r="A131" s="1">
        <v>46135</v>
      </c>
      <c r="B131" s="1" t="str">
        <f ca="1">IF(Información1[[#This Row],[Fecha]]='Ajuste de fechas'!$A$2,"Día actual","Día anterior")</f>
        <v>Día anterior</v>
      </c>
      <c r="C131" t="s">
        <v>8</v>
      </c>
      <c r="D131" t="s">
        <v>10</v>
      </c>
      <c r="E131" t="s">
        <v>168</v>
      </c>
      <c r="F131" t="s">
        <v>19</v>
      </c>
      <c r="G131" t="s">
        <v>86</v>
      </c>
      <c r="H131" t="s">
        <v>11</v>
      </c>
      <c r="I131" t="s">
        <v>7</v>
      </c>
      <c r="J131" t="s">
        <v>75</v>
      </c>
      <c r="K131" t="s">
        <v>9</v>
      </c>
      <c r="L131" t="s">
        <v>73</v>
      </c>
      <c r="M131">
        <v>1</v>
      </c>
    </row>
    <row r="132" spans="1:13" x14ac:dyDescent="0.25">
      <c r="A132" s="1">
        <v>46135</v>
      </c>
      <c r="B132" s="1" t="str">
        <f ca="1">IF(Información1[[#This Row],[Fecha]]='Ajuste de fechas'!$A$2,"Día actual","Día anterior")</f>
        <v>Día anterior</v>
      </c>
      <c r="C132" t="s">
        <v>8</v>
      </c>
      <c r="D132" t="s">
        <v>10</v>
      </c>
      <c r="E132" t="s">
        <v>169</v>
      </c>
      <c r="F132" t="s">
        <v>19</v>
      </c>
      <c r="G132" t="s">
        <v>86</v>
      </c>
      <c r="H132" t="s">
        <v>11</v>
      </c>
      <c r="I132" t="s">
        <v>7</v>
      </c>
      <c r="J132" t="s">
        <v>75</v>
      </c>
      <c r="K132" t="s">
        <v>14</v>
      </c>
      <c r="L132" t="s">
        <v>73</v>
      </c>
      <c r="M132">
        <v>1</v>
      </c>
    </row>
    <row r="133" spans="1:13" x14ac:dyDescent="0.25">
      <c r="A133" s="1">
        <v>46135</v>
      </c>
      <c r="B133" s="1" t="str">
        <f ca="1">IF(Información1[[#This Row],[Fecha]]='Ajuste de fechas'!$A$2,"Día actual","Día anterior")</f>
        <v>Día anterior</v>
      </c>
      <c r="C133" t="s">
        <v>8</v>
      </c>
      <c r="D133" t="s">
        <v>10</v>
      </c>
      <c r="E133" t="s">
        <v>170</v>
      </c>
      <c r="F133" t="s">
        <v>25</v>
      </c>
      <c r="G133" t="s">
        <v>84</v>
      </c>
      <c r="H133" t="s">
        <v>11</v>
      </c>
      <c r="I133" t="s">
        <v>12</v>
      </c>
      <c r="J133" t="s">
        <v>71</v>
      </c>
      <c r="K133" t="s">
        <v>14</v>
      </c>
      <c r="L133" t="s">
        <v>99</v>
      </c>
      <c r="M133">
        <v>1</v>
      </c>
    </row>
    <row r="134" spans="1:13" x14ac:dyDescent="0.25">
      <c r="A134" s="1">
        <v>46135</v>
      </c>
      <c r="B134" s="1" t="str">
        <f ca="1">IF(Información1[[#This Row],[Fecha]]='Ajuste de fechas'!$A$2,"Día actual","Día anterior")</f>
        <v>Día anterior</v>
      </c>
      <c r="C134" t="s">
        <v>8</v>
      </c>
      <c r="D134" t="s">
        <v>10</v>
      </c>
      <c r="E134" t="s">
        <v>171</v>
      </c>
      <c r="F134" t="s">
        <v>25</v>
      </c>
      <c r="G134" t="s">
        <v>84</v>
      </c>
      <c r="H134" t="s">
        <v>11</v>
      </c>
      <c r="I134" t="s">
        <v>7</v>
      </c>
      <c r="J134" t="s">
        <v>71</v>
      </c>
      <c r="K134" t="s">
        <v>14</v>
      </c>
      <c r="L134" t="s">
        <v>72</v>
      </c>
      <c r="M134">
        <v>1</v>
      </c>
    </row>
    <row r="135" spans="1:13" x14ac:dyDescent="0.25">
      <c r="A135" s="1">
        <v>46135</v>
      </c>
      <c r="B135" s="1" t="str">
        <f ca="1">IF(Información1[[#This Row],[Fecha]]='Ajuste de fechas'!$A$2,"Día actual","Día anterior")</f>
        <v>Día anterior</v>
      </c>
      <c r="C135" t="s">
        <v>8</v>
      </c>
      <c r="D135" t="s">
        <v>10</v>
      </c>
      <c r="E135" t="s">
        <v>172</v>
      </c>
      <c r="F135" t="s">
        <v>23</v>
      </c>
      <c r="G135" t="s">
        <v>81</v>
      </c>
      <c r="H135" t="s">
        <v>11</v>
      </c>
      <c r="I135" t="s">
        <v>7</v>
      </c>
      <c r="J135" t="s">
        <v>76</v>
      </c>
      <c r="K135" t="s">
        <v>14</v>
      </c>
      <c r="L135" t="s">
        <v>72</v>
      </c>
      <c r="M135">
        <v>1</v>
      </c>
    </row>
    <row r="136" spans="1:13" x14ac:dyDescent="0.25">
      <c r="A136" s="1">
        <v>46135</v>
      </c>
      <c r="B136" s="1" t="str">
        <f ca="1">IF(Información1[[#This Row],[Fecha]]='Ajuste de fechas'!$A$2,"Día actual","Día anterior")</f>
        <v>Día anterior</v>
      </c>
      <c r="C136" t="s">
        <v>8</v>
      </c>
      <c r="D136" t="s">
        <v>10</v>
      </c>
      <c r="E136" t="s">
        <v>173</v>
      </c>
      <c r="F136" t="s">
        <v>23</v>
      </c>
      <c r="G136" t="s">
        <v>112</v>
      </c>
      <c r="H136" t="s">
        <v>11</v>
      </c>
      <c r="I136" t="s">
        <v>7</v>
      </c>
      <c r="J136" t="s">
        <v>76</v>
      </c>
      <c r="K136" t="s">
        <v>14</v>
      </c>
      <c r="L136" t="s">
        <v>72</v>
      </c>
      <c r="M136">
        <v>1</v>
      </c>
    </row>
    <row r="137" spans="1:13" x14ac:dyDescent="0.25">
      <c r="A137" s="1">
        <v>46135</v>
      </c>
      <c r="B137" s="1" t="str">
        <f ca="1">IF(Información1[[#This Row],[Fecha]]='Ajuste de fechas'!$A$2,"Día actual","Día anterior")</f>
        <v>Día anterior</v>
      </c>
      <c r="C137" t="s">
        <v>8</v>
      </c>
      <c r="D137" t="s">
        <v>10</v>
      </c>
      <c r="E137" t="s">
        <v>20</v>
      </c>
      <c r="F137" t="s">
        <v>19</v>
      </c>
      <c r="G137" t="s">
        <v>62</v>
      </c>
      <c r="H137" t="s">
        <v>11</v>
      </c>
      <c r="I137" t="s">
        <v>12</v>
      </c>
      <c r="J137" t="s">
        <v>75</v>
      </c>
      <c r="K137" t="s">
        <v>14</v>
      </c>
      <c r="L137" t="s">
        <v>73</v>
      </c>
      <c r="M137">
        <v>1</v>
      </c>
    </row>
    <row r="138" spans="1:13" x14ac:dyDescent="0.25">
      <c r="A138" s="1">
        <v>46135</v>
      </c>
      <c r="B138" s="1" t="str">
        <f ca="1">IF(Información1[[#This Row],[Fecha]]='Ajuste de fechas'!$A$2,"Día actual","Día anterior")</f>
        <v>Día anterior</v>
      </c>
      <c r="C138" t="s">
        <v>8</v>
      </c>
      <c r="D138" t="s">
        <v>10</v>
      </c>
      <c r="E138" t="s">
        <v>18</v>
      </c>
      <c r="F138" t="s">
        <v>19</v>
      </c>
      <c r="G138" t="s">
        <v>62</v>
      </c>
      <c r="H138" t="s">
        <v>11</v>
      </c>
      <c r="I138" t="s">
        <v>12</v>
      </c>
      <c r="J138" t="s">
        <v>75</v>
      </c>
      <c r="K138" t="s">
        <v>14</v>
      </c>
      <c r="L138" t="s">
        <v>73</v>
      </c>
      <c r="M138">
        <v>1</v>
      </c>
    </row>
    <row r="139" spans="1:13" x14ac:dyDescent="0.25">
      <c r="A139" s="1">
        <v>46135</v>
      </c>
      <c r="B139" s="1" t="str">
        <f ca="1">IF(Información1[[#This Row],[Fecha]]='Ajuste de fechas'!$A$2,"Día actual","Día anterior")</f>
        <v>Día anterior</v>
      </c>
      <c r="C139" t="s">
        <v>8</v>
      </c>
      <c r="D139" t="s">
        <v>10</v>
      </c>
      <c r="E139" t="s">
        <v>60</v>
      </c>
      <c r="F139" t="s">
        <v>22</v>
      </c>
      <c r="G139" t="s">
        <v>62</v>
      </c>
      <c r="H139" t="s">
        <v>11</v>
      </c>
      <c r="I139" t="s">
        <v>12</v>
      </c>
      <c r="J139" t="s">
        <v>26</v>
      </c>
      <c r="K139" t="s">
        <v>14</v>
      </c>
      <c r="L139" t="s">
        <v>73</v>
      </c>
      <c r="M139">
        <v>1</v>
      </c>
    </row>
    <row r="140" spans="1:13" x14ac:dyDescent="0.25">
      <c r="A140" s="1">
        <v>46135</v>
      </c>
      <c r="B140" s="1" t="str">
        <f ca="1">IF(Información1[[#This Row],[Fecha]]='Ajuste de fechas'!$A$2,"Día actual","Día anterior")</f>
        <v>Día anterior</v>
      </c>
      <c r="C140" t="s">
        <v>8</v>
      </c>
      <c r="D140" t="s">
        <v>10</v>
      </c>
      <c r="E140" t="s">
        <v>110</v>
      </c>
      <c r="F140" t="s">
        <v>21</v>
      </c>
      <c r="G140" t="s">
        <v>62</v>
      </c>
      <c r="H140" t="s">
        <v>11</v>
      </c>
      <c r="I140" t="s">
        <v>12</v>
      </c>
      <c r="J140" t="s">
        <v>71</v>
      </c>
      <c r="K140" t="s">
        <v>14</v>
      </c>
      <c r="L140" t="s">
        <v>73</v>
      </c>
      <c r="M140">
        <v>1</v>
      </c>
    </row>
    <row r="141" spans="1:13" x14ac:dyDescent="0.25">
      <c r="A141" s="1">
        <v>46135</v>
      </c>
      <c r="B141" s="1" t="str">
        <f ca="1">IF(Información1[[#This Row],[Fecha]]='Ajuste de fechas'!$A$2,"Día actual","Día anterior")</f>
        <v>Día anterior</v>
      </c>
      <c r="C141" t="s">
        <v>8</v>
      </c>
      <c r="D141" t="s">
        <v>10</v>
      </c>
      <c r="E141" t="s">
        <v>13</v>
      </c>
      <c r="F141" t="s">
        <v>15</v>
      </c>
      <c r="G141" t="s">
        <v>62</v>
      </c>
      <c r="H141" t="s">
        <v>11</v>
      </c>
      <c r="I141" t="s">
        <v>12</v>
      </c>
      <c r="J141" t="s">
        <v>71</v>
      </c>
      <c r="K141" t="s">
        <v>14</v>
      </c>
      <c r="L141" t="s">
        <v>73</v>
      </c>
      <c r="M141">
        <v>1</v>
      </c>
    </row>
    <row r="142" spans="1:13" x14ac:dyDescent="0.25">
      <c r="A142" s="1">
        <v>46135</v>
      </c>
      <c r="B142" s="1" t="str">
        <f ca="1">IF(Información1[[#This Row],[Fecha]]='Ajuste de fechas'!$A$2,"Día actual","Día anterior")</f>
        <v>Día anterior</v>
      </c>
      <c r="C142" t="s">
        <v>8</v>
      </c>
      <c r="D142" t="s">
        <v>10</v>
      </c>
      <c r="E142" t="s">
        <v>16</v>
      </c>
      <c r="F142" t="s">
        <v>17</v>
      </c>
      <c r="G142" t="s">
        <v>62</v>
      </c>
      <c r="H142" t="s">
        <v>11</v>
      </c>
      <c r="I142" t="s">
        <v>12</v>
      </c>
      <c r="J142" t="s">
        <v>71</v>
      </c>
      <c r="K142" t="s">
        <v>14</v>
      </c>
      <c r="L142" t="s">
        <v>73</v>
      </c>
      <c r="M142">
        <v>1</v>
      </c>
    </row>
    <row r="143" spans="1:13" x14ac:dyDescent="0.25">
      <c r="A143" s="1">
        <v>46135</v>
      </c>
      <c r="B143" s="1" t="str">
        <f ca="1">IF(Información1[[#This Row],[Fecha]]='Ajuste de fechas'!$A$2,"Día actual","Día anterior")</f>
        <v>Día anterior</v>
      </c>
      <c r="C143" t="s">
        <v>8</v>
      </c>
      <c r="D143" t="s">
        <v>10</v>
      </c>
      <c r="E143" t="s">
        <v>64</v>
      </c>
      <c r="F143" t="s">
        <v>6</v>
      </c>
      <c r="G143" t="s">
        <v>62</v>
      </c>
      <c r="H143" t="s">
        <v>11</v>
      </c>
      <c r="I143" t="s">
        <v>12</v>
      </c>
      <c r="J143" t="s">
        <v>71</v>
      </c>
      <c r="K143" t="s">
        <v>14</v>
      </c>
      <c r="L143" t="s">
        <v>73</v>
      </c>
      <c r="M143">
        <v>1</v>
      </c>
    </row>
    <row r="144" spans="1:13" x14ac:dyDescent="0.25">
      <c r="A144" s="1">
        <v>46135</v>
      </c>
      <c r="B144" s="1" t="str">
        <f ca="1">IF(Información1[[#This Row],[Fecha]]='Ajuste de fechas'!$A$2,"Día actual","Día anterior")</f>
        <v>Día anterior</v>
      </c>
      <c r="C144" t="s">
        <v>57</v>
      </c>
      <c r="D144" t="s">
        <v>58</v>
      </c>
      <c r="E144" t="s">
        <v>175</v>
      </c>
      <c r="F144" t="s">
        <v>19</v>
      </c>
      <c r="G144" t="s">
        <v>46</v>
      </c>
      <c r="H144" t="s">
        <v>11</v>
      </c>
      <c r="I144" t="s">
        <v>7</v>
      </c>
      <c r="J144" t="s">
        <v>75</v>
      </c>
      <c r="K144" t="s">
        <v>59</v>
      </c>
      <c r="L144" t="s">
        <v>72</v>
      </c>
      <c r="M144">
        <v>1</v>
      </c>
    </row>
    <row r="145" spans="1:13" x14ac:dyDescent="0.25">
      <c r="A145" s="1">
        <v>46135</v>
      </c>
      <c r="B145" s="1" t="str">
        <f ca="1">IF(Información1[[#This Row],[Fecha]]='Ajuste de fechas'!$A$2,"Día actual","Día anterior")</f>
        <v>Día anterior</v>
      </c>
      <c r="C145" t="s">
        <v>57</v>
      </c>
      <c r="D145" t="s">
        <v>58</v>
      </c>
      <c r="E145" t="s">
        <v>176</v>
      </c>
      <c r="F145" t="s">
        <v>21</v>
      </c>
      <c r="G145" t="s">
        <v>177</v>
      </c>
      <c r="H145" t="s">
        <v>11</v>
      </c>
      <c r="I145" t="s">
        <v>7</v>
      </c>
      <c r="J145" t="s">
        <v>71</v>
      </c>
      <c r="K145" t="s">
        <v>59</v>
      </c>
      <c r="L145" t="s">
        <v>74</v>
      </c>
      <c r="M145">
        <v>1</v>
      </c>
    </row>
    <row r="146" spans="1:13" x14ac:dyDescent="0.25">
      <c r="A146" s="1">
        <v>46135</v>
      </c>
      <c r="B146" s="1" t="str">
        <f ca="1">IF(Información1[[#This Row],[Fecha]]='Ajuste de fechas'!$A$2,"Día actual","Día anterior")</f>
        <v>Día anterior</v>
      </c>
      <c r="C146" t="s">
        <v>57</v>
      </c>
      <c r="D146" t="s">
        <v>58</v>
      </c>
      <c r="E146" t="s">
        <v>178</v>
      </c>
      <c r="F146" t="s">
        <v>19</v>
      </c>
      <c r="G146" t="s">
        <v>85</v>
      </c>
      <c r="H146" t="s">
        <v>11</v>
      </c>
      <c r="I146" t="s">
        <v>7</v>
      </c>
      <c r="J146" t="s">
        <v>75</v>
      </c>
      <c r="K146" t="s">
        <v>59</v>
      </c>
      <c r="L146" t="s">
        <v>72</v>
      </c>
      <c r="M146">
        <v>1</v>
      </c>
    </row>
    <row r="147" spans="1:13" x14ac:dyDescent="0.25">
      <c r="A147" s="1">
        <v>46135</v>
      </c>
      <c r="B147" s="1" t="str">
        <f ca="1">IF(Información1[[#This Row],[Fecha]]='Ajuste de fechas'!$A$2,"Día actual","Día anterior")</f>
        <v>Día anterior</v>
      </c>
      <c r="C147" t="s">
        <v>57</v>
      </c>
      <c r="D147" t="s">
        <v>58</v>
      </c>
      <c r="E147" t="s">
        <v>179</v>
      </c>
      <c r="F147" t="s">
        <v>23</v>
      </c>
      <c r="G147" t="s">
        <v>97</v>
      </c>
      <c r="H147" t="s">
        <v>11</v>
      </c>
      <c r="I147" t="s">
        <v>7</v>
      </c>
      <c r="J147" t="s">
        <v>76</v>
      </c>
      <c r="K147" t="s">
        <v>59</v>
      </c>
      <c r="L147" t="s">
        <v>72</v>
      </c>
      <c r="M147">
        <v>1</v>
      </c>
    </row>
    <row r="148" spans="1:13" x14ac:dyDescent="0.25">
      <c r="A148" s="1">
        <v>46135</v>
      </c>
      <c r="B148" s="1" t="str">
        <f ca="1">IF(Información1[[#This Row],[Fecha]]='Ajuste de fechas'!$A$2,"Día actual","Día anterior")</f>
        <v>Día anterior</v>
      </c>
      <c r="C148" t="s">
        <v>57</v>
      </c>
      <c r="D148" t="s">
        <v>58</v>
      </c>
      <c r="E148" t="s">
        <v>180</v>
      </c>
      <c r="F148" t="s">
        <v>23</v>
      </c>
      <c r="G148" t="s">
        <v>112</v>
      </c>
      <c r="H148" t="s">
        <v>11</v>
      </c>
      <c r="I148" t="s">
        <v>7</v>
      </c>
      <c r="J148" t="s">
        <v>76</v>
      </c>
      <c r="K148" t="s">
        <v>59</v>
      </c>
      <c r="L148" t="s">
        <v>72</v>
      </c>
      <c r="M148">
        <v>1</v>
      </c>
    </row>
    <row r="149" spans="1:13" x14ac:dyDescent="0.25">
      <c r="A149" s="1">
        <v>46135</v>
      </c>
      <c r="B149" s="1" t="str">
        <f ca="1">IF(Información1[[#This Row],[Fecha]]='Ajuste de fechas'!$A$2,"Día actual","Día anterior")</f>
        <v>Día anterior</v>
      </c>
      <c r="C149" t="s">
        <v>57</v>
      </c>
      <c r="D149" t="s">
        <v>58</v>
      </c>
      <c r="E149" t="s">
        <v>181</v>
      </c>
      <c r="F149" t="s">
        <v>19</v>
      </c>
      <c r="G149" t="s">
        <v>126</v>
      </c>
      <c r="H149" t="s">
        <v>11</v>
      </c>
      <c r="I149" t="s">
        <v>7</v>
      </c>
      <c r="J149" t="s">
        <v>75</v>
      </c>
      <c r="K149" t="s">
        <v>59</v>
      </c>
      <c r="L149" t="s">
        <v>72</v>
      </c>
      <c r="M149">
        <v>1</v>
      </c>
    </row>
    <row r="150" spans="1:13" x14ac:dyDescent="0.25">
      <c r="A150" s="1">
        <v>46135</v>
      </c>
      <c r="B150" s="1" t="str">
        <f ca="1">IF(Información1[[#This Row],[Fecha]]='Ajuste de fechas'!$A$2,"Día actual","Día anterior")</f>
        <v>Día anterior</v>
      </c>
      <c r="C150" t="s">
        <v>57</v>
      </c>
      <c r="D150" t="s">
        <v>58</v>
      </c>
      <c r="E150" t="s">
        <v>182</v>
      </c>
      <c r="F150" t="s">
        <v>19</v>
      </c>
      <c r="G150" t="s">
        <v>83</v>
      </c>
      <c r="H150" t="s">
        <v>11</v>
      </c>
      <c r="I150" t="s">
        <v>7</v>
      </c>
      <c r="J150" t="s">
        <v>75</v>
      </c>
      <c r="K150" t="s">
        <v>59</v>
      </c>
      <c r="L150" t="s">
        <v>72</v>
      </c>
      <c r="M150">
        <v>1</v>
      </c>
    </row>
    <row r="151" spans="1:13" x14ac:dyDescent="0.25">
      <c r="A151" s="1">
        <v>46135</v>
      </c>
      <c r="B151" s="1" t="str">
        <f ca="1">IF(Información1[[#This Row],[Fecha]]='Ajuste de fechas'!$A$2,"Día actual","Día anterior")</f>
        <v>Día anterior</v>
      </c>
      <c r="C151" t="s">
        <v>57</v>
      </c>
      <c r="D151" t="s">
        <v>58</v>
      </c>
      <c r="E151" t="s">
        <v>183</v>
      </c>
      <c r="F151" t="s">
        <v>15</v>
      </c>
      <c r="G151" t="s">
        <v>184</v>
      </c>
      <c r="H151" t="s">
        <v>11</v>
      </c>
      <c r="I151" t="s">
        <v>7</v>
      </c>
      <c r="J151" t="s">
        <v>71</v>
      </c>
      <c r="K151" t="s">
        <v>59</v>
      </c>
      <c r="L151" t="s">
        <v>72</v>
      </c>
      <c r="M151">
        <v>1</v>
      </c>
    </row>
    <row r="152" spans="1:13" x14ac:dyDescent="0.25">
      <c r="A152" s="1">
        <v>46135</v>
      </c>
      <c r="B152" s="1" t="str">
        <f ca="1">IF(Información1[[#This Row],[Fecha]]='Ajuste de fechas'!$A$2,"Día actual","Día anterior")</f>
        <v>Día anterior</v>
      </c>
      <c r="C152" t="s">
        <v>57</v>
      </c>
      <c r="D152" t="s">
        <v>58</v>
      </c>
      <c r="E152" t="s">
        <v>185</v>
      </c>
      <c r="F152" t="s">
        <v>23</v>
      </c>
      <c r="G152" t="s">
        <v>103</v>
      </c>
      <c r="H152" t="s">
        <v>11</v>
      </c>
      <c r="I152" t="s">
        <v>27</v>
      </c>
      <c r="J152" t="s">
        <v>76</v>
      </c>
      <c r="K152" t="s">
        <v>59</v>
      </c>
      <c r="L152" t="s">
        <v>72</v>
      </c>
      <c r="M152">
        <v>1</v>
      </c>
    </row>
    <row r="153" spans="1:13" x14ac:dyDescent="0.25">
      <c r="A153" s="1">
        <v>46135</v>
      </c>
      <c r="B153" s="1" t="str">
        <f ca="1">IF(Información1[[#This Row],[Fecha]]='Ajuste de fechas'!$A$2,"Día actual","Día anterior")</f>
        <v>Día anterior</v>
      </c>
      <c r="C153" t="s">
        <v>57</v>
      </c>
      <c r="D153" t="s">
        <v>58</v>
      </c>
      <c r="E153" t="s">
        <v>186</v>
      </c>
      <c r="F153" t="s">
        <v>19</v>
      </c>
      <c r="G153" t="s">
        <v>187</v>
      </c>
      <c r="H153" t="s">
        <v>11</v>
      </c>
      <c r="I153" t="s">
        <v>27</v>
      </c>
      <c r="J153" t="s">
        <v>75</v>
      </c>
      <c r="K153" t="s">
        <v>59</v>
      </c>
      <c r="L153" t="s">
        <v>73</v>
      </c>
      <c r="M153">
        <v>1</v>
      </c>
    </row>
    <row r="154" spans="1:13" x14ac:dyDescent="0.25">
      <c r="A154" s="1">
        <v>46135</v>
      </c>
      <c r="B154" s="1" t="str">
        <f ca="1">IF(Información1[[#This Row],[Fecha]]='Ajuste de fechas'!$A$2,"Día actual","Día anterior")</f>
        <v>Día anterior</v>
      </c>
      <c r="C154" t="s">
        <v>57</v>
      </c>
      <c r="D154" t="s">
        <v>58</v>
      </c>
      <c r="E154" t="s">
        <v>188</v>
      </c>
      <c r="F154" t="s">
        <v>19</v>
      </c>
      <c r="G154" t="s">
        <v>189</v>
      </c>
      <c r="H154" t="s">
        <v>11</v>
      </c>
      <c r="I154" t="s">
        <v>7</v>
      </c>
      <c r="J154" t="s">
        <v>75</v>
      </c>
      <c r="K154" t="s">
        <v>59</v>
      </c>
      <c r="L154" t="s">
        <v>72</v>
      </c>
      <c r="M154">
        <v>1</v>
      </c>
    </row>
    <row r="155" spans="1:13" x14ac:dyDescent="0.25">
      <c r="A155" s="1">
        <v>46135</v>
      </c>
      <c r="B155" s="1" t="str">
        <f ca="1">IF(Información1[[#This Row],[Fecha]]='Ajuste de fechas'!$A$2,"Día actual","Día anterior")</f>
        <v>Día anterior</v>
      </c>
      <c r="C155" t="s">
        <v>57</v>
      </c>
      <c r="D155" t="s">
        <v>58</v>
      </c>
      <c r="E155" t="s">
        <v>190</v>
      </c>
      <c r="F155" t="s">
        <v>19</v>
      </c>
      <c r="G155" t="s">
        <v>191</v>
      </c>
      <c r="H155" t="s">
        <v>11</v>
      </c>
      <c r="I155" t="s">
        <v>7</v>
      </c>
      <c r="J155" t="s">
        <v>75</v>
      </c>
      <c r="K155" t="s">
        <v>59</v>
      </c>
      <c r="L155" t="s">
        <v>72</v>
      </c>
      <c r="M155">
        <v>1</v>
      </c>
    </row>
    <row r="156" spans="1:13" x14ac:dyDescent="0.25">
      <c r="A156" s="1">
        <v>46135</v>
      </c>
      <c r="B156" s="1" t="str">
        <f ca="1">IF(Información1[[#This Row],[Fecha]]='Ajuste de fechas'!$A$2,"Día actual","Día anterior")</f>
        <v>Día anterior</v>
      </c>
      <c r="C156" t="s">
        <v>57</v>
      </c>
      <c r="D156" t="s">
        <v>58</v>
      </c>
      <c r="E156" t="s">
        <v>192</v>
      </c>
      <c r="F156" t="s">
        <v>19</v>
      </c>
      <c r="G156" t="s">
        <v>88</v>
      </c>
      <c r="H156" t="s">
        <v>11</v>
      </c>
      <c r="I156" t="s">
        <v>7</v>
      </c>
      <c r="J156" t="s">
        <v>75</v>
      </c>
      <c r="K156" t="s">
        <v>59</v>
      </c>
      <c r="L156" t="s">
        <v>72</v>
      </c>
      <c r="M156">
        <v>1</v>
      </c>
    </row>
    <row r="157" spans="1:13" x14ac:dyDescent="0.25">
      <c r="A157" s="1">
        <v>46135</v>
      </c>
      <c r="B157" s="1" t="str">
        <f ca="1">IF(Información1[[#This Row],[Fecha]]='Ajuste de fechas'!$A$2,"Día actual","Día anterior")</f>
        <v>Día anterior</v>
      </c>
      <c r="C157" t="s">
        <v>57</v>
      </c>
      <c r="D157" t="s">
        <v>58</v>
      </c>
      <c r="E157" t="s">
        <v>193</v>
      </c>
      <c r="F157" t="s">
        <v>25</v>
      </c>
      <c r="G157" t="s">
        <v>84</v>
      </c>
      <c r="H157" t="s">
        <v>11</v>
      </c>
      <c r="I157" t="s">
        <v>7</v>
      </c>
      <c r="J157" t="s">
        <v>71</v>
      </c>
      <c r="K157" t="s">
        <v>59</v>
      </c>
      <c r="L157" t="s">
        <v>72</v>
      </c>
      <c r="M157">
        <v>1</v>
      </c>
    </row>
    <row r="158" spans="1:13" x14ac:dyDescent="0.25">
      <c r="A158" s="1">
        <v>46135</v>
      </c>
      <c r="B158" s="1" t="str">
        <f ca="1">IF(Información1[[#This Row],[Fecha]]='Ajuste de fechas'!$A$2,"Día actual","Día anterior")</f>
        <v>Día anterior</v>
      </c>
      <c r="C158" t="s">
        <v>57</v>
      </c>
      <c r="D158" t="s">
        <v>58</v>
      </c>
      <c r="E158" t="s">
        <v>194</v>
      </c>
      <c r="F158" t="s">
        <v>19</v>
      </c>
      <c r="G158" t="s">
        <v>195</v>
      </c>
      <c r="H158" t="s">
        <v>11</v>
      </c>
      <c r="I158" t="s">
        <v>7</v>
      </c>
      <c r="J158" t="s">
        <v>75</v>
      </c>
      <c r="K158" t="s">
        <v>59</v>
      </c>
      <c r="L158" t="s">
        <v>72</v>
      </c>
      <c r="M158">
        <v>1</v>
      </c>
    </row>
    <row r="159" spans="1:13" x14ac:dyDescent="0.25">
      <c r="A159" s="1">
        <v>46135</v>
      </c>
      <c r="B159" s="1" t="str">
        <f ca="1">IF(Información1[[#This Row],[Fecha]]='Ajuste de fechas'!$A$2,"Día actual","Día anterior")</f>
        <v>Día anterior</v>
      </c>
      <c r="C159" t="s">
        <v>48</v>
      </c>
      <c r="D159" t="s">
        <v>49</v>
      </c>
      <c r="E159" t="s">
        <v>196</v>
      </c>
      <c r="F159" t="s">
        <v>26</v>
      </c>
      <c r="G159" t="s">
        <v>164</v>
      </c>
      <c r="H159" t="s">
        <v>45</v>
      </c>
      <c r="I159" t="s">
        <v>7</v>
      </c>
      <c r="J159" t="s">
        <v>26</v>
      </c>
      <c r="K159" t="s">
        <v>30</v>
      </c>
      <c r="L159" t="s">
        <v>72</v>
      </c>
      <c r="M159">
        <v>1</v>
      </c>
    </row>
    <row r="160" spans="1:13" x14ac:dyDescent="0.25">
      <c r="A160" s="1">
        <v>46135</v>
      </c>
      <c r="B160" s="1" t="str">
        <f ca="1">IF(Información1[[#This Row],[Fecha]]='Ajuste de fechas'!$A$2,"Día actual","Día anterior")</f>
        <v>Día anterior</v>
      </c>
      <c r="C160" t="s">
        <v>48</v>
      </c>
      <c r="D160" t="s">
        <v>49</v>
      </c>
      <c r="E160" t="s">
        <v>197</v>
      </c>
      <c r="F160" t="s">
        <v>28</v>
      </c>
      <c r="G160" t="s">
        <v>198</v>
      </c>
      <c r="H160" t="s">
        <v>45</v>
      </c>
      <c r="I160" t="s">
        <v>7</v>
      </c>
      <c r="J160" t="s">
        <v>71</v>
      </c>
      <c r="K160" t="s">
        <v>30</v>
      </c>
      <c r="L160" t="s">
        <v>72</v>
      </c>
      <c r="M160">
        <v>1</v>
      </c>
    </row>
    <row r="161" spans="1:13" x14ac:dyDescent="0.25">
      <c r="A161" s="1">
        <v>46135</v>
      </c>
      <c r="B161" s="1" t="str">
        <f ca="1">IF(Información1[[#This Row],[Fecha]]='Ajuste de fechas'!$A$2,"Día actual","Día anterior")</f>
        <v>Día anterior</v>
      </c>
      <c r="C161" t="s">
        <v>48</v>
      </c>
      <c r="D161" t="s">
        <v>49</v>
      </c>
      <c r="E161" t="s">
        <v>199</v>
      </c>
      <c r="F161" t="s">
        <v>22</v>
      </c>
      <c r="G161" t="s">
        <v>200</v>
      </c>
      <c r="H161" t="s">
        <v>45</v>
      </c>
      <c r="I161" t="s">
        <v>7</v>
      </c>
      <c r="J161" t="s">
        <v>26</v>
      </c>
      <c r="K161" t="s">
        <v>30</v>
      </c>
      <c r="L161" t="s">
        <v>72</v>
      </c>
      <c r="M161">
        <v>1</v>
      </c>
    </row>
    <row r="162" spans="1:13" x14ac:dyDescent="0.25">
      <c r="A162" s="1">
        <v>46135</v>
      </c>
      <c r="B162" s="1" t="str">
        <f ca="1">IF(Información1[[#This Row],[Fecha]]='Ajuste de fechas'!$A$2,"Día actual","Día anterior")</f>
        <v>Día anterior</v>
      </c>
      <c r="C162" t="s">
        <v>48</v>
      </c>
      <c r="D162" t="s">
        <v>49</v>
      </c>
      <c r="E162" t="s">
        <v>201</v>
      </c>
      <c r="F162" t="s">
        <v>98</v>
      </c>
      <c r="G162" t="s">
        <v>136</v>
      </c>
      <c r="H162" t="s">
        <v>45</v>
      </c>
      <c r="I162" t="s">
        <v>7</v>
      </c>
      <c r="J162" t="s">
        <v>71</v>
      </c>
      <c r="K162" t="s">
        <v>30</v>
      </c>
      <c r="L162" t="s">
        <v>74</v>
      </c>
      <c r="M162">
        <v>1</v>
      </c>
    </row>
    <row r="163" spans="1:13" x14ac:dyDescent="0.25">
      <c r="A163" s="1">
        <v>46135</v>
      </c>
      <c r="B163" s="1" t="str">
        <f ca="1">IF(Información1[[#This Row],[Fecha]]='Ajuste de fechas'!$A$2,"Día actual","Día anterior")</f>
        <v>Día anterior</v>
      </c>
      <c r="C163" t="s">
        <v>48</v>
      </c>
      <c r="D163" t="s">
        <v>49</v>
      </c>
      <c r="E163" t="s">
        <v>202</v>
      </c>
      <c r="F163" t="s">
        <v>19</v>
      </c>
      <c r="G163" t="s">
        <v>203</v>
      </c>
      <c r="H163" t="s">
        <v>45</v>
      </c>
      <c r="I163" t="s">
        <v>7</v>
      </c>
      <c r="J163" t="s">
        <v>75</v>
      </c>
      <c r="K163" t="s">
        <v>30</v>
      </c>
      <c r="L163" t="s">
        <v>72</v>
      </c>
      <c r="M163">
        <v>1</v>
      </c>
    </row>
    <row r="164" spans="1:13" x14ac:dyDescent="0.25">
      <c r="A164" s="1">
        <v>46135</v>
      </c>
      <c r="B164" s="1" t="str">
        <f ca="1">IF(Información1[[#This Row],[Fecha]]='Ajuste de fechas'!$A$2,"Día actual","Día anterior")</f>
        <v>Día anterior</v>
      </c>
      <c r="C164" t="s">
        <v>48</v>
      </c>
      <c r="D164" t="s">
        <v>49</v>
      </c>
      <c r="E164" t="s">
        <v>204</v>
      </c>
      <c r="F164" t="s">
        <v>21</v>
      </c>
      <c r="G164" t="s">
        <v>205</v>
      </c>
      <c r="H164" t="s">
        <v>45</v>
      </c>
      <c r="I164" t="s">
        <v>7</v>
      </c>
      <c r="J164" t="s">
        <v>71</v>
      </c>
      <c r="K164" t="s">
        <v>30</v>
      </c>
      <c r="L164" t="s">
        <v>74</v>
      </c>
      <c r="M164">
        <v>1</v>
      </c>
    </row>
    <row r="165" spans="1:13" x14ac:dyDescent="0.25">
      <c r="A165" s="1">
        <v>46135</v>
      </c>
      <c r="B165" s="1" t="str">
        <f ca="1">IF(Información1[[#This Row],[Fecha]]='Ajuste de fechas'!$A$2,"Día actual","Día anterior")</f>
        <v>Día anterior</v>
      </c>
      <c r="C165" t="s">
        <v>48</v>
      </c>
      <c r="D165" t="s">
        <v>49</v>
      </c>
      <c r="E165" t="s">
        <v>206</v>
      </c>
      <c r="F165" t="s">
        <v>25</v>
      </c>
      <c r="G165" t="s">
        <v>84</v>
      </c>
      <c r="H165" t="s">
        <v>45</v>
      </c>
      <c r="I165" t="s">
        <v>7</v>
      </c>
      <c r="J165" t="s">
        <v>71</v>
      </c>
      <c r="K165" t="s">
        <v>30</v>
      </c>
      <c r="L165" t="s">
        <v>74</v>
      </c>
      <c r="M165">
        <v>1</v>
      </c>
    </row>
    <row r="166" spans="1:13" x14ac:dyDescent="0.25">
      <c r="A166" s="1">
        <v>46135</v>
      </c>
      <c r="B166" s="1" t="str">
        <f ca="1">IF(Información1[[#This Row],[Fecha]]='Ajuste de fechas'!$A$2,"Día actual","Día anterior")</f>
        <v>Día anterior</v>
      </c>
      <c r="C166" t="s">
        <v>48</v>
      </c>
      <c r="D166" t="s">
        <v>49</v>
      </c>
      <c r="E166" t="s">
        <v>207</v>
      </c>
      <c r="F166" t="s">
        <v>23</v>
      </c>
      <c r="G166" t="s">
        <v>130</v>
      </c>
      <c r="H166" t="s">
        <v>45</v>
      </c>
      <c r="I166" t="s">
        <v>7</v>
      </c>
      <c r="J166" t="s">
        <v>76</v>
      </c>
      <c r="K166" t="s">
        <v>30</v>
      </c>
      <c r="L166" t="s">
        <v>72</v>
      </c>
      <c r="M166">
        <v>1</v>
      </c>
    </row>
    <row r="167" spans="1:13" x14ac:dyDescent="0.25">
      <c r="A167" s="1">
        <v>46135</v>
      </c>
      <c r="B167" s="1" t="str">
        <f ca="1">IF(Información1[[#This Row],[Fecha]]='Ajuste de fechas'!$A$2,"Día actual","Día anterior")</f>
        <v>Día anterior</v>
      </c>
      <c r="C167" t="s">
        <v>51</v>
      </c>
      <c r="D167" t="s">
        <v>53</v>
      </c>
      <c r="E167" t="s">
        <v>208</v>
      </c>
      <c r="F167" t="s">
        <v>23</v>
      </c>
      <c r="G167" t="s">
        <v>130</v>
      </c>
      <c r="H167" t="s">
        <v>11</v>
      </c>
      <c r="I167" t="s">
        <v>7</v>
      </c>
      <c r="J167" t="s">
        <v>76</v>
      </c>
      <c r="K167" t="s">
        <v>52</v>
      </c>
      <c r="L167" t="s">
        <v>72</v>
      </c>
      <c r="M167">
        <v>1</v>
      </c>
    </row>
    <row r="168" spans="1:13" x14ac:dyDescent="0.25">
      <c r="A168" s="1">
        <v>46135</v>
      </c>
      <c r="B168" s="1" t="str">
        <f ca="1">IF(Información1[[#This Row],[Fecha]]='Ajuste de fechas'!$A$2,"Día actual","Día anterior")</f>
        <v>Día anterior</v>
      </c>
      <c r="C168" t="s">
        <v>51</v>
      </c>
      <c r="D168" t="s">
        <v>53</v>
      </c>
      <c r="E168" t="s">
        <v>209</v>
      </c>
      <c r="F168" t="s">
        <v>19</v>
      </c>
      <c r="G168" t="s">
        <v>210</v>
      </c>
      <c r="H168" t="s">
        <v>11</v>
      </c>
      <c r="I168" t="s">
        <v>7</v>
      </c>
      <c r="J168" t="s">
        <v>75</v>
      </c>
      <c r="K168" t="s">
        <v>52</v>
      </c>
      <c r="L168" t="s">
        <v>72</v>
      </c>
      <c r="M168">
        <v>1</v>
      </c>
    </row>
    <row r="169" spans="1:13" x14ac:dyDescent="0.25">
      <c r="A169" s="1">
        <v>46135</v>
      </c>
      <c r="B169" s="1" t="str">
        <f ca="1">IF(Información1[[#This Row],[Fecha]]='Ajuste de fechas'!$A$2,"Día actual","Día anterior")</f>
        <v>Día anterior</v>
      </c>
      <c r="C169" t="s">
        <v>51</v>
      </c>
      <c r="D169" t="s">
        <v>53</v>
      </c>
      <c r="E169" t="s">
        <v>211</v>
      </c>
      <c r="F169" t="s">
        <v>19</v>
      </c>
      <c r="G169" t="s">
        <v>46</v>
      </c>
      <c r="H169" t="s">
        <v>11</v>
      </c>
      <c r="I169" t="s">
        <v>7</v>
      </c>
      <c r="J169" t="s">
        <v>75</v>
      </c>
      <c r="K169" t="s">
        <v>43</v>
      </c>
      <c r="L169" t="s">
        <v>72</v>
      </c>
      <c r="M169">
        <v>1</v>
      </c>
    </row>
    <row r="170" spans="1:13" x14ac:dyDescent="0.25">
      <c r="A170" s="1">
        <v>46135</v>
      </c>
      <c r="B170" s="1" t="str">
        <f ca="1">IF(Información1[[#This Row],[Fecha]]='Ajuste de fechas'!$A$2,"Día actual","Día anterior")</f>
        <v>Día anterior</v>
      </c>
      <c r="C170" t="s">
        <v>51</v>
      </c>
      <c r="D170" t="s">
        <v>53</v>
      </c>
      <c r="E170" t="s">
        <v>212</v>
      </c>
      <c r="F170" t="s">
        <v>19</v>
      </c>
      <c r="G170" t="s">
        <v>90</v>
      </c>
      <c r="H170" t="s">
        <v>11</v>
      </c>
      <c r="I170" t="s">
        <v>7</v>
      </c>
      <c r="J170" t="s">
        <v>75</v>
      </c>
      <c r="K170" t="s">
        <v>43</v>
      </c>
      <c r="L170" t="s">
        <v>72</v>
      </c>
      <c r="M170">
        <v>1</v>
      </c>
    </row>
    <row r="171" spans="1:13" x14ac:dyDescent="0.25">
      <c r="A171" s="1">
        <v>46135</v>
      </c>
      <c r="B171" s="1" t="str">
        <f ca="1">IF(Información1[[#This Row],[Fecha]]='Ajuste de fechas'!$A$2,"Día actual","Día anterior")</f>
        <v>Día anterior</v>
      </c>
      <c r="C171" t="s">
        <v>51</v>
      </c>
      <c r="D171" t="s">
        <v>53</v>
      </c>
      <c r="E171" t="s">
        <v>213</v>
      </c>
      <c r="F171" t="s">
        <v>19</v>
      </c>
      <c r="G171" t="s">
        <v>195</v>
      </c>
      <c r="H171" t="s">
        <v>11</v>
      </c>
      <c r="I171" t="s">
        <v>7</v>
      </c>
      <c r="J171" t="s">
        <v>75</v>
      </c>
      <c r="K171" t="s">
        <v>52</v>
      </c>
      <c r="L171" t="s">
        <v>72</v>
      </c>
      <c r="M171">
        <v>1</v>
      </c>
    </row>
    <row r="172" spans="1:13" x14ac:dyDescent="0.25">
      <c r="A172" s="1">
        <v>46135</v>
      </c>
      <c r="B172" s="1" t="str">
        <f ca="1">IF(Información1[[#This Row],[Fecha]]='Ajuste de fechas'!$A$2,"Día actual","Día anterior")</f>
        <v>Día anterior</v>
      </c>
      <c r="C172" t="s">
        <v>51</v>
      </c>
      <c r="D172" t="s">
        <v>53</v>
      </c>
      <c r="E172" t="s">
        <v>131</v>
      </c>
      <c r="F172" t="s">
        <v>25</v>
      </c>
      <c r="G172" t="s">
        <v>84</v>
      </c>
      <c r="H172" t="s">
        <v>11</v>
      </c>
      <c r="I172" t="s">
        <v>12</v>
      </c>
      <c r="J172" t="s">
        <v>71</v>
      </c>
      <c r="K172" t="s">
        <v>43</v>
      </c>
      <c r="L172" t="s">
        <v>99</v>
      </c>
      <c r="M172">
        <v>1</v>
      </c>
    </row>
    <row r="173" spans="1:13" x14ac:dyDescent="0.25">
      <c r="A173" s="1">
        <v>46135</v>
      </c>
      <c r="B173" s="1" t="str">
        <f ca="1">IF(Información1[[#This Row],[Fecha]]='Ajuste de fechas'!$A$2,"Día actual","Día anterior")</f>
        <v>Día anterior</v>
      </c>
      <c r="C173" t="s">
        <v>51</v>
      </c>
      <c r="D173" t="s">
        <v>53</v>
      </c>
      <c r="E173" t="s">
        <v>214</v>
      </c>
      <c r="F173" t="s">
        <v>215</v>
      </c>
      <c r="G173" t="s">
        <v>216</v>
      </c>
      <c r="H173" t="s">
        <v>11</v>
      </c>
      <c r="I173" t="s">
        <v>7</v>
      </c>
      <c r="J173" t="s">
        <v>71</v>
      </c>
      <c r="K173" t="s">
        <v>43</v>
      </c>
      <c r="L173" t="s">
        <v>74</v>
      </c>
      <c r="M173">
        <v>1</v>
      </c>
    </row>
    <row r="174" spans="1:13" x14ac:dyDescent="0.25">
      <c r="A174" s="1">
        <v>46135</v>
      </c>
      <c r="B174" s="1" t="str">
        <f ca="1">IF(Información1[[#This Row],[Fecha]]='Ajuste de fechas'!$A$2,"Día actual","Día anterior")</f>
        <v>Día anterior</v>
      </c>
      <c r="C174" t="s">
        <v>51</v>
      </c>
      <c r="D174" t="s">
        <v>53</v>
      </c>
      <c r="E174" t="s">
        <v>217</v>
      </c>
      <c r="F174" t="s">
        <v>6</v>
      </c>
      <c r="G174" t="s">
        <v>218</v>
      </c>
      <c r="H174" t="s">
        <v>11</v>
      </c>
      <c r="I174" t="s">
        <v>7</v>
      </c>
      <c r="J174" t="s">
        <v>71</v>
      </c>
      <c r="K174" t="s">
        <v>43</v>
      </c>
      <c r="L174" t="s">
        <v>74</v>
      </c>
      <c r="M174">
        <v>1</v>
      </c>
    </row>
    <row r="175" spans="1:13" x14ac:dyDescent="0.25">
      <c r="A175" s="1">
        <v>46135</v>
      </c>
      <c r="B175" s="1" t="str">
        <f ca="1">IF(Información1[[#This Row],[Fecha]]='Ajuste de fechas'!$A$2,"Día actual","Día anterior")</f>
        <v>Día anterior</v>
      </c>
      <c r="C175" t="s">
        <v>51</v>
      </c>
      <c r="D175" t="s">
        <v>53</v>
      </c>
      <c r="E175" t="s">
        <v>120</v>
      </c>
      <c r="F175" t="s">
        <v>24</v>
      </c>
      <c r="G175" t="s">
        <v>82</v>
      </c>
      <c r="H175" t="s">
        <v>11</v>
      </c>
      <c r="I175" t="s">
        <v>7</v>
      </c>
      <c r="J175" t="s">
        <v>71</v>
      </c>
      <c r="K175" t="s">
        <v>43</v>
      </c>
      <c r="L175" t="s">
        <v>74</v>
      </c>
      <c r="M175">
        <v>1</v>
      </c>
    </row>
    <row r="176" spans="1:13" x14ac:dyDescent="0.25">
      <c r="A176" s="1">
        <v>46135</v>
      </c>
      <c r="B176" s="1" t="str">
        <f ca="1">IF(Información1[[#This Row],[Fecha]]='Ajuste de fechas'!$A$2,"Día actual","Día anterior")</f>
        <v>Día anterior</v>
      </c>
      <c r="C176" t="s">
        <v>288</v>
      </c>
      <c r="D176" t="s">
        <v>289</v>
      </c>
      <c r="E176" t="s">
        <v>290</v>
      </c>
      <c r="F176" t="s">
        <v>98</v>
      </c>
      <c r="G176" t="s">
        <v>92</v>
      </c>
      <c r="H176" t="s">
        <v>11</v>
      </c>
      <c r="I176" t="s">
        <v>12</v>
      </c>
      <c r="J176" t="s">
        <v>71</v>
      </c>
      <c r="K176" t="s">
        <v>291</v>
      </c>
      <c r="L176" t="s">
        <v>99</v>
      </c>
      <c r="M176">
        <v>1</v>
      </c>
    </row>
    <row r="177" spans="1:13" x14ac:dyDescent="0.25">
      <c r="A177" s="1">
        <v>46135</v>
      </c>
      <c r="B177" s="1" t="str">
        <f ca="1">IF(Información1[[#This Row],[Fecha]]='Ajuste de fechas'!$A$2,"Día actual","Día anterior")</f>
        <v>Día anterior</v>
      </c>
      <c r="C177" t="s">
        <v>292</v>
      </c>
      <c r="D177" t="s">
        <v>293</v>
      </c>
      <c r="E177" t="s">
        <v>294</v>
      </c>
      <c r="F177" t="s">
        <v>25</v>
      </c>
      <c r="G177" t="s">
        <v>84</v>
      </c>
      <c r="H177" t="s">
        <v>11</v>
      </c>
      <c r="I177" t="s">
        <v>12</v>
      </c>
      <c r="J177" t="s">
        <v>71</v>
      </c>
      <c r="K177" t="s">
        <v>295</v>
      </c>
      <c r="L177" t="s">
        <v>99</v>
      </c>
      <c r="M177">
        <v>1</v>
      </c>
    </row>
    <row r="178" spans="1:13" x14ac:dyDescent="0.25">
      <c r="A178" s="1">
        <v>46135</v>
      </c>
      <c r="B178" s="1" t="str">
        <f ca="1">IF(Información1[[#This Row],[Fecha]]='Ajuste de fechas'!$A$2,"Día actual","Día anterior")</f>
        <v>Día anterior</v>
      </c>
      <c r="C178" t="s">
        <v>42</v>
      </c>
      <c r="D178" t="s">
        <v>44</v>
      </c>
      <c r="E178" t="s">
        <v>296</v>
      </c>
      <c r="F178" t="s">
        <v>21</v>
      </c>
      <c r="G178" t="s">
        <v>174</v>
      </c>
      <c r="H178" t="s">
        <v>45</v>
      </c>
      <c r="I178" t="s">
        <v>7</v>
      </c>
      <c r="J178" t="s">
        <v>71</v>
      </c>
      <c r="K178" t="s">
        <v>43</v>
      </c>
      <c r="L178" t="s">
        <v>72</v>
      </c>
      <c r="M178">
        <v>1</v>
      </c>
    </row>
    <row r="179" spans="1:13" x14ac:dyDescent="0.25">
      <c r="A179" s="1">
        <v>46135</v>
      </c>
      <c r="B179" s="1" t="str">
        <f ca="1">IF(Información1[[#This Row],[Fecha]]='Ajuste de fechas'!$A$2,"Día actual","Día anterior")</f>
        <v>Día anterior</v>
      </c>
      <c r="C179" t="s">
        <v>42</v>
      </c>
      <c r="D179" t="s">
        <v>44</v>
      </c>
      <c r="E179" t="s">
        <v>297</v>
      </c>
      <c r="F179" t="s">
        <v>24</v>
      </c>
      <c r="G179" t="s">
        <v>91</v>
      </c>
      <c r="H179" t="s">
        <v>45</v>
      </c>
      <c r="I179" t="s">
        <v>7</v>
      </c>
      <c r="J179" t="s">
        <v>71</v>
      </c>
      <c r="K179" t="s">
        <v>43</v>
      </c>
      <c r="L179" t="s">
        <v>74</v>
      </c>
      <c r="M179">
        <v>1</v>
      </c>
    </row>
    <row r="180" spans="1:13" x14ac:dyDescent="0.25">
      <c r="A180" s="1">
        <v>46135</v>
      </c>
      <c r="B180" s="1" t="str">
        <f ca="1">IF(Información1[[#This Row],[Fecha]]='Ajuste de fechas'!$A$2,"Día actual","Día anterior")</f>
        <v>Día anterior</v>
      </c>
      <c r="C180" t="s">
        <v>42</v>
      </c>
      <c r="D180" t="s">
        <v>44</v>
      </c>
      <c r="E180" t="s">
        <v>298</v>
      </c>
      <c r="F180" t="s">
        <v>6</v>
      </c>
      <c r="G180" t="s">
        <v>299</v>
      </c>
      <c r="H180" t="s">
        <v>45</v>
      </c>
      <c r="I180" t="s">
        <v>7</v>
      </c>
      <c r="J180" t="s">
        <v>71</v>
      </c>
      <c r="K180" t="s">
        <v>43</v>
      </c>
      <c r="L180" t="s">
        <v>74</v>
      </c>
      <c r="M180">
        <v>1</v>
      </c>
    </row>
    <row r="181" spans="1:13" x14ac:dyDescent="0.25">
      <c r="A181" s="1">
        <v>46135</v>
      </c>
      <c r="B181" s="1" t="str">
        <f ca="1">IF(Información1[[#This Row],[Fecha]]='Ajuste de fechas'!$A$2,"Día actual","Día anterior")</f>
        <v>Día anterior</v>
      </c>
      <c r="C181" t="s">
        <v>42</v>
      </c>
      <c r="D181" t="s">
        <v>44</v>
      </c>
      <c r="E181" t="s">
        <v>300</v>
      </c>
      <c r="F181" t="s">
        <v>6</v>
      </c>
      <c r="G181" t="s">
        <v>83</v>
      </c>
      <c r="H181" t="s">
        <v>45</v>
      </c>
      <c r="I181" t="s">
        <v>7</v>
      </c>
      <c r="J181" t="s">
        <v>71</v>
      </c>
      <c r="K181" t="s">
        <v>43</v>
      </c>
      <c r="L181" t="s">
        <v>74</v>
      </c>
      <c r="M181">
        <v>1</v>
      </c>
    </row>
    <row r="182" spans="1:13" x14ac:dyDescent="0.25">
      <c r="A182" s="1">
        <v>46135</v>
      </c>
      <c r="B182" s="1" t="str">
        <f ca="1">IF(Información1[[#This Row],[Fecha]]='Ajuste de fechas'!$A$2,"Día actual","Día anterior")</f>
        <v>Día anterior</v>
      </c>
      <c r="C182" t="s">
        <v>42</v>
      </c>
      <c r="D182" t="s">
        <v>44</v>
      </c>
      <c r="E182" t="s">
        <v>301</v>
      </c>
      <c r="F182" t="s">
        <v>104</v>
      </c>
      <c r="G182" t="s">
        <v>96</v>
      </c>
      <c r="H182" t="s">
        <v>45</v>
      </c>
      <c r="I182" t="s">
        <v>7</v>
      </c>
      <c r="J182" t="s">
        <v>71</v>
      </c>
      <c r="K182" t="s">
        <v>43</v>
      </c>
      <c r="L182" t="s">
        <v>74</v>
      </c>
      <c r="M182">
        <v>1</v>
      </c>
    </row>
    <row r="183" spans="1:13" x14ac:dyDescent="0.25">
      <c r="A183" s="1">
        <v>46135</v>
      </c>
      <c r="B183" s="1" t="str">
        <f ca="1">IF(Información1[[#This Row],[Fecha]]='Ajuste de fechas'!$A$2,"Día actual","Día anterior")</f>
        <v>Día anterior</v>
      </c>
      <c r="C183" t="s">
        <v>42</v>
      </c>
      <c r="D183" t="s">
        <v>44</v>
      </c>
      <c r="E183" t="s">
        <v>302</v>
      </c>
      <c r="F183" t="s">
        <v>215</v>
      </c>
      <c r="G183" t="s">
        <v>216</v>
      </c>
      <c r="H183" t="s">
        <v>45</v>
      </c>
      <c r="I183" t="s">
        <v>7</v>
      </c>
      <c r="J183" t="s">
        <v>71</v>
      </c>
      <c r="K183" t="s">
        <v>43</v>
      </c>
      <c r="L183" t="s">
        <v>74</v>
      </c>
      <c r="M183">
        <v>1</v>
      </c>
    </row>
    <row r="184" spans="1:13" x14ac:dyDescent="0.25">
      <c r="A184" s="1">
        <v>46135</v>
      </c>
      <c r="B184" s="1" t="str">
        <f ca="1">IF(Información1[[#This Row],[Fecha]]='Ajuste de fechas'!$A$2,"Día actual","Día anterior")</f>
        <v>Día anterior</v>
      </c>
      <c r="C184" t="s">
        <v>42</v>
      </c>
      <c r="D184" t="s">
        <v>44</v>
      </c>
      <c r="E184" t="s">
        <v>303</v>
      </c>
      <c r="F184" t="s">
        <v>19</v>
      </c>
      <c r="G184" t="s">
        <v>46</v>
      </c>
      <c r="H184" t="s">
        <v>45</v>
      </c>
      <c r="I184" t="s">
        <v>7</v>
      </c>
      <c r="J184" t="s">
        <v>75</v>
      </c>
      <c r="K184" t="s">
        <v>304</v>
      </c>
      <c r="L184" t="s">
        <v>72</v>
      </c>
      <c r="M184">
        <v>1</v>
      </c>
    </row>
    <row r="185" spans="1:13" x14ac:dyDescent="0.25">
      <c r="A185" s="1">
        <v>46135</v>
      </c>
      <c r="B185" s="1" t="str">
        <f ca="1">IF(Información1[[#This Row],[Fecha]]='Ajuste de fechas'!$A$2,"Día actual","Día anterior")</f>
        <v>Día anterior</v>
      </c>
      <c r="C185" t="s">
        <v>42</v>
      </c>
      <c r="D185" t="s">
        <v>44</v>
      </c>
      <c r="E185" t="s">
        <v>176</v>
      </c>
      <c r="F185" t="s">
        <v>21</v>
      </c>
      <c r="G185" t="s">
        <v>177</v>
      </c>
      <c r="H185" t="s">
        <v>45</v>
      </c>
      <c r="I185" t="s">
        <v>7</v>
      </c>
      <c r="J185" t="s">
        <v>71</v>
      </c>
      <c r="K185" t="s">
        <v>43</v>
      </c>
      <c r="L185" t="s">
        <v>74</v>
      </c>
      <c r="M185">
        <v>1</v>
      </c>
    </row>
    <row r="186" spans="1:13" x14ac:dyDescent="0.25">
      <c r="A186" s="1">
        <v>46135</v>
      </c>
      <c r="B186" s="1" t="str">
        <f ca="1">IF(Información1[[#This Row],[Fecha]]='Ajuste de fechas'!$A$2,"Día actual","Día anterior")</f>
        <v>Día anterior</v>
      </c>
      <c r="C186" t="s">
        <v>42</v>
      </c>
      <c r="D186" t="s">
        <v>44</v>
      </c>
      <c r="E186" t="s">
        <v>204</v>
      </c>
      <c r="F186" t="s">
        <v>21</v>
      </c>
      <c r="G186" t="s">
        <v>205</v>
      </c>
      <c r="H186" t="s">
        <v>45</v>
      </c>
      <c r="I186" t="s">
        <v>7</v>
      </c>
      <c r="J186" t="s">
        <v>71</v>
      </c>
      <c r="K186" t="s">
        <v>43</v>
      </c>
      <c r="L186" t="s">
        <v>74</v>
      </c>
      <c r="M186">
        <v>1</v>
      </c>
    </row>
    <row r="187" spans="1:13" x14ac:dyDescent="0.25">
      <c r="A187" s="1">
        <v>46135</v>
      </c>
      <c r="B187" s="1" t="str">
        <f ca="1">IF(Información1[[#This Row],[Fecha]]='Ajuste de fechas'!$A$2,"Día actual","Día anterior")</f>
        <v>Día anterior</v>
      </c>
      <c r="C187" t="s">
        <v>42</v>
      </c>
      <c r="D187" t="s">
        <v>44</v>
      </c>
      <c r="E187" t="s">
        <v>305</v>
      </c>
      <c r="F187" t="s">
        <v>56</v>
      </c>
      <c r="G187" t="s">
        <v>87</v>
      </c>
      <c r="H187" t="s">
        <v>45</v>
      </c>
      <c r="I187" t="s">
        <v>7</v>
      </c>
      <c r="J187" t="s">
        <v>71</v>
      </c>
      <c r="K187" t="s">
        <v>43</v>
      </c>
      <c r="L187" t="s">
        <v>74</v>
      </c>
      <c r="M187">
        <v>1</v>
      </c>
    </row>
    <row r="188" spans="1:13" x14ac:dyDescent="0.25">
      <c r="A188" s="1">
        <v>46135</v>
      </c>
      <c r="B188" s="1" t="str">
        <f ca="1">IF(Información1[[#This Row],[Fecha]]='Ajuste de fechas'!$A$2,"Día actual","Día anterior")</f>
        <v>Día anterior</v>
      </c>
      <c r="C188" t="s">
        <v>42</v>
      </c>
      <c r="D188" t="s">
        <v>44</v>
      </c>
      <c r="E188" t="s">
        <v>306</v>
      </c>
      <c r="F188" t="s">
        <v>106</v>
      </c>
      <c r="G188" t="s">
        <v>138</v>
      </c>
      <c r="H188" t="s">
        <v>45</v>
      </c>
      <c r="I188" t="s">
        <v>7</v>
      </c>
      <c r="J188" t="s">
        <v>71</v>
      </c>
      <c r="K188" t="s">
        <v>43</v>
      </c>
      <c r="L188" t="s">
        <v>74</v>
      </c>
      <c r="M188">
        <v>1</v>
      </c>
    </row>
    <row r="189" spans="1:13" x14ac:dyDescent="0.25">
      <c r="A189" s="1">
        <v>46135</v>
      </c>
      <c r="B189" s="1" t="str">
        <f ca="1">IF(Información1[[#This Row],[Fecha]]='Ajuste de fechas'!$A$2,"Día actual","Día anterior")</f>
        <v>Día anterior</v>
      </c>
      <c r="C189" t="s">
        <v>42</v>
      </c>
      <c r="D189" t="s">
        <v>44</v>
      </c>
      <c r="E189" t="s">
        <v>307</v>
      </c>
      <c r="F189" t="s">
        <v>25</v>
      </c>
      <c r="G189" t="s">
        <v>84</v>
      </c>
      <c r="H189" t="s">
        <v>45</v>
      </c>
      <c r="I189" t="s">
        <v>7</v>
      </c>
      <c r="J189" t="s">
        <v>71</v>
      </c>
      <c r="K189" t="s">
        <v>43</v>
      </c>
      <c r="L189" t="s">
        <v>74</v>
      </c>
      <c r="M189">
        <v>1</v>
      </c>
    </row>
    <row r="190" spans="1:13" x14ac:dyDescent="0.25">
      <c r="A190" s="1">
        <v>46135</v>
      </c>
      <c r="B190" s="1" t="str">
        <f ca="1">IF(Información1[[#This Row],[Fecha]]='Ajuste de fechas'!$A$2,"Día actual","Día anterior")</f>
        <v>Día anterior</v>
      </c>
      <c r="C190" t="s">
        <v>42</v>
      </c>
      <c r="D190" t="s">
        <v>44</v>
      </c>
      <c r="E190" t="s">
        <v>201</v>
      </c>
      <c r="F190" t="s">
        <v>98</v>
      </c>
      <c r="G190" t="s">
        <v>136</v>
      </c>
      <c r="H190" t="s">
        <v>45</v>
      </c>
      <c r="I190" t="s">
        <v>7</v>
      </c>
      <c r="J190" t="s">
        <v>71</v>
      </c>
      <c r="K190" t="s">
        <v>43</v>
      </c>
      <c r="L190" t="s">
        <v>74</v>
      </c>
      <c r="M19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79</v>
      </c>
      <c r="B1" t="s">
        <v>80</v>
      </c>
    </row>
    <row r="2" spans="1:2" x14ac:dyDescent="0.25">
      <c r="A2" s="2">
        <f ca="1">TODAY()</f>
        <v>46136</v>
      </c>
      <c r="B2" s="2">
        <f ca="1">A2-1</f>
        <v>46135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2026-04-25T00:15:42Z</dcterms:modified>
</cp:coreProperties>
</file>