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6B6C2FD2-BAB5-4891-90F7-9E45A22E632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<sst xmlns="http://schemas.openxmlformats.org/spreadsheetml/2006/main" count="2065" uniqueCount="356">
  <si>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</si>
  <si>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</si>
  <si>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</si>
  <si>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</si>
  <si>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</si>
  <si>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</si>
  <si>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</si>
  <si>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</si>
  <si>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</si>
  <si>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</si>
  <si>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</si>
  <si>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</si>
  <si>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</si>
  <si>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</si>
  <si>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</si>
  <si>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</si>
  <si>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</si>
  <si>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</si>
  <si>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</si>
  <si>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</si>
  <si>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</si>
  <si>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</si>
  <si>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</si>
  <si>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</si>
  <si>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</si>
  <si>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</si>
  <si>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</si>
  <si>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</si>
  <si>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</si>
  <si>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</si>
  <si>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</si>
  <si>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</si>
  <si>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</si>
  <si>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</si>
  <si>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</si>
  <si>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</si>
  <si>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</si>
  <si>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</si>
  <si>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</si>
  <si>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</si>
  <si>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</si>
  <si>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</si>
  <si>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</si>
  <si>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</si>
  <si>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</si>
  <si>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</si>
  <si>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</si>
  <si>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</si>
  <si>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</si>
  <si>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</si>
  <si>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</si>
  <si>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</si>
  <si>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</si>
  <si>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</si>
  <si>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</si>
  <si>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</si>
  <si>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</si>
  <si>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</si>
  <si>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</si>
  <si>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</si>
  <si>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</si>
  <si>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</si>
  <si>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</si>
  <si>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</si>
  <si>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</si>
  <si>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</si>
  <si>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</si>
  <si>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</si>
  <si>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</si>
  <si>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Prevención De Riesgos</t>
  </si>
  <si>
    <t>Fuga De Agua</t>
  </si>
  <si>
    <t>Eulalio Larrieta agradece a Carlos Gamiño por estar al pendiente de temas</t>
  </si>
  <si>
    <t>TV Cable hidalguense Canal 6</t>
  </si>
  <si>
    <t>Contigo Noticias</t>
  </si>
  <si>
    <t>Localización de cuerpo</t>
  </si>
  <si>
    <t>Turismo</t>
  </si>
  <si>
    <t>Queja transporte público</t>
  </si>
  <si>
    <t>La Poderosa Tuxpan 93.1 FM</t>
  </si>
  <si>
    <t>NN Nuestras Noticias Zona Norte</t>
  </si>
  <si>
    <t>Liz Argüelles</t>
  </si>
  <si>
    <t>Milton Cortés</t>
  </si>
  <si>
    <t>Vialidad En Mal Estado</t>
  </si>
  <si>
    <t>Irving Sánchez</t>
  </si>
  <si>
    <t>Reubicación de viviendas</t>
  </si>
  <si>
    <t>Ruta de la Transformación</t>
  </si>
  <si>
    <t>Polifórum</t>
  </si>
  <si>
    <t>Justa Deportiva</t>
  </si>
  <si>
    <t>Bloqueo transportistas</t>
  </si>
  <si>
    <t>Entrevista</t>
  </si>
  <si>
    <t>Accidente Vial</t>
  </si>
  <si>
    <t>Investigación académica</t>
  </si>
  <si>
    <t>Reunión Gabinete De Seguridad</t>
  </si>
  <si>
    <t>SSH</t>
  </si>
  <si>
    <t>Queja padres de familia</t>
  </si>
  <si>
    <t>Abasto de agua</t>
  </si>
  <si>
    <t>Radioescucha reporta que el jueves 16 una pipa fue a dejar agua a unas casas en la colonia Rojo Gómez, y le pedimos al conductor si nos podía abastecer de agua y nos dijo que no porque no tenía ningún folio.</t>
  </si>
  <si>
    <t>Vecinos del fraccionamiento La Herradura, en Pachuca, Hidalgo, denunciaron la presunta agresión de una mujer y un hombre en contra de guardias de seguridad privada, luego de un conflicto generado por el ingreso de vehículos al complejo habitacional. A través de redes sociales comenzó a difundirse un video donde se observa a la pareja discutiendo con los vigilantes del lugar.</t>
  </si>
  <si>
    <t>Agresión</t>
  </si>
  <si>
    <t>Enfoque Regional Matutino</t>
  </si>
  <si>
    <t>Rodolfo López</t>
  </si>
  <si>
    <t>Participación</t>
  </si>
  <si>
    <t>Justa Académica</t>
  </si>
  <si>
    <t>Delegación</t>
  </si>
  <si>
    <t>La Unidad de Rehabilitación de Fauna de Pachuca recibió un ejemplar de mono aullador de manto, especie catalogada en peligro de extinción, que fue entregado de manera voluntaria por ciudadanos en coordinación con la clínica veterinaria Grumeveth.Las personas que realizaron la entrega informaron que desconocían que la posesión de este tipo de fauna silvestre constituye un delito federal, por tratarse de una especie protegida por la legislación ambiental mexicana.Tras una valoración veterinaria, especialistas determinaron que se trata de una hembra de aproximadamente dos meses de edad, la cual presenta un cuadro de diarrea, por lo que actualmente permanece bajo tratamiento para estabilizar su estado de salud.De manera paralela, la Unidad de Rehabilitación de Fauna inició las gestiones ante la Procuraduría Federal de Protección al Ambiente (PROFEPA) para trasladar al ejemplar a un centro especializado, donde continuará su proceso de rehabilitación con la finalidad de que, cuando las condiciones lo permitan, pueda ser reintegrado a su hábitat natural.</t>
  </si>
  <si>
    <t>Bacheo</t>
  </si>
  <si>
    <t>Oferta educativa</t>
  </si>
  <si>
    <t>Videovigilancia</t>
  </si>
  <si>
    <t>Donación De Órganos</t>
  </si>
  <si>
    <t>Plan Nacional De Vivienda</t>
  </si>
  <si>
    <t>Intercambio de experiencias</t>
  </si>
  <si>
    <t>El secretario titular de la Unidad de Planeación y Prospectiva de Hidalgo, Miguel Ángel Tello Vargas, explicó a través de sus redes sociales el funcionamiento del Programa de Vivienda para el Bienestar, impulsado por la Comisión Nacional de Vivienda, la CONAVI. El funcionario detalló aspectos relacionados con la operación de este programa, cuyo objetivo es facilitar el acceso a una vivienda para sectores de la población que enfrentan mayores dificultades para adquirir una casa , AUDIO APOYO</t>
  </si>
  <si>
    <t>Gabinete de Seguridad de Hidalgo vigila incremento del río Tamoyón en Huautla.</t>
  </si>
  <si>
    <t>Radio Lobo 96.7 FM</t>
  </si>
  <si>
    <t>Enlace Noticias</t>
  </si>
  <si>
    <t>Con tres nuevos paradores, fortalece gobierno de Hidalgo el Corredor Artesanal de la Huasteca Hidalguense</t>
  </si>
  <si>
    <t>Corredor artesanal</t>
  </si>
  <si>
    <t>Gina Lorenzo</t>
  </si>
  <si>
    <t>Protección Civil mantiene operativo preventivo en Hidalgo</t>
  </si>
  <si>
    <t>Gobierno de México entregó más de mil 802 millones de pesos directamente a familias afectadas en Hidalgo,AUDIO APOYO</t>
  </si>
  <si>
    <t>Huracán Priscilla</t>
  </si>
  <si>
    <t>Gobierno estatal y federal fortalecen trabajo conjunto para apoyar a familias afectadas por la vaguada monzónica ,AUDIO APOYO</t>
  </si>
  <si>
    <t>Brigadas brindarán atención personalizada para agilizar el acceso a apoyos de vivienda en municipios afectados, AUDIO APOYO</t>
  </si>
  <si>
    <t>Bajo el argumento de defender el sustento de las familias locales, transportistas aglutinados de la Confederación Autónoma de Trabajadores y Empleados de México en Tianguistengo levantaron la voz para denunciar públicamente al presidente municipal, Febronio Rodríguez, por presunto acaparamiento de obra pública y prácticas monopolísticas en el municipio. Y es que los camioneros de la región expusieron que mientras ellos han respaldado de manera solidaria al municipio, incluso enviando unidades de forma voluntaria gratis para laborar pues en los desastres causados por las lluvias el año pasado, en octubre del año pasado, hoy la administración municipal les da la espalda, no los toma en cuenta para los trabajos formales de reconstrucción.</t>
  </si>
  <si>
    <t>Irregularidades alcalde</t>
  </si>
  <si>
    <t>Hidalgo tendrá en septiembre uno de sus principales retos deportivos del año al convertirse en sede de la Gimnasiada Nacional 2026, competencia escolar que reunirá a más de mil atletas de todo el país y que pues servirá como una prueba para la infraestructura deportiva de la entidad. El certamen organizado por la Federación Mexicana de Deporte Escolar llegará por primera vez a Hidalgo luego de sus ediciones anteriores en Puebla. Esperarán una participación superior a los 5,000 deportistas quienes competirán en nueve disciplinas: estamos hablando de atletismo, natación, judo, karate, taekwondo, ajedrez, fútbol, béisbol y esgrima. El evento también será una prueba para la renovada Ciudad Deportiva y de Alto Rendimiento, de acuerdo con Óscar Pérez, director del Instituto Hidalguense del Deporte, al considerar que permitirá medir la capacidad del estado rumbo a futuros compromisos, entre ellos —ojalá que sí— la Olimpiada Nacional 2027.Sin duda, ser sede nacional aquí en Hidalgo pues voltea los ojos a nivel nacional e internacional. Ahora con esta Gimnasiada Nacional, si Hidalgo pasa la prueba, estoy completamente seguro que el próximo año 2027 aquí se realizará la Olimpiada Nacional. Veremos qué es lo que sucede, mucho éxito a todos los chicos que llegan a Hidalgo para esta Gimnasiada. AUDIO DE APOYO.</t>
  </si>
  <si>
    <t>Hidalgo tendrá representación en los Juegos Centroamericanos y del Caribe Santo Domingo 2026, muy buenas noticias. El titular del deporte estatal, Óscar Pérez Rojas, acompañó a la presidenta Claudia Sheinbaum Pardo y al director de la CONADE, Rommel Pacheco, durante el abanderamiento de la delegación mexicana. Los atletas hidalguenses que vestirán los colores de México son Uriel Gómez Tagle en taekwondo, Édgar Cadena en ciclismo, Carolina Millán en tenis y Javier Cruz en boxeo; además, Iván Aguilar será suplente en ciclismo de montaña y Uriel Capó integrará la delegación como entrenador de ajedrez. Éxito para estos hidalguenses allá en Santo Domingo, en el Caribe, para este año en los Juegos Centroamericanos.</t>
  </si>
  <si>
    <t>La Secretaría de Seguridad Pública de Hidalgo recuperó un vehículo de alta gama robado en una plaza comercial de Pachuca y detuvo al presunto responsable durante un operativo coordinado con el C5i. Tras el reporte al 911, el seguimiento mediante la red de videovigilancia y los arcos carreteros permitió ubicar la unidad cuando intentaba salir del estado sobre la carretera México-Pachuca, esto a la altura de Tizayuca. Al verificar la identidad del conductor, las autoridades confirmaron que contaba con cinco órdenes de aprehensión vigentes, toda una fichita.Y derivado de una denuncia anónima, la Fiscalía General de la República obtuvo autorización de un juez para ejecutar un cateo en un inmueble ubicado en la colonia San Miguel de los Jagüeyes, municipio de Huehuetoca, en el cual probablemente se llevaba a cabo la comercialización ilícita de hidrocarburo. En el inmueble las autoridades aseguraron aproximadamente 2,805 litros de hidrocarburo, cuatro mangueras de longitudes diversas, una pistola de despacho de gasolina y tres cubitanques con capacidad de mil litros cada uno. A qué tanto llega el cinismo que a veces ya parecen minigasolineras algunas viviendas que comercializan huachicol y que en algunos casos hasta se ven las filas esperando el turno de los ciudadanos, vaya situación.</t>
  </si>
  <si>
    <t>Recuperación De Vehículos Robados</t>
  </si>
  <si>
    <t>En Zempoala también están enojados los transportistas; hicieron un paro pacífico en el fraccionamiento Viñedos. Denunciaron que la empresa constructora les adeuda más de cuatro millones ochocientos mil pesos y que pues no dan una solución. AUDIO DE APOYO</t>
  </si>
  <si>
    <t>Hay una situación en la industria textilera. Mire, las personas, los comerciantes que se dedican a esto, los productores de la industria aquí en Hidalgo de los textiles, se enfrentan a tres factores importantes: número uno, la fayuca, la piratería; número dos, la competencia desleal; y por último, en las últimas fechas, los aranceles. Y es que ante el aumento del contrabando de ropa, siete de cada diez empresas de la industria del vestido en Hidalgo diversificaron su producción para mantenerse en operaciones, casi casi para mantenerse con vida. Así lo informó el presidente de la Cámara Nacional de la Industria del Vestido en la entidad, Guillermo Vera Rodríguez. Explicó que desde 2017 las empresas comenzaron a fabricar uniformes para hospitales, escuelas, gasolineras, restaurantes, tiendas de autoservicio y corporativos, ya que este tipo de prendas especializadas no pueden ser sustituidas fácilmente por mercancía ilegal, por piratas. El dirigente señaló que la medida respondió al impacto del contrabando, la baja en el consumo interno y, ya le decía yo, las dificultades para exportar, obligando al sector a buscar nuevas oportunidades de mercado para preservar su actividad económica.</t>
  </si>
  <si>
    <t>Contrabando</t>
  </si>
  <si>
    <t>Román Bernal Díaz, subsecretario de Protección Civil y Gestión de Riesgos de Hidalgo, confirmó el sismo registrado en el municipio de Mixquiahuala. El movimiento telúrico no requirió atención ciudadana por su ligera magnitud. AUDIO DE APOYO.</t>
  </si>
  <si>
    <t>Sismo</t>
  </si>
  <si>
    <t>La Subsecretaría de Protección Civil y Gestión de Riesgos de Hidalgo mantiene vigilancia permanente por las lluvias y reportó afectaciones atendidas en municipios de la Sierra Alta, Sierra Gorda, Sierra Otomí-Tepehua y la Comarca Minera. Para los próximos días se pronostican lluvias y tormentas eléctricas, por lo que Protección Civil pide evitar cruzar ríos, no resguardarse bajo árboles y mantenerse informado únicamente por canales oficiales. AUDIO DE APOYO</t>
  </si>
  <si>
    <t>Hidalgo se consolidó como uno de los principales representantes nacionales en turismo comunitario durante la segunda edición de la Gran Escapada 2026. Del 18 al 21 de junio participaron 59 establecimientos que generaron una derrama económica de 737 millones de pesos. La secretaria de Turismo, Elizabeth Quintanar Gómez, destacó que el turismo comunitario fue el segmento con mayor presencia en la entidad al ofrecer experiencias ligadas a la cultura, la gastronomía y las tradiciones de las comunidades. En esta edición los giros con mayor participación fueron alimentos y bebidas, hospedaje y agencias de viajes, mientras que Pachuca y Acaxochitlán encabezaron la actividad turística.</t>
  </si>
  <si>
    <t>Turismo Comunitario</t>
  </si>
  <si>
    <t>COMENTARIO LOCUTOR: Sí, esa vía es una de las más complicadas cuando llueve, sobre todo en los tramos de San Agustín Tlaxiaca y también la bajada de San José, ya en territorio del municipio del Arenal. En ambos sentidos siempre se generan grandes baches y esa situación sin duda afecta a los automovilistas que circulan por esa importante vía. Ya lo señaló, sí es una carretera federal, es la México-Laredo, pero sin duda los hoyos, los baches no saben si es de qué instancia municipal, estatal o federal y que se tiene que atender esta situación y que ya lo están haciendo estas brigadas.</t>
  </si>
  <si>
    <t>El Secretario de Infraestructura Pública y Desarrollo Urbano Sostenible de Hidalgo, Alejandro Sánchez García, aseguró que el Estado mantiene un programa permanente de conservación y rehabilitación de carreteras y calles para garantizar la seguridad de las y los usuarios, especialmente durante la temporada de lluvias. El funcionario explicó que las precipitaciones aceleran el deterioro de la carpeta asfáltica, provocando la aparición de baches y afectaciones en diversos tramos, por lo que ya brigadas de la dependencia realizan trabajos continuos de bacheo, reencarpetamiento y atención a puntos críticos en distintos municipios. AUDIO DE APOYO</t>
  </si>
  <si>
    <t>La Comisión Nacional de Vivienda en Hidalgo detectó ya al menos cinco casos en los que delincuentes piden dinero a los afectados para supuestamente realizar los trámites para acceder a los apoyos por las recientes lluvias. Hay que tener mucho cuidado porque también en algunos casos los delincuentes buscan la manera de tener los elementos oficiales, en este caso ilegales, falsos, para seguir engañando a las personas. Tenga mucho cuidado, corrobore la información si es necesario, informarse a través de los canales oficiales, llamar directamente a las instituciones, hágalo para que estas personas no cometan su objetivo. AUDIO DE APOYO</t>
  </si>
  <si>
    <t>El gabinete de seguridad de Hidalgo mantiene vigilancia permanente por las lluvias. En Huautla fue cerrado de manera preventiva el paso vehicular sobre el río Tamoyón 1, debido al incremento en su caudal. Este cierre afecta a siete comunidades, aunque las autoridades aclararon que no están incomunicadas, ya que existen rutas alternas mientras se rehabilita el paso. En la última semana también se atendieron la caída de siete árboles, un encharcamiento y dos deslaves. En materia de seguridad pública, fue recuperado un vehículo de lujo robado en Pachuca. Además, en Atotonilco de Tula y Tizayuca aseguraron dos tractocamiones con reporte de robo. En Tepeapulco, un intento de asalto durante la compra de una camioneta pactada por redes sociales, dejó a una persona sin vida, un lesionado y dos detenidos. También fueron asegurados más de 12,000 litros de combustible ilegal, más de 3,300 dosis de droga y 21 personas detenidas. Finalmente, en Tasquillo rescataron a cuatro personas extraviadas y localizaron a 15 personas, 13 de ellas con ficha de búsqueda.</t>
  </si>
  <si>
    <t>Radioescucha Sr. Fidel reporta muchos baches en Ferrocarril Central en Santa Julia, pide que las autoridades realicé su trabajo, ya se reporto anteriormente y manda fotos y videos</t>
  </si>
  <si>
    <t>Radioescucha reporta alimentadora 15c, que sube de la Central a Punta Azul; traía un tubo zafado solo para detenernos los que veníamos parados.</t>
  </si>
  <si>
    <t>Alimentadoras Tuzobús</t>
  </si>
  <si>
    <t>Radioescucha reporta taxi con número económico 3689 en el Medallón, que cobró 70 pesos de Santa Julia a San Chárbel, ampliación Santa Julia.</t>
  </si>
  <si>
    <t>Alteración tarifa de transporte</t>
  </si>
  <si>
    <t>Radioescucha reporta a una micro con número 44, ruta Centro – San Judas Tadeo; quería atropellarnos en la colonia Carboneras, se bajó y dijo que le pegue a su camioneta y hasta un cabezazo me dio. Pide a las autoridades apoyo, ya que quiere proceder legalmente.</t>
  </si>
  <si>
    <t>Radioescucha pide apoyo para que Cassim deje más tiempo el agua, ya que ayer pusieron el agua a las 6 y solo la dejaron una hora y no dio tiempo de apartar agua, esto en San Juan, colonia Guadalupe, atrás de Prepa 4</t>
  </si>
  <si>
    <t>Radioescucha Sra. Lupita reporta falta de agua en la colonia Santiago Jaltepec desde hace 15 días</t>
  </si>
  <si>
    <t>Radioescucha reporta falta de agua en colonia Felipe Ángeles, llevamos más de 20 dias sin agua</t>
  </si>
  <si>
    <t>Radioescucha reporta falta de agua en Valle del Palmar, llevamos más de 8 días sin agua</t>
  </si>
  <si>
    <t>Radioescucha reporta falta de agua. Ya lleva más de 15 días que no tenemos agua en colonia 11 de Julio en primera y segunda sección.</t>
  </si>
  <si>
    <t>Radioescucha reporta que no tuvo respuesta en su reporte de falta de agua en Rojo Gómez, se tuvo que comprar una pipa privada</t>
  </si>
  <si>
    <t>Participación Roberto Rico con el tema: con el tema creación del nuevo municipio”El municipio metropolitano” . Hoy se ha abierto un debate nuevo aquí en la zona metropolitana de Pachuca con el tema de la creación de un municipio denominado el municipio metropolitano, que se considera como el municipio o la construcción de un municipio, que sería el municipio 85 del estado de Hidalgo. Para mi es la expresión de un enorme problema urbano y administrativo, que se ha acumulado por el paso de algunos años para los miles e habitantes que viven en alrededor de 30 fraccionamientos, cuyos servicios, responsabilidades y trámites se encuentran repartidos entre los municipios de Pachuca , Mineral de la Reforma y en Zempoala y pues parece haber provocado que muchas familias no sepan con claridad, a qué autoridad deben dirigirse para que les pueda responder por diversos problemas.Algunos de los problemas con los cuales se enfrentan son la falta de agua, la falta de drenaje sanitario, falta de drenaje trubial, falta de alumbrado público, falta del servicio de recolección de basura, falta del servicio de vigilancia o de seguridad pública en el municipio y la falta de atención a las vialidades. Las personas no solamente están solicitando una nueva estructura política,sino que están reclamando el derecho a vivir con calidad.No con cantidad.</t>
  </si>
  <si>
    <t>Municipalización</t>
  </si>
  <si>
    <t>Radioescucha agradece a Caasim por ir a reparar las fugas de agua en San Cayetano</t>
  </si>
  <si>
    <t>La presidenta honorífica del Patronato del Sistema Municipal DIF, Samantha Esparza Hernández, y el acalde de Mineral de la Reforma, Eduardo Medécigo Rubio, inauguraron el curso “Un verano DIFerente con Mineralito”, mismo que se desarrollará en la Unidad Deportiva y Centro de Alto Rendimiento Centenario (MIRE) y el Centro Mineralense de las Artes (CEMART).Durante el inicio, el presidente municipal agradeció la confianza de las madres y padres de familia por inscribir a sus hijas e hijos, al mismo tiempo que les dio una cálida bienvenida a las instalaciones. “Nos encanta la idea de que hayan venido. Pásensela muy bien, diviértanse mucho, están en su casa y pueden disfrutar plenamente de todas las actividades programadas”, expresó el edil.Ante la presencia de cientos de infantes, Eduardo Medécigo y Samantha Esparza reconocieron el trabajo de todos los colaboradores que acompañarán a las y los participantes durante el curso, así como de las diversas áreas que colaboraron para la realización de esta actividad. También, confirmaron que en cada uno de los puntos en los que se realiza el curso, se cuenta con médicos y psicólogos.A este curso, el cual concluirá el próximo 14 de agosto, asistieron un total de 400 menores (200 en cada sede) y 60 en los Puntos de Innovación, Libertad, Arte, Educación y Saberes (PILARES). Los grupos están divididos por edades: de 4 – 5 años, de 6 – 9 años y de 10 – 14 años.</t>
  </si>
  <si>
    <t>Curso de verano</t>
  </si>
  <si>
    <t>En cabina, participación de Jorge Hernández, director de Comunicación Social del Ayuntamiento de Pachuca, con el tema: trabajos de reportes de la ciudadania, ayer ya se checaron los semafóros de Prismas, se realizó faena en las colonias, preguntaron radioescuchas en donde se puede sugerir la proxima visita del programa “Colonia x Colonia” y sobre el constante bacheo en todo el municipio</t>
  </si>
  <si>
    <t>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t>
  </si>
  <si>
    <t>Ordenamiento ecológico</t>
  </si>
  <si>
    <t>Avanza la cuarta fase de la reconstrucción en Hidalgo con nuevas obras para recuperar infraestructura y servicios, AUDIO APOYO</t>
  </si>
  <si>
    <t>Gabinete de Seguridad de Hidalgo vigila incremento del río Tamoyón en Huautla</t>
  </si>
  <si>
    <t>El Secretario de Infraestructura Pública y Desarrollo Urbano Sostenible, Alejandro Sánchez, informó que la nueva Estación de Bomberos “José María Morelos y Pavón” , que se construye en lo que era el poliforum del mismo nombre, llevó un avance del 99%, por lo que en breve será inaugurada. Detalló que para esta obra se invirtieron más de 34 millones de pesos y aún faltan adecuaciones para permitir la entrada y salida de vehículos de emergencia. Estas instalaciones también serán sede de la Subsecretaría de Protección Civil y Gestión de Riesgos del Estado de Hidalgo, AUDIO APOYO</t>
  </si>
  <si>
    <t>La presidenta Claudia Sheinbaum Pardo destacó que, con una inversión estimada de 181 mil millones de pesos (mdp), al 2030 se realizarán 152 proyectos como parte del Plan Nacional de Infraestructura Hospitalaria: 50 hospitales nuevos, 47 ampliaciones, así como 55 sustituciones y mejoras mayores; con ello se pasará de 96 mil 966 a 106 mil 105 camas en seis años, lo que representa el número de crecimiento de camas más grande desde que se tienen datos.</t>
  </si>
  <si>
    <t>Infraestructura hospitalaria</t>
  </si>
  <si>
    <t>La Comisión Nacional de Vivienda (Conavi) habilitó módulos presenciales en cinco municipios de Hidalgo para registrar a personas interesadas en acceder al programa Vivienda para el Bienestar, dirigido principalmente a familias que no cuentan con casa propia ni tienen acceso a créditos del Infonavit, Fovissste u otra institución. Los puntos de atención se encuentran en Actopan, Mixquiahuala de Juárez, Huautla, Zapotlán de Juárez y Zempoala. Las personas interesadas deberán acudir al módulo que les corresponda con su documentación completa, debido a que la falta de alguno de los requisitos podría impedir que el trámite sea realizado.</t>
  </si>
  <si>
    <t>Locutor Jesús Riveros da lectura a comentario de radioescucha que señala: Quiero denunciar que somos varios padres de familia que no estamos de acuerdo con el Comité de Padres de Familia de la Escuela Federico A. Corzo porque existe mucha presión para obligarnos a aceptar que se pongan las cámaras de videovigilancia, considerando que la privacidad de nuestros hijos se estaría dañando. Nosotros no queremos que se esté grabando a nuestros hijos, o hay una finalidad clara; Jesús Riveros responde que estará compartiendo el reporte para la investigación pertinente</t>
  </si>
  <si>
    <t>Referente a la nota de la creación de un nuevo municipio en Hidalgo. Irving Sánchez comentó que, independientemente a la respuesta que vaya a dar el Congreso del Estado, generalmente, esto se da en zonas irregulares, en donde la gente por necesidad, por contar con un patrimonio para su familia compra terrenos que no están debidamente legalizados, que no tienen los permisos para poder construir, porque no tienen las condiciones ni los recursos para poder llevar a todos estos lugares los principales servicios, tales como, agua potable, drenaje, pavimentación de calles, electricidad. Entonces, esto es lo que debe analizarse y sobre todo, para que pueda existir una forma digna de vivir.</t>
  </si>
  <si>
    <t>Respecto a la creación de un nuevo municipio en Hidalgo, Irving Sánchez comentó que es aceptable, pero, siempre y cuando haya progreso, haya bienestar, que haya un buen plan de desarrollo, recordemos que los recursos que vienen del Gobierno Federal, del Gobierno del Estado de Hidalgo y por supuesto los que se recaudan de cada uno de los municipios son muy escasos, por lo que todo esto debería de ser abalizado.</t>
  </si>
  <si>
    <t>Integrantes del Comité de Fraccionamientos del Sur anunciaron oficialmente que ya fue entregada ante el Congreso del Estado de Hidalgo la solicitud formal para la creación del municipio número 85 de la entidad, el cual llevaría como primera propuesta el nombre de Felipe Ángeles. La petición fue ingresada el lunes 20 de julio al mediodía y, de acuerdo con los promoventes, la respuesta inicial del Poder Legislativo debería emitirse en un plazo de 72 horas hábiles. El movimiento agrupa a representantes de entre 17 y 20 fraccionamientos ubicados en los municipios de Pachuca, Mineral de la Reforma y Zempoala, localizados en la zona sur de la capital. Durante una conferencia de prensa, los vecinos argumentaron que la creación de un nuevo municipio permitiría atender el rezago urbano y de servicios públicos que, aseguran, padecen desde hace años. “Vivimos como si fuéramos un cinturón de miseria. Tenemos mala calidad del agua, vialidades en pésimas condiciones, tráfico desbordado y una ausencia total de planeación urbana”. Finalmente, el representante legal del movimiento, Francisco Javier Bustos Cortés, indicó que ya se revisaron los requisitos jurídicos para la conformación de un nuevo municipio y que la estrategia contempla trabajar de manera coordinada con el Congreso local y otras instancias de Gobierno.</t>
  </si>
  <si>
    <t>Con tres nuevos paradores, gobierno estatal fortalece el Corredor Artesanal de la Huasteca Hidalguense.</t>
  </si>
  <si>
    <t>La Comisión Nacional del Agua (Conagua), a través de su Dirección Local Hidalgo, mantiene las maniobras programadas y controladas de extracción de la presa Requena de 5 metros cúbicos por segundo (m3/s), destinados al aprovechamiento agrícola de la región. La Comisión informa que, al día de hoy, la presa ubicada en el municipio de Tepeji del Río, cuenta con un porcentaje de almacenamiento de 96.8 por ciento (%). Las labores se realizan de manera programada y vigilada, por lo que no representan riesgos para la población. Asimismo, en cuanto al de las presas de Hidalgo, la presa Taxhimay se encuentra a 80.7 % de su capacidad con 32.225 millones de metros cúbicos (Mm3); la Endhó se encuentra a 96.8 % con 185.173 Mm3 con un derrame de 28.694 m3/s; la presa Rojo Gómez a 76.9 % de su capacidad con 30.762 Mm3; finalmente, la Vicente Aguirre se encuentra a 78.2 % de su capacidad con 13.917 Mm3. En la región del Golfo Norte, la presa La Esperanza se encuentra al 100 % de su capacidad con 3.92 Mm3, mientras que la presa Ing. Fernando Hiriart Balderrama, ubicada en el municipio de Zimapán, registra un 88.2 % de almacenamiento con 1,225.560 Mm3. La Conagua reitera su compromiso de mantener el monitoreo permanente en presas de todo país para contribuir a la protección de la población y sus bienes.</t>
  </si>
  <si>
    <t>Monitoreo De Presas</t>
  </si>
  <si>
    <t>El gobierno de México informó que al cierre de 2026 prevé habilitar 2 mil 637 nuevas camas hospitalarias en distintas instituciones de salud del país, como parte de un programa de ampliación, sustitución y construcción de infraestructura médica, con la que se verá beneficiado el estado de Hidalgo. Durante la presentación del plan, Eduardo Clark García, subsecretario de Integración Sectorial y Coordinación de Servicios de Atención Médica, explicó que las acciones contemplan nuevos espacios para la atención de derechohabientes del Instituto Mexicano del Seguro Social (IMSS), IMSS-Bienestar e Issste.</t>
  </si>
  <si>
    <t>Hospital Tula</t>
  </si>
  <si>
    <t>Fortalece SSH detección oportuna del TDAH con capacitación y coordinación interinstitucional</t>
  </si>
  <si>
    <t>Neurosiversidad</t>
  </si>
  <si>
    <t>Protección Civil de Hidalgo llama a prevenir riesgos por lluvias en zonas urbanas y rurales</t>
  </si>
  <si>
    <t>Gobierno de México entregó más de mil 802 millones de pesos directamente a familias afectadas en Hidalgo. (AUDIO AMZ).</t>
  </si>
  <si>
    <t>Brigadas brindarán atención personalizada para agilizar el acceso a apoyos de vivienda en municipios afectados. (AUDIO EIKA TOLEDO)</t>
  </si>
  <si>
    <t>Gobierno estatal y federal fortalecen trabajo conjunto para apoyar a familias afectadas por la vaguada monzónica. (AUDIO JVP).</t>
  </si>
  <si>
    <t>Avanza la cuarta fase de la reconstrucción en Hidalgo con nuevas obras para recuperar infraestructura y servicios. (AUDIO ASG).</t>
  </si>
  <si>
    <t>Con actividades deportivas, recreativas y educativas, la presidenta municipal de Tulancingo, Lorena García Cázares, inauguró el curso de verano “Transformando tu Verano: Dino Aventura”, en el que participarán 160 niñas, niños y adolescentes de entre 6 y 13 años. El programa, que se desarrolla en la Unidad Deportiva Javier Rojo Gómez, tendrá una duración de dos semanas y busca ofrecer a los menores una opción para aprovechar el periodo vacacional mediante actividades que promuevan el aprendizaje, la convivencia y el desarrollo integral. Durante la apertura, la alcaldesa destacó que este espacio deportivo se mantiene como un punto de encuentro para la niñez y la juventud del municipio, donde además de practicar diversas disciplinas, las y los participantes fortalecen valores como la disciplina, la responsabilidad, el compañerismo y la perseverancia.</t>
  </si>
  <si>
    <t>Locutor Jesús Riveros da lectura a comentario de radioescucha que comenta, a unos días de la Feria y que habrá visitantes, hay calles de Tulancingo con muchos baches, el fin de semana tuvo visitas de Zacatlán y se llevaron una muy mala impresión por los cráteres, dice, se ha reportado esta situación, pero nadie hace nada, que porque le corresponde a autoridades del Estado de Hidalgo</t>
  </si>
  <si>
    <t>Baches</t>
  </si>
  <si>
    <t>Locutor Juan Carlos Santamaría comentó que, en la agenda semanal del Gobierno del Estado, el gobernador Julio Menchaca estará realizando las entregas de apoyos para la reconstrucción en zonas afectadas por las lluvias, en la cancha de usos múltiples de Chapulhuacán.</t>
  </si>
  <si>
    <t>Agenda gobernador</t>
  </si>
  <si>
    <t>Locutor Jesús Riveros da lectura a comentario de radioescucha que reporta al chofer de una micro que da servicio de La Cañada a la clínica del ISSSTE, que se molestó al preguntarle el tiempo que haría para llegar al ISSSTE y le respondió que se fuera en taxi, su enojo fue bastante que la bajo de la unidad, radioescucha señala que le tomó foto a la unidad y la chofer y que le chofer también le tomó fotos, además de que fue grosero, pregunta a donde puede realizar su reporte; Jesús Riveros comparte el teléfono de Movilidad y Transporte para que pueda hacer oficial su queja.</t>
  </si>
  <si>
    <t>Respecto al reporte de la instalación de cámaras de videovigilancia en la escuela Federico A. Corzo, Jesús Riveros comentó que es un tema delicado andar grabando a menores de edad, podría entenderse que es un tema de seguridad, pero, implica otras situaciones.</t>
  </si>
  <si>
    <t>Locutor Jesús Riveros da lectura a comentario de radioescucha que reporta, que en la escuela Primaria Federico A. Corzo existe la preocupación de padres de familia por la intención de colocar cámaras de videovigilancia en el plantel, sin que exista un consenso entre todas las familias, muchos padres de familia, no estamos de acuerdo en que nuestras hijas e hijos sean grabados durante su estancia en la escuela, especialmente porque no se ha explicado el propósito de las cámaras, el tratamiento que recibirán las imágenes y las garantías para proteger los datos personales de los menores. Además, dice, percibimos presión para aceptar esta decisión, cuando debería privilegiarse el diálogo y el respeto a las diferentes opiniones, por lo que solicitan a las autoridades que este tema sea analizado de forma transparente y que cualquier determinación se tome con el consentimiento informado de la comunidad escolar. Concluye diciendo que dicho mensaje se envía de manera anónima por el temor de sufrir represalias por expresare una opinión distinta.</t>
  </si>
  <si>
    <t>Locutor Jesús Riveros informa que se inició con la reparación de las losas que presentaban grietas en la recién pavimentada carretera Cuautepec-Tulancingo. Ayer por la tarde, el Comité de Obra de esta repavimentación informó que este martes 21 de julio se iniciaron los trabajos de reparación en un tramo de dicha carretera, que recientemente fue pavimentada y que reveló el trabajo a medias realizado por la empresa encargada.</t>
  </si>
  <si>
    <t>Rehabilitación carretera</t>
  </si>
  <si>
    <t>Entrevista vía telefónica Mtro. Rufino Demillón Pascual, docente del programa educativo de Energía y Desarrollo Sostenible en la Universidad Tecnológica del Valle del Mezquital y beneficiario del Fondo Hidalgo del Citnova para acondicionar un Laboratorio de Energía Solar - Habló sobre la instalación de un Laboratorio de Energía Solar que es un espacio especializado para la realización de investigación, pruebas y docencia que se va a dedicar a estudiar las características y efectos de los tipos de radiación solar, así como, la captura, transformación y aprovechamiento de la radiación solar que proviene del sol. El principal objetivo es analizar en tiempo real los potenciales de radiación solar y sus beneficios para poder aprovecharlos y poder cubrir las necesidades energéticas y con ello, poder impulsar la economía de la región del Valle del Mezquital.</t>
  </si>
  <si>
    <t>Entrevista vía telefónica Laura Silvia González Quintos, coordinadora Estatal del Inegi en Hidalgo - Habló sobre los resultados de la encuesta Endutih 2025, encuesta que permite al Inegi medir la disponibilidad y el uso de tecnologías de la información en los hogares, está encuesta se realizó en junio de 2025, entre los resultados obtenidos destaca que, del 85.3 por ciento de la población de seis años y más utilizó internet, cifra muy cercana al promedio nacional que fue de 86.1 por ciento; asimismo, se observó que el 73.3 por ciento de los hogares hidalguenses tienes disponibilidad de internet, es decir, prácticamente tres de cada cuatro viviendas cuentan con este servicio. Cabe destacar que esta encuesta no solo mide el uso de tecnologías de información, sino, para que se está utilizando. Para mayor información sobre los resultados de la Endutih 2025, pueden ingresar al portal www.inegi.org,mx en el apartado de programas de información.</t>
  </si>
  <si>
    <t>Conectividad a internet</t>
  </si>
  <si>
    <t>Entrevista pautada</t>
  </si>
  <si>
    <t>Entrevista en cabina Ricardo Suárez, director de Vinculación de la Universidad Intercultural del Estado de Hidalgo - Habló sobre sobre la oferta educativa que se ofrece en la Universidad Intercultural del Estado de Hidalgo, destacando nueve programas educativos en diferentes áreas de conocimiento tales como; Médico Cirujano, Enfermería, siendo la de Médico Cirujano la carrera con más demanda. Informó que, para esta segunda convocatoria de la UICEH se ofertan las carreras en: Desarrollo Sustentable, Turismo Alternativo, Arte y Diseño Digital, Ingeniería Civil, Producción Agropecuaria Sustentable, Derecho Intercultural y Lengua y Cultura, dicha convocatoria estará abierta del 14 julio al 4 agosto; para mayor información pueden ingresar al portal web www.uiceh.edu.mx. El examen se realizará de manera presencial el 5 de agosto, el inicio del semestre será a finales del mismo mes.</t>
  </si>
  <si>
    <t>SSPH recupera vehículo robado en plaza comercial de Pachuca; aseguran a presunto responsable.</t>
  </si>
  <si>
    <t>Muerte en Cereso</t>
  </si>
  <si>
    <t>Docentes fortalecen su práctica educativa con taller intensivo</t>
  </si>
  <si>
    <t>Capacitación docente</t>
  </si>
  <si>
    <t>Un maestro de educación primaria fue sentenciado a 10 años de prisión tras ser declarado culpable del delito de violación en agravio de una menor de edad de identidad reservada, por hechos ocurridos en el municipio de Xochiatipan, en la región Huasteca de Hidalgo. El docente, identificado con las iniciales Gilberto H. F., es originario del municipio de Huejutla y permanecía recluido en el Centro de Reinserción Social (Cereso) de La Lima, en el municipio de Jaltocan, desde marzo de 2025, cuando fue detenido por agentes de la División de Investigación del grupo Huejutla en cumplimiento de una orden de aprehensión. De acuerdo con la información proporcionada por familiares de la víctima, el proceso judicial se prolongó durante más de dos años debido a que la defensa del imputado promovió diversos recursos legales, entre ellos apelaciones y juicios de amparo. Los familiares señalaron que durante ese tiempo mantuvieron la exigencia de justicia hasta que el caso llegó a juicio, donde finalmente se emitió una sentencia condenatoria de 10 años de prisión. Tras conocerse la resolución judicial, familiares y personas cercanas al sentenciado manifestaron en redes sociales su inconformidad con el fallo, al asegurar que las acusaciones en su contra son falsas. No obstante, la autoridad judicial determinó que existían elementos de prueba suficientes para acreditar la responsabilidad penal del maestro y dictar la condena correspondiente. Hasta el momento, las autoridades no han informado si la sentencia quedó firme o si la defensa del condenado promoverá algún recurso legal adicional contra la resolución.</t>
  </si>
  <si>
    <t>TSJEH</t>
  </si>
  <si>
    <t>Sentencia</t>
  </si>
  <si>
    <t>Un menor de edad fue localizado sin vida en un tramo carretero de Mineral del Monte, y hasta el momento su identidad permanece bajo análisis. De manera tentativa, autoridades han establecido las iniciales C.S.S.G., de acuerdo con información difundida por el colectivo Madres Buscadoras de Sonora. El caso se encuentra registrado con el folio 20000969 y corresponde a un menor de sexo masculino, con una edad aproximada de entre uno y cinco años. Su cuerpo ingresó al Servicio Médico Forense (Semefo) el pasado 9 de junio de 2026, por lo que han transcurrido más de cinco semanas sin que se confirme plenamente su identidad. Hasta el momento no se han proporcionado detalles sobre las circunstancias en las que fue localizado, el punto exacto del tramo carretero donde ocurrió el hallazgo o la causa de su fallecimiento. Tampoco se ha informado si existe alguna denuncia por desaparición que pudiera estar relacionada con el caso. Como parte de la información que podría contribuir a su reconocimiento, se dio a conocer que el niño vestía una sudadera roja, con mangas y gorro en color azul marino. La prenda llevaba la leyenda en inglés “SKATE LET’S SHAKE KID BOARD”. También portaba un pantalón de mezclilla azul y tines negros con el logotipo de Nike en colores rojo y blanco. Estas características fueron difundidas con la intención de que alguna persona pueda aportar información útil para ubicar a sus familiares o relacionar el caso con una búsqueda activa. Debido a la edad aproximada del menor, cualquier dato sobre un niño de entre uno y cinco años cuya ubicación se desconozca podría resultar relevante. Sin embargo, la información debe entregarse directamente a las autoridades responsables del expediente para que pueda ser verificada e incorporada formalmente a las diligencias. A través de redes sociales, se pidió a la ciudadanía compartir la ficha con respeto y sensibilidad, sin difundir imágenes del cuerpo ni emitir comentarios que puedan revictimizar al niño o causar un daño adicional a sus posibles familiares.</t>
  </si>
  <si>
    <t>Reportan acciones realizadas por corporaciones de seguridad pública en Hidalgo</t>
  </si>
  <si>
    <t>Un grupo de habitantes de la comunidad de Benito Juárez, dentro del municipio de Mixquiahuala, irrumpieron en el edificio de presidencia municipal para exigir obra pública. Los manifestantes, que exigían la presencia de funcionarios municipales, así como del alcalde Miguel Ángel Peña Flores, exigían también cabo el deslinde de esa localidad con la comunidad de Hacienda Vieja. Las personas se colocaron en distintos puntos del edificio de presidencia municipal, insistiendo en la presencia de las autoridades locales para que les dieran respuesta a sus demandas. Señalaron estar hartos de la falta de atención de las autoridades, señalando que “es inaceptable que la obra pública y la atención ciudadana se utilicen como factura política tras un proceso electoral”. Reclamaron que en la comunidad citada no se ha realizado obra pública debido a que no obtuvo votos suficiente en el proceso electoral donde finalmente ganó el actual alcalde Peña Flores. La protesta escaló de nivel cuando los colonos amenazaron con rociar gasolina e incendiar el edificio de presidencia municipal. Lo anterior como presión para la firma de un documento donde se comprometan las obras exigidas, así como el deslinde entre las comunidades de Benito Juárez y Hacienda Vieja. Ante el amago de violencia, elementos de la fuerza pública se desplegaron en los alrededores del edificio público, en tanto funcionarios municipales atendían a los manifestantes. Hasta el momento no se ha dado a conocer los acuerdos que eventualmente se pudieron tomar respecto a las exigencias presentadas.</t>
  </si>
  <si>
    <t>Toma de alcaldía</t>
  </si>
  <si>
    <t>En cuarta fase, reconstrucción de infraestructura pública dañada por lluvias</t>
  </si>
  <si>
    <t>Sólo el 17 por ciento de propietarios de casas censadas y encontradas con necesaria reubicación, cuentan con un terreno para la construcción de una nueva vivienda. El dato fue ofrecido por Julio Valera Piedras, titular de la delegación en Hidalgo Secretaría de Desarrollo Agrario, Territorial y Urbano (Sedatu) del Gobierno Federal. Durante la conferencia de prensa matutina del Gobierno estatal, el funcionario señaló que de las 2 mil 866 viviendas localizadas en zona de riesgo, únicamente 476 damnificados de la vaguada monzónica tienen terreno para construir una nueva construcción de casa habitación. Lo anterior es el resultado encontrado en el censo de casas realizado en 23 municipios, los principales afectados por las torrenciales lluvias de octubre del año pasado. El censo establece que las regiones donde se localizan la mayor parte de viviendas afectadas son Huasteca, Sierra y la región Otomí-Tepehua. Los dictámenes de Protección Civil estatal y municipal determinaron que 2 mil 390 son susceptibles al programa de relocalización. Valera Piedras federal precisó que dicha cifra podría variar según la decisión de los pobladores para cambiarse de domicilio, aunado al cumplimiento de los requisitos. Respecto a la búsqueda del suelo útil para construir las viviendas, reconoció que el proceso es complicado “y prácticamente imposible”. Por ello, el apoyo para las familias afectadas será de dos maneras: dinero o edificación en terrenos de los pobladores.</t>
  </si>
  <si>
    <t>Dos mil viviendas 866 se encuentran en zonas de riesgo inminente, agravado por el paso de las torrenciales lluvias registradas durante el mes de octubre del año pasado en el Estado de Hidalgo. Las viviendas afectadas se localizan en 23 municipios de la entidad; la cantidad se conoce tras evaluación realizada casa por casa durante cinco meses. Las autoridades concluyeron que en el caso de la cantidad de las viviendas encontradas en riesgo inminente, deberán ser relocalizadas de emergencia, debido a los fuertes riesgos que existen en las zonas evaluadas. Para agilizar el proceso de relocalización, evitando situaciones mayores, el Gobierno del Estado de Hidalgo desplegará brigadas en territorio para integrar los expedientes de apoyo e iniciar de inmediato el programa de reconstrucción y reubicación. La titular de la Comisión Estatal de Vivienda, Ericka Toledo Parra, advirtió que la notificación oficial llegará directamente a los hogares afectados a través de los Ayuntamientos, esta misma semana. Posteriormente, los censados deberán presentarse a las asambleas informativas que se realizarán los días 29, 30 y 31 de julio, comenzando de manera prioritaria en la región Otomí-Tepehua. “En esta semana vamos a estarle notificando a la gente directamente que vive en una zona de riesgo. Estas notificaciones las van a hacer los ayuntamientos; ningún otro ente de gobierno o tercero lo realizará”, señaló la funcionaria. Ante la vulnerabilidad de las familias, las autoridades lanzaron una alerta urgente para evitar robos o fraudes, señalando que las autoridades de los tres órdenes de gobierno no tienen intermediarios. Tampoco se cobran comisiones o cantidad alguna de dinero por la gestión de apoyos. Por lo que las autoridades exhortan a la población a no entregar documentación personal ni dinero a gestores ajenos y verificar que todo personal esté debidamente acreditado por la alcaldía o el gobierno estatal. Se insistió que todo aviso o gestión se hará a través de las autoridades, único vínculo para ello.</t>
  </si>
  <si>
    <t>El hallazgo de presuntos restos fósiles de un mamut durante las obras del Tren México-Pachuca despertó el interés de habitantes de la comunidad de Huitzila, en Tizayuca, quienes propusieron crear un museo comunitario para resguardar y exhibir las piezas, en caso de que los especialistas confirmen su origen. Los pobladores consideran que el descubrimiento podría convertirse en un atractivo histórico y turístico para la región. Especialmente porque la localidad contará con una estación del nuevo Tren México-Pachuca. Además de preservar el patrimonio paleontológico, señalaron que un museo de sitio permitiría difundir la historia de la región entre las nuevas generaciones y generar actividad económica mediante la llegada de visitantes. Los habitantes comenzaron a organizarse para impulsar el proyecto. Sin embargo, aclararon que primero esperarán el resultado de las investigaciones que realiza el Instituto Nacional de Antropología e Historia (INAH).</t>
  </si>
  <si>
    <t>Museo comunitario</t>
  </si>
  <si>
    <t>Para el periodo vacacional de verano se prevé el arribo de 800 mil visitantes y una derrama económica superior a los 550 millones de pesos en Hidalgo, siendo balnearios de aguas termales, los nueve Pueblos Mágicos y Pueblos con Sabor, los principales atractivos durante la temporada. La secretaria de Turismo, Elizabeth Quintanar Gómez, compartió que Hidalgo, además de constantes capacitaciones a prestadores de servicios, ha diversificado su oferta turística para atender distintos perfiles de viajeros, desde turismo de aventura, de naturaleza, gastronómico hasta religioso o de romance. “Destinos consolidados como los Prismas Basálticos, las Grutas de Tolantongo y los principales balnearios continúan siendo productos turísticos maduros, preparados para recibir una importante afluencia durante la temporada vacacional”. La funcionaria estatal detalló que destinos como Huasca de Ocampo, Real del Monte, Mineral del Chico, Pachuca y Villa de Tezontepec, además de complejos turísticos especializados orientan al turismo de romance y ahora también el turismo comunitario aprovechando recursos naturales. “En Huasca de Ocampo diversos ejidos han comenzado a desarrollar proyectos turísticos propios, aprovechando sus recursos naturales; algunos de estos ejidos cuentan con infraestructura sustentable, como baños secos y senderos ecoturísticos cercanos a las Dunas Rojas y bosques de oyamel”. En el caso de Mineral del Chico, resaltó la creciente oferta de actividades como vía ferrata diurna y nocturna, rappel, escalada, excursionismo, ciclismo de montaña, cañonismo y observación sideral, son productos que buscan ampliar la estancia promedio de los visitantes. “Uno de los principales retos que tenemos en el sector es lograr que los turistas permanezcan más de una noche en la entidad, y que esto se vea en reflejado en el impacto económico para prestadores de servicios”. Recordó que durante el verano del año pasado el estado recibió alrededor de un millón de visitantes, cifra que sirve como referencia para mantener una temporada positiva, impulsada por la cercanía con la Zona Metropolitana del Valle de México y el acceso desde el Aeropuerto Internacional Felipe Ángeles (AIFA).</t>
  </si>
  <si>
    <t>Afluencia Turística</t>
  </si>
  <si>
    <t>A partir de la detección de dos conexiones irregulares a la red de energía eléctrica, personal de la Dirección municipal de Mantenimiento Urbano en Tulancingo inició la revisión de los sistemas de surtido. Así lo aseguró Juan Alberto Santuario Elías, secretario de Servicios Municipales, a cuyo cargo está el tema de alumbrado público, que obviamente requiere del fluido de energía eléctrica. Hace poco menos de un mes, trabajadores de la dependencia municipal detectaron dos conexiones irregulares tras el reporte de fallas tanto en el alumbrado público como de semáforos en el crucero de Acatlán y en la zona del Fraccionamiento Magisterio. Las fallas registradas fueron apagones constantes, debido a sobrecalentamiento de la línea por exceso de conexiones ilegales. Se hizo el corte de los cables detectados, aunque no se sancionó a ningún responsable de las conexiones irregulares, debido a que no se pudo localizar la línea de inicio de dicho cableado. Pero a partir de la detección de la situación, las brigadas de la dirección municipal de Mantenimiento Urbano, ha intensificado la inspección de las conexiones eléctricas públicas; en los casos necesarios se harán los cortes al cableado irregular. Además, en los casos donde se detecten responsables de dichas conexiones irregulares, serán sancionados, advirtió Santuario Elías.</t>
  </si>
  <si>
    <t>Robo de luz</t>
  </si>
  <si>
    <t>La delegación de Programas para el Bienestar en Hidalgo publicó la convocatoria 2026 del programa Vivienda para el Bienestar para los municipios de Actopan, Mixquiahuala, Huautla, Zapotlán de Juárez y Zempoala. La inscripción de interesados será del 20 de julio al 2 de agosto en los municipios citados donde se prevén las edificaciones este año por parte de la Comisión Nacional de Vivienda.</t>
  </si>
  <si>
    <t>165 cámaras de videovigilancia serán instaladas en calles internas de colonias y comunidades del municipio de Tulancingo, dentro del programa Policía Contigo, a cargo de la Secretaría de Seguridad Pública del Estado de Hidalgo. El anuncio fue realizado por Enrique Romero Alcántar, titular de la Secretaría de Seguridad Ciudadana municipal, durante la entrega del C2 móvil, vehículos y equipo para elementos policiacos, de tránsito y movilidad, así como de Protección Civil. Señaló que las cámaras que serán incorporadas se sumarán a las 581 que ya están en operación por parte del C4 municipal de Tulancingo, por lo que en total se contará con 741 cámaras de videovigilancia ubicadas en distintos puntos del municipio. Sistemas de videovigilancia similares serán instalados en varios municipios del Estado de Hidalgo, con objetivo de reforzar las acciones para combate a delitos, así como atención a denuncias. Las cámaras son instaladas en calles interiores de colonias y comunidades, y en caso de reportarse alguna situación, se le da seguimiento con los sistemas ya instalados previamente, y en funcionamiento. Aunque no se dio a conocer el momento en que iniciará la instalación y posterior funcionamiento de las cámaras, se anunció que el total de los sistemas deberá operar antes de finalizar este año. A su vez, será a partir del inicio del inicio de la Expo Feria, así como de la tradicional feria en honor a nuestra Señora de los Ángeles, cuando inicie el Centro de Mando Móvil.</t>
  </si>
  <si>
    <t>Sueldos adecuados a la responsabilidad, así como prestaciones laborales suficientes, son necesarios para que aumente el número de altas en cuerpos policiacos, consideró Guillermo Olivares Reyna, Secretario General del Gobierno del Estado de Hidalgo. Tras participar el pasado fin de semana en la entrega de vehículos y equipamiento para corporaciones de Seguridad Pública, Protección Civil, así como de Tránsito y Movilidad, señaló que “no está mal el tema de los salarios, pero se necesita fortalecer”. El funcionario estatal reconoció que durante mucho tiempo, incluso décadas, los elementos policiacos no contaron con capacitación, ni equipo, ni preparación y por tanto, sin sueldos dignos. Lo que incluso provocó que se registrara infiltración de grupos criminales en cuerpos policiacos, logrando que algunos elementos colaboraran con delincuentes para obtener ingresos económicos. Olivares Reyna aceptó que se deben mejorar las condiciones y prestaciones laborales, para aumentar las altas en las corporaciones de seguridad pública, tanto a nivel estatal como en los municipios. Señaló como ejemplo el aumento reciente en el monto de la cantidad en los vales para despensa, que pasó de 300 a mil pesos mensuales. Consideró que con ello, y otras acciones de mejora en las condiciones laborales para los integrantes de Seguridad Pública, Tránsito y Movilidad, así como de Protección Civil, se pueden atraer más personas para darse de alta en estas corporaciones. En contraparte, los integrantes de estas corporaciones deberán ser personas con perfiles profesionales, y estar dispuestos a la capacitación y profesionalización constante. Además, para ser confiables, deben contar con su respectivo Certificado Único Policial, requisito exigido por el Gobierno Federal.</t>
  </si>
  <si>
    <t>Salario policías</t>
  </si>
  <si>
    <t>Radioescucha Pérez López Adriana: Ayer viajé en la colectiva de la ruta Ramos Arizpe, Jorge Obispo- Central de la línea Antorcha Campesina, con número de placas 028-116G. A las 8:45 cuando pasamos por el Oxxo de la Peni todas sus ventanas están descompuestas, no abre así lleva operando aproximadamente cinco meses. ¿De qué privilegios gozan estos choferes para no ser supervisados por la Semot? Otras colectivas están muy viejas se les mete el humo del escape y tampoco la supervisan. Expongo mi queja con ustedes a ver si hacen caso las autoridades competentes, porque diario viajo por estas unidades hace tres años y en estas colectivas sus servicios se distinguen por su mala calidad.</t>
  </si>
  <si>
    <t>Vía telefónica informa que 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 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 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 comentan la importancia de participar en esta consulta para evitar que las zonas verdes se pierdan.</t>
  </si>
  <si>
    <t>Vecinos de la colonia Cuauhtémoc tienen el apoyo de la Caasim ya que ya van por casi tres semanas que nos les cae el agua.</t>
  </si>
  <si>
    <t>Todo apunta a que don Jorge Reyes, presidente municipal de Pachuca, no se va a reelegir, no va a buscar la relación. Así que aquellos que ya están haciendo sus encuestas, o que estaban en estos momentos elaborando sus encuestas en Facebook, pues no pongan a don Jorge Reyes como reelección. Todo apunta que don Jorge Reyes irá en pos de otros derroteros políticos.</t>
  </si>
  <si>
    <t>Reelección</t>
  </si>
  <si>
    <t>La Oficialía Mayor del Gobierno del Estado de Hidalgo comenzó ayer el curso de verano para los hijos de los trabajadores del Gobierno. Este curso, que es muy popular, se llenan los lugares antes de su inicio y ofrece cuatro semanas de diversas actividades. Los niños llegan a las ocho de la mañana y participan en actividades lúdicas, deportivas y artísticas durante todo el día. También reciben comida y sus padres los recogen al final de la tarde. Este es el cuarto año del curso, que incluye visitas a museos, zoológicos y actividades recreativas. Además, los niños reciben mochila, uniforme deportivo, pan, chamarra y traje de baño.</t>
  </si>
  <si>
    <t>Oficialía Mayor</t>
  </si>
  <si>
    <t>Gracias a toda la gente que nos escucha a través de la Red de Hidalgo Radio, todas las estaciones que están funcionando, por más que nos sabotean, por más que intentan, intentan que no funcionen, nosotros seguimos trabajando, seguimos produciendo más y más programas. Estoy muy orgulloso de mis compañeros en el 96.5 de Frecuencia Modulada "La voz del pueblo Hñahñú", tenemos cápsulas en Hñahñú, ya tenemos mayor programación y todo esto es gracias al talento y al trabajo de mis compañeras y compañeros allá en la radio. A pesar del acoso laboral, a pesar de la discriminación y a pesar de tantas y tantas situaciones todo el mundo en la radio estatal tiene bien puesto la camiseta y todo el mundo está trabajando lejos de las grillas, lejos de los desplantes, lejos de frivolidades y de cuestiones, yo diría histriónicas de representación, de puestas en escena y de interpretar papeles que ni al caso. Aquí todo el mundo está trabajando y nos sentimos muy orgullosos de poder servir a la población, a la comunidad hidalguense.</t>
  </si>
  <si>
    <t>El coordinador general jurídico del gobierno del estado, el señor Servet (sic), estuvo en el Poder Legislativo de nuestro estado, estuvieron reunidos ahí en el cuarto piso de la torre legislativa, no invitaron a todos los diputados, nada más estaban Andrés Velázquez Vázquez que es presidente de la junta legislativa y por ahí uno que otro diputados. ¿Qué es lo que trataron esta reunión, Pues como viene la reforma, la iniciativa, la reforma electoral, no invitaron a la prensa, fue un asunto muy cerrado, solamente puros amiguitos ¿No? Nosotros pues pudimos acercarnos al congreso y estuvimos conocimiento de este asunto que se está filtrando desde muchas oficinas del palacio de gobierno, lo quieren esconder tanto que lo filtran a todos los medios, pero bueno, ya está lista esta iniciativa de reforma electoral, la están cabildeando antes de presentarla. Están esperando que concluya el periodo binario de sesiones que ya en próximos días va a concluir. Los diputados lo van a revisar, pero los presidentes de los partidos ya se están manifestando, vamos a ver si esta iniciativa pasa tal como la presenten o se le hacen modificaciones, vamos a esperar también porque se habla de municipios exclusivos para candidaturas femeninas, eso es lo que dicen que plantea esta iniciativa de reforma electoral, lo mismo que también trae énfasis ahí en el tema de la reelección.</t>
  </si>
  <si>
    <t>Reforma Electoral</t>
  </si>
  <si>
    <t>Un numeroso grupo de habitantes de la comunidad Benito Juárez tomó la sala de cabildo de la Presidencia Municipal de Mixquiahuala. Exigían que Miguel Ángel Peña Flores, el alcalde, pues cumpla con las obras que comprometió para esa localidad. Dicen que los ha abandonado debido a que en el proceso electoral no fue favorecido con su voto, es decir que el alcalde no ganó en esa localidad y por lo tanto dicen ellos pues no los atiende, bueno, además solicitan la delimitación territorial con la comunidad de Hacienda Vieja. Los manifestantes amenazaron con rociar gasolina y prender fuego dentro de las instalaciones del Palacio Municipal si no eran recibidos, si no eran atendidos por la asamblea y bueno, el asunto se puso de verdad complicado, hubo momentos álgidos, por supuesto empujones, metas de madre, la cosa se puso fea, los vecinos de Benito Juárez se le fueron encima al alcalde y tuvo que ser implementado un operativo por parte de las autoridades de la policía municipal y del estado para evitar cualquier incidente mayor.</t>
  </si>
  <si>
    <t>Tenemos más de tres meses fuera del aire en el 1010 de Amplitud Modulada El Vocero Huasteco</t>
  </si>
  <si>
    <t>Hoy tenemos ruta de la transformación aquí en Chapulhuacán. Allá va está el Gobernador Julio Menchaca con toda la caravana de salud, con toda la caravana de servicios y por supuesto atendiendo, supervisando y por supuesto entregando recursos para la región. Hoy tenemos Rutas las Transformación allá en Cahpulhuacán. Es a medio día, el gobernador Julio Machaque Salazar encabezará las Rutas de la Transformación, eso se va a desarrollar en las canchas de uso de usos múltiples en la calle de Miguel Hidalgo sin número.</t>
  </si>
  <si>
    <t>Este día el gobernador del estado Julio Menchaca inició las rutas de la transformación para la reconstrucción en Pisa Flores y Chapulhuacán. Mañana continuará en Huautla y Xochatipan.</t>
  </si>
  <si>
    <t>Rutas de la Reconstrucción</t>
  </si>
  <si>
    <t>SSPH recupera vehículo robado en plaza comercial de Pachuca; aseguran a presunto responsable</t>
  </si>
  <si>
    <t>IHM impulsa estrategia “Niñas y adolescentes libres y seguras”</t>
  </si>
  <si>
    <t>Prevención De Embarazo Adolescente</t>
  </si>
  <si>
    <t>Rescate Animal</t>
  </si>
  <si>
    <t>ITESHU obtiene segundo lugar internacional en el Reto LABSAG 2026</t>
  </si>
  <si>
    <t>Vía telefónica la participación semanal de José Luis Lima señaló que el Congreso del Estado habrá de definir las reglas bajo las cuales los partidos políticos postularán Asus candidatas y candidatos a las presidencias municipales. Se trata de un tema que va mucho más allá de números o de cuotas. Hablamos de las reglas que darán certeza al proceso electoral y que permitirán a la ciudadanía conocer con claridad y oportunidad quiénes serán las mujeres y quiénes serán los hombres que competirán por el respaldo popular en los 84 municipios del estado. La paridad entre mujeres y hombres representa Una conquista democrática que ha permitido abrir espacios de participación y reconocer el talento, la capacidad y el liderazgo de miles de mujeres. Hoy nadie puede poner en duda que la igualdad de oportunidades debe seguir fortaleciéndose, pero precisamente por la importancia de este principio, las decisiones del Congreso deben tomarse. Con responsabilidad, con sensibilidad política y con una visión de largo plazo, no basta con cumplir una disposición legal. Es indispensable construir reglas claras, justas y aplicables que den certeza tanto a los partidos políticos como, sobre todo, a la ciudadanía. Como ciudadanos, esperamos que las y los diputados analicen cuidadosamente cada propuesta. Si la determinación es que 42 municipios sean postulados para mujeres y 42 para hombres, esa decisión debe surgir de un análisis serio, transparente y debidamente fundamental, siempre privilegiando el interés público y la fortaleza de nuestra democracia. Porque al final del día, quienes habremos de emitir el voto somos los ciudadanos y queremos hacerlo con reglas claras, con información suficiente y con la certeza de que nuestro sufragio será el que defina el rumbo de cada municipio. La democracia no se fortalece únicamente con leyes, se fortalece cuando esas leyes generan confianza, cuando las reglas son conocidas por todos, cuando existe piso parejo para competir y cuando el voto ciudadano sigue siendo el instrumento que decide quién gobierna. Hoy el Congreso tiene una gran responsabilidad, no solamente está legislando para un proceso electoral, está construyendo. Las condiciones para que la ciudadanía ejerza su derecho a elegir libremente a quienes consideren las mejores opciones, sean mujeres o sean hombres, porque la verdadera esencia de la democracia consiste precisamente en eso, garantizar igualdad de oportunidades para participar y al mismo tiempo respetar plenamente la voluntad popular expresada en las urnas. Esperemos que prevalezca el diálogo, la responsabilidad y la visión de Estado, que las decisiones se tomen pensando en Hidalgo, en sus municipios y en la confianza que los ciudadanos depositamos en nuestras instituciones. Al final, más allá de cualquier diferencia política, todos compartimos un mismo objetivo, que Hidalgo tenga procesos electorales transparentes, equitativos y, sobre todo, respetuosos de la voluntad de las y los hidalguenses.</t>
  </si>
  <si>
    <t>Candidaturas</t>
  </si>
  <si>
    <t>José Lios Lima</t>
  </si>
  <si>
    <t>Sobre el bulevar Colosio a la altura de la colonia Ferrocarril Central ,un motociclista impactó contra un objeto fijo dejándolo sin vida. Así lo informó la Secretaría de Seguridad.</t>
  </si>
  <si>
    <t>Aldo Falcón</t>
  </si>
  <si>
    <t>Certifican SSH y SEP 86 Escuelas Promotoras de la Salud en Hidalgo</t>
  </si>
  <si>
    <t>Escuelas promotoras de salud</t>
  </si>
  <si>
    <t>Durante encuentro nacional, Hidalgo presenta caso de éxito en investigación de responsabilidades administrativas</t>
  </si>
  <si>
    <t>Contraloría</t>
  </si>
  <si>
    <t>Hidalgo destaca a nivel nacional por el impulso al turismo comunitario</t>
  </si>
  <si>
    <t>El Ayuntamiento de Pachuca, a través de la Secretaría de Medio Ambiente y Desarrollo Sustentable, llevó a cabo el 6.º Taller Participativo “Resultados de Propuesta–Inicio de Consulta Pública”, como parte del proceso de modificación del Programa de Ordenamiento Ecológico Local Participativo de Pachuca de Soto. Durante la sesión, realizada en las instalaciones del Consejo Coordinador Empresarial, se presentó la propuesta del programa, construida con las aportaciones obtenidas en los talleres previos. Entre los principales avances se expusieron la definición y delimitación de las Unidades de Gestión Ambiental (UGAS), los usos de suelo fuera de los centros de población, así como los lineamientos ambientales, estrategias y criterios de regulación ecológica generales y específicos para cada sector. Con esta etapa también dio inicio la Consulta Pública Ciudadana, un ejercicio que busca fortalecer este instrumento mediante la participación de la población, organizaciones, instituciones y sectores productivos, permitiendo que expresen opiniones y propuestas para enriquecer el programa. comentan la importancia de participar en esta consulta para evitar que las zonas verdes se pierdan.</t>
  </si>
  <si>
    <t>En procedimiento abreviado, la Fiscalía General de la República (FGR), en su representación en el estado de Hidalgo, obtuvo sentencia de 10 años de prisión, en contra de Rodolfo “N”, Marco “N”, Roberto “N”, José “N”, Ricardo “N”, Miguel “N”, Jonathan “N”, Iván “N”, Víctor “N” y Alberto “N”, acusados de haber cometido el delito de posesión ilícita de hidrocarburo. La Fiscalía Especializada de Control Regional (FECOR) inició las indagatorias por los hechos ocurridos en la localidad Teocalco, municipio de Tlaxcoapan, donde elementos de la Secretaría de la Defensa Nacional (Defensa) en coordinación con Guardia Nacional, detuvieron a Rodolfo “N”, Marco “N”, Roberto “N”, José “N”, Ricardo “N”, Miguel “N”, Jonathan “N”, Iván “N”, Víctor “N” y Alberto “N” en posesión de 70 mil litros de hidrocarburo. En el operativo, las autoridades también aseguraron 208 metros de manguera de alta presión, 13 vehículos, dos armas de fuego, tres cargadores, 31 cartuchos y ocho celulares, mismos que junto con las 10 personas detenidas, fueron puestos a disposición de la FGR en la entidad.</t>
  </si>
  <si>
    <t>Un tráiler terminó volcado cuando su operador intentó cruzar la pesada unidad sobre un tramo carretero totalmente inundado, y por tanto, con suelo inestable. Los hechos se registraron en la carretera intermunicipal Metztitlán–Eloxochitlán, a la altura de la comunidad de Hualula. De acuerdo con los primeros reportes, el conductor intentó el cruce, pero el peso del vehículo hizo que se atascara en el fango y, debido a la fuerza de la corriente, terminara volcando sobre uno de sus costados. Al lugar arribaron cuerpos de emergencia y personal de Protección Civil municipal para brindar los primeros auxilios al chofer y coordinar las maniobras de rescate del camión, el cual sufrió severos daños materiales tras ser parcialmente sumergido por la creciente de la laguna en la zona. No se reportan personas lesionadas de gravedad, aunque la circulación en dicho tramo se vio afectada mientras se realizaban las labores de extracción con grúas de gran capacidad.</t>
  </si>
  <si>
    <t>Una persona privada de la libertad perdió la vida al interior del Centro de Reinserción Social (Cereso) de Ixmiquilpan, hecho que ya es investigado por las autoridades para esclarecer las circunstancias en las que ocurrió. El interno fue identificado como Luis Antonio T.T., de 33 años de edad. De acuerdo con los primeros reportes, presentó un incidente dentro de su celda, por lo que personal del penal solicitó el apoyo de los servicios de emergencia. Paramédicos de la Cruz Roja Mexicana, delegación Ixmiquilpan, acudieron al centro penitenciario para brindarle atención médica; sin embargo, tras valorarlo confirmaron que ya no contaba con signos vitales. Hasta el momento, las autoridades no han dado a conocer la causa oficial del fallecimiento ni si el deceso estuvo relacionado con algún padecimiento, accidente u otra circunstancia. Se espera que las investigaciones y los dictámenes periciales permitan establecer cómo ocurrieron los hechos y determinar las causas de la muerte del interno.</t>
  </si>
  <si>
    <t>En el marco de la Décima Octava Sesión Pública Ordinaria, el Ayuntamiento de Tulancingo aprobó destinar hasta 4 millones 750 mil pesos para la adquisición de cuatro drones con sus respectivos accesorios, con el propósito de fortalecer las labores del Centro de Atención en Seguridad, Videovigilancia Inteligente y Monitoreo Policial (CASVIMP). Asimismo, el órgano colegiado aprobó la primera modificación al Presupuesto de Egresos del Ejercicio Fiscal 2026, mediante la incorporación de 50 millones de pesos al presupuesto anual autorizado, que pasa de 585 millones de pesos a 635 millones de pesos. Del monto adicional aprobado, el 80 por ciento será destinado principalmente a obra pública, así como a la adquisición de camiones y vehículos para servicios municipales y seguridad pública. El 20 por ciento restante se aplicará a mantenimiento de infraestructura y equipamiento municipal. De igual forma, la modificación presupuestal contempla la reasignación de 9 millones de pesos, correspondientes a recursos remanentes de ejercicios fiscales anteriores, para destinarlos a inversiones en obra pública y equipamiento.</t>
  </si>
  <si>
    <t>Esta semana el Congreso del Estado de Hidalgo iniciará análisis para eventuales modificaciones legales que permitan que en la entidad operen servicios de plataformas digitales para transporte individual de pasajeros. La confirmación fue realizada por el diputado local Juan Pablo Escalante Urban, presidente de la Comisión de Movilidad y Transporte del Congreso local. Hace un par de semanas, el Gobernador Julio Menchaca Salazar declaró que de continuar el mal servicio y abusos por parte de operadores de servicio de transporte público de pasajeros, podrían realizarse modificaciones legales que permitan el ingreso de plataformas digitales para prestar dicho servicio. “Hoy la Ley no permite otras formas de transporte como existen otras entidades, pero eso no quiere decir que no pueda cambiar en un presente cercano si no se ponen las pilas”, expresó. Recordó que recientemente los transportistas obtuvieron un incremento en la tarifa luego de años sin ajustes, lo que debería traducirse en la mejora general del servicio. También recordó que fueron los propios concesionarios quienes asumieron el compromiso de mejorar la atención a los pasajeros. Señaló que el acuerdo fue establecido con la participación de la Secretaría de Gobierno y la Secretaría de Movilidad y Transporte. “Si se rompe el hilo de estar prestando un buen servicio y hay abusos, podrá haber posibilidades de modificar la ley”, enfatizó en ese momento el Gobernador de Hidalgo. Al respecto, el diputado Escalante Urban dijo que en el análisis se tomará en cuenta las opiniones tanto de los concesionarios de servicios de transporte de pasajeros, como de los usuarios. A partir de lo que se desprenda de las opiniones, se establecerá una ruta para una posible reforma a la Ley de Transporte del Estado de Hidalgo para el posible ingreso de los servicios de transporte de pasajeros en modalidad individual por medio de plataformas digitales.</t>
  </si>
  <si>
    <t>Apps de transporte</t>
  </si>
  <si>
    <t>Vía telefónica Ricardo Olvera Molina, director del Instituto Hidalguense de la Juventud (Injuve) invita a participar en la convocatoria del Premio Estatal de la Juventud 2026, la cual abrió esta semana y permanecerá abierta hasta el próximo 24 de julio del presente año. Este reconocimiento tiene como objetivo distinguir a las personas jóvenes cuya trayectoria, dedicación y aportaciones en diversos ámbitos sean ejemplo de superación, liderazgo y compromiso social con Hidalgo. La convocatoria está dirigida a personas jóvenes hidalguenses en dos categorías: A, de 12 a 17 años, y B, de 18 a 29 años, quienes podrán participar en alguna de las siguientes distinciones: Actividades académicas, científicas, tecnológicas y de innovación; Emprendimiento, Actividades culturales y artísticas, Participación social; Protección al ambiente y protección animal. También se reconocerá a postulantes en los rubros de Igualdad de género, Participación e inclusión de las personas con discapacidad, Participación e inclusión de las personas de la diversidad sexual, Protección a las culturas originarias y Aportación a la cultura política y la democracia. Para la presente edición se otorgarán 20 premios económicos de hasta 10 mil pesos cada uno, distribuidos entre ambas categorías, de acuerdo con la disponibilidad presupuestal. La recepción de solicitudes se realizará de manera digital del 14 al 24 de julio, a través de la plataforma https://juventud.hidalgo.gob.mx/Convocatorias</t>
  </si>
  <si>
    <t>Bienestar</t>
  </si>
  <si>
    <t>Premio Estatal De La Juventud</t>
  </si>
  <si>
    <t>Con inversión aproximada de tres millones de pesos, la Comisión de Agua y Alcantarillado Municipal de Tulancingo (Caamt), rehabilitó la planta tratadora de aguas residuales ubicada en la localidad de La Lagunilla. En recorrido realizado para dar a conocer los detalles de dichos trabajos, directivos del organismo operador señalaron que con la reactivación de la planta, además de cuidar el medio ambiente con el tratamiento de las aguas residuales, se hace un mejor aprovechamiento del vital líquido. Lo anterior debido a que, aunque el agua tratada no se reutiliza para consumo humano, sino para limpieza y saneamiento de espacios, se deja de usar agua potable para dichas labores. La planta ya rehabilitada, permite hacer tratamiento de hasta 200 mil litros de agua para su reuso, con una capacidad actual de dos litros por segundo que se pretende incrementar hasta seis litros por segundo. Se informó que la planta estuvo abandonada y sin uso por aproximadamente nueve años, por lo que con su rehabilitación se beneficia a aproximadamente unas 450 familias que viven en La Lagunilla; es decir, aproximadamente dos mil personas. En cuanto a la inversión en mantenimiento, se requieren aproximadamente diez mil pesos, lo que permite que su operación sea rentable operativa y socialmente por espacio de aproximadamente diez años. Actualmente, técnicos de la Caamt realizan evaluación de otras plantas tratadoras de aguas residuales para determinar si es viable sus respectivas rehabilitaciones, con objetivo de llevarlas a cabo.</t>
  </si>
  <si>
    <t>Infraestructura Hidráulica</t>
  </si>
  <si>
    <t>En cabina Karla Macías, boxeadora de Tulancingo habla sus inicios en el box y que ha sido convocada por la selección mexicana para ser una de las atletas que represente a nuestro país en un torneo internacional que tendrá como sede Alicante, España. Señala que se ha acercado a las autoridades municipales y estatales para pedir a poyo y hasta el momento no recibe respuesta para acudir a esta justa deportiva que será el 31 de agosto.</t>
  </si>
  <si>
    <t>Los fraudes bancarios en contra de los cuentahabientes hidalguenses aumentaron 20% entre el primer semestre de 2025 y el primer semestre de 2026; sin embargo, la probabilidad de recuperar el dinero solo le ocurre a cinco de cada 10 afectados. Así lo informó durante su visita a Hidalgo, Óscar Rosado Jiménez, presidente de la Comisión Nacional para la Protección y Defensa de los Usuarios de Servicios Financieros (Condusef), quien atribuyó dicho incremento al robo de datos personales mediante herramientas digitales, tendencia que no se limita a los adultos mayores, también entre los jóvenes. Quienes se dedican a esta actividad ilícita modificaron su forma de operar y ahora buscan que sean las víctimas quienes entreguen su información bancaria a través de enlaces falsos, mensajes de texto, códigos QR que simulan provenir de instituciones financieras. "Ya no te llaman para engañarte; ahora te envían mensajes para que seas tú quien les marque o le dé clic a un enlace falso", advirtió. Tan solo de enero a junio de este año, la Condusef inició mil 917 procedimientos por reclamaciones en Hidalgo, de las cuales, más de mil corresponden a posibles fraudes. Las restantes, a cargos no reconocidos y transferencias electrónicas no autorizadas. En comparación, durante el mismo periodo de 2025 se contabilizaron poco más de 800 asuntos relacionados con fraudes, lo que se traduce en el alza del 20 por cientos; no obstante, Rosado Jiménez mencionó que el fenómeno no es exclusivo de Hidalgo ya que el crecimiento porcentual es similar en todo el país. Los casos más complejos, explicó, son aquellos en los que el propio usuario proporciona claves, contraseñas o códigos de acceso porque eso dificulta que los bancos se hagan cargo. La recuperación a favor de los cuentahabientes en el primer semestre de este año fue de un millón 700 mil pesos.</t>
  </si>
  <si>
    <t>Fraude</t>
  </si>
  <si>
    <t>Reportes ciudadanos sobre presuntos montachoques han comenzado a multiplicarse en Hidalgo, principalmente en los municipios de Pachuca y Tulancingo, donde automovilistas han advertido sobre posibles intentos de extorsión mediante accidentes provocados o simulados. El caso más reciente se difundió en Pachuca, luego de que un taxista compartiera un audio en el que asegura haber sido víctima de un supuesto intento de extorsión sobre la carretera México-Pachuca, a la altura del complejo comercial Explanada. En el mensaje también alerta sobre varios vehículos que presuntamente estarían involucrados en este tipo de hechos; sin embargo, la información no ha sido confirmada por las autoridades. Semanas antes, en Tulancingo, también circularon denuncias de conductores que alertaban sobre la presencia de presuntos montachoques en distintos puntos de la ciudad. En aquella ocasión, los reportes difundidos en redes sociales y grupos de mensajería advertían sobre personas que presuntamente buscaban provocar percances para exigir dinero a las víctimas, aunque tampoco hubo una confirmación oficial de los hechos. Hasta el momento, las autoridades estatales y municipales no han informado sobre la existencia de una banda de montachoques operando en Hidalgo; no obstante, recomendaron a la población mantener la calma en caso de verse involucrada en un incidente vial, evitar entregar dinero o enfrentar a los presuntos responsables y solicitar el apoyo de la policía a través del 911. Ante el incremento de este tipo de reportes en plataformas digitales, las autoridades también exhortan a denunciar cualquier intento de extorsión ante el Ministerio Público, ya que las denuncias formales permiten investigar los hechos y determinar si existe un patrón delictivo en la entidad.</t>
  </si>
  <si>
    <t>Prevención de Extorsión</t>
  </si>
  <si>
    <t>La inversión para la rehabilitación en el Estado de Hidalgo de infraestructura pública, caminos, sistemas de agua, puentes y vialidades, entre otros, supera los 8 mil 115 millones de pesos de recursos públicos para este año. Lo anterior fue señalado por el Gobernador Julio Menchaca Salazar, durante el arranque en el municipio de Pisaflores de las Rutas de la Transformación para la Reconstrucción. Se trata de una estrategia que busca acompañar permanentemente a población de los 28 municipios afectados por la vaguada monzónica, evaluar los avances en las obras de las zonas dañadas y restablecer la conectividad de las comunidades. Menchaca Salazar recordó que las afectaciones alcanzaron a 236 comunidades, por lo que la administración estatal respondió con el respaldo del Gobierno Federal, el cual destinó 162 millones de pesos para la reconstrucción de caminos y puentes en Pisaflores, mismos que serán ejecutados a través del Centro SICT (Secretaría de Infraestructura, Comunicaciones y Transportes) en Hidalgo. Por parte del gobierno estatal, se destacó una inversión superior a los 130 millones de pesos que, de 2022 a la fecha, se ha destinado para fortalecer la conectividad y la movilidad con diversos proyectos. Por su parte, Alejandro Sánchez García, secretario de Infraestructura Pública y Desarrollo Urbano Sostenible, detalló que la reconstrucción de la carretera Ramal a Pisaflores, obra supervisada este día, requirió labores de extracción de derrumbes y la construcción de cuatro muros de mampostería y unos de concreto hidráulico. Finalmente, Silvestre García Márquez, presidente municipal de Pisaflores, consideró que la gira de trabajo del gobernador Julio Menchaca representa cercanía con la gente, lo que obliga a las autoridades municipales a seguir trabajando de la mano con la administración estatal por el bienestar de las y los hidalguenses. Como parte de la gira de trabajo, junto a Ricardo Gómez Moreno, secretario de Bienestar e Inclusión Social, el Gobernador Menchaca Salazar llevó a cabo la entrega regional de tarjetas de los programas Bienestar de Madres Trabajadoras, así como Apoyo para el Bienestar y el Desarrollo. Ello en beneficio de 694 personas de los municipios de Chapulhuacán y Pisaflores, gracias a una inversión superior a los 6.9 millones de pesos. En compañía de Napoleón González Pérez, secretario de Agricultura y Desarrollo Rural, el mandatario estatal entregó paquetes de equipamiento acuícola, semilla certificada de maíz, avena y jitomate, vientres porcinos y aves de doble propósito a 278 personas productoras, con una inversión superior a un millón 560 mil pesos. Por su parte, Juan Carlos Chávez González, director general de la Comisión Estatal de Agua y Alcantarillado, adelantó que se llevará a cabo la reconstrucción de 115 sistemas de agua que fueron afectados por las lluvias.</t>
  </si>
  <si>
    <t>La iniciativa de reforma al Código Electoral del Estado de Hidalgo será presentada este miércoles 22 de julio de 2026, ante el Pleno del Congreso local. La iniciativa busca modificar las reglas de postulación de candidaturas para los ayuntamientos rumbo al proceso electoral de 2027. Entre sus principales planteamientos destaca que los primeros 42 municipios del estado queden reservados exclusivamente para candidatas mujeres, mientras que los otros 42 sean de asignación libre para los partidos políticos. la propuesta responde al principio constitucional de igualdad sustantiva y busca fortalecer la paridad de género en los gobiernos municipales. Los otros 42 municipios quedarían bajo un esquema de asignación libre, donde cada partido decidirá si postula a un hombre o a una mujer.</t>
  </si>
  <si>
    <t>Habitantes de distintos desarrollos habitacionales localizados entre Pachuca, Mineral de la Reforma y Zempoala iniciaron el proceso para buscar la creación del municipio de Felipe Ángeles, una propuesta que ya fue presentada de manera formal ante el Congreso del Estado. Los ciudadanos argumentan que el crecimiento acelerado de la zona no ha sido acompañado por una adecuada prestación de servicios públicos, por lo que consideran que un nuevo municipio permitiría atender con mayor eficiencia problemas como el suministro de agua, el drenaje, el alumbrado, la pavimentación, la movilidad y las inundaciones. Durante la presentación de la iniciativa, la representante del Comité de los Fraccionamientos del Sur, Ana Lilia Vega Villa, señaló que durante casi una década los vecinos han buscado respuestas por parte de los gobiernos municipales, sin lograr soluciones de fondo a las necesidades de la región. De acuerdo con los promoventes, el territorio propuesto integra entre 15 y 20 fraccionamientos y concentra una población superior a los 30 mil electores, condiciones que, aseguran, cumplen con los requisitos para iniciar el procedimiento de creación de un nuevo municipio. Además de contar con un gobierno propio, los habitantes consideran que la propuesta permitiría una mejor planeación urbana, mayor capacidad para gestionar recursos públicos y evitar que continúe la autorización de desarrollos habitacionales sin la infraestructura necesaria para atender a la población. La solicitud quedó en manos del Congreso de Hidalgo, donde deberá analizarse su viabilidad jurídica, territorial y administrativa antes de determinar si continúa el proceso para que Felipe Ángeles se convierta en el municipio número 85 del estado.</t>
  </si>
  <si>
    <t>El municipio de Tulancingo encabeza la cantidad de casos de gusano barrenador en perros, dentro del Estado de Hidalgo, de acuerdo a datos del Servicio Nacional de Sanidad, Inocuidad y Calidad Agroalimentaria (Senasica) con corte al pasado 16 de julio. La información señala que en Tulancingo se han detectado doce casos reportados de gusano barrenador en canes, seguido por el municipio de Huautla, con once registros, mientras que Actopan, Ixmiquilpan y Tasquillo con nueve casos. También se ha registrado gusano barrenador en gatos, con 5 reportes: Huejutla con 2, así como Huejutla, Progreso y Tlahuiltepa con uno. Al cierre de mayo el estado reportó 94 casos de miasis en perros y 2 en gatos, mientras que al corte del 16 de julio, el registro subió a 222 casos acumulados en caninos y 5 en felinos; actualmente están activos 34 casos en perros. Destaca en las cifras que la incidencia de casos de gusano barrenador en perros en Hidalgo incrementó 136 por ciento durante mes y medio, al pasar de 94 a 222 reportes acumulados, de acuerdo a los datos del Senasica. El informe señala que en el Estado de Hidalgo se acumulan mil 58 casos de gusano barrenador reportados en 79 municipios, de los cuales 107 están activos en 37 demarcaciones. De los más de mil casos acumulados en Hidalgo, la Senasica dependiente de la Secretaría de Agricultura y Desarrollo Rural federal, precisó que 634 son en bovinos, es decir toros o vacas, 75 en puercos, 57 en borregos, 35 en caballos y 20 en cabras, por mencionar algunos. La miasis, que es la presencia del gusano barrenador, ocurre cuando las larvas de la mosca del gusano barrenador se alojan en una herida y se alimentan del tejido vivo del animal. Sin atención oportuna, la lesión puede extenderse y provocar complicaciones en la salud de perros, gatos, ganado y otras especies.</t>
  </si>
  <si>
    <t>Gusano barrenador</t>
  </si>
  <si>
    <t>Vía telefónica Milton cortés Informó habitantes de fraccionamientos del sur de la zona metropolitana de Pachuca propusieron que el eventual municipio 85 de Hidalgo lleve el nombre de Felipe Ángeles y solicitaron al Congreso iniciar el proceso legal para su creación. Esto, porque aseguran que Pachuca, Mineral de la Reforma y Zempoala han sido omisos en atender las necesidades de estos fraccionamientos, particularmente en materia de agua potable, drenaje, alumbrado público, recolección de residuos, mantenimiento de vialidades y espacios públicos. Andrés Torres opina que no es tan sencillo que se cree este nuevo municipio por todas situaciones que conlleva.</t>
  </si>
  <si>
    <t>El día de hoy el Citnova encabezado por Francisco Patillo tendrá una conferencia de prensa en el hotel Emily a las 8 de la mañana.</t>
  </si>
  <si>
    <t>Conferencia</t>
  </si>
  <si>
    <t>Julio Menchaca arranca las Rutas de la Reconstrucción en la Sierra Gorda hidalguense</t>
  </si>
  <si>
    <t>Atendemos municipios afectados por vaguada, sin dejar al resto del estado: JMS</t>
  </si>
  <si>
    <t>A las 12:30 del día de Hoy en el Congreso del Estado van a presentar la iniciativa para reformar la Le Electoral del Estado de Hidalgo con nuevas reglas de postulación para la renovación de los 84 ayuntamientos. La iniciativa plantea que 42 municipios sean de postulación exclusiva para mujeres, con el objetivo de alcanzar la paridad en las presidencias municipales. La propuesta divide a los municipios en dos bloques. El primero contempla que las demarcaciones cuyos nombres inicien con las letras de la A a la M deberán postular únicamente a mujeres. También se contempla la reelección y que que los 42 municipios restantes sean de postulación abierta, es decir, que los partidos políticos puedan registrar como candidatos tanto a hombres como a mujeres.</t>
  </si>
  <si>
    <t>Hoy tenemos Ruta de la Transformación para la Reconstrucción , hoy el gobernador estará en Huautla en un primer evento a las 10: 45 de la mañana. Horas más tarde encabezará la supervisión de obra del Puente Garcés en Xochiatipan.</t>
  </si>
  <si>
    <t>Radioescucha reporta falta de agua en la Alcantarilla</t>
  </si>
  <si>
    <t>Radioescucha reporta falta de agua en Ampliación del Palmar; llevamos más de una semana sin agua.</t>
  </si>
  <si>
    <t>Radioescucha reporta falta de agua en Pitayas 3.ª sección.</t>
  </si>
  <si>
    <t>Vía telefónica Ricardo Arrollo, secretario de Medio Ambiente y Desarrollo Sustentable del Ayuntamiento de Pachuca, informó que entre enero y julio de este año realizó 9 mil 285 acciones enfocadas en la atención veterinaria y la tenencia responsable de animales de compañía. Durante los primeros siete meses del año se efectuaron 2 mil 862 esterilizaciones, 5 mil 601 vacunas antirrábicas y 822 consultas veterinarias como parte de las jornadas permanentes del programa "Pachuca con Huellitas". Se visitaron ya varias colonias de Pachuca y la próxima visita será el 3 de agosto en la colonia de Cubitos, en donde se llevará servicio veterinario para las mascotas.</t>
  </si>
  <si>
    <t>Bienestar Animal</t>
  </si>
  <si>
    <t>En otra información, la coordinadora estatal del INEGI en Hidalgo, Laura Silva González Quintos, dio a conocer que en México el 86% de la población mayor de seis años utiliza internet, mientras que para el caso de Hidalgo alcanza un 85%. González Quintos dio a conocer las cifras en hogares de Hidalgo que cuentan con el servicio de internet. Escuche usted la cifra, le invito a que haga cuentas. En México, los mexicanos utilizamos internet día con día poco más de 10 horas. ¿Cuántas horas le invierte usted a estar pegado al teléfono celular? Mire, ya lo escuchó usted al final: "para desaburrirme un rato". El problema es que no es un rato, son cerca de 10 horas que invertimos para estar en el teléfono celular utilizando el internet. Un internet donde las plataformas que más usamos son Facebook, WhatsApp, TikTok y de ahí vamos viendo a Google como buscador y, en algunos casos específicos, aplicaciones para diseño o fotografía. Los adultos mayores también aumentaron el uso de internet en 10 años, no solamente las nuevas generaciones. Esto lo destacó la coordinadora estatal del INEGI AUDIO DE APOYO</t>
  </si>
  <si>
    <t>Tras conocer la declaraciónes de funcionarios de la Comisión Nacional del Agua y de la Secretaría del Medio Ambiente a nivel federal en torno a los trabajos que se llevan a cabo en la presa Endó. El movimiento social por la tierra a través de su dirigente Yuri Uribe hizo un llamado para que la titular de la Semarnat, Alicia Bárcenas, haga una visita a la presa. “Yo creo que las cuentas alegres que la secretaria Alicia Bárcenas tienen que ver con algo….. la Secretaría no conoce la presa, no conoce la región”. Considera que la presidenta de México no tiene datos precisos, ya que se debe atender la raíz del problema, que son las aguas negras de la Ciudad de México</t>
  </si>
  <si>
    <t>Control lirio acuático</t>
  </si>
  <si>
    <t>El Gobierno de México informó que el Plan Maestro para la recuperación de la Presa Endhó se desarrolla con un modelo de restauración ambiental basado en evidencia científica y monitoreo permanente. La Conagua explicó que se trata de una estrategia de gestión adaptativa similar a la aplicada en proyectos internacionales de recuperación ecológica, donde las acciones se ajustan de acuerdo con las condiciones del ecosistema.Entre los avances de este plan maestro destaca la extracción del lirio acuático, el control sanitario del mosquito, el seguimiento a la calidad del agua y el desarrollo de infraestructura para el saneamiento del río Tula, como colectores, humedales artificiales y la reconducción de aguas residuales hacia la planta de tratamiento de la CFE. El objetivo de este plan maestro es restaurar de manera integral la Presa Endhó y mejorar las condiciones ambientales de la región, sostuvo Mayela Godínez Alarcón, gerente de Planificación Hídrica de la Conagua. AUDIO DE APOYO</t>
  </si>
  <si>
    <t>Derechos Humanos Hidalgo abrió la convocatoria del voluntariado "Late con Orgullo" 2026, dirigido a personas interesadas en promover y defender los derechos humanos durante la Feria San Francisco Pachuca.</t>
  </si>
  <si>
    <t>CDHEH</t>
  </si>
  <si>
    <t>Convocatoria</t>
  </si>
  <si>
    <t>En el IMSS Hidalgo se concretó la tercera donación multiorgánica de 2026 en el Hospital General de Zona con Medicina Familiar No. 1 de Pachuca. Gracias a la generosidad de una mujer de 26 años, tres personas serán beneficiadas directamente con la donación de órganos, mientras que hasta 100 más podrán beneficiarse mediante la donación de tejidos.</t>
  </si>
  <si>
    <t>Radioescucha Sra. Hernández agradece al personal de Caasim por las atenciones en su reporte; ya arreglaron la fuga en Juan C. Doria.</t>
  </si>
  <si>
    <t>Sebiso refuerza apoyos en regiones afectadas por lluvia, AUDIO APOYO</t>
  </si>
  <si>
    <t>COMENTARIO LOCUTOR : Habrá que ver cuándo será la fecha de inauguración aquí en el de Tula. También está pendiente el del municipio de Actopan, hay que recordarlo; este hospital que en sexenios pasados estaba literalmente abandonado, lo retoma ya el gobierno federal a cargo de la presidenta Claudia Sheinbaum y se dijo que se iba a poner en marcha lo más pronto posible. Veremos cuándo será, ojalá que sea este segundo semestre del 2026 y si no, estaremos esperando noticias hasta el 2027.</t>
  </si>
  <si>
    <t>El Instituto Mexicano del Seguro Social informó que actualmente construye 21 hospitales en distintas entidades del país, de los cuales 10 serán inaugurados durante los próximos 10 meses como parte del programa de expansión de la infraestructura hospitalaria impulsado por el gobierno federal. Durante la conferencia matutina de la presidenta de México, Claudia Sheinbaum Pardo, el director general del IMSS, Zoé Robledo, explicó que el objetivo es ampliar la capacidad de atención en los estados. El funcionario recordó que el plan sexenal contempla 47 hospitales, de los cuales siete ya fueron concluidos y están en operación, mientras que otros 21 se encuentran en construcción, como el de Tula, Hidalgo. AUDIO DE APOYO</t>
  </si>
  <si>
    <t>La diputada Lizbeth Ordaz Islas confirmó que la iniciativa que presentará Morena este miércoles ante el pleno del Congreso, será para que los primeros 42 municipios en orden alfabético postulen exclusivamente a mujeres para el proceso electoral de 2027.La presidenta de la primera Comisión Permanente de Legislación y Puntos Constitucionales, detalló que este martes se registró la propuesta firmada por 15 de los 16 diputados de Morena, así como por legisladores del Partido del Trabajo (PT), Nueva Alianza Hidalgo (Panalh), el de la Revolución Democrática de Hidalgo (PRDH) y Verde Ecologista de México (PVEM); mientras que Acción Nacional (PAN) analiza su adhesión, AUDIO APOYO</t>
  </si>
  <si>
    <t>Iniciativa</t>
  </si>
  <si>
    <t>Radioescucha comenta: ¿A quién se le ocurrió la brillante idea de crear un nuevo municipio en la zona metropolitana de Pachuca? Se tienen cosas más importantes que solucionar en nuestra ciudad que hacer un nuevo municipio.</t>
  </si>
  <si>
    <t>Neurodiversidad</t>
  </si>
  <si>
    <t>Habitantes y usuarios de la carretera Tlaxcoapan-Tetepango- hicieron un llamado a las autoridades estatales para agilizar la conclusión del puente del canal, cuya obra aseguran lleva más de ocho meses sin terminar, lo habitantes piden apoyo del Gobernador Julio Menchaca, de la secretaria de turismo Liz Quintanar, y de todas las autoridades para que apoyen a gestionar a través de sus intancias con la Conagua, quienes son los encargados el puente de la carretera, ya que esto les esta afectando a todos los que se dedican al turismo.</t>
  </si>
  <si>
    <t>Obra inconclusa</t>
  </si>
  <si>
    <t>Vía telefónica Ricardo Olvera Molina, director del Instituto Hidalguense de la Juventud (Injuve) invita a participar en la convocatoria del Premio Estatal de la Juventud 2026, la cual abrió esta semana y permanecerá abierta hasta el próximo 24 de julio del presente año. Este reconocimiento tiene como objetivo distinguir a las personas jóvenes cuya trayectoria, dedicación y aportaciones en diversos ámbitos sean ejemplo de superación, liderazgo y compromiso social con Hidalgo. La convocatoria está dirigida a personas jóvenes hidalguenses en dos categorías: A, de 12 a 17 años, y B, de 18 a 29 años, quienes podrán participar en alguna de las siguientes distinciones: Actividades académicas, científicas, tecnológicas y de innovación; Emprendimiento, Actividades culturales y artísticas, Participación social; Protección al ambiente y protección animal</t>
  </si>
  <si>
    <t>Canal 12 Huejutla</t>
  </si>
  <si>
    <t>Contacto Informativo M</t>
  </si>
  <si>
    <t>Vía telefónica Ricardo Olvera Molina, director general del Inhjuve - Habló sobre el Premio Estatal de la Juventud</t>
  </si>
  <si>
    <t>Jackeline Vázquez</t>
  </si>
  <si>
    <t>Miled 97.1 FM</t>
  </si>
  <si>
    <t>Línea en Alta Tensión</t>
  </si>
  <si>
    <t>María Antonieta Islas</t>
  </si>
  <si>
    <t>Entrevista grabada Dra. Claudia Isabel Santiago Prado, Directora de Salud Pública Municipal de Tepeji del Río, al programa Enfoque Regional, abordó las acciones de prevención, salud y logística coordinadas para recibir el paso de la tradicional peregrinación a pie de Querétaro al Tepeyac.Durante la emisión, la funcionaria detalló que para los días 23 y 24 de julio se proyecta la llegada de aproximadamente 63,000 feligreses al municipio —35,000 hombres y 28,000 mujeres—. Para atender este importante flujo de personas, el Ayuntamiento implementó una estrategia preventiva multidisciplinaria que involucra a las áreas de Seguridad Pública, Protección Civil, Reglamentos y la Secretaría de Salud del Estado de Hidalgo, enfocándose en evitar brotes de enfermedades diarreicas y respiratorias, así como en resguardar el bienestar general de los caminantes y de la población local.</t>
  </si>
  <si>
    <t>Prevención De Enfermedades</t>
  </si>
  <si>
    <t>La directora de Salud en Tula Ferananda Sanchez explico las cusas de la "diarrea explosiva" (ciclosporiasis), AUDIO APOYO</t>
  </si>
  <si>
    <t>Vía telefónica Dra. Claudia Isabel Santiago Prado, Directora de Salud Pública Municipal de Tepeji del Río, al programa Enfoque Regional, abordó las acciones de prevención, salud y logística coordinadas para recibir el paso de la tradicional peregrinación a pie de Querétaro al Tepeyac.Durante la emisión, la funcionaria detalló que para los días 23 y 24 de julio se proyecta la llegada de aproximadamente 63,000 feligreses al municipio —35,000 hombres y 28,000 mujeres—. Para atender este importante flujo de personas, el Ayuntamiento implementó una estrategia preventiva multidisciplinaria que involucra a las áreas de Seguridad Pública, Protección Civil, Reglamentos y la Secretaría de Salud del Estado de Hidalgo, enfocándose en evitar brotes de enfermedades diarreicas y respiratorias, así como en resguardar el bienestar general de los caminantes y de la población local.Como parte del operativo sanitario, la doctora Santiago Prado confirmó la instalación de módulos de atención médica destinados a atender casos de insolación, deshidratación, golpes de calor, accidentes, padecimientos crónico-degenerativos y el monitoreo preventivo de sarampión. Asimismo, en materia de comercio de alimentos, el área de Reglamentos y Sanidad instruyó a vendedores y voluntarios a repartir únicamente platillos calientes y cocidos, prohibiendo la venta de aguas frescas, frutas y verduras crudas para mitigar riesgos infecciosos.Finalmente, la Directora de Salud Pública expuso la dinámica del contingente, el cual ingresa por la comunidad de Ojo de Agua a temprana hora —encabezado en primera instancia por el grupo de mujeres—, realiza una parada de descanso y actos religiosos en Los Nidos y concluye la jornada en la cabecera municipal de Tepeji. Ahí, los romeros pernoctan y reponen fuerzas antes de reanudar la marcha de madrugada con dirección al Estado de México.</t>
  </si>
  <si>
    <t>El Congreso del Estado de Hidalgo aprobó una reforma al Código Penal para tipificar como delito las llamadas terapias de conversión, por lo que quienes las realicen, promuevan, financien o impongan podrán enfrentar penas de uno a tres años de prisión, además de multas de entre 150 y 300 días.La modificación incorpora el Título Décimo Tercero Bis, denominado Delitos contra el Libre Desarrollo de la Personalidad, y crea el artículo 276 Bis, mediante el cual se sancionan las prácticas orientadas a modificar, reprimir o cambiar la orientación sexoafectiva, la identidad o la expresión de género de una persona mediante cualquier forma de violencia.</t>
  </si>
  <si>
    <t>Reforma De Ley</t>
  </si>
  <si>
    <t>COMENTARIO LOCUTOR : Esta medida seguramente se aplicará en el inicio del curso escolar 2026-2027. Ojo, nada más es el uso en las aulas; seguramente sus hijos podrán portar su teléfono celular y saliendo de la escuela lo podrán encender y utilizarlo con normalidad, porque también entendemos que los padres de familia dan esta facilidad a sus hijos para saber dónde están y poder localizarlos como una medida de seguridad. Será un tema que se tendrá que hablar con directivos, administrativos y autoridades de educación pública para que se cumpla el objetivo de que los alumnos no tengan más distracciones y puedan enfocarse en su educación. Veremos cómo se toma esta decisión por parte de los padres de familia.</t>
  </si>
  <si>
    <t>Regulación de dispositivos digitales</t>
  </si>
  <si>
    <t>La presidenta de México, Claudia Sheinbaum, informó que Hidalgo ya forma parte de las 16 entidades que registraron y ven este problema, y por eso se restringe el uso de teléfonos celulares en escuelas primarias como parte de una estrategia para promover el uso responsable de la tecnología entre niñas y niños. Ya se sumaron a esta estrategia dentro de estas 16 entidades la Ciudad de México y el Estado de México. Ahora también en Hidalgo se va a restringir el uso de celulares en las aulas, en las escuelas. Durante su conferencia matutina en Palacio Nacional, la mandataria explicó que la medida busca disminuir los riesgos asociados al uso excesivo de dispositivos electrónicos y fortalecer la convivencia escolar. AUDIO DE APOYO</t>
  </si>
  <si>
    <t>Gobierno estatal y federal fortalecen trabajo conjunto para apoyar a familias afectadas por la vaguada monzónica, AUDIO APOYO</t>
  </si>
  <si>
    <t>Un árbitro de fútbol resultó lesionado tras verse involucrado en una riña durante un partido en la ciudad de San Antonio en San Salvador, de acuerdo con un vídeo difundido en redes sociales</t>
  </si>
  <si>
    <t>riña</t>
  </si>
  <si>
    <t>Julio Menchaca arranca las Rutas de la Reconstrucción en la Sierra Gorda hidalguense. (AUDIO JMS).</t>
  </si>
  <si>
    <t>Atendemos municipios afectados por vaguada, sin dejar al resto del estado: JMS. (AUDIO JMS).</t>
  </si>
  <si>
    <t>El gobernador de Hidalgo, Julio Menchaca Salazar, informó que hoy estará en la Huasteca para continuar con estas rutas de la reconstrucción. AUDIO APOYO ENTREVISTA.</t>
  </si>
  <si>
    <t>El gobernador Julio Menchaca encabezó las Rutas de la Transformación en Chapulhuacán, donde anunció acciones para la reconstrucción tras las afectaciones por la vaguada monzónica de octubre de 2025. Informó que este año se ejercerán más de 8 mil 115 millones de pesos en coordinación con la Federación para recuperar infraestructura dañada en Hidalgo. Además, se entregaron apoyos sociales y agropecuarios a familias de Chapulhuacán y Pisaflores, mientras que la Secretaría de Infraestructura confirmó nuevas obras como el acceso al CECyTE y la construcción del Sistema Integral de Agua Potable. También se anunció la reconstrucción de 115 sistemas de agua afectados por las lluvias y la entrega de más de 2,000 despensas para la población.En estas mismas rutas, desde Pisaflores, el gobernador Julio Menchaca puso en marcha la reconstrucción y la estrategia para supervisar y acelerar la recuperación de los 28 municipios afectados por la vaguada monzónica. Informó que este año se invertirán más de 8 mil 115 millones de pesos en caminos, puentes y sistemas de agua; además, anunció la rehabilitación de la carretera Chapulhuacán-Pisaflores con una inversión superior a 45 millones de pesos y obras de agua potable y saneamiento. Destacó que, con el apoyo del Gobierno de México, también se destinan 162 millones de pesos para reconstruir caminos y puentes en ese municipio. AUDIO DE APOYO</t>
  </si>
  <si>
    <t>Más de 25 años de prisión para huachicoleros en Hidalgo. Se dictó sentencia condenatoria en contra de 11 personas que fueron detenidas cuando sustraían gasolina y diésel de un ducto en el municipio de Tlaxcoapan. Con las pruebas presentadas por la Fiscalía Especializada en Materia de Delincuencia Organizada, José N. recibió una sentencia de 29 años y 6 meses de prisión por los delitos de sustracción ilícita de petrolífero de ducto, contra la salud y posesión de arma de fuego. Además, en la audiencia de individualización de sanciones, el juez le impuso el pago de $2,220,678 pesos.De estos 11, a Alejandro, Ángel, Saúl, Fidel, Gerardo, Isaac, Agustín, Jesús y Cristian N., por los delitos de sustracción ilícita de petrolífero de ducto y contra la salud, les fueron impuestas una pena de 25 años y 6 meses de prisión, así como el pago de $2,208,947 pesos. Hay que recordar que estos 11 detenidos, ahora sentenciados, fueron asegurados en marzo de 2023 por personal de la Procuraduría General de Justicia del Estado de Hidalgo durante un cateo en un inmueble en Tlaxcoapan.</t>
  </si>
  <si>
    <t>IHE lleva atención educativa a mil 727 niñas, niños y adolescentes hospitalizados</t>
  </si>
  <si>
    <t>Sigapren</t>
  </si>
  <si>
    <t>– Radioescucha Sr. Fidel reporta un gran bache en Aplicación Santa Julia.</t>
  </si>
  <si>
    <t>La Comisión Nacional de Vivienda (Conavi) reactivó el registro de Vivienda para el Bienestar 2026, un programa del Gobierno de México que busca facilitar el acceso a una vivienda para familias con bajos ingresos mediante esquemas de pago accesibles. Para esta nueva etapa, que corre del 20 de julio al 2 de agosto, la Conavi instalará módulos de atención en municipios prioritarios de 26 estados del país, donde también se desarrollarán los nuevos proyectos habitacionales. Si estás interesado en participar, estos son los requisitos y el proceso para registrarte.</t>
  </si>
  <si>
    <t>Una propuesta de reforma electoral que analiza el Congreso local plantea un mecanismo inédito: dividir los 84 ayuntamientos del estado por orden alfabético para garantizar que las mujeres tengan asegurado el acceso a la mitad de las alcaldías en la elección de 2027. La fórmula es directa: los municipios cuyo nombre inicia con alguna letra entre la “A” y la “M” serían reservados para candidatas mujeres, mientras que los ubicados de la “N” a la “Z” quedarían abiertos para que los partidos políticos definan libremente si postulan hombres o mujeres. Se trataría de la primera reforma electoral en considerar una "paridad alfabética".</t>
  </si>
  <si>
    <t>Habitantes de diversas localidades del municipio de Tasquillo manifestaron su molestia debido a la suspensión en el servicio de recolección de basura, luego de que el camión recolector cumpliera más de diez días descompuesto, lo que ha generado la acumulación de residuos en los hogares. Vecinos de la demarcación señalaron que la falta de recolección representa un riesgo sanitario al mantenerse los desechos almacenados en las viviendas. Ante la falta de una solución inmediata, algunos ciudadanos han intentado trasladar por cuenta propia la basura al sitio de disposición final para evitar mayores afectaciones en sus calles. Por su parte, la delegación de Calvario Bajo emitió un comunicado oficial en el que solicitó a los pobladores no sacar sus bolsas de basura este miércoles, debido a que la unidad municipal continúa fuera de servicio y sin poder realizar el recorrido habitual por las comunidades. La ciudadanía hizo un llamado enérgico a las autoridades municipales para agilizar la reparación de la unidad o implementar un operativo emergente, señalando que la falta de este servicio básico vulnera las condiciones de salubridad en la demarcación.</t>
  </si>
  <si>
    <t>Recolección De Basura</t>
  </si>
  <si>
    <t>Pese a que el ayuntamiento de Cardonal suspendió la comparecencia del secretario municipal, Erik Callejas Deszha, asegurando que únicamente se pospondría la sesión de asamblea que había sido programada para el pasado 10 de julio debido al supuesto contagio de COVID-19 de la alcaldesa Karla Hernández Cerroblanco, la convocatoria para la próxima sesión ordinaria, programada para el 30 de julio, no contempla este punto, dejando nuevamente sin respuesta la exigencia de los regidores. La regidora Lucero Ambrosio Cruz resaltó la ausencia del tema en el orden del día, situación que genera incertidumbre sobre cuándo el funcionario municipal rendirá cuentas ante el cabildo, luego de que la mayoría de los regidores aprobara llamarlo a comparecencia para que informe sobre asuntos relacionados con su desempeño. La comparecencia fue solicitada en el pasado mes de junio, después de que regidores de oposición señalaran que, pese a haber requerido en diversas ocasiones información correspondiente a la Secretaría Municipal, esta no les había sido entregada. Además, Erik Callejas Deszha enfrenta cuestionamientos por su presunta participación en un intento de desalojo ocurrido en el municipio de Ixmiquilpan, un asunto que provocó polémica debido a que se desarrolló fuera de la jurisdicción del gobierno de Cardonal. En la sesión anterior, la comparecencia quedó suspendida luego de que la presidenta municipal informara que había contraído COVID-19, por lo que se aseguró que el asunto sería retomado en una sesión posterior. Hasta el momento, el gobierno municipal no ha informado cuándo se llevará a cabo la comparecencia o las razones por las que fue excluida del orden del día.</t>
  </si>
  <si>
    <t>Comparecencias</t>
  </si>
  <si>
    <t>En sesión ordinaria, diputadas y diputados integrantes de la LXVI Legislatura avalaron con 27 votos a favor, cero en contra y cero abstenciones, el dictamen que emite resolutivo respecto a las iniciativas que reforman el Código Penal para el Estado de Hidalgo, emitido por la primera Comisión Permanente de Seguridad Ciudadana y Justicia. La legisladora Mónica Leanett Reyes Martínez (Nueva Alianza), una de las y los promoventes del dictamen, indicó que las iniciativas abordan temas como cobranza extrajudicial ilegal, uso indebido de aeronaves pilotadas a distancia, discriminación, protección de personas y grupos de atención prioritaria, delitos contra la orientación sexoafectiva o la identidad de género de las personas, la creación de una agravante al delito de daño en la propiedad por conducir bajo los efectos de alcohol o cualquier otra sustancia, delitos cometidos contra servidores públicos, abuso sexual, cohabitación forzada, acoso sexual y acecho, abuso sexual cometido contra personas con discapacidad y armonización del delito de abuso sexual, entre otros.</t>
  </si>
  <si>
    <t>En sesión ordinaria, diputadas y diputados integrantes de la LXVI Legislatura avalaron con 28 votos a favor, cero en contra y cero abstenciones, el dictamen que aprueba con modificaciones la iniciativa que reforma la Ley Orgánica Municipal para el Estado de Hidalgo, en materia de Certificado Único Policial, emitido por la primera Comisión Permanente de Legislación y Puntos Constitucionales. La legisladora Orquídea Larragoiti Osorio (PT), promovente del dictamen, recordó que el objetivo es garantizar que los servidores públicos que se desempeñen funciones como Policía Preventiva y Tránsito cuenten con Certificado Único Policial y lo mantengan actualizado.</t>
  </si>
  <si>
    <t>Musicampus 2026 fortalece la formación orquestal en 10 municipios de Hidalgo</t>
  </si>
  <si>
    <t>Cultura</t>
  </si>
  <si>
    <t>Formación artística</t>
  </si>
  <si>
    <t>Entrevista vía telefónica Ricardo Olvera Molina, director del Instituto Hidalguense de la Juventud - Habló sobre la convocatoria para el Premio Estatal de la Juventud dirigido a jóvenes de entre 12 y 29 años, dicho reconocimiento es entregado por el gobernador Julio Menchaca acompañado por un incentivo económico, cabe destacar que dicho galardón tiene como objetivo reconocer el talento, esfuerzo, trayectoria e impacto social de las y los jóvenes en el estado de Hidalgo. La convocatoria estará a abierta hasta el 24 de julio para los 84 municipios.</t>
  </si>
  <si>
    <t>El delegado de Programas para el Bienestar en Hidalgo, Abraham Mendoza Zenteno dio a conocer que la convocatoria del programa Vivienda para el Bienestar permanecerá abierta del 20 de julio al 2 de agosto, con módulos de registro en Actopan, Mixquiahuala de Juárez, Huautla, Zapotlán de Juárez y Zempoala, donde las personas interesadas deberán presentar la documentación requerida para realizar su trámite.</t>
  </si>
  <si>
    <t>El delegado de Programas para el Bienestar en Hidalgo, Abraham Mendoza Zenteno, informó que el pago de las Pensiones y Programas de Bienestar correspondiente al bimestre julio-agosto continuará hasta el 29 de julio, en beneficio de personas adultas mayores, mujeres de 60 a 64 años, personas con discapacidad y madres trabajadoras. El funcionario destacó que estos apoyos están garantizados gracias al manejo responsable del presupuesto público y recordó que los depósitos se realizan de acuerdo con la letra inicial del primer apellido de las y los beneficiarios, por lo que recomendó acudir únicamente en la fecha que corresponda según el calendario oficial. Asimismo, señaló que los recursos se entregan de manera directa a través de la Tarjeta Bienestar, sin intermediarios, y pueden retirarse en cajeros automáticos, ventanillas del Banco del Bienestar o utilizarse para compras en establecimientos con terminal bancaria.</t>
  </si>
  <si>
    <t>Programas Del Bienestar</t>
  </si>
  <si>
    <t>La Dirección General de Seguridad Pública de Cuautepec de Hinojosa, en coordinación con el Centro Estatal de Prevención Social de la Violencia, la Delincuencia y la Participación Ciudadana, llevó a cabo una jornada de proximidad social en la explanada del jardín “Felipe Ángeles”, donde brindó información preventiva a la población para fortalecer la cultura de la denuncia y reducir los riesgos de ser víctima de diversos delitos. Durante la actividad, personal especializado orientó a las y los ciudadanos sobre medidas para prevenir la extorsión telefónica, los fraudes en línea y el robo a casa habitación, además de entregar trípticos con recomendaciones de autoprotección y datos útiles para actuar ante este tipo de situaciones. Asimismo, las y los oficiales promovieron el uso responsable de las líneas 911 para emergencias y 089 para denuncias anónimas, resaltando la importancia de la participación ciudadana como un elemento fundamental para la prevención del delito. Como resultado de esta jornada, fueron atendidas 138 personas, reafirmando el trabajo coordinado entre el Gobierno del Estado y la administración que preside Jorge Hernández Araus en Cuautepec.</t>
  </si>
  <si>
    <t>Prevención del delito</t>
  </si>
  <si>
    <t>El Ayuntamiento de Pachuca informó que, de enero a julio de este año, se brindaron más de nueve mil atenciones veterinarias gratuitas en distintas colonias del municipio. Esta iniciativa busca promover la tenencia responsable de animales de compañía y controlar la sobrepoblación de mascotas en la capital hidalguense. La estrategia forma parte de las políticas de salud pública impulsadas por la administración actual. Estas labores dan continuidad a los esfuerzos permanentes por reducir los riesgos sanitarios en las comunidades locales. Durante los primeros siete meses del año, la Secretaría de Medio Ambiente de Pachuca coordinó brigadas médicas enfocadas en la prevención de enfermedades zoonóticas. Los servicios llegaron a zonas prioritarias del municipio para facilitar el acceso a familias que no cuentan con atención médica veterinaria privada.</t>
  </si>
  <si>
    <t>Entrevista en cabina Pedro Porras Pérez, director general del Instituto Hidalguense de Educación para Adultos - Habló sobre la segunda jornada estatal de incorporación y acreditación que se realizarán en los 84 municipios del 31 de julio al 2 de agosto. Dicha jornada, dijo, está enfocada en personas mayores de 15 años que deseen aprender a leer y escribir o concluir su primaria y secundaria, dicha estrategia busca combatir el rezago educativo ofreciendo atención gratuita y flexible.</t>
  </si>
  <si>
    <t>Alfabetización</t>
  </si>
  <si>
    <t>Con 27 votos a favor, cero en contra y cero abstenciones, diputados del Congreso de Hidalgo avalaron el dictamen que emite el resolutivo respecto a las iniciativas que reforman el Código Penal para el Estado de Hidalgo emitido por la primera comisión permanente de Seguridad Ciudadana y Justicia. La legisladora Mónica Reyes Martínez de Nueva Alianza una de las promoventes del dictamen, indicó, que las iniciativas abordan temas como cobranza extrajudicial y legal, uso indebido de aeronaves piloteadas a distancia, discriminación, protección de personas y grupos de atención prioritaria, delitos contra la orientación sexoafectiva o la identidad de género de las personas, la creación del agravante al delito de daño en propiedad por conducir bajos los efectos del alcohol o cualquier otra sustancia, delitos cometidos contra servidores públicos, abuso sexual, cohabitación forzada, acoso sexual y asecho, abuso sexual cometido contra personas con discapacidad y armonización del delito de abuso sexual entre otros temas relevantes que se reforman.</t>
  </si>
  <si>
    <t>Para la sesión ordinaria 204 del Congreso del Estado se tiene previsto como primer tema la iniciativa con proyecto de decreto por el que se reforman y adicionan diversas disposiciones del Código Electoral de Hidalgo en materia de Integración y Paridad de Género de los Ayuntamientos, un tema fundamental en el proceso que estará viviendo el Estado de Hidalgo y otras entidades del país. Esta iniciativa estará siendo presentada por 24 diputados, incluido el propio presidente de la Junta de Gobierno, el diputado Andrés Velázquez Vázquez.</t>
  </si>
  <si>
    <t>Juan Carlos Santamaría informó que, para este día, continuará la gira de trabajo del gobernador, por las zonas afectadas por las lluvias de octubre pasado y entrega de apoyos en el municipio de Huautla y Xochiatipan.</t>
  </si>
  <si>
    <t>Habitantes de 17 a 20 fraccionamientos al sur de la zona metropolitana solicitaron formalmente al Congreso del Estado la creación del municipio número 85 de Hidalgo, tentativamente llamado "Felipe Ángeles". El objetivo es independizarse de Pachuca, Mineral de la Reforma y Zempoala debido al abandono institucional y la falta de servicios básicos.</t>
  </si>
  <si>
    <t>SSPH acerca Ciudad Policía a estudiantes de Tlanchinol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</si>
</sst>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06" tableType="queryTable" totalsRowShown="0">
  <autoFilter ref="A1:M206"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06"/>
  <sheetViews>
    <sheetView tabSelected="1" workbookViewId="0">
      <selection activeCell="B1" sqref="B1"/>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46224</v>
      </c>
      <c r="B2" s="1" t="str">
        <f ca="1">IF(Información1[[#This Row],[Fecha]]='Ajuste de fechas'!$A$2,"Día actual","Día anterior")</f>
        <v>Día anterior</v>
      </c>
      <c r="C2" t="s">
        <v>28</v>
      </c>
      <c r="D2" t="s">
        <v>66</v>
      </c>
      <c r="E2" t="s">
        <v>110</v>
      </c>
      <c r="F2" t="s">
        <v>31</v>
      </c>
      <c r="G2" t="s">
        <v>108</v>
      </c>
      <c r="H2" t="s">
        <v>11</v>
      </c>
      <c r="I2" t="s">
        <v>7</v>
      </c>
      <c r="J2" t="s">
        <v>39</v>
      </c>
      <c r="K2" t="s">
        <v>67</v>
      </c>
      <c r="L2" t="s">
        <v>40</v>
      </c>
      <c r="M2">
        <v>1</v>
      </c>
    </row>
    <row r="3" spans="1:13" x14ac:dyDescent="0.25">
      <c r="A3" s="2">
        <v>46224</v>
      </c>
      <c r="B3" s="1" t="str">
        <f ca="1">IF(Información1[[#This Row],[Fecha]]='Ajuste de fechas'!$A$2,"Día actual","Día anterior")</f>
        <v>Día anterior</v>
      </c>
      <c r="C3" t="s">
        <v>28</v>
      </c>
      <c r="D3" t="s">
        <v>66</v>
      </c>
      <c r="E3" t="s">
        <v>111</v>
      </c>
      <c r="F3" t="s">
        <v>26</v>
      </c>
      <c r="G3" t="s">
        <v>91</v>
      </c>
      <c r="H3" t="s">
        <v>11</v>
      </c>
      <c r="I3" t="s">
        <v>7</v>
      </c>
      <c r="J3" t="s">
        <v>39</v>
      </c>
      <c r="K3" t="s">
        <v>67</v>
      </c>
      <c r="L3" t="s">
        <v>42</v>
      </c>
      <c r="M3">
        <v>1</v>
      </c>
    </row>
    <row r="4" spans="1:13" x14ac:dyDescent="0.25">
      <c r="A4" s="2">
        <v>46224</v>
      </c>
      <c r="B4" s="1" t="str">
        <f ca="1">IF(Información1[[#This Row],[Fecha]]='Ajuste de fechas'!$A$2,"Día actual","Día anterior")</f>
        <v>Día anterior</v>
      </c>
      <c r="C4" t="s">
        <v>112</v>
      </c>
      <c r="D4" t="s">
        <v>113</v>
      </c>
      <c r="E4" t="s">
        <v>114</v>
      </c>
      <c r="F4" t="s">
        <v>31</v>
      </c>
      <c r="G4" t="s">
        <v>115</v>
      </c>
      <c r="H4" t="s">
        <v>11</v>
      </c>
      <c r="I4" t="s">
        <v>7</v>
      </c>
      <c r="J4" t="s">
        <v>39</v>
      </c>
      <c r="K4" t="s">
        <v>116</v>
      </c>
      <c r="L4" t="s">
        <v>42</v>
      </c>
      <c r="M4">
        <v>1</v>
      </c>
    </row>
    <row r="5" spans="1:13" x14ac:dyDescent="0.25">
      <c r="A5" s="2">
        <v>46224</v>
      </c>
      <c r="B5" s="1" t="str">
        <f ca="1">IF(Información1[[#This Row],[Fecha]]='Ajuste de fechas'!$A$2,"Día actual","Día anterior")</f>
        <v>Día anterior</v>
      </c>
      <c r="C5" t="s">
        <v>77</v>
      </c>
      <c r="D5" t="s">
        <v>78</v>
      </c>
      <c r="E5" t="s">
        <v>117</v>
      </c>
      <c r="F5" t="s">
        <v>68</v>
      </c>
      <c r="G5" t="s">
        <v>69</v>
      </c>
      <c r="H5" t="s">
        <v>11</v>
      </c>
      <c r="I5" t="s">
        <v>7</v>
      </c>
      <c r="J5" t="s">
        <v>39</v>
      </c>
      <c r="K5" t="s">
        <v>79</v>
      </c>
      <c r="L5" t="s">
        <v>42</v>
      </c>
      <c r="M5">
        <v>1</v>
      </c>
    </row>
    <row r="6" spans="1:13" x14ac:dyDescent="0.25">
      <c r="A6" s="2">
        <v>46224</v>
      </c>
      <c r="B6" s="1" t="str">
        <f ca="1">IF(Información1[[#This Row],[Fecha]]='Ajuste de fechas'!$A$2,"Día actual","Día anterior")</f>
        <v>Día anterior</v>
      </c>
      <c r="C6" t="s">
        <v>77</v>
      </c>
      <c r="D6" t="s">
        <v>78</v>
      </c>
      <c r="E6" t="s">
        <v>118</v>
      </c>
      <c r="F6" t="s">
        <v>68</v>
      </c>
      <c r="G6" t="s">
        <v>119</v>
      </c>
      <c r="H6" t="s">
        <v>11</v>
      </c>
      <c r="I6" t="s">
        <v>7</v>
      </c>
      <c r="J6" t="s">
        <v>39</v>
      </c>
      <c r="K6" t="s">
        <v>79</v>
      </c>
      <c r="L6" t="s">
        <v>42</v>
      </c>
      <c r="M6">
        <v>1</v>
      </c>
    </row>
    <row r="7" spans="1:13" x14ac:dyDescent="0.25">
      <c r="A7" s="2">
        <v>46224</v>
      </c>
      <c r="B7" s="1" t="str">
        <f ca="1">IF(Información1[[#This Row],[Fecha]]='Ajuste de fechas'!$A$2,"Día actual","Día anterior")</f>
        <v>Día anterior</v>
      </c>
      <c r="C7" t="s">
        <v>77</v>
      </c>
      <c r="D7" t="s">
        <v>78</v>
      </c>
      <c r="E7" t="s">
        <v>120</v>
      </c>
      <c r="F7" t="s">
        <v>68</v>
      </c>
      <c r="G7" t="s">
        <v>83</v>
      </c>
      <c r="H7" t="s">
        <v>11</v>
      </c>
      <c r="I7" t="s">
        <v>7</v>
      </c>
      <c r="J7" t="s">
        <v>39</v>
      </c>
      <c r="K7" t="s">
        <v>79</v>
      </c>
      <c r="L7" t="s">
        <v>42</v>
      </c>
      <c r="M7">
        <v>1</v>
      </c>
    </row>
    <row r="8" spans="1:13" x14ac:dyDescent="0.25">
      <c r="A8" s="2">
        <v>46224</v>
      </c>
      <c r="B8" s="1" t="str">
        <f ca="1">IF(Información1[[#This Row],[Fecha]]='Ajuste de fechas'!$A$2,"Día actual","Día anterior")</f>
        <v>Día anterior</v>
      </c>
      <c r="C8" t="s">
        <v>77</v>
      </c>
      <c r="D8" t="s">
        <v>78</v>
      </c>
      <c r="E8" t="s">
        <v>121</v>
      </c>
      <c r="F8" t="s">
        <v>68</v>
      </c>
      <c r="G8" t="s">
        <v>83</v>
      </c>
      <c r="H8" t="s">
        <v>11</v>
      </c>
      <c r="I8" t="s">
        <v>7</v>
      </c>
      <c r="J8" t="s">
        <v>39</v>
      </c>
      <c r="K8" t="s">
        <v>79</v>
      </c>
      <c r="L8" t="s">
        <v>42</v>
      </c>
      <c r="M8">
        <v>1</v>
      </c>
    </row>
    <row r="9" spans="1:13" x14ac:dyDescent="0.25">
      <c r="A9" s="2">
        <v>46224</v>
      </c>
      <c r="B9" s="1" t="str">
        <f ca="1">IF(Información1[[#This Row],[Fecha]]='Ajuste de fechas'!$A$2,"Día actual","Día anterior")</f>
        <v>Día anterior</v>
      </c>
      <c r="C9" t="s">
        <v>28</v>
      </c>
      <c r="D9" t="s">
        <v>98</v>
      </c>
      <c r="E9" t="s">
        <v>122</v>
      </c>
      <c r="F9" t="s">
        <v>19</v>
      </c>
      <c r="G9" t="s">
        <v>123</v>
      </c>
      <c r="H9" t="s">
        <v>11</v>
      </c>
      <c r="I9" t="s">
        <v>25</v>
      </c>
      <c r="J9" t="s">
        <v>43</v>
      </c>
      <c r="K9" t="s">
        <v>99</v>
      </c>
      <c r="L9" t="s">
        <v>40</v>
      </c>
      <c r="M9">
        <v>1</v>
      </c>
    </row>
    <row r="10" spans="1:13" x14ac:dyDescent="0.25">
      <c r="A10" s="2">
        <v>46224</v>
      </c>
      <c r="B10" s="1" t="str">
        <f ca="1">IF(Información1[[#This Row],[Fecha]]='Ajuste de fechas'!$A$2,"Día actual","Día anterior")</f>
        <v>Día anterior</v>
      </c>
      <c r="C10" t="s">
        <v>28</v>
      </c>
      <c r="D10" t="s">
        <v>98</v>
      </c>
      <c r="E10" t="s">
        <v>124</v>
      </c>
      <c r="F10" t="s">
        <v>21</v>
      </c>
      <c r="G10" t="s">
        <v>86</v>
      </c>
      <c r="H10" t="s">
        <v>11</v>
      </c>
      <c r="I10" t="s">
        <v>7</v>
      </c>
      <c r="J10" t="s">
        <v>39</v>
      </c>
      <c r="K10" t="s">
        <v>99</v>
      </c>
      <c r="L10" t="s">
        <v>40</v>
      </c>
      <c r="M10">
        <v>1</v>
      </c>
    </row>
    <row r="11" spans="1:13" x14ac:dyDescent="0.25">
      <c r="A11" s="2">
        <v>46224</v>
      </c>
      <c r="B11" s="1" t="str">
        <f ca="1">IF(Información1[[#This Row],[Fecha]]='Ajuste de fechas'!$A$2,"Día actual","Día anterior")</f>
        <v>Día anterior</v>
      </c>
      <c r="C11" t="s">
        <v>28</v>
      </c>
      <c r="D11" t="s">
        <v>98</v>
      </c>
      <c r="E11" t="s">
        <v>125</v>
      </c>
      <c r="F11" t="s">
        <v>21</v>
      </c>
      <c r="G11" t="s">
        <v>86</v>
      </c>
      <c r="H11" t="s">
        <v>11</v>
      </c>
      <c r="I11" t="s">
        <v>7</v>
      </c>
      <c r="J11" t="s">
        <v>39</v>
      </c>
      <c r="K11" t="s">
        <v>99</v>
      </c>
      <c r="L11" t="s">
        <v>40</v>
      </c>
      <c r="M11">
        <v>1</v>
      </c>
    </row>
    <row r="12" spans="1:13" x14ac:dyDescent="0.25">
      <c r="A12" s="2">
        <v>46224</v>
      </c>
      <c r="B12" s="1" t="str">
        <f ca="1">IF(Información1[[#This Row],[Fecha]]='Ajuste de fechas'!$A$2,"Día actual","Día anterior")</f>
        <v>Día anterior</v>
      </c>
      <c r="C12" t="s">
        <v>28</v>
      </c>
      <c r="D12" t="s">
        <v>98</v>
      </c>
      <c r="E12" t="s">
        <v>126</v>
      </c>
      <c r="F12" t="s">
        <v>23</v>
      </c>
      <c r="G12" t="s">
        <v>127</v>
      </c>
      <c r="H12" t="s">
        <v>11</v>
      </c>
      <c r="I12" t="s">
        <v>7</v>
      </c>
      <c r="J12" t="s">
        <v>39</v>
      </c>
      <c r="K12" t="s">
        <v>99</v>
      </c>
      <c r="L12" t="s">
        <v>40</v>
      </c>
      <c r="M12">
        <v>1</v>
      </c>
    </row>
    <row r="13" spans="1:13" x14ac:dyDescent="0.25">
      <c r="A13" s="2">
        <v>46224</v>
      </c>
      <c r="B13" s="1" t="str">
        <f ca="1">IF(Información1[[#This Row],[Fecha]]='Ajuste de fechas'!$A$2,"Día actual","Día anterior")</f>
        <v>Día anterior</v>
      </c>
      <c r="C13" t="s">
        <v>28</v>
      </c>
      <c r="D13" t="s">
        <v>98</v>
      </c>
      <c r="E13" t="s">
        <v>128</v>
      </c>
      <c r="F13" t="s">
        <v>24</v>
      </c>
      <c r="G13" t="s">
        <v>87</v>
      </c>
      <c r="H13" t="s">
        <v>11</v>
      </c>
      <c r="I13" t="s">
        <v>7</v>
      </c>
      <c r="J13" t="s">
        <v>24</v>
      </c>
      <c r="K13" t="s">
        <v>99</v>
      </c>
      <c r="L13" t="s">
        <v>40</v>
      </c>
      <c r="M13">
        <v>1</v>
      </c>
    </row>
    <row r="14" spans="1:13" x14ac:dyDescent="0.25">
      <c r="A14" s="2">
        <v>46224</v>
      </c>
      <c r="B14" s="1" t="str">
        <f ca="1">IF(Información1[[#This Row],[Fecha]]='Ajuste de fechas'!$A$2,"Día actual","Día anterior")</f>
        <v>Día anterior</v>
      </c>
      <c r="C14" t="s">
        <v>28</v>
      </c>
      <c r="D14" t="s">
        <v>98</v>
      </c>
      <c r="E14" t="s">
        <v>129</v>
      </c>
      <c r="F14" t="s">
        <v>24</v>
      </c>
      <c r="G14" t="s">
        <v>130</v>
      </c>
      <c r="H14" t="s">
        <v>11</v>
      </c>
      <c r="I14" t="s">
        <v>7</v>
      </c>
      <c r="J14" t="s">
        <v>24</v>
      </c>
      <c r="K14" t="s">
        <v>99</v>
      </c>
      <c r="L14" t="s">
        <v>40</v>
      </c>
      <c r="M14">
        <v>1</v>
      </c>
    </row>
    <row r="15" spans="1:13" x14ac:dyDescent="0.25">
      <c r="A15" s="2">
        <v>46224</v>
      </c>
      <c r="B15" s="1" t="str">
        <f ca="1">IF(Información1[[#This Row],[Fecha]]='Ajuste de fechas'!$A$2,"Día actual","Día anterior")</f>
        <v>Día anterior</v>
      </c>
      <c r="C15" t="s">
        <v>28</v>
      </c>
      <c r="D15" t="s">
        <v>98</v>
      </c>
      <c r="E15" t="s">
        <v>131</v>
      </c>
      <c r="F15" t="s">
        <v>15</v>
      </c>
      <c r="G15" t="s">
        <v>132</v>
      </c>
      <c r="H15" t="s">
        <v>11</v>
      </c>
      <c r="I15" t="s">
        <v>7</v>
      </c>
      <c r="J15" t="s">
        <v>39</v>
      </c>
      <c r="K15" t="s">
        <v>99</v>
      </c>
      <c r="L15" t="s">
        <v>40</v>
      </c>
      <c r="M15">
        <v>1</v>
      </c>
    </row>
    <row r="16" spans="1:13" x14ac:dyDescent="0.25">
      <c r="A16" s="2">
        <v>46224</v>
      </c>
      <c r="B16" s="1" t="str">
        <f ca="1">IF(Información1[[#This Row],[Fecha]]='Ajuste de fechas'!$A$2,"Día actual","Día anterior")</f>
        <v>Día anterior</v>
      </c>
      <c r="C16" t="s">
        <v>28</v>
      </c>
      <c r="D16" t="s">
        <v>98</v>
      </c>
      <c r="E16" t="s">
        <v>133</v>
      </c>
      <c r="F16" t="s">
        <v>15</v>
      </c>
      <c r="G16" t="s">
        <v>69</v>
      </c>
      <c r="H16" t="s">
        <v>11</v>
      </c>
      <c r="I16" t="s">
        <v>7</v>
      </c>
      <c r="J16" t="s">
        <v>39</v>
      </c>
      <c r="K16" t="s">
        <v>99</v>
      </c>
      <c r="L16" t="s">
        <v>40</v>
      </c>
      <c r="M16">
        <v>1</v>
      </c>
    </row>
    <row r="17" spans="1:13" x14ac:dyDescent="0.25">
      <c r="A17" s="2">
        <v>46224</v>
      </c>
      <c r="B17" s="1" t="str">
        <f ca="1">IF(Información1[[#This Row],[Fecha]]='Ajuste de fechas'!$A$2,"Día actual","Día anterior")</f>
        <v>Día anterior</v>
      </c>
      <c r="C17" t="s">
        <v>28</v>
      </c>
      <c r="D17" t="s">
        <v>98</v>
      </c>
      <c r="E17" t="s">
        <v>134</v>
      </c>
      <c r="F17" t="s">
        <v>75</v>
      </c>
      <c r="G17" t="s">
        <v>135</v>
      </c>
      <c r="H17" t="s">
        <v>11</v>
      </c>
      <c r="I17" t="s">
        <v>7</v>
      </c>
      <c r="J17" t="s">
        <v>39</v>
      </c>
      <c r="K17" t="s">
        <v>99</v>
      </c>
      <c r="L17" t="s">
        <v>40</v>
      </c>
      <c r="M17">
        <v>1</v>
      </c>
    </row>
    <row r="18" spans="1:13" x14ac:dyDescent="0.25">
      <c r="A18" s="2">
        <v>46224</v>
      </c>
      <c r="B18" s="1" t="str">
        <f ca="1">IF(Información1[[#This Row],[Fecha]]='Ajuste de fechas'!$A$2,"Día actual","Día anterior")</f>
        <v>Día anterior</v>
      </c>
      <c r="C18" t="s">
        <v>28</v>
      </c>
      <c r="D18" t="s">
        <v>98</v>
      </c>
      <c r="E18" t="s">
        <v>136</v>
      </c>
      <c r="F18" t="s">
        <v>6</v>
      </c>
      <c r="G18" t="s">
        <v>81</v>
      </c>
      <c r="H18" t="s">
        <v>11</v>
      </c>
      <c r="I18" t="s">
        <v>7</v>
      </c>
      <c r="J18" t="s">
        <v>39</v>
      </c>
      <c r="K18" t="s">
        <v>99</v>
      </c>
      <c r="L18" t="s">
        <v>41</v>
      </c>
      <c r="M18">
        <v>1</v>
      </c>
    </row>
    <row r="19" spans="1:13" x14ac:dyDescent="0.25">
      <c r="A19" s="2">
        <v>46224</v>
      </c>
      <c r="B19" s="1" t="str">
        <f ca="1">IF(Información1[[#This Row],[Fecha]]='Ajuste de fechas'!$A$2,"Día actual","Día anterior")</f>
        <v>Día anterior</v>
      </c>
      <c r="C19" t="s">
        <v>28</v>
      </c>
      <c r="D19" t="s">
        <v>98</v>
      </c>
      <c r="E19" t="s">
        <v>137</v>
      </c>
      <c r="F19" t="s">
        <v>6</v>
      </c>
      <c r="G19" t="s">
        <v>119</v>
      </c>
      <c r="H19" t="s">
        <v>11</v>
      </c>
      <c r="I19" t="s">
        <v>7</v>
      </c>
      <c r="J19" t="s">
        <v>39</v>
      </c>
      <c r="K19" t="s">
        <v>99</v>
      </c>
      <c r="L19" t="s">
        <v>40</v>
      </c>
      <c r="M19">
        <v>1</v>
      </c>
    </row>
    <row r="20" spans="1:13" x14ac:dyDescent="0.25">
      <c r="A20" s="2">
        <v>46224</v>
      </c>
      <c r="B20" s="1" t="str">
        <f ca="1">IF(Información1[[#This Row],[Fecha]]='Ajuste de fechas'!$A$2,"Día actual","Día anterior")</f>
        <v>Día anterior</v>
      </c>
      <c r="C20" t="s">
        <v>28</v>
      </c>
      <c r="D20" t="s">
        <v>98</v>
      </c>
      <c r="E20" t="s">
        <v>138</v>
      </c>
      <c r="F20" t="s">
        <v>6</v>
      </c>
      <c r="G20" t="s">
        <v>83</v>
      </c>
      <c r="H20" t="s">
        <v>11</v>
      </c>
      <c r="I20" t="s">
        <v>7</v>
      </c>
      <c r="J20" t="s">
        <v>39</v>
      </c>
      <c r="K20" t="s">
        <v>99</v>
      </c>
      <c r="L20" t="s">
        <v>40</v>
      </c>
      <c r="M20">
        <v>1</v>
      </c>
    </row>
    <row r="21" spans="1:13" x14ac:dyDescent="0.25">
      <c r="A21" s="2">
        <v>46224</v>
      </c>
      <c r="B21" s="1" t="str">
        <f ca="1">IF(Información1[[#This Row],[Fecha]]='Ajuste de fechas'!$A$2,"Día actual","Día anterior")</f>
        <v>Día anterior</v>
      </c>
      <c r="C21" t="s">
        <v>28</v>
      </c>
      <c r="D21" t="s">
        <v>98</v>
      </c>
      <c r="E21" t="s">
        <v>139</v>
      </c>
      <c r="F21" t="s">
        <v>26</v>
      </c>
      <c r="G21" t="s">
        <v>91</v>
      </c>
      <c r="H21" t="s">
        <v>11</v>
      </c>
      <c r="I21" t="s">
        <v>7</v>
      </c>
      <c r="J21" t="s">
        <v>39</v>
      </c>
      <c r="K21" t="s">
        <v>99</v>
      </c>
      <c r="L21" t="s">
        <v>40</v>
      </c>
      <c r="M21">
        <v>1</v>
      </c>
    </row>
    <row r="22" spans="1:13" x14ac:dyDescent="0.25">
      <c r="A22" s="2">
        <v>46224</v>
      </c>
      <c r="B22" s="1" t="str">
        <f ca="1">IF(Información1[[#This Row],[Fecha]]='Ajuste de fechas'!$A$2,"Día actual","Día anterior")</f>
        <v>Día anterior</v>
      </c>
      <c r="C22" t="s">
        <v>8</v>
      </c>
      <c r="D22" t="s">
        <v>10</v>
      </c>
      <c r="E22" t="s">
        <v>140</v>
      </c>
      <c r="F22" t="s">
        <v>19</v>
      </c>
      <c r="G22" t="s">
        <v>104</v>
      </c>
      <c r="H22" t="s">
        <v>11</v>
      </c>
      <c r="I22" t="s">
        <v>25</v>
      </c>
      <c r="J22" t="s">
        <v>43</v>
      </c>
      <c r="K22" t="s">
        <v>9</v>
      </c>
      <c r="L22" t="s">
        <v>41</v>
      </c>
      <c r="M22">
        <v>1</v>
      </c>
    </row>
    <row r="23" spans="1:13" x14ac:dyDescent="0.25">
      <c r="A23" s="2">
        <v>46224</v>
      </c>
      <c r="B23" s="1" t="str">
        <f ca="1">IF(Información1[[#This Row],[Fecha]]='Ajuste de fechas'!$A$2,"Día actual","Día anterior")</f>
        <v>Día anterior</v>
      </c>
      <c r="C23" t="s">
        <v>8</v>
      </c>
      <c r="D23" t="s">
        <v>10</v>
      </c>
      <c r="E23" t="s">
        <v>141</v>
      </c>
      <c r="F23" t="s">
        <v>17</v>
      </c>
      <c r="G23" t="s">
        <v>142</v>
      </c>
      <c r="H23" t="s">
        <v>11</v>
      </c>
      <c r="I23" t="s">
        <v>25</v>
      </c>
      <c r="J23" t="s">
        <v>39</v>
      </c>
      <c r="K23" t="s">
        <v>9</v>
      </c>
      <c r="L23" t="s">
        <v>41</v>
      </c>
      <c r="M23">
        <v>1</v>
      </c>
    </row>
    <row r="24" spans="1:13" x14ac:dyDescent="0.25">
      <c r="A24" s="2">
        <v>46224</v>
      </c>
      <c r="B24" s="1" t="str">
        <f ca="1">IF(Información1[[#This Row],[Fecha]]='Ajuste de fechas'!$A$2,"Día actual","Día anterior")</f>
        <v>Día anterior</v>
      </c>
      <c r="C24" t="s">
        <v>8</v>
      </c>
      <c r="D24" t="s">
        <v>10</v>
      </c>
      <c r="E24" t="s">
        <v>143</v>
      </c>
      <c r="F24" t="s">
        <v>17</v>
      </c>
      <c r="G24" t="s">
        <v>144</v>
      </c>
      <c r="H24" t="s">
        <v>11</v>
      </c>
      <c r="I24" t="s">
        <v>25</v>
      </c>
      <c r="J24" t="s">
        <v>39</v>
      </c>
      <c r="K24" t="s">
        <v>9</v>
      </c>
      <c r="L24" t="s">
        <v>41</v>
      </c>
      <c r="M24">
        <v>1</v>
      </c>
    </row>
    <row r="25" spans="1:13" x14ac:dyDescent="0.25">
      <c r="A25" s="2">
        <v>46224</v>
      </c>
      <c r="B25" s="1" t="str">
        <f ca="1">IF(Información1[[#This Row],[Fecha]]='Ajuste de fechas'!$A$2,"Día actual","Día anterior")</f>
        <v>Día anterior</v>
      </c>
      <c r="C25" t="s">
        <v>8</v>
      </c>
      <c r="D25" t="s">
        <v>10</v>
      </c>
      <c r="E25" t="s">
        <v>145</v>
      </c>
      <c r="F25" t="s">
        <v>17</v>
      </c>
      <c r="G25" t="s">
        <v>76</v>
      </c>
      <c r="H25" t="s">
        <v>11</v>
      </c>
      <c r="I25" t="s">
        <v>25</v>
      </c>
      <c r="J25" t="s">
        <v>39</v>
      </c>
      <c r="K25" t="s">
        <v>9</v>
      </c>
      <c r="L25" t="s">
        <v>41</v>
      </c>
      <c r="M25">
        <v>1</v>
      </c>
    </row>
    <row r="26" spans="1:13" x14ac:dyDescent="0.25">
      <c r="A26" s="2">
        <v>46224</v>
      </c>
      <c r="B26" s="1" t="str">
        <f ca="1">IF(Información1[[#This Row],[Fecha]]='Ajuste de fechas'!$A$2,"Día actual","Día anterior")</f>
        <v>Día anterior</v>
      </c>
      <c r="C26" t="s">
        <v>8</v>
      </c>
      <c r="D26" t="s">
        <v>10</v>
      </c>
      <c r="E26" t="s">
        <v>146</v>
      </c>
      <c r="F26" t="s">
        <v>6</v>
      </c>
      <c r="G26" t="s">
        <v>94</v>
      </c>
      <c r="H26" t="s">
        <v>11</v>
      </c>
      <c r="I26" t="s">
        <v>25</v>
      </c>
      <c r="J26" t="s">
        <v>39</v>
      </c>
      <c r="K26" t="s">
        <v>9</v>
      </c>
      <c r="L26" t="s">
        <v>41</v>
      </c>
      <c r="M26">
        <v>1</v>
      </c>
    </row>
    <row r="27" spans="1:13" x14ac:dyDescent="0.25">
      <c r="A27" s="2">
        <v>46224</v>
      </c>
      <c r="B27" s="1" t="str">
        <f ca="1">IF(Información1[[#This Row],[Fecha]]='Ajuste de fechas'!$A$2,"Día actual","Día anterior")</f>
        <v>Día anterior</v>
      </c>
      <c r="C27" t="s">
        <v>8</v>
      </c>
      <c r="D27" t="s">
        <v>10</v>
      </c>
      <c r="E27" t="s">
        <v>147</v>
      </c>
      <c r="F27" t="s">
        <v>6</v>
      </c>
      <c r="G27" t="s">
        <v>94</v>
      </c>
      <c r="H27" t="s">
        <v>11</v>
      </c>
      <c r="I27" t="s">
        <v>25</v>
      </c>
      <c r="J27" t="s">
        <v>39</v>
      </c>
      <c r="K27" t="s">
        <v>9</v>
      </c>
      <c r="L27" t="s">
        <v>41</v>
      </c>
      <c r="M27">
        <v>1</v>
      </c>
    </row>
    <row r="28" spans="1:13" x14ac:dyDescent="0.25">
      <c r="A28" s="2">
        <v>46224</v>
      </c>
      <c r="B28" s="1" t="str">
        <f ca="1">IF(Información1[[#This Row],[Fecha]]='Ajuste de fechas'!$A$2,"Día actual","Día anterior")</f>
        <v>Día anterior</v>
      </c>
      <c r="C28" t="s">
        <v>8</v>
      </c>
      <c r="D28" t="s">
        <v>10</v>
      </c>
      <c r="E28" t="s">
        <v>95</v>
      </c>
      <c r="F28" t="s">
        <v>6</v>
      </c>
      <c r="G28" t="s">
        <v>94</v>
      </c>
      <c r="H28" t="s">
        <v>11</v>
      </c>
      <c r="I28" t="s">
        <v>25</v>
      </c>
      <c r="J28" t="s">
        <v>39</v>
      </c>
      <c r="K28" t="s">
        <v>9</v>
      </c>
      <c r="L28" t="s">
        <v>41</v>
      </c>
      <c r="M28">
        <v>1</v>
      </c>
    </row>
    <row r="29" spans="1:13" x14ac:dyDescent="0.25">
      <c r="A29" s="2">
        <v>46224</v>
      </c>
      <c r="B29" s="1" t="str">
        <f ca="1">IF(Información1[[#This Row],[Fecha]]='Ajuste de fechas'!$A$2,"Día actual","Día anterior")</f>
        <v>Día anterior</v>
      </c>
      <c r="C29" t="s">
        <v>8</v>
      </c>
      <c r="D29" t="s">
        <v>10</v>
      </c>
      <c r="E29" t="s">
        <v>148</v>
      </c>
      <c r="F29" t="s">
        <v>6</v>
      </c>
      <c r="G29" t="s">
        <v>94</v>
      </c>
      <c r="H29" t="s">
        <v>11</v>
      </c>
      <c r="I29" t="s">
        <v>25</v>
      </c>
      <c r="J29" t="s">
        <v>39</v>
      </c>
      <c r="K29" t="s">
        <v>9</v>
      </c>
      <c r="L29" t="s">
        <v>41</v>
      </c>
      <c r="M29">
        <v>1</v>
      </c>
    </row>
    <row r="30" spans="1:13" x14ac:dyDescent="0.25">
      <c r="A30" s="2">
        <v>46224</v>
      </c>
      <c r="B30" s="1" t="str">
        <f ca="1">IF(Información1[[#This Row],[Fecha]]='Ajuste de fechas'!$A$2,"Día actual","Día anterior")</f>
        <v>Día anterior</v>
      </c>
      <c r="C30" t="s">
        <v>8</v>
      </c>
      <c r="D30" t="s">
        <v>10</v>
      </c>
      <c r="E30" t="s">
        <v>149</v>
      </c>
      <c r="F30" t="s">
        <v>6</v>
      </c>
      <c r="G30" t="s">
        <v>94</v>
      </c>
      <c r="H30" t="s">
        <v>11</v>
      </c>
      <c r="I30" t="s">
        <v>25</v>
      </c>
      <c r="J30" t="s">
        <v>39</v>
      </c>
      <c r="K30" t="s">
        <v>9</v>
      </c>
      <c r="L30" t="s">
        <v>41</v>
      </c>
      <c r="M30">
        <v>1</v>
      </c>
    </row>
    <row r="31" spans="1:13" x14ac:dyDescent="0.25">
      <c r="A31" s="2">
        <v>46224</v>
      </c>
      <c r="B31" s="1" t="str">
        <f ca="1">IF(Información1[[#This Row],[Fecha]]='Ajuste de fechas'!$A$2,"Día actual","Día anterior")</f>
        <v>Día anterior</v>
      </c>
      <c r="C31" t="s">
        <v>8</v>
      </c>
      <c r="D31" t="s">
        <v>10</v>
      </c>
      <c r="E31" t="s">
        <v>150</v>
      </c>
      <c r="F31" t="s">
        <v>6</v>
      </c>
      <c r="G31" t="s">
        <v>94</v>
      </c>
      <c r="H31" t="s">
        <v>11</v>
      </c>
      <c r="I31" t="s">
        <v>25</v>
      </c>
      <c r="J31" t="s">
        <v>39</v>
      </c>
      <c r="K31" t="s">
        <v>9</v>
      </c>
      <c r="L31" t="s">
        <v>41</v>
      </c>
      <c r="M31">
        <v>1</v>
      </c>
    </row>
    <row r="32" spans="1:13" x14ac:dyDescent="0.25">
      <c r="A32" s="2">
        <v>46224</v>
      </c>
      <c r="B32" s="1" t="str">
        <f ca="1">IF(Información1[[#This Row],[Fecha]]='Ajuste de fechas'!$A$2,"Día actual","Día anterior")</f>
        <v>Día anterior</v>
      </c>
      <c r="C32" t="s">
        <v>8</v>
      </c>
      <c r="D32" t="s">
        <v>10</v>
      </c>
      <c r="E32" t="s">
        <v>151</v>
      </c>
      <c r="F32" t="s">
        <v>6</v>
      </c>
      <c r="G32" t="s">
        <v>94</v>
      </c>
      <c r="H32" t="s">
        <v>11</v>
      </c>
      <c r="I32" t="s">
        <v>25</v>
      </c>
      <c r="J32" t="s">
        <v>39</v>
      </c>
      <c r="K32" t="s">
        <v>9</v>
      </c>
      <c r="L32" t="s">
        <v>41</v>
      </c>
      <c r="M32">
        <v>1</v>
      </c>
    </row>
    <row r="33" spans="1:13" x14ac:dyDescent="0.25">
      <c r="A33" s="2">
        <v>46224</v>
      </c>
      <c r="B33" s="1" t="str">
        <f ca="1">IF(Información1[[#This Row],[Fecha]]='Ajuste de fechas'!$A$2,"Día actual","Día anterior")</f>
        <v>Día anterior</v>
      </c>
      <c r="C33" t="s">
        <v>8</v>
      </c>
      <c r="D33" t="s">
        <v>10</v>
      </c>
      <c r="E33" t="s">
        <v>152</v>
      </c>
      <c r="F33" t="s">
        <v>24</v>
      </c>
      <c r="G33" t="s">
        <v>153</v>
      </c>
      <c r="H33" t="s">
        <v>11</v>
      </c>
      <c r="I33" t="s">
        <v>7</v>
      </c>
      <c r="J33" t="s">
        <v>24</v>
      </c>
      <c r="K33" t="s">
        <v>14</v>
      </c>
      <c r="L33" t="s">
        <v>41</v>
      </c>
      <c r="M33">
        <v>1</v>
      </c>
    </row>
    <row r="34" spans="1:13" x14ac:dyDescent="0.25">
      <c r="A34" s="2">
        <v>46224</v>
      </c>
      <c r="B34" s="1" t="str">
        <f ca="1">IF(Información1[[#This Row],[Fecha]]='Ajuste de fechas'!$A$2,"Día actual","Día anterior")</f>
        <v>Día anterior</v>
      </c>
      <c r="C34" t="s">
        <v>8</v>
      </c>
      <c r="D34" t="s">
        <v>10</v>
      </c>
      <c r="E34" t="s">
        <v>154</v>
      </c>
      <c r="F34" t="s">
        <v>6</v>
      </c>
      <c r="G34" t="s">
        <v>70</v>
      </c>
      <c r="H34" t="s">
        <v>11</v>
      </c>
      <c r="I34" t="s">
        <v>12</v>
      </c>
      <c r="J34" t="s">
        <v>39</v>
      </c>
      <c r="K34" t="s">
        <v>9</v>
      </c>
      <c r="L34" t="s">
        <v>41</v>
      </c>
      <c r="M34">
        <v>1</v>
      </c>
    </row>
    <row r="35" spans="1:13" x14ac:dyDescent="0.25">
      <c r="A35" s="2">
        <v>46224</v>
      </c>
      <c r="B35" s="1" t="str">
        <f ca="1">IF(Información1[[#This Row],[Fecha]]='Ajuste de fechas'!$A$2,"Día actual","Día anterior")</f>
        <v>Día anterior</v>
      </c>
      <c r="C35" t="s">
        <v>8</v>
      </c>
      <c r="D35" t="s">
        <v>10</v>
      </c>
      <c r="E35" t="s">
        <v>155</v>
      </c>
      <c r="F35" t="s">
        <v>19</v>
      </c>
      <c r="G35" t="s">
        <v>156</v>
      </c>
      <c r="H35" t="s">
        <v>11</v>
      </c>
      <c r="I35" t="s">
        <v>7</v>
      </c>
      <c r="J35" t="s">
        <v>43</v>
      </c>
      <c r="K35" t="s">
        <v>14</v>
      </c>
      <c r="L35" t="s">
        <v>40</v>
      </c>
      <c r="M35">
        <v>1</v>
      </c>
    </row>
    <row r="36" spans="1:13" x14ac:dyDescent="0.25">
      <c r="A36" s="2">
        <v>46224</v>
      </c>
      <c r="B36" s="1" t="str">
        <f ca="1">IF(Información1[[#This Row],[Fecha]]='Ajuste de fechas'!$A$2,"Día actual","Día anterior")</f>
        <v>Día anterior</v>
      </c>
      <c r="C36" t="s">
        <v>8</v>
      </c>
      <c r="D36" t="s">
        <v>10</v>
      </c>
      <c r="E36" t="s">
        <v>157</v>
      </c>
      <c r="F36" t="s">
        <v>19</v>
      </c>
      <c r="G36" t="s">
        <v>32</v>
      </c>
      <c r="H36" t="s">
        <v>11</v>
      </c>
      <c r="I36" t="s">
        <v>7</v>
      </c>
      <c r="J36" t="s">
        <v>43</v>
      </c>
      <c r="K36" t="s">
        <v>14</v>
      </c>
      <c r="L36" t="s">
        <v>100</v>
      </c>
      <c r="M36">
        <v>1</v>
      </c>
    </row>
    <row r="37" spans="1:13" x14ac:dyDescent="0.25">
      <c r="A37" s="2">
        <v>46224</v>
      </c>
      <c r="B37" s="1" t="str">
        <f ca="1">IF(Información1[[#This Row],[Fecha]]='Ajuste de fechas'!$A$2,"Día actual","Día anterior")</f>
        <v>Día anterior</v>
      </c>
      <c r="C37" t="s">
        <v>8</v>
      </c>
      <c r="D37" t="s">
        <v>10</v>
      </c>
      <c r="E37" t="s">
        <v>158</v>
      </c>
      <c r="F37" t="s">
        <v>19</v>
      </c>
      <c r="G37" t="s">
        <v>159</v>
      </c>
      <c r="H37" t="s">
        <v>11</v>
      </c>
      <c r="I37" t="s">
        <v>7</v>
      </c>
      <c r="J37" t="s">
        <v>43</v>
      </c>
      <c r="K37" t="s">
        <v>14</v>
      </c>
      <c r="L37" t="s">
        <v>40</v>
      </c>
      <c r="M37">
        <v>1</v>
      </c>
    </row>
    <row r="38" spans="1:13" x14ac:dyDescent="0.25">
      <c r="A38" s="2">
        <v>46224</v>
      </c>
      <c r="B38" s="1" t="str">
        <f ca="1">IF(Información1[[#This Row],[Fecha]]='Ajuste de fechas'!$A$2,"Día actual","Día anterior")</f>
        <v>Día anterior</v>
      </c>
      <c r="C38" t="s">
        <v>8</v>
      </c>
      <c r="D38" t="s">
        <v>10</v>
      </c>
      <c r="E38" t="s">
        <v>160</v>
      </c>
      <c r="F38" t="s">
        <v>68</v>
      </c>
      <c r="G38" t="s">
        <v>119</v>
      </c>
      <c r="H38" t="s">
        <v>11</v>
      </c>
      <c r="I38" t="s">
        <v>7</v>
      </c>
      <c r="J38" t="s">
        <v>39</v>
      </c>
      <c r="K38" t="s">
        <v>14</v>
      </c>
      <c r="L38" t="s">
        <v>42</v>
      </c>
      <c r="M38">
        <v>1</v>
      </c>
    </row>
    <row r="39" spans="1:13" x14ac:dyDescent="0.25">
      <c r="A39" s="2">
        <v>46224</v>
      </c>
      <c r="B39" s="1" t="str">
        <f ca="1">IF(Información1[[#This Row],[Fecha]]='Ajuste de fechas'!$A$2,"Día actual","Día anterior")</f>
        <v>Día anterior</v>
      </c>
      <c r="C39" t="s">
        <v>8</v>
      </c>
      <c r="D39" t="s">
        <v>10</v>
      </c>
      <c r="E39" t="s">
        <v>161</v>
      </c>
      <c r="F39" t="s">
        <v>26</v>
      </c>
      <c r="G39" t="s">
        <v>91</v>
      </c>
      <c r="H39" t="s">
        <v>11</v>
      </c>
      <c r="I39" t="s">
        <v>7</v>
      </c>
      <c r="J39" t="s">
        <v>39</v>
      </c>
      <c r="K39" t="s">
        <v>14</v>
      </c>
      <c r="L39" t="s">
        <v>42</v>
      </c>
      <c r="M39">
        <v>1</v>
      </c>
    </row>
    <row r="40" spans="1:13" x14ac:dyDescent="0.25">
      <c r="A40" s="2">
        <v>46224</v>
      </c>
      <c r="B40" s="1" t="str">
        <f ca="1">IF(Información1[[#This Row],[Fecha]]='Ajuste de fechas'!$A$2,"Día actual","Día anterior")</f>
        <v>Día anterior</v>
      </c>
      <c r="C40" t="s">
        <v>8</v>
      </c>
      <c r="D40" t="s">
        <v>10</v>
      </c>
      <c r="E40" t="s">
        <v>162</v>
      </c>
      <c r="F40" t="s">
        <v>6</v>
      </c>
      <c r="G40" t="s">
        <v>85</v>
      </c>
      <c r="H40" t="s">
        <v>11</v>
      </c>
      <c r="I40" t="s">
        <v>7</v>
      </c>
      <c r="J40" t="s">
        <v>39</v>
      </c>
      <c r="K40" t="s">
        <v>14</v>
      </c>
      <c r="L40" t="s">
        <v>40</v>
      </c>
      <c r="M40">
        <v>1</v>
      </c>
    </row>
    <row r="41" spans="1:13" x14ac:dyDescent="0.25">
      <c r="A41" s="2">
        <v>46224</v>
      </c>
      <c r="B41" s="1" t="str">
        <f ca="1">IF(Información1[[#This Row],[Fecha]]='Ajuste de fechas'!$A$2,"Día actual","Día anterior")</f>
        <v>Día anterior</v>
      </c>
      <c r="C41" t="s">
        <v>8</v>
      </c>
      <c r="D41" t="s">
        <v>10</v>
      </c>
      <c r="E41" t="s">
        <v>20</v>
      </c>
      <c r="F41" t="s">
        <v>19</v>
      </c>
      <c r="G41" t="s">
        <v>32</v>
      </c>
      <c r="H41" t="s">
        <v>11</v>
      </c>
      <c r="I41" t="s">
        <v>12</v>
      </c>
      <c r="J41" t="s">
        <v>43</v>
      </c>
      <c r="K41" t="s">
        <v>14</v>
      </c>
      <c r="L41" t="s">
        <v>41</v>
      </c>
      <c r="M41">
        <v>1</v>
      </c>
    </row>
    <row r="42" spans="1:13" x14ac:dyDescent="0.25">
      <c r="A42" s="2">
        <v>46224</v>
      </c>
      <c r="B42" s="1" t="str">
        <f ca="1">IF(Información1[[#This Row],[Fecha]]='Ajuste de fechas'!$A$2,"Día actual","Día anterior")</f>
        <v>Día anterior</v>
      </c>
      <c r="C42" t="s">
        <v>8</v>
      </c>
      <c r="D42" t="s">
        <v>10</v>
      </c>
      <c r="E42" t="s">
        <v>18</v>
      </c>
      <c r="F42" t="s">
        <v>19</v>
      </c>
      <c r="G42" t="s">
        <v>32</v>
      </c>
      <c r="H42" t="s">
        <v>11</v>
      </c>
      <c r="I42" t="s">
        <v>12</v>
      </c>
      <c r="J42" t="s">
        <v>43</v>
      </c>
      <c r="K42" t="s">
        <v>14</v>
      </c>
      <c r="L42" t="s">
        <v>41</v>
      </c>
      <c r="M42">
        <v>1</v>
      </c>
    </row>
    <row r="43" spans="1:13" x14ac:dyDescent="0.25">
      <c r="A43" s="2">
        <v>46224</v>
      </c>
      <c r="B43" s="1" t="str">
        <f ca="1">IF(Información1[[#This Row],[Fecha]]='Ajuste de fechas'!$A$2,"Día actual","Día anterior")</f>
        <v>Día anterior</v>
      </c>
      <c r="C43" t="s">
        <v>8</v>
      </c>
      <c r="D43" t="s">
        <v>10</v>
      </c>
      <c r="E43" t="s">
        <v>71</v>
      </c>
      <c r="F43" t="s">
        <v>54</v>
      </c>
      <c r="G43" t="s">
        <v>32</v>
      </c>
      <c r="H43" t="s">
        <v>11</v>
      </c>
      <c r="I43" t="s">
        <v>12</v>
      </c>
      <c r="J43" t="s">
        <v>24</v>
      </c>
      <c r="K43" t="s">
        <v>14</v>
      </c>
      <c r="L43" t="s">
        <v>41</v>
      </c>
      <c r="M43">
        <v>1</v>
      </c>
    </row>
    <row r="44" spans="1:13" x14ac:dyDescent="0.25">
      <c r="A44" s="2">
        <v>46224</v>
      </c>
      <c r="B44" s="1" t="str">
        <f ca="1">IF(Información1[[#This Row],[Fecha]]='Ajuste de fechas'!$A$2,"Día actual","Día anterior")</f>
        <v>Día anterior</v>
      </c>
      <c r="C44" t="s">
        <v>8</v>
      </c>
      <c r="D44" t="s">
        <v>10</v>
      </c>
      <c r="E44" t="s">
        <v>13</v>
      </c>
      <c r="F44" t="s">
        <v>15</v>
      </c>
      <c r="G44" t="s">
        <v>32</v>
      </c>
      <c r="H44" t="s">
        <v>11</v>
      </c>
      <c r="I44" t="s">
        <v>12</v>
      </c>
      <c r="J44" t="s">
        <v>39</v>
      </c>
      <c r="K44" t="s">
        <v>14</v>
      </c>
      <c r="L44" t="s">
        <v>41</v>
      </c>
      <c r="M44">
        <v>1</v>
      </c>
    </row>
    <row r="45" spans="1:13" x14ac:dyDescent="0.25">
      <c r="A45" s="2">
        <v>46224</v>
      </c>
      <c r="B45" s="1" t="str">
        <f ca="1">IF(Información1[[#This Row],[Fecha]]='Ajuste de fechas'!$A$2,"Día actual","Día anterior")</f>
        <v>Día anterior</v>
      </c>
      <c r="C45" t="s">
        <v>8</v>
      </c>
      <c r="D45" t="s">
        <v>10</v>
      </c>
      <c r="E45" t="s">
        <v>16</v>
      </c>
      <c r="F45" t="s">
        <v>17</v>
      </c>
      <c r="G45" t="s">
        <v>32</v>
      </c>
      <c r="H45" t="s">
        <v>11</v>
      </c>
      <c r="I45" t="s">
        <v>12</v>
      </c>
      <c r="J45" t="s">
        <v>39</v>
      </c>
      <c r="K45" t="s">
        <v>14</v>
      </c>
      <c r="L45" t="s">
        <v>41</v>
      </c>
      <c r="M45">
        <v>1</v>
      </c>
    </row>
    <row r="46" spans="1:13" x14ac:dyDescent="0.25">
      <c r="A46" s="2">
        <v>46224</v>
      </c>
      <c r="B46" s="1" t="str">
        <f ca="1">IF(Información1[[#This Row],[Fecha]]='Ajuste de fechas'!$A$2,"Día actual","Día anterior")</f>
        <v>Día anterior</v>
      </c>
      <c r="C46" t="s">
        <v>8</v>
      </c>
      <c r="D46" t="s">
        <v>10</v>
      </c>
      <c r="E46" t="s">
        <v>53</v>
      </c>
      <c r="F46" t="s">
        <v>6</v>
      </c>
      <c r="G46" t="s">
        <v>32</v>
      </c>
      <c r="H46" t="s">
        <v>11</v>
      </c>
      <c r="I46" t="s">
        <v>12</v>
      </c>
      <c r="J46" t="s">
        <v>39</v>
      </c>
      <c r="K46" t="s">
        <v>14</v>
      </c>
      <c r="L46" t="s">
        <v>41</v>
      </c>
      <c r="M46">
        <v>1</v>
      </c>
    </row>
    <row r="47" spans="1:13" x14ac:dyDescent="0.25">
      <c r="A47" s="2">
        <v>46224</v>
      </c>
      <c r="B47" s="1" t="str">
        <f ca="1">IF(Información1[[#This Row],[Fecha]]='Ajuste de fechas'!$A$2,"Día actual","Día anterior")</f>
        <v>Día anterior</v>
      </c>
      <c r="C47" t="s">
        <v>50</v>
      </c>
      <c r="D47" t="s">
        <v>55</v>
      </c>
      <c r="E47" t="s">
        <v>163</v>
      </c>
      <c r="F47" t="s">
        <v>22</v>
      </c>
      <c r="G47" t="s">
        <v>164</v>
      </c>
      <c r="H47" t="s">
        <v>11</v>
      </c>
      <c r="I47" t="s">
        <v>7</v>
      </c>
      <c r="J47" t="s">
        <v>44</v>
      </c>
      <c r="K47" t="s">
        <v>82</v>
      </c>
      <c r="L47" t="s">
        <v>40</v>
      </c>
      <c r="M47">
        <v>1</v>
      </c>
    </row>
    <row r="48" spans="1:13" x14ac:dyDescent="0.25">
      <c r="A48" s="2">
        <v>46224</v>
      </c>
      <c r="B48" s="1" t="str">
        <f ca="1">IF(Información1[[#This Row],[Fecha]]='Ajuste de fechas'!$A$2,"Día actual","Día anterior")</f>
        <v>Día anterior</v>
      </c>
      <c r="C48" t="s">
        <v>50</v>
      </c>
      <c r="D48" t="s">
        <v>55</v>
      </c>
      <c r="E48" t="s">
        <v>165</v>
      </c>
      <c r="F48" t="s">
        <v>22</v>
      </c>
      <c r="G48" t="s">
        <v>108</v>
      </c>
      <c r="H48" t="s">
        <v>11</v>
      </c>
      <c r="I48" t="s">
        <v>7</v>
      </c>
      <c r="J48" t="s">
        <v>44</v>
      </c>
      <c r="K48" t="s">
        <v>51</v>
      </c>
      <c r="L48" t="s">
        <v>40</v>
      </c>
      <c r="M48">
        <v>1</v>
      </c>
    </row>
    <row r="49" spans="1:13" x14ac:dyDescent="0.25">
      <c r="A49" s="2">
        <v>46224</v>
      </c>
      <c r="B49" s="1" t="str">
        <f ca="1">IF(Información1[[#This Row],[Fecha]]='Ajuste de fechas'!$A$2,"Día actual","Día anterior")</f>
        <v>Día anterior</v>
      </c>
      <c r="C49" t="s">
        <v>50</v>
      </c>
      <c r="D49" t="s">
        <v>55</v>
      </c>
      <c r="E49" t="s">
        <v>166</v>
      </c>
      <c r="F49" t="s">
        <v>21</v>
      </c>
      <c r="G49" t="s">
        <v>93</v>
      </c>
      <c r="H49" t="s">
        <v>11</v>
      </c>
      <c r="I49" t="s">
        <v>25</v>
      </c>
      <c r="J49" t="s">
        <v>39</v>
      </c>
      <c r="K49" t="s">
        <v>9</v>
      </c>
      <c r="L49" t="s">
        <v>41</v>
      </c>
      <c r="M49">
        <v>1</v>
      </c>
    </row>
    <row r="50" spans="1:13" x14ac:dyDescent="0.25">
      <c r="A50" s="2">
        <v>46224</v>
      </c>
      <c r="B50" s="1" t="str">
        <f ca="1">IF(Información1[[#This Row],[Fecha]]='Ajuste de fechas'!$A$2,"Día actual","Día anterior")</f>
        <v>Día anterior</v>
      </c>
      <c r="C50" t="s">
        <v>50</v>
      </c>
      <c r="D50" t="s">
        <v>55</v>
      </c>
      <c r="E50" t="s">
        <v>167</v>
      </c>
      <c r="F50" t="s">
        <v>54</v>
      </c>
      <c r="G50" t="s">
        <v>153</v>
      </c>
      <c r="H50" t="s">
        <v>11</v>
      </c>
      <c r="I50" t="s">
        <v>7</v>
      </c>
      <c r="J50" t="s">
        <v>24</v>
      </c>
      <c r="K50" t="s">
        <v>82</v>
      </c>
      <c r="L50" t="s">
        <v>41</v>
      </c>
      <c r="M50">
        <v>1</v>
      </c>
    </row>
    <row r="51" spans="1:13" x14ac:dyDescent="0.25">
      <c r="A51" s="2">
        <v>46224</v>
      </c>
      <c r="B51" s="1" t="str">
        <f ca="1">IF(Información1[[#This Row],[Fecha]]='Ajuste de fechas'!$A$2,"Día actual","Día anterior")</f>
        <v>Día anterior</v>
      </c>
      <c r="C51" t="s">
        <v>50</v>
      </c>
      <c r="D51" t="s">
        <v>55</v>
      </c>
      <c r="E51" t="s">
        <v>168</v>
      </c>
      <c r="F51" t="s">
        <v>54</v>
      </c>
      <c r="G51" t="s">
        <v>153</v>
      </c>
      <c r="H51" t="s">
        <v>11</v>
      </c>
      <c r="I51" t="s">
        <v>7</v>
      </c>
      <c r="J51" t="s">
        <v>24</v>
      </c>
      <c r="K51" t="s">
        <v>82</v>
      </c>
      <c r="L51" t="s">
        <v>41</v>
      </c>
      <c r="M51">
        <v>1</v>
      </c>
    </row>
    <row r="52" spans="1:13" x14ac:dyDescent="0.25">
      <c r="A52" s="2">
        <v>46224</v>
      </c>
      <c r="B52" s="1" t="str">
        <f ca="1">IF(Información1[[#This Row],[Fecha]]='Ajuste de fechas'!$A$2,"Día actual","Día anterior")</f>
        <v>Día anterior</v>
      </c>
      <c r="C52" t="s">
        <v>50</v>
      </c>
      <c r="D52" t="s">
        <v>55</v>
      </c>
      <c r="E52" t="s">
        <v>169</v>
      </c>
      <c r="F52" t="s">
        <v>54</v>
      </c>
      <c r="G52" t="s">
        <v>153</v>
      </c>
      <c r="H52" t="s">
        <v>11</v>
      </c>
      <c r="I52" t="s">
        <v>7</v>
      </c>
      <c r="J52" t="s">
        <v>24</v>
      </c>
      <c r="K52" t="s">
        <v>51</v>
      </c>
      <c r="L52" t="s">
        <v>40</v>
      </c>
      <c r="M52">
        <v>1</v>
      </c>
    </row>
    <row r="53" spans="1:13" x14ac:dyDescent="0.25">
      <c r="A53" s="2">
        <v>46224</v>
      </c>
      <c r="B53" s="1" t="str">
        <f ca="1">IF(Información1[[#This Row],[Fecha]]='Ajuste de fechas'!$A$2,"Día actual","Día anterior")</f>
        <v>Día anterior</v>
      </c>
      <c r="C53" t="s">
        <v>63</v>
      </c>
      <c r="D53" t="s">
        <v>64</v>
      </c>
      <c r="E53" t="s">
        <v>170</v>
      </c>
      <c r="F53" t="s">
        <v>31</v>
      </c>
      <c r="G53" t="s">
        <v>115</v>
      </c>
      <c r="H53" t="s">
        <v>11</v>
      </c>
      <c r="I53" t="s">
        <v>7</v>
      </c>
      <c r="J53" t="s">
        <v>39</v>
      </c>
      <c r="K53" t="s">
        <v>65</v>
      </c>
      <c r="L53" t="s">
        <v>42</v>
      </c>
      <c r="M53">
        <v>1</v>
      </c>
    </row>
    <row r="54" spans="1:13" x14ac:dyDescent="0.25">
      <c r="A54" s="2">
        <v>46224</v>
      </c>
      <c r="B54" s="1" t="str">
        <f ca="1">IF(Información1[[#This Row],[Fecha]]='Ajuste de fechas'!$A$2,"Día actual","Día anterior")</f>
        <v>Día anterior</v>
      </c>
      <c r="C54" t="s">
        <v>63</v>
      </c>
      <c r="D54" t="s">
        <v>64</v>
      </c>
      <c r="E54" t="s">
        <v>171</v>
      </c>
      <c r="F54" t="s">
        <v>22</v>
      </c>
      <c r="G54" t="s">
        <v>172</v>
      </c>
      <c r="H54" t="s">
        <v>11</v>
      </c>
      <c r="I54" t="s">
        <v>7</v>
      </c>
      <c r="J54" t="s">
        <v>44</v>
      </c>
      <c r="K54" t="s">
        <v>65</v>
      </c>
      <c r="L54" t="s">
        <v>40</v>
      </c>
      <c r="M54">
        <v>1</v>
      </c>
    </row>
    <row r="55" spans="1:13" x14ac:dyDescent="0.25">
      <c r="A55" s="2">
        <v>46224</v>
      </c>
      <c r="B55" s="1" t="str">
        <f ca="1">IF(Información1[[#This Row],[Fecha]]='Ajuste de fechas'!$A$2,"Día actual","Día anterior")</f>
        <v>Día anterior</v>
      </c>
      <c r="C55" t="s">
        <v>63</v>
      </c>
      <c r="D55" t="s">
        <v>64</v>
      </c>
      <c r="E55" t="s">
        <v>173</v>
      </c>
      <c r="F55" t="s">
        <v>22</v>
      </c>
      <c r="G55" t="s">
        <v>174</v>
      </c>
      <c r="H55" t="s">
        <v>11</v>
      </c>
      <c r="I55" t="s">
        <v>7</v>
      </c>
      <c r="J55" t="s">
        <v>44</v>
      </c>
      <c r="K55" t="s">
        <v>65</v>
      </c>
      <c r="L55" t="s">
        <v>40</v>
      </c>
      <c r="M55">
        <v>1</v>
      </c>
    </row>
    <row r="56" spans="1:13" x14ac:dyDescent="0.25">
      <c r="A56" s="2">
        <v>46224</v>
      </c>
      <c r="B56" s="1" t="str">
        <f ca="1">IF(Información1[[#This Row],[Fecha]]='Ajuste de fechas'!$A$2,"Día actual","Día anterior")</f>
        <v>Día anterior</v>
      </c>
      <c r="C56" t="s">
        <v>63</v>
      </c>
      <c r="D56" t="s">
        <v>64</v>
      </c>
      <c r="E56" t="s">
        <v>175</v>
      </c>
      <c r="F56" t="s">
        <v>92</v>
      </c>
      <c r="G56" t="s">
        <v>176</v>
      </c>
      <c r="H56" t="s">
        <v>11</v>
      </c>
      <c r="I56" t="s">
        <v>7</v>
      </c>
      <c r="J56" t="s">
        <v>39</v>
      </c>
      <c r="K56" t="s">
        <v>65</v>
      </c>
      <c r="L56" t="s">
        <v>42</v>
      </c>
      <c r="M56">
        <v>1</v>
      </c>
    </row>
    <row r="57" spans="1:13" x14ac:dyDescent="0.25">
      <c r="A57" s="2">
        <v>46224</v>
      </c>
      <c r="B57" s="1" t="str">
        <f ca="1">IF(Información1[[#This Row],[Fecha]]='Ajuste de fechas'!$A$2,"Día actual","Día anterior")</f>
        <v>Día anterior</v>
      </c>
      <c r="C57" t="s">
        <v>63</v>
      </c>
      <c r="D57" t="s">
        <v>64</v>
      </c>
      <c r="E57" t="s">
        <v>177</v>
      </c>
      <c r="F57" t="s">
        <v>68</v>
      </c>
      <c r="G57" t="s">
        <v>69</v>
      </c>
      <c r="H57" t="s">
        <v>11</v>
      </c>
      <c r="I57" t="s">
        <v>7</v>
      </c>
      <c r="J57" t="s">
        <v>39</v>
      </c>
      <c r="K57" t="s">
        <v>65</v>
      </c>
      <c r="L57" t="s">
        <v>42</v>
      </c>
      <c r="M57">
        <v>1</v>
      </c>
    </row>
    <row r="58" spans="1:13" x14ac:dyDescent="0.25">
      <c r="A58" s="2">
        <v>46224</v>
      </c>
      <c r="B58" s="1" t="str">
        <f ca="1">IF(Información1[[#This Row],[Fecha]]='Ajuste de fechas'!$A$2,"Día actual","Día anterior")</f>
        <v>Día anterior</v>
      </c>
      <c r="C58" t="s">
        <v>63</v>
      </c>
      <c r="D58" t="s">
        <v>64</v>
      </c>
      <c r="E58" t="s">
        <v>178</v>
      </c>
      <c r="F58" t="s">
        <v>68</v>
      </c>
      <c r="G58" t="s">
        <v>119</v>
      </c>
      <c r="H58" t="s">
        <v>11</v>
      </c>
      <c r="I58" t="s">
        <v>7</v>
      </c>
      <c r="J58" t="s">
        <v>39</v>
      </c>
      <c r="K58" t="s">
        <v>65</v>
      </c>
      <c r="L58" t="s">
        <v>42</v>
      </c>
      <c r="M58">
        <v>1</v>
      </c>
    </row>
    <row r="59" spans="1:13" x14ac:dyDescent="0.25">
      <c r="A59" s="2">
        <v>46224</v>
      </c>
      <c r="B59" s="1" t="str">
        <f ca="1">IF(Información1[[#This Row],[Fecha]]='Ajuste de fechas'!$A$2,"Día actual","Día anterior")</f>
        <v>Día anterior</v>
      </c>
      <c r="C59" t="s">
        <v>63</v>
      </c>
      <c r="D59" t="s">
        <v>64</v>
      </c>
      <c r="E59" t="s">
        <v>179</v>
      </c>
      <c r="F59" t="s">
        <v>68</v>
      </c>
      <c r="G59" t="s">
        <v>83</v>
      </c>
      <c r="H59" t="s">
        <v>11</v>
      </c>
      <c r="I59" t="s">
        <v>7</v>
      </c>
      <c r="J59" t="s">
        <v>39</v>
      </c>
      <c r="K59" t="s">
        <v>65</v>
      </c>
      <c r="L59" t="s">
        <v>42</v>
      </c>
      <c r="M59">
        <v>1</v>
      </c>
    </row>
    <row r="60" spans="1:13" x14ac:dyDescent="0.25">
      <c r="A60" s="2">
        <v>46224</v>
      </c>
      <c r="B60" s="1" t="str">
        <f ca="1">IF(Información1[[#This Row],[Fecha]]='Ajuste de fechas'!$A$2,"Día actual","Día anterior")</f>
        <v>Día anterior</v>
      </c>
      <c r="C60" t="s">
        <v>63</v>
      </c>
      <c r="D60" t="s">
        <v>64</v>
      </c>
      <c r="E60" t="s">
        <v>180</v>
      </c>
      <c r="F60" t="s">
        <v>68</v>
      </c>
      <c r="G60" t="s">
        <v>83</v>
      </c>
      <c r="H60" t="s">
        <v>11</v>
      </c>
      <c r="I60" t="s">
        <v>7</v>
      </c>
      <c r="J60" t="s">
        <v>39</v>
      </c>
      <c r="K60" t="s">
        <v>65</v>
      </c>
      <c r="L60" t="s">
        <v>42</v>
      </c>
      <c r="M60">
        <v>1</v>
      </c>
    </row>
    <row r="61" spans="1:13" x14ac:dyDescent="0.25">
      <c r="A61" s="2">
        <v>46224</v>
      </c>
      <c r="B61" s="1" t="str">
        <f ca="1">IF(Información1[[#This Row],[Fecha]]='Ajuste de fechas'!$A$2,"Día actual","Día anterior")</f>
        <v>Día anterior</v>
      </c>
      <c r="C61" t="s">
        <v>63</v>
      </c>
      <c r="D61" t="s">
        <v>64</v>
      </c>
      <c r="E61" t="s">
        <v>181</v>
      </c>
      <c r="F61" t="s">
        <v>68</v>
      </c>
      <c r="G61" t="s">
        <v>119</v>
      </c>
      <c r="H61" t="s">
        <v>11</v>
      </c>
      <c r="I61" t="s">
        <v>7</v>
      </c>
      <c r="J61" t="s">
        <v>39</v>
      </c>
      <c r="K61" t="s">
        <v>65</v>
      </c>
      <c r="L61" t="s">
        <v>42</v>
      </c>
      <c r="M61">
        <v>1</v>
      </c>
    </row>
    <row r="62" spans="1:13" x14ac:dyDescent="0.25">
      <c r="A62" s="2">
        <v>46224</v>
      </c>
      <c r="B62" s="1" t="str">
        <f ca="1">IF(Información1[[#This Row],[Fecha]]='Ajuste de fechas'!$A$2,"Día actual","Día anterior")</f>
        <v>Día anterior</v>
      </c>
      <c r="C62" t="s">
        <v>63</v>
      </c>
      <c r="D62" t="s">
        <v>64</v>
      </c>
      <c r="E62" t="s">
        <v>111</v>
      </c>
      <c r="F62" t="s">
        <v>26</v>
      </c>
      <c r="G62" t="s">
        <v>91</v>
      </c>
      <c r="H62" t="s">
        <v>11</v>
      </c>
      <c r="I62" t="s">
        <v>7</v>
      </c>
      <c r="J62" t="s">
        <v>39</v>
      </c>
      <c r="K62" t="s">
        <v>65</v>
      </c>
      <c r="L62" t="s">
        <v>42</v>
      </c>
      <c r="M62">
        <v>1</v>
      </c>
    </row>
    <row r="63" spans="1:13" x14ac:dyDescent="0.25">
      <c r="A63" s="2">
        <v>46224</v>
      </c>
      <c r="B63" s="1" t="str">
        <f ca="1">IF(Información1[[#This Row],[Fecha]]='Ajuste de fechas'!$A$2,"Día actual","Día anterior")</f>
        <v>Día anterior</v>
      </c>
      <c r="C63" t="s">
        <v>50</v>
      </c>
      <c r="D63" t="s">
        <v>52</v>
      </c>
      <c r="E63" t="s">
        <v>182</v>
      </c>
      <c r="F63" t="s">
        <v>19</v>
      </c>
      <c r="G63" t="s">
        <v>156</v>
      </c>
      <c r="H63" t="s">
        <v>11</v>
      </c>
      <c r="I63" t="s">
        <v>7</v>
      </c>
      <c r="J63" t="s">
        <v>43</v>
      </c>
      <c r="K63" t="s">
        <v>51</v>
      </c>
      <c r="L63" t="s">
        <v>40</v>
      </c>
      <c r="M63">
        <v>1</v>
      </c>
    </row>
    <row r="64" spans="1:13" x14ac:dyDescent="0.25">
      <c r="A64" s="2">
        <v>46224</v>
      </c>
      <c r="B64" s="1" t="str">
        <f ca="1">IF(Información1[[#This Row],[Fecha]]='Ajuste de fechas'!$A$2,"Día actual","Día anterior")</f>
        <v>Día anterior</v>
      </c>
      <c r="C64" t="s">
        <v>50</v>
      </c>
      <c r="D64" t="s">
        <v>52</v>
      </c>
      <c r="E64" t="s">
        <v>183</v>
      </c>
      <c r="F64" t="s">
        <v>6</v>
      </c>
      <c r="G64" t="s">
        <v>184</v>
      </c>
      <c r="H64" t="s">
        <v>11</v>
      </c>
      <c r="I64" t="s">
        <v>25</v>
      </c>
      <c r="J64" t="s">
        <v>39</v>
      </c>
      <c r="K64" t="s">
        <v>9</v>
      </c>
      <c r="L64" t="s">
        <v>41</v>
      </c>
      <c r="M64">
        <v>1</v>
      </c>
    </row>
    <row r="65" spans="1:13" x14ac:dyDescent="0.25">
      <c r="A65" s="2">
        <v>46224</v>
      </c>
      <c r="B65" s="1" t="str">
        <f ca="1">IF(Información1[[#This Row],[Fecha]]='Ajuste de fechas'!$A$2,"Día actual","Día anterior")</f>
        <v>Día anterior</v>
      </c>
      <c r="C65" t="s">
        <v>50</v>
      </c>
      <c r="D65" t="s">
        <v>52</v>
      </c>
      <c r="E65" t="s">
        <v>185</v>
      </c>
      <c r="F65" t="s">
        <v>26</v>
      </c>
      <c r="G65" t="s">
        <v>186</v>
      </c>
      <c r="H65" t="s">
        <v>11</v>
      </c>
      <c r="I65" t="s">
        <v>7</v>
      </c>
      <c r="J65" t="s">
        <v>39</v>
      </c>
      <c r="K65" t="s">
        <v>49</v>
      </c>
      <c r="L65" t="s">
        <v>40</v>
      </c>
      <c r="M65">
        <v>1</v>
      </c>
    </row>
    <row r="66" spans="1:13" x14ac:dyDescent="0.25">
      <c r="A66" s="2">
        <v>46224</v>
      </c>
      <c r="B66" s="1" t="str">
        <f ca="1">IF(Información1[[#This Row],[Fecha]]='Ajuste de fechas'!$A$2,"Día actual","Día anterior")</f>
        <v>Día anterior</v>
      </c>
      <c r="C66" t="s">
        <v>50</v>
      </c>
      <c r="D66" t="s">
        <v>52</v>
      </c>
      <c r="E66" t="s">
        <v>187</v>
      </c>
      <c r="F66" t="s">
        <v>17</v>
      </c>
      <c r="G66" t="s">
        <v>76</v>
      </c>
      <c r="H66" t="s">
        <v>11</v>
      </c>
      <c r="I66" t="s">
        <v>25</v>
      </c>
      <c r="J66" t="s">
        <v>39</v>
      </c>
      <c r="K66" t="s">
        <v>9</v>
      </c>
      <c r="L66" t="s">
        <v>41</v>
      </c>
      <c r="M66">
        <v>1</v>
      </c>
    </row>
    <row r="67" spans="1:13" x14ac:dyDescent="0.25">
      <c r="A67" s="2">
        <v>46224</v>
      </c>
      <c r="B67" s="1" t="str">
        <f ca="1">IF(Información1[[#This Row],[Fecha]]='Ajuste de fechas'!$A$2,"Día actual","Día anterior")</f>
        <v>Día anterior</v>
      </c>
      <c r="C67" t="s">
        <v>50</v>
      </c>
      <c r="D67" t="s">
        <v>52</v>
      </c>
      <c r="E67" t="s">
        <v>188</v>
      </c>
      <c r="F67" t="s">
        <v>21</v>
      </c>
      <c r="G67" t="s">
        <v>93</v>
      </c>
      <c r="H67" t="s">
        <v>11</v>
      </c>
      <c r="I67" t="s">
        <v>25</v>
      </c>
      <c r="J67" t="s">
        <v>39</v>
      </c>
      <c r="K67" t="s">
        <v>51</v>
      </c>
      <c r="L67" t="s">
        <v>41</v>
      </c>
      <c r="M67">
        <v>1</v>
      </c>
    </row>
    <row r="68" spans="1:13" x14ac:dyDescent="0.25">
      <c r="A68" s="2">
        <v>46224</v>
      </c>
      <c r="B68" s="1" t="str">
        <f ca="1">IF(Información1[[#This Row],[Fecha]]='Ajuste de fechas'!$A$2,"Día actual","Día anterior")</f>
        <v>Día anterior</v>
      </c>
      <c r="C68" t="s">
        <v>50</v>
      </c>
      <c r="D68" t="s">
        <v>52</v>
      </c>
      <c r="E68" t="s">
        <v>189</v>
      </c>
      <c r="F68" t="s">
        <v>21</v>
      </c>
      <c r="G68" t="s">
        <v>93</v>
      </c>
      <c r="H68" t="s">
        <v>11</v>
      </c>
      <c r="I68" t="s">
        <v>25</v>
      </c>
      <c r="J68" t="s">
        <v>39</v>
      </c>
      <c r="K68" t="s">
        <v>9</v>
      </c>
      <c r="L68" t="s">
        <v>41</v>
      </c>
      <c r="M68">
        <v>1</v>
      </c>
    </row>
    <row r="69" spans="1:13" x14ac:dyDescent="0.25">
      <c r="A69" s="2">
        <v>46224</v>
      </c>
      <c r="B69" s="1" t="str">
        <f ca="1">IF(Información1[[#This Row],[Fecha]]='Ajuste de fechas'!$A$2,"Día actual","Día anterior")</f>
        <v>Día anterior</v>
      </c>
      <c r="C69" t="s">
        <v>50</v>
      </c>
      <c r="D69" t="s">
        <v>52</v>
      </c>
      <c r="E69" t="s">
        <v>190</v>
      </c>
      <c r="F69" t="s">
        <v>6</v>
      </c>
      <c r="G69" t="s">
        <v>191</v>
      </c>
      <c r="H69" t="s">
        <v>11</v>
      </c>
      <c r="I69" t="s">
        <v>7</v>
      </c>
      <c r="J69" t="s">
        <v>39</v>
      </c>
      <c r="K69" t="s">
        <v>51</v>
      </c>
      <c r="L69" t="s">
        <v>40</v>
      </c>
      <c r="M69">
        <v>1</v>
      </c>
    </row>
    <row r="70" spans="1:13" x14ac:dyDescent="0.25">
      <c r="A70" s="2">
        <v>46224</v>
      </c>
      <c r="B70" s="1" t="str">
        <f ca="1">IF(Información1[[#This Row],[Fecha]]='Ajuste de fechas'!$A$2,"Día actual","Día anterior")</f>
        <v>Día anterior</v>
      </c>
      <c r="C70" t="s">
        <v>50</v>
      </c>
      <c r="D70" t="s">
        <v>52</v>
      </c>
      <c r="E70" t="s">
        <v>192</v>
      </c>
      <c r="F70" t="s">
        <v>21</v>
      </c>
      <c r="G70" t="s">
        <v>90</v>
      </c>
      <c r="H70" t="s">
        <v>11</v>
      </c>
      <c r="I70" t="s">
        <v>12</v>
      </c>
      <c r="J70" t="s">
        <v>39</v>
      </c>
      <c r="K70" t="s">
        <v>49</v>
      </c>
      <c r="L70" t="s">
        <v>88</v>
      </c>
      <c r="M70">
        <v>1</v>
      </c>
    </row>
    <row r="71" spans="1:13" x14ac:dyDescent="0.25">
      <c r="A71" s="2">
        <v>46224</v>
      </c>
      <c r="B71" s="1" t="str">
        <f ca="1">IF(Información1[[#This Row],[Fecha]]='Ajuste de fechas'!$A$2,"Día actual","Día anterior")</f>
        <v>Día anterior</v>
      </c>
      <c r="C71" t="s">
        <v>50</v>
      </c>
      <c r="D71" t="s">
        <v>52</v>
      </c>
      <c r="E71" t="s">
        <v>170</v>
      </c>
      <c r="F71" t="s">
        <v>31</v>
      </c>
      <c r="G71" t="s">
        <v>115</v>
      </c>
      <c r="H71" t="s">
        <v>11</v>
      </c>
      <c r="I71" t="s">
        <v>7</v>
      </c>
      <c r="J71" t="s">
        <v>39</v>
      </c>
      <c r="K71" t="s">
        <v>49</v>
      </c>
      <c r="L71" t="s">
        <v>42</v>
      </c>
      <c r="M71">
        <v>1</v>
      </c>
    </row>
    <row r="72" spans="1:13" x14ac:dyDescent="0.25">
      <c r="A72" s="2">
        <v>46224</v>
      </c>
      <c r="B72" s="1" t="str">
        <f ca="1">IF(Información1[[#This Row],[Fecha]]='Ajuste de fechas'!$A$2,"Día actual","Día anterior")</f>
        <v>Día anterior</v>
      </c>
      <c r="C72" t="s">
        <v>50</v>
      </c>
      <c r="D72" t="s">
        <v>52</v>
      </c>
      <c r="E72" t="s">
        <v>193</v>
      </c>
      <c r="F72" t="s">
        <v>68</v>
      </c>
      <c r="G72" t="s">
        <v>194</v>
      </c>
      <c r="H72" t="s">
        <v>11</v>
      </c>
      <c r="I72" t="s">
        <v>12</v>
      </c>
      <c r="J72" t="s">
        <v>39</v>
      </c>
      <c r="K72" t="s">
        <v>49</v>
      </c>
      <c r="L72" t="s">
        <v>195</v>
      </c>
      <c r="M72">
        <v>1</v>
      </c>
    </row>
    <row r="73" spans="1:13" x14ac:dyDescent="0.25">
      <c r="A73" s="2">
        <v>46224</v>
      </c>
      <c r="B73" s="1" t="str">
        <f ca="1">IF(Información1[[#This Row],[Fecha]]='Ajuste de fechas'!$A$2,"Día actual","Día anterior")</f>
        <v>Día anterior</v>
      </c>
      <c r="C73" t="s">
        <v>50</v>
      </c>
      <c r="D73" t="s">
        <v>52</v>
      </c>
      <c r="E73" t="s">
        <v>196</v>
      </c>
      <c r="F73" t="s">
        <v>21</v>
      </c>
      <c r="G73" t="s">
        <v>105</v>
      </c>
      <c r="H73" t="s">
        <v>11</v>
      </c>
      <c r="I73" t="s">
        <v>7</v>
      </c>
      <c r="J73" t="s">
        <v>39</v>
      </c>
      <c r="K73" t="s">
        <v>51</v>
      </c>
      <c r="L73" t="s">
        <v>88</v>
      </c>
      <c r="M73">
        <v>1</v>
      </c>
    </row>
    <row r="74" spans="1:13" x14ac:dyDescent="0.25">
      <c r="A74" s="2">
        <v>46224</v>
      </c>
      <c r="B74" s="1" t="str">
        <f ca="1">IF(Información1[[#This Row],[Fecha]]='Ajuste de fechas'!$A$2,"Día actual","Día anterior")</f>
        <v>Día anterior</v>
      </c>
      <c r="C74" t="s">
        <v>50</v>
      </c>
      <c r="D74" t="s">
        <v>52</v>
      </c>
      <c r="E74" t="s">
        <v>111</v>
      </c>
      <c r="F74" t="s">
        <v>26</v>
      </c>
      <c r="G74" t="s">
        <v>91</v>
      </c>
      <c r="H74" t="s">
        <v>11</v>
      </c>
      <c r="I74" t="s">
        <v>7</v>
      </c>
      <c r="J74" t="s">
        <v>39</v>
      </c>
      <c r="K74" t="s">
        <v>49</v>
      </c>
      <c r="L74" t="s">
        <v>42</v>
      </c>
      <c r="M74">
        <v>1</v>
      </c>
    </row>
    <row r="75" spans="1:13" x14ac:dyDescent="0.25">
      <c r="A75" s="2">
        <v>46224</v>
      </c>
      <c r="B75" s="1" t="str">
        <f ca="1">IF(Información1[[#This Row],[Fecha]]='Ajuste de fechas'!$A$2,"Día actual","Día anterior")</f>
        <v>Día anterior</v>
      </c>
      <c r="C75" t="s">
        <v>50</v>
      </c>
      <c r="D75" t="s">
        <v>52</v>
      </c>
      <c r="E75" t="s">
        <v>197</v>
      </c>
      <c r="F75" t="s">
        <v>23</v>
      </c>
      <c r="G75" t="s">
        <v>127</v>
      </c>
      <c r="H75" t="s">
        <v>11</v>
      </c>
      <c r="I75" t="s">
        <v>7</v>
      </c>
      <c r="J75" t="s">
        <v>39</v>
      </c>
      <c r="K75" t="s">
        <v>49</v>
      </c>
      <c r="L75" t="s">
        <v>42</v>
      </c>
      <c r="M75">
        <v>1</v>
      </c>
    </row>
    <row r="76" spans="1:13" x14ac:dyDescent="0.25">
      <c r="A76" s="2">
        <v>46224</v>
      </c>
      <c r="B76" s="1" t="str">
        <f ca="1">IF(Información1[[#This Row],[Fecha]]='Ajuste de fechas'!$A$2,"Día actual","Día anterior")</f>
        <v>Día anterior</v>
      </c>
      <c r="C76" t="s">
        <v>59</v>
      </c>
      <c r="D76" t="s">
        <v>60</v>
      </c>
      <c r="E76" t="s">
        <v>199</v>
      </c>
      <c r="F76" t="s">
        <v>21</v>
      </c>
      <c r="G76" t="s">
        <v>200</v>
      </c>
      <c r="H76" t="s">
        <v>11</v>
      </c>
      <c r="I76" t="s">
        <v>7</v>
      </c>
      <c r="J76" t="s">
        <v>39</v>
      </c>
      <c r="K76" t="s">
        <v>61</v>
      </c>
      <c r="L76" t="s">
        <v>42</v>
      </c>
      <c r="M76">
        <v>1</v>
      </c>
    </row>
    <row r="77" spans="1:13" x14ac:dyDescent="0.25">
      <c r="A77" s="2">
        <v>46224</v>
      </c>
      <c r="B77" s="1" t="str">
        <f ca="1">IF(Información1[[#This Row],[Fecha]]='Ajuste de fechas'!$A$2,"Día actual","Día anterior")</f>
        <v>Día anterior</v>
      </c>
      <c r="C77" t="s">
        <v>59</v>
      </c>
      <c r="D77" t="s">
        <v>60</v>
      </c>
      <c r="E77" t="s">
        <v>96</v>
      </c>
      <c r="F77" t="s">
        <v>24</v>
      </c>
      <c r="G77" t="s">
        <v>97</v>
      </c>
      <c r="H77" t="s">
        <v>11</v>
      </c>
      <c r="I77" t="s">
        <v>7</v>
      </c>
      <c r="J77" t="s">
        <v>24</v>
      </c>
      <c r="K77" t="s">
        <v>61</v>
      </c>
      <c r="L77" t="s">
        <v>40</v>
      </c>
      <c r="M77">
        <v>1</v>
      </c>
    </row>
    <row r="78" spans="1:13" x14ac:dyDescent="0.25">
      <c r="A78" s="2">
        <v>46224</v>
      </c>
      <c r="B78" s="1" t="str">
        <f ca="1">IF(Información1[[#This Row],[Fecha]]='Ajuste de fechas'!$A$2,"Día actual","Día anterior")</f>
        <v>Día anterior</v>
      </c>
      <c r="C78" t="s">
        <v>59</v>
      </c>
      <c r="D78" t="s">
        <v>60</v>
      </c>
      <c r="E78" t="s">
        <v>201</v>
      </c>
      <c r="F78" t="s">
        <v>202</v>
      </c>
      <c r="G78" t="s">
        <v>203</v>
      </c>
      <c r="H78" t="s">
        <v>11</v>
      </c>
      <c r="I78" t="s">
        <v>7</v>
      </c>
      <c r="J78" t="s">
        <v>24</v>
      </c>
      <c r="K78" t="s">
        <v>61</v>
      </c>
      <c r="L78" t="s">
        <v>40</v>
      </c>
      <c r="M78">
        <v>1</v>
      </c>
    </row>
    <row r="79" spans="1:13" x14ac:dyDescent="0.25">
      <c r="A79" s="2">
        <v>46224</v>
      </c>
      <c r="B79" s="1" t="str">
        <f ca="1">IF(Información1[[#This Row],[Fecha]]='Ajuste de fechas'!$A$2,"Día actual","Día anterior")</f>
        <v>Día anterior</v>
      </c>
      <c r="C79" t="s">
        <v>59</v>
      </c>
      <c r="D79" t="s">
        <v>60</v>
      </c>
      <c r="E79" t="s">
        <v>204</v>
      </c>
      <c r="F79" t="s">
        <v>48</v>
      </c>
      <c r="G79" t="s">
        <v>74</v>
      </c>
      <c r="H79" t="s">
        <v>11</v>
      </c>
      <c r="I79" t="s">
        <v>7</v>
      </c>
      <c r="J79" t="s">
        <v>39</v>
      </c>
      <c r="K79" t="s">
        <v>61</v>
      </c>
      <c r="L79" t="s">
        <v>40</v>
      </c>
      <c r="M79">
        <v>1</v>
      </c>
    </row>
    <row r="80" spans="1:13" x14ac:dyDescent="0.25">
      <c r="A80" s="2">
        <v>46224</v>
      </c>
      <c r="B80" s="1" t="str">
        <f ca="1">IF(Información1[[#This Row],[Fecha]]='Ajuste de fechas'!$A$2,"Día actual","Día anterior")</f>
        <v>Día anterior</v>
      </c>
      <c r="C80" t="s">
        <v>59</v>
      </c>
      <c r="D80" t="s">
        <v>60</v>
      </c>
      <c r="E80" t="s">
        <v>205</v>
      </c>
      <c r="F80" t="s">
        <v>26</v>
      </c>
      <c r="G80" t="s">
        <v>91</v>
      </c>
      <c r="H80" t="s">
        <v>11</v>
      </c>
      <c r="I80" t="s">
        <v>7</v>
      </c>
      <c r="J80" t="s">
        <v>39</v>
      </c>
      <c r="K80" t="s">
        <v>61</v>
      </c>
      <c r="L80" t="s">
        <v>42</v>
      </c>
      <c r="M80">
        <v>1</v>
      </c>
    </row>
    <row r="81" spans="1:13" x14ac:dyDescent="0.25">
      <c r="A81" s="2">
        <v>46224</v>
      </c>
      <c r="B81" s="1" t="str">
        <f ca="1">IF(Información1[[#This Row],[Fecha]]='Ajuste de fechas'!$A$2,"Día actual","Día anterior")</f>
        <v>Día anterior</v>
      </c>
      <c r="C81" t="s">
        <v>59</v>
      </c>
      <c r="D81" t="s">
        <v>60</v>
      </c>
      <c r="E81" t="s">
        <v>206</v>
      </c>
      <c r="F81" t="s">
        <v>19</v>
      </c>
      <c r="G81" t="s">
        <v>207</v>
      </c>
      <c r="H81" t="s">
        <v>11</v>
      </c>
      <c r="I81" t="s">
        <v>25</v>
      </c>
      <c r="J81" t="s">
        <v>43</v>
      </c>
      <c r="K81" t="s">
        <v>61</v>
      </c>
      <c r="L81" t="s">
        <v>40</v>
      </c>
      <c r="M81">
        <v>1</v>
      </c>
    </row>
    <row r="82" spans="1:13" x14ac:dyDescent="0.25">
      <c r="A82" s="2">
        <v>46224</v>
      </c>
      <c r="B82" s="1" t="str">
        <f ca="1">IF(Información1[[#This Row],[Fecha]]='Ajuste de fechas'!$A$2,"Día actual","Día anterior")</f>
        <v>Día anterior</v>
      </c>
      <c r="C82" t="s">
        <v>59</v>
      </c>
      <c r="D82" t="s">
        <v>60</v>
      </c>
      <c r="E82" t="s">
        <v>208</v>
      </c>
      <c r="F82" t="s">
        <v>68</v>
      </c>
      <c r="G82" t="s">
        <v>119</v>
      </c>
      <c r="H82" t="s">
        <v>11</v>
      </c>
      <c r="I82" t="s">
        <v>7</v>
      </c>
      <c r="J82" t="s">
        <v>39</v>
      </c>
      <c r="K82" t="s">
        <v>61</v>
      </c>
      <c r="L82" t="s">
        <v>42</v>
      </c>
      <c r="M82">
        <v>1</v>
      </c>
    </row>
    <row r="83" spans="1:13" x14ac:dyDescent="0.25">
      <c r="A83" s="2">
        <v>46224</v>
      </c>
      <c r="B83" s="1" t="str">
        <f ca="1">IF(Información1[[#This Row],[Fecha]]='Ajuste de fechas'!$A$2,"Día actual","Día anterior")</f>
        <v>Día anterior</v>
      </c>
      <c r="C83" t="s">
        <v>59</v>
      </c>
      <c r="D83" t="s">
        <v>60</v>
      </c>
      <c r="E83" t="s">
        <v>209</v>
      </c>
      <c r="F83" t="s">
        <v>68</v>
      </c>
      <c r="G83" t="s">
        <v>83</v>
      </c>
      <c r="H83" t="s">
        <v>11</v>
      </c>
      <c r="I83" t="s">
        <v>7</v>
      </c>
      <c r="J83" t="s">
        <v>39</v>
      </c>
      <c r="K83" t="s">
        <v>61</v>
      </c>
      <c r="L83" t="s">
        <v>40</v>
      </c>
      <c r="M83">
        <v>1</v>
      </c>
    </row>
    <row r="84" spans="1:13" x14ac:dyDescent="0.25">
      <c r="A84" s="2">
        <v>46224</v>
      </c>
      <c r="B84" s="1" t="str">
        <f ca="1">IF(Información1[[#This Row],[Fecha]]='Ajuste de fechas'!$A$2,"Día actual","Día anterior")</f>
        <v>Día anterior</v>
      </c>
      <c r="C84" t="s">
        <v>59</v>
      </c>
      <c r="D84" t="s">
        <v>60</v>
      </c>
      <c r="E84" t="s">
        <v>210</v>
      </c>
      <c r="F84" t="s">
        <v>15</v>
      </c>
      <c r="G84" t="s">
        <v>83</v>
      </c>
      <c r="H84" t="s">
        <v>11</v>
      </c>
      <c r="I84" t="s">
        <v>7</v>
      </c>
      <c r="J84" t="s">
        <v>39</v>
      </c>
      <c r="K84" t="s">
        <v>61</v>
      </c>
      <c r="L84" t="s">
        <v>40</v>
      </c>
      <c r="M84">
        <v>1</v>
      </c>
    </row>
    <row r="85" spans="1:13" x14ac:dyDescent="0.25">
      <c r="A85" s="2">
        <v>46224</v>
      </c>
      <c r="B85" s="1" t="str">
        <f ca="1">IF(Información1[[#This Row],[Fecha]]='Ajuste de fechas'!$A$2,"Día actual","Día anterior")</f>
        <v>Día anterior</v>
      </c>
      <c r="C85" t="s">
        <v>59</v>
      </c>
      <c r="D85" t="s">
        <v>60</v>
      </c>
      <c r="E85" t="s">
        <v>211</v>
      </c>
      <c r="F85" t="s">
        <v>24</v>
      </c>
      <c r="G85" t="s">
        <v>212</v>
      </c>
      <c r="H85" t="s">
        <v>11</v>
      </c>
      <c r="I85" t="s">
        <v>7</v>
      </c>
      <c r="J85" t="s">
        <v>24</v>
      </c>
      <c r="K85" t="s">
        <v>61</v>
      </c>
      <c r="L85" t="s">
        <v>40</v>
      </c>
      <c r="M85">
        <v>1</v>
      </c>
    </row>
    <row r="86" spans="1:13" x14ac:dyDescent="0.25">
      <c r="A86" s="2">
        <v>46224</v>
      </c>
      <c r="B86" s="1" t="str">
        <f ca="1">IF(Información1[[#This Row],[Fecha]]='Ajuste de fechas'!$A$2,"Día actual","Día anterior")</f>
        <v>Día anterior</v>
      </c>
      <c r="C86" t="s">
        <v>59</v>
      </c>
      <c r="D86" t="s">
        <v>60</v>
      </c>
      <c r="E86" t="s">
        <v>213</v>
      </c>
      <c r="F86" t="s">
        <v>75</v>
      </c>
      <c r="G86" t="s">
        <v>214</v>
      </c>
      <c r="H86" t="s">
        <v>11</v>
      </c>
      <c r="I86" t="s">
        <v>7</v>
      </c>
      <c r="J86" t="s">
        <v>39</v>
      </c>
      <c r="K86" t="s">
        <v>61</v>
      </c>
      <c r="L86" t="s">
        <v>40</v>
      </c>
      <c r="M86">
        <v>1</v>
      </c>
    </row>
    <row r="87" spans="1:13" x14ac:dyDescent="0.25">
      <c r="A87" s="2">
        <v>46224</v>
      </c>
      <c r="B87" s="1" t="str">
        <f ca="1">IF(Información1[[#This Row],[Fecha]]='Ajuste de fechas'!$A$2,"Día actual","Día anterior")</f>
        <v>Día anterior</v>
      </c>
      <c r="C87" t="s">
        <v>59</v>
      </c>
      <c r="D87" t="s">
        <v>60</v>
      </c>
      <c r="E87" t="s">
        <v>62</v>
      </c>
      <c r="F87" t="s">
        <v>19</v>
      </c>
      <c r="G87" t="s">
        <v>56</v>
      </c>
      <c r="H87" t="s">
        <v>11</v>
      </c>
      <c r="I87" t="s">
        <v>7</v>
      </c>
      <c r="J87" t="s">
        <v>43</v>
      </c>
      <c r="K87" t="s">
        <v>61</v>
      </c>
      <c r="L87" t="s">
        <v>100</v>
      </c>
      <c r="M87">
        <v>1</v>
      </c>
    </row>
    <row r="88" spans="1:13" x14ac:dyDescent="0.25">
      <c r="A88" s="2">
        <v>46224</v>
      </c>
      <c r="B88" s="1" t="str">
        <f ca="1">IF(Información1[[#This Row],[Fecha]]='Ajuste de fechas'!$A$2,"Día actual","Día anterior")</f>
        <v>Día anterior</v>
      </c>
      <c r="C88" t="s">
        <v>59</v>
      </c>
      <c r="D88" t="s">
        <v>60</v>
      </c>
      <c r="E88" t="s">
        <v>215</v>
      </c>
      <c r="F88" t="s">
        <v>19</v>
      </c>
      <c r="G88" t="s">
        <v>216</v>
      </c>
      <c r="H88" t="s">
        <v>11</v>
      </c>
      <c r="I88" t="s">
        <v>7</v>
      </c>
      <c r="J88" t="s">
        <v>43</v>
      </c>
      <c r="K88" t="s">
        <v>61</v>
      </c>
      <c r="L88" t="s">
        <v>40</v>
      </c>
      <c r="M88">
        <v>1</v>
      </c>
    </row>
    <row r="89" spans="1:13" x14ac:dyDescent="0.25">
      <c r="A89" s="2">
        <v>46224</v>
      </c>
      <c r="B89" s="1" t="str">
        <f ca="1">IF(Información1[[#This Row],[Fecha]]='Ajuste de fechas'!$A$2,"Día actual","Día anterior")</f>
        <v>Día anterior</v>
      </c>
      <c r="C89" t="s">
        <v>59</v>
      </c>
      <c r="D89" t="s">
        <v>60</v>
      </c>
      <c r="E89" t="s">
        <v>217</v>
      </c>
      <c r="F89" t="s">
        <v>102</v>
      </c>
      <c r="G89" t="s">
        <v>108</v>
      </c>
      <c r="H89" t="s">
        <v>11</v>
      </c>
      <c r="I89" t="s">
        <v>7</v>
      </c>
      <c r="J89" t="s">
        <v>24</v>
      </c>
      <c r="K89" t="s">
        <v>61</v>
      </c>
      <c r="L89" t="s">
        <v>40</v>
      </c>
      <c r="M89">
        <v>1</v>
      </c>
    </row>
    <row r="90" spans="1:13" x14ac:dyDescent="0.25">
      <c r="A90" s="2">
        <v>46224</v>
      </c>
      <c r="B90" s="1" t="str">
        <f ca="1">IF(Información1[[#This Row],[Fecha]]='Ajuste de fechas'!$A$2,"Día actual","Día anterior")</f>
        <v>Día anterior</v>
      </c>
      <c r="C90" t="s">
        <v>59</v>
      </c>
      <c r="D90" t="s">
        <v>60</v>
      </c>
      <c r="E90" t="s">
        <v>218</v>
      </c>
      <c r="F90" t="s">
        <v>19</v>
      </c>
      <c r="G90" t="s">
        <v>106</v>
      </c>
      <c r="H90" t="s">
        <v>11</v>
      </c>
      <c r="I90" t="s">
        <v>7</v>
      </c>
      <c r="J90" t="s">
        <v>43</v>
      </c>
      <c r="K90" t="s">
        <v>61</v>
      </c>
      <c r="L90" t="s">
        <v>40</v>
      </c>
      <c r="M90">
        <v>1</v>
      </c>
    </row>
    <row r="91" spans="1:13" x14ac:dyDescent="0.25">
      <c r="A91" s="2">
        <v>46224</v>
      </c>
      <c r="B91" s="1" t="str">
        <f ca="1">IF(Información1[[#This Row],[Fecha]]='Ajuste de fechas'!$A$2,"Día actual","Día anterior")</f>
        <v>Día anterior</v>
      </c>
      <c r="C91" t="s">
        <v>59</v>
      </c>
      <c r="D91" t="s">
        <v>60</v>
      </c>
      <c r="E91" t="s">
        <v>219</v>
      </c>
      <c r="F91" t="s">
        <v>15</v>
      </c>
      <c r="G91" t="s">
        <v>220</v>
      </c>
      <c r="H91" t="s">
        <v>11</v>
      </c>
      <c r="I91" t="s">
        <v>7</v>
      </c>
      <c r="J91" t="s">
        <v>39</v>
      </c>
      <c r="K91" t="s">
        <v>61</v>
      </c>
      <c r="L91" t="s">
        <v>40</v>
      </c>
      <c r="M91">
        <v>1</v>
      </c>
    </row>
    <row r="92" spans="1:13" x14ac:dyDescent="0.25">
      <c r="A92" s="2">
        <v>46224</v>
      </c>
      <c r="B92" s="1" t="str">
        <f ca="1">IF(Información1[[#This Row],[Fecha]]='Ajuste de fechas'!$A$2,"Día actual","Día anterior")</f>
        <v>Día anterior</v>
      </c>
      <c r="C92" t="s">
        <v>29</v>
      </c>
      <c r="D92" t="s">
        <v>30</v>
      </c>
      <c r="E92" t="s">
        <v>221</v>
      </c>
      <c r="F92" t="s">
        <v>17</v>
      </c>
      <c r="G92" t="s">
        <v>76</v>
      </c>
      <c r="H92" t="s">
        <v>57</v>
      </c>
      <c r="I92" t="s">
        <v>25</v>
      </c>
      <c r="J92" t="s">
        <v>39</v>
      </c>
      <c r="K92" t="s">
        <v>9</v>
      </c>
      <c r="L92" t="s">
        <v>41</v>
      </c>
      <c r="M92">
        <v>1</v>
      </c>
    </row>
    <row r="93" spans="1:13" x14ac:dyDescent="0.25">
      <c r="A93" s="2">
        <v>46224</v>
      </c>
      <c r="B93" s="1" t="str">
        <f ca="1">IF(Información1[[#This Row],[Fecha]]='Ajuste de fechas'!$A$2,"Día actual","Día anterior")</f>
        <v>Día anterior</v>
      </c>
      <c r="C93" t="s">
        <v>29</v>
      </c>
      <c r="D93" t="s">
        <v>30</v>
      </c>
      <c r="E93" t="s">
        <v>222</v>
      </c>
      <c r="F93" t="s">
        <v>19</v>
      </c>
      <c r="G93" t="s">
        <v>159</v>
      </c>
      <c r="H93" t="s">
        <v>57</v>
      </c>
      <c r="I93" t="s">
        <v>7</v>
      </c>
      <c r="J93" t="s">
        <v>43</v>
      </c>
      <c r="K93" t="s">
        <v>80</v>
      </c>
      <c r="L93" t="s">
        <v>100</v>
      </c>
      <c r="M93">
        <v>1</v>
      </c>
    </row>
    <row r="94" spans="1:13" x14ac:dyDescent="0.25">
      <c r="A94" s="2">
        <v>46224</v>
      </c>
      <c r="B94" s="1" t="str">
        <f ca="1">IF(Información1[[#This Row],[Fecha]]='Ajuste de fechas'!$A$2,"Día actual","Día anterior")</f>
        <v>Día anterior</v>
      </c>
      <c r="C94" t="s">
        <v>29</v>
      </c>
      <c r="D94" t="s">
        <v>30</v>
      </c>
      <c r="E94" t="s">
        <v>223</v>
      </c>
      <c r="F94" t="s">
        <v>6</v>
      </c>
      <c r="G94" t="s">
        <v>94</v>
      </c>
      <c r="H94" t="s">
        <v>57</v>
      </c>
      <c r="I94" t="s">
        <v>25</v>
      </c>
      <c r="J94" t="s">
        <v>39</v>
      </c>
      <c r="K94" t="s">
        <v>27</v>
      </c>
      <c r="L94" t="s">
        <v>40</v>
      </c>
      <c r="M94">
        <v>1</v>
      </c>
    </row>
    <row r="95" spans="1:13" x14ac:dyDescent="0.25">
      <c r="A95" s="2">
        <v>46224</v>
      </c>
      <c r="B95" s="1" t="str">
        <f ca="1">IF(Información1[[#This Row],[Fecha]]='Ajuste de fechas'!$A$2,"Día actual","Día anterior")</f>
        <v>Día anterior</v>
      </c>
      <c r="C95" t="s">
        <v>29</v>
      </c>
      <c r="D95" t="s">
        <v>30</v>
      </c>
      <c r="E95" t="s">
        <v>224</v>
      </c>
      <c r="F95" t="s">
        <v>19</v>
      </c>
      <c r="G95" t="s">
        <v>225</v>
      </c>
      <c r="H95" t="s">
        <v>57</v>
      </c>
      <c r="I95" t="s">
        <v>7</v>
      </c>
      <c r="J95" t="s">
        <v>43</v>
      </c>
      <c r="K95" t="s">
        <v>27</v>
      </c>
      <c r="L95" t="s">
        <v>40</v>
      </c>
      <c r="M95">
        <v>1</v>
      </c>
    </row>
    <row r="96" spans="1:13" x14ac:dyDescent="0.25">
      <c r="A96" s="2">
        <v>46224</v>
      </c>
      <c r="B96" s="1" t="str">
        <f ca="1">IF(Información1[[#This Row],[Fecha]]='Ajuste de fechas'!$A$2,"Día actual","Día anterior")</f>
        <v>Día anterior</v>
      </c>
      <c r="C96" t="s">
        <v>29</v>
      </c>
      <c r="D96" t="s">
        <v>30</v>
      </c>
      <c r="E96" t="s">
        <v>226</v>
      </c>
      <c r="F96" t="s">
        <v>227</v>
      </c>
      <c r="G96" t="s">
        <v>156</v>
      </c>
      <c r="H96" t="s">
        <v>57</v>
      </c>
      <c r="I96" t="s">
        <v>7</v>
      </c>
      <c r="J96" t="s">
        <v>39</v>
      </c>
      <c r="K96" t="s">
        <v>27</v>
      </c>
      <c r="L96" t="s">
        <v>40</v>
      </c>
      <c r="M96">
        <v>1</v>
      </c>
    </row>
    <row r="97" spans="1:13" x14ac:dyDescent="0.25">
      <c r="A97" s="2">
        <v>46224</v>
      </c>
      <c r="B97" s="1" t="str">
        <f ca="1">IF(Información1[[#This Row],[Fecha]]='Ajuste de fechas'!$A$2,"Día actual","Día anterior")</f>
        <v>Día anterior</v>
      </c>
      <c r="C97" t="s">
        <v>29</v>
      </c>
      <c r="D97" t="s">
        <v>30</v>
      </c>
      <c r="E97" t="s">
        <v>228</v>
      </c>
      <c r="F97" t="s">
        <v>15</v>
      </c>
      <c r="G97" t="s">
        <v>58</v>
      </c>
      <c r="H97" t="s">
        <v>57</v>
      </c>
      <c r="I97" t="s">
        <v>7</v>
      </c>
      <c r="J97" t="s">
        <v>39</v>
      </c>
      <c r="K97" t="s">
        <v>27</v>
      </c>
      <c r="L97" t="s">
        <v>41</v>
      </c>
      <c r="M97">
        <v>1</v>
      </c>
    </row>
    <row r="98" spans="1:13" x14ac:dyDescent="0.25">
      <c r="A98" s="2">
        <v>46224</v>
      </c>
      <c r="B98" s="1" t="str">
        <f ca="1">IF(Información1[[#This Row],[Fecha]]='Ajuste de fechas'!$A$2,"Día actual","Día anterior")</f>
        <v>Día anterior</v>
      </c>
      <c r="C98" t="s">
        <v>29</v>
      </c>
      <c r="D98" t="s">
        <v>30</v>
      </c>
      <c r="E98" t="s">
        <v>229</v>
      </c>
      <c r="F98" t="s">
        <v>15</v>
      </c>
      <c r="G98" t="s">
        <v>230</v>
      </c>
      <c r="H98" t="s">
        <v>57</v>
      </c>
      <c r="I98" t="s">
        <v>7</v>
      </c>
      <c r="J98" t="s">
        <v>39</v>
      </c>
      <c r="K98" t="s">
        <v>27</v>
      </c>
      <c r="L98" t="s">
        <v>41</v>
      </c>
      <c r="M98">
        <v>1</v>
      </c>
    </row>
    <row r="99" spans="1:13" x14ac:dyDescent="0.25">
      <c r="A99" s="2">
        <v>46224</v>
      </c>
      <c r="B99" s="1" t="str">
        <f ca="1">IF(Información1[[#This Row],[Fecha]]='Ajuste de fechas'!$A$2,"Día actual","Día anterior")</f>
        <v>Día anterior</v>
      </c>
      <c r="C99" t="s">
        <v>29</v>
      </c>
      <c r="D99" t="s">
        <v>30</v>
      </c>
      <c r="E99" t="s">
        <v>231</v>
      </c>
      <c r="F99" t="s">
        <v>19</v>
      </c>
      <c r="G99" t="s">
        <v>207</v>
      </c>
      <c r="H99" t="s">
        <v>57</v>
      </c>
      <c r="I99" t="s">
        <v>25</v>
      </c>
      <c r="J99" t="s">
        <v>43</v>
      </c>
      <c r="K99" t="s">
        <v>27</v>
      </c>
      <c r="L99" t="s">
        <v>40</v>
      </c>
      <c r="M99">
        <v>1</v>
      </c>
    </row>
    <row r="100" spans="1:13" x14ac:dyDescent="0.25">
      <c r="A100" s="2">
        <v>46224</v>
      </c>
      <c r="B100" s="1" t="str">
        <f ca="1">IF(Información1[[#This Row],[Fecha]]='Ajuste de fechas'!$A$2,"Día actual","Día anterior")</f>
        <v>Día anterior</v>
      </c>
      <c r="C100" t="s">
        <v>29</v>
      </c>
      <c r="D100" t="s">
        <v>30</v>
      </c>
      <c r="E100" t="s">
        <v>232</v>
      </c>
      <c r="F100" t="s">
        <v>15</v>
      </c>
      <c r="G100" t="s">
        <v>58</v>
      </c>
      <c r="H100" t="s">
        <v>57</v>
      </c>
      <c r="I100" t="s">
        <v>7</v>
      </c>
      <c r="J100" t="s">
        <v>39</v>
      </c>
      <c r="K100" t="s">
        <v>27</v>
      </c>
      <c r="L100" t="s">
        <v>40</v>
      </c>
      <c r="M100">
        <v>1</v>
      </c>
    </row>
    <row r="101" spans="1:13" x14ac:dyDescent="0.25">
      <c r="A101" s="2">
        <v>46224</v>
      </c>
      <c r="B101" s="1" t="str">
        <f ca="1">IF(Información1[[#This Row],[Fecha]]='Ajuste de fechas'!$A$2,"Día actual","Día anterior")</f>
        <v>Día anterior</v>
      </c>
      <c r="C101" t="s">
        <v>29</v>
      </c>
      <c r="D101" t="s">
        <v>30</v>
      </c>
      <c r="E101" t="s">
        <v>161</v>
      </c>
      <c r="F101" t="s">
        <v>26</v>
      </c>
      <c r="G101" t="s">
        <v>91</v>
      </c>
      <c r="H101" t="s">
        <v>57</v>
      </c>
      <c r="I101" t="s">
        <v>7</v>
      </c>
      <c r="J101" t="s">
        <v>39</v>
      </c>
      <c r="K101" t="s">
        <v>27</v>
      </c>
      <c r="L101" t="s">
        <v>42</v>
      </c>
      <c r="M101">
        <v>1</v>
      </c>
    </row>
    <row r="102" spans="1:13" x14ac:dyDescent="0.25">
      <c r="A102" s="2">
        <v>46224</v>
      </c>
      <c r="B102" s="1" t="str">
        <f ca="1">IF(Información1[[#This Row],[Fecha]]='Ajuste de fechas'!$A$2,"Día actual","Día anterior")</f>
        <v>Día anterior</v>
      </c>
      <c r="C102" t="s">
        <v>29</v>
      </c>
      <c r="D102" t="s">
        <v>30</v>
      </c>
      <c r="E102" t="s">
        <v>233</v>
      </c>
      <c r="F102" t="s">
        <v>26</v>
      </c>
      <c r="G102" t="s">
        <v>84</v>
      </c>
      <c r="H102" t="s">
        <v>57</v>
      </c>
      <c r="I102" t="s">
        <v>7</v>
      </c>
      <c r="J102" t="s">
        <v>39</v>
      </c>
      <c r="K102" t="s">
        <v>27</v>
      </c>
      <c r="L102" t="s">
        <v>40</v>
      </c>
      <c r="M102">
        <v>1</v>
      </c>
    </row>
    <row r="103" spans="1:13" x14ac:dyDescent="0.25">
      <c r="A103" s="2">
        <v>46224</v>
      </c>
      <c r="B103" s="1" t="str">
        <f ca="1">IF(Información1[[#This Row],[Fecha]]='Ajuste de fechas'!$A$2,"Día actual","Día anterior")</f>
        <v>Día anterior</v>
      </c>
      <c r="C103" t="s">
        <v>72</v>
      </c>
      <c r="D103" t="s">
        <v>73</v>
      </c>
      <c r="E103" t="s">
        <v>234</v>
      </c>
      <c r="F103" t="s">
        <v>26</v>
      </c>
      <c r="G103" t="s">
        <v>235</v>
      </c>
      <c r="H103" t="s">
        <v>57</v>
      </c>
      <c r="I103" t="s">
        <v>7</v>
      </c>
      <c r="J103" t="s">
        <v>39</v>
      </c>
      <c r="K103" t="s">
        <v>49</v>
      </c>
      <c r="L103" t="s">
        <v>40</v>
      </c>
      <c r="M103">
        <v>1</v>
      </c>
    </row>
    <row r="104" spans="1:13" x14ac:dyDescent="0.25">
      <c r="A104" s="2">
        <v>46224</v>
      </c>
      <c r="B104" s="1" t="str">
        <f ca="1">IF(Información1[[#This Row],[Fecha]]='Ajuste de fechas'!$A$2,"Día actual","Día anterior")</f>
        <v>Día anterior</v>
      </c>
      <c r="C104" t="s">
        <v>72</v>
      </c>
      <c r="D104" t="s">
        <v>73</v>
      </c>
      <c r="E104" t="s">
        <v>236</v>
      </c>
      <c r="F104" t="s">
        <v>23</v>
      </c>
      <c r="G104" t="s">
        <v>127</v>
      </c>
      <c r="H104" t="s">
        <v>57</v>
      </c>
      <c r="I104" t="s">
        <v>7</v>
      </c>
      <c r="J104" t="s">
        <v>39</v>
      </c>
      <c r="K104" t="s">
        <v>49</v>
      </c>
      <c r="L104" t="s">
        <v>42</v>
      </c>
      <c r="M104">
        <v>1</v>
      </c>
    </row>
    <row r="105" spans="1:13" x14ac:dyDescent="0.25">
      <c r="A105" s="2">
        <v>46224</v>
      </c>
      <c r="B105" s="1" t="str">
        <f ca="1">IF(Información1[[#This Row],[Fecha]]='Ajuste de fechas'!$A$2,"Día actual","Día anterior")</f>
        <v>Día anterior</v>
      </c>
      <c r="C105" t="s">
        <v>72</v>
      </c>
      <c r="D105" t="s">
        <v>73</v>
      </c>
      <c r="E105" t="s">
        <v>161</v>
      </c>
      <c r="F105" t="s">
        <v>26</v>
      </c>
      <c r="G105" t="s">
        <v>91</v>
      </c>
      <c r="H105" t="s">
        <v>57</v>
      </c>
      <c r="I105" t="s">
        <v>7</v>
      </c>
      <c r="J105" t="s">
        <v>39</v>
      </c>
      <c r="K105" t="s">
        <v>49</v>
      </c>
      <c r="L105" t="s">
        <v>42</v>
      </c>
      <c r="M105">
        <v>1</v>
      </c>
    </row>
    <row r="106" spans="1:13" x14ac:dyDescent="0.25">
      <c r="A106" s="2">
        <v>46224</v>
      </c>
      <c r="B106" s="1" t="str">
        <f ca="1">IF(Información1[[#This Row],[Fecha]]='Ajuste de fechas'!$A$2,"Día actual","Día anterior")</f>
        <v>Día anterior</v>
      </c>
      <c r="C106" t="s">
        <v>72</v>
      </c>
      <c r="D106" t="s">
        <v>73</v>
      </c>
      <c r="E106" t="s">
        <v>237</v>
      </c>
      <c r="F106" t="s">
        <v>15</v>
      </c>
      <c r="G106" t="s">
        <v>238</v>
      </c>
      <c r="H106" t="s">
        <v>57</v>
      </c>
      <c r="I106" t="s">
        <v>7</v>
      </c>
      <c r="J106" t="s">
        <v>39</v>
      </c>
      <c r="K106" t="s">
        <v>49</v>
      </c>
      <c r="L106" t="s">
        <v>42</v>
      </c>
      <c r="M106">
        <v>1</v>
      </c>
    </row>
    <row r="107" spans="1:13" x14ac:dyDescent="0.25">
      <c r="A107" s="2">
        <v>46224</v>
      </c>
      <c r="B107" s="1" t="str">
        <f ca="1">IF(Información1[[#This Row],[Fecha]]='Ajuste de fechas'!$A$2,"Día actual","Día anterior")</f>
        <v>Día anterior</v>
      </c>
      <c r="C107" t="s">
        <v>72</v>
      </c>
      <c r="D107" t="s">
        <v>73</v>
      </c>
      <c r="E107" t="s">
        <v>103</v>
      </c>
      <c r="F107" t="s">
        <v>19</v>
      </c>
      <c r="G107" t="s">
        <v>239</v>
      </c>
      <c r="H107" t="s">
        <v>57</v>
      </c>
      <c r="I107" t="s">
        <v>7</v>
      </c>
      <c r="J107" t="s">
        <v>43</v>
      </c>
      <c r="K107" t="s">
        <v>49</v>
      </c>
      <c r="L107" t="s">
        <v>40</v>
      </c>
      <c r="M107">
        <v>1</v>
      </c>
    </row>
    <row r="108" spans="1:13" x14ac:dyDescent="0.25">
      <c r="A108" s="2">
        <v>46224</v>
      </c>
      <c r="B108" s="1" t="str">
        <f ca="1">IF(Información1[[#This Row],[Fecha]]='Ajuste de fechas'!$A$2,"Día actual","Día anterior")</f>
        <v>Día anterior</v>
      </c>
      <c r="C108" t="s">
        <v>72</v>
      </c>
      <c r="D108" t="s">
        <v>73</v>
      </c>
      <c r="E108" t="s">
        <v>240</v>
      </c>
      <c r="F108" t="s">
        <v>21</v>
      </c>
      <c r="G108" t="s">
        <v>101</v>
      </c>
      <c r="H108" t="s">
        <v>57</v>
      </c>
      <c r="I108" t="s">
        <v>7</v>
      </c>
      <c r="J108" t="s">
        <v>39</v>
      </c>
      <c r="K108" t="s">
        <v>49</v>
      </c>
      <c r="L108" t="s">
        <v>42</v>
      </c>
      <c r="M108">
        <v>1</v>
      </c>
    </row>
    <row r="109" spans="1:13" x14ac:dyDescent="0.25">
      <c r="A109" s="2">
        <v>46224</v>
      </c>
      <c r="B109" s="1" t="str">
        <f ca="1">IF(Información1[[#This Row],[Fecha]]='Ajuste de fechas'!$A$2,"Día actual","Día anterior")</f>
        <v>Día anterior</v>
      </c>
      <c r="C109" t="s">
        <v>72</v>
      </c>
      <c r="D109" t="s">
        <v>73</v>
      </c>
      <c r="E109" t="s">
        <v>241</v>
      </c>
      <c r="F109" t="s">
        <v>54</v>
      </c>
      <c r="G109" t="s">
        <v>242</v>
      </c>
      <c r="H109" t="s">
        <v>57</v>
      </c>
      <c r="I109" t="s">
        <v>7</v>
      </c>
      <c r="J109" t="s">
        <v>24</v>
      </c>
      <c r="K109" t="s">
        <v>243</v>
      </c>
      <c r="L109" t="s">
        <v>41</v>
      </c>
      <c r="M109">
        <v>1</v>
      </c>
    </row>
    <row r="110" spans="1:13" x14ac:dyDescent="0.25">
      <c r="A110" s="2">
        <v>46224</v>
      </c>
      <c r="B110" s="1" t="str">
        <f ca="1">IF(Información1[[#This Row],[Fecha]]='Ajuste de fechas'!$A$2,"Día actual","Día anterior")</f>
        <v>Día anterior</v>
      </c>
      <c r="C110" t="s">
        <v>72</v>
      </c>
      <c r="D110" t="s">
        <v>73</v>
      </c>
      <c r="E110" t="s">
        <v>244</v>
      </c>
      <c r="F110" t="s">
        <v>23</v>
      </c>
      <c r="G110" t="s">
        <v>89</v>
      </c>
      <c r="H110" t="s">
        <v>57</v>
      </c>
      <c r="I110" t="s">
        <v>7</v>
      </c>
      <c r="J110" t="s">
        <v>39</v>
      </c>
      <c r="K110" t="s">
        <v>245</v>
      </c>
      <c r="L110" t="s">
        <v>40</v>
      </c>
      <c r="M110">
        <v>1</v>
      </c>
    </row>
    <row r="111" spans="1:13" x14ac:dyDescent="0.25">
      <c r="A111" s="2">
        <v>46224</v>
      </c>
      <c r="B111" s="1" t="str">
        <f ca="1">IF(Información1[[#This Row],[Fecha]]='Ajuste de fechas'!$A$2,"Día actual","Día anterior")</f>
        <v>Día anterior</v>
      </c>
      <c r="C111" t="s">
        <v>72</v>
      </c>
      <c r="D111" t="s">
        <v>73</v>
      </c>
      <c r="E111" t="s">
        <v>199</v>
      </c>
      <c r="F111" t="s">
        <v>21</v>
      </c>
      <c r="G111" t="s">
        <v>200</v>
      </c>
      <c r="H111" t="s">
        <v>57</v>
      </c>
      <c r="I111" t="s">
        <v>7</v>
      </c>
      <c r="J111" t="s">
        <v>39</v>
      </c>
      <c r="K111" t="s">
        <v>49</v>
      </c>
      <c r="L111" t="s">
        <v>42</v>
      </c>
      <c r="M111">
        <v>1</v>
      </c>
    </row>
    <row r="112" spans="1:13" x14ac:dyDescent="0.25">
      <c r="A112" s="2">
        <v>46224</v>
      </c>
      <c r="B112" s="1" t="str">
        <f ca="1">IF(Información1[[#This Row],[Fecha]]='Ajuste de fechas'!$A$2,"Día actual","Día anterior")</f>
        <v>Día anterior</v>
      </c>
      <c r="C112" t="s">
        <v>72</v>
      </c>
      <c r="D112" t="s">
        <v>73</v>
      </c>
      <c r="E112" t="s">
        <v>246</v>
      </c>
      <c r="F112" t="s">
        <v>92</v>
      </c>
      <c r="G112" t="s">
        <v>247</v>
      </c>
      <c r="H112" t="s">
        <v>57</v>
      </c>
      <c r="I112" t="s">
        <v>7</v>
      </c>
      <c r="J112" t="s">
        <v>39</v>
      </c>
      <c r="K112" t="s">
        <v>49</v>
      </c>
      <c r="L112" t="s">
        <v>42</v>
      </c>
      <c r="M112">
        <v>1</v>
      </c>
    </row>
    <row r="113" spans="1:13" x14ac:dyDescent="0.25">
      <c r="A113" s="2">
        <v>46224</v>
      </c>
      <c r="B113" s="1" t="str">
        <f ca="1">IF(Información1[[#This Row],[Fecha]]='Ajuste de fechas'!$A$2,"Día actual","Día anterior")</f>
        <v>Día anterior</v>
      </c>
      <c r="C113" t="s">
        <v>72</v>
      </c>
      <c r="D113" t="s">
        <v>73</v>
      </c>
      <c r="E113" t="s">
        <v>248</v>
      </c>
      <c r="F113" t="s">
        <v>249</v>
      </c>
      <c r="G113" t="s">
        <v>109</v>
      </c>
      <c r="H113" t="s">
        <v>57</v>
      </c>
      <c r="I113" t="s">
        <v>7</v>
      </c>
      <c r="J113" t="s">
        <v>39</v>
      </c>
      <c r="K113" t="s">
        <v>49</v>
      </c>
      <c r="L113" t="s">
        <v>42</v>
      </c>
      <c r="M113">
        <v>1</v>
      </c>
    </row>
    <row r="114" spans="1:13" x14ac:dyDescent="0.25">
      <c r="A114" s="2">
        <v>46224</v>
      </c>
      <c r="B114" s="1" t="str">
        <f ca="1">IF(Información1[[#This Row],[Fecha]]='Ajuste de fechas'!$A$2,"Día actual","Día anterior")</f>
        <v>Día anterior</v>
      </c>
      <c r="C114" t="s">
        <v>72</v>
      </c>
      <c r="D114" t="s">
        <v>73</v>
      </c>
      <c r="E114" t="s">
        <v>114</v>
      </c>
      <c r="F114" t="s">
        <v>31</v>
      </c>
      <c r="G114" t="s">
        <v>115</v>
      </c>
      <c r="H114" t="s">
        <v>57</v>
      </c>
      <c r="I114" t="s">
        <v>7</v>
      </c>
      <c r="J114" t="s">
        <v>39</v>
      </c>
      <c r="K114" t="s">
        <v>49</v>
      </c>
      <c r="L114" t="s">
        <v>42</v>
      </c>
      <c r="M114">
        <v>1</v>
      </c>
    </row>
    <row r="115" spans="1:13" x14ac:dyDescent="0.25">
      <c r="A115" s="2">
        <v>46224</v>
      </c>
      <c r="B115" s="1" t="str">
        <f ca="1">IF(Información1[[#This Row],[Fecha]]='Ajuste de fechas'!$A$2,"Día actual","Día anterior")</f>
        <v>Día anterior</v>
      </c>
      <c r="C115" t="s">
        <v>72</v>
      </c>
      <c r="D115" t="s">
        <v>73</v>
      </c>
      <c r="E115" t="s">
        <v>250</v>
      </c>
      <c r="F115" t="s">
        <v>75</v>
      </c>
      <c r="G115" t="s">
        <v>135</v>
      </c>
      <c r="H115" t="s">
        <v>57</v>
      </c>
      <c r="I115" t="s">
        <v>7</v>
      </c>
      <c r="J115" t="s">
        <v>39</v>
      </c>
      <c r="K115" t="s">
        <v>49</v>
      </c>
      <c r="L115" t="s">
        <v>42</v>
      </c>
      <c r="M115">
        <v>1</v>
      </c>
    </row>
    <row r="116" spans="1:13" x14ac:dyDescent="0.25">
      <c r="A116" s="2">
        <v>46224</v>
      </c>
      <c r="B116" s="1" t="str">
        <f ca="1">IF(Información1[[#This Row],[Fecha]]='Ajuste de fechas'!$A$2,"Día actual","Día anterior")</f>
        <v>Día anterior</v>
      </c>
      <c r="C116" t="s">
        <v>72</v>
      </c>
      <c r="D116" t="s">
        <v>73</v>
      </c>
      <c r="E116" t="s">
        <v>251</v>
      </c>
      <c r="F116" t="s">
        <v>19</v>
      </c>
      <c r="G116" t="s">
        <v>159</v>
      </c>
      <c r="H116" t="s">
        <v>57</v>
      </c>
      <c r="I116" t="s">
        <v>7</v>
      </c>
      <c r="J116" t="s">
        <v>43</v>
      </c>
      <c r="K116" t="s">
        <v>49</v>
      </c>
      <c r="L116" t="s">
        <v>40</v>
      </c>
      <c r="M116">
        <v>1</v>
      </c>
    </row>
    <row r="117" spans="1:13" x14ac:dyDescent="0.25">
      <c r="A117" s="2">
        <v>46225</v>
      </c>
      <c r="B117" s="1" t="str">
        <f ca="1">IF(Información1[[#This Row],[Fecha]]='Ajuste de fechas'!$A$2,"Día actual","Día anterior")</f>
        <v>Día actual</v>
      </c>
      <c r="C117" t="s">
        <v>59</v>
      </c>
      <c r="D117" t="s">
        <v>60</v>
      </c>
      <c r="E117" t="s">
        <v>252</v>
      </c>
      <c r="F117" t="s">
        <v>22</v>
      </c>
      <c r="G117" t="s">
        <v>203</v>
      </c>
      <c r="H117" t="s">
        <v>11</v>
      </c>
      <c r="I117" t="s">
        <v>7</v>
      </c>
      <c r="J117" t="s">
        <v>44</v>
      </c>
      <c r="K117" t="s">
        <v>61</v>
      </c>
      <c r="L117" t="s">
        <v>40</v>
      </c>
      <c r="M117">
        <v>1</v>
      </c>
    </row>
    <row r="118" spans="1:13" x14ac:dyDescent="0.25">
      <c r="A118" s="2">
        <v>46225</v>
      </c>
      <c r="B118" s="1" t="str">
        <f ca="1">IF(Información1[[#This Row],[Fecha]]='Ajuste de fechas'!$A$2,"Día actual","Día anterior")</f>
        <v>Día actual</v>
      </c>
      <c r="C118" t="s">
        <v>59</v>
      </c>
      <c r="D118" t="s">
        <v>60</v>
      </c>
      <c r="E118" t="s">
        <v>253</v>
      </c>
      <c r="F118" t="s">
        <v>19</v>
      </c>
      <c r="G118" t="s">
        <v>56</v>
      </c>
      <c r="H118" t="s">
        <v>11</v>
      </c>
      <c r="I118" t="s">
        <v>7</v>
      </c>
      <c r="J118" t="s">
        <v>43</v>
      </c>
      <c r="K118" t="s">
        <v>61</v>
      </c>
      <c r="L118" t="s">
        <v>40</v>
      </c>
      <c r="M118">
        <v>1</v>
      </c>
    </row>
    <row r="119" spans="1:13" x14ac:dyDescent="0.25">
      <c r="A119" s="2">
        <v>46225</v>
      </c>
      <c r="B119" s="1" t="str">
        <f ca="1">IF(Información1[[#This Row],[Fecha]]='Ajuste de fechas'!$A$2,"Día actual","Día anterior")</f>
        <v>Día actual</v>
      </c>
      <c r="C119" t="s">
        <v>59</v>
      </c>
      <c r="D119" t="s">
        <v>60</v>
      </c>
      <c r="E119" t="s">
        <v>254</v>
      </c>
      <c r="F119" t="s">
        <v>23</v>
      </c>
      <c r="G119" t="s">
        <v>198</v>
      </c>
      <c r="H119" t="s">
        <v>11</v>
      </c>
      <c r="I119" t="s">
        <v>7</v>
      </c>
      <c r="J119" t="s">
        <v>39</v>
      </c>
      <c r="K119" t="s">
        <v>61</v>
      </c>
      <c r="L119" t="s">
        <v>40</v>
      </c>
      <c r="M119">
        <v>1</v>
      </c>
    </row>
    <row r="120" spans="1:13" x14ac:dyDescent="0.25">
      <c r="A120" s="2">
        <v>46225</v>
      </c>
      <c r="B120" s="1" t="str">
        <f ca="1">IF(Información1[[#This Row],[Fecha]]='Ajuste de fechas'!$A$2,"Día actual","Día anterior")</f>
        <v>Día actual</v>
      </c>
      <c r="C120" t="s">
        <v>59</v>
      </c>
      <c r="D120" t="s">
        <v>60</v>
      </c>
      <c r="E120" t="s">
        <v>255</v>
      </c>
      <c r="F120" t="s">
        <v>19</v>
      </c>
      <c r="G120" t="s">
        <v>106</v>
      </c>
      <c r="H120" t="s">
        <v>11</v>
      </c>
      <c r="I120" t="s">
        <v>7</v>
      </c>
      <c r="J120" t="s">
        <v>43</v>
      </c>
      <c r="K120" t="s">
        <v>61</v>
      </c>
      <c r="L120" t="s">
        <v>40</v>
      </c>
      <c r="M120">
        <v>1</v>
      </c>
    </row>
    <row r="121" spans="1:13" x14ac:dyDescent="0.25">
      <c r="A121" s="2">
        <v>46225</v>
      </c>
      <c r="B121" s="1" t="str">
        <f ca="1">IF(Información1[[#This Row],[Fecha]]='Ajuste de fechas'!$A$2,"Día actual","Día anterior")</f>
        <v>Día actual</v>
      </c>
      <c r="C121" t="s">
        <v>59</v>
      </c>
      <c r="D121" t="s">
        <v>60</v>
      </c>
      <c r="E121" t="s">
        <v>256</v>
      </c>
      <c r="F121" t="s">
        <v>54</v>
      </c>
      <c r="G121" t="s">
        <v>257</v>
      </c>
      <c r="H121" t="s">
        <v>11</v>
      </c>
      <c r="I121" t="s">
        <v>7</v>
      </c>
      <c r="J121" t="s">
        <v>24</v>
      </c>
      <c r="K121" t="s">
        <v>61</v>
      </c>
      <c r="L121" t="s">
        <v>40</v>
      </c>
      <c r="M121">
        <v>1</v>
      </c>
    </row>
    <row r="122" spans="1:13" x14ac:dyDescent="0.25">
      <c r="A122" s="2">
        <v>46225</v>
      </c>
      <c r="B122" s="1" t="str">
        <f ca="1">IF(Información1[[#This Row],[Fecha]]='Ajuste de fechas'!$A$2,"Día actual","Día anterior")</f>
        <v>Día actual</v>
      </c>
      <c r="C122" t="s">
        <v>59</v>
      </c>
      <c r="D122" t="s">
        <v>60</v>
      </c>
      <c r="E122" t="s">
        <v>258</v>
      </c>
      <c r="F122" t="s">
        <v>259</v>
      </c>
      <c r="G122" t="s">
        <v>260</v>
      </c>
      <c r="H122" t="s">
        <v>11</v>
      </c>
      <c r="I122" t="s">
        <v>7</v>
      </c>
      <c r="J122" t="s">
        <v>39</v>
      </c>
      <c r="K122" t="s">
        <v>61</v>
      </c>
      <c r="L122" t="s">
        <v>195</v>
      </c>
      <c r="M122">
        <v>1</v>
      </c>
    </row>
    <row r="123" spans="1:13" x14ac:dyDescent="0.25">
      <c r="A123" s="2">
        <v>46225</v>
      </c>
      <c r="B123" s="1" t="str">
        <f ca="1">IF(Información1[[#This Row],[Fecha]]='Ajuste de fechas'!$A$2,"Día actual","Día anterior")</f>
        <v>Día actual</v>
      </c>
      <c r="C123" t="s">
        <v>59</v>
      </c>
      <c r="D123" t="s">
        <v>60</v>
      </c>
      <c r="E123" t="s">
        <v>261</v>
      </c>
      <c r="F123" t="s">
        <v>19</v>
      </c>
      <c r="G123" t="s">
        <v>262</v>
      </c>
      <c r="H123" t="s">
        <v>11</v>
      </c>
      <c r="I123" t="s">
        <v>7</v>
      </c>
      <c r="J123" t="s">
        <v>43</v>
      </c>
      <c r="K123" t="s">
        <v>61</v>
      </c>
      <c r="L123" t="s">
        <v>40</v>
      </c>
      <c r="M123">
        <v>1</v>
      </c>
    </row>
    <row r="124" spans="1:13" x14ac:dyDescent="0.25">
      <c r="A124" s="2">
        <v>46225</v>
      </c>
      <c r="B124" s="1" t="str">
        <f ca="1">IF(Información1[[#This Row],[Fecha]]='Ajuste de fechas'!$A$2,"Día actual","Día anterior")</f>
        <v>Día actual</v>
      </c>
      <c r="C124" t="s">
        <v>59</v>
      </c>
      <c r="D124" t="s">
        <v>60</v>
      </c>
      <c r="E124" t="s">
        <v>263</v>
      </c>
      <c r="F124" t="s">
        <v>24</v>
      </c>
      <c r="G124" t="s">
        <v>86</v>
      </c>
      <c r="H124" t="s">
        <v>11</v>
      </c>
      <c r="I124" t="s">
        <v>7</v>
      </c>
      <c r="J124" t="s">
        <v>24</v>
      </c>
      <c r="K124" t="s">
        <v>61</v>
      </c>
      <c r="L124" t="s">
        <v>88</v>
      </c>
      <c r="M124">
        <v>1</v>
      </c>
    </row>
    <row r="125" spans="1:13" x14ac:dyDescent="0.25">
      <c r="A125" s="2">
        <v>46225</v>
      </c>
      <c r="B125" s="1" t="str">
        <f ca="1">IF(Información1[[#This Row],[Fecha]]='Ajuste de fechas'!$A$2,"Día actual","Día anterior")</f>
        <v>Día actual</v>
      </c>
      <c r="C125" t="s">
        <v>59</v>
      </c>
      <c r="D125" t="s">
        <v>60</v>
      </c>
      <c r="E125" t="s">
        <v>264</v>
      </c>
      <c r="F125" t="s">
        <v>22</v>
      </c>
      <c r="G125" t="s">
        <v>265</v>
      </c>
      <c r="H125" t="s">
        <v>11</v>
      </c>
      <c r="I125" t="s">
        <v>7</v>
      </c>
      <c r="J125" t="s">
        <v>44</v>
      </c>
      <c r="K125" t="s">
        <v>61</v>
      </c>
      <c r="L125" t="s">
        <v>40</v>
      </c>
      <c r="M125">
        <v>1</v>
      </c>
    </row>
    <row r="126" spans="1:13" x14ac:dyDescent="0.25">
      <c r="A126" s="2">
        <v>46225</v>
      </c>
      <c r="B126" s="1" t="str">
        <f ca="1">IF(Información1[[#This Row],[Fecha]]='Ajuste de fechas'!$A$2,"Día actual","Día anterior")</f>
        <v>Día actual</v>
      </c>
      <c r="C126" t="s">
        <v>59</v>
      </c>
      <c r="D126" t="s">
        <v>60</v>
      </c>
      <c r="E126" t="s">
        <v>266</v>
      </c>
      <c r="F126" t="s">
        <v>23</v>
      </c>
      <c r="G126" t="s">
        <v>267</v>
      </c>
      <c r="H126" t="s">
        <v>11</v>
      </c>
      <c r="I126" t="s">
        <v>7</v>
      </c>
      <c r="J126" t="s">
        <v>39</v>
      </c>
      <c r="K126" t="s">
        <v>61</v>
      </c>
      <c r="L126" t="s">
        <v>40</v>
      </c>
      <c r="M126">
        <v>1</v>
      </c>
    </row>
    <row r="127" spans="1:13" x14ac:dyDescent="0.25">
      <c r="A127" s="2">
        <v>46225</v>
      </c>
      <c r="B127" s="1" t="str">
        <f ca="1">IF(Información1[[#This Row],[Fecha]]='Ajuste de fechas'!$A$2,"Día actual","Día anterior")</f>
        <v>Día actual</v>
      </c>
      <c r="C127" t="s">
        <v>59</v>
      </c>
      <c r="D127" t="s">
        <v>60</v>
      </c>
      <c r="E127" t="s">
        <v>62</v>
      </c>
      <c r="F127" t="s">
        <v>19</v>
      </c>
      <c r="G127" t="s">
        <v>56</v>
      </c>
      <c r="H127" t="s">
        <v>11</v>
      </c>
      <c r="I127" t="s">
        <v>7</v>
      </c>
      <c r="J127" t="s">
        <v>43</v>
      </c>
      <c r="K127" t="s">
        <v>61</v>
      </c>
      <c r="L127" t="s">
        <v>100</v>
      </c>
      <c r="M127">
        <v>1</v>
      </c>
    </row>
    <row r="128" spans="1:13" x14ac:dyDescent="0.25">
      <c r="A128" s="2">
        <v>46225</v>
      </c>
      <c r="B128" s="1" t="str">
        <f ca="1">IF(Información1[[#This Row],[Fecha]]='Ajuste de fechas'!$A$2,"Día actual","Día anterior")</f>
        <v>Día actual</v>
      </c>
      <c r="C128" t="s">
        <v>59</v>
      </c>
      <c r="D128" t="s">
        <v>60</v>
      </c>
      <c r="E128" t="s">
        <v>268</v>
      </c>
      <c r="F128" t="s">
        <v>26</v>
      </c>
      <c r="G128" t="s">
        <v>235</v>
      </c>
      <c r="H128" t="s">
        <v>11</v>
      </c>
      <c r="I128" t="s">
        <v>7</v>
      </c>
      <c r="J128" t="s">
        <v>39</v>
      </c>
      <c r="K128" t="s">
        <v>61</v>
      </c>
      <c r="L128" t="s">
        <v>40</v>
      </c>
      <c r="M128">
        <v>1</v>
      </c>
    </row>
    <row r="129" spans="1:13" x14ac:dyDescent="0.25">
      <c r="A129" s="2">
        <v>46225</v>
      </c>
      <c r="B129" s="1" t="str">
        <f ca="1">IF(Información1[[#This Row],[Fecha]]='Ajuste de fechas'!$A$2,"Día actual","Día anterior")</f>
        <v>Día actual</v>
      </c>
      <c r="C129" t="s">
        <v>59</v>
      </c>
      <c r="D129" t="s">
        <v>60</v>
      </c>
      <c r="E129" t="s">
        <v>269</v>
      </c>
      <c r="F129" t="s">
        <v>54</v>
      </c>
      <c r="G129" t="s">
        <v>230</v>
      </c>
      <c r="H129" t="s">
        <v>11</v>
      </c>
      <c r="I129" t="s">
        <v>7</v>
      </c>
      <c r="J129" t="s">
        <v>24</v>
      </c>
      <c r="K129" t="s">
        <v>61</v>
      </c>
      <c r="L129" t="s">
        <v>40</v>
      </c>
      <c r="M129">
        <v>1</v>
      </c>
    </row>
    <row r="130" spans="1:13" x14ac:dyDescent="0.25">
      <c r="A130" s="2">
        <v>46225</v>
      </c>
      <c r="B130" s="1" t="str">
        <f ca="1">IF(Información1[[#This Row],[Fecha]]='Ajuste de fechas'!$A$2,"Día actual","Día anterior")</f>
        <v>Día actual</v>
      </c>
      <c r="C130" t="s">
        <v>59</v>
      </c>
      <c r="D130" t="s">
        <v>60</v>
      </c>
      <c r="E130" t="s">
        <v>270</v>
      </c>
      <c r="F130" t="s">
        <v>54</v>
      </c>
      <c r="G130" t="s">
        <v>153</v>
      </c>
      <c r="H130" t="s">
        <v>11</v>
      </c>
      <c r="I130" t="s">
        <v>7</v>
      </c>
      <c r="J130" t="s">
        <v>24</v>
      </c>
      <c r="K130" t="s">
        <v>61</v>
      </c>
      <c r="L130" t="s">
        <v>40</v>
      </c>
      <c r="M130">
        <v>1</v>
      </c>
    </row>
    <row r="131" spans="1:13" x14ac:dyDescent="0.25">
      <c r="A131" s="2">
        <v>46225</v>
      </c>
      <c r="B131" s="1" t="str">
        <f ca="1">IF(Información1[[#This Row],[Fecha]]='Ajuste de fechas'!$A$2,"Día actual","Día anterior")</f>
        <v>Día actual</v>
      </c>
      <c r="C131" t="s">
        <v>59</v>
      </c>
      <c r="D131" t="s">
        <v>60</v>
      </c>
      <c r="E131" t="s">
        <v>271</v>
      </c>
      <c r="F131" t="s">
        <v>92</v>
      </c>
      <c r="G131" t="s">
        <v>272</v>
      </c>
      <c r="H131" t="s">
        <v>11</v>
      </c>
      <c r="I131" t="s">
        <v>7</v>
      </c>
      <c r="J131" t="s">
        <v>39</v>
      </c>
      <c r="K131" t="s">
        <v>61</v>
      </c>
      <c r="L131" t="s">
        <v>40</v>
      </c>
      <c r="M131">
        <v>1</v>
      </c>
    </row>
    <row r="132" spans="1:13" x14ac:dyDescent="0.25">
      <c r="A132" s="2">
        <v>46225</v>
      </c>
      <c r="B132" s="1" t="str">
        <f ca="1">IF(Información1[[#This Row],[Fecha]]='Ajuste de fechas'!$A$2,"Día actual","Día anterior")</f>
        <v>Día actual</v>
      </c>
      <c r="C132" t="s">
        <v>29</v>
      </c>
      <c r="D132" t="s">
        <v>30</v>
      </c>
      <c r="E132" t="s">
        <v>273</v>
      </c>
      <c r="F132" t="s">
        <v>54</v>
      </c>
      <c r="G132" t="s">
        <v>153</v>
      </c>
      <c r="H132" t="s">
        <v>57</v>
      </c>
      <c r="I132" t="s">
        <v>7</v>
      </c>
      <c r="J132" t="s">
        <v>24</v>
      </c>
      <c r="K132" t="s">
        <v>80</v>
      </c>
      <c r="L132" t="s">
        <v>40</v>
      </c>
      <c r="M132">
        <v>1</v>
      </c>
    </row>
    <row r="133" spans="1:13" x14ac:dyDescent="0.25">
      <c r="A133" s="2">
        <v>46225</v>
      </c>
      <c r="B133" s="1" t="str">
        <f ca="1">IF(Información1[[#This Row],[Fecha]]='Ajuste de fechas'!$A$2,"Día actual","Día anterior")</f>
        <v>Día actual</v>
      </c>
      <c r="C133" t="s">
        <v>29</v>
      </c>
      <c r="D133" t="s">
        <v>30</v>
      </c>
      <c r="E133" t="s">
        <v>274</v>
      </c>
      <c r="F133" t="s">
        <v>31</v>
      </c>
      <c r="G133" t="s">
        <v>275</v>
      </c>
      <c r="H133" t="s">
        <v>57</v>
      </c>
      <c r="I133" t="s">
        <v>7</v>
      </c>
      <c r="J133" t="s">
        <v>39</v>
      </c>
      <c r="K133" t="s">
        <v>27</v>
      </c>
      <c r="L133" t="s">
        <v>40</v>
      </c>
      <c r="M133">
        <v>1</v>
      </c>
    </row>
    <row r="134" spans="1:13" x14ac:dyDescent="0.25">
      <c r="A134" s="2">
        <v>46225</v>
      </c>
      <c r="B134" s="1" t="str">
        <f ca="1">IF(Información1[[#This Row],[Fecha]]='Ajuste de fechas'!$A$2,"Día actual","Día anterior")</f>
        <v>Día actual</v>
      </c>
      <c r="C134" t="s">
        <v>29</v>
      </c>
      <c r="D134" t="s">
        <v>30</v>
      </c>
      <c r="E134" t="s">
        <v>276</v>
      </c>
      <c r="F134" t="s">
        <v>26</v>
      </c>
      <c r="G134" t="s">
        <v>235</v>
      </c>
      <c r="H134" t="s">
        <v>57</v>
      </c>
      <c r="I134" t="s">
        <v>7</v>
      </c>
      <c r="J134" t="s">
        <v>39</v>
      </c>
      <c r="K134" t="s">
        <v>27</v>
      </c>
      <c r="L134" t="s">
        <v>42</v>
      </c>
      <c r="M134">
        <v>1</v>
      </c>
    </row>
    <row r="135" spans="1:13" x14ac:dyDescent="0.25">
      <c r="A135" s="2">
        <v>46225</v>
      </c>
      <c r="B135" s="1" t="str">
        <f ca="1">IF(Información1[[#This Row],[Fecha]]='Ajuste de fechas'!$A$2,"Día actual","Día anterior")</f>
        <v>Día actual</v>
      </c>
      <c r="C135" t="s">
        <v>29</v>
      </c>
      <c r="D135" t="s">
        <v>30</v>
      </c>
      <c r="E135" t="s">
        <v>277</v>
      </c>
      <c r="F135" t="s">
        <v>26</v>
      </c>
      <c r="G135" t="s">
        <v>235</v>
      </c>
      <c r="H135" t="s">
        <v>57</v>
      </c>
      <c r="I135" t="s">
        <v>7</v>
      </c>
      <c r="J135" t="s">
        <v>39</v>
      </c>
      <c r="K135" t="s">
        <v>27</v>
      </c>
      <c r="L135" t="s">
        <v>42</v>
      </c>
      <c r="M135">
        <v>1</v>
      </c>
    </row>
    <row r="136" spans="1:13" x14ac:dyDescent="0.25">
      <c r="A136" s="2">
        <v>46225</v>
      </c>
      <c r="B136" s="1" t="str">
        <f ca="1">IF(Información1[[#This Row],[Fecha]]='Ajuste de fechas'!$A$2,"Día actual","Día anterior")</f>
        <v>Día actual</v>
      </c>
      <c r="C136" t="s">
        <v>29</v>
      </c>
      <c r="D136" t="s">
        <v>30</v>
      </c>
      <c r="E136" t="s">
        <v>278</v>
      </c>
      <c r="F136" t="s">
        <v>54</v>
      </c>
      <c r="G136" t="s">
        <v>230</v>
      </c>
      <c r="H136" t="s">
        <v>57</v>
      </c>
      <c r="I136" t="s">
        <v>7</v>
      </c>
      <c r="J136" t="s">
        <v>24</v>
      </c>
      <c r="K136" t="s">
        <v>27</v>
      </c>
      <c r="L136" t="s">
        <v>40</v>
      </c>
      <c r="M136">
        <v>1</v>
      </c>
    </row>
    <row r="137" spans="1:13" x14ac:dyDescent="0.25">
      <c r="A137" s="2">
        <v>46225</v>
      </c>
      <c r="B137" s="1" t="str">
        <f ca="1">IF(Información1[[#This Row],[Fecha]]='Ajuste de fechas'!$A$2,"Día actual","Día anterior")</f>
        <v>Día actual</v>
      </c>
      <c r="C137" t="s">
        <v>29</v>
      </c>
      <c r="D137" t="s">
        <v>30</v>
      </c>
      <c r="E137" t="s">
        <v>279</v>
      </c>
      <c r="F137" t="s">
        <v>26</v>
      </c>
      <c r="G137" t="s">
        <v>235</v>
      </c>
      <c r="H137" t="s">
        <v>57</v>
      </c>
      <c r="I137" t="s">
        <v>7</v>
      </c>
      <c r="J137" t="s">
        <v>39</v>
      </c>
      <c r="K137" t="s">
        <v>27</v>
      </c>
      <c r="L137" t="s">
        <v>40</v>
      </c>
      <c r="M137">
        <v>1</v>
      </c>
    </row>
    <row r="138" spans="1:13" x14ac:dyDescent="0.25">
      <c r="A138" s="2">
        <v>46225</v>
      </c>
      <c r="B138" s="1" t="str">
        <f ca="1">IF(Información1[[#This Row],[Fecha]]='Ajuste de fechas'!$A$2,"Día actual","Día anterior")</f>
        <v>Día actual</v>
      </c>
      <c r="C138" t="s">
        <v>8</v>
      </c>
      <c r="D138" t="s">
        <v>10</v>
      </c>
      <c r="E138" t="s">
        <v>280</v>
      </c>
      <c r="F138" t="s">
        <v>6</v>
      </c>
      <c r="G138" t="s">
        <v>94</v>
      </c>
      <c r="H138" t="s">
        <v>11</v>
      </c>
      <c r="I138" t="s">
        <v>25</v>
      </c>
      <c r="J138" t="s">
        <v>39</v>
      </c>
      <c r="K138" t="s">
        <v>9</v>
      </c>
      <c r="L138" t="s">
        <v>41</v>
      </c>
      <c r="M138">
        <v>1</v>
      </c>
    </row>
    <row r="139" spans="1:13" x14ac:dyDescent="0.25">
      <c r="A139" s="2">
        <v>46225</v>
      </c>
      <c r="B139" s="1" t="str">
        <f ca="1">IF(Información1[[#This Row],[Fecha]]='Ajuste de fechas'!$A$2,"Día actual","Día anterior")</f>
        <v>Día actual</v>
      </c>
      <c r="C139" t="s">
        <v>8</v>
      </c>
      <c r="D139" t="s">
        <v>10</v>
      </c>
      <c r="E139" t="s">
        <v>281</v>
      </c>
      <c r="F139" t="s">
        <v>6</v>
      </c>
      <c r="G139" t="s">
        <v>94</v>
      </c>
      <c r="H139" t="s">
        <v>11</v>
      </c>
      <c r="I139" t="s">
        <v>25</v>
      </c>
      <c r="J139" t="s">
        <v>39</v>
      </c>
      <c r="K139" t="s">
        <v>9</v>
      </c>
      <c r="L139" t="s">
        <v>41</v>
      </c>
      <c r="M139">
        <v>1</v>
      </c>
    </row>
    <row r="140" spans="1:13" x14ac:dyDescent="0.25">
      <c r="A140" s="2">
        <v>46225</v>
      </c>
      <c r="B140" s="1" t="str">
        <f ca="1">IF(Información1[[#This Row],[Fecha]]='Ajuste de fechas'!$A$2,"Día actual","Día anterior")</f>
        <v>Día actual</v>
      </c>
      <c r="C140" t="s">
        <v>8</v>
      </c>
      <c r="D140" t="s">
        <v>10</v>
      </c>
      <c r="E140" t="s">
        <v>282</v>
      </c>
      <c r="F140" t="s">
        <v>6</v>
      </c>
      <c r="G140" t="s">
        <v>94</v>
      </c>
      <c r="H140" t="s">
        <v>11</v>
      </c>
      <c r="I140" t="s">
        <v>25</v>
      </c>
      <c r="J140" t="s">
        <v>39</v>
      </c>
      <c r="K140" t="s">
        <v>9</v>
      </c>
      <c r="L140" t="s">
        <v>41</v>
      </c>
      <c r="M140">
        <v>1</v>
      </c>
    </row>
    <row r="141" spans="1:13" x14ac:dyDescent="0.25">
      <c r="A141" s="2">
        <v>46225</v>
      </c>
      <c r="B141" s="1" t="str">
        <f ca="1">IF(Información1[[#This Row],[Fecha]]='Ajuste de fechas'!$A$2,"Día actual","Día anterior")</f>
        <v>Día actual</v>
      </c>
      <c r="C141" t="s">
        <v>8</v>
      </c>
      <c r="D141" t="s">
        <v>10</v>
      </c>
      <c r="E141" t="s">
        <v>20</v>
      </c>
      <c r="F141" t="s">
        <v>19</v>
      </c>
      <c r="G141" t="s">
        <v>32</v>
      </c>
      <c r="H141" t="s">
        <v>11</v>
      </c>
      <c r="I141" t="s">
        <v>12</v>
      </c>
      <c r="J141" t="s">
        <v>43</v>
      </c>
      <c r="K141" t="s">
        <v>14</v>
      </c>
      <c r="L141" t="s">
        <v>41</v>
      </c>
      <c r="M141">
        <v>1</v>
      </c>
    </row>
    <row r="142" spans="1:13" x14ac:dyDescent="0.25">
      <c r="A142" s="2">
        <v>46225</v>
      </c>
      <c r="B142" s="1" t="str">
        <f ca="1">IF(Información1[[#This Row],[Fecha]]='Ajuste de fechas'!$A$2,"Día actual","Día anterior")</f>
        <v>Día actual</v>
      </c>
      <c r="C142" t="s">
        <v>8</v>
      </c>
      <c r="D142" t="s">
        <v>10</v>
      </c>
      <c r="E142" t="s">
        <v>18</v>
      </c>
      <c r="F142" t="s">
        <v>54</v>
      </c>
      <c r="G142" t="s">
        <v>32</v>
      </c>
      <c r="H142" t="s">
        <v>11</v>
      </c>
      <c r="I142" t="s">
        <v>12</v>
      </c>
      <c r="J142" t="s">
        <v>24</v>
      </c>
      <c r="K142" t="s">
        <v>14</v>
      </c>
      <c r="L142" t="s">
        <v>41</v>
      </c>
      <c r="M142">
        <v>1</v>
      </c>
    </row>
    <row r="143" spans="1:13" x14ac:dyDescent="0.25">
      <c r="A143" s="2">
        <v>46225</v>
      </c>
      <c r="B143" s="1" t="str">
        <f ca="1">IF(Información1[[#This Row],[Fecha]]='Ajuste de fechas'!$A$2,"Día actual","Día anterior")</f>
        <v>Día actual</v>
      </c>
      <c r="C143" t="s">
        <v>8</v>
      </c>
      <c r="D143" t="s">
        <v>10</v>
      </c>
      <c r="E143" t="s">
        <v>71</v>
      </c>
      <c r="F143" t="s">
        <v>54</v>
      </c>
      <c r="G143" t="s">
        <v>32</v>
      </c>
      <c r="H143" t="s">
        <v>11</v>
      </c>
      <c r="I143" t="s">
        <v>12</v>
      </c>
      <c r="J143" t="s">
        <v>24</v>
      </c>
      <c r="K143" t="s">
        <v>14</v>
      </c>
      <c r="L143" t="s">
        <v>41</v>
      </c>
      <c r="M143">
        <v>1</v>
      </c>
    </row>
    <row r="144" spans="1:13" x14ac:dyDescent="0.25">
      <c r="A144" s="2">
        <v>46225</v>
      </c>
      <c r="B144" s="1" t="str">
        <f ca="1">IF(Información1[[#This Row],[Fecha]]='Ajuste de fechas'!$A$2,"Día actual","Día anterior")</f>
        <v>Día actual</v>
      </c>
      <c r="C144" t="s">
        <v>8</v>
      </c>
      <c r="D144" t="s">
        <v>10</v>
      </c>
      <c r="E144" t="s">
        <v>13</v>
      </c>
      <c r="F144" t="s">
        <v>15</v>
      </c>
      <c r="G144" t="s">
        <v>32</v>
      </c>
      <c r="H144" t="s">
        <v>11</v>
      </c>
      <c r="I144" t="s">
        <v>12</v>
      </c>
      <c r="J144" t="s">
        <v>39</v>
      </c>
      <c r="K144" t="s">
        <v>14</v>
      </c>
      <c r="L144" t="s">
        <v>41</v>
      </c>
      <c r="M144">
        <v>1</v>
      </c>
    </row>
    <row r="145" spans="1:13" x14ac:dyDescent="0.25">
      <c r="A145" s="2">
        <v>46225</v>
      </c>
      <c r="B145" s="1" t="str">
        <f ca="1">IF(Información1[[#This Row],[Fecha]]='Ajuste de fechas'!$A$2,"Día actual","Día anterior")</f>
        <v>Día actual</v>
      </c>
      <c r="C145" t="s">
        <v>8</v>
      </c>
      <c r="D145" t="s">
        <v>10</v>
      </c>
      <c r="E145" t="s">
        <v>16</v>
      </c>
      <c r="F145" t="s">
        <v>17</v>
      </c>
      <c r="G145" t="s">
        <v>32</v>
      </c>
      <c r="H145" t="s">
        <v>11</v>
      </c>
      <c r="I145" t="s">
        <v>12</v>
      </c>
      <c r="J145" t="s">
        <v>39</v>
      </c>
      <c r="K145" t="s">
        <v>14</v>
      </c>
      <c r="L145" t="s">
        <v>41</v>
      </c>
      <c r="M145">
        <v>1</v>
      </c>
    </row>
    <row r="146" spans="1:13" x14ac:dyDescent="0.25">
      <c r="A146" s="2">
        <v>46225</v>
      </c>
      <c r="B146" s="1" t="str">
        <f ca="1">IF(Información1[[#This Row],[Fecha]]='Ajuste de fechas'!$A$2,"Día actual","Día anterior")</f>
        <v>Día actual</v>
      </c>
      <c r="C146" t="s">
        <v>8</v>
      </c>
      <c r="D146" t="s">
        <v>10</v>
      </c>
      <c r="E146" t="s">
        <v>53</v>
      </c>
      <c r="F146" t="s">
        <v>6</v>
      </c>
      <c r="G146" t="s">
        <v>32</v>
      </c>
      <c r="H146" t="s">
        <v>11</v>
      </c>
      <c r="I146" t="s">
        <v>12</v>
      </c>
      <c r="J146" t="s">
        <v>39</v>
      </c>
      <c r="K146" t="s">
        <v>14</v>
      </c>
      <c r="L146" t="s">
        <v>41</v>
      </c>
      <c r="M146">
        <v>1</v>
      </c>
    </row>
    <row r="147" spans="1:13" x14ac:dyDescent="0.25">
      <c r="A147" s="2">
        <v>46225</v>
      </c>
      <c r="B147" s="1" t="str">
        <f ca="1">IF(Información1[[#This Row],[Fecha]]='Ajuste de fechas'!$A$2,"Día actual","Día anterior")</f>
        <v>Día actual</v>
      </c>
      <c r="C147" t="s">
        <v>8</v>
      </c>
      <c r="D147" t="s">
        <v>10</v>
      </c>
      <c r="E147" t="s">
        <v>283</v>
      </c>
      <c r="F147" t="s">
        <v>19</v>
      </c>
      <c r="G147" t="s">
        <v>284</v>
      </c>
      <c r="H147" t="s">
        <v>11</v>
      </c>
      <c r="I147" t="s">
        <v>7</v>
      </c>
      <c r="J147" t="s">
        <v>43</v>
      </c>
      <c r="K147" t="s">
        <v>14</v>
      </c>
      <c r="L147" t="s">
        <v>88</v>
      </c>
      <c r="M147">
        <v>1</v>
      </c>
    </row>
    <row r="148" spans="1:13" x14ac:dyDescent="0.25">
      <c r="A148" s="2">
        <v>46225</v>
      </c>
      <c r="B148" s="1" t="str">
        <f ca="1">IF(Información1[[#This Row],[Fecha]]='Ajuste de fechas'!$A$2,"Día actual","Día anterior")</f>
        <v>Día actual</v>
      </c>
      <c r="C148" t="s">
        <v>28</v>
      </c>
      <c r="D148" t="s">
        <v>98</v>
      </c>
      <c r="E148" t="s">
        <v>285</v>
      </c>
      <c r="F148" t="s">
        <v>68</v>
      </c>
      <c r="G148" t="s">
        <v>194</v>
      </c>
      <c r="H148" t="s">
        <v>11</v>
      </c>
      <c r="I148" t="s">
        <v>7</v>
      </c>
      <c r="J148" t="s">
        <v>39</v>
      </c>
      <c r="K148" t="s">
        <v>99</v>
      </c>
      <c r="L148" t="s">
        <v>40</v>
      </c>
      <c r="M148">
        <v>1</v>
      </c>
    </row>
    <row r="149" spans="1:13" x14ac:dyDescent="0.25">
      <c r="A149" s="2">
        <v>46225</v>
      </c>
      <c r="B149" s="1" t="str">
        <f ca="1">IF(Información1[[#This Row],[Fecha]]='Ajuste de fechas'!$A$2,"Día actual","Día anterior")</f>
        <v>Día actual</v>
      </c>
      <c r="C149" t="s">
        <v>28</v>
      </c>
      <c r="D149" t="s">
        <v>66</v>
      </c>
      <c r="E149" t="s">
        <v>286</v>
      </c>
      <c r="F149" t="s">
        <v>22</v>
      </c>
      <c r="G149" t="s">
        <v>287</v>
      </c>
      <c r="H149" t="s">
        <v>11</v>
      </c>
      <c r="I149" t="s">
        <v>25</v>
      </c>
      <c r="J149" t="s">
        <v>44</v>
      </c>
      <c r="K149" t="s">
        <v>67</v>
      </c>
      <c r="L149" t="s">
        <v>40</v>
      </c>
      <c r="M149">
        <v>1</v>
      </c>
    </row>
    <row r="150" spans="1:13" x14ac:dyDescent="0.25">
      <c r="A150" s="2">
        <v>46225</v>
      </c>
      <c r="B150" s="1" t="str">
        <f ca="1">IF(Información1[[#This Row],[Fecha]]='Ajuste de fechas'!$A$2,"Día actual","Día anterior")</f>
        <v>Día actual</v>
      </c>
      <c r="C150" t="s">
        <v>28</v>
      </c>
      <c r="D150" t="s">
        <v>98</v>
      </c>
      <c r="E150" t="s">
        <v>288</v>
      </c>
      <c r="F150" t="s">
        <v>22</v>
      </c>
      <c r="G150" t="s">
        <v>287</v>
      </c>
      <c r="H150" t="s">
        <v>11</v>
      </c>
      <c r="I150" t="s">
        <v>7</v>
      </c>
      <c r="J150" t="s">
        <v>44</v>
      </c>
      <c r="K150" t="s">
        <v>99</v>
      </c>
      <c r="L150" t="s">
        <v>40</v>
      </c>
      <c r="M150">
        <v>1</v>
      </c>
    </row>
    <row r="151" spans="1:13" x14ac:dyDescent="0.25">
      <c r="A151" s="2">
        <v>46225</v>
      </c>
      <c r="B151" s="1" t="str">
        <f ca="1">IF(Información1[[#This Row],[Fecha]]='Ajuste de fechas'!$A$2,"Día actual","Día anterior")</f>
        <v>Día actual</v>
      </c>
      <c r="C151" t="s">
        <v>8</v>
      </c>
      <c r="D151" t="s">
        <v>10</v>
      </c>
      <c r="E151" t="s">
        <v>289</v>
      </c>
      <c r="F151" t="s">
        <v>290</v>
      </c>
      <c r="G151" t="s">
        <v>291</v>
      </c>
      <c r="H151" t="s">
        <v>11</v>
      </c>
      <c r="I151" t="s">
        <v>7</v>
      </c>
      <c r="J151" t="s">
        <v>24</v>
      </c>
      <c r="K151" t="s">
        <v>14</v>
      </c>
      <c r="L151" t="s">
        <v>40</v>
      </c>
      <c r="M151">
        <v>1</v>
      </c>
    </row>
    <row r="152" spans="1:13" x14ac:dyDescent="0.25">
      <c r="A152" s="2">
        <v>46225</v>
      </c>
      <c r="B152" s="1" t="str">
        <f ca="1">IF(Información1[[#This Row],[Fecha]]='Ajuste de fechas'!$A$2,"Día actual","Día anterior")</f>
        <v>Día actual</v>
      </c>
      <c r="C152" t="s">
        <v>8</v>
      </c>
      <c r="D152" t="s">
        <v>10</v>
      </c>
      <c r="E152" t="s">
        <v>292</v>
      </c>
      <c r="F152" t="s">
        <v>22</v>
      </c>
      <c r="G152" t="s">
        <v>107</v>
      </c>
      <c r="H152" t="s">
        <v>11</v>
      </c>
      <c r="I152" t="s">
        <v>7</v>
      </c>
      <c r="J152" t="s">
        <v>44</v>
      </c>
      <c r="K152" t="s">
        <v>14</v>
      </c>
      <c r="L152" t="s">
        <v>40</v>
      </c>
      <c r="M152">
        <v>1</v>
      </c>
    </row>
    <row r="153" spans="1:13" x14ac:dyDescent="0.25">
      <c r="A153" s="2">
        <v>46225</v>
      </c>
      <c r="B153" s="1" t="str">
        <f ca="1">IF(Información1[[#This Row],[Fecha]]='Ajuste de fechas'!$A$2,"Día actual","Día anterior")</f>
        <v>Día actual</v>
      </c>
      <c r="C153" t="s">
        <v>8</v>
      </c>
      <c r="D153" t="s">
        <v>10</v>
      </c>
      <c r="E153" t="s">
        <v>293</v>
      </c>
      <c r="F153" t="s">
        <v>6</v>
      </c>
      <c r="G153" t="s">
        <v>70</v>
      </c>
      <c r="H153" t="s">
        <v>11</v>
      </c>
      <c r="I153" t="s">
        <v>12</v>
      </c>
      <c r="J153" t="s">
        <v>39</v>
      </c>
      <c r="K153" t="s">
        <v>9</v>
      </c>
      <c r="L153" t="s">
        <v>41</v>
      </c>
      <c r="M153">
        <v>1</v>
      </c>
    </row>
    <row r="154" spans="1:13" x14ac:dyDescent="0.25">
      <c r="A154" s="2">
        <v>46225</v>
      </c>
      <c r="B154" s="1" t="str">
        <f ca="1">IF(Información1[[#This Row],[Fecha]]='Ajuste de fechas'!$A$2,"Día actual","Día anterior")</f>
        <v>Día actual</v>
      </c>
      <c r="C154" t="s">
        <v>77</v>
      </c>
      <c r="D154" t="s">
        <v>78</v>
      </c>
      <c r="E154" t="s">
        <v>294</v>
      </c>
      <c r="F154" t="s">
        <v>259</v>
      </c>
      <c r="G154" t="s">
        <v>119</v>
      </c>
      <c r="H154" t="s">
        <v>11</v>
      </c>
      <c r="I154" t="s">
        <v>12</v>
      </c>
      <c r="J154" t="s">
        <v>39</v>
      </c>
      <c r="K154" t="s">
        <v>79</v>
      </c>
      <c r="L154" t="s">
        <v>42</v>
      </c>
      <c r="M154">
        <v>1</v>
      </c>
    </row>
    <row r="155" spans="1:13" x14ac:dyDescent="0.25">
      <c r="A155" s="2">
        <v>46225</v>
      </c>
      <c r="B155" s="1" t="str">
        <f ca="1">IF(Información1[[#This Row],[Fecha]]='Ajuste de fechas'!$A$2,"Día actual","Día anterior")</f>
        <v>Día actual</v>
      </c>
      <c r="C155" t="s">
        <v>77</v>
      </c>
      <c r="D155" t="s">
        <v>78</v>
      </c>
      <c r="E155" t="s">
        <v>181</v>
      </c>
      <c r="F155" t="s">
        <v>68</v>
      </c>
      <c r="G155" t="s">
        <v>119</v>
      </c>
      <c r="H155" t="s">
        <v>11</v>
      </c>
      <c r="I155" t="s">
        <v>12</v>
      </c>
      <c r="J155" t="s">
        <v>39</v>
      </c>
      <c r="K155" t="s">
        <v>79</v>
      </c>
      <c r="L155" t="s">
        <v>42</v>
      </c>
      <c r="M155">
        <v>1</v>
      </c>
    </row>
    <row r="156" spans="1:13" x14ac:dyDescent="0.25">
      <c r="A156" s="2">
        <v>46225</v>
      </c>
      <c r="B156" s="1" t="str">
        <f ca="1">IF(Información1[[#This Row],[Fecha]]='Ajuste de fechas'!$A$2,"Día actual","Día anterior")</f>
        <v>Día actual</v>
      </c>
      <c r="C156" t="s">
        <v>28</v>
      </c>
      <c r="D156" t="s">
        <v>98</v>
      </c>
      <c r="E156" t="s">
        <v>295</v>
      </c>
      <c r="F156" t="s">
        <v>22</v>
      </c>
      <c r="G156" t="s">
        <v>164</v>
      </c>
      <c r="H156" t="s">
        <v>11</v>
      </c>
      <c r="I156" t="s">
        <v>7</v>
      </c>
      <c r="J156" t="s">
        <v>44</v>
      </c>
      <c r="K156" t="s">
        <v>99</v>
      </c>
      <c r="L156" t="s">
        <v>41</v>
      </c>
      <c r="M156">
        <v>1</v>
      </c>
    </row>
    <row r="157" spans="1:13" x14ac:dyDescent="0.25">
      <c r="A157" s="2">
        <v>46225</v>
      </c>
      <c r="B157" s="1" t="str">
        <f ca="1">IF(Información1[[#This Row],[Fecha]]='Ajuste de fechas'!$A$2,"Día actual","Día anterior")</f>
        <v>Día actual</v>
      </c>
      <c r="C157" t="s">
        <v>28</v>
      </c>
      <c r="D157" t="s">
        <v>98</v>
      </c>
      <c r="E157" t="s">
        <v>296</v>
      </c>
      <c r="F157" t="s">
        <v>22</v>
      </c>
      <c r="G157" t="s">
        <v>164</v>
      </c>
      <c r="H157" t="s">
        <v>11</v>
      </c>
      <c r="I157" t="s">
        <v>7</v>
      </c>
      <c r="J157" t="s">
        <v>44</v>
      </c>
      <c r="K157" t="s">
        <v>99</v>
      </c>
      <c r="L157" t="s">
        <v>40</v>
      </c>
      <c r="M157">
        <v>1</v>
      </c>
    </row>
    <row r="158" spans="1:13" x14ac:dyDescent="0.25">
      <c r="A158" s="2">
        <v>46225</v>
      </c>
      <c r="B158" s="1" t="str">
        <f ca="1">IF(Información1[[#This Row],[Fecha]]='Ajuste de fechas'!$A$2,"Día actual","Día anterior")</f>
        <v>Día actual</v>
      </c>
      <c r="C158" t="s">
        <v>28</v>
      </c>
      <c r="D158" t="s">
        <v>66</v>
      </c>
      <c r="E158" t="s">
        <v>297</v>
      </c>
      <c r="F158" t="s">
        <v>54</v>
      </c>
      <c r="G158" t="s">
        <v>298</v>
      </c>
      <c r="H158" t="s">
        <v>11</v>
      </c>
      <c r="I158" t="s">
        <v>7</v>
      </c>
      <c r="J158" t="s">
        <v>24</v>
      </c>
      <c r="K158" t="s">
        <v>67</v>
      </c>
      <c r="L158" t="s">
        <v>40</v>
      </c>
      <c r="M158">
        <v>1</v>
      </c>
    </row>
    <row r="159" spans="1:13" x14ac:dyDescent="0.25">
      <c r="A159" s="2">
        <v>46225</v>
      </c>
      <c r="B159" s="1" t="str">
        <f ca="1">IF(Información1[[#This Row],[Fecha]]='Ajuste de fechas'!$A$2,"Día actual","Día anterior")</f>
        <v>Día actual</v>
      </c>
      <c r="C159" t="s">
        <v>8</v>
      </c>
      <c r="D159" t="s">
        <v>10</v>
      </c>
      <c r="E159" t="s">
        <v>299</v>
      </c>
      <c r="F159" t="s">
        <v>24</v>
      </c>
      <c r="G159" t="s">
        <v>153</v>
      </c>
      <c r="H159" t="s">
        <v>11</v>
      </c>
      <c r="I159" t="s">
        <v>7</v>
      </c>
      <c r="J159" t="s">
        <v>24</v>
      </c>
      <c r="K159" t="s">
        <v>9</v>
      </c>
      <c r="L159" t="s">
        <v>41</v>
      </c>
      <c r="M159">
        <v>1</v>
      </c>
    </row>
    <row r="160" spans="1:13" x14ac:dyDescent="0.25">
      <c r="A160" s="2">
        <v>46225</v>
      </c>
      <c r="B160" s="1" t="str">
        <f ca="1">IF(Información1[[#This Row],[Fecha]]='Ajuste de fechas'!$A$2,"Día actual","Día anterior")</f>
        <v>Día actual</v>
      </c>
      <c r="C160" t="s">
        <v>8</v>
      </c>
      <c r="D160" t="s">
        <v>10</v>
      </c>
      <c r="E160" t="s">
        <v>175</v>
      </c>
      <c r="F160" t="s">
        <v>92</v>
      </c>
      <c r="G160" t="s">
        <v>300</v>
      </c>
      <c r="H160" t="s">
        <v>11</v>
      </c>
      <c r="I160" t="s">
        <v>7</v>
      </c>
      <c r="J160" t="s">
        <v>39</v>
      </c>
      <c r="K160" t="s">
        <v>14</v>
      </c>
      <c r="L160" t="s">
        <v>42</v>
      </c>
      <c r="M160">
        <v>1</v>
      </c>
    </row>
    <row r="161" spans="1:13" x14ac:dyDescent="0.25">
      <c r="A161" s="2">
        <v>46225</v>
      </c>
      <c r="B161" s="1" t="str">
        <f ca="1">IF(Información1[[#This Row],[Fecha]]='Ajuste de fechas'!$A$2,"Día actual","Día anterior")</f>
        <v>Día actual</v>
      </c>
      <c r="C161" t="s">
        <v>28</v>
      </c>
      <c r="D161" t="s">
        <v>66</v>
      </c>
      <c r="E161" t="s">
        <v>301</v>
      </c>
      <c r="F161" t="s">
        <v>22</v>
      </c>
      <c r="G161" t="s">
        <v>302</v>
      </c>
      <c r="H161" t="s">
        <v>11</v>
      </c>
      <c r="I161" t="s">
        <v>25</v>
      </c>
      <c r="J161" t="s">
        <v>44</v>
      </c>
      <c r="K161" t="s">
        <v>67</v>
      </c>
      <c r="L161" t="s">
        <v>40</v>
      </c>
      <c r="M161">
        <v>1</v>
      </c>
    </row>
    <row r="162" spans="1:13" x14ac:dyDescent="0.25">
      <c r="A162" s="2">
        <v>46225</v>
      </c>
      <c r="B162" s="1" t="str">
        <f ca="1">IF(Información1[[#This Row],[Fecha]]='Ajuste de fechas'!$A$2,"Día actual","Día anterior")</f>
        <v>Día actual</v>
      </c>
      <c r="C162" t="s">
        <v>28</v>
      </c>
      <c r="D162" t="s">
        <v>66</v>
      </c>
      <c r="E162" t="s">
        <v>303</v>
      </c>
      <c r="F162" t="s">
        <v>259</v>
      </c>
      <c r="G162" t="s">
        <v>260</v>
      </c>
      <c r="H162" t="s">
        <v>11</v>
      </c>
      <c r="I162" t="s">
        <v>12</v>
      </c>
      <c r="J162" t="s">
        <v>39</v>
      </c>
      <c r="K162" t="s">
        <v>67</v>
      </c>
      <c r="L162" t="s">
        <v>195</v>
      </c>
      <c r="M162">
        <v>1</v>
      </c>
    </row>
    <row r="163" spans="1:13" x14ac:dyDescent="0.25">
      <c r="A163" s="2">
        <v>46225</v>
      </c>
      <c r="B163" s="1" t="str">
        <f ca="1">IF(Información1[[#This Row],[Fecha]]='Ajuste de fechas'!$A$2,"Día actual","Día anterior")</f>
        <v>Día actual</v>
      </c>
      <c r="C163" t="s">
        <v>304</v>
      </c>
      <c r="D163" t="s">
        <v>305</v>
      </c>
      <c r="E163" t="s">
        <v>306</v>
      </c>
      <c r="F163" t="s">
        <v>259</v>
      </c>
      <c r="G163" t="s">
        <v>260</v>
      </c>
      <c r="H163" t="s">
        <v>11</v>
      </c>
      <c r="I163" t="s">
        <v>12</v>
      </c>
      <c r="J163" t="s">
        <v>39</v>
      </c>
      <c r="K163" t="s">
        <v>307</v>
      </c>
      <c r="L163" t="s">
        <v>195</v>
      </c>
      <c r="M163">
        <v>1</v>
      </c>
    </row>
    <row r="164" spans="1:13" x14ac:dyDescent="0.25">
      <c r="A164" s="2">
        <v>46225</v>
      </c>
      <c r="B164" s="1" t="str">
        <f ca="1">IF(Información1[[#This Row],[Fecha]]='Ajuste de fechas'!$A$2,"Día actual","Día anterior")</f>
        <v>Día actual</v>
      </c>
      <c r="C164" t="s">
        <v>308</v>
      </c>
      <c r="D164" t="s">
        <v>309</v>
      </c>
      <c r="E164" t="s">
        <v>306</v>
      </c>
      <c r="F164" t="s">
        <v>259</v>
      </c>
      <c r="G164" t="s">
        <v>260</v>
      </c>
      <c r="H164" t="s">
        <v>11</v>
      </c>
      <c r="I164" t="s">
        <v>12</v>
      </c>
      <c r="J164" t="s">
        <v>39</v>
      </c>
      <c r="K164" t="s">
        <v>310</v>
      </c>
      <c r="L164" t="s">
        <v>195</v>
      </c>
      <c r="M164">
        <v>1</v>
      </c>
    </row>
    <row r="165" spans="1:13" x14ac:dyDescent="0.25">
      <c r="A165" s="2">
        <v>46225</v>
      </c>
      <c r="B165" s="1" t="str">
        <f ca="1">IF(Información1[[#This Row],[Fecha]]='Ajuste de fechas'!$A$2,"Día actual","Día anterior")</f>
        <v>Día actual</v>
      </c>
      <c r="C165" t="s">
        <v>28</v>
      </c>
      <c r="D165" t="s">
        <v>66</v>
      </c>
      <c r="E165" t="s">
        <v>311</v>
      </c>
      <c r="F165" t="s">
        <v>19</v>
      </c>
      <c r="G165" t="s">
        <v>312</v>
      </c>
      <c r="H165" t="s">
        <v>11</v>
      </c>
      <c r="I165" t="s">
        <v>7</v>
      </c>
      <c r="J165" t="s">
        <v>43</v>
      </c>
      <c r="K165" t="s">
        <v>67</v>
      </c>
      <c r="L165" t="s">
        <v>88</v>
      </c>
      <c r="M165">
        <v>1</v>
      </c>
    </row>
    <row r="166" spans="1:13" x14ac:dyDescent="0.25">
      <c r="A166" s="2">
        <v>46225</v>
      </c>
      <c r="B166" s="1" t="str">
        <f ca="1">IF(Información1[[#This Row],[Fecha]]='Ajuste de fechas'!$A$2,"Día actual","Día anterior")</f>
        <v>Día actual</v>
      </c>
      <c r="C166" t="s">
        <v>28</v>
      </c>
      <c r="D166" t="s">
        <v>66</v>
      </c>
      <c r="E166" t="s">
        <v>313</v>
      </c>
      <c r="F166" t="s">
        <v>19</v>
      </c>
      <c r="G166" t="s">
        <v>312</v>
      </c>
      <c r="H166" t="s">
        <v>11</v>
      </c>
      <c r="I166" t="s">
        <v>7</v>
      </c>
      <c r="J166" t="s">
        <v>43</v>
      </c>
      <c r="K166" t="s">
        <v>67</v>
      </c>
      <c r="L166" t="s">
        <v>40</v>
      </c>
      <c r="M166">
        <v>1</v>
      </c>
    </row>
    <row r="167" spans="1:13" x14ac:dyDescent="0.25">
      <c r="A167" s="2">
        <v>46225</v>
      </c>
      <c r="B167" s="1" t="str">
        <f ca="1">IF(Información1[[#This Row],[Fecha]]='Ajuste de fechas'!$A$2,"Día actual","Día anterior")</f>
        <v>Día actual</v>
      </c>
      <c r="C167" t="s">
        <v>28</v>
      </c>
      <c r="D167" t="s">
        <v>98</v>
      </c>
      <c r="E167" t="s">
        <v>314</v>
      </c>
      <c r="F167" t="s">
        <v>19</v>
      </c>
      <c r="G167" t="s">
        <v>312</v>
      </c>
      <c r="H167" t="s">
        <v>11</v>
      </c>
      <c r="I167" t="s">
        <v>7</v>
      </c>
      <c r="J167" t="s">
        <v>43</v>
      </c>
      <c r="K167" t="s">
        <v>99</v>
      </c>
      <c r="L167" t="s">
        <v>88</v>
      </c>
      <c r="M167">
        <v>1</v>
      </c>
    </row>
    <row r="168" spans="1:13" x14ac:dyDescent="0.25">
      <c r="A168" s="2">
        <v>46225</v>
      </c>
      <c r="B168" s="1" t="str">
        <f ca="1">IF(Información1[[#This Row],[Fecha]]='Ajuste de fechas'!$A$2,"Día actual","Día anterior")</f>
        <v>Día actual</v>
      </c>
      <c r="C168" t="s">
        <v>8</v>
      </c>
      <c r="D168" t="s">
        <v>10</v>
      </c>
      <c r="E168" t="s">
        <v>315</v>
      </c>
      <c r="F168" t="s">
        <v>54</v>
      </c>
      <c r="G168" t="s">
        <v>316</v>
      </c>
      <c r="H168" t="s">
        <v>11</v>
      </c>
      <c r="I168" t="s">
        <v>7</v>
      </c>
      <c r="J168" t="s">
        <v>24</v>
      </c>
      <c r="K168" t="s">
        <v>14</v>
      </c>
      <c r="L168" t="s">
        <v>40</v>
      </c>
      <c r="M168">
        <v>1</v>
      </c>
    </row>
    <row r="169" spans="1:13" x14ac:dyDescent="0.25">
      <c r="A169" s="2">
        <v>46225</v>
      </c>
      <c r="B169" s="1" t="str">
        <f ca="1">IF(Información1[[#This Row],[Fecha]]='Ajuste de fechas'!$A$2,"Día actual","Día anterior")</f>
        <v>Día actual</v>
      </c>
      <c r="C169" t="s">
        <v>28</v>
      </c>
      <c r="D169" t="s">
        <v>98</v>
      </c>
      <c r="E169" t="s">
        <v>317</v>
      </c>
      <c r="F169" t="s">
        <v>22</v>
      </c>
      <c r="G169" t="s">
        <v>318</v>
      </c>
      <c r="H169" t="s">
        <v>11</v>
      </c>
      <c r="I169" t="s">
        <v>7</v>
      </c>
      <c r="J169" t="s">
        <v>44</v>
      </c>
      <c r="K169" t="s">
        <v>99</v>
      </c>
      <c r="L169" t="s">
        <v>41</v>
      </c>
      <c r="M169">
        <v>1</v>
      </c>
    </row>
    <row r="170" spans="1:13" x14ac:dyDescent="0.25">
      <c r="A170" s="2">
        <v>46225</v>
      </c>
      <c r="B170" s="1" t="str">
        <f ca="1">IF(Información1[[#This Row],[Fecha]]='Ajuste de fechas'!$A$2,"Día actual","Día anterior")</f>
        <v>Día actual</v>
      </c>
      <c r="C170" t="s">
        <v>28</v>
      </c>
      <c r="D170" t="s">
        <v>98</v>
      </c>
      <c r="E170" t="s">
        <v>319</v>
      </c>
      <c r="F170" t="s">
        <v>22</v>
      </c>
      <c r="G170" t="s">
        <v>318</v>
      </c>
      <c r="H170" t="s">
        <v>11</v>
      </c>
      <c r="I170" t="s">
        <v>7</v>
      </c>
      <c r="J170" t="s">
        <v>44</v>
      </c>
      <c r="K170" t="s">
        <v>99</v>
      </c>
      <c r="L170" t="s">
        <v>40</v>
      </c>
      <c r="M170">
        <v>1</v>
      </c>
    </row>
    <row r="171" spans="1:13" x14ac:dyDescent="0.25">
      <c r="A171" s="2">
        <v>46225</v>
      </c>
      <c r="B171" s="1" t="str">
        <f ca="1">IF(Información1[[#This Row],[Fecha]]='Ajuste de fechas'!$A$2,"Día actual","Día anterior")</f>
        <v>Día actual</v>
      </c>
      <c r="C171" t="s">
        <v>77</v>
      </c>
      <c r="D171" t="s">
        <v>78</v>
      </c>
      <c r="E171" t="s">
        <v>320</v>
      </c>
      <c r="F171" t="s">
        <v>68</v>
      </c>
      <c r="G171" t="s">
        <v>83</v>
      </c>
      <c r="H171" t="s">
        <v>11</v>
      </c>
      <c r="I171" t="s">
        <v>12</v>
      </c>
      <c r="J171" t="s">
        <v>39</v>
      </c>
      <c r="K171" t="s">
        <v>79</v>
      </c>
      <c r="L171" t="s">
        <v>42</v>
      </c>
      <c r="M171">
        <v>1</v>
      </c>
    </row>
    <row r="172" spans="1:13" x14ac:dyDescent="0.25">
      <c r="A172" s="2">
        <v>46225</v>
      </c>
      <c r="B172" s="1" t="str">
        <f ca="1">IF(Información1[[#This Row],[Fecha]]='Ajuste de fechas'!$A$2,"Día actual","Día anterior")</f>
        <v>Día actual</v>
      </c>
      <c r="C172" t="s">
        <v>28</v>
      </c>
      <c r="D172" t="s">
        <v>66</v>
      </c>
      <c r="E172" t="s">
        <v>321</v>
      </c>
      <c r="F172" t="s">
        <v>19</v>
      </c>
      <c r="G172" t="s">
        <v>322</v>
      </c>
      <c r="H172" t="s">
        <v>11</v>
      </c>
      <c r="I172" t="s">
        <v>7</v>
      </c>
      <c r="J172" t="s">
        <v>43</v>
      </c>
      <c r="K172" t="s">
        <v>67</v>
      </c>
      <c r="L172" t="s">
        <v>40</v>
      </c>
      <c r="M172">
        <v>1</v>
      </c>
    </row>
    <row r="173" spans="1:13" x14ac:dyDescent="0.25">
      <c r="A173" s="2">
        <v>46225</v>
      </c>
      <c r="B173" s="1" t="str">
        <f ca="1">IF(Información1[[#This Row],[Fecha]]='Ajuste de fechas'!$A$2,"Día actual","Día anterior")</f>
        <v>Día actual</v>
      </c>
      <c r="C173" t="s">
        <v>112</v>
      </c>
      <c r="D173" t="s">
        <v>113</v>
      </c>
      <c r="E173" t="s">
        <v>323</v>
      </c>
      <c r="F173" t="s">
        <v>26</v>
      </c>
      <c r="G173" t="s">
        <v>235</v>
      </c>
      <c r="H173" t="s">
        <v>11</v>
      </c>
      <c r="I173" t="s">
        <v>7</v>
      </c>
      <c r="J173" t="s">
        <v>39</v>
      </c>
      <c r="K173" t="s">
        <v>116</v>
      </c>
      <c r="L173" t="s">
        <v>42</v>
      </c>
      <c r="M173">
        <v>1</v>
      </c>
    </row>
    <row r="174" spans="1:13" x14ac:dyDescent="0.25">
      <c r="A174" s="2">
        <v>46225</v>
      </c>
      <c r="B174" s="1" t="str">
        <f ca="1">IF(Información1[[#This Row],[Fecha]]='Ajuste de fechas'!$A$2,"Día actual","Día anterior")</f>
        <v>Día actual</v>
      </c>
      <c r="C174" t="s">
        <v>28</v>
      </c>
      <c r="D174" t="s">
        <v>66</v>
      </c>
      <c r="E174" t="s">
        <v>324</v>
      </c>
      <c r="F174" t="s">
        <v>26</v>
      </c>
      <c r="G174" t="s">
        <v>235</v>
      </c>
      <c r="H174" t="s">
        <v>11</v>
      </c>
      <c r="I174" t="s">
        <v>7</v>
      </c>
      <c r="J174" t="s">
        <v>39</v>
      </c>
      <c r="K174" t="s">
        <v>67</v>
      </c>
      <c r="L174" t="s">
        <v>42</v>
      </c>
      <c r="M174">
        <v>1</v>
      </c>
    </row>
    <row r="175" spans="1:13" x14ac:dyDescent="0.25">
      <c r="A175" s="2">
        <v>46225</v>
      </c>
      <c r="B175" s="1" t="str">
        <f ca="1">IF(Información1[[#This Row],[Fecha]]='Ajuste de fechas'!$A$2,"Día actual","Día anterior")</f>
        <v>Día actual</v>
      </c>
      <c r="C175" t="s">
        <v>28</v>
      </c>
      <c r="D175" t="s">
        <v>66</v>
      </c>
      <c r="E175" t="s">
        <v>323</v>
      </c>
      <c r="F175" t="s">
        <v>26</v>
      </c>
      <c r="G175" t="s">
        <v>235</v>
      </c>
      <c r="H175" t="s">
        <v>11</v>
      </c>
      <c r="I175" t="s">
        <v>7</v>
      </c>
      <c r="J175" t="s">
        <v>39</v>
      </c>
      <c r="K175" t="s">
        <v>67</v>
      </c>
      <c r="L175" t="s">
        <v>42</v>
      </c>
      <c r="M175">
        <v>1</v>
      </c>
    </row>
    <row r="176" spans="1:13" x14ac:dyDescent="0.25">
      <c r="A176" s="2">
        <v>46225</v>
      </c>
      <c r="B176" s="1" t="str">
        <f ca="1">IF(Información1[[#This Row],[Fecha]]='Ajuste de fechas'!$A$2,"Día actual","Día anterior")</f>
        <v>Día actual</v>
      </c>
      <c r="C176" t="s">
        <v>28</v>
      </c>
      <c r="D176" t="s">
        <v>98</v>
      </c>
      <c r="E176" t="s">
        <v>325</v>
      </c>
      <c r="F176" t="s">
        <v>26</v>
      </c>
      <c r="G176" t="s">
        <v>235</v>
      </c>
      <c r="H176" t="s">
        <v>11</v>
      </c>
      <c r="I176" t="s">
        <v>7</v>
      </c>
      <c r="J176" t="s">
        <v>39</v>
      </c>
      <c r="K176" t="s">
        <v>99</v>
      </c>
      <c r="L176" t="s">
        <v>40</v>
      </c>
      <c r="M176">
        <v>1</v>
      </c>
    </row>
    <row r="177" spans="1:13" x14ac:dyDescent="0.25">
      <c r="A177" s="2">
        <v>46225</v>
      </c>
      <c r="B177" s="1" t="str">
        <f ca="1">IF(Información1[[#This Row],[Fecha]]='Ajuste de fechas'!$A$2,"Día actual","Día anterior")</f>
        <v>Día actual</v>
      </c>
      <c r="C177" t="s">
        <v>28</v>
      </c>
      <c r="D177" t="s">
        <v>98</v>
      </c>
      <c r="E177" t="s">
        <v>326</v>
      </c>
      <c r="F177" t="s">
        <v>26</v>
      </c>
      <c r="G177" t="s">
        <v>235</v>
      </c>
      <c r="H177" t="s">
        <v>11</v>
      </c>
      <c r="I177" t="s">
        <v>7</v>
      </c>
      <c r="J177" t="s">
        <v>39</v>
      </c>
      <c r="K177" t="s">
        <v>99</v>
      </c>
      <c r="L177" t="s">
        <v>40</v>
      </c>
      <c r="M177">
        <v>1</v>
      </c>
    </row>
    <row r="178" spans="1:13" x14ac:dyDescent="0.25">
      <c r="A178" s="2">
        <v>46225</v>
      </c>
      <c r="B178" s="1" t="str">
        <f ca="1">IF(Información1[[#This Row],[Fecha]]='Ajuste de fechas'!$A$2,"Día actual","Día anterior")</f>
        <v>Día actual</v>
      </c>
      <c r="C178" t="s">
        <v>28</v>
      </c>
      <c r="D178" t="s">
        <v>98</v>
      </c>
      <c r="E178" t="s">
        <v>327</v>
      </c>
      <c r="F178" t="s">
        <v>202</v>
      </c>
      <c r="G178" t="s">
        <v>203</v>
      </c>
      <c r="H178" t="s">
        <v>11</v>
      </c>
      <c r="I178" t="s">
        <v>7</v>
      </c>
      <c r="J178" t="s">
        <v>24</v>
      </c>
      <c r="K178" t="s">
        <v>99</v>
      </c>
      <c r="L178" t="s">
        <v>40</v>
      </c>
      <c r="M178">
        <v>1</v>
      </c>
    </row>
    <row r="179" spans="1:13" x14ac:dyDescent="0.25">
      <c r="A179" s="2">
        <v>46225</v>
      </c>
      <c r="B179" s="1" t="str">
        <f ca="1">IF(Información1[[#This Row],[Fecha]]='Ajuste de fechas'!$A$2,"Día actual","Día anterior")</f>
        <v>Día actual</v>
      </c>
      <c r="C179" t="s">
        <v>8</v>
      </c>
      <c r="D179" t="s">
        <v>10</v>
      </c>
      <c r="E179" t="s">
        <v>328</v>
      </c>
      <c r="F179" t="s">
        <v>21</v>
      </c>
      <c r="G179" t="s">
        <v>329</v>
      </c>
      <c r="H179" t="s">
        <v>11</v>
      </c>
      <c r="I179" t="s">
        <v>7</v>
      </c>
      <c r="J179" t="s">
        <v>39</v>
      </c>
      <c r="K179" t="s">
        <v>14</v>
      </c>
      <c r="L179" t="s">
        <v>42</v>
      </c>
      <c r="M179">
        <v>1</v>
      </c>
    </row>
    <row r="180" spans="1:13" x14ac:dyDescent="0.25">
      <c r="A180" s="2">
        <v>46225</v>
      </c>
      <c r="B180" s="1" t="str">
        <f ca="1">IF(Información1[[#This Row],[Fecha]]='Ajuste de fechas'!$A$2,"Día actual","Día anterior")</f>
        <v>Día actual</v>
      </c>
      <c r="C180" t="s">
        <v>8</v>
      </c>
      <c r="D180" t="s">
        <v>10</v>
      </c>
      <c r="E180" t="s">
        <v>330</v>
      </c>
      <c r="F180" t="s">
        <v>19</v>
      </c>
      <c r="G180" t="s">
        <v>81</v>
      </c>
      <c r="H180" t="s">
        <v>11</v>
      </c>
      <c r="I180" t="s">
        <v>25</v>
      </c>
      <c r="J180" t="s">
        <v>43</v>
      </c>
      <c r="K180" t="s">
        <v>9</v>
      </c>
      <c r="L180" t="s">
        <v>41</v>
      </c>
      <c r="M180">
        <v>1</v>
      </c>
    </row>
    <row r="181" spans="1:13" x14ac:dyDescent="0.25">
      <c r="A181" s="2">
        <v>46225</v>
      </c>
      <c r="B181" s="1" t="str">
        <f ca="1">IF(Información1[[#This Row],[Fecha]]='Ajuste de fechas'!$A$2,"Día actual","Día anterior")</f>
        <v>Día actual</v>
      </c>
      <c r="C181" t="s">
        <v>50</v>
      </c>
      <c r="D181" t="s">
        <v>55</v>
      </c>
      <c r="E181" t="s">
        <v>165</v>
      </c>
      <c r="F181" t="s">
        <v>22</v>
      </c>
      <c r="G181" t="s">
        <v>108</v>
      </c>
      <c r="H181" t="s">
        <v>11</v>
      </c>
      <c r="I181" t="s">
        <v>7</v>
      </c>
      <c r="J181" t="s">
        <v>44</v>
      </c>
      <c r="K181" t="s">
        <v>51</v>
      </c>
      <c r="L181" t="s">
        <v>40</v>
      </c>
      <c r="M181">
        <v>1</v>
      </c>
    </row>
    <row r="182" spans="1:13" x14ac:dyDescent="0.25">
      <c r="A182" s="2">
        <v>46225</v>
      </c>
      <c r="B182" s="1" t="str">
        <f ca="1">IF(Información1[[#This Row],[Fecha]]='Ajuste de fechas'!$A$2,"Día actual","Día anterior")</f>
        <v>Día actual</v>
      </c>
      <c r="C182" t="s">
        <v>63</v>
      </c>
      <c r="D182" t="s">
        <v>64</v>
      </c>
      <c r="E182" t="s">
        <v>331</v>
      </c>
      <c r="F182" t="s">
        <v>22</v>
      </c>
      <c r="G182" t="s">
        <v>108</v>
      </c>
      <c r="H182" t="s">
        <v>11</v>
      </c>
      <c r="I182" t="s">
        <v>7</v>
      </c>
      <c r="J182" t="s">
        <v>44</v>
      </c>
      <c r="K182" t="s">
        <v>65</v>
      </c>
      <c r="L182" t="s">
        <v>40</v>
      </c>
      <c r="M182">
        <v>1</v>
      </c>
    </row>
    <row r="183" spans="1:13" x14ac:dyDescent="0.25">
      <c r="A183" s="2">
        <v>46225</v>
      </c>
      <c r="B183" s="1" t="str">
        <f ca="1">IF(Información1[[#This Row],[Fecha]]='Ajuste de fechas'!$A$2,"Día actual","Día anterior")</f>
        <v>Día actual</v>
      </c>
      <c r="C183" t="s">
        <v>63</v>
      </c>
      <c r="D183" t="s">
        <v>64</v>
      </c>
      <c r="E183" t="s">
        <v>332</v>
      </c>
      <c r="F183" t="s">
        <v>54</v>
      </c>
      <c r="G183" t="s">
        <v>298</v>
      </c>
      <c r="H183" t="s">
        <v>11</v>
      </c>
      <c r="I183" t="s">
        <v>7</v>
      </c>
      <c r="J183" t="s">
        <v>24</v>
      </c>
      <c r="K183" t="s">
        <v>65</v>
      </c>
      <c r="L183" t="s">
        <v>40</v>
      </c>
      <c r="M183">
        <v>1</v>
      </c>
    </row>
    <row r="184" spans="1:13" x14ac:dyDescent="0.25">
      <c r="A184" s="2">
        <v>46225</v>
      </c>
      <c r="B184" s="1" t="str">
        <f ca="1">IF(Información1[[#This Row],[Fecha]]='Ajuste de fechas'!$A$2,"Día actual","Día anterior")</f>
        <v>Día actual</v>
      </c>
      <c r="C184" t="s">
        <v>63</v>
      </c>
      <c r="D184" t="s">
        <v>64</v>
      </c>
      <c r="E184" t="s">
        <v>333</v>
      </c>
      <c r="F184" t="s">
        <v>19</v>
      </c>
      <c r="G184" t="s">
        <v>334</v>
      </c>
      <c r="H184" t="s">
        <v>11</v>
      </c>
      <c r="I184" t="s">
        <v>25</v>
      </c>
      <c r="J184" t="s">
        <v>43</v>
      </c>
      <c r="K184" t="s">
        <v>65</v>
      </c>
      <c r="L184" t="s">
        <v>40</v>
      </c>
      <c r="M184">
        <v>1</v>
      </c>
    </row>
    <row r="185" spans="1:13" x14ac:dyDescent="0.25">
      <c r="A185" s="2">
        <v>46225</v>
      </c>
      <c r="B185" s="1" t="str">
        <f ca="1">IF(Información1[[#This Row],[Fecha]]='Ajuste de fechas'!$A$2,"Día actual","Día anterior")</f>
        <v>Día actual</v>
      </c>
      <c r="C185" t="s">
        <v>63</v>
      </c>
      <c r="D185" t="s">
        <v>64</v>
      </c>
      <c r="E185" t="s">
        <v>335</v>
      </c>
      <c r="F185" t="s">
        <v>19</v>
      </c>
      <c r="G185" t="s">
        <v>336</v>
      </c>
      <c r="H185" t="s">
        <v>11</v>
      </c>
      <c r="I185" t="s">
        <v>25</v>
      </c>
      <c r="J185" t="s">
        <v>43</v>
      </c>
      <c r="K185" t="s">
        <v>65</v>
      </c>
      <c r="L185" t="s">
        <v>40</v>
      </c>
      <c r="M185">
        <v>1</v>
      </c>
    </row>
    <row r="186" spans="1:13" x14ac:dyDescent="0.25">
      <c r="A186" s="2">
        <v>46225</v>
      </c>
      <c r="B186" s="1" t="str">
        <f ca="1">IF(Información1[[#This Row],[Fecha]]='Ajuste de fechas'!$A$2,"Día actual","Día anterior")</f>
        <v>Día actual</v>
      </c>
      <c r="C186" t="s">
        <v>63</v>
      </c>
      <c r="D186" t="s">
        <v>64</v>
      </c>
      <c r="E186" t="s">
        <v>337</v>
      </c>
      <c r="F186" t="s">
        <v>54</v>
      </c>
      <c r="G186" t="s">
        <v>316</v>
      </c>
      <c r="H186" t="s">
        <v>11</v>
      </c>
      <c r="I186" t="s">
        <v>7</v>
      </c>
      <c r="J186" t="s">
        <v>24</v>
      </c>
      <c r="K186" t="s">
        <v>65</v>
      </c>
      <c r="L186" t="s">
        <v>40</v>
      </c>
      <c r="M186">
        <v>1</v>
      </c>
    </row>
    <row r="187" spans="1:13" x14ac:dyDescent="0.25">
      <c r="A187" s="2">
        <v>46225</v>
      </c>
      <c r="B187" s="1" t="str">
        <f ca="1">IF(Información1[[#This Row],[Fecha]]='Ajuste de fechas'!$A$2,"Día actual","Día anterior")</f>
        <v>Día actual</v>
      </c>
      <c r="C187" t="s">
        <v>63</v>
      </c>
      <c r="D187" t="s">
        <v>64</v>
      </c>
      <c r="E187" t="s">
        <v>338</v>
      </c>
      <c r="F187" t="s">
        <v>54</v>
      </c>
      <c r="G187" t="s">
        <v>298</v>
      </c>
      <c r="H187" t="s">
        <v>11</v>
      </c>
      <c r="I187" t="s">
        <v>7</v>
      </c>
      <c r="J187" t="s">
        <v>24</v>
      </c>
      <c r="K187" t="s">
        <v>65</v>
      </c>
      <c r="L187" t="s">
        <v>40</v>
      </c>
      <c r="M187">
        <v>1</v>
      </c>
    </row>
    <row r="188" spans="1:13" x14ac:dyDescent="0.25">
      <c r="A188" s="2">
        <v>46225</v>
      </c>
      <c r="B188" s="1" t="str">
        <f ca="1">IF(Información1[[#This Row],[Fecha]]='Ajuste de fechas'!$A$2,"Día actual","Día anterior")</f>
        <v>Día actual</v>
      </c>
      <c r="C188" t="s">
        <v>63</v>
      </c>
      <c r="D188" t="s">
        <v>64</v>
      </c>
      <c r="E188" t="s">
        <v>339</v>
      </c>
      <c r="F188" t="s">
        <v>340</v>
      </c>
      <c r="G188" t="s">
        <v>341</v>
      </c>
      <c r="H188" t="s">
        <v>11</v>
      </c>
      <c r="I188" t="s">
        <v>7</v>
      </c>
      <c r="J188" t="s">
        <v>39</v>
      </c>
      <c r="K188" t="s">
        <v>65</v>
      </c>
      <c r="L188" t="s">
        <v>42</v>
      </c>
      <c r="M188">
        <v>1</v>
      </c>
    </row>
    <row r="189" spans="1:13" x14ac:dyDescent="0.25">
      <c r="A189" s="2">
        <v>46225</v>
      </c>
      <c r="B189" s="1" t="str">
        <f ca="1">IF(Información1[[#This Row],[Fecha]]='Ajuste de fechas'!$A$2,"Día actual","Día anterior")</f>
        <v>Día actual</v>
      </c>
      <c r="C189" t="s">
        <v>63</v>
      </c>
      <c r="D189" t="s">
        <v>64</v>
      </c>
      <c r="E189" t="s">
        <v>342</v>
      </c>
      <c r="F189" t="s">
        <v>259</v>
      </c>
      <c r="G189" t="s">
        <v>260</v>
      </c>
      <c r="H189" t="s">
        <v>11</v>
      </c>
      <c r="I189" t="s">
        <v>7</v>
      </c>
      <c r="J189" t="s">
        <v>39</v>
      </c>
      <c r="K189" t="s">
        <v>65</v>
      </c>
      <c r="L189" t="s">
        <v>195</v>
      </c>
      <c r="M189">
        <v>1</v>
      </c>
    </row>
    <row r="190" spans="1:13" x14ac:dyDescent="0.25">
      <c r="A190" s="2">
        <v>46225</v>
      </c>
      <c r="B190" s="1" t="str">
        <f ca="1">IF(Información1[[#This Row],[Fecha]]='Ajuste de fechas'!$A$2,"Día actual","Día anterior")</f>
        <v>Día actual</v>
      </c>
      <c r="C190" t="s">
        <v>63</v>
      </c>
      <c r="D190" t="s">
        <v>64</v>
      </c>
      <c r="E190" t="s">
        <v>324</v>
      </c>
      <c r="F190" t="s">
        <v>26</v>
      </c>
      <c r="G190" t="s">
        <v>235</v>
      </c>
      <c r="H190" t="s">
        <v>11</v>
      </c>
      <c r="I190" t="s">
        <v>7</v>
      </c>
      <c r="J190" t="s">
        <v>39</v>
      </c>
      <c r="K190" t="s">
        <v>65</v>
      </c>
      <c r="L190" t="s">
        <v>42</v>
      </c>
      <c r="M190">
        <v>1</v>
      </c>
    </row>
    <row r="191" spans="1:13" x14ac:dyDescent="0.25">
      <c r="A191" s="2">
        <v>46225</v>
      </c>
      <c r="B191" s="1" t="str">
        <f ca="1">IF(Información1[[#This Row],[Fecha]]='Ajuste de fechas'!$A$2,"Día actual","Día anterior")</f>
        <v>Día actual</v>
      </c>
      <c r="C191" t="s">
        <v>63</v>
      </c>
      <c r="D191" t="s">
        <v>64</v>
      </c>
      <c r="E191" t="s">
        <v>323</v>
      </c>
      <c r="F191" t="s">
        <v>26</v>
      </c>
      <c r="G191" t="s">
        <v>235</v>
      </c>
      <c r="H191" t="s">
        <v>11</v>
      </c>
      <c r="I191" t="s">
        <v>7</v>
      </c>
      <c r="J191" t="s">
        <v>39</v>
      </c>
      <c r="K191" t="s">
        <v>65</v>
      </c>
      <c r="L191" t="s">
        <v>42</v>
      </c>
      <c r="M191">
        <v>1</v>
      </c>
    </row>
    <row r="192" spans="1:13" x14ac:dyDescent="0.25">
      <c r="A192" s="2">
        <v>46225</v>
      </c>
      <c r="B192" s="1" t="str">
        <f ca="1">IF(Información1[[#This Row],[Fecha]]='Ajuste de fechas'!$A$2,"Día actual","Día anterior")</f>
        <v>Día actual</v>
      </c>
      <c r="C192" t="s">
        <v>50</v>
      </c>
      <c r="D192" t="s">
        <v>52</v>
      </c>
      <c r="E192" t="s">
        <v>343</v>
      </c>
      <c r="F192" t="s">
        <v>102</v>
      </c>
      <c r="G192" t="s">
        <v>108</v>
      </c>
      <c r="H192" t="s">
        <v>11</v>
      </c>
      <c r="I192" t="s">
        <v>7</v>
      </c>
      <c r="J192" t="s">
        <v>24</v>
      </c>
      <c r="K192" t="s">
        <v>51</v>
      </c>
      <c r="L192" t="s">
        <v>40</v>
      </c>
      <c r="M192">
        <v>1</v>
      </c>
    </row>
    <row r="193" spans="1:13" x14ac:dyDescent="0.25">
      <c r="A193" s="2">
        <v>46225</v>
      </c>
      <c r="B193" s="1" t="str">
        <f ca="1">IF(Información1[[#This Row],[Fecha]]='Ajuste de fechas'!$A$2,"Día actual","Día anterior")</f>
        <v>Día actual</v>
      </c>
      <c r="C193" t="s">
        <v>50</v>
      </c>
      <c r="D193" t="s">
        <v>52</v>
      </c>
      <c r="E193" t="s">
        <v>344</v>
      </c>
      <c r="F193" t="s">
        <v>102</v>
      </c>
      <c r="G193" t="s">
        <v>345</v>
      </c>
      <c r="H193" t="s">
        <v>11</v>
      </c>
      <c r="I193" t="s">
        <v>7</v>
      </c>
      <c r="J193" t="s">
        <v>24</v>
      </c>
      <c r="K193" t="s">
        <v>51</v>
      </c>
      <c r="L193" t="s">
        <v>40</v>
      </c>
      <c r="M193">
        <v>1</v>
      </c>
    </row>
    <row r="194" spans="1:13" x14ac:dyDescent="0.25">
      <c r="A194" s="2">
        <v>46225</v>
      </c>
      <c r="B194" s="1" t="str">
        <f ca="1">IF(Información1[[#This Row],[Fecha]]='Ajuste de fechas'!$A$2,"Día actual","Día anterior")</f>
        <v>Día actual</v>
      </c>
      <c r="C194" t="s">
        <v>50</v>
      </c>
      <c r="D194" t="s">
        <v>52</v>
      </c>
      <c r="E194" t="s">
        <v>339</v>
      </c>
      <c r="F194" t="s">
        <v>340</v>
      </c>
      <c r="G194" t="s">
        <v>341</v>
      </c>
      <c r="H194" t="s">
        <v>11</v>
      </c>
      <c r="I194" t="s">
        <v>7</v>
      </c>
      <c r="J194" t="s">
        <v>39</v>
      </c>
      <c r="K194" t="s">
        <v>49</v>
      </c>
      <c r="L194" t="s">
        <v>40</v>
      </c>
      <c r="M194">
        <v>1</v>
      </c>
    </row>
    <row r="195" spans="1:13" x14ac:dyDescent="0.25">
      <c r="A195" s="2">
        <v>46225</v>
      </c>
      <c r="B195" s="1" t="str">
        <f ca="1">IF(Información1[[#This Row],[Fecha]]='Ajuste de fechas'!$A$2,"Día actual","Día anterior")</f>
        <v>Día actual</v>
      </c>
      <c r="C195" t="s">
        <v>50</v>
      </c>
      <c r="D195" t="s">
        <v>52</v>
      </c>
      <c r="E195" t="s">
        <v>175</v>
      </c>
      <c r="F195" t="s">
        <v>92</v>
      </c>
      <c r="G195" t="s">
        <v>300</v>
      </c>
      <c r="H195" t="s">
        <v>11</v>
      </c>
      <c r="I195" t="s">
        <v>7</v>
      </c>
      <c r="J195" t="s">
        <v>39</v>
      </c>
      <c r="K195" t="s">
        <v>49</v>
      </c>
      <c r="L195" t="s">
        <v>42</v>
      </c>
      <c r="M195">
        <v>1</v>
      </c>
    </row>
    <row r="196" spans="1:13" x14ac:dyDescent="0.25">
      <c r="A196" s="2">
        <v>46225</v>
      </c>
      <c r="B196" s="1" t="str">
        <f ca="1">IF(Información1[[#This Row],[Fecha]]='Ajuste de fechas'!$A$2,"Día actual","Día anterior")</f>
        <v>Día actual</v>
      </c>
      <c r="C196" t="s">
        <v>50</v>
      </c>
      <c r="D196" t="s">
        <v>52</v>
      </c>
      <c r="E196" t="s">
        <v>332</v>
      </c>
      <c r="F196" t="s">
        <v>54</v>
      </c>
      <c r="G196" t="s">
        <v>298</v>
      </c>
      <c r="H196" t="s">
        <v>11</v>
      </c>
      <c r="I196" t="s">
        <v>7</v>
      </c>
      <c r="J196" t="s">
        <v>24</v>
      </c>
      <c r="K196" t="s">
        <v>51</v>
      </c>
      <c r="L196" t="s">
        <v>40</v>
      </c>
      <c r="M196">
        <v>1</v>
      </c>
    </row>
    <row r="197" spans="1:13" x14ac:dyDescent="0.25">
      <c r="A197" s="2">
        <v>46225</v>
      </c>
      <c r="B197" s="1" t="str">
        <f ca="1">IF(Información1[[#This Row],[Fecha]]='Ajuste de fechas'!$A$2,"Día actual","Día anterior")</f>
        <v>Día actual</v>
      </c>
      <c r="C197" t="s">
        <v>50</v>
      </c>
      <c r="D197" t="s">
        <v>52</v>
      </c>
      <c r="E197" t="s">
        <v>346</v>
      </c>
      <c r="F197" t="s">
        <v>19</v>
      </c>
      <c r="G197" t="s">
        <v>347</v>
      </c>
      <c r="H197" t="s">
        <v>11</v>
      </c>
      <c r="I197" t="s">
        <v>7</v>
      </c>
      <c r="J197" t="s">
        <v>43</v>
      </c>
      <c r="K197" t="s">
        <v>51</v>
      </c>
      <c r="L197" t="s">
        <v>40</v>
      </c>
      <c r="M197">
        <v>1</v>
      </c>
    </row>
    <row r="198" spans="1:13" x14ac:dyDescent="0.25">
      <c r="A198" s="2">
        <v>46225</v>
      </c>
      <c r="B198" s="1" t="str">
        <f ca="1">IF(Información1[[#This Row],[Fecha]]='Ajuste de fechas'!$A$2,"Día actual","Día anterior")</f>
        <v>Día actual</v>
      </c>
      <c r="C198" t="s">
        <v>50</v>
      </c>
      <c r="D198" t="s">
        <v>52</v>
      </c>
      <c r="E198" t="s">
        <v>348</v>
      </c>
      <c r="F198" t="s">
        <v>19</v>
      </c>
      <c r="G198" t="s">
        <v>284</v>
      </c>
      <c r="H198" t="s">
        <v>11</v>
      </c>
      <c r="I198" t="s">
        <v>7</v>
      </c>
      <c r="J198" t="s">
        <v>43</v>
      </c>
      <c r="K198" t="s">
        <v>49</v>
      </c>
      <c r="L198" t="s">
        <v>40</v>
      </c>
      <c r="M198">
        <v>1</v>
      </c>
    </row>
    <row r="199" spans="1:13" x14ac:dyDescent="0.25">
      <c r="A199" s="2">
        <v>46225</v>
      </c>
      <c r="B199" s="1" t="str">
        <f ca="1">IF(Información1[[#This Row],[Fecha]]='Ajuste de fechas'!$A$2,"Día actual","Día anterior")</f>
        <v>Día actual</v>
      </c>
      <c r="C199" t="s">
        <v>50</v>
      </c>
      <c r="D199" t="s">
        <v>52</v>
      </c>
      <c r="E199" t="s">
        <v>349</v>
      </c>
      <c r="F199" t="s">
        <v>21</v>
      </c>
      <c r="G199" t="s">
        <v>350</v>
      </c>
      <c r="H199" t="s">
        <v>11</v>
      </c>
      <c r="I199" t="s">
        <v>7</v>
      </c>
      <c r="J199" t="s">
        <v>39</v>
      </c>
      <c r="K199" t="s">
        <v>49</v>
      </c>
      <c r="L199" t="s">
        <v>88</v>
      </c>
      <c r="M199">
        <v>1</v>
      </c>
    </row>
    <row r="200" spans="1:13" x14ac:dyDescent="0.25">
      <c r="A200" s="2">
        <v>46225</v>
      </c>
      <c r="B200" s="1" t="str">
        <f ca="1">IF(Información1[[#This Row],[Fecha]]='Ajuste de fechas'!$A$2,"Día actual","Día anterior")</f>
        <v>Día actual</v>
      </c>
      <c r="C200" t="s">
        <v>50</v>
      </c>
      <c r="D200" t="s">
        <v>52</v>
      </c>
      <c r="E200" t="s">
        <v>351</v>
      </c>
      <c r="F200" t="s">
        <v>54</v>
      </c>
      <c r="G200" t="s">
        <v>316</v>
      </c>
      <c r="H200" t="s">
        <v>11</v>
      </c>
      <c r="I200" t="s">
        <v>7</v>
      </c>
      <c r="J200" t="s">
        <v>24</v>
      </c>
      <c r="K200" t="s">
        <v>49</v>
      </c>
      <c r="L200" t="s">
        <v>40</v>
      </c>
      <c r="M200">
        <v>1</v>
      </c>
    </row>
    <row r="201" spans="1:13" x14ac:dyDescent="0.25">
      <c r="A201" s="2">
        <v>46225</v>
      </c>
      <c r="B201" s="1" t="str">
        <f ca="1">IF(Información1[[#This Row],[Fecha]]='Ajuste de fechas'!$A$2,"Día actual","Día anterior")</f>
        <v>Día actual</v>
      </c>
      <c r="C201" t="s">
        <v>50</v>
      </c>
      <c r="D201" t="s">
        <v>52</v>
      </c>
      <c r="E201" t="s">
        <v>352</v>
      </c>
      <c r="F201" t="s">
        <v>54</v>
      </c>
      <c r="G201" t="s">
        <v>298</v>
      </c>
      <c r="H201" t="s">
        <v>11</v>
      </c>
      <c r="I201" t="s">
        <v>7</v>
      </c>
      <c r="J201" t="s">
        <v>24</v>
      </c>
      <c r="K201" t="s">
        <v>49</v>
      </c>
      <c r="L201" t="s">
        <v>40</v>
      </c>
      <c r="M201">
        <v>1</v>
      </c>
    </row>
    <row r="202" spans="1:13" x14ac:dyDescent="0.25">
      <c r="A202" s="2">
        <v>46225</v>
      </c>
      <c r="B202" s="1" t="str">
        <f ca="1">IF(Información1[[#This Row],[Fecha]]='Ajuste de fechas'!$A$2,"Día actual","Día anterior")</f>
        <v>Día actual</v>
      </c>
      <c r="C202" t="s">
        <v>50</v>
      </c>
      <c r="D202" t="s">
        <v>52</v>
      </c>
      <c r="E202" t="s">
        <v>353</v>
      </c>
      <c r="F202" t="s">
        <v>26</v>
      </c>
      <c r="G202" t="s">
        <v>186</v>
      </c>
      <c r="H202" t="s">
        <v>11</v>
      </c>
      <c r="I202" t="s">
        <v>7</v>
      </c>
      <c r="J202" t="s">
        <v>39</v>
      </c>
      <c r="K202" t="s">
        <v>49</v>
      </c>
      <c r="L202" t="s">
        <v>40</v>
      </c>
      <c r="M202">
        <v>1</v>
      </c>
    </row>
    <row r="203" spans="1:13" x14ac:dyDescent="0.25">
      <c r="A203" s="2">
        <v>46225</v>
      </c>
      <c r="B203" s="1" t="str">
        <f ca="1">IF(Información1[[#This Row],[Fecha]]='Ajuste de fechas'!$A$2,"Día actual","Día anterior")</f>
        <v>Día actual</v>
      </c>
      <c r="C203" t="s">
        <v>50</v>
      </c>
      <c r="D203" t="s">
        <v>52</v>
      </c>
      <c r="E203" t="s">
        <v>354</v>
      </c>
      <c r="F203" t="s">
        <v>54</v>
      </c>
      <c r="G203" t="s">
        <v>153</v>
      </c>
      <c r="H203" t="s">
        <v>11</v>
      </c>
      <c r="I203" t="s">
        <v>7</v>
      </c>
      <c r="J203" t="s">
        <v>24</v>
      </c>
      <c r="K203" t="s">
        <v>51</v>
      </c>
      <c r="L203" t="s">
        <v>40</v>
      </c>
      <c r="M203">
        <v>1</v>
      </c>
    </row>
    <row r="204" spans="1:13" x14ac:dyDescent="0.25">
      <c r="A204" s="2">
        <v>46225</v>
      </c>
      <c r="B204" s="1" t="str">
        <f ca="1">IF(Información1[[#This Row],[Fecha]]='Ajuste de fechas'!$A$2,"Día actual","Día anterior")</f>
        <v>Día actual</v>
      </c>
      <c r="C204" t="s">
        <v>50</v>
      </c>
      <c r="D204" t="s">
        <v>52</v>
      </c>
      <c r="E204" t="s">
        <v>324</v>
      </c>
      <c r="F204" t="s">
        <v>26</v>
      </c>
      <c r="G204" t="s">
        <v>235</v>
      </c>
      <c r="H204" t="s">
        <v>11</v>
      </c>
      <c r="I204" t="s">
        <v>7</v>
      </c>
      <c r="J204" t="s">
        <v>39</v>
      </c>
      <c r="K204" t="s">
        <v>49</v>
      </c>
      <c r="L204" t="s">
        <v>42</v>
      </c>
      <c r="M204">
        <v>1</v>
      </c>
    </row>
    <row r="205" spans="1:13" x14ac:dyDescent="0.25">
      <c r="A205" s="2">
        <v>46225</v>
      </c>
      <c r="B205" s="1" t="str">
        <f ca="1">IF(Información1[[#This Row],[Fecha]]='Ajuste de fechas'!$A$2,"Día actual","Día anterior")</f>
        <v>Día actual</v>
      </c>
      <c r="C205" t="s">
        <v>50</v>
      </c>
      <c r="D205" t="s">
        <v>52</v>
      </c>
      <c r="E205" t="s">
        <v>323</v>
      </c>
      <c r="F205" t="s">
        <v>26</v>
      </c>
      <c r="G205" t="s">
        <v>235</v>
      </c>
      <c r="H205" t="s">
        <v>11</v>
      </c>
      <c r="I205" t="s">
        <v>7</v>
      </c>
      <c r="J205" t="s">
        <v>39</v>
      </c>
      <c r="K205" t="s">
        <v>49</v>
      </c>
      <c r="L205" t="s">
        <v>40</v>
      </c>
      <c r="M205">
        <v>1</v>
      </c>
    </row>
    <row r="206" spans="1:13" x14ac:dyDescent="0.25">
      <c r="A206" s="2">
        <v>46225</v>
      </c>
      <c r="B206" s="1" t="str">
        <f ca="1">IF(Información1[[#This Row],[Fecha]]='Ajuste de fechas'!$A$2,"Día actual","Día anterior")</f>
        <v>Día actual</v>
      </c>
      <c r="C206" t="s">
        <v>50</v>
      </c>
      <c r="D206" t="s">
        <v>52</v>
      </c>
      <c r="E206" t="s">
        <v>355</v>
      </c>
      <c r="F206" t="s">
        <v>23</v>
      </c>
      <c r="G206" t="s">
        <v>347</v>
      </c>
      <c r="H206" t="s">
        <v>11</v>
      </c>
      <c r="I206" t="s">
        <v>7</v>
      </c>
      <c r="J206" t="s">
        <v>39</v>
      </c>
      <c r="K206" t="s">
        <v>49</v>
      </c>
      <c r="L206" t="s">
        <v>42</v>
      </c>
      <c r="M20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46225</v>
      </c>
      <c r="B2" s="2">
        <f ca="1">A2-1</f>
        <v>46224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2026-07-22T23:42:09Z</dcterms:modified>
</cp:coreProperties>
</file>