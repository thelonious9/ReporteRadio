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47AB4A99-A714-459F-BA78-3F5AFBBD77A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53" i="2"/>
  <c r="B82" i="2"/>
  <c r="B86" i="2"/>
  <c r="B89" i="2"/>
  <c r="B92" i="2"/>
  <c r="B95" i="2"/>
  <c r="B98" i="2"/>
  <c r="B101" i="2"/>
  <c r="B104" i="2"/>
  <c r="B28" i="2"/>
  <c r="B29" i="2"/>
  <c r="B30" i="2"/>
  <c r="B31" i="2"/>
  <c r="B32" i="2"/>
  <c r="B33" i="2"/>
  <c r="B34" i="2"/>
  <c r="B35" i="2"/>
  <c r="B36" i="2"/>
  <c r="B37" i="2"/>
  <c r="B38" i="2"/>
  <c r="B39" i="2"/>
  <c r="B40" i="2"/>
  <c r="B41" i="2"/>
  <c r="B42" i="2"/>
  <c r="B43" i="2"/>
  <c r="B44" i="2"/>
  <c r="B45" i="2"/>
  <c r="B46" i="2"/>
  <c r="B47" i="2"/>
  <c r="B48" i="2"/>
  <c r="B49" i="2"/>
  <c r="B50" i="2"/>
  <c r="B51" i="2"/>
  <c r="B52" i="2"/>
  <c r="B80" i="2"/>
  <c r="B81" i="2"/>
  <c r="B85" i="2"/>
  <c r="B88" i="2"/>
  <c r="B91" i="2"/>
  <c r="B94" i="2"/>
  <c r="B97" i="2"/>
  <c r="B100" i="2"/>
  <c r="B103" i="2"/>
  <c r="B54" i="2"/>
  <c r="B55" i="2"/>
  <c r="B56" i="2"/>
  <c r="B57" i="2"/>
  <c r="B58" i="2"/>
  <c r="B59" i="2"/>
  <c r="B60" i="2"/>
  <c r="B61" i="2"/>
  <c r="B62" i="2"/>
  <c r="B63" i="2"/>
  <c r="B64" i="2"/>
  <c r="B65" i="2"/>
  <c r="B66" i="2"/>
  <c r="B67" i="2"/>
  <c r="B68" i="2"/>
  <c r="B69" i="2"/>
  <c r="B70" i="2"/>
  <c r="B71" i="2"/>
  <c r="B72" i="2"/>
  <c r="B73" i="2"/>
  <c r="B74" i="2"/>
  <c r="B75" i="2"/>
  <c r="B76" i="2"/>
  <c r="B77" i="2"/>
  <c r="B78" i="2"/>
  <c r="B79" i="2"/>
  <c r="B83" i="2"/>
  <c r="B84" i="2"/>
  <c r="B87" i="2"/>
  <c r="B90" i="2"/>
  <c r="B93" i="2"/>
  <c r="B96" i="2"/>
  <c r="B99" i="2"/>
  <c r="B102" i="2"/>
  <c r="B10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<sst xmlns="http://schemas.openxmlformats.org/spreadsheetml/2006/main" count="1055" uniqueCount="223">
  <si>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</si>
  <si>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</si>
  <si>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</si>
  <si>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</si>
  <si>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</si>
  <si>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</si>
  <si>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</si>
  <si>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</si>
  <si>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</si>
  <si>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</si>
  <si>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</si>
  <si>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</si>
  <si>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</si>
  <si>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</si>
  <si>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</si>
  <si>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</si>
  <si>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</si>
  <si>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</si>
  <si>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</si>
  <si>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</si>
  <si>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</si>
  <si>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</si>
  <si>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</si>
  <si>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</si>
  <si>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</si>
  <si>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</si>
  <si>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</si>
  <si>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</si>
  <si>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</si>
  <si>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</si>
  <si>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</si>
  <si>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</si>
  <si>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</si>
  <si>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</si>
  <si>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</si>
  <si>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</si>
  <si>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</si>
  <si>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</si>
  <si>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</si>
  <si>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</si>
  <si>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</si>
  <si>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</si>
  <si>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</si>
  <si>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</si>
  <si>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</si>
  <si>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</si>
  <si>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</si>
  <si>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</si>
  <si>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</si>
  <si>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</si>
  <si>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</si>
  <si>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</si>
  <si>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</si>
  <si>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</si>
  <si>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</si>
  <si>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</si>
  <si>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</si>
  <si>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Reforma Electoral</t>
  </si>
  <si>
    <t>Fuga De Agua</t>
  </si>
  <si>
    <t>Cultura</t>
  </si>
  <si>
    <t>Fiestas Patrias</t>
  </si>
  <si>
    <t>La Poderosa Tuxpan 93.1 FM</t>
  </si>
  <si>
    <t>Nn Nuestras Noticias Zona Norte</t>
  </si>
  <si>
    <t>Liz Argüelles</t>
  </si>
  <si>
    <t>El Mexe</t>
  </si>
  <si>
    <t>DIFH</t>
  </si>
  <si>
    <t>Ke Buena 106.7 FM</t>
  </si>
  <si>
    <t>Noticias 106.7</t>
  </si>
  <si>
    <t>David Cárdenas</t>
  </si>
  <si>
    <t>Eulalio Larrieta agradece Paola García y Lic. Sarahi Pineda, por estar atentas a los mensajes de la ciudadanía y por atenderlos.</t>
  </si>
  <si>
    <t>Conservación del Patrimonio Cultural</t>
  </si>
  <si>
    <t>Encuentro internacional</t>
  </si>
  <si>
    <t>Homicidio de Sacerdote</t>
  </si>
  <si>
    <t>Simulacro Sismo</t>
  </si>
  <si>
    <t>Registro vehicular</t>
  </si>
  <si>
    <t>Mañanera del pueblo</t>
  </si>
  <si>
    <t>Atención a la ciudadanía</t>
  </si>
  <si>
    <t>Homicidio de sacerdote</t>
  </si>
  <si>
    <t>Semaforización</t>
  </si>
  <si>
    <t>Este domingo 20 arranca la Semana Nacional de Vacunación Antirrábica para perros y gatos en Tulancingo, con un horario de 09:30 a 14:00 horas. El arranque dominical contempla módulos en diversas localidades y colonias como Centro (Velaria), La Cañada, Napateco (Parque de la U), Jaltepec (auditorio), Vicente Guerrero, Guadalupe, Rojo Gómez, Adolfo López Mateos (capilla de San Judas), Francisco I. Madero (Club de Leones) y Metilatla. Asimismo, para el día lunes las actividades continuarán en las colonias Caltengo, Argentina, Huapalcalco, Nuevo Tulancingo, Los Pinos, Lomas de Napateco, Sultepec, Sototlán, San Vidal y La Morena. Esta campaña tiene como</t>
  </si>
  <si>
    <t>Vacunación Antirrábica</t>
  </si>
  <si>
    <t>Durante la madrugada de este viernes en Santiago Tulantepec, se registró una fuga de hidrocarburo en un poliducto de Petróleos Mexicanos originada por una toma clandestina. El chorro de combustible alcanzó una altura de hasta cuatro metros. Cuerpos de emergencia, encabezados por Protección Civil y bomberos locales, acudieron al lugar tras recibir el reporte a las 02:59 horas y arribar al sitio a las 03:13 horas. Se implementó un operativo coordinado con la Policía Estatal y personal de logística y seguridad física de Pemex. Las acciones incluyeron el cierre temporal de válvulas para disminuir la presión, permitiendo realizar labores de soldadura y el sellado definitivo de la toma clandestina. La fuga quedó controlada alrededor de las 05:30 horas y el personal operativo se retiró del lugar a las 05:35 horas sin que se registraran personas lesionadas.</t>
  </si>
  <si>
    <t>Fuga de hidrocarburo</t>
  </si>
  <si>
    <t>Estudiantes de la UPE donan manuales especializados</t>
  </si>
  <si>
    <t>Donación académica</t>
  </si>
  <si>
    <t>Durante la primera quincena de septiembre, el estado de Hidalgo registró 12 nuevos casos de dengue, lo que representa un incremento del 120% en comparación con los 10 padecimientos acumulados durante los ocho meses previos. Según datos de la Dirección General de Epidemiología dependiente de la Secretaría de Salud Federal, del 1 de enero al 14 de septiembre se acumularon 22 casos en la entidad (15 no graves y 7 con signos de alarma, sin decesos reportados). Los casos fueron transmitidos por el mosquito Aedes aegypti y se concentraron en cinco municipios. Huejutla encabeza la lista con 16 casos, seguido por Huautla con tres, mientras que Huautla de Jiménez/Wasancingo, Jaltocán/Yahuahuolica y San Felipe Orizatlán reportan un caso cada uno. A nivel nacional se contabilizaron 5,450 padecimientos en 29 estados con 26 defunciones.</t>
  </si>
  <si>
    <t>Dengue</t>
  </si>
  <si>
    <t>Ante el incremento de muertes por COVID-19 en el estado, la Secretaría de Salud de Hidalgo anunció el reforzamiento de campañas de concientización para promover la vacunación y la atención médica oportuna. Vanessa Escalante Arroyo, titular del organismo, señaló que la mayoría de los decesos corresponden a personas con enfermedades crónico-degenerativas que no se habían vacunado o cuya última dosis fue hace varios años. Con un registro de 15 defunciones y 179 casos acumulados según el corte al 17 de septiembre, Hidalgo se ubica entre las entidades con mayor afectación en el país. Las autoridades sanitarias recordaron que los padecimientos crónicos aumentan el riesgo de complicaciones graves ante el virus, por lo que insistieron en la necesidad de mantener el control médico y actualizar las vacunas vigentes.</t>
  </si>
  <si>
    <t>Covid 19</t>
  </si>
  <si>
    <t>Dif Hidalgo fortalece accesibilidad para personas con discapacidad</t>
  </si>
  <si>
    <t>Movilidad incluyente</t>
  </si>
  <si>
    <t>Julio Menchaca abandera a paratletas rumbo a la Conade 2026</t>
  </si>
  <si>
    <t>Paranacionales Conade</t>
  </si>
  <si>
    <t>Docente de la UTVM realiza estancia académica en Estados Unidos</t>
  </si>
  <si>
    <t>Movilidad Académica</t>
  </si>
  <si>
    <t>Reapertura de carretera Tenango de Doria-Metepec</t>
  </si>
  <si>
    <t>Atención Afectaciones Por Lluvias</t>
  </si>
  <si>
    <t>Las autoridades informaron sobre la actualización de las condiciones viales tras las recientes lluvias, destacando la reapertura de la carretera estatal Tenango de Doria-Tulancingo. Aunque el paso vehicular ya ha sido restablecido —luego de haber permanecido cerrado la noche anterior a la altura del arco de bienvenida en la zona de "La Placa" debido a un deslave—, se exhorta a los automovilistas a circular con precaución debido a la persistencia de humedad, el escurrimiento de aguas pluviales y el riesgo latente de nuevos deslaves en la zona.</t>
  </si>
  <si>
    <t>Las fuertes lluvias registradas recientemente en la región otomí-tepehua provocaron afectaciones importantes, particularmente el cierre temporal del tramo carretero Arco de Bienvenida–La Placa en Tenango de Doria, debido a la caída de material rocoso y deslaves que bloquearon el paso hacia Tulancingo y Metepec. Afortunadamente, las autoridades de Protección Civil y los cuerpos de emergencia trabajaron en la zona para retirar el escombro y la circulación ya ha sido restablecida en su totalidad.</t>
  </si>
  <si>
    <t>Afectaciones Por Lluvias</t>
  </si>
  <si>
    <t>Durante la presentación de su segundo informe de gobierno, la presidenta municipal de Tulancingo, Lorena García Cázarez, dio a conocer los resultados obtenidos en su segundo año de gestión ante representantes de los poderes estatal y diversos sectores sociales. Entre los logros destacados se encuentran la gestión para ampliar a cuatro carriles el entronque Pitula-San Alejo, obras de pavimentación, bacheo, caminos rurales y ampliación de redes de agua potable y drenaje sanitario. En materia hídrica resaltó la inversión superior a 14 millones de pesos y el avance en la planta tratadora de Ahuahuetla. En seguridad se reportaron detenciones, recuperación de vehículos y nuevas cámaras de vigilancia, mientras que en el ámbito social se brindaron miles de atenciones en salud, asesoría legal y psicológica a mujeres y personas con discapacidad, reiterando su compromiso de fortalecer la coordinación institucional en la recta final de su administración.</t>
  </si>
  <si>
    <t>Informe De Gobierno</t>
  </si>
  <si>
    <t>Durante la emisión deportiva, el especialista Gustavo Rosales destacó el papel de Hidalgo como potencia en el deporte adaptado. Se informó sobre el abanderamiento de la delegación hidalguense rumbo a los Paranacionales CONADE 2026, ceremonia encabezada por el secretario de Educación Pública, Natividad Castrejón Valdez, en la Ciudad Deportiva de Alto Rendimiento. Dicha competencia reunirá a 72 paraatletas del estado del 20 de septiembre al 10 de octubre en Guadalajara y Zapopan, Jalisco. Asimismo, se resaltó el respaldo del gobernador Julio Menchaca Salazar hacia los deportistas, con la expectativa de cosechar buenos resultados y aspirar a futuras plazas para los Juegos Paralímpicos de Los Ángeles 2028.</t>
  </si>
  <si>
    <t>Durante la conferencia matutina realizada en Irapuato, Guanajuato, la presidenta de México, Claudia Sheinbaum Pardo, destacó una excelente coordinación interinstitucional y política con la gobernadora de la entidad, Libia Dennise García Muñoz Ledo, a pesar de provenir de distintas fuerzas políticas. Como resultado de esta estrategia conjunta en seguridad —en la que también participan el gabinete federal, la Fiscalía estatal y la fiscalía general de la República—, se informó una reducción del 73% en los homicidios dolosos, pasando de un promedio diario de 12.7 casos en febrero de 2025 a 4 casos diarios como cifra preliminar para 2026. Asimismo, se abordaron temas prioritarios como la disminución de delitos de alto impacto y el seguimiento a un aseguramiento histórico de cerca de 60 millones de litros de combustible en la región. Colaboración de David Cárdenas.</t>
  </si>
  <si>
    <t>En las últimas 24 horas, los servicios de emergencia de Tulancingo, atendieron diversos reportes que incluyeron un incendio de pasto en un terreno baldío, el rescate de un gatito, cuatro personas enfermas, tres lesionados, un enjambre de avispas y la captura de una víbora. Abner Yáñez, elemento de bomberos y protección civil, señaló que en las semanas recientes se ha vuelto común la captura de serpientes, debido a que salen de sus hábitats naturales para ingresar a casas habitación o vías públicas, siendo posteriormente liberadas en zonas despobladas y alejadas de la ciudad. Por otro lado, en cuanto al pronóstico del clima para el fin de semana, se prevé la presencia de canales de baja presión en el territorio nacional, con temperaturas máximas de entre 21 y 23 °C, mínimas de 10 a 11 °C, y probabilidad de lluvias ligeras a moderadas principalmente durante las tardes.</t>
  </si>
  <si>
    <t>Radio Lobo 96.7 FM</t>
  </si>
  <si>
    <t>Enlace Noticias</t>
  </si>
  <si>
    <t>El Desarrollo Integral para la Familia en Hidalgo fortalece la accesibilidad para personas con discapacidad. Los nuevos vehículos contribuirán a facilitar los traslados y fortalecer la atención que brinda el Desarrollo Integral para la Familia en Hidalgo. La presidenta del patronato del Sistema del Desarrollo Integral para la Familia en Hidalgo, Edda Vite Ramos, recibió del Sistema Nacional del DIF tres camionetas adaptadas que fortalecerán el servicio del transporte especializado para personas con discapacidad y movilidad reducida en la entidad.</t>
  </si>
  <si>
    <t>Gina Lorenzo</t>
  </si>
  <si>
    <t>La presidenta del patronato del DIF Hidalgo, Edda Vite Ramos, recibió en el Sistema Nacional DIF tres camionetas adaptadas que fortalecerán el servicio de transporte especializado para personas con discapacidad y movilidad reducida en la entidad.</t>
  </si>
  <si>
    <t>El Gobierno del Estado, encabezado por Julio Menchaca Salazar, a través de la Secretaría de Salud de Hidalgo, impulsa acciones preventivas en planteles educativos para identificar factores de riesgo, fortalecer redes de apoyo y acercar servicios de salud mental a los adolescentes y jóvenes. “Hablar de la salud mental, jóvenes, es un tema muy importante, porque ustedes como jóvenes, hoy que están en una etapa muy difícil de la vida, sobre qué voy a hacer, a qué me voy a dedicar, eh tengo el apoyo de mi familia, no tengo el apoyo de mi familia; yo creo que es muy importante que cuando ustedes tienen algún problema sepan con quién dirigirse, a qué línea pueden acudir, a qué personal pueden acudir y que sepan que siempre hay una solución</t>
  </si>
  <si>
    <t>Salud Mental</t>
  </si>
  <si>
    <t>El gobernador Julio Menchaca Salazar, abandera a paratletas rumbo a la Conade 2026. Hidalgo será, será representado por 72 paradeportistas en la justa nacional. Julio Menchaca Salazar (Gobernador de Hidalgo): Por ello les deseo todo el éxito. Disfruten muchísimo su participación.</t>
  </si>
  <si>
    <t>"El que vino a Hidalgo fue Alejandro Moreno, ¡mi querido "Alito" para los cuates!, presidente del PRI, y aseguró que su partido: ¡es inmortal! [Efecto de sonido: Es inmortal] ¡Mire usted, qué alivio!, porque aunque cambien las dirigencias, las siglas y hasta los resultados electorales, el PRI, según Alito, ¡ni con agua bendita se acaba! ¡Que Dios te perdone, mi Alito!""Las candidaturas, los espacios los deciden los hidalguenses, nosotros nos coordinamos. Que si ah, este, lo dice Alito porque nos quiere presumir, ¡no!, el PRI, el PRI es inmortal"."Pero el gobernador Julio Menchaca pareció no intimidarse y soltó la pregunta del millón: ¿Quién es Alito?""¿Quién es Alito Moreno?""No vale la pena, la verdad yo me ocupo en mejores opiniones"."Así que el PRI será inmortal... [Efecto de sonido: Es inmortal] Pero su dirigente, por lo visto, todavía anda buscando quien lo reconozca".</t>
  </si>
  <si>
    <t>Enfrentamiento Político</t>
  </si>
  <si>
    <t>Vaya puntada que se aventaron en el Valle del Mezquital! Y es que antes de que Emanuel Hernández, ¡mi querido "Chino"!, presidente de Ixmiquilpan, saliera a conmemorar el Grito de Independencia, el secretario municipal, en busca de protagonismo, salió a dar un fluido me... un fluido mensaje al pueblo de Ixmiquilpan. Pues es tampoco... ¿es mu- mucho es este el este el este el tiempo, no? Desafortunadamente, pocos le entendieron. ..principio en Iguala, prosiguió y llegó a Alatabu, arrollando obstáculos casi insuperables. Restituida, pues, esta parte del septentrión al ejercicio de cuantos derechos le concedió el autor de la naturaleza, y reconocen por inenarrables e inalienables y sagrados las naciones cultas de la Tierra... ¡Ni mi abuelito Crisóstomo lo pudo decir! Pero... ¡qué...! (risas) ¡Dígame qué...! Hasta aquí con "Tantas Puntadas". ¡No se enoje, porque el que se enoja, pierde!</t>
  </si>
  <si>
    <t>Y si de gastos curiosos hablamos, en Metztitlán el presupuesto municipal anda haciendo dieta, ¡pero de transparencia! La alcaldesa Susana Rivera Cano fue señalada en sesión de cabildo por presuntamente cargar al erario compras de productos para el control de peso y el cuidado de la piel. El presupuesto se va para el bienestar, ¡pero de la presidenta! Mientras a muchos ciudadanos se les dice que no hay recursos, hoy puedo ver que para pagar medicamentos de control de peso y productos dermatológicos sí hay. Disposición de efectivo para reembolso de gastos médicos de la ciudadana presidenta municipal constitucional de Metztitlán perteneciente a este ayuntamiento de Metztitlán. Pero ahora la báscula de la rendición de cuentas sigue marcando: ¡cero transparencia!</t>
  </si>
  <si>
    <t>Irregularidades alcalde</t>
  </si>
  <si>
    <t>¡Es viernes! ¡Sí!, y ya sabe usted que todos los viernes llega "El Sastrerito". Las puntadas de la semana, aquí se cose y descose la información. En Pachuca... En Pachuca la cosa se puso caliente en el cabildo. La regidora Lorena Camacho no se guardó nada y exhibió en vivo al alcalde de Epazoyucan, Carlos Montaño. A ver, aquí ya no somos partidos, usted se debe a la gente, usted es el presidente municipal de Epazoyucan, así que le hago la cordial invitación que haga valer sus funciones y haga su trabajo como debe de, de verdad, ya estoy cansada de que siempre lo mismo. Estoy cansado, jefe...Mientras el edil asegura que no hay presupuesto, sí hay dinero para sus eventos de lucimiento personal. Ahí el dinero brota de la nada. En Epazoyucan se les está olvidando lo que dijo el líder de Macuspana: "Por el bien de todos, primero los pobres". Es que se están pasando...</t>
  </si>
  <si>
    <t>Informe Alcalde</t>
  </si>
  <si>
    <t>La Secretaría de Salud de Hidalgo realizó una jornada de salud mental en el COBAEH de San Agustín Tlaxiaca para identificar factores de riesgo, fortalecer redes de apoyo y acercar servicios a adolescentes y jóvenes. La Secretaría de Salud, eh a cargo de Vanessa Escalante Arroyo, pues ha hecho un llamado a alumnos a mantenerse alejados de las adicciones y a escuchar sin juzgar a quienes atraviesan problemas emocionales. Durante el evento se destacó que la ansiedad, la depresión y las conductas suicidas representan algunos de los principales riesgos para la población joven.</t>
  </si>
  <si>
    <t>Prevención De Adicciones</t>
  </si>
  <si>
    <t>Bueno, ¿qué sucede en la Huasteca?, ¿qué sucede en la Sierra? Y es que ayer le presentamos la información sobre la muerte de Román N., sacerdote de la comunidad de Santa Cruz, municipio de Huejutla de Reyes. Ya la Procuraduría General de Justicia del Estado de Hidalgo informó que desde el pasado 15 de septiembre, momento en que se tuvo conocimiento del hecho, se iniciaron las investigaciones correspondientes</t>
  </si>
  <si>
    <t>Y en otra información, durante la conferencia matutina del ingeniero Julio Agustín Cruz Tovar, presidente municipal de Alfajayucan, dio a conocer que ya salió en el Periódico Oficial la nueva reforma electoral donde se reduce el número de regidurías. En la renovación de los ayuntamientos para el proceso electoral de 2027, donde cabe señalar que en base a las nuevas reformas que establece el Código Electoral y también la Constitución Política del Estado de Hidalgo, en donde establece que para municipios menores de 20,000 habitantes tendrán únicamente eh la posibilidad de participar con cuatro candidaturas a regidurías. Aquí en Alfajayucan eran cinco más la síndica y el presidente, en total la planilla la conformaban siete propietarios y siete suplentes. Ahora con la reforma y en base al número de habitantes que tenemos, Alfajayucan en este próximo proceso electoral estaría participando con una planilla de seis, candidato a presidente o presidenta, la candidata a síndica o síndico, el primero, segundo, tercero y cuarto regidor o regidora, entonces por lo tanto sería una planilla de seis. Y también en municipios que funcionaban con un síndico hacendario y un síndico jurídico, como es el caso de Ixmiquilpan, Pachuca, Tulancingo, Tula, Tepeji, que tenían dos síndicos, ahora también con la nueva reforma únicamente se tendrá un solo síndico para poder participar. Y en relación a la asignación de las regidurías de representación proporcional o los pluris o los que llegan por la votación que obtuvo obtuvieron los partidos que alcanzaron el 3% de la votación en el municipio, únicamente se asignarán tres regidurías. Anteriormente eran cuatro, también se ve reducido el municipio, ya nada más se van a asignar tres regidurías en el próximo proceso electoral, eh con lo cual el municipio tenía un cabildo de 11 elementos, pero con la nueva reforma el próximo ayuntamiento de Alfajayucan funcionaría con nueve: presidente o presidenta, síndico o síndica y regidoras y regidores serían únicamente siete. Entonces también decirles que en la nueva reforma los candidatos o candidatas a presidentes municipales ya no podrán acceder al cargo de regidoras o regidores como fue en el proceso electoral de 2020 y de 2024 en donde quienes participábamos como candidatos y obteníamos una buena votación, entonces esta nueva reforma pues establece que los candidatos o candidatas ya no podrán ocupar el cargo de regidores. Ahora ¿quiénes los van a ocupar? Pues estos cargos los van a ocupar quienes vengan en la lista de regidores.</t>
  </si>
  <si>
    <t>Y atentos porque si usted eh viaja mañana a la Ciudad de México, la zona metropolitana o el Valle de México, pues mucha atención porque la coordinadora de Protección Civil, Laura Velázquez, confirmó que el día de mañana sábado, mañana sábado 19 de septiembre a las 12 horas, se llevará a cabo el segundo simulacro a nivel nacional, ejercicio ciudadano con la hipótesis de sismo que permite, sin duda, a las autoridades medir toda su capacidad de respuesta ante una emergencia. Por primera vez en esta ocasión, si usted no viaja a la Ciudad de México o el Valle de México, también tiene que estar atento, ¿por qué? Por primera ocasión sonará la alerta en más de 80 millones de celulares. Informo a todos ustedes que el próximo sábado 19 de septiembre a las 12 del día se va a llevar a cabo el segundo simulacro nacional. Es decir, participaremos en las 32 entidades federativas. Hay que ver que va a ser sábado, por primera ocasión va a ser en sábado y esto nos va a permitir a participar a la gran mayoría de mexicanos y mexicanas desde sus hogares, lo cual será un ejercicio muy importante. Un plan familiar para determinar cuál es la responsabilidad de cada uno de los eh integrantes de las familias. Por último, recordar que van a sonar la alerta por vía celular, son más de 80 millones de celulares, el alertamiento por telefonía celular es una realidad en nuestro país. Somos el tercer país del continente americano con este alertamiento por telefonía celular y sonarán, sonarán todos los teléfonos en la República Mexicana a las 12 del día hora centro de México. Sobre todo en la zona metropolitana es donde se hacen ejercicios de eh simulación de evacuaciones, de salir a puntos eh seguros, etcétera, porque es donde pues se presentan más sismos, pero también es importante que si usted que nos está escuchando vive en una zona donde dice "aquí nunca va a temblar, nunca tiembla, nunca tenemos este tipo de situaciones", sí es importante que platique el tema con sus hijos, que les diga qué es un simulacro, qué se va a realizar el día de mañana, la hora, por qué suenan los celulares, hablar unos minutos de el tema porque eh la situación de prevención es muy importante, ¿no? Sabemos cuándo podamos tener una emergencia no por un sismo, sino pues ya lo vimos aquí en Tula, una emergencia como lo que sucedió en la inundación, se desbordó el río Tula y ¿qué teníamos que hacer?, ¿qué podíamos hacer? Es por eso que es importante hablar de estos eh temas de prevención.</t>
  </si>
  <si>
    <t>Durante la conferencia matutina de la presidenta Claudia Sheinbaum se informó la conclusión del tramo Real del Monte-Huasca que incluyó trabajos en túneles y taludes.En Hidalgo, este... es parte del eje que va desde Pachuca hasta Tampico. Nos toca la conclusión de Real del Monte-Huasca, nos tocó la conclusión de algunos túneles, algunos taludes, y eh... aquí la reducción de tiempo es de 40 minutos. Eh... como decía, esto es importante como eje desde Pachuca hasta Tampico. Eh... se terminó en marzo de 2025, inició en 2022.Será tardado este proceso. Quien conoce la la sierra, la Huasteca, sabe lo complicado que es la vía, y pues las obras van a tardar van a tardar tiempo. Se habla que hasta 2028 que pudiera ya llegar a la zona de Huejutla en estos trabajos. Veremos también que las condiciones climáticas permitan realizar los trabajos necesarios. Pero también de acuerdo con lo presentado en la conferencia matutina de la Doctora Claudia Sheinbaum Pardo, esta obra permitirá reducir alrededor de 40 minutos los tiempos de traslado y fortalecerá la comunicación tanto entre Pachuca, la Huasteca Hidalguense, San Luis Potosí y Tamaulipas.Iniciamos también ya con Tulancingo-Nuevo Necaxa, la primera etapa. Eh... lo podemos ver del lado derecho. Esto es parte del corredor que tenemos desde la Ciudad de México a Pachuca y todo hacia Tuxpan, Veracruz. Lo que podemos eh... ver es que ya iniciamos con esta primera etapa que va y ampliar una carretera que hoy en día es una A2, es decir, de dos carriles, la vamos a ampliar a cuatro carriles. Y vamos a seguir posteriormente con una segunda etapa para llegar hasta Nuevo Necaxa.</t>
  </si>
  <si>
    <t>Proyectos Federales</t>
  </si>
  <si>
    <t>Durante la conferencia mañanera se le preguntó a la presidenta de México Claudia Sheinbaum Pardo sobre el conflicto que prevalece en la escuela rural Luis Villarreal El Mexe. Dijo que existe una mesa de trabajo coordinada con la SEP para evitar violencia o represión y garantizar educación pública en las normales rurales. Es todo un tema las normales rurales. Hay una mesa de trabajo en ambos casos, coordina la Secretaría de Educación Pública y en la que participa Secretaría de Gobernación con dos objetivos. Uno es garantizar que no haya violencia en todos los sentidos, ni represión, y en el otro, garantizar también la educación pública. Porque también en el caso de las normales rurales lo más importante es garantizar, en efecto, que hay una educación adecuada para formar maestros rurales, que ese es el objetivo. Pero en ambos casos hay una mesa de trabajo.</t>
  </si>
  <si>
    <t>Vamos con otros temas. En cumplimiento a los acuerdos firmados el pasado 9 de septiembre, autoridades estatales iniciaron los trabajos de saneamiento y retiro de residuos sólidos urbanos en el terreno conocido como Siete Mezquites, entre Tezontepec de Aldama y Tula de Allende. Este predio, usted recuerda, estaba contemplado para un relleno sanitario regional.</t>
  </si>
  <si>
    <t>Semarnath</t>
  </si>
  <si>
    <t>Relleno Sanitario</t>
  </si>
  <si>
    <t>El gobernador Julio Menchaca Salazar encabezó el abanderamiento de la delegación hidalguense que participará en la Paralimpiada Nacional Conade 2026 del 24 de septiembre al 11 de octubre. La delegación está integrada por 72 para atletas, a quienes el mandatario deseó éxito y reconoció como triunfadores por su esfuerzo y preparación. “Por ello les deseo todo el éxito, disfruten muchísimo su participación, síganse preparando, que nosotros seguimos trabajando para que Hidalgo sea potencia en marcha en todos los sentidos, pero particularmente en el más importante, que es la calidad de vida de las personas. Ustedes ya siéntanse triunfadores y yo sé que van a tener muy buenos resultados.</t>
  </si>
  <si>
    <t>Radioescucha reporta que no funciona el semáforo que está en el Boulevard El Minero frente a Sorian</t>
  </si>
  <si>
    <t>Radioescucha</t>
  </si>
  <si>
    <t>Radioescucha te pedimos el apoyo para reportar por enésima vez que en la calle de Hacienda de Loreto, frente al 211, en Pitahayas, cuatro meses tenemos así, de inundada la... ¡ay, caray! Y si cada cuatro días en las noches cae agua... ¡Ah, perfecto, Jorge! Gracias, Jorge César. Con mucho gusto lo pasamos nuevamente, a ver a qué hora nos hacen caso con todo ello del agua ahí, el desperdicio que... que pasa en esa zona.</t>
  </si>
  <si>
    <t>Radioescucha 4884 dice: "Muy buenos días, Lalo. Soy la señora Paty. Vivo en Villa Aquiles Serdán, atrás de Soriana Tutelar. Solo nos suministran agua los jueves en la madrugada. Tenemos más de dos semanas que ni este suministro semanal nos cae y nos resuelve el problema".</t>
  </si>
  <si>
    <t>Radioescucha terminación 4259 dice: "Muy buenos días, saludos. ¿Podrían pasar mi reporte? ¿Cuándo va a ser posible que caiga agua en Alcantarilla? Ya tenemos más de una semana y no contamos con nada del vital líquido. Por favor, CAASIM. Muchas gracias".</t>
  </si>
  <si>
    <t>Radioescucha comenta: Muchas gracias porque ayer una flotilla muy buena de servicio de pipas a la colonia Rojo Gómez, ¿no? Gracias a ustedes y gracias a CAASIM. Gracias a a Pao y gracias a Sarahi Pineda, a Paola García y a Sarahi Pineda de CAASIM, muchas gracias»</t>
  </si>
  <si>
    <t>Participación semanal de Mtro. Julio Valera con el tema: la importancia que tiene el 2.º Simulacro Nacional que se llevará a cabo el día de mañana en toda la República Mexicana.</t>
  </si>
  <si>
    <t>Pachuca participó en el Primer Congreso Internacional de Bomberos de Línea de Fuego, realizado en Cartagena, Colombia, donde se convirtió en el único municipio mexicano presente en este encuentro internacional.El congreso reunió durante dos jornadas a especialistas y cuerpos de bomberos de República Dominicana, Estados Unidos, Colombia y México, quienes intercambiaron conocimientos y estrategias en materia de atención de emergencias, combate de incendios y gestión integral de riesgos.Como parte de la delegación pachuqueña, el titular de Protección Civil, Bomberos y Gestión Integral de Riesgos, Enrique Padilla Hernández, impartió las conferencias magistrales “Liderazgo en Incendios Estructurales” y “Gestión Integral en Incidentes Mayores”, en las que compartió experiencias relacionadas con la atención y coordinación de emergencias.</t>
  </si>
  <si>
    <t>Arena de la 11 de Julio recibirá conferencia sobre la lucha libre como patrimonio cultural</t>
  </si>
  <si>
    <t>Repuve acerca registro vehicular gratuito a todas las regiones.</t>
  </si>
  <si>
    <t>La Procuraduría General de Justicia del Estado de Hidalgo mantiene líneas de investigación para esclarecer el homicidio del sacerdote de la comunidad de Santa Cruz en Huejutla</t>
  </si>
  <si>
    <t>El presidente municipal de Mineral de la Reforma, Eduardo Medécigo Rubio, entregó uniformes tácticos y de gala a 261 elementos de la Secretaría de Seguridad Ciudadana (SSC), para lo cual el Ayuntamiento destinó una inversión superior a los 8.1 millones de pesos.De acuerdo con la administración municipal, el equipamiento busca mejorar las condiciones de trabajo del personal operativo, además de fortalecer su identificación e imagen institucional.La entrega estuvo encabezada por Medécigo, acompañado de la presidenta del Patronato del Sistema Municipal DIF, Samantha Esparza Hernández; el secretario de Seguridad Ciudadana, Jorge Alberto Trejo Terrazas; y el regidor Antonio Salim Saldivar, presidente de la Comisión de Seguridad del Cabildo.El gobierno municipal vinculó además estas acciones con los resultados de una medición de Massive Caller correspondiente a agosto-septiembre, en la que Medécigo registra 36 por ciento de aprobación y 22.7 por ciento en el indicador de confianza.</t>
  </si>
  <si>
    <t>Entrega de uniformes</t>
  </si>
  <si>
    <t>Como parte del Compromiso 92 de la Presidenta Claudia Sheinbaum Pardo, que contempla acciones de limpieza, saneamiento y restauración de ríos prioritarios del país, la Comisión Nacional del Agua (Conagua), a través de su Dirección Local Hidalgo, invita a la ciudadanía a participar en la Mega Jornada de Limpieza de Ríos 2026.En Hidalgo, la jornada se realizará en los ríos Tula y Rosas, donde se llevarán a cabo labores de recolección y retiro de residuos. El punto de reunión será en El Chamizal a las 9:00 de la mañana.</t>
  </si>
  <si>
    <t>Restauración Ecológica</t>
  </si>
  <si>
    <t>A partir del martes 3 de noviembre de 2026, el uso de teléfonos celulares y tabletas quedará estrictamente prohibido en las escuelas primarias y secundarias de todo México, tanto en las aulas como durante el recreo. La medida fue anunciada por la presidenta Claudia Sheinbaum y el titular de la Secretaría de Educación Pública (SEP), Mario Delgado, tras alcanzar un acuerdo unánime en el Consejo Nacional de Autoridades Educativas.</t>
  </si>
  <si>
    <t>Regulación de dispositivos digitales</t>
  </si>
  <si>
    <t>Vecinos de la comunidad de La Mesa se manifestaron frente a la presidencia municipal de Acaxochitlán para exigir el cumplimiento de los plazos en la obra de pavimentación del camino La Mesa-Guayapita. Tras una mesa de diálogo con el alcalde Ricardo Perea, se firmó una minuta de acuerdos. Se estipuló la construcción de 1.8 kilómetros de pavimento de concreto hidráulico, de los cuales 1,400 metros serán financiados con recursos estatales y 400 metros con fondos municipales, comprometiéndose a concluir los trabajos a finales del mes de diciembre.</t>
  </si>
  <si>
    <t>Bloqueo Carretero</t>
  </si>
  <si>
    <t>Con la participación de 138 nadadores, la Escuela Técnico Deportiva de Natación de. Tulancingo «Manta Rayas» realizó su primer torneo en la alberca semiolímpica de la Unidad Deportiva Javier Rojo Gómez, con competidores de las categorías infantil, juvenil y libre, en modalidad de novatos. El encuentro permitió a niñas, niños y jóvenes poner en práctica sus habilidades y vivir la experiencia de una competencia, fortaleciendo valores como la disciplina, constancia, esfuerzo y trabajo en equipo.</t>
  </si>
  <si>
    <t>Justa Deportiva</t>
  </si>
  <si>
    <t>La representación legal y familiares de Carla E., estudiante de la Universidad Tecnológica de la Sierra Hidalguense fallecida tras ser atropellada el 21 de mayo de 2026 en la carretera México-Tampico, exigieron la reclasificación de su muerte de homicidio culposo simple a homicidio doloso por dolo eventual. La defensa busca que este cambio procesal evite beneficios como la suspensión condicional de la pena para el responsable, argumentando que el grado de responsabilidad debe ajustarse a las circunstancias del caso.</t>
  </si>
  <si>
    <t>Exigen esclarecer homicidio</t>
  </si>
  <si>
    <t>El Colegio de Bachilleres del Estado de Hidalgo (COBAEH) celebrará su 39° aniversario con la segunda jornada juvenil cultural y académica el próximo 25 de septiembre en la Plaza Aniceto Ortega de Pachuca. El evento contará con la participación de estudiantes de diversos centros educativos, quienes exhibirán propuestas gastronómicas, artesanales, turísticas y culturales mediante tres pabellones temáticos. El director general de la institución, Rubén López Valdés, resaltó la importancia de reconocer a la comunidad escolar y el compromiso del COBAEH con la educación, la cultura y el desarrollo integral bajo las políticas impulsadas por el gobierno estatal y la Secretaría de Educación Pública.</t>
  </si>
  <si>
    <t>Evento académico</t>
  </si>
  <si>
    <t>Habitantes de tres comunidades de Zempoala realizaron un bloqueo de aproximadamente seis horas en la carretera federal Sahagún-Pachuca para exigir mejoras viales. Para destrabar el conflicto, el secretario de gobierno, Guillermo Olivares Reyna, acudió al lugar para dialogar con los manifestantes. Tras una reunión de más de una hora con autoridades estatales, municipales y representantes de la SICT, se firmó una minuta de acuerdos mediante la cual se comprometieron a iniciar de forma inmediata la rehabilitación del puente vehicular y diversos caminos en las comunidades afectadas, logrando así la liberación de la vialidad.</t>
  </si>
  <si>
    <t>Atención A Manifestantes</t>
  </si>
  <si>
    <t>Hidalgo, sede de la tercera Gimnasiada Nacional</t>
  </si>
  <si>
    <t>Gimnasiada Nacional</t>
  </si>
  <si>
    <t>El Instituto Mexicano del Seguro Social (IMSS) en Hidalgo invitó a la población a convertirse en donadora voluntaria de órganos y tejidos, como una acción altruista que puede contribuir a mejorar o preservar la vida de pacientes que requieren un trasplante.</t>
  </si>
  <si>
    <t>Donación De Órganos</t>
  </si>
  <si>
    <t>La presidenta Claudia Sheinbaum encabezó la ceremonia de izamiento de bandera a media asta en el Zócalo de la Ciudad de México, para recordar a las víctimas de los sismos del 19 de septiembre de 1985 y 2017. La mandataria salió de Palacio Nacional en punto de las 07:15 horas, acompañada de la jefa de Gobierno, Clara Brugada; la secretaria de Gobernación, Rosa Icela Rodríguez; Laura Velázquez, coordinadora nacional de Protección Civil, así como los secretarios de Marina y Defensa Nacional, Raymundo Morales y Ricardo Trevilla Trejo.</t>
  </si>
  <si>
    <t>El Consejo de Salud del Estado de Hidalgo acordó reforzar la vigilancia en la calidad del agua y las medidas de prevención contra enfermedades diarreicas agudas, en colaboración con municipios y autoridades sanitarias. Durante su tercera sesión ordinaria, se informó que en 2026 el 94.8% de los casos de estas enfermedades se relacionaron con alimentos contaminados y el 63% con el consumo en el hogar. Por ello, se implementarán capacitaciones sobre manejo de alimentos, vigilancia en establecimientos, campañas de lavado de manos, así como el lavado de tinacos y cisternas en instituciones públicas y unidades de salud.</t>
  </si>
  <si>
    <t>Prevención De Enfermedades</t>
  </si>
  <si>
    <t>La Huasteca está de pie y avanza con el respaldo del gobierno de Hidalgo</t>
  </si>
  <si>
    <t>Contraloría</t>
  </si>
  <si>
    <t>Buenos días, quiero hacer el reporte para Caasim que llevamos ya dos semanas sin servicio en Bosques del Peñar en Pachuca. Ellas nos mencionan en sus comunicados que estará con baja presión, pero no es así, no cae nada, espero y nos escuchen y que ya se restablezca pronto.</t>
  </si>
  <si>
    <t>Por acá nos dicen que en la Telesecundaria 268 de Santa Ana Hueytlalpan les negaron el acceso a los alumnos por llegar tarde. La directora se niega a atender a los padres de familia que piden que sancione con retardos, pero que no se niegue la entrada. La directora nos comparte el nombre, no los quiere recibir y así nos llegó también un par de llamadas que en la Telesecundaria 268 de Santa Ana Hueytlalpan les impiden el acceso a sus hijos y lo y otros alumnos ya no les están permitiendo la entrada si llegan tarde, a pesar de que muchos alumnos van de comunidades alejadas. El viernes hicieron una junta y a quienes no fueron les cobraron 200 pesos, no les indicaron para qué se va a ocupar ese dinero, últimamente son más exigentes. Con todo gusto también compartimos. Muchas gracias.</t>
  </si>
  <si>
    <t>Queja padres de familia</t>
  </si>
  <si>
    <t>El Ayuntamiento de Singuilucan llevó a cabo su segundo informe de gobierno, encabezado por la presidenta municipal Yasmín Dávila López. Durante el acto de rendición de cuentas, al que asistieron autoridades, representantes institucionales y diversos sectores de la sociedad, se dieron a conocer los principales avances, obras y acciones realizadas en este segundo año de administración. La alcaldesa destacó el trabajo conjunto entre gobierno y ciudadanía, resaltando que el municipio continúa avanzando hacia el desarrollo y mayores oportunidades, y refrendó su compromiso de seguir trabajando por el bienestar de Singuilucan.</t>
  </si>
  <si>
    <t>Durante una transmisión oficial, se dieron a conocer los pormenores de la Feria San Francisco Pachuca 2026 presentados por Marco Antonio Aranzábal Juárez, titular de la Operadora de Eventos del Estado de Hidalgo. El acceso general tendrá un costo de 60 pesos, manteniendo tarifas preferenciales de 40 pesos para adultos mayores y personas con menores de estatura menor a 1.20 metros, además de garantizar gratuidad y acompañamiento para personas con discapacidad. La edición contará con un renovado pabellón artesanal, pabellones comerciales y turísticos —este último con más de 40 stands y la presencia del Museo El Rehilete—, un lienzo charro modernizado con el espectáculo sobre hielo "Destino", un circo de talla internacional, una exhibición de esculturas de gran formato de la Secretaría de Cultura de la Ciudad de México, y más de 500 horas de actividades artísticas. Asimismo, se destacó una robusta agenda deportiva que incluye funciones de lucha libre, el Campeonato Mundial de Box Plata WBC, competencias de breaking, el medio maratón, torneos de tochito/fútbol bandera, una rodada nocturna y la Copa Cuna de Tenis. Finalmente, se anunciaron 24 noches en el Megadomo de las Estrellas, 18 magnos conciertos en el palenque y la segunda edición del Festival Cultural San Francisco en colaboración con el Festival Internacional Cervantino.</t>
  </si>
  <si>
    <t>Mañanera de Hidalgo</t>
  </si>
  <si>
    <t>Durante la conferencia matutina semanal del gobierno del estado, efectuada desde la Sala del Pueblo, el secretario de Educación Pública en la entidad, Natividad Castrejón Valdez, informó sobre la implementación del programa "ABC de las Emociones" dirigido a estudiantes de secundarias y preparatorias con el fin de fortalecer la formación integral y emocional de la niñez y la juventud. Asimismo, abordó las nuevas disposiciones sobre el uso de teléfonos celulares y dispositivos tecnológicos en las escuelas, señalando que en educación básica (primarias) su uso estará restringido exclusivamente a actividades académicas justificadas por los docentes, mientras que en educación superior se promoverán acuerdos internos en cada plantel para regular estas herramientas y evitar distracciones o el acceso a contenidos inapropiados para menores.</t>
  </si>
  <si>
    <t>Entrevista en cabina biólogo Rolando Arturo Pérez García, representante del Instituto Nacional Electoral (INE) en el Distrito IV de Tulancingo. Durante la entrevista, se detallaron las rutas y ubicaciones de los módulos móviles itinerantes para la semana: el módulo 130452 se ubicará del 21 al 24 de septiembre en Cuautepec de Hinojosa y los días 25 y 28 de septiembre en Acatlán. Por su parte, el módulo 130453 de la Sierra Otomí-Tepehua presentó un contratiempo mecánico en su vehículo de traslado, por lo que este día la atención programada en San Lorenzo Achiotepec (Huehuetla) se reubicará excepcionalmente en Metepec; posteriormente, el módulo operará en Huehuetla y San Bartolo Tutotepec en las fechas indicadas. Asimismo, se recordó que el módulo fijo opera en el fraccionamiento Los Pinos de lunes a viernes en horario extendido y los sábados mediodía, brindando servicios de inscripción, reincorporación, cambio de domicilio, corrección de datos y reemplazos para credenciales con vigencia 2026 o para jóvenes que cumplirán la mayoría de edad antes del próximo proceso electoral.</t>
  </si>
  <si>
    <t>Credencialización</t>
  </si>
  <si>
    <t>Tenemos más noticias desde el estado de Hidalgo. Bien, la Universidad Pedagógica Nacional eh iniciará construcción de su sede regional en Jacala. La construcción de las instalaciones permitirá ampliar y fortalecer la atención de educación superior en la región. La Universidad Pedagógica Nacional Unidad 131 de Hidalgo fortalece su presencia en Jacala con la construcción de las instalaciones de su sede regional, proyecto que se concretó con la firma del contrato con el Instituto Hidalguense de Infraestructura Física Educativa.</t>
  </si>
  <si>
    <t>Construcción de escuela</t>
  </si>
  <si>
    <t>El Instituto para la Atención de las y los Adultos Mayores del Estado convoca a las personas interesadas en participar en la nueva edición del curso Hidalgo de Envejecimiento Saludable, programa dirigido a personas mayores interesadas en fortalecer sus conocimientos.</t>
  </si>
  <si>
    <t>Bienestar</t>
  </si>
  <si>
    <t>Envejecimiento saludable</t>
  </si>
  <si>
    <t>El secretario de Educación Pública de Hidalgo, Natividad Castrejón Valdés, inauguró la tercera edición de la Gimnasiada Nacional, encuentro que reúne a más de 5,000 atletas de las 32 32 entidades federativas, quienes compiten en nueve disciplinas deportivas con la posibilidad de integrar la selección que representará a México en el Mundial Sub-18 a celebrarse en Brasil.</t>
  </si>
  <si>
    <t>Durante el informe del gobierno de la Presidenta Municipal de Huichapan, Yarely Yadhira, se registró una protesta en la que ciudadanos lanzaron consignas como no mentir, no robar y no traicionar. Vaya, vaya administración la que ha tenido el municipio de Huichapan, con muchos problemas, con muchas inconformidades y también, hay que decirlo, con mucho golpeteo político a lo largo de estos dos años. De acuerdo con señalamientos difundidos en redes sociales, el síndico habría sido retirado de forma violenta. Y falta todavía un año más.</t>
  </si>
  <si>
    <t>Habitantes de los fraccionamientos Tulipanes, Forjadores, El Venado y Cipreses en Pachuca, ya por la zona que va hacia Ciudad Sahagún, pues bloquearon la circulación en la Avenida de los Árboles, en su cruce con la Avenida de los Venados, exigen el suministro de agua potable</t>
  </si>
  <si>
    <t>La Secretaría de Cultura de Hidalgo presentará el 18º Festival Nacional de Guitarra Ramón Noble del 21 al 26 de septiembre con 6 conciertos, clases magistrales y actividades académicas. Participarán intérpretes de Guadalajara, Ciudad de México, Monterrey, Texas e Hidalgo en sedes como Teatros Guillermo Romo de Vivar en Hidalgo, Bartolomé de Medina y el Auditorio Ramón Noble Olivares.</t>
  </si>
  <si>
    <t>Festival Cultural</t>
  </si>
  <si>
    <t>La mañana de este lunes, habitantes de la zona de Santa Cruz, La Trinidad, bloquearon la carretera federal Pachuca-Ciudad Sahagún en ambos sentidos. Impiden el paso de vehículos a la altura del puente vehicular Santa Cruz-La Trinidad. La protesta comenzó desde la madrugada y de acuerdo con la convocatoria difundida por los propios habitantes, está prevista a partir de las 5:30 horas como medida de presión ante lo que consideran falta de atención a sus demandas, falta de atención por parte de las autoridades. Entre las principales exigencias se encuentra la rehabilitación, reconstrucción y nivelación del puente vehicular y del retorno, así como la realización de trabajos de mejoramiento en las vías que comunican a Santa Cruz, La Trinidad y Buena Vista.</t>
  </si>
  <si>
    <t>Exigencia de obra</t>
  </si>
  <si>
    <t>Durante la tercera sesión ordinaria del Consejo de Salud del Estado de Hidalgo, autoridades acordaron fortalecer la cloración y desinfección del agua, así como el monitoreo de cloro residual en los municipios. La Secretaría de Salud informó que durante 2026, el 94.8% de los casos de enfermedades diarréicas agudas se relacionó con alimentos contaminados y 63% ocurrió por consumo de comida en el hogar. Por ello, se reforzará la capacitación a manejadores de alimentos, también el lavado correcto de manos, la vigilancia sanitaria en puestos fijos y semifijos, además de la limpieza de tinacos y cisternas.</t>
  </si>
  <si>
    <t>Dos mujeres fueron detenidas en Tulancingo por una falta administrativa. Sin embargo, al verificar sus datos, policías municipales descubrieron que contaban con órdenes de aprehensión vigentes por el delito de secuestro agravado. Los hechos ocurrieron durante la madrugada de este domingo. Tras confirmar la información con la Procuraduría General de Justicia de Hidalgo, agentes ministeriales acudieron para cumplimentar los mandamientos judiciales y continuar con el proceso legal correspondiente. Hasta el momento no se ha dado a conocer detalles sobre el caso.</t>
  </si>
  <si>
    <t>Detención</t>
  </si>
  <si>
    <t>Tras el vídeo que se viralizó en redes sociales, en el que se observa a un perro siendo arrastrado luego de ser atado a una camioneta en la Trinidad Zempoala, el ayuntamiento emitió un comunicado oficial en el que rechaza cualquier acto de violencia contra los animales. El ayuntamiento indicó que ya se inició una carpeta de investigación por maltrato animal ante la Procuraduría de Hidalgo.</t>
  </si>
  <si>
    <t>Maltrato animal</t>
  </si>
  <si>
    <t>Una estudiante fue golpeada y tirada al piso por varias, por varias jóvenes en un hecho que ha generado indignación entre habitantes de Zempoala. En imágenes que circulan en redes sociales, se observa cómo la joven es agredida por varias mujeres mientras permanece en el suelo. ¿Por qué le quemaste? Lamentablemente este tipo de situaciones casi siempre se quedan en la denuncia pública, en la denuncia en redes sociales, y no se emite alguna denuncia en el ministerio público, y esto se queda así sin hacerse justicia o sin siquiera ser investigado.</t>
  </si>
  <si>
    <t>Agresión</t>
  </si>
  <si>
    <t>Sujetos a bordo de una motocicleta realizaron disparos contra un vehículo Mazda en la calle Miguel Ramos Arizpe, en el centro de Pachuca. En sus primeras declaraciones, los afectados dijeron a la policía que al salir del bar Parián, vieron a una camioneta Terrain y escucharon detonaciones.</t>
  </si>
  <si>
    <t>Ataque Armado</t>
  </si>
  <si>
    <t>El mando coordinado de Tulancingo informó que no existe paro laboral ni alguna situación inusual al interior de la policía municipal, luego de la circulación en redes sociales de imágenes que presuntamente mostrarían una suspensión de labores.</t>
  </si>
  <si>
    <t>Mando Coordinado</t>
  </si>
  <si>
    <t>Canek Vázquez dejó de manera temporal la delegación de Infonavit en Hidalgo por cinco días, mientras enfrenta señalamientos sobre presuntas operaciones inmobiliarias y la congruencia de su patrimonio. Fue suspendido cinco días sin goce de sueldo tras una investigación por presuntos actos de corrupción que involucra a 10 funcionarios más. Su lugar es ocupado temporalmente por Guillermo Polanco.</t>
  </si>
  <si>
    <t>Destitución</t>
  </si>
  <si>
    <t>La Secretaría de Seguridad Pública detuvo en Tula a un hombre armado señalado como presunto líder de un grupo generador de violencia en la región. El sujeto viajaba en una camioneta Dodge Ram azul.</t>
  </si>
  <si>
    <t>Combate a la delincuencia</t>
  </si>
  <si>
    <t>Más de cinco mil atletas de las 32 entidades federativas participan en la tercera edición de la gimnasiada nacional inaugurada por el secretario de educación pública de Hidalgo Natividad Castrejón Valdés. L</t>
  </si>
  <si>
    <t>Radioescucha Lore dice: "Muy buenos días, Lalo Larrieta, excelente inicio de semana para todos ustedes, saludos y éxito. Le comento que el día viernes como a las 13:00 horas una unidad del Tuzobús Exprés 4 chocó en el Bicentenario.</t>
  </si>
  <si>
    <t>Accidente Tuzobús</t>
  </si>
  <si>
    <t>Radioescucha 5560 dice: "Hola, disculpen, ¿me podrían proporcionar algún número telefónico de CAASIM? Que tengo más de media hora tratando de comunicarme para solicitar el apoyo. No tengo servicio de agua desde hace un mes".</t>
  </si>
  <si>
    <t>Radioescucha 9896 dice: "Gracias". Dice: "Muy buenos días, gracias por su apoyo, Dios le bendiga. Fíjese que ayer cerraron los vecinos de la colonia una vialidad para demandar la falta de agua, pues según personal de CAASIM le prometieron que pondrían el suministro de agua y mintieron, solo nos permitieron abrir la vialidad y ya".</t>
  </si>
  <si>
    <t>bas</t>
  </si>
  <si>
    <t>Radioescucha podrían pasar mi reporte? según hablaron de CAASIM que ayer en la tarde iba a haber agua en La Alcantarilla, pero fueron puras mentiras, ya llevamos dos semanas sin agua</t>
  </si>
  <si>
    <t>Radioescucha 9371 dice: "Hola, muy buenos días. Una disculpa por la molestia. ¿Qué posibilidad hay de que nos apoyen para reportar en el fraccionamiento La Colonia la falta de agua?</t>
  </si>
  <si>
    <t>Radioescucha María Dolores Dice: "Buenos días, de manera más respetuosa pedimos, pedimos de favor nos den el servicio de agua en la calle de Cipactli. ¿Cipac...? ¿Dónde es esto? María Dolores, ¿dónde es esto? Si nos echan la mano para pasar el reporte bien"»</t>
  </si>
  <si>
    <t>Radioescucha reporta Diice: "Apreciable Licenciado Larrieta". Dice: "Muy buenos días, espero se encuentren bien. Mire, hoy en el fraccionamiento La Colonia, para ver si por su conducto nos pudieran hacer favor de ayudarnos para reportar la falta de agua</t>
  </si>
  <si>
    <t>Radioescucha dice: "Le envío la foto de que la dueña de esta casa tiene una fuga de agua desde hace mucho tiempo y no quiere arreglarla. El problema está afectando a la casa de al lado. Esto es en Santa Julia, primera sección, en la calle 14, esquina con Canal, junto al terreno baldío"</t>
  </si>
  <si>
    <t>Durante la Mañanera del Pueblo de este 21 de septiembre, el titular de la Secretaría de Educación Pública, Mario Delgado, explicó que el acuerdo establece que en primarias y secundarias no se permitirá el uso de celulares durante las clases ni en el recreo, mientras que en educación media superior cada plantel determinará las reglas para garantizar un uso responsable, seguro y con fines pedagógicos.</t>
  </si>
  <si>
    <t>La última semana se registraron cuatro nuevos casos de COVID; en Hidalgo suman 179 contagios y 15 fallecimientos.</t>
  </si>
  <si>
    <t>La Feria Tradicional de Pachuquilla 2026 concluyó con una asistencia superior a 45 mil personas y una derrama económica estimada en más de 14 millones de pesos, informó el Gobierno de Mineral de la Reforma.De acuerdo con la administración municipal, la cifra de asistentes incluye a quienes participaron en la ceremonia del Grito de Independencia y en las distintas actividades culturales, artísticas, comerciales y de entretenimiento organizadas durante la celebración.Las estimaciones preliminares indican que la actividad económica generada benefició a comerciantes, expositores, artesanos y prestadores de servicios participantes. El cálculo se realizó con base en la afluencia aproximada de visitantes, el gasto promedio por persona y datos recabados entre comerciantes y expositores.El gobierno municipal señaló que la asistencia registrada superó las expectativas planteadas inicialmente para esta edición, a la que acudieron habitantes de Mineral de la Reforma, así como visitantes de otros municipios y entidades vecinas.</t>
  </si>
  <si>
    <t>Feria Patronal</t>
  </si>
  <si>
    <t>El Instituto Mexicano del Seguro Social (IMSS) en Hidalgo exhortó a madres, padres de familia y personas tutoras a mantenerse atentos ante posibles señales de linfoma en niñas, niños y adolescentes, a fin de favorecer una detección y atención oportunas.La doctora Alma Italia Guerrero Martínez, coordinadora del Segundo Nivel de Atención Médica del IMSS en Hidalgo, explicó que el linfoma es una enfermedad hematológica que afecta el sistema inmunitario y se origina por la proliferación maligna de los linfocitos, células encargadas de la defensa del organismo.Detalló que entre los principales tipos de cáncer infantil se encuentran la leucemia linfoblástica aguda, los tumores del sistema nervioso central, el linfoma y los tumores abdominales, como los de hígado y riñón. También señaló la presencia de cáncer óseo en niñas, niños y adolescentes.</t>
  </si>
  <si>
    <t>Prevención de accidentes</t>
  </si>
  <si>
    <t>Debido a trabajos de mantenimiento en la mina El Paraíso, se reducirá la presión del agua en 21 colonias de Pachuca. Diría, en paz descanse, nuestro compañero Ernesto Martín Contreras: "Éramos muchos y la abuela tuvo cuates", pero vamos a escuchar la información</t>
  </si>
  <si>
    <t>Hidalgo se sumó al Segundo Simulacro Nacional de Sismo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</si>
</sst>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5" tableType="queryTable" totalsRowShown="0">
  <autoFilter ref="A1:M10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5"/>
  <sheetViews>
    <sheetView tabSelected="1" workbookViewId="0"/>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4.4257812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46283</v>
      </c>
      <c r="B2" s="1" t="str">
        <f ca="1">IF(Información1[[#This Row],[Fecha]]='Ajuste de fechas'!$A$2,"Día actual","Día anterior")</f>
        <v>Día anterior</v>
      </c>
      <c r="C2" t="s">
        <v>61</v>
      </c>
      <c r="D2" t="s">
        <v>62</v>
      </c>
      <c r="E2" t="s">
        <v>110</v>
      </c>
      <c r="F2" t="s">
        <v>45</v>
      </c>
      <c r="G2" t="s">
        <v>111</v>
      </c>
      <c r="H2" t="s">
        <v>46</v>
      </c>
      <c r="I2" t="s">
        <v>7</v>
      </c>
      <c r="J2" t="s">
        <v>30</v>
      </c>
      <c r="K2" t="s">
        <v>63</v>
      </c>
      <c r="L2" t="s">
        <v>31</v>
      </c>
      <c r="M2">
        <v>1</v>
      </c>
    </row>
    <row r="3" spans="1:13" x14ac:dyDescent="0.25">
      <c r="A3" s="2">
        <v>46283</v>
      </c>
      <c r="B3" s="1" t="str">
        <f ca="1">IF(Información1[[#This Row],[Fecha]]='Ajuste de fechas'!$A$2,"Día actual","Día anterior")</f>
        <v>Día anterior</v>
      </c>
      <c r="C3" t="s">
        <v>61</v>
      </c>
      <c r="D3" t="s">
        <v>62</v>
      </c>
      <c r="E3" t="s">
        <v>112</v>
      </c>
      <c r="F3" t="s">
        <v>22</v>
      </c>
      <c r="G3" t="s">
        <v>92</v>
      </c>
      <c r="H3" t="s">
        <v>46</v>
      </c>
      <c r="I3" t="s">
        <v>7</v>
      </c>
      <c r="J3" t="s">
        <v>30</v>
      </c>
      <c r="K3" t="s">
        <v>63</v>
      </c>
      <c r="L3" t="s">
        <v>31</v>
      </c>
      <c r="M3">
        <v>1</v>
      </c>
    </row>
    <row r="4" spans="1:13" x14ac:dyDescent="0.25">
      <c r="A4" s="2">
        <v>46283</v>
      </c>
      <c r="B4" s="1" t="str">
        <f ca="1">IF(Información1[[#This Row],[Fecha]]='Ajuste de fechas'!$A$2,"Día actual","Día anterior")</f>
        <v>Día anterior</v>
      </c>
      <c r="C4" t="s">
        <v>61</v>
      </c>
      <c r="D4" t="s">
        <v>62</v>
      </c>
      <c r="E4" t="s">
        <v>109</v>
      </c>
      <c r="F4" t="s">
        <v>65</v>
      </c>
      <c r="G4" t="s">
        <v>90</v>
      </c>
      <c r="H4" t="s">
        <v>46</v>
      </c>
      <c r="I4" t="s">
        <v>7</v>
      </c>
      <c r="J4" t="s">
        <v>30</v>
      </c>
      <c r="K4" t="s">
        <v>63</v>
      </c>
      <c r="L4" t="s">
        <v>33</v>
      </c>
      <c r="M4">
        <v>1</v>
      </c>
    </row>
    <row r="5" spans="1:13" x14ac:dyDescent="0.25">
      <c r="A5" s="2">
        <v>46283</v>
      </c>
      <c r="B5" s="1" t="str">
        <f ca="1">IF(Información1[[#This Row],[Fecha]]='Ajuste de fechas'!$A$2,"Día actual","Día anterior")</f>
        <v>Día anterior</v>
      </c>
      <c r="C5" t="s">
        <v>8</v>
      </c>
      <c r="D5" t="s">
        <v>9</v>
      </c>
      <c r="E5" t="s">
        <v>143</v>
      </c>
      <c r="F5" t="s">
        <v>15</v>
      </c>
      <c r="G5" t="s">
        <v>144</v>
      </c>
      <c r="H5" t="s">
        <v>46</v>
      </c>
      <c r="I5" t="s">
        <v>7</v>
      </c>
      <c r="J5" t="s">
        <v>34</v>
      </c>
      <c r="K5" t="s">
        <v>11</v>
      </c>
      <c r="L5" t="s">
        <v>31</v>
      </c>
      <c r="M5">
        <v>1</v>
      </c>
    </row>
    <row r="6" spans="1:13" x14ac:dyDescent="0.25">
      <c r="A6" s="2">
        <v>46283</v>
      </c>
      <c r="B6" s="1" t="str">
        <f ca="1">IF(Información1[[#This Row],[Fecha]]='Ajuste de fechas'!$A$2,"Día actual","Día anterior")</f>
        <v>Día anterior</v>
      </c>
      <c r="C6" t="s">
        <v>8</v>
      </c>
      <c r="D6" t="s">
        <v>9</v>
      </c>
      <c r="E6" t="s">
        <v>139</v>
      </c>
      <c r="F6" t="s">
        <v>15</v>
      </c>
      <c r="G6" t="s">
        <v>71</v>
      </c>
      <c r="H6" t="s">
        <v>46</v>
      </c>
      <c r="I6" t="s">
        <v>7</v>
      </c>
      <c r="J6" t="s">
        <v>34</v>
      </c>
      <c r="K6" t="s">
        <v>11</v>
      </c>
      <c r="L6" t="s">
        <v>31</v>
      </c>
      <c r="M6">
        <v>1</v>
      </c>
    </row>
    <row r="7" spans="1:13" x14ac:dyDescent="0.25">
      <c r="A7" s="2">
        <v>46283</v>
      </c>
      <c r="B7" s="1" t="str">
        <f ca="1">IF(Información1[[#This Row],[Fecha]]='Ajuste de fechas'!$A$2,"Día actual","Día anterior")</f>
        <v>Día anterior</v>
      </c>
      <c r="C7" t="s">
        <v>8</v>
      </c>
      <c r="D7" t="s">
        <v>9</v>
      </c>
      <c r="E7" t="s">
        <v>145</v>
      </c>
      <c r="F7" t="s">
        <v>18</v>
      </c>
      <c r="G7" t="s">
        <v>146</v>
      </c>
      <c r="H7" t="s">
        <v>46</v>
      </c>
      <c r="I7" t="s">
        <v>7</v>
      </c>
      <c r="J7" t="s">
        <v>35</v>
      </c>
      <c r="K7" t="s">
        <v>11</v>
      </c>
      <c r="L7" t="s">
        <v>31</v>
      </c>
      <c r="M7">
        <v>1</v>
      </c>
    </row>
    <row r="8" spans="1:13" x14ac:dyDescent="0.25">
      <c r="A8" s="2">
        <v>46283</v>
      </c>
      <c r="B8" s="1" t="str">
        <f ca="1">IF(Información1[[#This Row],[Fecha]]='Ajuste de fechas'!$A$2,"Día actual","Día anterior")</f>
        <v>Día anterior</v>
      </c>
      <c r="C8" t="s">
        <v>8</v>
      </c>
      <c r="D8" t="s">
        <v>9</v>
      </c>
      <c r="E8" t="s">
        <v>134</v>
      </c>
      <c r="F8" t="s">
        <v>6</v>
      </c>
      <c r="G8" t="s">
        <v>58</v>
      </c>
      <c r="H8" t="s">
        <v>46</v>
      </c>
      <c r="I8" t="s">
        <v>21</v>
      </c>
      <c r="J8" t="s">
        <v>30</v>
      </c>
      <c r="K8" t="s">
        <v>133</v>
      </c>
      <c r="L8" t="s">
        <v>32</v>
      </c>
      <c r="M8">
        <v>1</v>
      </c>
    </row>
    <row r="9" spans="1:13" x14ac:dyDescent="0.25">
      <c r="A9" s="2">
        <v>46283</v>
      </c>
      <c r="B9" s="1" t="str">
        <f ca="1">IF(Información1[[#This Row],[Fecha]]='Ajuste de fechas'!$A$2,"Día actual","Día anterior")</f>
        <v>Día anterior</v>
      </c>
      <c r="C9" t="s">
        <v>8</v>
      </c>
      <c r="D9" t="s">
        <v>9</v>
      </c>
      <c r="E9" t="s">
        <v>135</v>
      </c>
      <c r="F9" t="s">
        <v>6</v>
      </c>
      <c r="G9" t="s">
        <v>44</v>
      </c>
      <c r="H9" t="s">
        <v>46</v>
      </c>
      <c r="I9" t="s">
        <v>21</v>
      </c>
      <c r="J9" t="s">
        <v>30</v>
      </c>
      <c r="K9" t="s">
        <v>133</v>
      </c>
      <c r="L9" t="s">
        <v>32</v>
      </c>
      <c r="M9">
        <v>1</v>
      </c>
    </row>
    <row r="10" spans="1:13" x14ac:dyDescent="0.25">
      <c r="A10" s="2">
        <v>46283</v>
      </c>
      <c r="B10" s="1" t="str">
        <f ca="1">IF(Información1[[#This Row],[Fecha]]='Ajuste de fechas'!$A$2,"Día actual","Día anterior")</f>
        <v>Día anterior</v>
      </c>
      <c r="C10" t="s">
        <v>8</v>
      </c>
      <c r="D10" t="s">
        <v>9</v>
      </c>
      <c r="E10" t="s">
        <v>137</v>
      </c>
      <c r="F10" t="s">
        <v>6</v>
      </c>
      <c r="G10" t="s">
        <v>44</v>
      </c>
      <c r="H10" t="s">
        <v>46</v>
      </c>
      <c r="I10" t="s">
        <v>10</v>
      </c>
      <c r="J10" t="s">
        <v>30</v>
      </c>
      <c r="K10" t="s">
        <v>133</v>
      </c>
      <c r="L10" t="s">
        <v>32</v>
      </c>
      <c r="M10">
        <v>1</v>
      </c>
    </row>
    <row r="11" spans="1:13" x14ac:dyDescent="0.25">
      <c r="A11" s="2">
        <v>46283</v>
      </c>
      <c r="B11" s="1" t="str">
        <f ca="1">IF(Información1[[#This Row],[Fecha]]='Ajuste de fechas'!$A$2,"Día actual","Día anterior")</f>
        <v>Día anterior</v>
      </c>
      <c r="C11" t="s">
        <v>8</v>
      </c>
      <c r="D11" t="s">
        <v>9</v>
      </c>
      <c r="E11" t="s">
        <v>136</v>
      </c>
      <c r="F11" t="s">
        <v>6</v>
      </c>
      <c r="G11" t="s">
        <v>44</v>
      </c>
      <c r="H11" t="s">
        <v>46</v>
      </c>
      <c r="I11" t="s">
        <v>21</v>
      </c>
      <c r="J11" t="s">
        <v>30</v>
      </c>
      <c r="K11" t="s">
        <v>133</v>
      </c>
      <c r="L11" t="s">
        <v>32</v>
      </c>
      <c r="M11">
        <v>1</v>
      </c>
    </row>
    <row r="12" spans="1:13" x14ac:dyDescent="0.25">
      <c r="A12" s="2">
        <v>46283</v>
      </c>
      <c r="B12" s="1" t="str">
        <f ca="1">IF(Información1[[#This Row],[Fecha]]='Ajuste de fechas'!$A$2,"Día actual","Día anterior")</f>
        <v>Día anterior</v>
      </c>
      <c r="C12" t="s">
        <v>8</v>
      </c>
      <c r="D12" t="s">
        <v>9</v>
      </c>
      <c r="E12" t="s">
        <v>138</v>
      </c>
      <c r="F12" t="s">
        <v>18</v>
      </c>
      <c r="G12" t="s">
        <v>73</v>
      </c>
      <c r="H12" t="s">
        <v>46</v>
      </c>
      <c r="I12" t="s">
        <v>7</v>
      </c>
      <c r="J12" t="s">
        <v>35</v>
      </c>
      <c r="K12" t="s">
        <v>11</v>
      </c>
      <c r="L12" t="s">
        <v>32</v>
      </c>
      <c r="M12">
        <v>1</v>
      </c>
    </row>
    <row r="13" spans="1:13" x14ac:dyDescent="0.25">
      <c r="A13" s="2">
        <v>46283</v>
      </c>
      <c r="B13" s="1" t="str">
        <f ca="1">IF(Información1[[#This Row],[Fecha]]='Ajuste de fechas'!$A$2,"Día actual","Día anterior")</f>
        <v>Día anterior</v>
      </c>
      <c r="C13" t="s">
        <v>8</v>
      </c>
      <c r="D13" t="s">
        <v>9</v>
      </c>
      <c r="E13" t="s">
        <v>142</v>
      </c>
      <c r="F13" t="s">
        <v>54</v>
      </c>
      <c r="G13" t="s">
        <v>77</v>
      </c>
      <c r="H13" t="s">
        <v>46</v>
      </c>
      <c r="I13" t="s">
        <v>7</v>
      </c>
      <c r="J13" t="s">
        <v>30</v>
      </c>
      <c r="K13" t="s">
        <v>11</v>
      </c>
      <c r="L13" t="s">
        <v>31</v>
      </c>
      <c r="M13">
        <v>1</v>
      </c>
    </row>
    <row r="14" spans="1:13" x14ac:dyDescent="0.25">
      <c r="A14" s="2">
        <v>46283</v>
      </c>
      <c r="B14" s="1" t="str">
        <f ca="1">IF(Información1[[#This Row],[Fecha]]='Ajuste de fechas'!$A$2,"Día actual","Día anterior")</f>
        <v>Día anterior</v>
      </c>
      <c r="C14" t="s">
        <v>8</v>
      </c>
      <c r="D14" t="s">
        <v>9</v>
      </c>
      <c r="E14" t="s">
        <v>14</v>
      </c>
      <c r="F14" t="s">
        <v>15</v>
      </c>
      <c r="G14" t="s">
        <v>23</v>
      </c>
      <c r="H14" t="s">
        <v>46</v>
      </c>
      <c r="I14" t="s">
        <v>7</v>
      </c>
      <c r="J14" t="s">
        <v>34</v>
      </c>
      <c r="K14" t="s">
        <v>11</v>
      </c>
      <c r="L14" t="s">
        <v>32</v>
      </c>
      <c r="M14">
        <v>1</v>
      </c>
    </row>
    <row r="15" spans="1:13" x14ac:dyDescent="0.25">
      <c r="A15" s="2">
        <v>46283</v>
      </c>
      <c r="B15" s="1" t="str">
        <f ca="1">IF(Información1[[#This Row],[Fecha]]='Ajuste de fechas'!$A$2,"Día actual","Día anterior")</f>
        <v>Día anterior</v>
      </c>
      <c r="C15" t="s">
        <v>8</v>
      </c>
      <c r="D15" t="s">
        <v>9</v>
      </c>
      <c r="E15" t="s">
        <v>12</v>
      </c>
      <c r="F15" t="s">
        <v>13</v>
      </c>
      <c r="G15" t="s">
        <v>23</v>
      </c>
      <c r="H15" t="s">
        <v>46</v>
      </c>
      <c r="I15" t="s">
        <v>7</v>
      </c>
      <c r="J15" t="s">
        <v>30</v>
      </c>
      <c r="K15" t="s">
        <v>11</v>
      </c>
      <c r="L15" t="s">
        <v>32</v>
      </c>
      <c r="M15">
        <v>1</v>
      </c>
    </row>
    <row r="16" spans="1:13" x14ac:dyDescent="0.25">
      <c r="A16" s="2">
        <v>46283</v>
      </c>
      <c r="B16" s="1" t="str">
        <f ca="1">IF(Información1[[#This Row],[Fecha]]='Ajuste de fechas'!$A$2,"Día actual","Día anterior")</f>
        <v>Día anterior</v>
      </c>
      <c r="C16" t="s">
        <v>8</v>
      </c>
      <c r="D16" t="s">
        <v>9</v>
      </c>
      <c r="E16" t="s">
        <v>69</v>
      </c>
      <c r="F16" t="s">
        <v>6</v>
      </c>
      <c r="G16" t="s">
        <v>23</v>
      </c>
      <c r="H16" t="s">
        <v>46</v>
      </c>
      <c r="I16" t="s">
        <v>7</v>
      </c>
      <c r="J16" t="s">
        <v>30</v>
      </c>
      <c r="K16" t="s">
        <v>11</v>
      </c>
      <c r="L16" t="s">
        <v>32</v>
      </c>
      <c r="M16">
        <v>1</v>
      </c>
    </row>
    <row r="17" spans="1:13" x14ac:dyDescent="0.25">
      <c r="A17" s="2">
        <v>46283</v>
      </c>
      <c r="B17" s="1" t="str">
        <f ca="1">IF(Información1[[#This Row],[Fecha]]='Ajuste de fechas'!$A$2,"Día actual","Día anterior")</f>
        <v>Día anterior</v>
      </c>
      <c r="C17" t="s">
        <v>8</v>
      </c>
      <c r="D17" t="s">
        <v>9</v>
      </c>
      <c r="E17" t="s">
        <v>43</v>
      </c>
      <c r="F17" t="s">
        <v>42</v>
      </c>
      <c r="G17" t="s">
        <v>23</v>
      </c>
      <c r="H17" t="s">
        <v>46</v>
      </c>
      <c r="I17" t="s">
        <v>7</v>
      </c>
      <c r="J17" t="s">
        <v>30</v>
      </c>
      <c r="K17" t="s">
        <v>11</v>
      </c>
      <c r="L17" t="s">
        <v>32</v>
      </c>
      <c r="M17">
        <v>1</v>
      </c>
    </row>
    <row r="18" spans="1:13" x14ac:dyDescent="0.25">
      <c r="A18" s="2">
        <v>46283</v>
      </c>
      <c r="B18" s="1" t="str">
        <f ca="1">IF(Información1[[#This Row],[Fecha]]='Ajuste de fechas'!$A$2,"Día actual","Día anterior")</f>
        <v>Día anterior</v>
      </c>
      <c r="C18" t="s">
        <v>8</v>
      </c>
      <c r="D18" t="s">
        <v>9</v>
      </c>
      <c r="E18" t="s">
        <v>16</v>
      </c>
      <c r="F18" t="s">
        <v>15</v>
      </c>
      <c r="G18" t="s">
        <v>23</v>
      </c>
      <c r="H18" t="s">
        <v>46</v>
      </c>
      <c r="I18" t="s">
        <v>7</v>
      </c>
      <c r="J18" t="s">
        <v>34</v>
      </c>
      <c r="K18" t="s">
        <v>11</v>
      </c>
      <c r="L18" t="s">
        <v>32</v>
      </c>
      <c r="M18">
        <v>1</v>
      </c>
    </row>
    <row r="19" spans="1:13" x14ac:dyDescent="0.25">
      <c r="A19" s="2">
        <v>46283</v>
      </c>
      <c r="B19" s="1" t="str">
        <f ca="1">IF(Información1[[#This Row],[Fecha]]='Ajuste de fechas'!$A$2,"Día actual","Día anterior")</f>
        <v>Día anterior</v>
      </c>
      <c r="C19" t="s">
        <v>8</v>
      </c>
      <c r="D19" t="s">
        <v>9</v>
      </c>
      <c r="E19" t="s">
        <v>132</v>
      </c>
      <c r="F19" t="s">
        <v>15</v>
      </c>
      <c r="G19" t="s">
        <v>78</v>
      </c>
      <c r="H19" t="s">
        <v>46</v>
      </c>
      <c r="I19" t="s">
        <v>21</v>
      </c>
      <c r="J19" t="s">
        <v>34</v>
      </c>
      <c r="K19" t="s">
        <v>133</v>
      </c>
      <c r="L19" t="s">
        <v>32</v>
      </c>
      <c r="M19">
        <v>1</v>
      </c>
    </row>
    <row r="20" spans="1:13" x14ac:dyDescent="0.25">
      <c r="A20" s="2">
        <v>46283</v>
      </c>
      <c r="B20" s="1" t="str">
        <f ca="1">IF(Información1[[#This Row],[Fecha]]='Ajuste de fechas'!$A$2,"Día actual","Día anterior")</f>
        <v>Día anterior</v>
      </c>
      <c r="C20" t="s">
        <v>8</v>
      </c>
      <c r="D20" t="s">
        <v>9</v>
      </c>
      <c r="E20" t="s">
        <v>140</v>
      </c>
      <c r="F20" t="s">
        <v>59</v>
      </c>
      <c r="G20" t="s">
        <v>70</v>
      </c>
      <c r="H20" t="s">
        <v>46</v>
      </c>
      <c r="I20" t="s">
        <v>7</v>
      </c>
      <c r="J20" t="s">
        <v>30</v>
      </c>
      <c r="K20" t="s">
        <v>11</v>
      </c>
      <c r="L20" t="s">
        <v>33</v>
      </c>
      <c r="M20">
        <v>1</v>
      </c>
    </row>
    <row r="21" spans="1:13" x14ac:dyDescent="0.25">
      <c r="A21" s="2">
        <v>46283</v>
      </c>
      <c r="B21" s="1" t="str">
        <f ca="1">IF(Información1[[#This Row],[Fecha]]='Ajuste de fechas'!$A$2,"Día actual","Día anterior")</f>
        <v>Día anterior</v>
      </c>
      <c r="C21" t="s">
        <v>8</v>
      </c>
      <c r="D21" t="s">
        <v>9</v>
      </c>
      <c r="E21" t="s">
        <v>41</v>
      </c>
      <c r="F21" t="s">
        <v>39</v>
      </c>
      <c r="G21" t="s">
        <v>23</v>
      </c>
      <c r="H21" t="s">
        <v>46</v>
      </c>
      <c r="I21" t="s">
        <v>7</v>
      </c>
      <c r="J21" t="s">
        <v>20</v>
      </c>
      <c r="K21" t="s">
        <v>11</v>
      </c>
      <c r="L21" t="s">
        <v>32</v>
      </c>
      <c r="M21">
        <v>1</v>
      </c>
    </row>
    <row r="22" spans="1:13" x14ac:dyDescent="0.25">
      <c r="A22" s="2">
        <v>46283</v>
      </c>
      <c r="B22" s="1" t="str">
        <f ca="1">IF(Información1[[#This Row],[Fecha]]='Ajuste de fechas'!$A$2,"Día actual","Día anterior")</f>
        <v>Día anterior</v>
      </c>
      <c r="C22" t="s">
        <v>8</v>
      </c>
      <c r="D22" t="s">
        <v>9</v>
      </c>
      <c r="E22" t="s">
        <v>141</v>
      </c>
      <c r="F22" t="s">
        <v>42</v>
      </c>
      <c r="G22" t="s">
        <v>74</v>
      </c>
      <c r="H22" t="s">
        <v>46</v>
      </c>
      <c r="I22" t="s">
        <v>7</v>
      </c>
      <c r="J22" t="s">
        <v>30</v>
      </c>
      <c r="K22" t="s">
        <v>11</v>
      </c>
      <c r="L22" t="s">
        <v>33</v>
      </c>
      <c r="M22">
        <v>1</v>
      </c>
    </row>
    <row r="23" spans="1:13" x14ac:dyDescent="0.25">
      <c r="A23" s="2">
        <v>46283</v>
      </c>
      <c r="B23" s="1" t="str">
        <f ca="1">IF(Información1[[#This Row],[Fecha]]='Ajuste de fechas'!$A$2,"Día actual","Día anterior")</f>
        <v>Día anterior</v>
      </c>
      <c r="C23" t="s">
        <v>51</v>
      </c>
      <c r="D23" t="s">
        <v>52</v>
      </c>
      <c r="E23" t="s">
        <v>123</v>
      </c>
      <c r="F23" t="s">
        <v>15</v>
      </c>
      <c r="G23" t="s">
        <v>57</v>
      </c>
      <c r="H23" t="s">
        <v>46</v>
      </c>
      <c r="I23" t="s">
        <v>7</v>
      </c>
      <c r="J23" t="s">
        <v>34</v>
      </c>
      <c r="K23" t="s">
        <v>53</v>
      </c>
      <c r="L23" t="s">
        <v>31</v>
      </c>
      <c r="M23">
        <v>1</v>
      </c>
    </row>
    <row r="24" spans="1:13" x14ac:dyDescent="0.25">
      <c r="A24" s="2">
        <v>46283</v>
      </c>
      <c r="B24" s="1" t="str">
        <f ca="1">IF(Información1[[#This Row],[Fecha]]='Ajuste de fechas'!$A$2,"Día actual","Día anterior")</f>
        <v>Día anterior</v>
      </c>
      <c r="C24" t="s">
        <v>51</v>
      </c>
      <c r="D24" t="s">
        <v>52</v>
      </c>
      <c r="E24" t="s">
        <v>124</v>
      </c>
      <c r="F24" t="s">
        <v>18</v>
      </c>
      <c r="G24" t="s">
        <v>73</v>
      </c>
      <c r="H24" t="s">
        <v>46</v>
      </c>
      <c r="I24" t="s">
        <v>7</v>
      </c>
      <c r="J24" t="s">
        <v>35</v>
      </c>
      <c r="K24" t="s">
        <v>53</v>
      </c>
      <c r="L24" t="s">
        <v>31</v>
      </c>
      <c r="M24">
        <v>1</v>
      </c>
    </row>
    <row r="25" spans="1:13" x14ac:dyDescent="0.25">
      <c r="A25" s="2">
        <v>46283</v>
      </c>
      <c r="B25" s="1" t="str">
        <f ca="1">IF(Información1[[#This Row],[Fecha]]='Ajuste de fechas'!$A$2,"Día actual","Día anterior")</f>
        <v>Día anterior</v>
      </c>
      <c r="C25" t="s">
        <v>51</v>
      </c>
      <c r="D25" t="s">
        <v>52</v>
      </c>
      <c r="E25" t="s">
        <v>125</v>
      </c>
      <c r="F25" t="s">
        <v>18</v>
      </c>
      <c r="G25" t="s">
        <v>126</v>
      </c>
      <c r="H25" t="s">
        <v>46</v>
      </c>
      <c r="I25" t="s">
        <v>7</v>
      </c>
      <c r="J25" t="s">
        <v>35</v>
      </c>
      <c r="K25" t="s">
        <v>53</v>
      </c>
      <c r="L25" t="s">
        <v>31</v>
      </c>
      <c r="M25">
        <v>1</v>
      </c>
    </row>
    <row r="26" spans="1:13" x14ac:dyDescent="0.25">
      <c r="A26" s="2">
        <v>46283</v>
      </c>
      <c r="B26" s="1" t="str">
        <f ca="1">IF(Información1[[#This Row],[Fecha]]='Ajuste de fechas'!$A$2,"Día actual","Día anterior")</f>
        <v>Día anterior</v>
      </c>
      <c r="C26" t="s">
        <v>51</v>
      </c>
      <c r="D26" t="s">
        <v>52</v>
      </c>
      <c r="E26" t="s">
        <v>115</v>
      </c>
      <c r="F26" t="s">
        <v>15</v>
      </c>
      <c r="G26" t="s">
        <v>60</v>
      </c>
      <c r="H26" t="s">
        <v>46</v>
      </c>
      <c r="I26" t="s">
        <v>21</v>
      </c>
      <c r="J26" t="s">
        <v>34</v>
      </c>
      <c r="K26" t="s">
        <v>53</v>
      </c>
      <c r="L26" t="s">
        <v>32</v>
      </c>
      <c r="M26">
        <v>1</v>
      </c>
    </row>
    <row r="27" spans="1:13" x14ac:dyDescent="0.25">
      <c r="A27" s="2">
        <v>46283</v>
      </c>
      <c r="B27" s="1" t="str">
        <f ca="1">IF(Información1[[#This Row],[Fecha]]='Ajuste de fechas'!$A$2,"Día actual","Día anterior")</f>
        <v>Día anterior</v>
      </c>
      <c r="C27" t="s">
        <v>51</v>
      </c>
      <c r="D27" t="s">
        <v>52</v>
      </c>
      <c r="E27" t="s">
        <v>113</v>
      </c>
      <c r="F27" t="s">
        <v>20</v>
      </c>
      <c r="G27" t="s">
        <v>114</v>
      </c>
      <c r="H27" t="s">
        <v>46</v>
      </c>
      <c r="I27" t="s">
        <v>21</v>
      </c>
      <c r="J27" t="s">
        <v>20</v>
      </c>
      <c r="K27" t="s">
        <v>53</v>
      </c>
      <c r="L27" t="s">
        <v>32</v>
      </c>
      <c r="M27">
        <v>1</v>
      </c>
    </row>
    <row r="28" spans="1:13" x14ac:dyDescent="0.25">
      <c r="A28" s="2">
        <v>46283</v>
      </c>
      <c r="B28" s="1" t="str">
        <f ca="1">IF(Información1[[#This Row],[Fecha]]='Ajuste de fechas'!$A$2,"Día actual","Día anterior")</f>
        <v>Día anterior</v>
      </c>
      <c r="C28" t="s">
        <v>51</v>
      </c>
      <c r="D28" t="s">
        <v>52</v>
      </c>
      <c r="E28" t="s">
        <v>118</v>
      </c>
      <c r="F28" t="s">
        <v>15</v>
      </c>
      <c r="G28" t="s">
        <v>119</v>
      </c>
      <c r="H28" t="s">
        <v>46</v>
      </c>
      <c r="I28" t="s">
        <v>21</v>
      </c>
      <c r="J28" t="s">
        <v>34</v>
      </c>
      <c r="K28" t="s">
        <v>53</v>
      </c>
      <c r="L28" t="s">
        <v>32</v>
      </c>
      <c r="M28">
        <v>1</v>
      </c>
    </row>
    <row r="29" spans="1:13" x14ac:dyDescent="0.25">
      <c r="A29" s="2">
        <v>46283</v>
      </c>
      <c r="B29" s="1" t="str">
        <f ca="1">IF(Información1[[#This Row],[Fecha]]='Ajuste de fechas'!$A$2,"Día actual","Día anterior")</f>
        <v>Día anterior</v>
      </c>
      <c r="C29" t="s">
        <v>51</v>
      </c>
      <c r="D29" t="s">
        <v>52</v>
      </c>
      <c r="E29" t="s">
        <v>127</v>
      </c>
      <c r="F29" t="s">
        <v>18</v>
      </c>
      <c r="G29" t="s">
        <v>64</v>
      </c>
      <c r="H29" t="s">
        <v>46</v>
      </c>
      <c r="I29" t="s">
        <v>7</v>
      </c>
      <c r="J29" t="s">
        <v>35</v>
      </c>
      <c r="K29" t="s">
        <v>53</v>
      </c>
      <c r="L29" t="s">
        <v>31</v>
      </c>
      <c r="M29">
        <v>1</v>
      </c>
    </row>
    <row r="30" spans="1:13" x14ac:dyDescent="0.25">
      <c r="A30" s="2">
        <v>46283</v>
      </c>
      <c r="B30" s="1" t="str">
        <f ca="1">IF(Información1[[#This Row],[Fecha]]='Ajuste de fechas'!$A$2,"Día actual","Día anterior")</f>
        <v>Día anterior</v>
      </c>
      <c r="C30" t="s">
        <v>51</v>
      </c>
      <c r="D30" t="s">
        <v>52</v>
      </c>
      <c r="E30" t="s">
        <v>116</v>
      </c>
      <c r="F30" t="s">
        <v>15</v>
      </c>
      <c r="G30" t="s">
        <v>117</v>
      </c>
      <c r="H30" t="s">
        <v>46</v>
      </c>
      <c r="I30" t="s">
        <v>21</v>
      </c>
      <c r="J30" t="s">
        <v>34</v>
      </c>
      <c r="K30" t="s">
        <v>53</v>
      </c>
      <c r="L30" t="s">
        <v>32</v>
      </c>
      <c r="M30">
        <v>1</v>
      </c>
    </row>
    <row r="31" spans="1:13" x14ac:dyDescent="0.25">
      <c r="A31" s="2">
        <v>46283</v>
      </c>
      <c r="B31" s="1" t="str">
        <f ca="1">IF(Información1[[#This Row],[Fecha]]='Ajuste de fechas'!$A$2,"Día actual","Día anterior")</f>
        <v>Día anterior</v>
      </c>
      <c r="C31" t="s">
        <v>51</v>
      </c>
      <c r="D31" t="s">
        <v>52</v>
      </c>
      <c r="E31" t="s">
        <v>131</v>
      </c>
      <c r="F31" t="s">
        <v>22</v>
      </c>
      <c r="G31" t="s">
        <v>92</v>
      </c>
      <c r="H31" t="s">
        <v>46</v>
      </c>
      <c r="I31" t="s">
        <v>7</v>
      </c>
      <c r="J31" t="s">
        <v>30</v>
      </c>
      <c r="K31" t="s">
        <v>53</v>
      </c>
      <c r="L31" t="s">
        <v>31</v>
      </c>
      <c r="M31">
        <v>1</v>
      </c>
    </row>
    <row r="32" spans="1:13" x14ac:dyDescent="0.25">
      <c r="A32" s="2">
        <v>46283</v>
      </c>
      <c r="B32" s="1" t="str">
        <f ca="1">IF(Información1[[#This Row],[Fecha]]='Ajuste de fechas'!$A$2,"Día actual","Día anterior")</f>
        <v>Día anterior</v>
      </c>
      <c r="C32" t="s">
        <v>51</v>
      </c>
      <c r="D32" t="s">
        <v>52</v>
      </c>
      <c r="E32" t="s">
        <v>120</v>
      </c>
      <c r="F32" t="s">
        <v>45</v>
      </c>
      <c r="G32" t="s">
        <v>121</v>
      </c>
      <c r="H32" t="s">
        <v>46</v>
      </c>
      <c r="I32" t="s">
        <v>7</v>
      </c>
      <c r="J32" t="s">
        <v>30</v>
      </c>
      <c r="K32" t="s">
        <v>53</v>
      </c>
      <c r="L32" t="s">
        <v>31</v>
      </c>
      <c r="M32">
        <v>1</v>
      </c>
    </row>
    <row r="33" spans="1:13" x14ac:dyDescent="0.25">
      <c r="A33" s="2">
        <v>46283</v>
      </c>
      <c r="B33" s="1" t="str">
        <f ca="1">IF(Información1[[#This Row],[Fecha]]='Ajuste de fechas'!$A$2,"Día actual","Día anterior")</f>
        <v>Día anterior</v>
      </c>
      <c r="C33" t="s">
        <v>51</v>
      </c>
      <c r="D33" t="s">
        <v>52</v>
      </c>
      <c r="E33" t="s">
        <v>122</v>
      </c>
      <c r="F33" t="s">
        <v>54</v>
      </c>
      <c r="G33" t="s">
        <v>77</v>
      </c>
      <c r="H33" t="s">
        <v>46</v>
      </c>
      <c r="I33" t="s">
        <v>7</v>
      </c>
      <c r="J33" t="s">
        <v>30</v>
      </c>
      <c r="K33" t="s">
        <v>53</v>
      </c>
      <c r="L33" t="s">
        <v>31</v>
      </c>
      <c r="M33">
        <v>1</v>
      </c>
    </row>
    <row r="34" spans="1:13" x14ac:dyDescent="0.25">
      <c r="A34" s="2">
        <v>46283</v>
      </c>
      <c r="B34" s="1" t="str">
        <f ca="1">IF(Información1[[#This Row],[Fecha]]='Ajuste de fechas'!$A$2,"Día actual","Día anterior")</f>
        <v>Día anterior</v>
      </c>
      <c r="C34" t="s">
        <v>51</v>
      </c>
      <c r="D34" t="s">
        <v>52</v>
      </c>
      <c r="E34" t="s">
        <v>128</v>
      </c>
      <c r="F34" t="s">
        <v>129</v>
      </c>
      <c r="G34" t="s">
        <v>130</v>
      </c>
      <c r="H34" t="s">
        <v>46</v>
      </c>
      <c r="I34" t="s">
        <v>7</v>
      </c>
      <c r="J34" t="s">
        <v>30</v>
      </c>
      <c r="K34" t="s">
        <v>53</v>
      </c>
      <c r="L34" t="s">
        <v>31</v>
      </c>
      <c r="M34">
        <v>1</v>
      </c>
    </row>
    <row r="35" spans="1:13" x14ac:dyDescent="0.25">
      <c r="A35" s="2">
        <v>46283</v>
      </c>
      <c r="B35" s="1" t="str">
        <f ca="1">IF(Información1[[#This Row],[Fecha]]='Ajuste de fechas'!$A$2,"Día actual","Día anterior")</f>
        <v>Día anterior</v>
      </c>
      <c r="C35" t="s">
        <v>47</v>
      </c>
      <c r="D35" t="s">
        <v>48</v>
      </c>
      <c r="E35" t="s">
        <v>100</v>
      </c>
      <c r="F35" t="s">
        <v>54</v>
      </c>
      <c r="G35" t="s">
        <v>72</v>
      </c>
      <c r="H35" t="s">
        <v>46</v>
      </c>
      <c r="I35" t="s">
        <v>7</v>
      </c>
      <c r="J35" t="s">
        <v>30</v>
      </c>
      <c r="K35" t="s">
        <v>49</v>
      </c>
      <c r="L35" t="s">
        <v>31</v>
      </c>
      <c r="M35">
        <v>1</v>
      </c>
    </row>
    <row r="36" spans="1:13" x14ac:dyDescent="0.25">
      <c r="A36" s="2">
        <v>46283</v>
      </c>
      <c r="B36" s="1" t="str">
        <f ca="1">IF(Información1[[#This Row],[Fecha]]='Ajuste de fechas'!$A$2,"Día actual","Día anterior")</f>
        <v>Día anterior</v>
      </c>
      <c r="C36" t="s">
        <v>47</v>
      </c>
      <c r="D36" t="s">
        <v>48</v>
      </c>
      <c r="E36" t="s">
        <v>100</v>
      </c>
      <c r="F36" t="s">
        <v>15</v>
      </c>
      <c r="G36" t="s">
        <v>101</v>
      </c>
      <c r="H36" t="s">
        <v>46</v>
      </c>
      <c r="I36" t="s">
        <v>7</v>
      </c>
      <c r="J36" t="s">
        <v>34</v>
      </c>
      <c r="K36" t="s">
        <v>49</v>
      </c>
      <c r="L36" t="s">
        <v>31</v>
      </c>
      <c r="M36">
        <v>1</v>
      </c>
    </row>
    <row r="37" spans="1:13" x14ac:dyDescent="0.25">
      <c r="A37" s="2">
        <v>46283</v>
      </c>
      <c r="B37" s="1" t="str">
        <f ca="1">IF(Información1[[#This Row],[Fecha]]='Ajuste de fechas'!$A$2,"Día actual","Día anterior")</f>
        <v>Día anterior</v>
      </c>
      <c r="C37" t="s">
        <v>47</v>
      </c>
      <c r="D37" t="s">
        <v>48</v>
      </c>
      <c r="E37" t="s">
        <v>104</v>
      </c>
      <c r="F37" t="s">
        <v>15</v>
      </c>
      <c r="G37" t="s">
        <v>76</v>
      </c>
      <c r="H37" t="s">
        <v>46</v>
      </c>
      <c r="I37" t="s">
        <v>7</v>
      </c>
      <c r="J37" t="s">
        <v>34</v>
      </c>
      <c r="K37" t="s">
        <v>49</v>
      </c>
      <c r="L37" t="s">
        <v>31</v>
      </c>
      <c r="M37">
        <v>1</v>
      </c>
    </row>
    <row r="38" spans="1:13" x14ac:dyDescent="0.25">
      <c r="A38" s="2">
        <v>46283</v>
      </c>
      <c r="B38" s="1" t="str">
        <f ca="1">IF(Información1[[#This Row],[Fecha]]='Ajuste de fechas'!$A$2,"Día actual","Día anterior")</f>
        <v>Día anterior</v>
      </c>
      <c r="C38" t="s">
        <v>47</v>
      </c>
      <c r="D38" t="s">
        <v>48</v>
      </c>
      <c r="E38" t="s">
        <v>103</v>
      </c>
      <c r="F38" t="s">
        <v>18</v>
      </c>
      <c r="G38" t="s">
        <v>75</v>
      </c>
      <c r="H38" t="s">
        <v>46</v>
      </c>
      <c r="I38" t="s">
        <v>7</v>
      </c>
      <c r="J38" t="s">
        <v>35</v>
      </c>
      <c r="K38" t="s">
        <v>49</v>
      </c>
      <c r="L38" t="s">
        <v>31</v>
      </c>
      <c r="M38">
        <v>1</v>
      </c>
    </row>
    <row r="39" spans="1:13" x14ac:dyDescent="0.25">
      <c r="A39" s="2">
        <v>46283</v>
      </c>
      <c r="B39" s="1" t="str">
        <f ca="1">IF(Información1[[#This Row],[Fecha]]='Ajuste de fechas'!$A$2,"Día actual","Día anterior")</f>
        <v>Día anterior</v>
      </c>
      <c r="C39" t="s">
        <v>47</v>
      </c>
      <c r="D39" t="s">
        <v>55</v>
      </c>
      <c r="E39" t="s">
        <v>81</v>
      </c>
      <c r="F39" t="s">
        <v>15</v>
      </c>
      <c r="G39" t="s">
        <v>82</v>
      </c>
      <c r="H39" t="s">
        <v>46</v>
      </c>
      <c r="I39" t="s">
        <v>7</v>
      </c>
      <c r="J39" t="s">
        <v>34</v>
      </c>
      <c r="K39" t="s">
        <v>49</v>
      </c>
      <c r="L39" t="s">
        <v>31</v>
      </c>
      <c r="M39">
        <v>1</v>
      </c>
    </row>
    <row r="40" spans="1:13" x14ac:dyDescent="0.25">
      <c r="A40" s="2">
        <v>46283</v>
      </c>
      <c r="B40" s="1" t="str">
        <f ca="1">IF(Información1[[#This Row],[Fecha]]='Ajuste de fechas'!$A$2,"Día actual","Día anterior")</f>
        <v>Día anterior</v>
      </c>
      <c r="C40" t="s">
        <v>47</v>
      </c>
      <c r="D40" t="s">
        <v>55</v>
      </c>
      <c r="E40" t="s">
        <v>85</v>
      </c>
      <c r="F40" t="s">
        <v>45</v>
      </c>
      <c r="G40" t="s">
        <v>86</v>
      </c>
      <c r="H40" t="s">
        <v>46</v>
      </c>
      <c r="I40" t="s">
        <v>7</v>
      </c>
      <c r="J40" t="s">
        <v>30</v>
      </c>
      <c r="K40" t="s">
        <v>49</v>
      </c>
      <c r="L40" t="s">
        <v>31</v>
      </c>
      <c r="M40">
        <v>1</v>
      </c>
    </row>
    <row r="41" spans="1:13" x14ac:dyDescent="0.25">
      <c r="A41" s="2">
        <v>46283</v>
      </c>
      <c r="B41" s="1" t="str">
        <f ca="1">IF(Información1[[#This Row],[Fecha]]='Ajuste de fechas'!$A$2,"Día actual","Día anterior")</f>
        <v>Día anterior</v>
      </c>
      <c r="C41" t="s">
        <v>47</v>
      </c>
      <c r="D41" t="s">
        <v>48</v>
      </c>
      <c r="E41" t="s">
        <v>102</v>
      </c>
      <c r="F41" t="s">
        <v>22</v>
      </c>
      <c r="G41" t="s">
        <v>92</v>
      </c>
      <c r="H41" t="s">
        <v>46</v>
      </c>
      <c r="I41" t="s">
        <v>10</v>
      </c>
      <c r="J41" t="s">
        <v>30</v>
      </c>
      <c r="K41" t="s">
        <v>50</v>
      </c>
      <c r="L41" t="s">
        <v>31</v>
      </c>
      <c r="M41">
        <v>1</v>
      </c>
    </row>
    <row r="42" spans="1:13" x14ac:dyDescent="0.25">
      <c r="A42" s="2">
        <v>46283</v>
      </c>
      <c r="B42" s="1" t="str">
        <f ca="1">IF(Información1[[#This Row],[Fecha]]='Ajuste de fechas'!$A$2,"Día actual","Día anterior")</f>
        <v>Día anterior</v>
      </c>
      <c r="C42" t="s">
        <v>47</v>
      </c>
      <c r="D42" t="s">
        <v>48</v>
      </c>
      <c r="E42" t="s">
        <v>102</v>
      </c>
      <c r="F42" t="s">
        <v>17</v>
      </c>
      <c r="G42" t="s">
        <v>92</v>
      </c>
      <c r="H42" t="s">
        <v>46</v>
      </c>
      <c r="I42" t="s">
        <v>10</v>
      </c>
      <c r="J42" t="s">
        <v>30</v>
      </c>
      <c r="K42" t="s">
        <v>50</v>
      </c>
      <c r="L42" t="s">
        <v>31</v>
      </c>
      <c r="M42">
        <v>1</v>
      </c>
    </row>
    <row r="43" spans="1:13" x14ac:dyDescent="0.25">
      <c r="A43" s="2">
        <v>46283</v>
      </c>
      <c r="B43" s="1" t="str">
        <f ca="1">IF(Información1[[#This Row],[Fecha]]='Ajuste de fechas'!$A$2,"Día actual","Día anterior")</f>
        <v>Día anterior</v>
      </c>
      <c r="C43" t="s">
        <v>47</v>
      </c>
      <c r="D43" t="s">
        <v>55</v>
      </c>
      <c r="E43" t="s">
        <v>79</v>
      </c>
      <c r="F43" t="s">
        <v>15</v>
      </c>
      <c r="G43" t="s">
        <v>80</v>
      </c>
      <c r="H43" t="s">
        <v>46</v>
      </c>
      <c r="I43" t="s">
        <v>7</v>
      </c>
      <c r="J43" t="s">
        <v>34</v>
      </c>
      <c r="K43" t="s">
        <v>49</v>
      </c>
      <c r="L43" t="s">
        <v>31</v>
      </c>
      <c r="M43">
        <v>1</v>
      </c>
    </row>
    <row r="44" spans="1:13" x14ac:dyDescent="0.25">
      <c r="A44" s="2">
        <v>46283</v>
      </c>
      <c r="B44" s="1" t="str">
        <f ca="1">IF(Información1[[#This Row],[Fecha]]='Ajuste de fechas'!$A$2,"Día actual","Día anterior")</f>
        <v>Día anterior</v>
      </c>
      <c r="C44" t="s">
        <v>105</v>
      </c>
      <c r="D44" t="s">
        <v>106</v>
      </c>
      <c r="E44" t="s">
        <v>107</v>
      </c>
      <c r="F44" t="s">
        <v>65</v>
      </c>
      <c r="G44" t="s">
        <v>90</v>
      </c>
      <c r="H44" t="s">
        <v>46</v>
      </c>
      <c r="I44" t="s">
        <v>7</v>
      </c>
      <c r="J44" t="s">
        <v>30</v>
      </c>
      <c r="K44" t="s">
        <v>108</v>
      </c>
      <c r="L44" t="s">
        <v>31</v>
      </c>
      <c r="M44">
        <v>1</v>
      </c>
    </row>
    <row r="45" spans="1:13" x14ac:dyDescent="0.25">
      <c r="A45" s="2">
        <v>46283</v>
      </c>
      <c r="B45" s="1" t="str">
        <f ca="1">IF(Información1[[#This Row],[Fecha]]='Ajuste de fechas'!$A$2,"Día actual","Día anterior")</f>
        <v>Día anterior</v>
      </c>
      <c r="C45" t="s">
        <v>47</v>
      </c>
      <c r="D45" t="s">
        <v>48</v>
      </c>
      <c r="E45" t="s">
        <v>97</v>
      </c>
      <c r="F45" t="s">
        <v>15</v>
      </c>
      <c r="G45" t="s">
        <v>96</v>
      </c>
      <c r="H45" t="s">
        <v>46</v>
      </c>
      <c r="I45" t="s">
        <v>7</v>
      </c>
      <c r="J45" t="s">
        <v>34</v>
      </c>
      <c r="K45" t="s">
        <v>49</v>
      </c>
      <c r="L45" t="s">
        <v>31</v>
      </c>
      <c r="M45">
        <v>1</v>
      </c>
    </row>
    <row r="46" spans="1:13" x14ac:dyDescent="0.25">
      <c r="A46" s="2">
        <v>46283</v>
      </c>
      <c r="B46" s="1" t="str">
        <f ca="1">IF(Información1[[#This Row],[Fecha]]='Ajuste de fechas'!$A$2,"Día actual","Día anterior")</f>
        <v>Día anterior</v>
      </c>
      <c r="C46" t="s">
        <v>47</v>
      </c>
      <c r="D46" t="s">
        <v>48</v>
      </c>
      <c r="E46" t="s">
        <v>98</v>
      </c>
      <c r="F46" t="s">
        <v>15</v>
      </c>
      <c r="G46" t="s">
        <v>99</v>
      </c>
      <c r="H46" t="s">
        <v>46</v>
      </c>
      <c r="I46" t="s">
        <v>7</v>
      </c>
      <c r="J46" t="s">
        <v>34</v>
      </c>
      <c r="K46" t="s">
        <v>49</v>
      </c>
      <c r="L46" t="s">
        <v>31</v>
      </c>
      <c r="M46">
        <v>1</v>
      </c>
    </row>
    <row r="47" spans="1:13" x14ac:dyDescent="0.25">
      <c r="A47" s="2">
        <v>46283</v>
      </c>
      <c r="B47" s="1" t="str">
        <f ca="1">IF(Información1[[#This Row],[Fecha]]='Ajuste de fechas'!$A$2,"Día actual","Día anterior")</f>
        <v>Día anterior</v>
      </c>
      <c r="C47" t="s">
        <v>47</v>
      </c>
      <c r="D47" t="s">
        <v>48</v>
      </c>
      <c r="E47" t="s">
        <v>93</v>
      </c>
      <c r="F47" t="s">
        <v>17</v>
      </c>
      <c r="G47" t="s">
        <v>94</v>
      </c>
      <c r="H47" t="s">
        <v>46</v>
      </c>
      <c r="I47" t="s">
        <v>7</v>
      </c>
      <c r="J47" t="s">
        <v>30</v>
      </c>
      <c r="K47" t="s">
        <v>49</v>
      </c>
      <c r="L47" t="s">
        <v>33</v>
      </c>
      <c r="M47">
        <v>1</v>
      </c>
    </row>
    <row r="48" spans="1:13" x14ac:dyDescent="0.25">
      <c r="A48" s="2">
        <v>46283</v>
      </c>
      <c r="B48" s="1" t="str">
        <f ca="1">IF(Información1[[#This Row],[Fecha]]='Ajuste de fechas'!$A$2,"Día actual","Día anterior")</f>
        <v>Día anterior</v>
      </c>
      <c r="C48" t="s">
        <v>47</v>
      </c>
      <c r="D48" t="s">
        <v>55</v>
      </c>
      <c r="E48" t="s">
        <v>83</v>
      </c>
      <c r="F48" t="s">
        <v>17</v>
      </c>
      <c r="G48" t="s">
        <v>84</v>
      </c>
      <c r="H48" t="s">
        <v>46</v>
      </c>
      <c r="I48" t="s">
        <v>7</v>
      </c>
      <c r="J48" t="s">
        <v>30</v>
      </c>
      <c r="K48" t="s">
        <v>49</v>
      </c>
      <c r="L48" t="s">
        <v>33</v>
      </c>
      <c r="M48">
        <v>1</v>
      </c>
    </row>
    <row r="49" spans="1:13" x14ac:dyDescent="0.25">
      <c r="A49" s="2">
        <v>46283</v>
      </c>
      <c r="B49" s="1" t="str">
        <f ca="1">IF(Información1[[#This Row],[Fecha]]='Ajuste de fechas'!$A$2,"Día actual","Día anterior")</f>
        <v>Día anterior</v>
      </c>
      <c r="C49" t="s">
        <v>47</v>
      </c>
      <c r="D49" t="s">
        <v>48</v>
      </c>
      <c r="E49" t="s">
        <v>95</v>
      </c>
      <c r="F49" t="s">
        <v>42</v>
      </c>
      <c r="G49" t="s">
        <v>96</v>
      </c>
      <c r="H49" t="s">
        <v>46</v>
      </c>
      <c r="I49" t="s">
        <v>7</v>
      </c>
      <c r="J49" t="s">
        <v>30</v>
      </c>
      <c r="K49" t="s">
        <v>49</v>
      </c>
      <c r="L49" t="s">
        <v>33</v>
      </c>
      <c r="M49">
        <v>1</v>
      </c>
    </row>
    <row r="50" spans="1:13" x14ac:dyDescent="0.25">
      <c r="A50" s="2">
        <v>46283</v>
      </c>
      <c r="B50" s="1" t="str">
        <f ca="1">IF(Información1[[#This Row],[Fecha]]='Ajuste de fechas'!$A$2,"Día actual","Día anterior")</f>
        <v>Día anterior</v>
      </c>
      <c r="C50" t="s">
        <v>66</v>
      </c>
      <c r="D50" t="s">
        <v>67</v>
      </c>
      <c r="E50" t="s">
        <v>87</v>
      </c>
      <c r="F50" t="s">
        <v>45</v>
      </c>
      <c r="G50" t="s">
        <v>88</v>
      </c>
      <c r="H50" t="s">
        <v>46</v>
      </c>
      <c r="I50" t="s">
        <v>7</v>
      </c>
      <c r="J50" t="s">
        <v>30</v>
      </c>
      <c r="K50" t="s">
        <v>68</v>
      </c>
      <c r="L50" t="s">
        <v>31</v>
      </c>
      <c r="M50">
        <v>1</v>
      </c>
    </row>
    <row r="51" spans="1:13" x14ac:dyDescent="0.25">
      <c r="A51" s="2">
        <v>46283</v>
      </c>
      <c r="B51" s="1" t="str">
        <f ca="1">IF(Información1[[#This Row],[Fecha]]='Ajuste de fechas'!$A$2,"Día actual","Día anterior")</f>
        <v>Día anterior</v>
      </c>
      <c r="C51" t="s">
        <v>66</v>
      </c>
      <c r="D51" t="s">
        <v>67</v>
      </c>
      <c r="E51" t="s">
        <v>89</v>
      </c>
      <c r="F51" t="s">
        <v>65</v>
      </c>
      <c r="G51" t="s">
        <v>90</v>
      </c>
      <c r="H51" t="s">
        <v>46</v>
      </c>
      <c r="I51" t="s">
        <v>7</v>
      </c>
      <c r="J51" t="s">
        <v>30</v>
      </c>
      <c r="K51" t="s">
        <v>68</v>
      </c>
      <c r="L51" t="s">
        <v>33</v>
      </c>
      <c r="M51">
        <v>1</v>
      </c>
    </row>
    <row r="52" spans="1:13" x14ac:dyDescent="0.25">
      <c r="A52" s="2">
        <v>46283</v>
      </c>
      <c r="B52" s="1" t="str">
        <f ca="1">IF(Información1[[#This Row],[Fecha]]='Ajuste de fechas'!$A$2,"Día actual","Día anterior")</f>
        <v>Día anterior</v>
      </c>
      <c r="C52" t="s">
        <v>66</v>
      </c>
      <c r="D52" t="s">
        <v>67</v>
      </c>
      <c r="E52" t="s">
        <v>91</v>
      </c>
      <c r="F52" t="s">
        <v>22</v>
      </c>
      <c r="G52" t="s">
        <v>92</v>
      </c>
      <c r="H52" t="s">
        <v>46</v>
      </c>
      <c r="I52" t="s">
        <v>7</v>
      </c>
      <c r="J52" t="s">
        <v>30</v>
      </c>
      <c r="K52" t="s">
        <v>68</v>
      </c>
      <c r="L52" t="s">
        <v>33</v>
      </c>
      <c r="M52">
        <v>1</v>
      </c>
    </row>
    <row r="53" spans="1:13" x14ac:dyDescent="0.25">
      <c r="A53" s="2">
        <v>46286</v>
      </c>
      <c r="B53" s="1" t="str">
        <f ca="1">IF(Información1[[#This Row],[Fecha]]='Ajuste de fechas'!$A$2,"Día actual","Día anterior")</f>
        <v>Día actual</v>
      </c>
      <c r="C53" t="s">
        <v>47</v>
      </c>
      <c r="D53" t="s">
        <v>55</v>
      </c>
      <c r="E53" t="s">
        <v>147</v>
      </c>
      <c r="F53" t="s">
        <v>18</v>
      </c>
      <c r="G53" t="s">
        <v>148</v>
      </c>
      <c r="H53" t="s">
        <v>46</v>
      </c>
      <c r="I53" t="s">
        <v>7</v>
      </c>
      <c r="J53" t="s">
        <v>35</v>
      </c>
      <c r="K53" t="s">
        <v>49</v>
      </c>
      <c r="L53" t="s">
        <v>31</v>
      </c>
      <c r="M53">
        <v>1</v>
      </c>
    </row>
    <row r="54" spans="1:13" x14ac:dyDescent="0.25">
      <c r="A54" s="2">
        <v>46286</v>
      </c>
      <c r="B54" s="1" t="str">
        <f ca="1">IF(Información1[[#This Row],[Fecha]]='Ajuste de fechas'!$A$2,"Día actual","Día anterior")</f>
        <v>Día actual</v>
      </c>
      <c r="C54" t="s">
        <v>47</v>
      </c>
      <c r="D54" t="s">
        <v>55</v>
      </c>
      <c r="E54" t="s">
        <v>149</v>
      </c>
      <c r="F54" t="s">
        <v>15</v>
      </c>
      <c r="G54" t="s">
        <v>150</v>
      </c>
      <c r="H54" t="s">
        <v>46</v>
      </c>
      <c r="I54" t="s">
        <v>7</v>
      </c>
      <c r="J54" t="s">
        <v>34</v>
      </c>
      <c r="K54" t="s">
        <v>49</v>
      </c>
      <c r="L54" t="s">
        <v>31</v>
      </c>
      <c r="M54">
        <v>1</v>
      </c>
    </row>
    <row r="55" spans="1:13" x14ac:dyDescent="0.25">
      <c r="A55" s="2">
        <v>46286</v>
      </c>
      <c r="B55" s="1" t="str">
        <f ca="1">IF(Información1[[#This Row],[Fecha]]='Ajuste de fechas'!$A$2,"Día actual","Día anterior")</f>
        <v>Día actual</v>
      </c>
      <c r="C55" t="s">
        <v>47</v>
      </c>
      <c r="D55" t="s">
        <v>55</v>
      </c>
      <c r="E55" t="s">
        <v>151</v>
      </c>
      <c r="F55" t="s">
        <v>15</v>
      </c>
      <c r="G55" t="s">
        <v>152</v>
      </c>
      <c r="H55" t="s">
        <v>46</v>
      </c>
      <c r="I55" t="s">
        <v>7</v>
      </c>
      <c r="J55" t="s">
        <v>34</v>
      </c>
      <c r="K55" t="s">
        <v>49</v>
      </c>
      <c r="L55" t="s">
        <v>31</v>
      </c>
      <c r="M55">
        <v>1</v>
      </c>
    </row>
    <row r="56" spans="1:13" x14ac:dyDescent="0.25">
      <c r="A56" s="2">
        <v>46286</v>
      </c>
      <c r="B56" s="1" t="str">
        <f ca="1">IF(Información1[[#This Row],[Fecha]]='Ajuste de fechas'!$A$2,"Día actual","Día anterior")</f>
        <v>Día actual</v>
      </c>
      <c r="C56" t="s">
        <v>47</v>
      </c>
      <c r="D56" t="s">
        <v>55</v>
      </c>
      <c r="E56" t="s">
        <v>153</v>
      </c>
      <c r="F56" t="s">
        <v>54</v>
      </c>
      <c r="G56" t="s">
        <v>154</v>
      </c>
      <c r="H56" t="s">
        <v>46</v>
      </c>
      <c r="I56" t="s">
        <v>7</v>
      </c>
      <c r="J56" t="s">
        <v>30</v>
      </c>
      <c r="K56" t="s">
        <v>49</v>
      </c>
      <c r="L56" t="s">
        <v>31</v>
      </c>
      <c r="M56">
        <v>1</v>
      </c>
    </row>
    <row r="57" spans="1:13" x14ac:dyDescent="0.25">
      <c r="A57" s="2">
        <v>46286</v>
      </c>
      <c r="B57" s="1" t="str">
        <f ca="1">IF(Información1[[#This Row],[Fecha]]='Ajuste de fechas'!$A$2,"Día actual","Día anterior")</f>
        <v>Día actual</v>
      </c>
      <c r="C57" t="s">
        <v>47</v>
      </c>
      <c r="D57" t="s">
        <v>55</v>
      </c>
      <c r="E57" t="s">
        <v>155</v>
      </c>
      <c r="F57" t="s">
        <v>17</v>
      </c>
      <c r="G57" t="s">
        <v>156</v>
      </c>
      <c r="H57" t="s">
        <v>46</v>
      </c>
      <c r="I57" t="s">
        <v>7</v>
      </c>
      <c r="J57" t="s">
        <v>30</v>
      </c>
      <c r="K57" t="s">
        <v>49</v>
      </c>
      <c r="L57" t="s">
        <v>31</v>
      </c>
      <c r="M57">
        <v>1</v>
      </c>
    </row>
    <row r="58" spans="1:13" x14ac:dyDescent="0.25">
      <c r="A58" s="2">
        <v>46286</v>
      </c>
      <c r="B58" s="1" t="str">
        <f ca="1">IF(Información1[[#This Row],[Fecha]]='Ajuste de fechas'!$A$2,"Día actual","Día anterior")</f>
        <v>Día actual</v>
      </c>
      <c r="C58" t="s">
        <v>47</v>
      </c>
      <c r="D58" t="s">
        <v>55</v>
      </c>
      <c r="E58" t="s">
        <v>157</v>
      </c>
      <c r="F58" t="s">
        <v>42</v>
      </c>
      <c r="G58" t="s">
        <v>158</v>
      </c>
      <c r="H58" t="s">
        <v>46</v>
      </c>
      <c r="I58" t="s">
        <v>7</v>
      </c>
      <c r="J58" t="s">
        <v>30</v>
      </c>
      <c r="K58" t="s">
        <v>49</v>
      </c>
      <c r="L58" t="s">
        <v>31</v>
      </c>
      <c r="M58">
        <v>1</v>
      </c>
    </row>
    <row r="59" spans="1:13" x14ac:dyDescent="0.25">
      <c r="A59" s="2">
        <v>46286</v>
      </c>
      <c r="B59" s="1" t="str">
        <f ca="1">IF(Información1[[#This Row],[Fecha]]='Ajuste de fechas'!$A$2,"Día actual","Día anterior")</f>
        <v>Día actual</v>
      </c>
      <c r="C59" t="s">
        <v>47</v>
      </c>
      <c r="D59" t="s">
        <v>55</v>
      </c>
      <c r="E59" t="s">
        <v>159</v>
      </c>
      <c r="F59" t="s">
        <v>17</v>
      </c>
      <c r="G59" t="s">
        <v>160</v>
      </c>
      <c r="H59" t="s">
        <v>46</v>
      </c>
      <c r="I59" t="s">
        <v>7</v>
      </c>
      <c r="J59" t="s">
        <v>30</v>
      </c>
      <c r="K59" t="s">
        <v>49</v>
      </c>
      <c r="L59" t="s">
        <v>33</v>
      </c>
      <c r="M59">
        <v>1</v>
      </c>
    </row>
    <row r="60" spans="1:13" x14ac:dyDescent="0.25">
      <c r="A60" s="2">
        <v>46286</v>
      </c>
      <c r="B60" s="1" t="str">
        <f ca="1">IF(Información1[[#This Row],[Fecha]]='Ajuste de fechas'!$A$2,"Día actual","Día anterior")</f>
        <v>Día actual</v>
      </c>
      <c r="C60" t="s">
        <v>66</v>
      </c>
      <c r="D60" t="s">
        <v>67</v>
      </c>
      <c r="E60" t="s">
        <v>161</v>
      </c>
      <c r="F60" t="s">
        <v>18</v>
      </c>
      <c r="G60" t="s">
        <v>162</v>
      </c>
      <c r="H60" t="s">
        <v>46</v>
      </c>
      <c r="I60" t="s">
        <v>7</v>
      </c>
      <c r="J60" t="s">
        <v>35</v>
      </c>
      <c r="K60" t="s">
        <v>68</v>
      </c>
      <c r="L60" t="s">
        <v>31</v>
      </c>
      <c r="M60">
        <v>1</v>
      </c>
    </row>
    <row r="61" spans="1:13" x14ac:dyDescent="0.25">
      <c r="A61" s="2">
        <v>46286</v>
      </c>
      <c r="B61" s="1" t="str">
        <f ca="1">IF(Información1[[#This Row],[Fecha]]='Ajuste de fechas'!$A$2,"Día actual","Día anterior")</f>
        <v>Día actual</v>
      </c>
      <c r="C61" t="s">
        <v>66</v>
      </c>
      <c r="D61" t="s">
        <v>67</v>
      </c>
      <c r="E61" t="s">
        <v>163</v>
      </c>
      <c r="F61" t="s">
        <v>18</v>
      </c>
      <c r="G61" t="s">
        <v>73</v>
      </c>
      <c r="H61" t="s">
        <v>46</v>
      </c>
      <c r="I61" t="s">
        <v>7</v>
      </c>
      <c r="J61" t="s">
        <v>35</v>
      </c>
      <c r="K61" t="s">
        <v>68</v>
      </c>
      <c r="L61" t="s">
        <v>31</v>
      </c>
      <c r="M61">
        <v>1</v>
      </c>
    </row>
    <row r="62" spans="1:13" x14ac:dyDescent="0.25">
      <c r="A62" s="2">
        <v>46286</v>
      </c>
      <c r="B62" s="1" t="str">
        <f ca="1">IF(Información1[[#This Row],[Fecha]]='Ajuste de fechas'!$A$2,"Día actual","Día anterior")</f>
        <v>Día actual</v>
      </c>
      <c r="C62" t="s">
        <v>66</v>
      </c>
      <c r="D62" t="s">
        <v>67</v>
      </c>
      <c r="E62" t="s">
        <v>147</v>
      </c>
      <c r="F62" t="s">
        <v>18</v>
      </c>
      <c r="G62" t="s">
        <v>148</v>
      </c>
      <c r="H62" t="s">
        <v>46</v>
      </c>
      <c r="I62" t="s">
        <v>7</v>
      </c>
      <c r="J62" t="s">
        <v>35</v>
      </c>
      <c r="K62" t="s">
        <v>68</v>
      </c>
      <c r="L62" t="s">
        <v>31</v>
      </c>
      <c r="M62">
        <v>1</v>
      </c>
    </row>
    <row r="63" spans="1:13" x14ac:dyDescent="0.25">
      <c r="A63" s="2">
        <v>46286</v>
      </c>
      <c r="B63" s="1" t="str">
        <f ca="1">IF(Información1[[#This Row],[Fecha]]='Ajuste de fechas'!$A$2,"Día actual","Día anterior")</f>
        <v>Día actual</v>
      </c>
      <c r="C63" t="s">
        <v>66</v>
      </c>
      <c r="D63" t="s">
        <v>67</v>
      </c>
      <c r="E63" t="s">
        <v>164</v>
      </c>
      <c r="F63" t="s">
        <v>45</v>
      </c>
      <c r="G63" t="s">
        <v>165</v>
      </c>
      <c r="H63" t="s">
        <v>46</v>
      </c>
      <c r="I63" t="s">
        <v>7</v>
      </c>
      <c r="J63" t="s">
        <v>30</v>
      </c>
      <c r="K63" t="s">
        <v>68</v>
      </c>
      <c r="L63" t="s">
        <v>31</v>
      </c>
      <c r="M63">
        <v>1</v>
      </c>
    </row>
    <row r="64" spans="1:13" x14ac:dyDescent="0.25">
      <c r="A64" s="2">
        <v>46286</v>
      </c>
      <c r="B64" s="1" t="str">
        <f ca="1">IF(Información1[[#This Row],[Fecha]]='Ajuste de fechas'!$A$2,"Día actual","Día anterior")</f>
        <v>Día actual</v>
      </c>
      <c r="C64" t="s">
        <v>66</v>
      </c>
      <c r="D64" t="s">
        <v>67</v>
      </c>
      <c r="E64" t="s">
        <v>166</v>
      </c>
      <c r="F64" t="s">
        <v>167</v>
      </c>
      <c r="G64" t="s">
        <v>119</v>
      </c>
      <c r="H64" t="s">
        <v>46</v>
      </c>
      <c r="I64" t="s">
        <v>7</v>
      </c>
      <c r="J64" t="s">
        <v>30</v>
      </c>
      <c r="K64" t="s">
        <v>68</v>
      </c>
      <c r="L64" t="s">
        <v>33</v>
      </c>
      <c r="M64">
        <v>1</v>
      </c>
    </row>
    <row r="65" spans="1:13" x14ac:dyDescent="0.25">
      <c r="A65" s="2">
        <v>46286</v>
      </c>
      <c r="B65" s="1" t="str">
        <f ca="1">IF(Información1[[#This Row],[Fecha]]='Ajuste de fechas'!$A$2,"Día actual","Día anterior")</f>
        <v>Día actual</v>
      </c>
      <c r="C65" t="s">
        <v>66</v>
      </c>
      <c r="D65" t="s">
        <v>67</v>
      </c>
      <c r="E65" t="s">
        <v>159</v>
      </c>
      <c r="F65" t="s">
        <v>17</v>
      </c>
      <c r="G65" t="s">
        <v>160</v>
      </c>
      <c r="H65" t="s">
        <v>46</v>
      </c>
      <c r="I65" t="s">
        <v>7</v>
      </c>
      <c r="J65" t="s">
        <v>30</v>
      </c>
      <c r="K65" t="s">
        <v>68</v>
      </c>
      <c r="L65" t="s">
        <v>33</v>
      </c>
      <c r="M65">
        <v>1</v>
      </c>
    </row>
    <row r="66" spans="1:13" x14ac:dyDescent="0.25">
      <c r="A66" s="2">
        <v>46286</v>
      </c>
      <c r="B66" s="1" t="str">
        <f ca="1">IF(Información1[[#This Row],[Fecha]]='Ajuste de fechas'!$A$2,"Día actual","Día anterior")</f>
        <v>Día actual</v>
      </c>
      <c r="C66" t="s">
        <v>47</v>
      </c>
      <c r="D66" t="s">
        <v>48</v>
      </c>
      <c r="E66" t="s">
        <v>168</v>
      </c>
      <c r="F66" t="s">
        <v>6</v>
      </c>
      <c r="G66" t="s">
        <v>44</v>
      </c>
      <c r="H66" t="s">
        <v>46</v>
      </c>
      <c r="I66" t="s">
        <v>21</v>
      </c>
      <c r="J66" t="s">
        <v>30</v>
      </c>
      <c r="K66" t="s">
        <v>133</v>
      </c>
      <c r="L66" t="s">
        <v>32</v>
      </c>
      <c r="M66">
        <v>1</v>
      </c>
    </row>
    <row r="67" spans="1:13" x14ac:dyDescent="0.25">
      <c r="A67" s="2">
        <v>46286</v>
      </c>
      <c r="B67" s="1" t="str">
        <f ca="1">IF(Información1[[#This Row],[Fecha]]='Ajuste de fechas'!$A$2,"Día actual","Día anterior")</f>
        <v>Día actual</v>
      </c>
      <c r="C67" t="s">
        <v>47</v>
      </c>
      <c r="D67" t="s">
        <v>48</v>
      </c>
      <c r="E67" t="s">
        <v>169</v>
      </c>
      <c r="F67" t="s">
        <v>17</v>
      </c>
      <c r="G67" t="s">
        <v>170</v>
      </c>
      <c r="H67" t="s">
        <v>46</v>
      </c>
      <c r="I67" t="s">
        <v>21</v>
      </c>
      <c r="J67" t="s">
        <v>30</v>
      </c>
      <c r="K67" t="s">
        <v>133</v>
      </c>
      <c r="L67" t="s">
        <v>32</v>
      </c>
      <c r="M67">
        <v>1</v>
      </c>
    </row>
    <row r="68" spans="1:13" x14ac:dyDescent="0.25">
      <c r="A68" s="2">
        <v>46286</v>
      </c>
      <c r="B68" s="1" t="str">
        <f ca="1">IF(Información1[[#This Row],[Fecha]]='Ajuste de fechas'!$A$2,"Día actual","Día anterior")</f>
        <v>Día actual</v>
      </c>
      <c r="C68" t="s">
        <v>47</v>
      </c>
      <c r="D68" t="s">
        <v>48</v>
      </c>
      <c r="E68" t="s">
        <v>171</v>
      </c>
      <c r="F68" t="s">
        <v>15</v>
      </c>
      <c r="G68" t="s">
        <v>101</v>
      </c>
      <c r="H68" t="s">
        <v>46</v>
      </c>
      <c r="I68" t="s">
        <v>7</v>
      </c>
      <c r="J68" t="s">
        <v>34</v>
      </c>
      <c r="K68" t="s">
        <v>49</v>
      </c>
      <c r="L68" t="s">
        <v>31</v>
      </c>
      <c r="M68">
        <v>1</v>
      </c>
    </row>
    <row r="69" spans="1:13" x14ac:dyDescent="0.25">
      <c r="A69" s="2">
        <v>46286</v>
      </c>
      <c r="B69" s="1" t="str">
        <f ca="1">IF(Información1[[#This Row],[Fecha]]='Ajuste de fechas'!$A$2,"Día actual","Día anterior")</f>
        <v>Día actual</v>
      </c>
      <c r="C69" t="s">
        <v>47</v>
      </c>
      <c r="D69" t="s">
        <v>48</v>
      </c>
      <c r="E69" t="s">
        <v>172</v>
      </c>
      <c r="F69" t="s">
        <v>56</v>
      </c>
      <c r="G69" t="s">
        <v>173</v>
      </c>
      <c r="H69" t="s">
        <v>46</v>
      </c>
      <c r="I69" t="s">
        <v>7</v>
      </c>
      <c r="J69" t="s">
        <v>30</v>
      </c>
      <c r="K69" t="s">
        <v>49</v>
      </c>
      <c r="L69" t="s">
        <v>31</v>
      </c>
      <c r="M69">
        <v>1</v>
      </c>
    </row>
    <row r="70" spans="1:13" x14ac:dyDescent="0.25">
      <c r="A70" s="2">
        <v>46286</v>
      </c>
      <c r="B70" s="1" t="str">
        <f ca="1">IF(Información1[[#This Row],[Fecha]]='Ajuste de fechas'!$A$2,"Día actual","Día anterior")</f>
        <v>Día actual</v>
      </c>
      <c r="C70" t="s">
        <v>47</v>
      </c>
      <c r="D70" t="s">
        <v>48</v>
      </c>
      <c r="E70" t="s">
        <v>174</v>
      </c>
      <c r="F70" t="s">
        <v>17</v>
      </c>
      <c r="G70" t="s">
        <v>173</v>
      </c>
      <c r="H70" t="s">
        <v>46</v>
      </c>
      <c r="I70" t="s">
        <v>7</v>
      </c>
      <c r="J70" t="s">
        <v>30</v>
      </c>
      <c r="K70" t="s">
        <v>50</v>
      </c>
      <c r="L70" t="s">
        <v>31</v>
      </c>
      <c r="M70">
        <v>1</v>
      </c>
    </row>
    <row r="71" spans="1:13" x14ac:dyDescent="0.25">
      <c r="A71" s="2">
        <v>46286</v>
      </c>
      <c r="B71" s="1" t="str">
        <f ca="1">IF(Información1[[#This Row],[Fecha]]='Ajuste de fechas'!$A$2,"Día actual","Día anterior")</f>
        <v>Día actual</v>
      </c>
      <c r="C71" t="s">
        <v>47</v>
      </c>
      <c r="D71" t="s">
        <v>48</v>
      </c>
      <c r="E71" t="s">
        <v>175</v>
      </c>
      <c r="F71" t="s">
        <v>20</v>
      </c>
      <c r="G71" t="s">
        <v>176</v>
      </c>
      <c r="H71" t="s">
        <v>46</v>
      </c>
      <c r="I71" t="s">
        <v>7</v>
      </c>
      <c r="J71" t="s">
        <v>20</v>
      </c>
      <c r="K71" t="s">
        <v>49</v>
      </c>
      <c r="L71" t="s">
        <v>40</v>
      </c>
      <c r="M71">
        <v>1</v>
      </c>
    </row>
    <row r="72" spans="1:13" x14ac:dyDescent="0.25">
      <c r="A72" s="2">
        <v>46286</v>
      </c>
      <c r="B72" s="1" t="str">
        <f ca="1">IF(Información1[[#This Row],[Fecha]]='Ajuste de fechas'!$A$2,"Día actual","Día anterior")</f>
        <v>Día actual</v>
      </c>
      <c r="C72" t="s">
        <v>105</v>
      </c>
      <c r="D72" t="s">
        <v>106</v>
      </c>
      <c r="E72" t="s">
        <v>177</v>
      </c>
      <c r="F72" t="s">
        <v>17</v>
      </c>
      <c r="G72" t="s">
        <v>178</v>
      </c>
      <c r="H72" t="s">
        <v>46</v>
      </c>
      <c r="I72" t="s">
        <v>7</v>
      </c>
      <c r="J72" t="s">
        <v>30</v>
      </c>
      <c r="K72" t="s">
        <v>108</v>
      </c>
      <c r="L72" t="s">
        <v>31</v>
      </c>
      <c r="M72">
        <v>1</v>
      </c>
    </row>
    <row r="73" spans="1:13" x14ac:dyDescent="0.25">
      <c r="A73" s="2">
        <v>46286</v>
      </c>
      <c r="B73" s="1" t="str">
        <f ca="1">IF(Información1[[#This Row],[Fecha]]='Ajuste de fechas'!$A$2,"Día actual","Día anterior")</f>
        <v>Día actual</v>
      </c>
      <c r="C73" t="s">
        <v>61</v>
      </c>
      <c r="D73" t="s">
        <v>62</v>
      </c>
      <c r="E73" t="s">
        <v>179</v>
      </c>
      <c r="F73" t="s">
        <v>180</v>
      </c>
      <c r="G73" t="s">
        <v>181</v>
      </c>
      <c r="H73" t="s">
        <v>46</v>
      </c>
      <c r="I73" t="s">
        <v>7</v>
      </c>
      <c r="J73" t="s">
        <v>30</v>
      </c>
      <c r="K73" t="s">
        <v>63</v>
      </c>
      <c r="L73" t="s">
        <v>31</v>
      </c>
      <c r="M73">
        <v>1</v>
      </c>
    </row>
    <row r="74" spans="1:13" x14ac:dyDescent="0.25">
      <c r="A74" s="2">
        <v>46286</v>
      </c>
      <c r="B74" s="1" t="str">
        <f ca="1">IF(Información1[[#This Row],[Fecha]]='Ajuste de fechas'!$A$2,"Día actual","Día anterior")</f>
        <v>Día actual</v>
      </c>
      <c r="C74" t="s">
        <v>61</v>
      </c>
      <c r="D74" t="s">
        <v>62</v>
      </c>
      <c r="E74" t="s">
        <v>182</v>
      </c>
      <c r="F74" t="s">
        <v>17</v>
      </c>
      <c r="G74" t="s">
        <v>160</v>
      </c>
      <c r="H74" t="s">
        <v>46</v>
      </c>
      <c r="I74" t="s">
        <v>7</v>
      </c>
      <c r="J74" t="s">
        <v>30</v>
      </c>
      <c r="K74" t="s">
        <v>63</v>
      </c>
      <c r="L74" t="s">
        <v>31</v>
      </c>
      <c r="M74">
        <v>1</v>
      </c>
    </row>
    <row r="75" spans="1:13" x14ac:dyDescent="0.25">
      <c r="A75" s="2">
        <v>46286</v>
      </c>
      <c r="B75" s="1" t="str">
        <f ca="1">IF(Información1[[#This Row],[Fecha]]='Ajuste de fechas'!$A$2,"Día actual","Día anterior")</f>
        <v>Día actual</v>
      </c>
      <c r="C75" t="s">
        <v>51</v>
      </c>
      <c r="D75" t="s">
        <v>52</v>
      </c>
      <c r="E75" t="s">
        <v>183</v>
      </c>
      <c r="F75" t="s">
        <v>15</v>
      </c>
      <c r="G75" t="s">
        <v>119</v>
      </c>
      <c r="H75" t="s">
        <v>46</v>
      </c>
      <c r="I75" t="s">
        <v>21</v>
      </c>
      <c r="J75" t="s">
        <v>34</v>
      </c>
      <c r="K75" t="s">
        <v>53</v>
      </c>
      <c r="L75" t="s">
        <v>31</v>
      </c>
      <c r="M75">
        <v>1</v>
      </c>
    </row>
    <row r="76" spans="1:13" x14ac:dyDescent="0.25">
      <c r="A76" s="2">
        <v>46286</v>
      </c>
      <c r="B76" s="1" t="str">
        <f ca="1">IF(Información1[[#This Row],[Fecha]]='Ajuste de fechas'!$A$2,"Día actual","Día anterior")</f>
        <v>Día actual</v>
      </c>
      <c r="C76" t="s">
        <v>51</v>
      </c>
      <c r="D76" t="s">
        <v>52</v>
      </c>
      <c r="E76" t="s">
        <v>184</v>
      </c>
      <c r="F76" t="s">
        <v>6</v>
      </c>
      <c r="G76" t="s">
        <v>44</v>
      </c>
      <c r="H76" t="s">
        <v>46</v>
      </c>
      <c r="I76" t="s">
        <v>21</v>
      </c>
      <c r="J76" t="s">
        <v>30</v>
      </c>
      <c r="K76" t="s">
        <v>53</v>
      </c>
      <c r="L76" t="s">
        <v>31</v>
      </c>
      <c r="M76">
        <v>1</v>
      </c>
    </row>
    <row r="77" spans="1:13" x14ac:dyDescent="0.25">
      <c r="A77" s="2">
        <v>46286</v>
      </c>
      <c r="B77" s="1" t="str">
        <f ca="1">IF(Información1[[#This Row],[Fecha]]='Ajuste de fechas'!$A$2,"Día actual","Día anterior")</f>
        <v>Día actual</v>
      </c>
      <c r="C77" t="s">
        <v>51</v>
      </c>
      <c r="D77" t="s">
        <v>52</v>
      </c>
      <c r="E77" t="s">
        <v>185</v>
      </c>
      <c r="F77" t="s">
        <v>59</v>
      </c>
      <c r="G77" t="s">
        <v>186</v>
      </c>
      <c r="H77" t="s">
        <v>46</v>
      </c>
      <c r="I77" t="s">
        <v>7</v>
      </c>
      <c r="J77" t="s">
        <v>30</v>
      </c>
      <c r="K77" t="s">
        <v>53</v>
      </c>
      <c r="L77" t="s">
        <v>31</v>
      </c>
      <c r="M77">
        <v>1</v>
      </c>
    </row>
    <row r="78" spans="1:13" x14ac:dyDescent="0.25">
      <c r="A78" s="2">
        <v>46286</v>
      </c>
      <c r="B78" s="1" t="str">
        <f ca="1">IF(Información1[[#This Row],[Fecha]]='Ajuste de fechas'!$A$2,"Día actual","Día anterior")</f>
        <v>Día actual</v>
      </c>
      <c r="C78" t="s">
        <v>51</v>
      </c>
      <c r="D78" t="s">
        <v>52</v>
      </c>
      <c r="E78" t="s">
        <v>187</v>
      </c>
      <c r="F78" t="s">
        <v>15</v>
      </c>
      <c r="G78" t="s">
        <v>188</v>
      </c>
      <c r="H78" t="s">
        <v>46</v>
      </c>
      <c r="I78" t="s">
        <v>21</v>
      </c>
      <c r="J78" t="s">
        <v>34</v>
      </c>
      <c r="K78" t="s">
        <v>53</v>
      </c>
      <c r="L78" t="s">
        <v>31</v>
      </c>
      <c r="M78">
        <v>1</v>
      </c>
    </row>
    <row r="79" spans="1:13" x14ac:dyDescent="0.25">
      <c r="A79" s="2">
        <v>46286</v>
      </c>
      <c r="B79" s="1" t="str">
        <f ca="1">IF(Información1[[#This Row],[Fecha]]='Ajuste de fechas'!$A$2,"Día actual","Día anterior")</f>
        <v>Día actual</v>
      </c>
      <c r="C79" t="s">
        <v>51</v>
      </c>
      <c r="D79" t="s">
        <v>52</v>
      </c>
      <c r="E79" t="s">
        <v>189</v>
      </c>
      <c r="F79" t="s">
        <v>45</v>
      </c>
      <c r="G79" t="s">
        <v>165</v>
      </c>
      <c r="H79" t="s">
        <v>46</v>
      </c>
      <c r="I79" t="s">
        <v>7</v>
      </c>
      <c r="J79" t="s">
        <v>30</v>
      </c>
      <c r="K79" t="s">
        <v>53</v>
      </c>
      <c r="L79" t="s">
        <v>31</v>
      </c>
      <c r="M79">
        <v>1</v>
      </c>
    </row>
    <row r="80" spans="1:13" x14ac:dyDescent="0.25">
      <c r="A80" s="2">
        <v>46286</v>
      </c>
      <c r="B80" s="1" t="str">
        <f ca="1">IF(Información1[[#This Row],[Fecha]]='Ajuste de fechas'!$A$2,"Día actual","Día anterior")</f>
        <v>Día actual</v>
      </c>
      <c r="C80" t="s">
        <v>51</v>
      </c>
      <c r="D80" t="s">
        <v>52</v>
      </c>
      <c r="E80" t="s">
        <v>190</v>
      </c>
      <c r="F80" t="s">
        <v>15</v>
      </c>
      <c r="G80" t="s">
        <v>191</v>
      </c>
      <c r="H80" t="s">
        <v>46</v>
      </c>
      <c r="I80" t="s">
        <v>7</v>
      </c>
      <c r="J80" t="s">
        <v>34</v>
      </c>
      <c r="K80" t="s">
        <v>53</v>
      </c>
      <c r="L80" t="s">
        <v>31</v>
      </c>
      <c r="M80">
        <v>1</v>
      </c>
    </row>
    <row r="81" spans="1:13" x14ac:dyDescent="0.25">
      <c r="A81" s="2">
        <v>46286</v>
      </c>
      <c r="B81" s="1" t="str">
        <f ca="1">IF(Información1[[#This Row],[Fecha]]='Ajuste de fechas'!$A$2,"Día actual","Día anterior")</f>
        <v>Día actual</v>
      </c>
      <c r="C81" t="s">
        <v>51</v>
      </c>
      <c r="D81" t="s">
        <v>52</v>
      </c>
      <c r="E81" t="s">
        <v>192</v>
      </c>
      <c r="F81" t="s">
        <v>15</v>
      </c>
      <c r="G81" t="s">
        <v>193</v>
      </c>
      <c r="H81" t="s">
        <v>46</v>
      </c>
      <c r="I81" t="s">
        <v>7</v>
      </c>
      <c r="J81" t="s">
        <v>34</v>
      </c>
      <c r="K81" t="s">
        <v>53</v>
      </c>
      <c r="L81" t="s">
        <v>31</v>
      </c>
      <c r="M81">
        <v>1</v>
      </c>
    </row>
    <row r="82" spans="1:13" x14ac:dyDescent="0.25">
      <c r="A82" s="2">
        <v>46286</v>
      </c>
      <c r="B82" s="1" t="str">
        <f ca="1">IF(Información1[[#This Row],[Fecha]]='Ajuste de fechas'!$A$2,"Día actual","Día anterior")</f>
        <v>Día actual</v>
      </c>
      <c r="C82" t="s">
        <v>51</v>
      </c>
      <c r="D82" t="s">
        <v>52</v>
      </c>
      <c r="E82" t="s">
        <v>194</v>
      </c>
      <c r="F82" t="s">
        <v>15</v>
      </c>
      <c r="G82" t="s">
        <v>195</v>
      </c>
      <c r="H82" t="s">
        <v>46</v>
      </c>
      <c r="I82" t="s">
        <v>7</v>
      </c>
      <c r="J82" t="s">
        <v>34</v>
      </c>
      <c r="K82" t="s">
        <v>53</v>
      </c>
      <c r="L82" t="s">
        <v>31</v>
      </c>
      <c r="M82">
        <v>1</v>
      </c>
    </row>
    <row r="83" spans="1:13" x14ac:dyDescent="0.25">
      <c r="A83" s="2">
        <v>46286</v>
      </c>
      <c r="B83" s="1" t="str">
        <f ca="1">IF(Información1[[#This Row],[Fecha]]='Ajuste de fechas'!$A$2,"Día actual","Día anterior")</f>
        <v>Día actual</v>
      </c>
      <c r="C83" t="s">
        <v>51</v>
      </c>
      <c r="D83" t="s">
        <v>52</v>
      </c>
      <c r="E83" t="s">
        <v>196</v>
      </c>
      <c r="F83" t="s">
        <v>19</v>
      </c>
      <c r="G83" t="s">
        <v>197</v>
      </c>
      <c r="H83" t="s">
        <v>46</v>
      </c>
      <c r="I83" t="s">
        <v>7</v>
      </c>
      <c r="J83" t="s">
        <v>30</v>
      </c>
      <c r="K83" t="s">
        <v>53</v>
      </c>
      <c r="L83" t="s">
        <v>31</v>
      </c>
      <c r="M83">
        <v>1</v>
      </c>
    </row>
    <row r="84" spans="1:13" x14ac:dyDescent="0.25">
      <c r="A84" s="2">
        <v>46286</v>
      </c>
      <c r="B84" s="1" t="str">
        <f ca="1">IF(Información1[[#This Row],[Fecha]]='Ajuste de fechas'!$A$2,"Día actual","Día anterior")</f>
        <v>Día actual</v>
      </c>
      <c r="C84" t="s">
        <v>51</v>
      </c>
      <c r="D84" t="s">
        <v>52</v>
      </c>
      <c r="E84" t="s">
        <v>198</v>
      </c>
      <c r="F84" t="s">
        <v>19</v>
      </c>
      <c r="G84" t="s">
        <v>199</v>
      </c>
      <c r="H84" t="s">
        <v>46</v>
      </c>
      <c r="I84" t="s">
        <v>7</v>
      </c>
      <c r="J84" t="s">
        <v>30</v>
      </c>
      <c r="K84" t="s">
        <v>53</v>
      </c>
      <c r="L84" t="s">
        <v>31</v>
      </c>
      <c r="M84">
        <v>1</v>
      </c>
    </row>
    <row r="85" spans="1:13" x14ac:dyDescent="0.25">
      <c r="A85" s="2">
        <v>46286</v>
      </c>
      <c r="B85" s="1" t="str">
        <f ca="1">IF(Información1[[#This Row],[Fecha]]='Ajuste de fechas'!$A$2,"Día actual","Día anterior")</f>
        <v>Día actual</v>
      </c>
      <c r="C85" t="s">
        <v>51</v>
      </c>
      <c r="D85" t="s">
        <v>52</v>
      </c>
      <c r="E85" t="s">
        <v>200</v>
      </c>
      <c r="F85" t="s">
        <v>18</v>
      </c>
      <c r="G85" t="s">
        <v>201</v>
      </c>
      <c r="H85" t="s">
        <v>46</v>
      </c>
      <c r="I85" t="s">
        <v>21</v>
      </c>
      <c r="J85" t="s">
        <v>35</v>
      </c>
      <c r="K85" t="s">
        <v>53</v>
      </c>
      <c r="L85" t="s">
        <v>31</v>
      </c>
      <c r="M85">
        <v>1</v>
      </c>
    </row>
    <row r="86" spans="1:13" x14ac:dyDescent="0.25">
      <c r="A86" s="2">
        <v>46286</v>
      </c>
      <c r="B86" s="1" t="str">
        <f ca="1">IF(Información1[[#This Row],[Fecha]]='Ajuste de fechas'!$A$2,"Día actual","Día anterior")</f>
        <v>Día actual</v>
      </c>
      <c r="C86" t="s">
        <v>51</v>
      </c>
      <c r="D86" t="s">
        <v>52</v>
      </c>
      <c r="E86" t="s">
        <v>202</v>
      </c>
      <c r="F86" t="s">
        <v>19</v>
      </c>
      <c r="G86" t="s">
        <v>203</v>
      </c>
      <c r="H86" t="s">
        <v>46</v>
      </c>
      <c r="I86" t="s">
        <v>7</v>
      </c>
      <c r="J86" t="s">
        <v>30</v>
      </c>
      <c r="K86" t="s">
        <v>53</v>
      </c>
      <c r="L86" t="s">
        <v>31</v>
      </c>
      <c r="M86">
        <v>1</v>
      </c>
    </row>
    <row r="87" spans="1:13" x14ac:dyDescent="0.25">
      <c r="A87" s="2">
        <v>46286</v>
      </c>
      <c r="B87" s="1" t="str">
        <f ca="1">IF(Información1[[#This Row],[Fecha]]='Ajuste de fechas'!$A$2,"Día actual","Día anterior")</f>
        <v>Día actual</v>
      </c>
      <c r="C87" t="s">
        <v>51</v>
      </c>
      <c r="D87" t="s">
        <v>52</v>
      </c>
      <c r="E87" t="s">
        <v>204</v>
      </c>
      <c r="F87" t="s">
        <v>17</v>
      </c>
      <c r="G87" t="s">
        <v>160</v>
      </c>
      <c r="H87" t="s">
        <v>46</v>
      </c>
      <c r="I87" t="s">
        <v>7</v>
      </c>
      <c r="J87" t="s">
        <v>30</v>
      </c>
      <c r="K87" t="s">
        <v>53</v>
      </c>
      <c r="L87" t="s">
        <v>31</v>
      </c>
      <c r="M87">
        <v>1</v>
      </c>
    </row>
    <row r="88" spans="1:13" x14ac:dyDescent="0.25">
      <c r="A88" s="2">
        <v>46286</v>
      </c>
      <c r="B88" s="1" t="str">
        <f ca="1">IF(Información1[[#This Row],[Fecha]]='Ajuste de fechas'!$A$2,"Día actual","Día anterior")</f>
        <v>Día actual</v>
      </c>
      <c r="C88" t="s">
        <v>8</v>
      </c>
      <c r="D88" t="s">
        <v>9</v>
      </c>
      <c r="E88" t="s">
        <v>205</v>
      </c>
      <c r="F88" t="s">
        <v>13</v>
      </c>
      <c r="G88" t="s">
        <v>206</v>
      </c>
      <c r="H88" t="s">
        <v>46</v>
      </c>
      <c r="I88" t="s">
        <v>21</v>
      </c>
      <c r="J88" t="s">
        <v>30</v>
      </c>
      <c r="K88" t="s">
        <v>133</v>
      </c>
      <c r="L88" t="s">
        <v>32</v>
      </c>
      <c r="M88">
        <v>1</v>
      </c>
    </row>
    <row r="89" spans="1:13" x14ac:dyDescent="0.25">
      <c r="A89" s="2">
        <v>46286</v>
      </c>
      <c r="B89" s="1" t="str">
        <f ca="1">IF(Información1[[#This Row],[Fecha]]='Ajuste de fechas'!$A$2,"Día actual","Día anterior")</f>
        <v>Día actual</v>
      </c>
      <c r="C89" t="s">
        <v>8</v>
      </c>
      <c r="D89" t="s">
        <v>9</v>
      </c>
      <c r="E89" t="s">
        <v>207</v>
      </c>
      <c r="F89" t="s">
        <v>6</v>
      </c>
      <c r="G89" t="s">
        <v>44</v>
      </c>
      <c r="H89" t="s">
        <v>46</v>
      </c>
      <c r="I89" t="s">
        <v>21</v>
      </c>
      <c r="J89" t="s">
        <v>30</v>
      </c>
      <c r="K89" t="s">
        <v>133</v>
      </c>
      <c r="L89" t="s">
        <v>32</v>
      </c>
      <c r="M89">
        <v>1</v>
      </c>
    </row>
    <row r="90" spans="1:13" x14ac:dyDescent="0.25">
      <c r="A90" s="2">
        <v>46286</v>
      </c>
      <c r="B90" s="1" t="str">
        <f ca="1">IF(Información1[[#This Row],[Fecha]]='Ajuste de fechas'!$A$2,"Día actual","Día anterior")</f>
        <v>Día actual</v>
      </c>
      <c r="C90" t="s">
        <v>8</v>
      </c>
      <c r="D90" t="s">
        <v>9</v>
      </c>
      <c r="E90" t="s">
        <v>208</v>
      </c>
      <c r="F90" t="s">
        <v>6</v>
      </c>
      <c r="G90" t="s">
        <v>209</v>
      </c>
      <c r="H90" t="s">
        <v>46</v>
      </c>
      <c r="I90" t="s">
        <v>21</v>
      </c>
      <c r="J90" t="s">
        <v>30</v>
      </c>
      <c r="K90" t="s">
        <v>133</v>
      </c>
      <c r="L90" t="s">
        <v>32</v>
      </c>
      <c r="M90">
        <v>1</v>
      </c>
    </row>
    <row r="91" spans="1:13" x14ac:dyDescent="0.25">
      <c r="A91" s="2">
        <v>46286</v>
      </c>
      <c r="B91" s="1" t="str">
        <f ca="1">IF(Información1[[#This Row],[Fecha]]='Ajuste de fechas'!$A$2,"Día actual","Día anterior")</f>
        <v>Día actual</v>
      </c>
      <c r="C91" t="s">
        <v>8</v>
      </c>
      <c r="D91" t="s">
        <v>9</v>
      </c>
      <c r="E91" t="s">
        <v>210</v>
      </c>
      <c r="F91" t="s">
        <v>6</v>
      </c>
      <c r="G91" t="s">
        <v>44</v>
      </c>
      <c r="H91" t="s">
        <v>46</v>
      </c>
      <c r="I91" t="s">
        <v>21</v>
      </c>
      <c r="J91" t="s">
        <v>30</v>
      </c>
      <c r="K91" t="s">
        <v>133</v>
      </c>
      <c r="L91" t="s">
        <v>32</v>
      </c>
      <c r="M91">
        <v>1</v>
      </c>
    </row>
    <row r="92" spans="1:13" x14ac:dyDescent="0.25">
      <c r="A92" s="2">
        <v>46286</v>
      </c>
      <c r="B92" s="1" t="str">
        <f ca="1">IF(Información1[[#This Row],[Fecha]]='Ajuste de fechas'!$A$2,"Día actual","Día anterior")</f>
        <v>Día actual</v>
      </c>
      <c r="C92" t="s">
        <v>8</v>
      </c>
      <c r="D92" t="s">
        <v>9</v>
      </c>
      <c r="E92" t="s">
        <v>211</v>
      </c>
      <c r="F92" t="s">
        <v>6</v>
      </c>
      <c r="G92" t="s">
        <v>44</v>
      </c>
      <c r="H92" t="s">
        <v>46</v>
      </c>
      <c r="I92" t="s">
        <v>21</v>
      </c>
      <c r="J92" t="s">
        <v>30</v>
      </c>
      <c r="K92" t="s">
        <v>133</v>
      </c>
      <c r="L92" t="s">
        <v>32</v>
      </c>
      <c r="M92">
        <v>1</v>
      </c>
    </row>
    <row r="93" spans="1:13" x14ac:dyDescent="0.25">
      <c r="A93" s="2">
        <v>46286</v>
      </c>
      <c r="B93" s="1" t="str">
        <f ca="1">IF(Información1[[#This Row],[Fecha]]='Ajuste de fechas'!$A$2,"Día actual","Día anterior")</f>
        <v>Día actual</v>
      </c>
      <c r="C93" t="s">
        <v>8</v>
      </c>
      <c r="D93" t="s">
        <v>9</v>
      </c>
      <c r="E93" t="s">
        <v>212</v>
      </c>
      <c r="F93" t="s">
        <v>6</v>
      </c>
      <c r="G93" t="s">
        <v>44</v>
      </c>
      <c r="H93" t="s">
        <v>46</v>
      </c>
      <c r="I93" t="s">
        <v>21</v>
      </c>
      <c r="J93" t="s">
        <v>30</v>
      </c>
      <c r="K93" t="s">
        <v>133</v>
      </c>
      <c r="L93" t="s">
        <v>32</v>
      </c>
      <c r="M93">
        <v>1</v>
      </c>
    </row>
    <row r="94" spans="1:13" x14ac:dyDescent="0.25">
      <c r="A94" s="2">
        <v>46286</v>
      </c>
      <c r="B94" s="1" t="str">
        <f ca="1">IF(Información1[[#This Row],[Fecha]]='Ajuste de fechas'!$A$2,"Día actual","Día anterior")</f>
        <v>Día actual</v>
      </c>
      <c r="C94" t="s">
        <v>8</v>
      </c>
      <c r="D94" t="s">
        <v>9</v>
      </c>
      <c r="E94" t="s">
        <v>213</v>
      </c>
      <c r="F94" t="s">
        <v>6</v>
      </c>
      <c r="G94" t="s">
        <v>44</v>
      </c>
      <c r="H94" t="s">
        <v>46</v>
      </c>
      <c r="I94" t="s">
        <v>21</v>
      </c>
      <c r="J94" t="s">
        <v>30</v>
      </c>
      <c r="K94" t="s">
        <v>133</v>
      </c>
      <c r="L94" t="s">
        <v>32</v>
      </c>
      <c r="M94">
        <v>1</v>
      </c>
    </row>
    <row r="95" spans="1:13" x14ac:dyDescent="0.25">
      <c r="A95" s="2">
        <v>46286</v>
      </c>
      <c r="B95" s="1" t="str">
        <f ca="1">IF(Información1[[#This Row],[Fecha]]='Ajuste de fechas'!$A$2,"Día actual","Día anterior")</f>
        <v>Día actual</v>
      </c>
      <c r="C95" t="s">
        <v>8</v>
      </c>
      <c r="D95" t="s">
        <v>9</v>
      </c>
      <c r="E95" t="s">
        <v>214</v>
      </c>
      <c r="F95" t="s">
        <v>6</v>
      </c>
      <c r="G95" t="s">
        <v>58</v>
      </c>
      <c r="H95" t="s">
        <v>46</v>
      </c>
      <c r="I95" t="s">
        <v>7</v>
      </c>
      <c r="J95" t="s">
        <v>30</v>
      </c>
      <c r="K95" t="s">
        <v>133</v>
      </c>
      <c r="L95" t="s">
        <v>32</v>
      </c>
      <c r="M95">
        <v>1</v>
      </c>
    </row>
    <row r="96" spans="1:13" x14ac:dyDescent="0.25">
      <c r="A96" s="2">
        <v>46286</v>
      </c>
      <c r="B96" s="1" t="str">
        <f ca="1">IF(Información1[[#This Row],[Fecha]]='Ajuste de fechas'!$A$2,"Día actual","Día anterior")</f>
        <v>Día actual</v>
      </c>
      <c r="C96" t="s">
        <v>8</v>
      </c>
      <c r="D96" t="s">
        <v>9</v>
      </c>
      <c r="E96" t="s">
        <v>215</v>
      </c>
      <c r="F96" t="s">
        <v>18</v>
      </c>
      <c r="G96" t="s">
        <v>148</v>
      </c>
      <c r="H96" t="s">
        <v>46</v>
      </c>
      <c r="I96" t="s">
        <v>7</v>
      </c>
      <c r="J96" t="s">
        <v>35</v>
      </c>
      <c r="K96" t="s">
        <v>11</v>
      </c>
      <c r="L96" t="s">
        <v>31</v>
      </c>
      <c r="M96">
        <v>1</v>
      </c>
    </row>
    <row r="97" spans="1:13" x14ac:dyDescent="0.25">
      <c r="A97" s="2">
        <v>46286</v>
      </c>
      <c r="B97" s="1" t="str">
        <f ca="1">IF(Información1[[#This Row],[Fecha]]='Ajuste de fechas'!$A$2,"Día actual","Día anterior")</f>
        <v>Día actual</v>
      </c>
      <c r="C97" t="s">
        <v>8</v>
      </c>
      <c r="D97" t="s">
        <v>9</v>
      </c>
      <c r="E97" t="s">
        <v>216</v>
      </c>
      <c r="F97" t="s">
        <v>45</v>
      </c>
      <c r="G97" t="s">
        <v>88</v>
      </c>
      <c r="H97" t="s">
        <v>46</v>
      </c>
      <c r="I97" t="s">
        <v>7</v>
      </c>
      <c r="J97" t="s">
        <v>30</v>
      </c>
      <c r="K97" t="s">
        <v>11</v>
      </c>
      <c r="L97" t="s">
        <v>31</v>
      </c>
      <c r="M97">
        <v>1</v>
      </c>
    </row>
    <row r="98" spans="1:13" x14ac:dyDescent="0.25">
      <c r="A98" s="2">
        <v>46286</v>
      </c>
      <c r="B98" s="1" t="str">
        <f ca="1">IF(Información1[[#This Row],[Fecha]]='Ajuste de fechas'!$A$2,"Día actual","Día anterior")</f>
        <v>Día actual</v>
      </c>
      <c r="C98" t="s">
        <v>8</v>
      </c>
      <c r="D98" t="s">
        <v>9</v>
      </c>
      <c r="E98" t="s">
        <v>217</v>
      </c>
      <c r="F98" t="s">
        <v>15</v>
      </c>
      <c r="G98" t="s">
        <v>218</v>
      </c>
      <c r="H98" t="s">
        <v>46</v>
      </c>
      <c r="I98" t="s">
        <v>7</v>
      </c>
      <c r="J98" t="s">
        <v>34</v>
      </c>
      <c r="K98" t="s">
        <v>11</v>
      </c>
      <c r="L98" t="s">
        <v>31</v>
      </c>
      <c r="M98">
        <v>1</v>
      </c>
    </row>
    <row r="99" spans="1:13" x14ac:dyDescent="0.25">
      <c r="A99" s="2">
        <v>46286</v>
      </c>
      <c r="B99" s="1" t="str">
        <f ca="1">IF(Información1[[#This Row],[Fecha]]='Ajuste de fechas'!$A$2,"Día actual","Día anterior")</f>
        <v>Día actual</v>
      </c>
      <c r="C99" t="s">
        <v>8</v>
      </c>
      <c r="D99" t="s">
        <v>9</v>
      </c>
      <c r="E99" t="s">
        <v>219</v>
      </c>
      <c r="F99" t="s">
        <v>18</v>
      </c>
      <c r="G99" t="s">
        <v>220</v>
      </c>
      <c r="H99" t="s">
        <v>46</v>
      </c>
      <c r="I99" t="s">
        <v>7</v>
      </c>
      <c r="J99" t="s">
        <v>35</v>
      </c>
      <c r="K99" t="s">
        <v>11</v>
      </c>
      <c r="L99" t="s">
        <v>31</v>
      </c>
      <c r="M99">
        <v>1</v>
      </c>
    </row>
    <row r="100" spans="1:13" x14ac:dyDescent="0.25">
      <c r="A100" s="2">
        <v>46286</v>
      </c>
      <c r="B100" s="1" t="str">
        <f ca="1">IF(Información1[[#This Row],[Fecha]]='Ajuste de fechas'!$A$2,"Día actual","Día anterior")</f>
        <v>Día actual</v>
      </c>
      <c r="C100" t="s">
        <v>8</v>
      </c>
      <c r="D100" t="s">
        <v>9</v>
      </c>
      <c r="E100" t="s">
        <v>221</v>
      </c>
      <c r="F100" t="s">
        <v>6</v>
      </c>
      <c r="G100" t="s">
        <v>44</v>
      </c>
      <c r="H100" t="s">
        <v>46</v>
      </c>
      <c r="I100" t="s">
        <v>7</v>
      </c>
      <c r="J100" t="s">
        <v>30</v>
      </c>
      <c r="K100" t="s">
        <v>11</v>
      </c>
      <c r="L100" t="s">
        <v>31</v>
      </c>
      <c r="M100">
        <v>1</v>
      </c>
    </row>
    <row r="101" spans="1:13" x14ac:dyDescent="0.25">
      <c r="A101" s="2">
        <v>46286</v>
      </c>
      <c r="B101" s="1" t="str">
        <f ca="1">IF(Información1[[#This Row],[Fecha]]='Ajuste de fechas'!$A$2,"Día actual","Día anterior")</f>
        <v>Día actual</v>
      </c>
      <c r="C101" t="s">
        <v>8</v>
      </c>
      <c r="D101" t="s">
        <v>9</v>
      </c>
      <c r="E101" t="s">
        <v>222</v>
      </c>
      <c r="F101" t="s">
        <v>42</v>
      </c>
      <c r="G101" t="s">
        <v>73</v>
      </c>
      <c r="H101" t="s">
        <v>46</v>
      </c>
      <c r="I101" t="s">
        <v>7</v>
      </c>
      <c r="J101" t="s">
        <v>30</v>
      </c>
      <c r="K101" t="s">
        <v>11</v>
      </c>
      <c r="L101" t="s">
        <v>31</v>
      </c>
      <c r="M101">
        <v>1</v>
      </c>
    </row>
    <row r="102" spans="1:13" x14ac:dyDescent="0.25">
      <c r="A102" s="2">
        <v>46286</v>
      </c>
      <c r="B102" s="1" t="str">
        <f ca="1">IF(Información1[[#This Row],[Fecha]]='Ajuste de fechas'!$A$2,"Día actual","Día anterior")</f>
        <v>Día actual</v>
      </c>
      <c r="C102" t="s">
        <v>8</v>
      </c>
      <c r="D102" t="s">
        <v>9</v>
      </c>
      <c r="E102" t="s">
        <v>14</v>
      </c>
      <c r="F102" t="s">
        <v>15</v>
      </c>
      <c r="G102" t="s">
        <v>23</v>
      </c>
      <c r="H102" t="s">
        <v>46</v>
      </c>
      <c r="I102" t="s">
        <v>10</v>
      </c>
      <c r="J102" t="s">
        <v>34</v>
      </c>
      <c r="K102" t="s">
        <v>11</v>
      </c>
      <c r="L102" t="s">
        <v>32</v>
      </c>
      <c r="M102">
        <v>1</v>
      </c>
    </row>
    <row r="103" spans="1:13" x14ac:dyDescent="0.25">
      <c r="A103" s="2">
        <v>46286</v>
      </c>
      <c r="B103" s="1" t="str">
        <f ca="1">IF(Información1[[#This Row],[Fecha]]='Ajuste de fechas'!$A$2,"Día actual","Día anterior")</f>
        <v>Día actual</v>
      </c>
      <c r="C103" t="s">
        <v>8</v>
      </c>
      <c r="D103" t="s">
        <v>9</v>
      </c>
      <c r="E103" t="s">
        <v>41</v>
      </c>
      <c r="F103" t="s">
        <v>39</v>
      </c>
      <c r="G103" t="s">
        <v>23</v>
      </c>
      <c r="H103" t="s">
        <v>46</v>
      </c>
      <c r="I103" t="s">
        <v>10</v>
      </c>
      <c r="J103" t="s">
        <v>20</v>
      </c>
      <c r="K103" t="s">
        <v>11</v>
      </c>
      <c r="L103" t="s">
        <v>32</v>
      </c>
      <c r="M103">
        <v>1</v>
      </c>
    </row>
    <row r="104" spans="1:13" x14ac:dyDescent="0.25">
      <c r="A104" s="2">
        <v>46286</v>
      </c>
      <c r="B104" s="1" t="str">
        <f ca="1">IF(Información1[[#This Row],[Fecha]]='Ajuste de fechas'!$A$2,"Día actual","Día anterior")</f>
        <v>Día actual</v>
      </c>
      <c r="C104" t="s">
        <v>8</v>
      </c>
      <c r="D104" t="s">
        <v>9</v>
      </c>
      <c r="E104" t="s">
        <v>12</v>
      </c>
      <c r="F104" t="s">
        <v>13</v>
      </c>
      <c r="G104" t="s">
        <v>23</v>
      </c>
      <c r="H104" t="s">
        <v>46</v>
      </c>
      <c r="I104" t="s">
        <v>10</v>
      </c>
      <c r="J104" t="s">
        <v>30</v>
      </c>
      <c r="K104" t="s">
        <v>11</v>
      </c>
      <c r="L104" t="s">
        <v>32</v>
      </c>
      <c r="M104">
        <v>1</v>
      </c>
    </row>
    <row r="105" spans="1:13" x14ac:dyDescent="0.25">
      <c r="A105" s="2">
        <v>46286</v>
      </c>
      <c r="B105" s="1" t="str">
        <f ca="1">IF(Información1[[#This Row],[Fecha]]='Ajuste de fechas'!$A$2,"Día actual","Día anterior")</f>
        <v>Día actual</v>
      </c>
      <c r="C105" t="s">
        <v>8</v>
      </c>
      <c r="D105" t="s">
        <v>9</v>
      </c>
      <c r="E105" t="s">
        <v>69</v>
      </c>
      <c r="F105" t="s">
        <v>6</v>
      </c>
      <c r="G105" t="s">
        <v>23</v>
      </c>
      <c r="H105" t="s">
        <v>46</v>
      </c>
      <c r="I105" t="s">
        <v>10</v>
      </c>
      <c r="J105" t="s">
        <v>30</v>
      </c>
      <c r="K105" t="s">
        <v>11</v>
      </c>
      <c r="L105" t="s">
        <v>32</v>
      </c>
      <c r="M10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46286</v>
      </c>
      <c r="B2" s="2">
        <f ca="1">A2-1</f>
        <v>46285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2026-09-21T22:31:12Z</dcterms:modified>
</cp:coreProperties>
</file>