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8E56166B-4C51-45A8-BE38-CD16698F7224}"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Radio!$A$1:$M$95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46" i="2"/>
  <c r="B48" i="2"/>
  <c r="B50" i="2"/>
  <c r="B72" i="2"/>
  <c r="B75" i="2"/>
  <c r="B78" i="2"/>
  <c r="B81" i="2"/>
  <c r="B84" i="2"/>
  <c r="B87" i="2"/>
  <c r="B92" i="2"/>
  <c r="B93" i="2"/>
  <c r="B27" i="2"/>
  <c r="B28" i="2"/>
  <c r="B29" i="2"/>
  <c r="B30" i="2"/>
  <c r="B31" i="2"/>
  <c r="B32" i="2"/>
  <c r="B33" i="2"/>
  <c r="B34" i="2"/>
  <c r="B35" i="2"/>
  <c r="B36" i="2"/>
  <c r="B37" i="2"/>
  <c r="B38" i="2"/>
  <c r="B39" i="2"/>
  <c r="B40" i="2"/>
  <c r="B41" i="2"/>
  <c r="B42" i="2"/>
  <c r="B43" i="2"/>
  <c r="B44" i="2"/>
  <c r="B45" i="2"/>
  <c r="B47" i="2"/>
  <c r="B49" i="2"/>
  <c r="B74" i="2"/>
  <c r="B77" i="2"/>
  <c r="B80" i="2"/>
  <c r="B83" i="2"/>
  <c r="B86" i="2"/>
  <c r="B88" i="2"/>
  <c r="B90" i="2"/>
  <c r="B95" i="2"/>
  <c r="B51" i="2"/>
  <c r="B52" i="2"/>
  <c r="B53" i="2"/>
  <c r="B54" i="2"/>
  <c r="B55" i="2"/>
  <c r="B56" i="2"/>
  <c r="B57" i="2"/>
  <c r="B58" i="2"/>
  <c r="B59" i="2"/>
  <c r="B60" i="2"/>
  <c r="B61" i="2"/>
  <c r="B62" i="2"/>
  <c r="B63" i="2"/>
  <c r="B64" i="2"/>
  <c r="B65" i="2"/>
  <c r="B66" i="2"/>
  <c r="B67" i="2"/>
  <c r="B68" i="2"/>
  <c r="B69" i="2"/>
  <c r="B70" i="2"/>
  <c r="B71" i="2"/>
  <c r="B73" i="2"/>
  <c r="B76" i="2"/>
  <c r="B79" i="2"/>
  <c r="B82" i="2"/>
  <c r="B85" i="2"/>
  <c r="B89" i="2"/>
  <c r="B91" i="2"/>
  <c r="B94"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<sst xmlns="http://schemas.openxmlformats.org/spreadsheetml/2006/main" count="955" uniqueCount="197">
  <si>
    <t>Fecha</t>
  </si>
  <si>
    <t>Titular</t>
  </si>
  <si>
    <t>Dependencia</t>
  </si>
  <si>
    <t>Canal</t>
  </si>
  <si>
    <t>Tema</t>
  </si>
  <si>
    <t>Estatus</t>
  </si>
  <si>
    <t>Sipdus</t>
  </si>
  <si>
    <t>Informativa</t>
  </si>
  <si>
    <t>Radio local</t>
  </si>
  <si>
    <t>Positiva</t>
  </si>
  <si>
    <t>Segobh</t>
  </si>
  <si>
    <t>Ayuntamiento</t>
  </si>
  <si>
    <t>SEPH</t>
  </si>
  <si>
    <t>Presidencia</t>
  </si>
  <si>
    <t>SSPH</t>
  </si>
  <si>
    <t>Otros</t>
  </si>
  <si>
    <t>Negativa</t>
  </si>
  <si>
    <t>Gobernador</t>
  </si>
  <si>
    <t>Súper Stéreo 100.5 FM</t>
  </si>
  <si>
    <t>Planeación</t>
  </si>
  <si>
    <t>Día</t>
  </si>
  <si>
    <t>Radiodifusora</t>
  </si>
  <si>
    <t>Programa</t>
  </si>
  <si>
    <t>Clasificación</t>
  </si>
  <si>
    <t>Autor</t>
  </si>
  <si>
    <t>Género</t>
  </si>
  <si>
    <t>Noticia</t>
  </si>
  <si>
    <t>Opinión</t>
  </si>
  <si>
    <t>Boletín</t>
  </si>
  <si>
    <t>Recuento</t>
  </si>
  <si>
    <t>Día actual</t>
  </si>
  <si>
    <t>Día anterior</t>
  </si>
  <si>
    <t>PGJEH</t>
  </si>
  <si>
    <t>Juan Carlos Santamaria</t>
  </si>
  <si>
    <t>NQ 90.1 FM</t>
  </si>
  <si>
    <t>Jesús Riveros</t>
  </si>
  <si>
    <t>Enlace Hidalgo1</t>
  </si>
  <si>
    <t>Mundial De Futbol</t>
  </si>
  <si>
    <t>Congreso</t>
  </si>
  <si>
    <t>SSH</t>
  </si>
  <si>
    <t>Enlace Hidalgo2</t>
  </si>
  <si>
    <t>Auxilio a la ciudadanía</t>
  </si>
  <si>
    <t>DIFH</t>
  </si>
  <si>
    <t>Ultra 102.9 FM</t>
  </si>
  <si>
    <t>Ultra Noticias1</t>
  </si>
  <si>
    <t>Daniel Martínez</t>
  </si>
  <si>
    <t>Vía telefónica el reporte de Bombero y Protección Civil con Abner Yáñez informa de las diversas emergencias reportadas por la ciudadanía y que fueron atendidas.</t>
  </si>
  <si>
    <t>Ke Buena 106.7 FM</t>
  </si>
  <si>
    <t>Noticias 106.7</t>
  </si>
  <si>
    <t>David Cárdenas</t>
  </si>
  <si>
    <t>OCSAD</t>
  </si>
  <si>
    <t>Procuraduría Municipal del Menor</t>
  </si>
  <si>
    <t>Prevención De Riesgos</t>
  </si>
  <si>
    <t>Localización de cuerpo</t>
  </si>
  <si>
    <t>Alerta Meteorológica</t>
  </si>
  <si>
    <t>Turismo</t>
  </si>
  <si>
    <t>La Poderosa Tuxpan 93.1 FM</t>
  </si>
  <si>
    <t>NN Nuestras Noticias Zona Norte</t>
  </si>
  <si>
    <t>Liz Argüelles</t>
  </si>
  <si>
    <t>Atención Afectaciones Por Lluvias</t>
  </si>
  <si>
    <t>Iniciativa</t>
  </si>
  <si>
    <t>Irving Sánchez</t>
  </si>
  <si>
    <t>Sedeco</t>
  </si>
  <si>
    <t>Carretera En Mal Estado</t>
  </si>
  <si>
    <t>Feria Patronal</t>
  </si>
  <si>
    <t>Ruta de la Transformación</t>
  </si>
  <si>
    <t>Refuerzo De Seguridad</t>
  </si>
  <si>
    <t>Mitigación ambiental</t>
  </si>
  <si>
    <t>Natividad Castrejón escucha propuestas del Consejo Consultivo infantil y juvenil de Tepeji</t>
  </si>
  <si>
    <t>Consejo Consultivo infantil</t>
  </si>
  <si>
    <t>Autoridades estatales desplegaron un operativo de atención en el municipio de Tianguistengo tras las afectaciones ocasionadas por las intensas lluvias registradas en la región de la Sierra Alta de Hidalgo. Las acciones se concentran principalmente en la comunidad de Chapula, donde las condiciones meteorológicas han generado diversas complicaciones para la población. Como parte de la respuesta institucional, el Gobierno de Hidalgo, a través de la Subsecretaría de Protección Civil, envió personal y recursos para brindar asistencia a las familias afectadas y reducir los riesgos derivados de las precipitaciones. Además, fueron habilitados dos refugios temporales en la cabecera municipal para recibir a las personas que requieran resguardo. De acuerdo con las autoridades municipales, estos espacios cuentan con servicios de alojamiento, alimentación y atención médica. En la zona también se mantiene la presencia de elementos de la Guardia Nacional y de la Secretaría de Seguridad Pública, quienes participan en labores de apoyo, vigilancia y evacuación preventiva en caso de ser necesario. El subsecretario de Protección Civil, Román Bernal, exhortó a la ciudadanía a mantenerse informada únicamente a través de los canales oficiales y atender las recomendaciones emitidas por las autoridades para evitar situaciones de riesgo.</t>
  </si>
  <si>
    <t>La Procuraduría Federal de Protección al Ambiente (Profepa) clausuró de manera total y temporal diversas obras que se realizaban sin autorización dentro del Parque Nacional El Chico, en el municipio de Mineral del Chico, Hidalgo. Inspectores de la dependencia acudieron al sitio tras recibir denuncias ciudadanas y constataron la construcción de un salón de eventos, estacionamientos, un camino de piedra, una cabaña de concreto y una barda, además de movimientos de tierra. En conjunto, las obras afectaron una superficie de 2,547 m² de bosque de encino, parte del ecosistema protegido del parque. La Profepa determinó la clausura debido a que los responsables no contaban con permisos de cambio de uso de suelo forestal ni con autorización en materia de impacto ambiental emitidos por la Secretaría de Medio Ambiente y Recursos Naturales (Semarnat).</t>
  </si>
  <si>
    <t>Clausura de obra</t>
  </si>
  <si>
    <t>Julio Menchaca destinó más de 183 mdp para obra pública en Santiago de Anaya</t>
  </si>
  <si>
    <t>Como parte de la estrategia de seguridad impulsada por el alcalde de Pachuca, Jorge Reyes, la Secretaría de Seguridad Pública de Pachuca, en coordinación con la Guardia Nacional y el Ejército Mexicano, desplegó un operativo de vigilancia en Plaza Gran Patio, la Central de Abastos y Plaza Independencia. Durante los recorridos, las corporaciones realizaron labores de proximidad, supervisión y presencia preventiva en zonas de alta afluencia de personas, con el objetivo de inhibir conductas ilícitas y brindar tranquilidad a comerciantes, trabajadores y visitantes. Las acciones incluyeron recorridos a pie y motorizados en áreas comerciales, accesos principales y zonas de mayor concentración de personas, mediante un trabajo coordinado entre autoridades municipales y federales. Estos operativos forman parte de la estrategia permanente que se implementa en diferentes sectores de Pachuca para fortalecer la capacidad de respuesta institucional y mantener la presencia de las corporaciones de seguridad en espacios de alta concurrencia.</t>
  </si>
  <si>
    <t>SSPH realiza operativos simultáneos en Pachuca y Apan</t>
  </si>
  <si>
    <t>Combate Al Narcomenudeo</t>
  </si>
  <si>
    <t>La noche de este martes, 9 de junio, un ataque armado en la colonia Tianguistengo La Romera, en Tepeji del Río, dejó como saldo una persona sin vida, lo que provocó una intensa movilización de corporaciones de seguridad y cuerpos de emergencia. Los hechos ocurrieron alrededor de las 20:00 horas en la esquina de las calles Francisco I. Madero y Juárez, donde vecinos reportaron detonaciones de arma de fuego y la presencia de una persona lesionada en la vía pública. Al lugar acudieron elementos de Seguridad Pública y paramédicos; sin embargo, tras valorar a la víctima confirmaron que ya no contaba con signos vitales. La zona fue acordonada por autoridades municipales para permitir el arribo de personal de la Procuraduría General de Justicia del Estado de Hidalgo, instancia encargada del procesamiento de la escena y del inicio de las investigaciones para esclarecer lo ocurrido.</t>
  </si>
  <si>
    <t>Ataque Armado</t>
  </si>
  <si>
    <t>Un árbol cayó sobre una construcción de madera usada como local comercial, ubicada sobre la desviación carretera hacia Zacatlán, Puebla, dentro de la localidad de La Bóveda, dentro del municipio de Acaxochitlán. El incidente se registró durante la mañana del miércoles 10 de junio, sin registrarse personas lesionadas, pues en ese momento había poco movimiento en la zona. Al sitio acudieron elementos de Bomberos y Protección Civil municipal, quienes tras valorar la situación, encontraron algunos daños en la construcción, sobre todo en el techo y en parte del interior. Los elementos de atención a emergencias realizaron el retiro del árbol, realizando cortes controlados a la circulación vehicular para evitar una situación de mayor gravedad.</t>
  </si>
  <si>
    <t>Retiro de árbol</t>
  </si>
  <si>
    <t>En la comunidad de La Estancia perteneciente a Atotonilco el Grande un adulto mayor perdió la vida presuntamente por un ataque de abejas. El reporte de hallazgo de adulto mayor se realizó a autoridades de Atotonilco el Grande que acudieron al lugar de los hechos. Se presume que al llegar elementos de seguridad y auxilio médico el cuerpo ya no contaba con signos vitales.</t>
  </si>
  <si>
    <t>Condena a pareja por intentar degollar a un hombre y enterrarlo en su patio. La sentencia ocurre a poco más de tres años de los hechos que ocurrieron en el municipio de Mixquiahuala de Juárez. Vanesa y su novio intentaron degollar a Miguel, a quien después enterraron en una zanja que excavaron en el patio de una casa localizada en el municipio de Mixquiahuala de Juárez. Por estos hechos, permanecerán 32 años con ocho meses en prisión. La sentencia condenatoria deriva de un juicio oral que concluyó el 8 de junio pasado, es decir, a poco más de tres años de la detención de la pareja y su vinculación a proceso por homicidio doloso calificado. La víctima, quien era expareja de Vanesa y padre de los tres hijos que procrearon, asistió el 30 de diciembre de 2022 a un domicilio de la colonia La Reforma, desde entonces sus familiares alertaron sobre la desaparición.</t>
  </si>
  <si>
    <t>Sentencia</t>
  </si>
  <si>
    <t>A las 11 de la mañana iniciarán trabajos de mantenimiento vial en el carretera Tulancingo- Santiago Tulantepec a la altura de la Secundaria 1.</t>
  </si>
  <si>
    <t>Rehabilitación Vial</t>
  </si>
  <si>
    <t>Diversos ayuntamientos de Hidalgo comenzaron a cancelar actividades programadas para transmitir partidos del Mundial en espacios públicos, luego de recibir una recomendación emitida por la Secretaría de Gobierno estatal relacionada con los derechos de transmisión del torneo. A través de un oficio dirigido a las administraciones municipales, la dependencia encabezada por Guillermo Olivares Reyna exhortó a las autoridades locales a evitar la difusión pública de los encuentros mundialistas sin contar previamente con las autorizaciones y licencias correspondientes. La medida tiene como finalidad prevenir posibles sanciones derivadas del uso no autorizado de señales protegidas por derechos de transmisión y propiedad intelectual durante la justa deportiva, que se celebrará del 11 de junio al 19 de julio. Previo al inicio del torneo, varios municipios habían anunciado la instalación de pantallas gigantes en plazas y otros espacios públicos para que la ciudadanía pudiera seguir la ceremonia inaugural y los encuentros de la Selección Mexicana. No obstante, ante el riesgo de enfrentar consecuencias legales o económicas, algunas de estas actividades comenzaron a ser suspendidas en las últimas horas. La Secretaría de Gobierno precisó que el exhorto no representa una prohibición absoluta para proyectar los partidos, pero recordó que cualquier transmisión pública deberá realizarse conforme a la normatividad vigente y con los permisos necesarios para evitar infracciones.</t>
  </si>
  <si>
    <t>Certifican a 50 nuevos intérpretes de lenguas indígenas en Hidalgo</t>
  </si>
  <si>
    <t>Certificación de intérpretes</t>
  </si>
  <si>
    <t>El Tribunal Superior de Justicia del Estado de Hidalgo resolverá en los próximos días la viabilidad de la consulta ciudadana relacionada con la tauromaquia, procedimiento que actualmente se encuentra en análisis jurídico y cuyo plazo legal vence este jueves. La presidenta del Poder Judicial estatal, Rebeca Aladro Echeverría, informó que el expediente ya fue recibido y se encuentra bajo revisión para verificar si cumple con las disposiciones establecidas en la legislación correspondiente. La magistrada aseguró que la decisión se tomará con base exclusivamente en criterios legales y descartó que las posturas expresadas por distintos sectores de la sociedad o las discusiones generadas en redes sociales y espacios públicos influyan en la resolución. Explicó que el proceso contempla una revisión inicial sobre la competencia del tribunal para conocer el caso y, posteriormente, el estudio de los elementos jurídicos necesarios para determinar si la consulta procede o no. Una vez concluido el análisis, el asunto será sometido a consideración del pleno del tribunal, instancia que emitirá la resolución definitiva dentro de los tiempos establecidos por la ley. Aladro Echeverría también confirmó que el Poder Judicial recibió diversos escritos relacionados con el tema, los cuales serán incorporados y atendidos durante el procedimiento. Por otra parte, la presidenta de la Comisión de Derechos Humanos del Estado de Hidalgo, Ana Karen Parra Bonilla, indicó que el organismo dará seguimiento a la resolución para evaluar posibles acciones legales posteriores.</t>
  </si>
  <si>
    <t>TSJEH</t>
  </si>
  <si>
    <t>Tauromaquia</t>
  </si>
  <si>
    <t>Legisladores del Congreso del Estado de Hidalgo presentaron propuesta para ampliar la licencia por paternidad de los cinco días que tiene actualmente a tres meses con goce de sueldo. Durante sesión ordinaria de la 66 Legislatura se presentó la iniciativa para reformar y adicionan diversas disposiciones de la Ley Federal del Trabajo, de la Ley del Seguro Social y de la Ley Federal de los Trabajadores al Servicio del Estado. Actualmente, el artículo 132, fracción XXVII Bis de la Ley Federal del Trabajo, señala cinco días de licencia por paternidad con goce de sueldo, contadas a partir del día del nacimiento de hijas o hijos, con objetivo de fortalecer el derecho al cuidado y a la corresponsabilidad familiar. La iniciativa modificaría normativas legales en el ámbito estatal, señalando que tres meses sería periodo suficiente para participar activamente en el cuidado, atención y crianza de hijas e hijos desde el nacimiento o a partir de su adopción.</t>
  </si>
  <si>
    <t>Licencia de paternidad</t>
  </si>
  <si>
    <t>Tulancingo participó en la XX edición de los Premios Escobas 2026, certamen internacional organizado en Madrid, España, por la Asociación Técnica para la Gestión de Residuos y Medio Ambiente, que reconoce iniciativas con impacto social, económico y ambiental en materia de gestión de residuos y sostenibilidad. A través de la Secretaría de Servicios Municipales, el municipio presentó un prototipo de proyecto basado en el aprovechamiento de residuos orgánicos para la producción de composta destinada a la nutrición de parques y jardines. Conforme avance su implementación, el programa contempla extender sus beneficios a escuelas y espacios comunitarios, fortaleciendo la participación ciudadana en el cuidado del medio ambiente. La propuesta surge a partir del Estudio de Generación de Residuos elaborado al inicio de la presente administración municipal bajo la metodología y acompañamiento de la Secretaría de Medio Ambiente y Recursos Naturales de Hidalgo (Semarnath). El diagnóstico reveló que el 31.18 por ciento de los residuos sólidos que se recolectan diariamente en Tulancingo corresponde a desechos alimenticios que pueden ser aprovechados mediante procesos de compostaje. Actualmente, el municipio genera entre 130 y 150 toneladas de residuos sólidos al día. De acuerdo con especialistas, si una parte importante de los residuos orgánicos recibiera tratamiento desde los hogares, podría reducirse significativamente el volumen de basura enviado a disposición final.</t>
  </si>
  <si>
    <t>De 150 árboles detectados con heno motita dentro del municipio de Tulancingo a mediados del año pasado, sólo quedan por atender ocho, todos ubicados en el jardín La Floresta, en la zona del monumento a Benito Juárez. El dato fue ofrecido por Neri García Flores, inspector adscrito a la dirección municipal de Medio Ambiente, señalando que en la mayoría de los árboles el retiro se realizó manualmente, en algunos casos al mismo tiempo que se realizaba mantenimiento a dichos ejemplares. Puntualizó que en la Calzada 5 de mayo se localizaron 70 árboles con heno motita, casi la mitad del total de los ejemplares que tenían presencia de la planta dentro del municipio; el retiro en esa zona también se hizo manualmente. Cabe recordar que el heno motita al desarrollarse y extenderse, provoca que el árbol afectado se vaya secando hasta que muere, debido a que va perdiendo nutrientes. Por ello se hicieron acciones de retiro de la planta en cuanto comenzó a detectarse, con objetivo de evitar su proliferación. García Flores enfatizó que para retirar el heno motita no se hizo uso alguno de insecticidas o fungicidas; en lugar de ello, además del retiro manual, se le aplicó a los árboles soluciones de agua con bicarbonato en los casos necesarios.</t>
  </si>
  <si>
    <t>Control de plagas</t>
  </si>
  <si>
    <t>Alrededor de 30 escuelas de educación básica ubicadas en municipios afectados por las lluvias registradas en días recientes, no tendrán actividades presenciales, informó la Secretaría de Educación Pública de Hidalgo (SEPH). La subsecretaría de Educación Básica de la dependencia estatal señaló que la medida se toma para salvaguardar la integridad de los estudiantes, así como el resto de las comunidades educativas ubicadas en las zonas afectadas. Por lo que las clases se realizarán a distancia, por medio de plataformas digitales por donde se impartirán las enseñanzas. Las regiones Otomí- Tepehua y Huasteca, son donde principalmente se ubican los planteles educativos donde las actividades se realizarán de forma virtual. En estos casos, los planteles activaron protocolos para continuar con clases a distancia, con el objetivo de mantener las actividades escolares sin exponer a la comunidad educativa. La decisión se tomó no solo por la presencia de lluvia y viento, sino también por las dificultades de acceso a algunas comunidades, debido a caminos que resultaron obstruidos desde el día de ayer. La dependencia estatal indicó que las medidas se aplican de acuerdo con la situación particular de cada plantel y región, por lo que las comunidades escolares deberán mantenerse atentas a los avisos emitidos por sus directivos.</t>
  </si>
  <si>
    <t>Suspensión De Clases</t>
  </si>
  <si>
    <t>Daniel Martínez comenta que mañana se cumple un año de que la presidenta Claudia Sheinbaum estuvo en visita de trabajo en Tulancingo para verificar las condiciones de salud y en esa visita dijo que se iba a revisar el tema para que el mastógrafo funcionara y no se sabe si ya hay un avance para que esto suceda.</t>
  </si>
  <si>
    <t>Equipamiento médico</t>
  </si>
  <si>
    <t>Mediante una denuncia ciudadana a través de WhatsApp a Ultra Noticias se enviaron imágenes en las que se puede ver presuntas condiciones de deterioro en distintas áreas del Hospital General de Tulancingo. Se puede ver camas, paredes, techo y piso con aparentes signos de desgaste, sin embargo no se ha confirmado la fecha en que se tomaron las fotografías ni el origen exacto del material difundido. quien envió este material fotográfico espera que el hospital o las instancias correspondientes de salud emitan un posicionamiento y que confirmen posibles acciones de mantenimiento en las áreas señaladas. Cabe recordar que este tipo de señalamientos no son nuevos, pues desde el 2022 hay quejas por falta de medicamento , insumos y personal médico por lo que los trabajadores se han manifestado.</t>
  </si>
  <si>
    <t>Izza Hernández</t>
  </si>
  <si>
    <t>Infraestructura hospitalaria</t>
  </si>
  <si>
    <t>El gusano barrenador del ganado mantiene afectaciones en la mayor parte de Hidalgo, luego de que autoridades federales confirmaron reportes en 74 de los 84 municipios del estado. De acuerdo con el corte más reciente del Servicio Nacional de Sanidad, Inocuidad y Calidad Agroalimentaria (Senasica), la entidad acumula 702 casos en el sector pecuario desde finales del año pasado. Esto significa que únicamente 10 municipios hidalguenses se mantienen sin registros oficiales de esta plaga. l reporte también señala que, de los casos acumulados en Hidalgo, actualmente 91 se mantienen activos dentro del sector pecuario. Las autoridades sanitarias mantienen el seguimiento para contener la dispersión del parásito y reducir riesgos en zonas con mayor incidencia. Entre los municipios con mayor número de casos acumulados destaca Huautla, con 77 reportes, lo que lo coloca como la demarcación con mayor incidencia dentro del estado. En segundo lugar aparece La Misión, con 64 casos. Ambos municipios forman parte de las zonas donde la presencia del gusano barrenador ha tenido mayor impacto en el sector ganadero, de acuerdo con los datos oficiales. n contraste, hay municipios con afectaciones más bajas. Pachuca, Tlaxcoapan, Zapotlán de Juárez y Zempoala registran apenas un caso cada uno, según el mismo corte. Aunque la diferencia entre municipios es amplia, el dato general muestra que el problema ya no se limita a una región específica, sino que se ha extendido prácticamente por todo el territorio hidalguense. Cabe recordar que el gusano barrenador es causado por una mosca parásita que deposita sus huevos en heridas abiertas o zonas húmedas de animales. Al eclosionar, las larvas se alimentan de tejido vivo, lo que puede provocar lesiones graves si no se atiende a tiempo. La afectación también alcanzó a personas. El último informe de la Secretaría de Salud federal confirmó 10 casos de gusano barrenador en seres humanos dentro de Hidalgo. En humanos, esta condición se conoce como miasis, una infestación causada por larvas que invaden tejido vivo. Aunque suele asociarse con animales, también puede presentarse en personas cuando existen heridas expuestas, falta de limpieza adecuada o condiciones que favorecen la presencia de la mosca. La transmisión ocurre cuando la mosca deposita huevos sobre heridas, raspaduras o zonas húmedas en animales. Los casos pueden presentarse en ganado, mascotas y otros animales expuestos al aire libre, especialmente en zonas rurales o cercanas a áreas ganaderas. Los perros que permanecen en patios, parcelas o espacios abiertos también pueden estar en riesgo si tienen heridas sin limpiar o lesiones no atendidas. Por ello, una de las medidas preventivas más importantes es revisar con frecuencia la piel y el pelaje de los animales, especialmente después de que hayan estado en contacto con lodo, maleza, ganado o zonas húmedas. También se recomienda mantener limpias las heridas, acudir al veterinario ante lesiones que no cicatrizan y evitar que animales con heridas permanezcan sin atención en exteriores. En Hidalgo, el avance de los reportes obliga a mantener atención tanto en unidades de producción ganadera como en animales domésticos, debido a que la detección temprana puede evitar complicaciones y reducir la propagación del gusano barrenador.</t>
  </si>
  <si>
    <t>Gusano barrenador</t>
  </si>
  <si>
    <t>Un aficionado alemán de 81 años se desvaneció en las inmediaciones del Estadio Ciudad de México (Estadio Azteca) minutos antes del partido inaugural del Mundial entre México y Sudáfrica. El hombre fue trasladado al Instituto Nacional de Cardiología, tras desvanecerse en las afueras del recinto deportivo.</t>
  </si>
  <si>
    <t>Tulancingo implementa la estrategia "Mundial Seguro: Protegiendo a la Niñez y Adolescencia". Impulsado por la actual administración municipal y el SIPINNA, este programa capacita a hoteles y restaurantes para identificar situaciones de riesgo como trata de personas, extravío o violencia, activando protocolos de atención inmediata mediante códigos QR y zonas seguras.</t>
  </si>
  <si>
    <t>En el marco de la Expo Feria Cuautepec 2026, el Gobierno Municipal invitó a la población a participar en las actividades religiosas, culturales y artísticas que se realizarán el próximo 13 de junio en honor a San Antonio de Padua. La jornada incluirá las tradicionales mañanitas, celebraciones eucarísticas, rosario, procesión por las principales calles de la cabecera municipal y la bendición de los puestos del mercado. Además, se presentarán los ballets folklóricos Papalotl, Luna e Hidalguense, así como un espectáculo de imitación a cargo de Roberto D’Alessio. Las actividades concluirán con la tradicional quema del castillo y un baile popular amenizado por el Grupo Internacional Carro Show.</t>
  </si>
  <si>
    <t>Tras lluvias, reabre gobierno de Hidalgo 18 caminos, para restablecer comunicación de 58 localidades</t>
  </si>
  <si>
    <t>Radio Lobo 96.7 FM</t>
  </si>
  <si>
    <t>Con más obras y apoyos para Cardonal, “Hidalgo es una potencia en marcha”, afirma Julio Menchaca (AUDIO JM).</t>
  </si>
  <si>
    <t>Gina Lorenzo</t>
  </si>
  <si>
    <t>Enlace Noticias</t>
  </si>
  <si>
    <t>Natividad Castrejón escucha propuestas del Consejo Consultivo infantil y juvenil de Tepeji (AUDIO NCV)</t>
  </si>
  <si>
    <t>Con más obras y apoyos para Cardonal, “Hidalgo es una potencia en marcha”, afirma Julio Menchaca (AUDIO JMS)</t>
  </si>
  <si>
    <t>Julio Menchaca destinó más de 183 mdp para obra pública en Santiago de Anaya (AUDIO JMS)</t>
  </si>
  <si>
    <t>Fortalece Huasca de Ocampo la protección de la infancia con la instalación de la Procuraduría Municipal de Protección de Niñas, Niños y Adolescentes. (AUDIO EVR).</t>
  </si>
  <si>
    <t>La iniciativa propone el acceso universal a internet como garantía obligatoria del Estado, facilitando la educación virtual, la telemedicina y el empleo a distancia en las zonas más vulnerables. Con el objetivo de reducir la brecha digital y garantizar que toda la población tenga acceso a las herramientas tecnológicas actuales, la diputada Claudia Luna, del Partido Acción Nacional (PAN), presentó una iniciativa de reforma ante el Congreso del Estado de Hidalgo. La propuesta busca modificar el artículo 4 Ter de la Constitución Política local para elevar a rango constitucional el derecho al acceso universal a internet y a las tecnologías de la información y comunicación (TIC). De esta manera, se busca actualizar un apartado históricamente enfocado en la libertad de imprenta para adaptarlo a las necesidades y derechos digitales de la sociedad actual. La propuesta busca instituir un mandato constitucional claro y progresivo que actúe como brújula para el diseño de futuras políticas públicas, programas y leyes secundarias en materia de alfabetización digital y conectividad en toda la geografía estatal. El sustento técnico de este proyecto radica en revertir las marcadas desigualdades sociales que imperan en la región. Según datos oficiales de la ENDUTIH, mientras el uso de internet alcanza niveles óptimos en los centros urbanos, en las zonas rurales e indígenas el rezago es alarmante, limitando el crecimiento de miles de personas. Al vincular la conectividad directamente con la libertad de expresión, la reforma asume que la red ya no es un simple servicio comercial, sino un habilitador indispensable para la vida moderna. La aprobación de esta iniciativa transformará profundamente la realidad social y legal de Hidalgo, permitiendo mejorar de forma sustancial los indicadores educativos mediante el uso interactivo de plataformas digitales y facilitando el acceso a servicios y trámites gubernamentales en línea. Asimismo, funcionará como un motor para impulsar la economía digital en el estado, robustecer la transparencia pública y proveer herramientas reales de inclusión para empoderar a los sectores más vulnerables de la población, tales como las comunidades indígenas, mujeres, jóvenes, adultos mayores y personas con discapacidad. Con esta iniciativa, el Congreso del Estado de Hidalgo tiene la oportunidad de sentar un precedente histórico en justicia social. Al armonizar la legislación local con las garantías que ya otorga la Constitución Federal y las tendencias globales, se busca que ninguna persona quede excluida del desarrollo por razones geográficas o socioeconómicas. La diputada Claudia Luna enfatizó que esta propuesta representa un paso estratégico y con visión de futuro, indispensable para construir un Hidalgo verdaderamente equitativo, conectado y preparado para los desafíos de la sociedad del conocimiento.</t>
  </si>
  <si>
    <t>Hoy va usted, la cuenta regresiva pues está llegando a su fin. Nos encontramos a menos de seis horas de que inicie el mundial de fútbol aquí en México, que hace historia al albergar tres copas del mundo. Escuchemos la reflexión de Nadim Ashane. Hace apenas unos días, el mundo volvió la mirada hacia México, el país que alguna vez vio coronarse a Pelé. El país donde Maradona escribió una de las páginas más memorables de la historia del fútbol. El único que ha tenido el privilegio de inaugurar tres copas del mundo. Y sin embargo, esta vez la historia llega acompañada de preguntas, porque mientras el balón está listo para rodar, México también enfrenta su propio partido. La Ciudad de México vive días de contrastes. Por un lado, la fiesta mundialista, por el otro, manifestaciones sociales, bloqueos y demandas que recuerdan que la realidad no se detiene porque llega la FIFA. En las calles del Centro Histórico, las protestas de maestros y colectivos han coincidido con los preparativos para la inauguración, obligando a reforzar operativos de seguridad y modificar planes logísticos. Las sedes mundialistas Ciudad de México, Guadalajara y Monterrey lucen renovadas, pero no han escapado a las críticas. Persisten señalamientos sobre retrasos en infraestructura, problemas de movilidad y obras que llegaron a la recta final bajo presión. En Monterrey, la polémica escaló cuando comenzaron a circular imágenes de muros, mallas y lonas instaladas en zonas visibles para los visitantes. Muchos interpretaron estas acciones como un intento por ocultar áreas de pobreza y mostrar únicamente la versión más fotogénica de la ciudad. En Guadalajara, las críticas fueron inmediatas. ¿Se puede maquillar una realidad social detrás de una lona? Y mientras tanto, en las redes sociales surgió un fenómeno peculiar. Miles de jóvenes compartieron videos bajo la frase: "parece que no estamos invitados al Mundial… “</t>
  </si>
  <si>
    <t>Rodolfo López</t>
  </si>
  <si>
    <t>Enfoque Regional Matutino</t>
  </si>
  <si>
    <t>Reportaje</t>
  </si>
  <si>
    <t>Amplio operativo encabezado por la Procuraduría General de Justicia del Estado de Hidalgo se desarrolló la noche del miércoles en el municipio de Ixmiquilpan, donde agentes ministeriales ejecutaron diversos cateos como parte de investigaciones relacionadas con presuntos delitos contra la salud en modalidad de narcomenudeo. Las diligencias se concentraron en inmuebles ubicados en los barrios de La Reforma y San Nicolás, donde se observó una importante movilización de unidades de seguridad y personal especializado. De manera preliminar, trascendió que las acciones forman parte de una estrategia de investigación más amplia que podría extenderse a otros municipios de la región del Valle del Mezquital. Se espera que en las próximas horas la Procuraduría Estatal dé a conocer los resultados de estos operativos y el avance de las investigaciones correspondientes.</t>
  </si>
  <si>
    <t>Cateo</t>
  </si>
  <si>
    <t>En las últimas horas ha circulado una información relacionada con el avistamiento de un puma en el ejido de El Xhiti en Tepetitlán. Eso sin duda, pues generó preocupación de algunas personas. Mire, es importante siempre verificar la información que se puede tener dentro de este tipo de situaciones para no generar alarma. Hay que decir que las autoridades municipales han precisado en las últimas horas: este reporte corresponde a un hecho ya registrado meses atrás y que fue atendido oportunamente por instancias ambientales y de protección de la fauna silvestre. Este tema pues generó mucha controversia y el gobierno municipal ha dicho: a ver, no hay ningún registro de puma en las últimas horas. No hay ningún avistamiento, no se ha tenido algún reporte de alguna presencia de un ejemplar de puma en el municipio, en la región. Así es que todos tranquilos, calmados. Cuando se generó un reporte hace unos meses, un par de meses, pues vinieron especialistas ambientalistas, vinieron autoridades de Semarnat, algunos voluntarios también que se dedican a este tipo de situaciones e hicieron un recorrido importante por todo el municipio para verificar este tipo de avistamientos que son aislados.</t>
  </si>
  <si>
    <t>Avistamiento De Especies</t>
  </si>
  <si>
    <t>Las comunidades ribereñas de la presa Endhó se han reunido con el gobierno federal para atender este tema, pero ¿cuál es la postura de los pobladores de estas comunidades tras las reuniones que han sostenido con personal tanto del gobierno federal como de Conagua? Lo logrado, por4 presiones de los delegados y las comunidades, los políticos sólo vienen por la foto. Nadime Axhane, en entrevista grabada con Valentín Lugo, comisariado ejidal de San Francisco Bojay, que nos tome esta llamada. El martes participaron en una reunión importante en las oficinas centrales de Conagua, esto en la Ciudad de México, junto con representantes de diversas comunidades afectadas por la proliferación del mosquito Culex, esto en la zona de la presa. Señor Valentín, queremos conocer qué resultados dejó este encuentro y cuáles son las expectativas que tienen ustedes como pobladores. ¿Cómo fue esta reunión? ¿Hubo resultados positivos? ¿Cómo lo describe usted? [Valentín Lugo]: Fuimos atendidos por gente de Conagua federal, estatal y gente de gobernación y efectivamente expusimos lo que ya saben las autoridades y la problemática que vimos aquí en las comunidades y pues sí, a lo mejor no era lo que esperábamos, verdad, pero ya tuvimos un acuerdo previo, un acuerdo a las necesidades que tenemos aquí con la afectación del mosco y el lirio. Nosotros íbamos con la firme convicción de que metieran las máquinas a la de voz de ya, o sea, que metieran las trituradoras a la de voz de ya, pero más bien en cambio no fue así, nos dieron una fecha para empezar los trabajos y bueno, pues vamos a esperar esa fecha. Nos comentaron que la primera máquina llega, ellos dicen que es muy moderna, en agosto, a finales de agosto llega la primera máquina, de las tres que van a llegar. Sí, comentar y decirle que todo esto que se está logrando es a través de la presión que los delegados y los comisariados de los pueblos ribereños y afectados se ha logrado. Sí, efectivamente, es por lo que los delegados hemos hecho y los comisariados y no los políticos, porque los políticos van y se sacan la foto y comentan. Pero la verdad, esto ha sido por la presión de los delegados y los comisariados.</t>
  </si>
  <si>
    <t>Presa Endhó</t>
  </si>
  <si>
    <t>Vamos con el tema de las lluvias, y es que las labores de atención a las afectaciones provocadas por las recientes lluvias continúan en distintas regiones de Hidalgo. El gobierno estatal informó que hasta este miércoles han sido reabiertos dieciocho caminos que resultaron afectados por derrumbes, deslaves y caída de material, lo que ha permitido restablecer la comunicación terrestre en cincuenta y ocho localidades. De acuerdo con el reporte oficial, once de las vialidades ya operan al cien por ciento, mientras que otras siete permanecen con apertura parcial, en tanto continúan los trabajos de rehabilitación. Para estas acciones se mantienen desplegadas maquinaria especializada en municipios de la sierra y la huasteca hidalguense, entre ellos Huehuetla, Tlanchinol, Molango, Huejutla, Tianguistengo, Juárez Hidalgo y Eloxochitlán, zonas donde las precipitaciones han generado mayores afectaciones durante los últimos días.</t>
  </si>
  <si>
    <t>Y con una inversión superior a los 2.8 millones de pesos, el gobierno municipal de Tula de Allende, encabezado por Cristian Martínez, puso en marcha y concluyó diversas obras de infraestructura básica en las comunidades de Michimaloya, Barrio Alto y Tultengo, con el objetivo de mejorar los servicios públicos y la movilidad de sus habitantes. Entre las acciones realizadas destaca la construcción de una red de drenaje sanitario en Michimaloya, así como la rehabilitación de pavimento hidráulico en dos vialidades de Barrio Alto, obras que buscan fortalecer la conectividad y las condiciones urbanas de la zona. Además, en la comunidad de Tultengo fue entregada una ampliación de la red de electrificación, con lo que se amplía la cobertura de este servicio para familias del sector. Las obras representan una inversión total de dos millones ochocientos ochocientos un mil pesos y forman parte de los proyectos de infraestructura que el ayuntamiento desarrolla en distintas localidades del municipio para atender necesidades prioritarias de la población.</t>
  </si>
  <si>
    <t>Obras De Infraestructura</t>
  </si>
  <si>
    <t>En una nueva jornada de las rutas de la transformación, el gobernador Julio Menchaca anunció inversiones para fortalecer la infraestructura carretera, los sistemas de agua potable, y el desarrollo del campo en Cardonal, uno de los municipios con mayor rezago histórico en la región del Valle del Mezquital. Durante esta gira también fueron entregados apoyos e insumos agrícolas a productores de Cardonal, Ixmiquilpan, y Nicolás Flores, mientras que autoridades estatales y federales informaron sobre nuevas obras que contemplan la rehabilitación de carreteras y caminos rurales, con una inversión conjunta superior a los cien millones de pesos. El mandatario destacó que de 2022 a la fecha, la inversión pública en Cardonal supera los doscientos cuarenta y seis millones de pesos en proyectos de infraestructura y servicios básicos. "Por eso me da muchísimo gusto estar en el Cardonal. Agradecer el esfuerzo de todos, desde cada trinchera, desde el aula, el consultorio, la patrulla, en el campo, en cualquier lugar en donde ejerzamos nuestras actividades, teniendo la seguridad de que estamos construyendo un mejor estado, de que Hidalgo es una potencia en marcha, y de que asumimos los compromisos, los supervisamos, y estamos trabajando con mucha fortaleza para demostrar de qué está hecha la gente en el estado de Hidalgo". (AUDIO JMS)</t>
  </si>
  <si>
    <t>Es un día importante, histórico, para el deporte en México. México se convierte en el país, en el único país en albergar tres copas del mundo. Mire, hay muchos problemas, hay muchas manifestaciones, hay muchas situaciones que atender en el país, eso hay que reconocerlo. Tal vez no estábamos preparados para una tercera copa del mundo. La situación social de seguridad, lo vemos, manifestaciones, madres buscadoras, profesores, estudiantes, manifestándose, pero hay que reconocer también que este es un hecho histórico, que en México se consume fútbol, que se vive esta pasión de manera muy particular en nuestro continente. Así que, sí, sí, está iniciando la Copa del Mundo, hoy jueves 11 de junio del 2026, ocho años han pasado después de que se anunciara por parte de la FIFA que México, Estados Unidos y así se vive el mundial. Ya muchos hoy, hoy por decreto presidencial, no trabajaron. Home office a distancia para también, pues usted lo sabe, la Ciudad de México es caótica. Hablando en cuestiones de tránsito, para dejar lo más posible liberadas las vías y que este mundial, sobre todo los que van a asistir al estadio, más de 80 mil personas puedan llegar sin ningún problema. Vamos a estar hablando del mundial, así que quédese con nosotros. Hay más información que presentarle en este día. Tómese un café conmigo, aquí abrimos la conversación. Teléfonos en cabina: siete siete tres setenta y tres dos veintiuno diecinueve y siete siete tres setenta y tres dos cuarenta y dos cincuenta y cinco. Quejas, opiniones, sugerencias, lo que usted desee externar. Enfoque Regional a través de Super Estéreo, cien punto cinco FM, donde su voz se escucha.</t>
  </si>
  <si>
    <t>El gobierno municipal de Tulancingo emitió un comunicado para recordar que la exhibición pública de los encuentros deportivos está sujeta a permisos, licencias y derechos de transmisión establecidos por la legislación vigente. De acuerdo con la Dirección de Reglamentos y Espectáculos, la medida aplica para la proyección o retransmisión de partidos en plazas públicas, auditorios, centros culturales, escuelas, hoteles, restaurantes, bares, centros comerciales, salones de eventos y cualquier espacio donde se concentren asistentes para seguir los encuentros. Las autoridades señalaron que cualquier establecimiento o persona que pretenda organizar eventos colectivos para transmitir partidos del Mundial deberá verificar que cuenta con las autorizaciones necesarias y con los derechos de transmisión correspondientes. El objetivo, indicaron, es evitar posibles infracciones legales derivadas del uso no autorizado de las señales y contenidos protegidos. Como parte de estas acciones preventivas, el municipio informó que realizará labores de supervisión, inspección y orientación dirigidas a establecimientos comerciales y organizadores de eventos. La autoridad municipal recordó que la responsabilidad por el uso indebido de los derechos de transmisión recae en quienes organicen o promuevan este tipo de eventos sin las autorizaciones correspondientes. Por ello, hizo un llamado a propietarios de negocios, administradores de espacios y organizadores a revisar previamente la situación legal de las transmisiones que pretendan realizar durante el Mundial 2026. Con estas medidas, el municipio busca prevenir conflictos relacionados con derechos de transmisión y garantizar que las actividades vinculadas con la máxima justa futbolística se desarrollen dentro del marco legal. El gobierno de Tulancingo aclaró que no cuenta con la facultad para sancionar la transmisión o retransmisión de partidos de la Copa Mundial de la FIFA, y señaló que únicamente informa sobre los derechos y licencias de autorización correspondientes. De acuerdo con la publicación oficial, la Dirección de Reglamentos y Espectáculos, así como Mercados y el Centro de Abastos, se limitarán a orientar y dar a conocer las disposiciones emitidas por las autoridades estatales, sin asumir responsabilidad alguna por posibles multas o sanciones relacionadas con el tema.</t>
  </si>
  <si>
    <t>En su colaboración semana Gustavo Rosales habló la carrera atlética denominada “activa tu potencial” de 10 km, la cual estará llegando a Ciudad Deportiva de Alto Rendimiento, las inscripciones están abiertas desde el primer minuto de este día y hasta las 23:59 horas del sábado 13 de junio, ingresando a las redes sociales de Gobierno del Estado y del INHIDE. La experiencia que se tiene con este tipo de carreras organizadas por el gobierno estatal es bastante positiva.</t>
  </si>
  <si>
    <t>Carrera atlética</t>
  </si>
  <si>
    <t>Derivado del monitoreo permanente de la red carretera estatal, la SIPDUS reporta lo siguiente: En el municipio de Tianguistengo ya fue retirado el derrumbe registrado a la altura de La Esperanza y del camino rural El Hormiguero.</t>
  </si>
  <si>
    <t>Tras la aprobación del Congreso de Hidalgo de la convocatoria para realizar una consulta popular que defina si se prohíben o no las corridas de toros en Hidalgo, Jonathan Job Morales, presidente de la asociación Biofutura, anunció que emprenderán acciones legales para impedir que se lleve a cabo dicho ejercicio democrático, al considerar que no se puede “consultar algo que ya está en la Constitución”. El activista señaló que destinar recursos públicos a este mecanismo de participación implicaría desviar presupuesto que, afirmó, debería orientarse a atender otras necesidades prioritarias, como el abasto de medicamentos y servicios en hospitales. Asimismo, sostuvo que, aunque el proceso ya fue aprobado por el Poder Legislativo estatal, “esta batalla no está perdida”, por lo que reiteró que buscarán acudir ante instancias federales para frenar la realización de la consulta. “Finalmente, la decisión de generar una consulta no es constitucional; no se podría generar una consulta sobre algo que ya está establecido en nuestra Constitución”, declaró en entrevista con medios de comunicación. Fue el jueves pasado cuando el Congreso de Hidalgo aprobó la convocatoria para la consulta popular sobre corridas de toros, la cual se realizará el 6 de junio del próximo año, coincidiendo con la jornada electoral para renovar ayuntamientos y diputaciones locales.</t>
  </si>
  <si>
    <t>María Elena Carballal Ogando, presidenta de la Cámara Nacional de la Industria de Restaurantes y Alimentos Condimentados (Canirac) en Hidalgo, informó que 57 de los 87 establecimientos afiliados al organismo cuentan con contratos vigentes para transmitir los partidos del Mundial 2026. Añadió que el resto de los negocios de Hidalgo continúa en proceso de instalación debido a la saturación de las empresas proveedoras de televisión restringida y plataformas de streaming. No obstante, quienes ya tienen número de contrato fueron autorizados para iniciar las transmisiones desde este 11 de junio. La dirigente advirtió sobre posibles verificaciones apócrifas y señaló que se reunió con la directora general de la zona regional que incluye a Hidalgo para coordinar revisiones y confirmar que los inspectores que acudan a los establecimientos estén debidamente acreditados. Carballal Ogando indicó que, mediante la Canirac nacional, el sector obtuvo convenios con precios preferenciales para los paquetes oficiales del Mundial. El costo inicial fue de 4 mil pesos por toda la temporada, con variaciones según el aforo y el número de mesas de cada negocio. Estimó un incremento de 50 por ciento en las ventas y afluencia de comensales durante el torneo y mencionó que, para incentivar el consumo, restaurantes de Pachuca, Mineral de la Reforma, Real del Monte, Actopan y Tula prepararon promociones y paquetes temáticos, sin modificar los precios de sus menús. Precisó que el gasto promedio por cliente oscila entre 250 y mil pesos, dependiendo del tipo de establecimiento. Además, descartó la necesidad de solicitar ampliaciones de horario en Hidalgo, ya que las licencias de restaurante-bar permiten cubrir el periodo de los encuentros programados durante la competencia. Finalmente, destacó que la presencia de la selección de Sudáfrica en Hidalgo ya generó beneficios para el sector. Como ejemplo, dijo que el partido de exhibición Leyendas de México vs. Sudáfrica, realizado el domingo pasado, impulsó la movilidad entre municipios y favoreció directamente a los restaurantes.</t>
  </si>
  <si>
    <t>Locutor Jesús Riveros da lectura a comentario de radioescucha que, solicita que reparen la carretera Zototlán-Cebolletas se encuentra en muy malas condiciones, ya no se puede circular por ahí; Jesús Riveros responde que, si ha ido y que, si está ya muy complicado circular por esa zona y dice, recordemos que es parte también de un proceso de gestión, de liberación de recursos, licitación, así que esperemos que pronto llegue este reencarpetamiento.</t>
  </si>
  <si>
    <t>El gobernador ha destacado en el Plan Estatal de Desarrollo que se fue formando a través de peticiones de la ciudadanía, que, evidentemente son demasiadas, debido a los rezagos existentes en la entidad y en eso, tiene que ver el ir escuchando a todas las personas, para ir formando este Plan, que, ha tenido adecuaciones y que tiene una solo limitantes, misma que ha destacado el mandatario estatal, el presupuesto, por eso, se han llevado a cabo obras en favor de la población. Este gobierno se caracteriza por “obras grandotas” sino por “obras grandiosas”, en muchas ocasiones se han hecho obras que permanecen y que ahí están, pero que no tienen la utilidad ni para lo que fueron creadas ni para las que están ya en uso; por ello, es que las obras que se están realizando son en favor de la ciudadanía, comentó locutor David Cárdenas.</t>
  </si>
  <si>
    <t>El gobernador de Hidalgo, Julio Menchaca Salazar se encuentra en Mineral del Chico encabezando las “Rutas de la Transformación, Gobierno en Movimiento” en donde lleva a cabo la entrega de apoyos. Esto fue lo que destacó el gobernador Julio Menchaca en Mineral del Chico. (AUDIO JMS).</t>
  </si>
  <si>
    <t>En sesión ordinaria, diputadas y diputados integrantes de la LXVI Legislatura avalaron con 23 votos a favor, dos en contra y una abstención, el acuerdo de la Junta de Gobierno que propone la emisión de la convocatoria de consulta popular en materia de corridas de toros. La legisladora Mónica Leanett Reyes Martínez (Nueva Alianza) explicó que la organización, desarrollo, cómputo y declaración de resultados de la consulta popular estarán a cargo del Instituto Estatal Electoral (IEEH), conforme a la metodología que apruebe dicho órgano, el cual será la única instancia calificadora. También indicó que la difusión de esta actividad se llevará a cabo en los términos, plazos y formas que se determinen en la metodología aprobada por el IEEH; que la pregunta será la siguiente: “¿deben prohibirse las corridas de toros en el estado de Hidalgo?” y que las opciones de respuesta serán: “sí” y “no”. La diputada aseguró que la consulta popular no es una decisión discrecional del Congreso; es un mecanismo de participación ciudadana previsto en la Constitución local y regulado por la Ley de Participación Ciudadana. “El procedimiento ha cumplido todas las etapas legales: presentación de la solicitud, aprobación legislativa, revisión jurisdiccional y declaratoria de procedencia por parte del Tribunal Superior de Justicia”, detalló.</t>
  </si>
  <si>
    <t>Policía Estatal mantiene apoyo y monitoreo ante afectaciones por lluvias en Hidalgo</t>
  </si>
  <si>
    <t>La SIPDUS informa sobre las incidencias más recientes tras las lluvias acontecidas en las últimas horas: De acuerdo al último corte de información son 5 mil 270 metros cúbicos de derrumbes registrados en carreteras de toda la entidad. 33 caminos reportados con contingencias y siete cerrados en su totalidad, así como 12 abiertos, atendidos parcialmente y 14 liberados al 100%.</t>
  </si>
  <si>
    <t>Factible en Hidalgo adoptar modelo de Ciudades Esponja: Miguel Tello</t>
  </si>
  <si>
    <t>Ciudades esponja</t>
  </si>
  <si>
    <t>Encabeza Hidalgo el crecimiento anual de la actividad industrial estatal</t>
  </si>
  <si>
    <t>Índice De Actividad Industrial</t>
  </si>
  <si>
    <t>Hidalgo lidera tecnificación del campo en México</t>
  </si>
  <si>
    <t>Tecnificación De Riego</t>
  </si>
  <si>
    <t>Fortalece Huasca de Ocampo la protección de la infancia con la instalación de la Procuraduría Municipal de Protección de Niñas, Niños y Adolescentes</t>
  </si>
  <si>
    <t>IHM y UPMH instalan primera Red de Mujeres Universitarias</t>
  </si>
  <si>
    <t>Red de Mujeres</t>
  </si>
  <si>
    <t>Romper el tabú salva vidas: detección temprana, clave contra el cáncer de próstata</t>
  </si>
  <si>
    <t>Prevención De Enfermedades</t>
  </si>
  <si>
    <t>Autoridades de Tepeji del Río investigan el hallazgo sin vida de una joven de 19 años de edad en la comunidad de Santa Ana Azcapotzaltongo luego de que familiares reportaran su desaparición tras perder contacto con ella durante la noche anterior. Vamos a darle seguimiento a este tema y qué es lo que van arrojando las investigaciones preliminares.</t>
  </si>
  <si>
    <t>Y como parte de las acciones de combate al narcomenudeo en el Valle del Mezquital, autoridades estatales y federales ejecutaron un cateo en la colonia San Nicolás en el municipio de Ixmiquilpan donde fue desarticulado un presunto punto de distribución de drogas. El operativo realizado por la Secretaría de Seguridad Pública de Hidalgo en coordinación con la Procuraduría, el Ejército Mexicano y la Guardia Nacional permitió el aseguramiento de más de 1,600 dosis de presuntos narcóticos. Durante la intervención fueron localizadas 1,500 dosis de hierba seca con características similares a la marihuana, así como 123 dosis de sustancia granulada conocida como cristal. Además se aseguraron básculas de precisión y bolsas utilizadas presuntamente para la dosificación y distribución de las sustancias.</t>
  </si>
  <si>
    <t>Y la justa mundialista también representa una inversión adicional para bares y cantinas de Pachuca, cuyos propietarios han comenzado a contratar licencias para transmitir los partidos de manera pública dentro de sus establecimientos. Este tema fue recurrente durante esta semana al poner sobre la mesa que los establecimientos, los ayuntamientos o aquel que quisiera transmitir el partido de forma pública tendría que tener los derechos o al menos el permiso para poder hacerlo. De acuerdo con Javier Zavala Ramírez, presidente de la Asociación de Bares y Cantinas de la Zona Metropolitana de Pachuca, los costos de estos permisos oscilan entre los 5,000, 14,000 y hasta 24,000 pesos, esto dependiendo de la capacidad y número de mesas de cada negocio. Todo funciona al tamaño del establecimiento, muchas de las cantinas que tenemos en el Centro Histórico son muy pequeñas, conocemos varias de ellas que tienen 2 o 3 mesas nada más, quizás eso pueda ser un factor para que los propietarios puedan animarse a hacer la contratación de esos paquetes. Habría que ver si es todo el paquete de los 104 partidos, si solamente es un solo partido, estos precios cómo oscilan. El dirigente explicó que únicamente dos empresas cuentan con autorización para comercializar los paquetes de transmisión pública por lo que varios establecimientos ya realizaron la contratación correspondiente para evitar posibles sanciones derivadas del uso no autorizado de las señales deportivas. La medida forma parte de los preparativos del sector ante uno de los eventos deportivos con mayor expectativa de audiencia que se espera generar una mayor afluencia de clientes y una actividad económica en bares y cantinas de la capital hidalguense. AUDIO DE APOYO</t>
  </si>
  <si>
    <t>Y el Congreso de Hidalgo aprobó, por mayoría, la convocatoria para realizar una consulta popular sobre el futuro de las corridas de toros en la entidad. Ejercicio ciudadano que se llevará a cabo el próximo 6 de junio de 2027, de manera concurrente con la jornada electoral. La decisión se da un día después de que el Tribunal Superior de Justicia de Hidalgo validara la procedencia del mecanismo de participación ciudadana y avalara la modificación de la pregunta que será sometida a consideración de la población. Durante la sesión ordinaria de este jueves, la diputada Mónica Ríos Martínez informó al Pleno sobre la resolución emitida por los magistrados del Poder Judicial Estatal con la que se dio paso a la aprobación formal de la convocatoria. AUDIO DE APOYO</t>
  </si>
  <si>
    <t>Entre docentes en activo, jubilados y estudiantes normalistas, realizaron una marcha en las calles de Pachuca para expresar su respaldo a las movilizaciones nacionales convocadas por la Coordinadora Nacional de Trabajadores de la Educación. ¡Maestro consciente, no se rinde ni se vende! El contingente, conformado por alrededor de 80 participantes, recorrió algunas de las principales vialidades de la capital del Estado para visibilizar sus demandas relacionadas con el sistema de pensiones y las condiciones laborales de los trabajadores al servicio del Estado. Durante la movilización, los manifestantes reiteraron su exigencia de derogar la ley del Issste del 2007, al considerar que dicha reforma modificó de manera significativa el sistema de jubilación y seguridad social de los trabajadores del sector público. La protesta se desarrolló de manera pacífica y formó parte de las acciones que diversos sectores magisteriales mantienen en distintas entidades del país en torno a sus demandas laborales y de seguridad social. AUDIO DE APOYO</t>
  </si>
  <si>
    <t>Marcha CNTE</t>
  </si>
  <si>
    <t>La presidenta del Patronato del Sistema DIF Hidalgo, Edda Vite Ramos, consideró que no es necesaria una reforma legal para garantizar el acompañamiento de adolescentes bajo tutela del Estado al alcanzar la mayoría de edad, al señalar que este proceso ya forma parte de las acciones que se realizan en los centros asistenciales de la entidad. La funcionaria explicó que las y los jóvenes que permanecen bajo resguardo institucional reciben acompañamiento gradual para incorporarse a la vida independiente mediante esquemas orientados a su formación académica, capacitación y desarrollo personal con el propósito de facilitar su integración social una vez que cumplan los 18 años. Las declaraciones surgen en el contexto de una propuesta legislativa que busca establecer en la ley mecanismos específicos para apoyar a adolescentes que egresan de las casas de asistencia, un sector que enfrenta desafíos particulares al dejar el sistema de protección institucional. AUDIO DE APOYO</t>
  </si>
  <si>
    <t>Casa de tran­si­ción</t>
  </si>
  <si>
    <t>Poder nosotros tener una cultura de prevención es muy importante, sobre todo porque se están presentando algunas lluvias atípicas donde las condiciones climáticas cambian en minutos. Usted puede informarse a través de las páginas de Facebook de protección civil municipal o visitar la cuenta de Facebook de la Conagua donde diariamente se da el reporte del clima y se dan algunas recomendaciones y sugerencias, como revisar techumbres, revisar que estén bien seguras, también tener una acción preventiva en cuanto a si se presentan anegaciones o algunas inundaciones que se presenten. Usted conoce las condiciones del terreno donde vive, sabe dónde se encharca el agua y cómo esto le puede afectar o no. Es muy importante tener esa cultura de prevención en materia de protección civil porque lamentablemente las condiciones climáticas no son las de hace 30, 40 años; ahora las condiciones cambian drásticamente. Así es que hay que tomar muy en cuenta lo que dice el subsecretario y gracias por el tiempo del subsecretario de Protección Civil de Hidalgo, Román Bernal Díaz.</t>
  </si>
  <si>
    <t>Nota con apoyo de audios de Román Bernal Díaz , Subsecretario de Protección civil y Gestión de Riesgos ante las intensas lluvias registradas en Hidalgo y el cambio a semáforo amarillo en el Valle del Mezquital, la Sierra Alta y la Huasteca. Rl.- Tenemos una máxima de veinticinco y una probabilidad para este viernes del treinta por ciento de lluvias. Mañana hay una probabilidad del ochenta por ciento. Hay condiciones frescas y húmedas con probabilidad de lluvias moderadas y chubascos en diferentes regiones del Estado. Continúa la alerta por parte de autoridades. Seguimos en semáforo amarillo, al menos en la Huasteca y en la Sierra. ¿Por qué le digo esto? Las lluvias, pues, se mantienen durante este fin de semana y las autoridades están trabajando para, pues, prevenir cualquier situación. Nadime Ashane conversó con el Subsecretario: Ante el registro de intensas precipitaciones, la Subsecretaría de Protección Civil y Gestión de Riesgos de Hidalgo determinó activar el semáforo amarillo para las regiones de la Sierra Alta, la Huasteca y el Valle del Mezquital. Esta medida responde directamente a los pronósticos meteorológicos y a las afectaciones derivadas de la saturación de los suelos, tales como deslaves, desbordamientos de cuerpos de agua, derrumbes y rodamiento de piedras en las zonas serranas, así como el incremento en los niveles hídricos del Valle del Mezquital. El riesgo no es aislado, ya que entre el 80% y el 90% del territorio estatal, incluyendo la Sierra Gorda, la Sierra Baja y la región Otomí-Tepehua, debe mantenerse en alerta. Los modelos meteorológicos anticipan un fin de semana complejo: para los días 12 y 13 de junio se prevén tormentas fuertes e intensas con acumulaciones de 75 a 150 milímetros, concentradas principalmente en el norte y el este de la entidad, mientras que para el domingo 14 de junio se esperan lluvias muy fuertes de 50 a 75 milímetros en las mismas demarcaciones. Frente a este panorama, la dependencia estatal enfatizó la urgencia de que la ciudadanía asuma una corresponsabilidad activa en la prevención. La instrucción principal bajo el semáforo amarillo es contar de manera permanente con una mochila de emergencia que contenga documentos esenciales, medicamentos, lámparas y dinero en efectivo, asegurando así una evacuación ágil hacia los refugios temporales habilitados por el gobierno. Asimismo, se exhortó a la población a identificar con precisión las rutas de evacuación, puntos de reunión y zonas de riesgo de sus localidades para evitar decisiones equívocas durante las contingencias. Respecto a la vulnerabilidad histórica de la región de Tula y el recuerdo de los acontecimientos de 2021, la subsecretaría aclaró que actualmente operan mecanismos de prevención y monitoreo mucho más rigurosos. El río Tula se supervisa las 24 horas del año en coordinación estrecha con las delegaciones locales y centrales de la Comisión Nacional del Agua (Conagua), instancia encargada de regular los niveles de las presas y autorizar desfogues preventivos para absorber los caudales provenientes del Valle de México. Finalmente, la autoridad identificó como el principal error de la ciudadanía el desatender los avisos oficiales y carecer de un plan familiar de protección civil. Se reiteraron recomendaciones operativas estrictas para salvaguardar la integridad física y patrimonial: Ante cualquier situación de riesgo, la población debe recurrir exclusivamente a los canales oficiales y reportar las emergencias a través de las líneas 911 y 089, recordando que la protección civil es una responsabilidad compartida que mitiga de forma directa los peligros para la vida y la salud.</t>
  </si>
  <si>
    <t>Las presas de Hidalgo registran un almacenamiento global de alrededor del 101.6 por ciento y un derrame de 0.58 metros cúbicos, por lo que permanecen bajo vigilancia de la Comisión Nacional del Agua (Conagua), organismo que además prevé la continuidad de las lluvias, principalmente en las regiones de la Sierra y la Huasteca. El reporte indica que algunos embalses incluso superan su capacidad histórica. La presa Endhó almacena actualmente 182.9 millones de metros cúbicos y muestra la recuperación más importante respecto al año anterior. Su nivel de operación se ubica en 98.8 por ciento, muy por encima de los 105.9 millones de metros cúbicos que registraba en la misma fecha de 2025, cuando apenas alcanzaba el 57.9 por ciento de su capacidad. La diferencia equivale a 74 millones de metros cúbicos. En tanto, la presa Taxhimay reporta un almacenamiento de 39 millones de metros cúbicos, equivalente al cien por ciento de su capacidad. Hace un año almacenaba 22.7 millones de metros cúbicos, es decir, el 56.9 por ciento. La presa Requena presenta un comportamiento similar. Aunque su capacidad es de 36 millones de metros cúbicos, actualmente almacena 49.9 millones, lo que representa el 138.7 por ciento. Debido a ello se ha realizado una extracción acumulada de 56.1 millones de metros cúbicos y mantiene un gasto de mil 80 metros cúbicos. Por su parte, la Vicente Aguirre, considerada la de menor capacidad con 17.8 millones de metros cúbicos, registra 15.1 millones, equivalente al 84.8 por ciento, nivel que también representa una recuperación significativa frente al año pasado. La presa Rojo Gómez, con capacidad para 39 millones de metros cúbicos, almacena 35.9 millones y opera al 89.9 por ciento. El año anterior apenas acumulaba 10.9 millones de metros cúbicos. En el caso de La Esperanza, con capacidad de 3.9 millones de metros cúbicos, opera al cien por ciento y mantiene una extracción de 0.05 metros cúbicos. La hidroeléctrica de Zimapán, cuya capacidad es de mil 390 millones de metros cúbicos, registra actualmente un almacenamiento de mil 63.5 millones de metros cúbicos.</t>
  </si>
  <si>
    <t>Monitoreo De Presas</t>
  </si>
  <si>
    <t>SSPH desmantela punto de narcomenudeo en Ixmiquilpan</t>
  </si>
  <si>
    <t>Hidalgo vive la experiencia inmersiva de la justa mundialista 2026</t>
  </si>
  <si>
    <t>Video Mapping</t>
  </si>
  <si>
    <t>Restablece Gobierno de Hidalgo comunicación en 98 localidades</t>
  </si>
  <si>
    <t>Aunque la Ley establece el inicio de operativos de revisión, y en su caso sanción, a los vehículos que incumplen con la verificación vehicular desde el primero de enero de este año, las patrullas ambientales y el personal a cargo de esta tarea no están listos, reconoció la titular de la Secretaría de Medio Ambiente y Recursos Naturales de Hidalgo (Semarnath), Mónica Patricia Mixtega Trejo. La funcionaria estatal atribuyó el retraso nuevamente a complicaciones de carácter administrativo y falta de personal para operar estas unidades de supervisión, como declaró en entrevista el pasado mes de enero; cinco meses después persisten estas dificultades para hacer valer la norma vigente. "Estamos revisando cuestiones administrativas, que es el seguro de las patrullas; ya se hizo la contratación del personal porque la realidad es que dentro de la Semarnath no tenemos suficiencia de personal para que puedan salir a atender este tema; ya se hizo la contratación, de hecho ahorita a principios de junio ya salieron las nuevas contrataciones; nada más estamos esperando el tema de los seguros para las patrullas y ya estarían en funcionamiento, nosotros esperamos que para el segundo semestre de verificación de este año", manifestó. Mixtega Trejo detalló la disposición de cuatro patrullas ambientales que entrarán en funcionamiento, en caso de no haber más retrasos, en el mes de julio; igualmente, adelantó, se ubicarán en puntos estratégicos de la entidad para iniciar estas revisiones. "Es que nosotros nos vamos moviendo de acuerdo al cumplimiento de la verificación y de acuerdo a cómo va incrementando el padrón vehicular", refirió; por lo cual no habrá puntos fijos de revisión, sino que darán mayor importancia a la supervisión en zonas o regiones de la entidad que reflejen un menor índice de cumplimiento de esta obligación ambiental, pues además únicamente cuentan con cuatro patrullas ambientales, es decir, que cada una debería atender en promedio 21 municipios. Finalmente, la titular de la Semarnath reconoció la reducción de verificentros en todo el territorio estatal; pese a esto, apuntó, cuentan con más líneas de atención para los vehículos, lo cual compensa la menor cantidad de inmuebles para cumplir con esta obligación.</t>
  </si>
  <si>
    <t>Semarnath</t>
  </si>
  <si>
    <t>Multas por verificación vehicular</t>
  </si>
  <si>
    <t>Donación altruista de sangre fortalece la atención médica en Hidalgo</t>
  </si>
  <si>
    <t>Donación de sangre</t>
  </si>
  <si>
    <t>Con 23 votos a favor, dos en contra y una abstención, integrantes de la 66 Legislatura local aprobaron que sea el Instituto Estatal Electoral de Hidalgo (IEEH) el encargado de organizar la consulta popular sobre las corridas de toros en la entidad. Aunque todavía no existe una fecha definida para su realización, el ejercicio iniciará con una pregunta detonante: si deben prohibirse las corridas de toros en el estado de Hidalgo, con las opciones de respuesta sí o no.</t>
  </si>
  <si>
    <t>Gobierno del estado</t>
  </si>
  <si>
    <t>Presidencia de la República</t>
  </si>
  <si>
    <t>Alcaldías</t>
  </si>
  <si>
    <t>Canal del Pueblo</t>
  </si>
  <si>
    <t>Vocales Radio</t>
  </si>
  <si>
    <t>Vía telefónica Milton Cortés informó que con el objetivo de fortalecer las acciones de prevención y vigilancia en la capital hidalguense, la Secretaría de Seguridad Pública, Tránsito y Vialidad de Pachuca, en coordinación con la Policía Estatal, la Secretaría de la Defensa Nacional y la Guardia Nacional, llevó a cabo el operativo “Colonia y Barrio Seguro” en diversos sectores del municipio. El despliegue se realizó en las colonias Renacimiento, Luz del Carmen, 20 de Noviembre, Europa, Faraona, Fraccionamiento La Cruz, Barrio La Cruz, San Bartolo, Vista Hermosa, Nueva Estrella, El Arbolito, Barrio La Alcantarilla, Barrio Mirador, Barrio Lobo, Barrio Anáhuac, Guadalupe, Buenos Aires, Fernández de Lizardi, Centro y Plaza del Valle.</t>
  </si>
  <si>
    <t>TV local</t>
  </si>
  <si>
    <t>Milton Cortés</t>
  </si>
  <si>
    <t>Radioescucha, Luis Manuel Gama: La carretera México-Laredo en el tramo de la Sierra Gorda hay muchos hoyos (socavones). Ojalá el gobierno del estado le invierta</t>
  </si>
  <si>
    <t>Radioescucha</t>
  </si>
  <si>
    <t>Andrés Torres</t>
  </si>
  <si>
    <t>Fortalece Huasca de Ocampo la protección de la infancia</t>
  </si>
  <si>
    <t>Con más obras y apoyos para Cardonal, afirma Julio Menchaca</t>
  </si>
  <si>
    <t>SIPDUS realiza limpieza y retiro de caídos en carreteras afectadas de Hidalgo</t>
  </si>
  <si>
    <t>Andrés Torres comenta que el 1010AM El Vocero Huasteco, por el puro capricho de alguien que no quiere comprar diesel sigue fuera de aire y no le importa que haya situaciones de riesgo con una tormenta tropical que afecta a más de 30 comunidades de la huasteca y no se puede llegar a ellos a través de su lengua natal. Califica de ignorante, mezquino y criminal a quien no quiere que funcione El vocero Huasteco.</t>
  </si>
  <si>
    <t>Radiodifusoras</t>
  </si>
  <si>
    <t>El Gobierno de Hidalgo exhorta a municipios a prevenir transmisiones no autorizadas del Mundial 2026</t>
  </si>
  <si>
    <t>El Día de hoy se anuncia una marcha para la 8 de la mañana sobre la Avenida Madero hacia el Reloj Monumental de Pachuca, por parte de integrantes de la CNTE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</si>
</sst>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95" tableType="queryTable" totalsRowShown="0">
  <autoFilter ref="A1:M95"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95"/>
  <sheetViews>
    <sheetView tabSelected="1" topLeftCell="A88" workbookViewId="0">
      <selection activeCell="B95" sqref="B95"/>
    </sheetView>
  </sheetViews>
  <sheetFormatPr baseColWidth="10" defaultRowHeight="15" x14ac:dyDescent="0.25"/>
  <cols>
    <col min="1" max="1" width="8.5703125" bestFit="1" customWidth="1"/>
    <col min="2" max="2" width="11.42578125" bestFit="1" customWidth="1"/>
    <col min="3" max="3" width="26" bestFit="1" customWidth="1"/>
    <col min="4" max="4" width="30.7109375" bestFit="1" customWidth="1"/>
    <col min="5" max="5" width="81.140625" bestFit="1" customWidth="1"/>
    <col min="6" max="6" width="15.28515625" bestFit="1" customWidth="1"/>
    <col min="7" max="7" width="31.7109375"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20</v>
      </c>
      <c r="C1" t="s">
        <v>21</v>
      </c>
      <c r="D1" t="s">
        <v>22</v>
      </c>
      <c r="E1" t="s">
        <v>1</v>
      </c>
      <c r="F1" t="s">
        <v>2</v>
      </c>
      <c r="G1" t="s">
        <v>4</v>
      </c>
      <c r="H1" t="s">
        <v>3</v>
      </c>
      <c r="I1" t="s">
        <v>5</v>
      </c>
      <c r="J1" t="s">
        <v>23</v>
      </c>
      <c r="K1" t="s">
        <v>24</v>
      </c>
      <c r="L1" t="s">
        <v>25</v>
      </c>
      <c r="M1" t="s">
        <v>29</v>
      </c>
    </row>
    <row r="2" spans="1:13" x14ac:dyDescent="0.25">
      <c r="A2" s="2">
        <v>46184</v>
      </c>
      <c r="B2" s="1" t="str">
        <f ca="1">IF(Información1[[#This Row],[Fecha]]='Ajuste de fechas'!$A$2,"Día actual","Día anterior")</f>
        <v>Día anterior</v>
      </c>
      <c r="C2" s="3" t="s">
        <v>43</v>
      </c>
      <c r="D2" t="s">
        <v>44</v>
      </c>
      <c r="E2" s="3" t="s">
        <v>68</v>
      </c>
      <c r="F2" s="3" t="s">
        <v>12</v>
      </c>
      <c r="G2" s="3" t="s">
        <v>69</v>
      </c>
      <c r="H2" s="3" t="s">
        <v>8</v>
      </c>
      <c r="I2" s="3" t="s">
        <v>7</v>
      </c>
      <c r="J2" s="3" t="s">
        <v>179</v>
      </c>
      <c r="K2" s="3" t="s">
        <v>45</v>
      </c>
      <c r="L2" s="3" t="s">
        <v>28</v>
      </c>
      <c r="M2">
        <v>1</v>
      </c>
    </row>
    <row r="3" spans="1:13" x14ac:dyDescent="0.25">
      <c r="A3" s="2">
        <v>46184</v>
      </c>
      <c r="B3" s="1" t="str">
        <f ca="1">IF(Información1[[#This Row],[Fecha]]='Ajuste de fechas'!$A$2,"Día actual","Día anterior")</f>
        <v>Día anterior</v>
      </c>
      <c r="C3" s="3" t="s">
        <v>43</v>
      </c>
      <c r="D3" t="s">
        <v>44</v>
      </c>
      <c r="E3" s="3" t="s">
        <v>70</v>
      </c>
      <c r="F3" s="3" t="s">
        <v>50</v>
      </c>
      <c r="G3" s="3" t="s">
        <v>52</v>
      </c>
      <c r="H3" s="3" t="s">
        <v>8</v>
      </c>
      <c r="I3" s="3" t="s">
        <v>7</v>
      </c>
      <c r="J3" s="3" t="s">
        <v>179</v>
      </c>
      <c r="K3" s="3" t="s">
        <v>45</v>
      </c>
      <c r="L3" s="3" t="s">
        <v>26</v>
      </c>
      <c r="M3">
        <v>1</v>
      </c>
    </row>
    <row r="4" spans="1:13" x14ac:dyDescent="0.25">
      <c r="A4" s="2">
        <v>46184</v>
      </c>
      <c r="B4" s="1" t="str">
        <f ca="1">IF(Información1[[#This Row],[Fecha]]='Ajuste de fechas'!$A$2,"Día actual","Día anterior")</f>
        <v>Día anterior</v>
      </c>
      <c r="C4" s="3" t="s">
        <v>43</v>
      </c>
      <c r="D4" t="s">
        <v>44</v>
      </c>
      <c r="E4" s="3" t="s">
        <v>71</v>
      </c>
      <c r="F4" s="3" t="s">
        <v>13</v>
      </c>
      <c r="G4" s="3" t="s">
        <v>72</v>
      </c>
      <c r="H4" s="3" t="s">
        <v>8</v>
      </c>
      <c r="I4" s="3" t="s">
        <v>7</v>
      </c>
      <c r="J4" s="3" t="s">
        <v>180</v>
      </c>
      <c r="K4" s="3" t="s">
        <v>45</v>
      </c>
      <c r="L4" s="3" t="s">
        <v>26</v>
      </c>
      <c r="M4">
        <v>1</v>
      </c>
    </row>
    <row r="5" spans="1:13" x14ac:dyDescent="0.25">
      <c r="A5" s="2">
        <v>46184</v>
      </c>
      <c r="B5" s="1" t="str">
        <f ca="1">IF(Información1[[#This Row],[Fecha]]='Ajuste de fechas'!$A$2,"Día actual","Día anterior")</f>
        <v>Día anterior</v>
      </c>
      <c r="C5" s="3" t="s">
        <v>43</v>
      </c>
      <c r="D5" t="s">
        <v>44</v>
      </c>
      <c r="E5" s="3" t="s">
        <v>73</v>
      </c>
      <c r="F5" s="3" t="s">
        <v>17</v>
      </c>
      <c r="G5" s="3" t="s">
        <v>65</v>
      </c>
      <c r="H5" s="3" t="s">
        <v>8</v>
      </c>
      <c r="I5" s="3" t="s">
        <v>7</v>
      </c>
      <c r="J5" s="3" t="s">
        <v>179</v>
      </c>
      <c r="K5" s="3" t="s">
        <v>45</v>
      </c>
      <c r="L5" s="3" t="s">
        <v>28</v>
      </c>
      <c r="M5">
        <v>1</v>
      </c>
    </row>
    <row r="6" spans="1:13" x14ac:dyDescent="0.25">
      <c r="A6" s="2">
        <v>46184</v>
      </c>
      <c r="B6" s="1" t="str">
        <f ca="1">IF(Información1[[#This Row],[Fecha]]='Ajuste de fechas'!$A$2,"Día actual","Día anterior")</f>
        <v>Día anterior</v>
      </c>
      <c r="C6" s="3" t="s">
        <v>43</v>
      </c>
      <c r="D6" t="s">
        <v>44</v>
      </c>
      <c r="E6" s="3" t="s">
        <v>74</v>
      </c>
      <c r="F6" s="3" t="s">
        <v>11</v>
      </c>
      <c r="G6" s="3" t="s">
        <v>66</v>
      </c>
      <c r="H6" s="3" t="s">
        <v>8</v>
      </c>
      <c r="I6" s="3" t="s">
        <v>7</v>
      </c>
      <c r="J6" s="3" t="s">
        <v>181</v>
      </c>
      <c r="K6" s="3" t="s">
        <v>45</v>
      </c>
      <c r="L6" s="3" t="s">
        <v>26</v>
      </c>
      <c r="M6">
        <v>1</v>
      </c>
    </row>
    <row r="7" spans="1:13" x14ac:dyDescent="0.25">
      <c r="A7" s="2">
        <v>46184</v>
      </c>
      <c r="B7" s="1" t="str">
        <f ca="1">IF(Información1[[#This Row],[Fecha]]='Ajuste de fechas'!$A$2,"Día actual","Día anterior")</f>
        <v>Día anterior</v>
      </c>
      <c r="C7" s="3" t="s">
        <v>43</v>
      </c>
      <c r="D7" t="s">
        <v>44</v>
      </c>
      <c r="E7" s="3" t="s">
        <v>75</v>
      </c>
      <c r="F7" s="3" t="s">
        <v>14</v>
      </c>
      <c r="G7" s="3" t="s">
        <v>76</v>
      </c>
      <c r="H7" s="3" t="s">
        <v>8</v>
      </c>
      <c r="I7" s="3" t="s">
        <v>7</v>
      </c>
      <c r="J7" s="3" t="s">
        <v>179</v>
      </c>
      <c r="K7" s="3" t="s">
        <v>45</v>
      </c>
      <c r="L7" s="3" t="s">
        <v>28</v>
      </c>
      <c r="M7">
        <v>1</v>
      </c>
    </row>
    <row r="8" spans="1:13" x14ac:dyDescent="0.25">
      <c r="A8" s="2">
        <v>46184</v>
      </c>
      <c r="B8" s="1" t="str">
        <f ca="1">IF(Información1[[#This Row],[Fecha]]='Ajuste de fechas'!$A$2,"Día actual","Día anterior")</f>
        <v>Día anterior</v>
      </c>
      <c r="C8" s="3" t="s">
        <v>43</v>
      </c>
      <c r="D8" t="s">
        <v>44</v>
      </c>
      <c r="E8" s="3" t="s">
        <v>77</v>
      </c>
      <c r="F8" s="3" t="s">
        <v>32</v>
      </c>
      <c r="G8" s="3" t="s">
        <v>78</v>
      </c>
      <c r="H8" s="3" t="s">
        <v>8</v>
      </c>
      <c r="I8" s="3" t="s">
        <v>16</v>
      </c>
      <c r="J8" s="3" t="s">
        <v>179</v>
      </c>
      <c r="K8" s="3" t="s">
        <v>45</v>
      </c>
      <c r="L8" s="3" t="s">
        <v>26</v>
      </c>
      <c r="M8">
        <v>1</v>
      </c>
    </row>
    <row r="9" spans="1:13" x14ac:dyDescent="0.25">
      <c r="A9" s="2">
        <v>46184</v>
      </c>
      <c r="B9" s="1" t="str">
        <f ca="1">IF(Información1[[#This Row],[Fecha]]='Ajuste de fechas'!$A$2,"Día actual","Día anterior")</f>
        <v>Día anterior</v>
      </c>
      <c r="C9" s="3" t="s">
        <v>43</v>
      </c>
      <c r="D9" t="s">
        <v>44</v>
      </c>
      <c r="E9" s="3" t="s">
        <v>79</v>
      </c>
      <c r="F9" s="3" t="s">
        <v>11</v>
      </c>
      <c r="G9" s="3" t="s">
        <v>80</v>
      </c>
      <c r="H9" s="3" t="s">
        <v>8</v>
      </c>
      <c r="I9" s="3" t="s">
        <v>7</v>
      </c>
      <c r="J9" s="3" t="s">
        <v>181</v>
      </c>
      <c r="K9" s="3" t="s">
        <v>45</v>
      </c>
      <c r="L9" s="3" t="s">
        <v>26</v>
      </c>
      <c r="M9">
        <v>1</v>
      </c>
    </row>
    <row r="10" spans="1:13" x14ac:dyDescent="0.25">
      <c r="A10" s="2">
        <v>46184</v>
      </c>
      <c r="B10" s="1" t="str">
        <f ca="1">IF(Información1[[#This Row],[Fecha]]='Ajuste de fechas'!$A$2,"Día actual","Día anterior")</f>
        <v>Día anterior</v>
      </c>
      <c r="C10" s="3" t="s">
        <v>43</v>
      </c>
      <c r="D10" t="s">
        <v>44</v>
      </c>
      <c r="E10" s="3" t="s">
        <v>81</v>
      </c>
      <c r="F10" s="3" t="s">
        <v>11</v>
      </c>
      <c r="G10" s="3" t="s">
        <v>53</v>
      </c>
      <c r="H10" s="3" t="s">
        <v>8</v>
      </c>
      <c r="I10" s="3" t="s">
        <v>7</v>
      </c>
      <c r="J10" s="3" t="s">
        <v>181</v>
      </c>
      <c r="K10" s="3" t="s">
        <v>45</v>
      </c>
      <c r="L10" s="3" t="s">
        <v>26</v>
      </c>
      <c r="M10">
        <v>1</v>
      </c>
    </row>
    <row r="11" spans="1:13" x14ac:dyDescent="0.25">
      <c r="A11" s="2">
        <v>46184</v>
      </c>
      <c r="B11" s="1" t="str">
        <f ca="1">IF(Información1[[#This Row],[Fecha]]='Ajuste de fechas'!$A$2,"Día actual","Día anterior")</f>
        <v>Día anterior</v>
      </c>
      <c r="C11" s="3" t="s">
        <v>43</v>
      </c>
      <c r="D11" t="s">
        <v>44</v>
      </c>
      <c r="E11" s="3" t="s">
        <v>82</v>
      </c>
      <c r="F11" s="3" t="s">
        <v>32</v>
      </c>
      <c r="G11" s="3" t="s">
        <v>83</v>
      </c>
      <c r="H11" s="3" t="s">
        <v>8</v>
      </c>
      <c r="I11" s="3" t="s">
        <v>7</v>
      </c>
      <c r="J11" s="3" t="s">
        <v>179</v>
      </c>
      <c r="K11" s="3" t="s">
        <v>45</v>
      </c>
      <c r="L11" s="3" t="s">
        <v>26</v>
      </c>
      <c r="M11">
        <v>1</v>
      </c>
    </row>
    <row r="12" spans="1:13" x14ac:dyDescent="0.25">
      <c r="A12" s="2">
        <v>46184</v>
      </c>
      <c r="B12" s="1" t="str">
        <f ca="1">IF(Información1[[#This Row],[Fecha]]='Ajuste de fechas'!$A$2,"Día actual","Día anterior")</f>
        <v>Día anterior</v>
      </c>
      <c r="C12" s="3" t="s">
        <v>43</v>
      </c>
      <c r="D12" t="s">
        <v>44</v>
      </c>
      <c r="E12" s="3" t="s">
        <v>84</v>
      </c>
      <c r="F12" s="3" t="s">
        <v>11</v>
      </c>
      <c r="G12" s="3" t="s">
        <v>85</v>
      </c>
      <c r="H12" s="3" t="s">
        <v>8</v>
      </c>
      <c r="I12" s="3" t="s">
        <v>7</v>
      </c>
      <c r="J12" s="3" t="s">
        <v>181</v>
      </c>
      <c r="K12" s="3" t="s">
        <v>45</v>
      </c>
      <c r="L12" s="3" t="s">
        <v>26</v>
      </c>
      <c r="M12">
        <v>1</v>
      </c>
    </row>
    <row r="13" spans="1:13" x14ac:dyDescent="0.25">
      <c r="A13" s="2">
        <v>46184</v>
      </c>
      <c r="B13" s="1" t="str">
        <f ca="1">IF(Información1[[#This Row],[Fecha]]='Ajuste de fechas'!$A$2,"Día actual","Día anterior")</f>
        <v>Día anterior</v>
      </c>
      <c r="C13" s="3" t="s">
        <v>43</v>
      </c>
      <c r="D13" t="s">
        <v>44</v>
      </c>
      <c r="E13" s="3" t="s">
        <v>86</v>
      </c>
      <c r="F13" s="3" t="s">
        <v>10</v>
      </c>
      <c r="G13" s="3" t="s">
        <v>37</v>
      </c>
      <c r="H13" s="3" t="s">
        <v>8</v>
      </c>
      <c r="I13" s="3" t="s">
        <v>7</v>
      </c>
      <c r="J13" s="3" t="s">
        <v>179</v>
      </c>
      <c r="K13" s="3" t="s">
        <v>45</v>
      </c>
      <c r="L13" s="3" t="s">
        <v>26</v>
      </c>
      <c r="M13">
        <v>1</v>
      </c>
    </row>
    <row r="14" spans="1:13" x14ac:dyDescent="0.25">
      <c r="A14" s="2">
        <v>46184</v>
      </c>
      <c r="B14" s="1" t="str">
        <f ca="1">IF(Información1[[#This Row],[Fecha]]='Ajuste de fechas'!$A$2,"Día actual","Día anterior")</f>
        <v>Día anterior</v>
      </c>
      <c r="C14" s="3" t="s">
        <v>43</v>
      </c>
      <c r="D14" t="s">
        <v>44</v>
      </c>
      <c r="E14" s="3" t="s">
        <v>87</v>
      </c>
      <c r="F14" s="3" t="s">
        <v>19</v>
      </c>
      <c r="G14" s="3" t="s">
        <v>88</v>
      </c>
      <c r="H14" s="3" t="s">
        <v>8</v>
      </c>
      <c r="I14" s="3" t="s">
        <v>7</v>
      </c>
      <c r="J14" s="3" t="s">
        <v>179</v>
      </c>
      <c r="K14" s="3" t="s">
        <v>45</v>
      </c>
      <c r="L14" s="3" t="s">
        <v>28</v>
      </c>
      <c r="M14">
        <v>1</v>
      </c>
    </row>
    <row r="15" spans="1:13" x14ac:dyDescent="0.25">
      <c r="A15" s="2">
        <v>46184</v>
      </c>
      <c r="B15" s="1" t="str">
        <f ca="1">IF(Información1[[#This Row],[Fecha]]='Ajuste de fechas'!$A$2,"Día actual","Día anterior")</f>
        <v>Día anterior</v>
      </c>
      <c r="C15" s="3" t="s">
        <v>43</v>
      </c>
      <c r="D15" t="s">
        <v>44</v>
      </c>
      <c r="E15" s="3" t="s">
        <v>89</v>
      </c>
      <c r="F15" s="3" t="s">
        <v>90</v>
      </c>
      <c r="G15" s="3" t="s">
        <v>91</v>
      </c>
      <c r="H15" s="3" t="s">
        <v>8</v>
      </c>
      <c r="I15" s="3" t="s">
        <v>7</v>
      </c>
      <c r="J15" s="3" t="s">
        <v>15</v>
      </c>
      <c r="K15" s="3" t="s">
        <v>45</v>
      </c>
      <c r="L15" s="3" t="s">
        <v>26</v>
      </c>
      <c r="M15">
        <v>1</v>
      </c>
    </row>
    <row r="16" spans="1:13" x14ac:dyDescent="0.25">
      <c r="A16" s="2">
        <v>46184</v>
      </c>
      <c r="B16" s="1" t="str">
        <f ca="1">IF(Información1[[#This Row],[Fecha]]='Ajuste de fechas'!$A$2,"Día actual","Día anterior")</f>
        <v>Día anterior</v>
      </c>
      <c r="C16" s="3" t="s">
        <v>43</v>
      </c>
      <c r="D16" t="s">
        <v>44</v>
      </c>
      <c r="E16" s="3" t="s">
        <v>92</v>
      </c>
      <c r="F16" s="3" t="s">
        <v>38</v>
      </c>
      <c r="G16" s="3" t="s">
        <v>93</v>
      </c>
      <c r="H16" s="3" t="s">
        <v>8</v>
      </c>
      <c r="I16" s="3" t="s">
        <v>7</v>
      </c>
      <c r="J16" s="3" t="s">
        <v>15</v>
      </c>
      <c r="K16" s="3" t="s">
        <v>45</v>
      </c>
      <c r="L16" s="3" t="s">
        <v>26</v>
      </c>
      <c r="M16">
        <v>1</v>
      </c>
    </row>
    <row r="17" spans="1:13" x14ac:dyDescent="0.25">
      <c r="A17" s="2">
        <v>46184</v>
      </c>
      <c r="B17" s="1" t="str">
        <f ca="1">IF(Información1[[#This Row],[Fecha]]='Ajuste de fechas'!$A$2,"Día actual","Día anterior")</f>
        <v>Día anterior</v>
      </c>
      <c r="C17" s="3" t="s">
        <v>43</v>
      </c>
      <c r="D17" t="s">
        <v>44</v>
      </c>
      <c r="E17" s="3" t="s">
        <v>94</v>
      </c>
      <c r="F17" s="3" t="s">
        <v>11</v>
      </c>
      <c r="G17" s="3" t="s">
        <v>67</v>
      </c>
      <c r="H17" s="3" t="s">
        <v>8</v>
      </c>
      <c r="I17" s="3" t="s">
        <v>7</v>
      </c>
      <c r="J17" s="3" t="s">
        <v>181</v>
      </c>
      <c r="K17" s="3" t="s">
        <v>45</v>
      </c>
      <c r="L17" s="3" t="s">
        <v>26</v>
      </c>
      <c r="M17">
        <v>1</v>
      </c>
    </row>
    <row r="18" spans="1:13" x14ac:dyDescent="0.25">
      <c r="A18" s="2">
        <v>46184</v>
      </c>
      <c r="B18" s="1" t="str">
        <f ca="1">IF(Información1[[#This Row],[Fecha]]='Ajuste de fechas'!$A$2,"Día actual","Día anterior")</f>
        <v>Día anterior</v>
      </c>
      <c r="C18" s="3" t="s">
        <v>43</v>
      </c>
      <c r="D18" t="s">
        <v>44</v>
      </c>
      <c r="E18" s="3" t="s">
        <v>95</v>
      </c>
      <c r="F18" s="3" t="s">
        <v>11</v>
      </c>
      <c r="G18" s="3" t="s">
        <v>96</v>
      </c>
      <c r="H18" s="3" t="s">
        <v>8</v>
      </c>
      <c r="I18" s="3" t="s">
        <v>7</v>
      </c>
      <c r="J18" s="3" t="s">
        <v>181</v>
      </c>
      <c r="K18" s="3" t="s">
        <v>45</v>
      </c>
      <c r="L18" s="3" t="s">
        <v>26</v>
      </c>
      <c r="M18">
        <v>1</v>
      </c>
    </row>
    <row r="19" spans="1:13" x14ac:dyDescent="0.25">
      <c r="A19" s="2">
        <v>46184</v>
      </c>
      <c r="B19" s="1" t="str">
        <f ca="1">IF(Información1[[#This Row],[Fecha]]='Ajuste de fechas'!$A$2,"Día actual","Día anterior")</f>
        <v>Día anterior</v>
      </c>
      <c r="C19" s="3" t="s">
        <v>43</v>
      </c>
      <c r="D19" t="s">
        <v>44</v>
      </c>
      <c r="E19" s="3" t="s">
        <v>46</v>
      </c>
      <c r="F19" s="3" t="s">
        <v>11</v>
      </c>
      <c r="G19" s="3" t="s">
        <v>41</v>
      </c>
      <c r="H19" s="3" t="s">
        <v>8</v>
      </c>
      <c r="I19" s="3" t="s">
        <v>7</v>
      </c>
      <c r="J19" s="3" t="s">
        <v>181</v>
      </c>
      <c r="K19" s="3" t="s">
        <v>45</v>
      </c>
      <c r="L19" s="3" t="s">
        <v>26</v>
      </c>
      <c r="M19">
        <v>1</v>
      </c>
    </row>
    <row r="20" spans="1:13" x14ac:dyDescent="0.25">
      <c r="A20" s="2">
        <v>46184</v>
      </c>
      <c r="B20" s="1" t="str">
        <f ca="1">IF(Información1[[#This Row],[Fecha]]='Ajuste de fechas'!$A$2,"Día actual","Día anterior")</f>
        <v>Día anterior</v>
      </c>
      <c r="C20" s="3" t="s">
        <v>43</v>
      </c>
      <c r="D20" t="s">
        <v>44</v>
      </c>
      <c r="E20" s="3" t="s">
        <v>97</v>
      </c>
      <c r="F20" s="3" t="s">
        <v>12</v>
      </c>
      <c r="G20" s="3" t="s">
        <v>98</v>
      </c>
      <c r="H20" s="3" t="s">
        <v>8</v>
      </c>
      <c r="I20" s="3" t="s">
        <v>7</v>
      </c>
      <c r="J20" s="3" t="s">
        <v>179</v>
      </c>
      <c r="K20" s="3" t="s">
        <v>45</v>
      </c>
      <c r="L20" s="3" t="s">
        <v>26</v>
      </c>
      <c r="M20">
        <v>1</v>
      </c>
    </row>
    <row r="21" spans="1:13" x14ac:dyDescent="0.25">
      <c r="A21" s="2">
        <v>46184</v>
      </c>
      <c r="B21" s="1" t="str">
        <f ca="1">IF(Información1[[#This Row],[Fecha]]='Ajuste de fechas'!$A$2,"Día actual","Día anterior")</f>
        <v>Día anterior</v>
      </c>
      <c r="C21" s="3" t="s">
        <v>43</v>
      </c>
      <c r="D21" t="s">
        <v>44</v>
      </c>
      <c r="E21" s="3" t="s">
        <v>99</v>
      </c>
      <c r="F21" s="3" t="s">
        <v>13</v>
      </c>
      <c r="G21" s="3" t="s">
        <v>100</v>
      </c>
      <c r="H21" s="3" t="s">
        <v>8</v>
      </c>
      <c r="I21" s="3" t="s">
        <v>16</v>
      </c>
      <c r="J21" s="3" t="s">
        <v>180</v>
      </c>
      <c r="K21" s="3" t="s">
        <v>45</v>
      </c>
      <c r="L21" s="3" t="s">
        <v>27</v>
      </c>
      <c r="M21">
        <v>1</v>
      </c>
    </row>
    <row r="22" spans="1:13" x14ac:dyDescent="0.25">
      <c r="A22" s="2">
        <v>46184</v>
      </c>
      <c r="B22" s="1" t="str">
        <f ca="1">IF(Información1[[#This Row],[Fecha]]='Ajuste de fechas'!$A$2,"Día actual","Día anterior")</f>
        <v>Día anterior</v>
      </c>
      <c r="C22" s="3" t="s">
        <v>43</v>
      </c>
      <c r="D22" t="s">
        <v>44</v>
      </c>
      <c r="E22" s="3" t="s">
        <v>101</v>
      </c>
      <c r="F22" s="3" t="s">
        <v>13</v>
      </c>
      <c r="G22" s="3" t="s">
        <v>103</v>
      </c>
      <c r="H22" s="3" t="s">
        <v>8</v>
      </c>
      <c r="I22" s="3" t="s">
        <v>16</v>
      </c>
      <c r="J22" s="3" t="s">
        <v>180</v>
      </c>
      <c r="K22" s="3" t="s">
        <v>102</v>
      </c>
      <c r="L22" s="3" t="s">
        <v>26</v>
      </c>
      <c r="M22">
        <v>1</v>
      </c>
    </row>
    <row r="23" spans="1:13" x14ac:dyDescent="0.25">
      <c r="A23" s="2">
        <v>46184</v>
      </c>
      <c r="B23" s="1" t="str">
        <f ca="1">IF(Información1[[#This Row],[Fecha]]='Ajuste de fechas'!$A$2,"Día actual","Día anterior")</f>
        <v>Día anterior</v>
      </c>
      <c r="C23" s="3" t="s">
        <v>182</v>
      </c>
      <c r="D23" t="s">
        <v>183</v>
      </c>
      <c r="E23" s="3" t="s">
        <v>184</v>
      </c>
      <c r="F23" s="3" t="s">
        <v>11</v>
      </c>
      <c r="G23" s="3" t="s">
        <v>66</v>
      </c>
      <c r="H23" s="3" t="s">
        <v>185</v>
      </c>
      <c r="I23" s="3" t="s">
        <v>7</v>
      </c>
      <c r="J23" s="3" t="s">
        <v>181</v>
      </c>
      <c r="K23" s="3" t="s">
        <v>186</v>
      </c>
      <c r="L23" s="3" t="s">
        <v>26</v>
      </c>
      <c r="M23">
        <v>1</v>
      </c>
    </row>
    <row r="24" spans="1:13" x14ac:dyDescent="0.25">
      <c r="A24" s="2">
        <v>46184</v>
      </c>
      <c r="B24" s="1" t="str">
        <f ca="1">IF(Información1[[#This Row],[Fecha]]='Ajuste de fechas'!$A$2,"Día actual","Día anterior")</f>
        <v>Día anterior</v>
      </c>
      <c r="C24" s="3" t="s">
        <v>182</v>
      </c>
      <c r="D24" t="s">
        <v>183</v>
      </c>
      <c r="E24" s="3" t="s">
        <v>187</v>
      </c>
      <c r="F24" s="3" t="s">
        <v>6</v>
      </c>
      <c r="G24" s="3" t="s">
        <v>63</v>
      </c>
      <c r="H24" s="3" t="s">
        <v>185</v>
      </c>
      <c r="I24" s="3" t="s">
        <v>16</v>
      </c>
      <c r="J24" s="3" t="s">
        <v>179</v>
      </c>
      <c r="K24" s="3" t="s">
        <v>188</v>
      </c>
      <c r="L24" s="3" t="s">
        <v>27</v>
      </c>
      <c r="M24">
        <v>1</v>
      </c>
    </row>
    <row r="25" spans="1:13" x14ac:dyDescent="0.25">
      <c r="A25" s="2">
        <v>46184</v>
      </c>
      <c r="B25" s="1" t="str">
        <f ca="1">IF(Información1[[#This Row],[Fecha]]='Ajuste de fechas'!$A$2,"Día actual","Día anterior")</f>
        <v>Día anterior</v>
      </c>
      <c r="C25" s="3" t="s">
        <v>182</v>
      </c>
      <c r="D25" t="s">
        <v>183</v>
      </c>
      <c r="E25" s="3" t="s">
        <v>68</v>
      </c>
      <c r="F25" s="3" t="s">
        <v>12</v>
      </c>
      <c r="G25" s="3" t="s">
        <v>69</v>
      </c>
      <c r="H25" s="3" t="s">
        <v>185</v>
      </c>
      <c r="I25" s="3" t="s">
        <v>7</v>
      </c>
      <c r="J25" s="3" t="s">
        <v>179</v>
      </c>
      <c r="K25" s="3" t="s">
        <v>189</v>
      </c>
      <c r="L25" s="3" t="s">
        <v>28</v>
      </c>
      <c r="M25">
        <v>1</v>
      </c>
    </row>
    <row r="26" spans="1:13" x14ac:dyDescent="0.25">
      <c r="A26" s="2">
        <v>46184</v>
      </c>
      <c r="B26" s="1" t="str">
        <f ca="1">IF(Información1[[#This Row],[Fecha]]='Ajuste de fechas'!$A$2,"Día actual","Día anterior")</f>
        <v>Día anterior</v>
      </c>
      <c r="C26" s="3" t="s">
        <v>182</v>
      </c>
      <c r="D26" t="s">
        <v>183</v>
      </c>
      <c r="E26" s="3" t="s">
        <v>190</v>
      </c>
      <c r="F26" s="3" t="s">
        <v>42</v>
      </c>
      <c r="G26" s="3" t="s">
        <v>51</v>
      </c>
      <c r="H26" s="3" t="s">
        <v>185</v>
      </c>
      <c r="I26" s="3" t="s">
        <v>7</v>
      </c>
      <c r="J26" s="3" t="s">
        <v>179</v>
      </c>
      <c r="K26" s="3" t="s">
        <v>189</v>
      </c>
      <c r="L26" s="3" t="s">
        <v>28</v>
      </c>
      <c r="M26">
        <v>1</v>
      </c>
    </row>
    <row r="27" spans="1:13" x14ac:dyDescent="0.25">
      <c r="A27" s="2">
        <v>46184</v>
      </c>
      <c r="B27" s="1" t="str">
        <f ca="1">IF(Información1[[#This Row],[Fecha]]='Ajuste de fechas'!$A$2,"Día actual","Día anterior")</f>
        <v>Día anterior</v>
      </c>
      <c r="C27" s="3" t="s">
        <v>182</v>
      </c>
      <c r="D27" t="s">
        <v>183</v>
      </c>
      <c r="E27" s="3" t="s">
        <v>73</v>
      </c>
      <c r="F27" s="3" t="s">
        <v>17</v>
      </c>
      <c r="G27" s="3" t="s">
        <v>65</v>
      </c>
      <c r="H27" s="3" t="s">
        <v>185</v>
      </c>
      <c r="I27" s="3" t="s">
        <v>7</v>
      </c>
      <c r="J27" s="3" t="s">
        <v>179</v>
      </c>
      <c r="K27" s="3" t="s">
        <v>189</v>
      </c>
      <c r="L27" s="3" t="s">
        <v>28</v>
      </c>
      <c r="M27">
        <v>1</v>
      </c>
    </row>
    <row r="28" spans="1:13" x14ac:dyDescent="0.25">
      <c r="A28" s="2">
        <v>46184</v>
      </c>
      <c r="B28" s="1" t="str">
        <f ca="1">IF(Información1[[#This Row],[Fecha]]='Ajuste de fechas'!$A$2,"Día actual","Día anterior")</f>
        <v>Día anterior</v>
      </c>
      <c r="C28" s="3" t="s">
        <v>182</v>
      </c>
      <c r="D28" t="s">
        <v>183</v>
      </c>
      <c r="E28" s="3" t="s">
        <v>191</v>
      </c>
      <c r="F28" s="3" t="s">
        <v>17</v>
      </c>
      <c r="G28" s="3" t="s">
        <v>65</v>
      </c>
      <c r="H28" s="3" t="s">
        <v>185</v>
      </c>
      <c r="I28" s="3" t="s">
        <v>7</v>
      </c>
      <c r="J28" s="3" t="s">
        <v>179</v>
      </c>
      <c r="K28" s="3" t="s">
        <v>189</v>
      </c>
      <c r="L28" s="3" t="s">
        <v>28</v>
      </c>
      <c r="M28">
        <v>1</v>
      </c>
    </row>
    <row r="29" spans="1:13" x14ac:dyDescent="0.25">
      <c r="A29" s="2">
        <v>46184</v>
      </c>
      <c r="B29" s="1" t="str">
        <f ca="1">IF(Información1[[#This Row],[Fecha]]='Ajuste de fechas'!$A$2,"Día actual","Día anterior")</f>
        <v>Día anterior</v>
      </c>
      <c r="C29" s="3" t="s">
        <v>182</v>
      </c>
      <c r="D29" t="s">
        <v>183</v>
      </c>
      <c r="E29" s="3" t="s">
        <v>192</v>
      </c>
      <c r="F29" s="3" t="s">
        <v>6</v>
      </c>
      <c r="G29" s="3" t="s">
        <v>59</v>
      </c>
      <c r="H29" s="3" t="s">
        <v>185</v>
      </c>
      <c r="I29" s="3" t="s">
        <v>7</v>
      </c>
      <c r="J29" s="3" t="s">
        <v>179</v>
      </c>
      <c r="K29" s="3" t="s">
        <v>189</v>
      </c>
      <c r="L29" s="3" t="s">
        <v>28</v>
      </c>
      <c r="M29">
        <v>1</v>
      </c>
    </row>
    <row r="30" spans="1:13" x14ac:dyDescent="0.25">
      <c r="A30" s="2">
        <v>46184</v>
      </c>
      <c r="B30" s="1" t="str">
        <f ca="1">IF(Información1[[#This Row],[Fecha]]='Ajuste de fechas'!$A$2,"Día actual","Día anterior")</f>
        <v>Día anterior</v>
      </c>
      <c r="C30" s="3" t="s">
        <v>182</v>
      </c>
      <c r="D30" t="s">
        <v>183</v>
      </c>
      <c r="E30" s="3" t="s">
        <v>109</v>
      </c>
      <c r="F30" s="3" t="s">
        <v>6</v>
      </c>
      <c r="G30" s="3" t="s">
        <v>59</v>
      </c>
      <c r="H30" s="3" t="s">
        <v>185</v>
      </c>
      <c r="I30" s="3" t="s">
        <v>7</v>
      </c>
      <c r="J30" s="3" t="s">
        <v>179</v>
      </c>
      <c r="K30" s="3" t="s">
        <v>189</v>
      </c>
      <c r="L30" s="3" t="s">
        <v>28</v>
      </c>
      <c r="M30">
        <v>1</v>
      </c>
    </row>
    <row r="31" spans="1:13" x14ac:dyDescent="0.25">
      <c r="A31" s="2">
        <v>46184</v>
      </c>
      <c r="B31" s="1" t="str">
        <f ca="1">IF(Información1[[#This Row],[Fecha]]='Ajuste de fechas'!$A$2,"Día actual","Día anterior")</f>
        <v>Día anterior</v>
      </c>
      <c r="C31" s="3" t="s">
        <v>182</v>
      </c>
      <c r="D31" t="s">
        <v>183</v>
      </c>
      <c r="E31" s="3" t="s">
        <v>193</v>
      </c>
      <c r="F31" s="3" t="s">
        <v>10</v>
      </c>
      <c r="G31" s="3" t="s">
        <v>194</v>
      </c>
      <c r="H31" s="3" t="s">
        <v>185</v>
      </c>
      <c r="I31" s="3" t="s">
        <v>16</v>
      </c>
      <c r="J31" s="3" t="s">
        <v>179</v>
      </c>
      <c r="K31" s="3" t="s">
        <v>189</v>
      </c>
      <c r="L31" s="3" t="s">
        <v>27</v>
      </c>
      <c r="M31">
        <v>1</v>
      </c>
    </row>
    <row r="32" spans="1:13" x14ac:dyDescent="0.25">
      <c r="A32" s="2">
        <v>46184</v>
      </c>
      <c r="B32" s="1" t="str">
        <f ca="1">IF(Información1[[#This Row],[Fecha]]='Ajuste de fechas'!$A$2,"Día actual","Día anterior")</f>
        <v>Día anterior</v>
      </c>
      <c r="C32" s="3" t="s">
        <v>182</v>
      </c>
      <c r="D32" t="s">
        <v>183</v>
      </c>
      <c r="E32" s="3" t="s">
        <v>195</v>
      </c>
      <c r="F32" s="3" t="s">
        <v>10</v>
      </c>
      <c r="G32" s="3" t="s">
        <v>37</v>
      </c>
      <c r="H32" s="3" t="s">
        <v>185</v>
      </c>
      <c r="I32" s="3" t="s">
        <v>7</v>
      </c>
      <c r="J32" s="3" t="s">
        <v>179</v>
      </c>
      <c r="K32" s="3" t="s">
        <v>189</v>
      </c>
      <c r="L32" s="3" t="s">
        <v>26</v>
      </c>
      <c r="M32">
        <v>1</v>
      </c>
    </row>
    <row r="33" spans="1:13" x14ac:dyDescent="0.25">
      <c r="A33" s="2">
        <v>46184</v>
      </c>
      <c r="B33" s="1" t="str">
        <f ca="1">IF(Información1[[#This Row],[Fecha]]='Ajuste de fechas'!$A$2,"Día actual","Día anterior")</f>
        <v>Día anterior</v>
      </c>
      <c r="C33" s="3" t="s">
        <v>182</v>
      </c>
      <c r="D33" t="s">
        <v>183</v>
      </c>
      <c r="E33" s="3" t="s">
        <v>196</v>
      </c>
      <c r="F33" s="3" t="s">
        <v>15</v>
      </c>
      <c r="G33" s="3" t="s">
        <v>162</v>
      </c>
      <c r="H33" s="3" t="s">
        <v>185</v>
      </c>
      <c r="I33" s="3" t="s">
        <v>7</v>
      </c>
      <c r="J33" s="3" t="s">
        <v>15</v>
      </c>
      <c r="K33" s="3" t="s">
        <v>189</v>
      </c>
      <c r="L33" s="3" t="s">
        <v>26</v>
      </c>
      <c r="M33">
        <v>1</v>
      </c>
    </row>
    <row r="34" spans="1:13" x14ac:dyDescent="0.25">
      <c r="A34" s="2">
        <v>46184</v>
      </c>
      <c r="B34" s="1" t="str">
        <f ca="1">IF(Información1[[#This Row],[Fecha]]='Ajuste de fechas'!$A$2,"Día actual","Día anterior")</f>
        <v>Día anterior</v>
      </c>
      <c r="C34" s="3" t="s">
        <v>34</v>
      </c>
      <c r="D34" t="s">
        <v>40</v>
      </c>
      <c r="E34" s="3" t="s">
        <v>104</v>
      </c>
      <c r="F34" s="3" t="s">
        <v>13</v>
      </c>
      <c r="G34" s="3" t="s">
        <v>105</v>
      </c>
      <c r="H34" s="3" t="s">
        <v>8</v>
      </c>
      <c r="I34" s="3" t="s">
        <v>7</v>
      </c>
      <c r="J34" s="3" t="s">
        <v>180</v>
      </c>
      <c r="K34" s="3" t="s">
        <v>35</v>
      </c>
      <c r="L34" s="3" t="s">
        <v>26</v>
      </c>
      <c r="M34">
        <v>1</v>
      </c>
    </row>
    <row r="35" spans="1:13" x14ac:dyDescent="0.25">
      <c r="A35" s="2">
        <v>46184</v>
      </c>
      <c r="B35" s="1" t="str">
        <f ca="1">IF(Información1[[#This Row],[Fecha]]='Ajuste de fechas'!$A$2,"Día actual","Día anterior")</f>
        <v>Día anterior</v>
      </c>
      <c r="C35" s="3" t="s">
        <v>34</v>
      </c>
      <c r="D35" t="s">
        <v>40</v>
      </c>
      <c r="E35" s="3" t="s">
        <v>106</v>
      </c>
      <c r="F35" s="3" t="s">
        <v>15</v>
      </c>
      <c r="G35" s="3" t="s">
        <v>37</v>
      </c>
      <c r="H35" s="3" t="s">
        <v>8</v>
      </c>
      <c r="I35" s="3" t="s">
        <v>7</v>
      </c>
      <c r="J35" s="3" t="s">
        <v>15</v>
      </c>
      <c r="K35" s="3" t="s">
        <v>61</v>
      </c>
      <c r="L35" s="3" t="s">
        <v>26</v>
      </c>
      <c r="M35">
        <v>1</v>
      </c>
    </row>
    <row r="36" spans="1:13" x14ac:dyDescent="0.25">
      <c r="A36" s="2">
        <v>46184</v>
      </c>
      <c r="B36" s="1" t="str">
        <f ca="1">IF(Información1[[#This Row],[Fecha]]='Ajuste de fechas'!$A$2,"Día actual","Día anterior")</f>
        <v>Día anterior</v>
      </c>
      <c r="C36" s="3" t="s">
        <v>34</v>
      </c>
      <c r="D36" t="s">
        <v>40</v>
      </c>
      <c r="E36" s="3" t="s">
        <v>107</v>
      </c>
      <c r="F36" s="3" t="s">
        <v>11</v>
      </c>
      <c r="G36" s="3" t="s">
        <v>37</v>
      </c>
      <c r="H36" s="3" t="s">
        <v>8</v>
      </c>
      <c r="I36" s="3" t="s">
        <v>7</v>
      </c>
      <c r="J36" s="3" t="s">
        <v>181</v>
      </c>
      <c r="K36" s="3" t="s">
        <v>35</v>
      </c>
      <c r="L36" s="3" t="s">
        <v>26</v>
      </c>
      <c r="M36">
        <v>1</v>
      </c>
    </row>
    <row r="37" spans="1:13" x14ac:dyDescent="0.25">
      <c r="A37" s="2">
        <v>46184</v>
      </c>
      <c r="B37" s="1" t="str">
        <f ca="1">IF(Información1[[#This Row],[Fecha]]='Ajuste de fechas'!$A$2,"Día actual","Día anterior")</f>
        <v>Día anterior</v>
      </c>
      <c r="C37" s="3" t="s">
        <v>34</v>
      </c>
      <c r="D37" t="s">
        <v>40</v>
      </c>
      <c r="E37" s="3" t="s">
        <v>108</v>
      </c>
      <c r="F37" s="3" t="s">
        <v>11</v>
      </c>
      <c r="G37" s="3" t="s">
        <v>64</v>
      </c>
      <c r="H37" s="3" t="s">
        <v>8</v>
      </c>
      <c r="I37" s="3" t="s">
        <v>7</v>
      </c>
      <c r="J37" s="3" t="s">
        <v>181</v>
      </c>
      <c r="K37" s="3" t="s">
        <v>35</v>
      </c>
      <c r="L37" s="3" t="s">
        <v>26</v>
      </c>
      <c r="M37">
        <v>1</v>
      </c>
    </row>
    <row r="38" spans="1:13" x14ac:dyDescent="0.25">
      <c r="A38" s="2">
        <v>46184</v>
      </c>
      <c r="B38" s="1" t="str">
        <f ca="1">IF(Información1[[#This Row],[Fecha]]='Ajuste de fechas'!$A$2,"Día actual","Día anterior")</f>
        <v>Día anterior</v>
      </c>
      <c r="C38" s="3" t="s">
        <v>34</v>
      </c>
      <c r="D38" t="s">
        <v>40</v>
      </c>
      <c r="E38" s="3" t="s">
        <v>109</v>
      </c>
      <c r="F38" s="3" t="s">
        <v>50</v>
      </c>
      <c r="G38" s="3" t="s">
        <v>59</v>
      </c>
      <c r="H38" s="3" t="s">
        <v>8</v>
      </c>
      <c r="I38" s="3" t="s">
        <v>7</v>
      </c>
      <c r="J38" s="3" t="s">
        <v>179</v>
      </c>
      <c r="K38" s="3" t="s">
        <v>35</v>
      </c>
      <c r="L38" s="3" t="s">
        <v>28</v>
      </c>
      <c r="M38">
        <v>1</v>
      </c>
    </row>
    <row r="39" spans="1:13" x14ac:dyDescent="0.25">
      <c r="A39" s="2">
        <v>46184</v>
      </c>
      <c r="B39" s="1" t="str">
        <f ca="1">IF(Información1[[#This Row],[Fecha]]='Ajuste de fechas'!$A$2,"Día actual","Día anterior")</f>
        <v>Día anterior</v>
      </c>
      <c r="C39" s="3" t="s">
        <v>110</v>
      </c>
      <c r="D39" t="s">
        <v>113</v>
      </c>
      <c r="E39" s="3" t="s">
        <v>111</v>
      </c>
      <c r="F39" s="3" t="s">
        <v>17</v>
      </c>
      <c r="G39" s="3" t="s">
        <v>65</v>
      </c>
      <c r="H39" s="3" t="s">
        <v>8</v>
      </c>
      <c r="I39" s="3" t="s">
        <v>7</v>
      </c>
      <c r="J39" s="3" t="s">
        <v>179</v>
      </c>
      <c r="K39" s="3" t="s">
        <v>112</v>
      </c>
      <c r="L39" s="3" t="s">
        <v>28</v>
      </c>
      <c r="M39">
        <v>1</v>
      </c>
    </row>
    <row r="40" spans="1:13" x14ac:dyDescent="0.25">
      <c r="A40" s="2">
        <v>46184</v>
      </c>
      <c r="B40" s="1" t="str">
        <f ca="1">IF(Información1[[#This Row],[Fecha]]='Ajuste de fechas'!$A$2,"Día actual","Día anterior")</f>
        <v>Día anterior</v>
      </c>
      <c r="C40" s="3" t="s">
        <v>56</v>
      </c>
      <c r="D40" t="s">
        <v>57</v>
      </c>
      <c r="E40" s="3" t="s">
        <v>114</v>
      </c>
      <c r="F40" s="3" t="s">
        <v>12</v>
      </c>
      <c r="G40" s="3" t="s">
        <v>69</v>
      </c>
      <c r="H40" s="3" t="s">
        <v>8</v>
      </c>
      <c r="I40" s="3" t="s">
        <v>7</v>
      </c>
      <c r="J40" s="3" t="s">
        <v>179</v>
      </c>
      <c r="K40" s="3" t="s">
        <v>58</v>
      </c>
      <c r="L40" s="3" t="s">
        <v>28</v>
      </c>
      <c r="M40">
        <v>1</v>
      </c>
    </row>
    <row r="41" spans="1:13" x14ac:dyDescent="0.25">
      <c r="A41" s="2">
        <v>46184</v>
      </c>
      <c r="B41" s="1" t="str">
        <f ca="1">IF(Información1[[#This Row],[Fecha]]='Ajuste de fechas'!$A$2,"Día actual","Día anterior")</f>
        <v>Día anterior</v>
      </c>
      <c r="C41" s="3" t="s">
        <v>56</v>
      </c>
      <c r="D41" t="s">
        <v>57</v>
      </c>
      <c r="E41" s="3" t="s">
        <v>109</v>
      </c>
      <c r="F41" s="3" t="s">
        <v>50</v>
      </c>
      <c r="G41" s="3" t="s">
        <v>59</v>
      </c>
      <c r="H41" s="3" t="s">
        <v>8</v>
      </c>
      <c r="I41" s="3" t="s">
        <v>7</v>
      </c>
      <c r="J41" s="3" t="s">
        <v>179</v>
      </c>
      <c r="K41" s="3" t="s">
        <v>58</v>
      </c>
      <c r="L41" s="3" t="s">
        <v>28</v>
      </c>
      <c r="M41">
        <v>1</v>
      </c>
    </row>
    <row r="42" spans="1:13" x14ac:dyDescent="0.25">
      <c r="A42" s="2">
        <v>46184</v>
      </c>
      <c r="B42" s="1" t="str">
        <f ca="1">IF(Información1[[#This Row],[Fecha]]='Ajuste de fechas'!$A$2,"Día actual","Día anterior")</f>
        <v>Día anterior</v>
      </c>
      <c r="C42" s="3" t="s">
        <v>56</v>
      </c>
      <c r="D42" t="s">
        <v>57</v>
      </c>
      <c r="E42" s="3" t="s">
        <v>115</v>
      </c>
      <c r="F42" s="3" t="s">
        <v>17</v>
      </c>
      <c r="G42" s="3" t="s">
        <v>65</v>
      </c>
      <c r="H42" s="3" t="s">
        <v>8</v>
      </c>
      <c r="I42" s="3" t="s">
        <v>7</v>
      </c>
      <c r="J42" s="3" t="s">
        <v>179</v>
      </c>
      <c r="K42" s="3" t="s">
        <v>58</v>
      </c>
      <c r="L42" s="3" t="s">
        <v>28</v>
      </c>
      <c r="M42">
        <v>1</v>
      </c>
    </row>
    <row r="43" spans="1:13" x14ac:dyDescent="0.25">
      <c r="A43" s="2">
        <v>46184</v>
      </c>
      <c r="B43" s="1" t="str">
        <f ca="1">IF(Información1[[#This Row],[Fecha]]='Ajuste de fechas'!$A$2,"Día actual","Día anterior")</f>
        <v>Día anterior</v>
      </c>
      <c r="C43" s="3" t="s">
        <v>56</v>
      </c>
      <c r="D43" t="s">
        <v>57</v>
      </c>
      <c r="E43" s="3" t="s">
        <v>116</v>
      </c>
      <c r="F43" s="3" t="s">
        <v>17</v>
      </c>
      <c r="G43" s="3" t="s">
        <v>65</v>
      </c>
      <c r="H43" s="3" t="s">
        <v>8</v>
      </c>
      <c r="I43" s="3" t="s">
        <v>7</v>
      </c>
      <c r="J43" s="3" t="s">
        <v>179</v>
      </c>
      <c r="K43" s="3" t="s">
        <v>58</v>
      </c>
      <c r="L43" s="3" t="s">
        <v>28</v>
      </c>
      <c r="M43">
        <v>1</v>
      </c>
    </row>
    <row r="44" spans="1:13" x14ac:dyDescent="0.25">
      <c r="A44" s="2">
        <v>46184</v>
      </c>
      <c r="B44" s="1" t="str">
        <f ca="1">IF(Información1[[#This Row],[Fecha]]='Ajuste de fechas'!$A$2,"Día actual","Día anterior")</f>
        <v>Día anterior</v>
      </c>
      <c r="C44" s="3" t="s">
        <v>47</v>
      </c>
      <c r="D44" t="s">
        <v>48</v>
      </c>
      <c r="E44" s="3" t="s">
        <v>117</v>
      </c>
      <c r="F44" s="3" t="s">
        <v>42</v>
      </c>
      <c r="G44" s="3" t="s">
        <v>51</v>
      </c>
      <c r="H44" s="3" t="s">
        <v>8</v>
      </c>
      <c r="I44" s="3" t="s">
        <v>7</v>
      </c>
      <c r="J44" s="3" t="s">
        <v>179</v>
      </c>
      <c r="K44" s="3" t="s">
        <v>49</v>
      </c>
      <c r="L44" s="3" t="s">
        <v>28</v>
      </c>
      <c r="M44">
        <v>1</v>
      </c>
    </row>
    <row r="45" spans="1:13" x14ac:dyDescent="0.25">
      <c r="A45" s="2">
        <v>46184</v>
      </c>
      <c r="B45" s="1" t="str">
        <f ca="1">IF(Información1[[#This Row],[Fecha]]='Ajuste de fechas'!$A$2,"Día actual","Día anterior")</f>
        <v>Día anterior</v>
      </c>
      <c r="C45" s="3" t="s">
        <v>47</v>
      </c>
      <c r="D45" t="s">
        <v>48</v>
      </c>
      <c r="E45" s="3" t="s">
        <v>118</v>
      </c>
      <c r="F45" s="3" t="s">
        <v>38</v>
      </c>
      <c r="G45" s="3" t="s">
        <v>60</v>
      </c>
      <c r="H45" s="3" t="s">
        <v>8</v>
      </c>
      <c r="I45" s="3" t="s">
        <v>7</v>
      </c>
      <c r="J45" s="3" t="s">
        <v>15</v>
      </c>
      <c r="K45" s="3" t="s">
        <v>49</v>
      </c>
      <c r="L45" s="3" t="s">
        <v>26</v>
      </c>
      <c r="M45">
        <v>1</v>
      </c>
    </row>
    <row r="46" spans="1:13" x14ac:dyDescent="0.25">
      <c r="A46" s="2">
        <v>46184</v>
      </c>
      <c r="B46" s="1" t="str">
        <f ca="1">IF(Información1[[#This Row],[Fecha]]='Ajuste de fechas'!$A$2,"Día actual","Día anterior")</f>
        <v>Día anterior</v>
      </c>
      <c r="C46" s="3" t="s">
        <v>47</v>
      </c>
      <c r="D46" t="s">
        <v>48</v>
      </c>
      <c r="E46" s="3" t="s">
        <v>87</v>
      </c>
      <c r="F46" s="3" t="s">
        <v>19</v>
      </c>
      <c r="G46" s="3" t="s">
        <v>88</v>
      </c>
      <c r="H46" s="3" t="s">
        <v>8</v>
      </c>
      <c r="I46" s="3" t="s">
        <v>7</v>
      </c>
      <c r="J46" s="3" t="s">
        <v>179</v>
      </c>
      <c r="K46" s="3" t="s">
        <v>49</v>
      </c>
      <c r="L46" s="3" t="s">
        <v>28</v>
      </c>
      <c r="M46">
        <v>1</v>
      </c>
    </row>
    <row r="47" spans="1:13" x14ac:dyDescent="0.25">
      <c r="A47" s="2">
        <v>46184</v>
      </c>
      <c r="B47" s="1" t="str">
        <f ca="1">IF(Información1[[#This Row],[Fecha]]='Ajuste de fechas'!$A$2,"Día actual","Día anterior")</f>
        <v>Día anterior</v>
      </c>
      <c r="C47" s="3" t="s">
        <v>47</v>
      </c>
      <c r="D47" t="s">
        <v>48</v>
      </c>
      <c r="E47" s="3" t="s">
        <v>115</v>
      </c>
      <c r="F47" s="3" t="s">
        <v>17</v>
      </c>
      <c r="G47" s="3" t="s">
        <v>65</v>
      </c>
      <c r="H47" s="3" t="s">
        <v>8</v>
      </c>
      <c r="I47" s="3" t="s">
        <v>7</v>
      </c>
      <c r="J47" s="3" t="s">
        <v>179</v>
      </c>
      <c r="K47" s="3" t="s">
        <v>49</v>
      </c>
      <c r="L47" s="3" t="s">
        <v>28</v>
      </c>
      <c r="M47">
        <v>1</v>
      </c>
    </row>
    <row r="48" spans="1:13" x14ac:dyDescent="0.25">
      <c r="A48" s="2">
        <v>46184</v>
      </c>
      <c r="B48" s="1" t="str">
        <f ca="1">IF(Información1[[#This Row],[Fecha]]='Ajuste de fechas'!$A$2,"Día actual","Día anterior")</f>
        <v>Día anterior</v>
      </c>
      <c r="C48" s="3" t="s">
        <v>47</v>
      </c>
      <c r="D48" t="s">
        <v>48</v>
      </c>
      <c r="E48" s="3" t="s">
        <v>116</v>
      </c>
      <c r="F48" s="3" t="s">
        <v>17</v>
      </c>
      <c r="G48" s="3" t="s">
        <v>65</v>
      </c>
      <c r="H48" s="3" t="s">
        <v>8</v>
      </c>
      <c r="I48" s="3" t="s">
        <v>7</v>
      </c>
      <c r="J48" s="3" t="s">
        <v>179</v>
      </c>
      <c r="K48" s="3" t="s">
        <v>49</v>
      </c>
      <c r="L48" s="3" t="s">
        <v>28</v>
      </c>
      <c r="M48">
        <v>1</v>
      </c>
    </row>
    <row r="49" spans="1:13" x14ac:dyDescent="0.25">
      <c r="A49" s="2">
        <v>46184</v>
      </c>
      <c r="B49" s="1" t="str">
        <f ca="1">IF(Información1[[#This Row],[Fecha]]='Ajuste de fechas'!$A$2,"Día actual","Día anterior")</f>
        <v>Día anterior</v>
      </c>
      <c r="C49" s="3" t="s">
        <v>18</v>
      </c>
      <c r="D49" t="s">
        <v>121</v>
      </c>
      <c r="E49" s="3" t="s">
        <v>119</v>
      </c>
      <c r="F49" s="3" t="s">
        <v>13</v>
      </c>
      <c r="G49" s="3" t="s">
        <v>37</v>
      </c>
      <c r="H49" s="3" t="s">
        <v>8</v>
      </c>
      <c r="I49" s="3" t="s">
        <v>16</v>
      </c>
      <c r="J49" s="3" t="s">
        <v>180</v>
      </c>
      <c r="K49" s="3" t="s">
        <v>120</v>
      </c>
      <c r="L49" s="3" t="s">
        <v>122</v>
      </c>
      <c r="M49">
        <v>1</v>
      </c>
    </row>
    <row r="50" spans="1:13" x14ac:dyDescent="0.25">
      <c r="A50" s="2">
        <v>46184</v>
      </c>
      <c r="B50" s="1" t="str">
        <f ca="1">IF(Información1[[#This Row],[Fecha]]='Ajuste de fechas'!$A$2,"Día actual","Día anterior")</f>
        <v>Día anterior</v>
      </c>
      <c r="C50" s="3" t="s">
        <v>18</v>
      </c>
      <c r="D50" t="s">
        <v>121</v>
      </c>
      <c r="E50" s="3" t="s">
        <v>123</v>
      </c>
      <c r="F50" s="3" t="s">
        <v>32</v>
      </c>
      <c r="G50" s="3" t="s">
        <v>124</v>
      </c>
      <c r="H50" s="3" t="s">
        <v>8</v>
      </c>
      <c r="I50" s="3" t="s">
        <v>7</v>
      </c>
      <c r="J50" s="3" t="s">
        <v>179</v>
      </c>
      <c r="K50" s="3" t="s">
        <v>120</v>
      </c>
      <c r="L50" s="3" t="s">
        <v>26</v>
      </c>
      <c r="M50">
        <v>1</v>
      </c>
    </row>
    <row r="51" spans="1:13" x14ac:dyDescent="0.25">
      <c r="A51" s="2">
        <v>46184</v>
      </c>
      <c r="B51" s="1" t="str">
        <f ca="1">IF(Información1[[#This Row],[Fecha]]='Ajuste de fechas'!$A$2,"Día actual","Día anterior")</f>
        <v>Día anterior</v>
      </c>
      <c r="C51" s="3" t="s">
        <v>18</v>
      </c>
      <c r="D51" t="s">
        <v>121</v>
      </c>
      <c r="E51" s="3" t="s">
        <v>125</v>
      </c>
      <c r="F51" s="3" t="s">
        <v>11</v>
      </c>
      <c r="G51" s="3" t="s">
        <v>126</v>
      </c>
      <c r="H51" s="3" t="s">
        <v>8</v>
      </c>
      <c r="I51" s="3" t="s">
        <v>7</v>
      </c>
      <c r="J51" s="3" t="s">
        <v>181</v>
      </c>
      <c r="K51" s="3" t="s">
        <v>120</v>
      </c>
      <c r="L51" s="3" t="s">
        <v>26</v>
      </c>
      <c r="M51">
        <v>1</v>
      </c>
    </row>
    <row r="52" spans="1:13" x14ac:dyDescent="0.25">
      <c r="A52" s="2">
        <v>46184</v>
      </c>
      <c r="B52" s="1" t="str">
        <f ca="1">IF(Información1[[#This Row],[Fecha]]='Ajuste de fechas'!$A$2,"Día actual","Día anterior")</f>
        <v>Día anterior</v>
      </c>
      <c r="C52" s="3" t="s">
        <v>18</v>
      </c>
      <c r="D52" t="s">
        <v>121</v>
      </c>
      <c r="E52" s="3" t="s">
        <v>127</v>
      </c>
      <c r="F52" s="3" t="s">
        <v>13</v>
      </c>
      <c r="G52" s="3" t="s">
        <v>128</v>
      </c>
      <c r="H52" s="3" t="s">
        <v>8</v>
      </c>
      <c r="I52" s="3" t="s">
        <v>7</v>
      </c>
      <c r="J52" s="3" t="s">
        <v>180</v>
      </c>
      <c r="K52" s="3" t="s">
        <v>120</v>
      </c>
      <c r="L52" s="3" t="s">
        <v>26</v>
      </c>
      <c r="M52">
        <v>1</v>
      </c>
    </row>
    <row r="53" spans="1:13" x14ac:dyDescent="0.25">
      <c r="A53" s="2">
        <v>46184</v>
      </c>
      <c r="B53" s="1" t="str">
        <f ca="1">IF(Información1[[#This Row],[Fecha]]='Ajuste de fechas'!$A$2,"Día actual","Día anterior")</f>
        <v>Día anterior</v>
      </c>
      <c r="C53" s="3" t="s">
        <v>18</v>
      </c>
      <c r="D53" t="s">
        <v>121</v>
      </c>
      <c r="E53" s="3" t="s">
        <v>129</v>
      </c>
      <c r="F53" s="3" t="s">
        <v>50</v>
      </c>
      <c r="G53" s="3" t="s">
        <v>59</v>
      </c>
      <c r="H53" s="3" t="s">
        <v>8</v>
      </c>
      <c r="I53" s="3" t="s">
        <v>7</v>
      </c>
      <c r="J53" s="3" t="s">
        <v>179</v>
      </c>
      <c r="K53" s="3" t="s">
        <v>120</v>
      </c>
      <c r="L53" s="3" t="s">
        <v>26</v>
      </c>
      <c r="M53">
        <v>1</v>
      </c>
    </row>
    <row r="54" spans="1:13" x14ac:dyDescent="0.25">
      <c r="A54" s="2">
        <v>46184</v>
      </c>
      <c r="B54" s="1" t="str">
        <f ca="1">IF(Información1[[#This Row],[Fecha]]='Ajuste de fechas'!$A$2,"Día actual","Día anterior")</f>
        <v>Día anterior</v>
      </c>
      <c r="C54" s="3" t="s">
        <v>18</v>
      </c>
      <c r="D54" t="s">
        <v>121</v>
      </c>
      <c r="E54" s="3" t="s">
        <v>130</v>
      </c>
      <c r="F54" s="3" t="s">
        <v>11</v>
      </c>
      <c r="G54" s="3" t="s">
        <v>131</v>
      </c>
      <c r="H54" s="3" t="s">
        <v>8</v>
      </c>
      <c r="I54" s="3" t="s">
        <v>7</v>
      </c>
      <c r="J54" s="3" t="s">
        <v>181</v>
      </c>
      <c r="K54" s="3" t="s">
        <v>120</v>
      </c>
      <c r="L54" s="3" t="s">
        <v>26</v>
      </c>
      <c r="M54">
        <v>1</v>
      </c>
    </row>
    <row r="55" spans="1:13" x14ac:dyDescent="0.25">
      <c r="A55" s="2">
        <v>46184</v>
      </c>
      <c r="B55" s="1" t="str">
        <f ca="1">IF(Información1[[#This Row],[Fecha]]='Ajuste de fechas'!$A$2,"Día actual","Día anterior")</f>
        <v>Día anterior</v>
      </c>
      <c r="C55" s="3" t="s">
        <v>18</v>
      </c>
      <c r="D55" t="s">
        <v>121</v>
      </c>
      <c r="E55" s="3" t="s">
        <v>132</v>
      </c>
      <c r="F55" s="3" t="s">
        <v>17</v>
      </c>
      <c r="G55" s="3" t="s">
        <v>65</v>
      </c>
      <c r="H55" s="3" t="s">
        <v>8</v>
      </c>
      <c r="I55" s="3" t="s">
        <v>7</v>
      </c>
      <c r="J55" s="3" t="s">
        <v>179</v>
      </c>
      <c r="K55" s="3" t="s">
        <v>120</v>
      </c>
      <c r="L55" s="3" t="s">
        <v>26</v>
      </c>
      <c r="M55">
        <v>1</v>
      </c>
    </row>
    <row r="56" spans="1:13" x14ac:dyDescent="0.25">
      <c r="A56" s="2">
        <v>46184</v>
      </c>
      <c r="B56" s="1" t="str">
        <f ca="1">IF(Información1[[#This Row],[Fecha]]='Ajuste de fechas'!$A$2,"Día actual","Día anterior")</f>
        <v>Día anterior</v>
      </c>
      <c r="C56" s="3" t="s">
        <v>18</v>
      </c>
      <c r="D56" t="s">
        <v>121</v>
      </c>
      <c r="E56" s="3" t="s">
        <v>133</v>
      </c>
      <c r="F56" s="3" t="s">
        <v>13</v>
      </c>
      <c r="G56" s="3" t="s">
        <v>37</v>
      </c>
      <c r="H56" s="3" t="s">
        <v>8</v>
      </c>
      <c r="I56" s="3" t="s">
        <v>7</v>
      </c>
      <c r="J56" s="3" t="s">
        <v>180</v>
      </c>
      <c r="K56" s="3" t="s">
        <v>120</v>
      </c>
      <c r="L56" s="3" t="s">
        <v>27</v>
      </c>
      <c r="M56">
        <v>1</v>
      </c>
    </row>
    <row r="57" spans="1:13" x14ac:dyDescent="0.25">
      <c r="A57" s="2">
        <v>46184</v>
      </c>
      <c r="B57" s="1" t="str">
        <f ca="1">IF(Información1[[#This Row],[Fecha]]='Ajuste de fechas'!$A$2,"Día actual","Día anterior")</f>
        <v>Día anterior</v>
      </c>
      <c r="C57" s="3" t="s">
        <v>34</v>
      </c>
      <c r="D57" t="s">
        <v>36</v>
      </c>
      <c r="E57" s="3" t="s">
        <v>134</v>
      </c>
      <c r="F57" s="3" t="s">
        <v>11</v>
      </c>
      <c r="G57" s="3" t="s">
        <v>37</v>
      </c>
      <c r="H57" s="3" t="s">
        <v>8</v>
      </c>
      <c r="I57" s="3" t="s">
        <v>7</v>
      </c>
      <c r="J57" s="3" t="s">
        <v>181</v>
      </c>
      <c r="K57" s="3" t="s">
        <v>35</v>
      </c>
      <c r="L57" s="3" t="s">
        <v>26</v>
      </c>
      <c r="M57">
        <v>1</v>
      </c>
    </row>
    <row r="58" spans="1:13" x14ac:dyDescent="0.25">
      <c r="A58" s="2">
        <v>46184</v>
      </c>
      <c r="B58" s="1" t="str">
        <f ca="1">IF(Información1[[#This Row],[Fecha]]='Ajuste de fechas'!$A$2,"Día actual","Día anterior")</f>
        <v>Día anterior</v>
      </c>
      <c r="C58" s="3" t="s">
        <v>34</v>
      </c>
      <c r="D58" t="s">
        <v>36</v>
      </c>
      <c r="E58" s="3" t="s">
        <v>135</v>
      </c>
      <c r="F58" s="3" t="s">
        <v>12</v>
      </c>
      <c r="G58" s="3" t="s">
        <v>136</v>
      </c>
      <c r="H58" s="3" t="s">
        <v>8</v>
      </c>
      <c r="I58" s="3" t="s">
        <v>9</v>
      </c>
      <c r="J58" s="3" t="s">
        <v>179</v>
      </c>
      <c r="K58" s="3" t="s">
        <v>33</v>
      </c>
      <c r="L58" s="3" t="s">
        <v>26</v>
      </c>
      <c r="M58">
        <v>1</v>
      </c>
    </row>
    <row r="59" spans="1:13" x14ac:dyDescent="0.25">
      <c r="A59" s="2">
        <v>46184</v>
      </c>
      <c r="B59" s="1" t="str">
        <f ca="1">IF(Información1[[#This Row],[Fecha]]='Ajuste de fechas'!$A$2,"Día actual","Día anterior")</f>
        <v>Día anterior</v>
      </c>
      <c r="C59" s="3" t="s">
        <v>34</v>
      </c>
      <c r="D59" t="s">
        <v>36</v>
      </c>
      <c r="E59" s="3" t="s">
        <v>137</v>
      </c>
      <c r="F59" s="3" t="s">
        <v>6</v>
      </c>
      <c r="G59" s="3" t="s">
        <v>59</v>
      </c>
      <c r="H59" s="3" t="s">
        <v>8</v>
      </c>
      <c r="I59" s="3" t="s">
        <v>7</v>
      </c>
      <c r="J59" s="3" t="s">
        <v>179</v>
      </c>
      <c r="K59" s="3" t="s">
        <v>33</v>
      </c>
      <c r="L59" s="3" t="s">
        <v>28</v>
      </c>
      <c r="M59">
        <v>1</v>
      </c>
    </row>
    <row r="60" spans="1:13" x14ac:dyDescent="0.25">
      <c r="A60" s="2">
        <v>46184</v>
      </c>
      <c r="B60" s="1" t="str">
        <f ca="1">IF(Información1[[#This Row],[Fecha]]='Ajuste de fechas'!$A$2,"Día actual","Día anterior")</f>
        <v>Día anterior</v>
      </c>
      <c r="C60" s="3" t="s">
        <v>34</v>
      </c>
      <c r="D60" t="s">
        <v>36</v>
      </c>
      <c r="E60" s="3" t="s">
        <v>75</v>
      </c>
      <c r="F60" s="3" t="s">
        <v>14</v>
      </c>
      <c r="G60" s="3" t="s">
        <v>76</v>
      </c>
      <c r="H60" s="3" t="s">
        <v>8</v>
      </c>
      <c r="I60" s="3" t="s">
        <v>7</v>
      </c>
      <c r="J60" s="3" t="s">
        <v>179</v>
      </c>
      <c r="K60" s="3" t="s">
        <v>33</v>
      </c>
      <c r="L60" s="3" t="s">
        <v>28</v>
      </c>
      <c r="M60">
        <v>1</v>
      </c>
    </row>
    <row r="61" spans="1:13" x14ac:dyDescent="0.25">
      <c r="A61" s="2">
        <v>46184</v>
      </c>
      <c r="B61" s="1" t="str">
        <f ca="1">IF(Información1[[#This Row],[Fecha]]='Ajuste de fechas'!$A$2,"Día actual","Día anterior")</f>
        <v>Día anterior</v>
      </c>
      <c r="C61" s="3" t="s">
        <v>34</v>
      </c>
      <c r="D61" t="s">
        <v>36</v>
      </c>
      <c r="E61" s="3" t="s">
        <v>109</v>
      </c>
      <c r="F61" s="3" t="s">
        <v>50</v>
      </c>
      <c r="G61" s="3" t="s">
        <v>59</v>
      </c>
      <c r="H61" s="3" t="s">
        <v>8</v>
      </c>
      <c r="I61" s="3" t="s">
        <v>7</v>
      </c>
      <c r="J61" s="3" t="s">
        <v>179</v>
      </c>
      <c r="K61" s="3" t="s">
        <v>33</v>
      </c>
      <c r="L61" s="3" t="s">
        <v>28</v>
      </c>
      <c r="M61">
        <v>1</v>
      </c>
    </row>
    <row r="62" spans="1:13" x14ac:dyDescent="0.25">
      <c r="A62" s="2">
        <v>46184</v>
      </c>
      <c r="B62" s="1" t="str">
        <f ca="1">IF(Información1[[#This Row],[Fecha]]='Ajuste de fechas'!$A$2,"Día actual","Día anterior")</f>
        <v>Día anterior</v>
      </c>
      <c r="C62" s="3" t="s">
        <v>34</v>
      </c>
      <c r="D62" t="s">
        <v>36</v>
      </c>
      <c r="E62" s="3" t="s">
        <v>115</v>
      </c>
      <c r="F62" s="3" t="s">
        <v>17</v>
      </c>
      <c r="G62" s="3" t="s">
        <v>65</v>
      </c>
      <c r="H62" s="3" t="s">
        <v>8</v>
      </c>
      <c r="I62" s="3" t="s">
        <v>7</v>
      </c>
      <c r="J62" s="3" t="s">
        <v>179</v>
      </c>
      <c r="K62" s="3" t="s">
        <v>33</v>
      </c>
      <c r="L62" s="3" t="s">
        <v>28</v>
      </c>
      <c r="M62">
        <v>1</v>
      </c>
    </row>
    <row r="63" spans="1:13" x14ac:dyDescent="0.25">
      <c r="A63" s="2">
        <v>46184</v>
      </c>
      <c r="B63" s="1" t="str">
        <f ca="1">IF(Información1[[#This Row],[Fecha]]='Ajuste de fechas'!$A$2,"Día actual","Día anterior")</f>
        <v>Día anterior</v>
      </c>
      <c r="C63" s="3" t="s">
        <v>34</v>
      </c>
      <c r="D63" t="s">
        <v>36</v>
      </c>
      <c r="E63" s="3" t="s">
        <v>116</v>
      </c>
      <c r="F63" s="3" t="s">
        <v>17</v>
      </c>
      <c r="G63" s="3" t="s">
        <v>65</v>
      </c>
      <c r="H63" s="3" t="s">
        <v>8</v>
      </c>
      <c r="I63" s="3" t="s">
        <v>7</v>
      </c>
      <c r="J63" s="3" t="s">
        <v>179</v>
      </c>
      <c r="K63" s="3" t="s">
        <v>33</v>
      </c>
      <c r="L63" s="3" t="s">
        <v>28</v>
      </c>
      <c r="M63">
        <v>1</v>
      </c>
    </row>
    <row r="64" spans="1:13" x14ac:dyDescent="0.25">
      <c r="A64" s="2">
        <v>46185</v>
      </c>
      <c r="B64" s="1" t="str">
        <f ca="1">IF(Información1[[#This Row],[Fecha]]='Ajuste de fechas'!$A$2,"Día actual","Día anterior")</f>
        <v>Día actual</v>
      </c>
      <c r="C64" s="3" t="s">
        <v>34</v>
      </c>
      <c r="D64" t="s">
        <v>40</v>
      </c>
      <c r="E64" s="3" t="s">
        <v>138</v>
      </c>
      <c r="F64" s="3" t="s">
        <v>15</v>
      </c>
      <c r="G64" s="3" t="s">
        <v>91</v>
      </c>
      <c r="H64" s="3" t="s">
        <v>8</v>
      </c>
      <c r="I64" s="3" t="s">
        <v>7</v>
      </c>
      <c r="J64" s="3" t="s">
        <v>15</v>
      </c>
      <c r="K64" s="3" t="s">
        <v>35</v>
      </c>
      <c r="L64" s="3" t="s">
        <v>26</v>
      </c>
      <c r="M64">
        <v>1</v>
      </c>
    </row>
    <row r="65" spans="1:13" x14ac:dyDescent="0.25">
      <c r="A65" s="2">
        <v>46185</v>
      </c>
      <c r="B65" s="1" t="str">
        <f ca="1">IF(Información1[[#This Row],[Fecha]]='Ajuste de fechas'!$A$2,"Día actual","Día anterior")</f>
        <v>Día actual</v>
      </c>
      <c r="C65" s="3" t="s">
        <v>34</v>
      </c>
      <c r="D65" t="s">
        <v>40</v>
      </c>
      <c r="E65" s="3" t="s">
        <v>139</v>
      </c>
      <c r="F65" s="3" t="s">
        <v>15</v>
      </c>
      <c r="G65" s="3" t="s">
        <v>37</v>
      </c>
      <c r="H65" s="3" t="s">
        <v>8</v>
      </c>
      <c r="I65" s="3" t="s">
        <v>7</v>
      </c>
      <c r="J65" s="3" t="s">
        <v>15</v>
      </c>
      <c r="K65" s="3" t="s">
        <v>35</v>
      </c>
      <c r="L65" s="3" t="s">
        <v>26</v>
      </c>
      <c r="M65">
        <v>1</v>
      </c>
    </row>
    <row r="66" spans="1:13" x14ac:dyDescent="0.25">
      <c r="A66" s="2">
        <v>46185</v>
      </c>
      <c r="B66" s="1" t="str">
        <f ca="1">IF(Información1[[#This Row],[Fecha]]='Ajuste de fechas'!$A$2,"Día actual","Día anterior")</f>
        <v>Día actual</v>
      </c>
      <c r="C66" s="3" t="s">
        <v>34</v>
      </c>
      <c r="D66" t="s">
        <v>40</v>
      </c>
      <c r="E66" s="3" t="s">
        <v>140</v>
      </c>
      <c r="F66" s="3" t="s">
        <v>6</v>
      </c>
      <c r="G66" s="3" t="s">
        <v>63</v>
      </c>
      <c r="H66" s="3" t="s">
        <v>8</v>
      </c>
      <c r="I66" s="3" t="s">
        <v>16</v>
      </c>
      <c r="J66" s="3" t="s">
        <v>179</v>
      </c>
      <c r="K66" s="3" t="s">
        <v>35</v>
      </c>
      <c r="L66" s="3" t="s">
        <v>27</v>
      </c>
      <c r="M66">
        <v>1</v>
      </c>
    </row>
    <row r="67" spans="1:13" x14ac:dyDescent="0.25">
      <c r="A67" s="2">
        <v>46185</v>
      </c>
      <c r="B67" s="1" t="str">
        <f ca="1">IF(Información1[[#This Row],[Fecha]]='Ajuste de fechas'!$A$2,"Día actual","Día anterior")</f>
        <v>Día actual</v>
      </c>
      <c r="C67" s="3" t="s">
        <v>47</v>
      </c>
      <c r="D67" t="s">
        <v>48</v>
      </c>
      <c r="E67" s="3" t="s">
        <v>141</v>
      </c>
      <c r="F67" s="3" t="s">
        <v>17</v>
      </c>
      <c r="G67" s="3" t="s">
        <v>65</v>
      </c>
      <c r="H67" s="3" t="s">
        <v>8</v>
      </c>
      <c r="I67" s="3" t="s">
        <v>9</v>
      </c>
      <c r="J67" s="3" t="s">
        <v>179</v>
      </c>
      <c r="K67" s="3" t="s">
        <v>49</v>
      </c>
      <c r="L67" s="3" t="s">
        <v>27</v>
      </c>
      <c r="M67">
        <v>1</v>
      </c>
    </row>
    <row r="68" spans="1:13" x14ac:dyDescent="0.25">
      <c r="A68" s="2">
        <v>46185</v>
      </c>
      <c r="B68" s="1" t="str">
        <f ca="1">IF(Información1[[#This Row],[Fecha]]='Ajuste de fechas'!$A$2,"Día actual","Día anterior")</f>
        <v>Día actual</v>
      </c>
      <c r="C68" s="3" t="s">
        <v>47</v>
      </c>
      <c r="D68" t="s">
        <v>48</v>
      </c>
      <c r="E68" s="3" t="s">
        <v>142</v>
      </c>
      <c r="F68" s="3" t="s">
        <v>17</v>
      </c>
      <c r="G68" s="3" t="s">
        <v>65</v>
      </c>
      <c r="H68" s="3" t="s">
        <v>8</v>
      </c>
      <c r="I68" s="3" t="s">
        <v>7</v>
      </c>
      <c r="J68" s="3" t="s">
        <v>179</v>
      </c>
      <c r="K68" s="3" t="s">
        <v>49</v>
      </c>
      <c r="L68" s="3" t="s">
        <v>26</v>
      </c>
      <c r="M68">
        <v>1</v>
      </c>
    </row>
    <row r="69" spans="1:13" x14ac:dyDescent="0.25">
      <c r="A69" s="2">
        <v>46185</v>
      </c>
      <c r="B69" s="1" t="str">
        <f ca="1">IF(Información1[[#This Row],[Fecha]]='Ajuste de fechas'!$A$2,"Día actual","Día anterior")</f>
        <v>Día actual</v>
      </c>
      <c r="C69" s="3" t="s">
        <v>47</v>
      </c>
      <c r="D69" t="s">
        <v>48</v>
      </c>
      <c r="E69" s="3" t="s">
        <v>143</v>
      </c>
      <c r="F69" s="3" t="s">
        <v>38</v>
      </c>
      <c r="G69" s="3" t="s">
        <v>91</v>
      </c>
      <c r="H69" s="3" t="s">
        <v>8</v>
      </c>
      <c r="I69" s="3" t="s">
        <v>7</v>
      </c>
      <c r="J69" s="3" t="s">
        <v>15</v>
      </c>
      <c r="K69" s="3" t="s">
        <v>49</v>
      </c>
      <c r="L69" s="3" t="s">
        <v>26</v>
      </c>
      <c r="M69">
        <v>1</v>
      </c>
    </row>
    <row r="70" spans="1:13" x14ac:dyDescent="0.25">
      <c r="A70" s="2">
        <v>46185</v>
      </c>
      <c r="B70" s="1" t="str">
        <f ca="1">IF(Información1[[#This Row],[Fecha]]='Ajuste de fechas'!$A$2,"Día actual","Día anterior")</f>
        <v>Día actual</v>
      </c>
      <c r="C70" s="3" t="s">
        <v>47</v>
      </c>
      <c r="D70" t="s">
        <v>48</v>
      </c>
      <c r="E70" s="3" t="s">
        <v>144</v>
      </c>
      <c r="F70" s="3" t="s">
        <v>14</v>
      </c>
      <c r="G70" s="3" t="s">
        <v>59</v>
      </c>
      <c r="H70" s="3" t="s">
        <v>8</v>
      </c>
      <c r="I70" s="3" t="s">
        <v>7</v>
      </c>
      <c r="J70" s="3" t="s">
        <v>179</v>
      </c>
      <c r="K70" s="3" t="s">
        <v>49</v>
      </c>
      <c r="L70" s="3" t="s">
        <v>28</v>
      </c>
      <c r="M70">
        <v>1</v>
      </c>
    </row>
    <row r="71" spans="1:13" x14ac:dyDescent="0.25">
      <c r="A71" s="2">
        <v>46185</v>
      </c>
      <c r="B71" s="1" t="str">
        <f ca="1">IF(Información1[[#This Row],[Fecha]]='Ajuste de fechas'!$A$2,"Día actual","Día anterior")</f>
        <v>Día actual</v>
      </c>
      <c r="C71" s="3" t="s">
        <v>47</v>
      </c>
      <c r="D71" t="s">
        <v>48</v>
      </c>
      <c r="E71" s="3" t="s">
        <v>145</v>
      </c>
      <c r="F71" s="3" t="s">
        <v>6</v>
      </c>
      <c r="G71" s="3" t="s">
        <v>59</v>
      </c>
      <c r="H71" s="3" t="s">
        <v>8</v>
      </c>
      <c r="I71" s="3" t="s">
        <v>7</v>
      </c>
      <c r="J71" s="3" t="s">
        <v>179</v>
      </c>
      <c r="K71" s="3" t="s">
        <v>49</v>
      </c>
      <c r="L71" s="3" t="s">
        <v>28</v>
      </c>
      <c r="M71">
        <v>1</v>
      </c>
    </row>
    <row r="72" spans="1:13" x14ac:dyDescent="0.25">
      <c r="A72" s="2">
        <v>46185</v>
      </c>
      <c r="B72" s="1" t="str">
        <f ca="1">IF(Información1[[#This Row],[Fecha]]='Ajuste de fechas'!$A$2,"Día actual","Día anterior")</f>
        <v>Día actual</v>
      </c>
      <c r="C72" s="3" t="s">
        <v>47</v>
      </c>
      <c r="D72" t="s">
        <v>48</v>
      </c>
      <c r="E72" s="3" t="s">
        <v>146</v>
      </c>
      <c r="F72" s="3" t="s">
        <v>19</v>
      </c>
      <c r="G72" s="3" t="s">
        <v>147</v>
      </c>
      <c r="H72" s="3" t="s">
        <v>8</v>
      </c>
      <c r="I72" s="3" t="s">
        <v>7</v>
      </c>
      <c r="J72" s="3" t="s">
        <v>179</v>
      </c>
      <c r="K72" s="3" t="s">
        <v>49</v>
      </c>
      <c r="L72" s="3" t="s">
        <v>28</v>
      </c>
      <c r="M72">
        <v>1</v>
      </c>
    </row>
    <row r="73" spans="1:13" x14ac:dyDescent="0.25">
      <c r="A73" s="2">
        <v>46185</v>
      </c>
      <c r="B73" s="1" t="str">
        <f ca="1">IF(Información1[[#This Row],[Fecha]]='Ajuste de fechas'!$A$2,"Día actual","Día anterior")</f>
        <v>Día actual</v>
      </c>
      <c r="C73" s="3" t="s">
        <v>47</v>
      </c>
      <c r="D73" t="s">
        <v>48</v>
      </c>
      <c r="E73" s="3" t="s">
        <v>148</v>
      </c>
      <c r="F73" s="3" t="s">
        <v>62</v>
      </c>
      <c r="G73" s="3" t="s">
        <v>149</v>
      </c>
      <c r="H73" s="3" t="s">
        <v>8</v>
      </c>
      <c r="I73" s="3" t="s">
        <v>7</v>
      </c>
      <c r="J73" s="3" t="s">
        <v>179</v>
      </c>
      <c r="K73" s="3" t="s">
        <v>49</v>
      </c>
      <c r="L73" s="3" t="s">
        <v>28</v>
      </c>
      <c r="M73">
        <v>1</v>
      </c>
    </row>
    <row r="74" spans="1:13" x14ac:dyDescent="0.25">
      <c r="A74" s="2">
        <v>46185</v>
      </c>
      <c r="B74" s="1" t="str">
        <f ca="1">IF(Información1[[#This Row],[Fecha]]='Ajuste de fechas'!$A$2,"Día actual","Día anterior")</f>
        <v>Día actual</v>
      </c>
      <c r="C74" s="3" t="s">
        <v>47</v>
      </c>
      <c r="D74" t="s">
        <v>48</v>
      </c>
      <c r="E74" s="3" t="s">
        <v>150</v>
      </c>
      <c r="F74" s="3" t="s">
        <v>6</v>
      </c>
      <c r="G74" s="3" t="s">
        <v>151</v>
      </c>
      <c r="H74" s="3" t="s">
        <v>8</v>
      </c>
      <c r="I74" s="3" t="s">
        <v>7</v>
      </c>
      <c r="J74" s="3" t="s">
        <v>179</v>
      </c>
      <c r="K74" s="3" t="s">
        <v>49</v>
      </c>
      <c r="L74" s="3" t="s">
        <v>28</v>
      </c>
      <c r="M74">
        <v>1</v>
      </c>
    </row>
    <row r="75" spans="1:13" x14ac:dyDescent="0.25">
      <c r="A75" s="2">
        <v>46185</v>
      </c>
      <c r="B75" s="1" t="str">
        <f ca="1">IF(Información1[[#This Row],[Fecha]]='Ajuste de fechas'!$A$2,"Día actual","Día anterior")</f>
        <v>Día actual</v>
      </c>
      <c r="C75" s="3" t="s">
        <v>110</v>
      </c>
      <c r="D75" t="s">
        <v>113</v>
      </c>
      <c r="E75" s="3" t="s">
        <v>152</v>
      </c>
      <c r="F75" s="3" t="s">
        <v>42</v>
      </c>
      <c r="G75" s="3" t="s">
        <v>51</v>
      </c>
      <c r="H75" s="3" t="s">
        <v>8</v>
      </c>
      <c r="I75" s="3" t="s">
        <v>7</v>
      </c>
      <c r="J75" s="3" t="s">
        <v>179</v>
      </c>
      <c r="K75" s="3" t="s">
        <v>112</v>
      </c>
      <c r="L75" s="3" t="s">
        <v>28</v>
      </c>
      <c r="M75">
        <v>1</v>
      </c>
    </row>
    <row r="76" spans="1:13" x14ac:dyDescent="0.25">
      <c r="A76" s="2">
        <v>46185</v>
      </c>
      <c r="B76" s="1" t="str">
        <f ca="1">IF(Información1[[#This Row],[Fecha]]='Ajuste de fechas'!$A$2,"Día actual","Día anterior")</f>
        <v>Día actual</v>
      </c>
      <c r="C76" s="3" t="s">
        <v>56</v>
      </c>
      <c r="D76" t="s">
        <v>57</v>
      </c>
      <c r="E76" s="3" t="s">
        <v>153</v>
      </c>
      <c r="F76" s="3" t="s">
        <v>10</v>
      </c>
      <c r="G76" s="3" t="s">
        <v>154</v>
      </c>
      <c r="H76" s="3" t="s">
        <v>8</v>
      </c>
      <c r="I76" s="3" t="s">
        <v>7</v>
      </c>
      <c r="J76" s="3" t="s">
        <v>179</v>
      </c>
      <c r="K76" s="3" t="s">
        <v>58</v>
      </c>
      <c r="L76" s="3" t="s">
        <v>28</v>
      </c>
      <c r="M76">
        <v>1</v>
      </c>
    </row>
    <row r="77" spans="1:13" x14ac:dyDescent="0.25">
      <c r="A77" s="2">
        <v>46185</v>
      </c>
      <c r="B77" s="1" t="str">
        <f ca="1">IF(Información1[[#This Row],[Fecha]]='Ajuste de fechas'!$A$2,"Día actual","Día anterior")</f>
        <v>Día actual</v>
      </c>
      <c r="C77" s="3" t="s">
        <v>56</v>
      </c>
      <c r="D77" t="s">
        <v>57</v>
      </c>
      <c r="E77" s="3" t="s">
        <v>152</v>
      </c>
      <c r="F77" s="3" t="s">
        <v>42</v>
      </c>
      <c r="G77" s="3" t="s">
        <v>51</v>
      </c>
      <c r="H77" s="3" t="s">
        <v>8</v>
      </c>
      <c r="I77" s="3" t="s">
        <v>7</v>
      </c>
      <c r="J77" s="3" t="s">
        <v>179</v>
      </c>
      <c r="K77" s="3" t="s">
        <v>58</v>
      </c>
      <c r="L77" s="3" t="s">
        <v>28</v>
      </c>
      <c r="M77">
        <v>1</v>
      </c>
    </row>
    <row r="78" spans="1:13" x14ac:dyDescent="0.25">
      <c r="A78" s="2">
        <v>46185</v>
      </c>
      <c r="B78" s="1" t="str">
        <f ca="1">IF(Información1[[#This Row],[Fecha]]='Ajuste de fechas'!$A$2,"Día actual","Día anterior")</f>
        <v>Día actual</v>
      </c>
      <c r="C78" s="3" t="s">
        <v>56</v>
      </c>
      <c r="D78" t="s">
        <v>57</v>
      </c>
      <c r="E78" s="3" t="s">
        <v>155</v>
      </c>
      <c r="F78" s="3" t="s">
        <v>50</v>
      </c>
      <c r="G78" s="3" t="s">
        <v>156</v>
      </c>
      <c r="H78" s="3" t="s">
        <v>8</v>
      </c>
      <c r="I78" s="3" t="s">
        <v>7</v>
      </c>
      <c r="J78" s="3" t="s">
        <v>179</v>
      </c>
      <c r="K78" s="3" t="s">
        <v>58</v>
      </c>
      <c r="L78" s="3" t="s">
        <v>28</v>
      </c>
      <c r="M78">
        <v>1</v>
      </c>
    </row>
    <row r="79" spans="1:13" x14ac:dyDescent="0.25">
      <c r="A79" s="2">
        <v>46185</v>
      </c>
      <c r="B79" s="1" t="str">
        <f ca="1">IF(Información1[[#This Row],[Fecha]]='Ajuste de fechas'!$A$2,"Día actual","Día anterior")</f>
        <v>Día actual</v>
      </c>
      <c r="C79" s="3" t="s">
        <v>18</v>
      </c>
      <c r="D79" t="s">
        <v>121</v>
      </c>
      <c r="E79" s="3" t="s">
        <v>157</v>
      </c>
      <c r="F79" s="3" t="s">
        <v>11</v>
      </c>
      <c r="G79" s="3" t="s">
        <v>53</v>
      </c>
      <c r="H79" s="3" t="s">
        <v>8</v>
      </c>
      <c r="I79" s="3" t="s">
        <v>7</v>
      </c>
      <c r="J79" s="3" t="s">
        <v>181</v>
      </c>
      <c r="K79" s="3" t="s">
        <v>120</v>
      </c>
      <c r="L79" s="3" t="s">
        <v>26</v>
      </c>
      <c r="M79">
        <v>1</v>
      </c>
    </row>
    <row r="80" spans="1:13" x14ac:dyDescent="0.25">
      <c r="A80" s="2">
        <v>46185</v>
      </c>
      <c r="B80" s="1" t="str">
        <f ca="1">IF(Información1[[#This Row],[Fecha]]='Ajuste de fechas'!$A$2,"Día actual","Día anterior")</f>
        <v>Día actual</v>
      </c>
      <c r="C80" s="3" t="s">
        <v>18</v>
      </c>
      <c r="D80" t="s">
        <v>121</v>
      </c>
      <c r="E80" s="3" t="s">
        <v>158</v>
      </c>
      <c r="F80" s="3" t="s">
        <v>14</v>
      </c>
      <c r="G80" s="3" t="s">
        <v>76</v>
      </c>
      <c r="H80" s="3" t="s">
        <v>8</v>
      </c>
      <c r="I80" s="3" t="s">
        <v>7</v>
      </c>
      <c r="J80" s="3" t="s">
        <v>179</v>
      </c>
      <c r="K80" s="3" t="s">
        <v>120</v>
      </c>
      <c r="L80" s="3" t="s">
        <v>26</v>
      </c>
      <c r="M80">
        <v>1</v>
      </c>
    </row>
    <row r="81" spans="1:13" x14ac:dyDescent="0.25">
      <c r="A81" s="2">
        <v>46185</v>
      </c>
      <c r="B81" s="1" t="str">
        <f ca="1">IF(Información1[[#This Row],[Fecha]]='Ajuste de fechas'!$A$2,"Día actual","Día anterior")</f>
        <v>Día actual</v>
      </c>
      <c r="C81" s="3" t="s">
        <v>18</v>
      </c>
      <c r="D81" t="s">
        <v>121</v>
      </c>
      <c r="E81" s="3" t="s">
        <v>159</v>
      </c>
      <c r="F81" s="3" t="s">
        <v>15</v>
      </c>
      <c r="G81" s="3" t="s">
        <v>37</v>
      </c>
      <c r="H81" s="3" t="s">
        <v>8</v>
      </c>
      <c r="I81" s="3" t="s">
        <v>7</v>
      </c>
      <c r="J81" s="3" t="s">
        <v>15</v>
      </c>
      <c r="K81" s="3" t="s">
        <v>120</v>
      </c>
      <c r="L81" s="3" t="s">
        <v>26</v>
      </c>
      <c r="M81">
        <v>1</v>
      </c>
    </row>
    <row r="82" spans="1:13" x14ac:dyDescent="0.25">
      <c r="A82" s="2">
        <v>46185</v>
      </c>
      <c r="B82" s="1" t="str">
        <f ca="1">IF(Información1[[#This Row],[Fecha]]='Ajuste de fechas'!$A$2,"Día actual","Día anterior")</f>
        <v>Día actual</v>
      </c>
      <c r="C82" s="3" t="s">
        <v>18</v>
      </c>
      <c r="D82" t="s">
        <v>121</v>
      </c>
      <c r="E82" s="3" t="s">
        <v>160</v>
      </c>
      <c r="F82" s="3" t="s">
        <v>38</v>
      </c>
      <c r="G82" s="3" t="s">
        <v>91</v>
      </c>
      <c r="H82" s="3" t="s">
        <v>8</v>
      </c>
      <c r="I82" s="3" t="s">
        <v>7</v>
      </c>
      <c r="J82" s="3" t="s">
        <v>15</v>
      </c>
      <c r="K82" s="3" t="s">
        <v>120</v>
      </c>
      <c r="L82" s="3" t="s">
        <v>26</v>
      </c>
      <c r="M82">
        <v>1</v>
      </c>
    </row>
    <row r="83" spans="1:13" x14ac:dyDescent="0.25">
      <c r="A83" s="2">
        <v>46185</v>
      </c>
      <c r="B83" s="1" t="str">
        <f ca="1">IF(Información1[[#This Row],[Fecha]]='Ajuste de fechas'!$A$2,"Día actual","Día anterior")</f>
        <v>Día actual</v>
      </c>
      <c r="C83" s="3" t="s">
        <v>18</v>
      </c>
      <c r="D83" t="s">
        <v>121</v>
      </c>
      <c r="E83" s="3" t="s">
        <v>161</v>
      </c>
      <c r="F83" s="3" t="s">
        <v>13</v>
      </c>
      <c r="G83" s="3" t="s">
        <v>162</v>
      </c>
      <c r="H83" s="3" t="s">
        <v>8</v>
      </c>
      <c r="I83" s="3" t="s">
        <v>7</v>
      </c>
      <c r="J83" s="3" t="s">
        <v>180</v>
      </c>
      <c r="K83" s="3" t="s">
        <v>120</v>
      </c>
      <c r="L83" s="3" t="s">
        <v>26</v>
      </c>
      <c r="M83">
        <v>1</v>
      </c>
    </row>
    <row r="84" spans="1:13" x14ac:dyDescent="0.25">
      <c r="A84" s="2">
        <v>46185</v>
      </c>
      <c r="B84" s="1" t="str">
        <f ca="1">IF(Información1[[#This Row],[Fecha]]='Ajuste de fechas'!$A$2,"Día actual","Día anterior")</f>
        <v>Día actual</v>
      </c>
      <c r="C84" s="3" t="s">
        <v>18</v>
      </c>
      <c r="D84" t="s">
        <v>121</v>
      </c>
      <c r="E84" s="3" t="s">
        <v>163</v>
      </c>
      <c r="F84" s="3" t="s">
        <v>42</v>
      </c>
      <c r="G84" s="3" t="s">
        <v>164</v>
      </c>
      <c r="H84" s="3" t="s">
        <v>8</v>
      </c>
      <c r="I84" s="3" t="s">
        <v>7</v>
      </c>
      <c r="J84" s="3" t="s">
        <v>179</v>
      </c>
      <c r="K84" s="3" t="s">
        <v>120</v>
      </c>
      <c r="L84" s="3" t="s">
        <v>26</v>
      </c>
      <c r="M84">
        <v>1</v>
      </c>
    </row>
    <row r="85" spans="1:13" x14ac:dyDescent="0.25">
      <c r="A85" s="2">
        <v>46185</v>
      </c>
      <c r="B85" s="1" t="str">
        <f ca="1">IF(Información1[[#This Row],[Fecha]]='Ajuste de fechas'!$A$2,"Día actual","Día anterior")</f>
        <v>Día actual</v>
      </c>
      <c r="C85" s="3" t="s">
        <v>18</v>
      </c>
      <c r="D85" t="s">
        <v>121</v>
      </c>
      <c r="E85" s="3" t="s">
        <v>165</v>
      </c>
      <c r="F85" s="3" t="s">
        <v>10</v>
      </c>
      <c r="G85" s="3" t="s">
        <v>54</v>
      </c>
      <c r="H85" s="3" t="s">
        <v>8</v>
      </c>
      <c r="I85" s="3" t="s">
        <v>7</v>
      </c>
      <c r="J85" s="3" t="s">
        <v>179</v>
      </c>
      <c r="K85" s="3" t="s">
        <v>120</v>
      </c>
      <c r="L85" s="3" t="s">
        <v>27</v>
      </c>
      <c r="M85">
        <v>1</v>
      </c>
    </row>
    <row r="86" spans="1:13" x14ac:dyDescent="0.25">
      <c r="A86" s="2">
        <v>46185</v>
      </c>
      <c r="B86" s="1" t="str">
        <f ca="1">IF(Información1[[#This Row],[Fecha]]='Ajuste de fechas'!$A$2,"Día actual","Día anterior")</f>
        <v>Día actual</v>
      </c>
      <c r="C86" s="3" t="s">
        <v>18</v>
      </c>
      <c r="D86" t="s">
        <v>121</v>
      </c>
      <c r="E86" s="3" t="s">
        <v>166</v>
      </c>
      <c r="F86" s="3" t="s">
        <v>10</v>
      </c>
      <c r="G86" s="3" t="s">
        <v>54</v>
      </c>
      <c r="H86" s="3" t="s">
        <v>8</v>
      </c>
      <c r="I86" s="3" t="s">
        <v>7</v>
      </c>
      <c r="J86" s="3" t="s">
        <v>179</v>
      </c>
      <c r="K86" s="3" t="s">
        <v>120</v>
      </c>
      <c r="L86" s="3" t="s">
        <v>26</v>
      </c>
      <c r="M86">
        <v>1</v>
      </c>
    </row>
    <row r="87" spans="1:13" x14ac:dyDescent="0.25">
      <c r="A87" s="2">
        <v>46185</v>
      </c>
      <c r="B87" s="1" t="str">
        <f ca="1">IF(Información1[[#This Row],[Fecha]]='Ajuste de fechas'!$A$2,"Día actual","Día anterior")</f>
        <v>Día actual</v>
      </c>
      <c r="C87" s="3" t="s">
        <v>34</v>
      </c>
      <c r="D87" t="s">
        <v>36</v>
      </c>
      <c r="E87" s="3" t="s">
        <v>167</v>
      </c>
      <c r="F87" s="3" t="s">
        <v>13</v>
      </c>
      <c r="G87" s="3" t="s">
        <v>168</v>
      </c>
      <c r="H87" s="3" t="s">
        <v>8</v>
      </c>
      <c r="I87" s="3" t="s">
        <v>7</v>
      </c>
      <c r="J87" s="3" t="s">
        <v>180</v>
      </c>
      <c r="K87" s="3" t="s">
        <v>35</v>
      </c>
      <c r="L87" s="3" t="s">
        <v>26</v>
      </c>
      <c r="M87">
        <v>1</v>
      </c>
    </row>
    <row r="88" spans="1:13" x14ac:dyDescent="0.25">
      <c r="A88" s="2">
        <v>46185</v>
      </c>
      <c r="B88" s="1" t="str">
        <f ca="1">IF(Información1[[#This Row],[Fecha]]='Ajuste de fechas'!$A$2,"Día actual","Día anterior")</f>
        <v>Día actual</v>
      </c>
      <c r="C88" s="3" t="s">
        <v>34</v>
      </c>
      <c r="D88" t="s">
        <v>36</v>
      </c>
      <c r="E88" s="3" t="s">
        <v>144</v>
      </c>
      <c r="F88" s="3" t="s">
        <v>14</v>
      </c>
      <c r="G88" s="3" t="s">
        <v>59</v>
      </c>
      <c r="H88" s="3" t="s">
        <v>8</v>
      </c>
      <c r="I88" s="3" t="s">
        <v>7</v>
      </c>
      <c r="J88" s="3" t="s">
        <v>179</v>
      </c>
      <c r="K88" s="3" t="s">
        <v>33</v>
      </c>
      <c r="L88" s="3" t="s">
        <v>28</v>
      </c>
      <c r="M88">
        <v>1</v>
      </c>
    </row>
    <row r="89" spans="1:13" x14ac:dyDescent="0.25">
      <c r="A89" s="2">
        <v>46185</v>
      </c>
      <c r="B89" s="1" t="str">
        <f ca="1">IF(Información1[[#This Row],[Fecha]]='Ajuste de fechas'!$A$2,"Día actual","Día anterior")</f>
        <v>Día actual</v>
      </c>
      <c r="C89" s="3" t="s">
        <v>34</v>
      </c>
      <c r="D89" t="s">
        <v>36</v>
      </c>
      <c r="E89" s="3" t="s">
        <v>169</v>
      </c>
      <c r="F89" s="3" t="s">
        <v>14</v>
      </c>
      <c r="G89" s="3" t="s">
        <v>76</v>
      </c>
      <c r="H89" s="3" t="s">
        <v>8</v>
      </c>
      <c r="I89" s="3" t="s">
        <v>7</v>
      </c>
      <c r="J89" s="3" t="s">
        <v>179</v>
      </c>
      <c r="K89" s="3" t="s">
        <v>33</v>
      </c>
      <c r="L89" s="3" t="s">
        <v>28</v>
      </c>
      <c r="M89">
        <v>1</v>
      </c>
    </row>
    <row r="90" spans="1:13" x14ac:dyDescent="0.25">
      <c r="A90" s="2">
        <v>46185</v>
      </c>
      <c r="B90" s="1" t="str">
        <f ca="1">IF(Información1[[#This Row],[Fecha]]='Ajuste de fechas'!$A$2,"Día actual","Día anterior")</f>
        <v>Día actual</v>
      </c>
      <c r="C90" s="3" t="s">
        <v>34</v>
      </c>
      <c r="D90" t="s">
        <v>36</v>
      </c>
      <c r="E90" s="3" t="s">
        <v>170</v>
      </c>
      <c r="F90" s="3" t="s">
        <v>55</v>
      </c>
      <c r="G90" s="3" t="s">
        <v>171</v>
      </c>
      <c r="H90" s="3" t="s">
        <v>8</v>
      </c>
      <c r="I90" s="3" t="s">
        <v>7</v>
      </c>
      <c r="J90" s="3" t="s">
        <v>179</v>
      </c>
      <c r="K90" s="3" t="s">
        <v>33</v>
      </c>
      <c r="L90" s="3" t="s">
        <v>28</v>
      </c>
      <c r="M90">
        <v>1</v>
      </c>
    </row>
    <row r="91" spans="1:13" x14ac:dyDescent="0.25">
      <c r="A91" s="2">
        <v>46185</v>
      </c>
      <c r="B91" s="1" t="str">
        <f ca="1">IF(Información1[[#This Row],[Fecha]]='Ajuste de fechas'!$A$2,"Día actual","Día anterior")</f>
        <v>Día actual</v>
      </c>
      <c r="C91" s="3" t="s">
        <v>34</v>
      </c>
      <c r="D91" t="s">
        <v>36</v>
      </c>
      <c r="E91" s="3" t="s">
        <v>172</v>
      </c>
      <c r="F91" s="3" t="s">
        <v>50</v>
      </c>
      <c r="G91" s="3" t="s">
        <v>59</v>
      </c>
      <c r="H91" s="3" t="s">
        <v>8</v>
      </c>
      <c r="I91" s="3" t="s">
        <v>7</v>
      </c>
      <c r="J91" s="3" t="s">
        <v>179</v>
      </c>
      <c r="K91" s="3" t="s">
        <v>33</v>
      </c>
      <c r="L91" s="3" t="s">
        <v>28</v>
      </c>
      <c r="M91">
        <v>1</v>
      </c>
    </row>
    <row r="92" spans="1:13" x14ac:dyDescent="0.25">
      <c r="A92" s="2">
        <v>46185</v>
      </c>
      <c r="B92" s="1" t="str">
        <f ca="1">IF(Información1[[#This Row],[Fecha]]='Ajuste de fechas'!$A$2,"Día actual","Día anterior")</f>
        <v>Día actual</v>
      </c>
      <c r="C92" s="3" t="s">
        <v>34</v>
      </c>
      <c r="D92" t="s">
        <v>36</v>
      </c>
      <c r="E92" s="3" t="s">
        <v>173</v>
      </c>
      <c r="F92" s="3" t="s">
        <v>174</v>
      </c>
      <c r="G92" s="3" t="s">
        <v>175</v>
      </c>
      <c r="H92" s="3" t="s">
        <v>8</v>
      </c>
      <c r="I92" s="3" t="s">
        <v>7</v>
      </c>
      <c r="J92" s="3" t="s">
        <v>179</v>
      </c>
      <c r="K92" s="3" t="s">
        <v>35</v>
      </c>
      <c r="L92" s="3" t="s">
        <v>26</v>
      </c>
      <c r="M92">
        <v>1</v>
      </c>
    </row>
    <row r="93" spans="1:13" x14ac:dyDescent="0.25">
      <c r="A93" s="2">
        <v>46185</v>
      </c>
      <c r="B93" s="1" t="str">
        <f ca="1">IF(Información1[[#This Row],[Fecha]]='Ajuste de fechas'!$A$2,"Día actual","Día anterior")</f>
        <v>Día actual</v>
      </c>
      <c r="C93" s="3" t="s">
        <v>34</v>
      </c>
      <c r="D93" t="s">
        <v>36</v>
      </c>
      <c r="E93" s="3" t="s">
        <v>148</v>
      </c>
      <c r="F93" s="3" t="s">
        <v>62</v>
      </c>
      <c r="G93" s="3" t="s">
        <v>149</v>
      </c>
      <c r="H93" s="3" t="s">
        <v>8</v>
      </c>
      <c r="I93" s="3" t="s">
        <v>7</v>
      </c>
      <c r="J93" s="3" t="s">
        <v>179</v>
      </c>
      <c r="K93" s="3" t="s">
        <v>33</v>
      </c>
      <c r="L93" s="3" t="s">
        <v>28</v>
      </c>
      <c r="M93">
        <v>1</v>
      </c>
    </row>
    <row r="94" spans="1:13" x14ac:dyDescent="0.25">
      <c r="A94" s="2">
        <v>46185</v>
      </c>
      <c r="B94" s="1" t="str">
        <f ca="1">IF(Información1[[#This Row],[Fecha]]='Ajuste de fechas'!$A$2,"Día actual","Día anterior")</f>
        <v>Día actual</v>
      </c>
      <c r="C94" s="3" t="s">
        <v>34</v>
      </c>
      <c r="D94" t="s">
        <v>36</v>
      </c>
      <c r="E94" s="3" t="s">
        <v>176</v>
      </c>
      <c r="F94" s="3" t="s">
        <v>39</v>
      </c>
      <c r="G94" s="3" t="s">
        <v>177</v>
      </c>
      <c r="H94" s="3" t="s">
        <v>8</v>
      </c>
      <c r="I94" s="3" t="s">
        <v>7</v>
      </c>
      <c r="J94" s="3" t="s">
        <v>179</v>
      </c>
      <c r="K94" s="3" t="s">
        <v>33</v>
      </c>
      <c r="L94" s="3" t="s">
        <v>28</v>
      </c>
      <c r="M94">
        <v>1</v>
      </c>
    </row>
    <row r="95" spans="1:13" x14ac:dyDescent="0.25">
      <c r="A95" s="2">
        <v>46185</v>
      </c>
      <c r="B95" s="1" t="str">
        <f ca="1">IF(Información1[[#This Row],[Fecha]]='Ajuste de fechas'!$A$2,"Día actual","Día anterior")</f>
        <v>Día actual</v>
      </c>
      <c r="C95" s="3" t="s">
        <v>34</v>
      </c>
      <c r="D95" t="s">
        <v>36</v>
      </c>
      <c r="E95" s="3" t="s">
        <v>178</v>
      </c>
      <c r="F95" s="3" t="s">
        <v>38</v>
      </c>
      <c r="G95" s="3" t="s">
        <v>91</v>
      </c>
      <c r="H95" s="3" t="s">
        <v>8</v>
      </c>
      <c r="I95" s="3" t="s">
        <v>7</v>
      </c>
      <c r="J95" s="3" t="s">
        <v>15</v>
      </c>
      <c r="K95" s="3" t="s">
        <v>35</v>
      </c>
      <c r="L95" s="3" t="s">
        <v>26</v>
      </c>
      <c r="M95">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3" sqref="A3"/>
    </sheetView>
  </sheetViews>
  <sheetFormatPr baseColWidth="10" defaultRowHeight="15" x14ac:dyDescent="0.25"/>
  <sheetData>
    <row r="1" spans="1:2" x14ac:dyDescent="0.25">
      <c r="A1" t="s">
        <v>30</v>
      </c>
      <c r="B1" t="s">
        <v>31</v>
      </c>
    </row>
    <row r="2" spans="1:2" x14ac:dyDescent="0.25">
      <c r="A2" s="2">
        <f ca="1">TODAY()</f>
        <v>46185</v>
      </c>
      <c r="B2" s="2">
        <f ca="1">A2-1</f>
        <v>46184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2026-06-13T01:01:31Z</dcterms:modified>
</cp:coreProperties>
</file>