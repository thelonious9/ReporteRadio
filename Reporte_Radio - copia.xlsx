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2EA5D8FD-07B0-4556-98BE-A0C2572F8FB2}"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80" i="2"/>
  <c r="B83" i="2"/>
  <c r="B85" i="2"/>
  <c r="B88" i="2"/>
  <c r="B91" i="2"/>
  <c r="B94" i="2"/>
  <c r="B97" i="2"/>
  <c r="B100" i="2"/>
  <c r="B101" i="2"/>
  <c r="B104" i="2"/>
  <c r="B28" i="2"/>
  <c r="B29" i="2"/>
  <c r="B30" i="2"/>
  <c r="B31" i="2"/>
  <c r="B32" i="2"/>
  <c r="B33" i="2"/>
  <c r="B34" i="2"/>
  <c r="B35" i="2"/>
  <c r="B36" i="2"/>
  <c r="B37" i="2"/>
  <c r="B38" i="2"/>
  <c r="B39" i="2"/>
  <c r="B40" i="2"/>
  <c r="B41" i="2"/>
  <c r="B42" i="2"/>
  <c r="B43" i="2"/>
  <c r="B44" i="2"/>
  <c r="B45" i="2"/>
  <c r="B46" i="2"/>
  <c r="B47" i="2"/>
  <c r="B48" i="2"/>
  <c r="B49" i="2"/>
  <c r="B50" i="2"/>
  <c r="B51" i="2"/>
  <c r="B52" i="2"/>
  <c r="B53" i="2"/>
  <c r="B77" i="2"/>
  <c r="B79" i="2"/>
  <c r="B82" i="2"/>
  <c r="B86" i="2"/>
  <c r="B89" i="2"/>
  <c r="B92" i="2"/>
  <c r="B95" i="2"/>
  <c r="B99" i="2"/>
  <c r="B102" i="2"/>
  <c r="B105" i="2"/>
  <c r="B54" i="2"/>
  <c r="B55" i="2"/>
  <c r="B56" i="2"/>
  <c r="B57" i="2"/>
  <c r="B58" i="2"/>
  <c r="B59" i="2"/>
  <c r="B60" i="2"/>
  <c r="B61" i="2"/>
  <c r="B62" i="2"/>
  <c r="B63" i="2"/>
  <c r="B64" i="2"/>
  <c r="B65" i="2"/>
  <c r="B66" i="2"/>
  <c r="B67" i="2"/>
  <c r="B68" i="2"/>
  <c r="B69" i="2"/>
  <c r="B70" i="2"/>
  <c r="B71" i="2"/>
  <c r="B72" i="2"/>
  <c r="B73" i="2"/>
  <c r="B74" i="2"/>
  <c r="B75" i="2"/>
  <c r="B76" i="2"/>
  <c r="B78" i="2"/>
  <c r="B81" i="2"/>
  <c r="B84" i="2"/>
  <c r="B87" i="2"/>
  <c r="B90" i="2"/>
  <c r="B93" i="2"/>
  <c r="B96" i="2"/>
  <c r="B98" i="2"/>
  <c r="B10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<sst xmlns="http://schemas.openxmlformats.org/spreadsheetml/2006/main" count="1055" uniqueCount="216">
  <si>
    <t>Fecha</t>
  </si>
  <si>
    <t>Titular</t>
  </si>
  <si>
    <t>Dependencia</t>
  </si>
  <si>
    <t>Canal</t>
  </si>
  <si>
    <t>Tema</t>
  </si>
  <si>
    <t>Estatus</t>
  </si>
  <si>
    <t>Informativa</t>
  </si>
  <si>
    <t>Positiva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</si>
  <si>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</si>
  <si>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</si>
  <si>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</si>
  <si>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</si>
  <si>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</si>
  <si>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</si>
  <si>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</si>
  <si>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</si>
  <si>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</si>
  <si>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</si>
  <si>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</si>
  <si>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</si>
  <si>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</si>
  <si>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</si>
  <si>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</si>
  <si>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</si>
  <si>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</si>
  <si>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</si>
  <si>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</si>
  <si>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</si>
  <si>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</si>
  <si>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</si>
  <si>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</si>
  <si>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</si>
  <si>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</si>
  <si>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</si>
  <si>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</si>
  <si>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</si>
  <si>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</si>
  <si>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</si>
  <si>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</si>
  <si>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</si>
  <si>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TV LOCAL</t>
  </si>
  <si>
    <t>Aldo Falcón</t>
  </si>
  <si>
    <t>Andrés Torres</t>
  </si>
  <si>
    <t>Ultra 102.9 FM</t>
  </si>
  <si>
    <t>Ultra Noticias1</t>
  </si>
  <si>
    <t>Daniel Martínez</t>
  </si>
  <si>
    <t>Localización de cuerpo</t>
  </si>
  <si>
    <t>SSPH</t>
  </si>
  <si>
    <t>Radiodifusoras</t>
  </si>
  <si>
    <t>Comparecencias</t>
  </si>
  <si>
    <t>Saderh</t>
  </si>
  <si>
    <t>Planeación</t>
  </si>
  <si>
    <t>Vacunación</t>
  </si>
  <si>
    <t>Izza Hernández</t>
  </si>
  <si>
    <t>Jessenia Romero</t>
  </si>
  <si>
    <t>Muy negativo</t>
  </si>
  <si>
    <t>Ayuntamiento</t>
  </si>
  <si>
    <t>Alcaldías</t>
  </si>
  <si>
    <t>Otros</t>
  </si>
  <si>
    <t>Congreso</t>
  </si>
  <si>
    <t>Delegación</t>
  </si>
  <si>
    <t>Presidencia</t>
  </si>
  <si>
    <t>Presidencia de la República</t>
  </si>
  <si>
    <t>Gobernador</t>
  </si>
  <si>
    <t>Alerta Meteorológica</t>
  </si>
  <si>
    <t>Reforma a contrataciones municipales</t>
  </si>
  <si>
    <t>Mal Desempeño</t>
  </si>
  <si>
    <t>Semarnath</t>
  </si>
  <si>
    <t>Queja padres de familia</t>
  </si>
  <si>
    <t>Queja transporte público</t>
  </si>
  <si>
    <t>Radio Lobo 96.7 FM</t>
  </si>
  <si>
    <t>Enlace Noticias</t>
  </si>
  <si>
    <t>Gina Lorenzo</t>
  </si>
  <si>
    <t>Apoyo Al Agro</t>
  </si>
  <si>
    <t>Julio Menchaca recorre subestación Hidalgo de CFE</t>
  </si>
  <si>
    <t>Recorrido por instalaciones</t>
  </si>
  <si>
    <t>Rehabilitación de espacios públicos</t>
  </si>
  <si>
    <t>Apps de transporte</t>
  </si>
  <si>
    <t>Andrés Tores respecto a la marcha de la UAEH, comentó: Si viene en transporte público también planteé que pudiera haber cortes en el Tuzobús, en las corridas del Tuzobús. Hasta el momento la Secretaría del Transporte no nos ha confirmado que vaya a haber algún cambio en las corridas del Tuzobús. Seguramente al momento que avance la marcha, seguramente sí habrá suspensión en las corridas del Tuzobús.</t>
  </si>
  <si>
    <t>Recorte Operativo</t>
  </si>
  <si>
    <t>Andrés Torres en respuesta a un radioescucha que comenta: "Ojalá arreglen la estación de radio, hace mucha falta". Andrés Torres responde que el director de Radio y Televisión "no conoce la sierra, pregúntale para dónde es la sierra. Pero si no conoce la tiene, no conoce el estado, obviamente, no quiere conocer el estado, ¿no? Ni las instalaciones de Radio y Televisión de Hidalgo, ¿no? Ya tiene qué ¿cuántos meses? Bueno, por favor, es un asunto ya que se desborda por todos lados, sí."</t>
  </si>
  <si>
    <t>Andrés Torres menciona que están recibiendo y compartiendo fotos en redes sociales sobre la marcha de la UAEH, y, "aunque se enoje el tiranito [risas], ¿no?, el tiranito local, este porque es información que nos ayuda a todos". Asimismo, señala: "es que la verdad te puede, a mí me dan ganas de llorar que tenemos una persona ignorante, prepotente, por supuesto, un acosador [risas], ¿no?, confirmado, certificado, que, pues no encuentra la manera de obstaculizar, de por supuesto, atacar y siempre, siempre, siempre estar este acosando a los trabajadores de Radio y Televisión de Hidalgo, porque lo que le queda es trabajar [risas], ¿no? Siempre, siempre este difamando, siempre mintiendo [risas], ¿no? Nosotros no nos manejamos de esa manera [risas], ¿no? Ayer yo platicaba sobre sus antecedentes penales [risas], ¿no?, que por cierto tiene varios y que pues resulta que pues nunca los puso en su currículum, ¿no? No los no los reportaba, así que, bueno, pues cada quien cada quien sabrá. Aldo Falcón por su parte destaca el impacto positivo que las personas en distintos municipios, como desde la Huasteca hasta la capital de Hidalgo, agradecen por ayudar a resolver problemas como una fuga de agua. También destacan que algunos no tienen acceso a la estación de radio. Se preguntan cómo se puede llegar a toda la gente, ya que no todo se puede hacer a través de la radio, especialmente con el avance de la tecnología. Andrés responde que: "Aquí el problema es, si no dotas, si tú, por ejemplo, dices, "No quiero que tengan redes sociales", como nos dijeron ayer nuestra dirección general. Entonces, dátanos, dótanos de redes sociales, saben que no tenemos intranet, aben que el decreto para entregar a Radio y Televisión de Hidalgo cinco concesiones de radio en Tlanchinol, Huejutla, Atlapexco, Huichapan y Jacala, obliga a Radio y Televisión de Hidalgo a transmitir en internet. Si no cumplimos con ese precepto, es posible que se nos retiren nuevamente las concesiones. Pero eso no se trabaja, eso no es importante. Lo importante es por qué Las Vocales Radio y Andrés Torres están trabajando [risas], ¿no? ¿Por qué lo ven a él? ¿Por qué le escriben a él? ¿Por qué la por qué no me escriben a mí? ¿Por qué no? Pues no te hablan y no te escriben a ti porque no eres nadie [risas], así de simple, porque en temas informativos no eres nadie, ¿no? Y entonces, pues por eso, simple y llanamente, pues quieres [risas], ¿no?, pero perjudicar, acosar, difamar, hostigar todo el tiempo. Me llama también muchísimo la atención que nadie hace nada. Que nadie hace nada, no, yo sí, yo sí levanto la voz, yo sí me digo, yo sí este denuncio, porque pues yo no voy a permitir que una persona que además es un neófito, es un total y pleno ignorante en temas de comunicación, en temas informativos, en temas, por supuesto, periodísticos, pues quiera este incidir en algo que además ni es su dinero, ay, porque dice que es dinero público. Mentira, estamos utilizando nuestro propio dinero, estamos metiendo dinero de nuestra bolsa para poder cumplir con este precepto de informar que estamos obligados a hacerlo, ¿no?". Aldo está de acuerdo con lo que Andrés dice. Andrés concluye que es necesario seguir trabajando, a pesar de las dificultades y las críticas que enfrentan.</t>
  </si>
  <si>
    <t>Hostigamiento Laboral</t>
  </si>
  <si>
    <t>Se anuncia que esta mañana una marcha avanzará por las principales calles de esta capital con dirección a la Plaza Juárez. Hasta el momento esta marcha convocada por la Universidad Autónoma del Estado de Hidalgo se está en, digamos así, están reuniéndose en las instituciones correspondientes a la Universidad Autónoma del Estado de Hidalgo, que son las diferentes escuelas que se ubican en la capital hidalguense. No tenemos todavía reporte de que ya avanzaron los contingentes, pero sí confirmamos que se están reuniendo los alumnos, las alumnas, los eh personal de esta institución universitaria para realizar esta marcha, así que tendremos también reporte del tránsito y los operativos de corte a la circulación para, bueno, pues eh evitar problemas con esta marcha que se va a realizar hoy en la capital de nuestro estado.</t>
  </si>
  <si>
    <t>UAEH</t>
  </si>
  <si>
    <t>Autonomía UAEH</t>
  </si>
  <si>
    <t>El cuerpo sin vida de una persona en avanzado estado de descomposición fue localizado esta tarde por vecinos de la comunidad de Palmillas, en el municipio de Mixquiahuala. El hallazgo movilizó a elementos de la Policía Municipal y de Protección Civil, quienes acudieron al lugar y confirmaron la presencia del cadáver en las aguas del canal. Los hechos fueron notificados al Ministerio Público, que ordenó el rescate de los restos humanos y las diligencias correspondientes para su levantamiento y traslado al Servicio Médico Forense, donde se realizarán los estudios necesarios para determinar el género y la identidad de la persona. Hasta el momento no se tienen mayores datos para determinar precisamente la identidad de la persona localizada sin vida.</t>
  </si>
  <si>
    <t>Localización De Restos</t>
  </si>
  <si>
    <t>El cuerpo sin vida de un hombre, con varios impactos de arma de fuego, fue localizado en un canal de agua para riego ubicado en el municipio de Tezontepec de Aldama. De acuerdo con los primeros reportes, la víctima, que permanece en calidad de desconocida, presentaba heridas en las extremidades inferiores y en el abdomen, presuntamente ocasionadas por proyectiles de arma de fuego. El hallazgo se registró en un paraje ubicado en los límites de las comunidades de Huitel y Achichilco, donde elementos de las policías municipal y estatal acudieron tras recibir el reporte. Personal de la Procuraduría General de Justicia del Estado de Hidalgo inició las investigaciones respectivas al caso para determinar las responsabilidades legales correspondientes.</t>
  </si>
  <si>
    <t>El hallazgo de un hombre sin vida movilizó este martes a corporaciones de seguridad y personal ministerial en la comunidad de Santa Catarina, en el municipio de San Agustín Tlaxiaca. El cuerpo fue localizado en un camino de terracería y, de acuerdo con los primeros reportes, presentaba aparentes signos de violencia. La identidad de la víctima no había sido establecida hasta el momento de los primeros informes. Tras el hallazgo, elementos de seguridad acordonaron el área para facilitar las diligencias periciales. Personal de la Procuraduría General de Justicia del Estado de Hidalgo realizó las actuaciones correspondientes y el traslado del cuerpo al Servicio Médico Forense. Las autoridades iniciaron las investigaciones para determinar las circunstancias de la muerte y esclarecer los hechos.</t>
  </si>
  <si>
    <t>Radioescucha: Las plataformas digitales de transporte son necesarias en Hidalgo, ya que funcionan en la Ciudad de México, Estado de México, Guadalajara y Monterrey, permitiendo que el usuario pague y merezca un mejor servicio, precio justo, seguridad, atención y unidades dignas. La competencia no obligará a tener un mejor transporte público, y existe un amparo que permite a Uber operar, siendo un servicio solicitado por más del 80% de los hidalguenses. Bajo la premisa de que "el pueblo es primero", es momento de escuchar a la ciudadanía, ya que las plataformas no solo representan un mejor servicio, sino también empleo e ingresos para los hidalguenses.</t>
  </si>
  <si>
    <t>Anda buscando el Gobierno del Estado de Hidalgo un terreno donde se pueda hacer construcción de vivienda del bienestar, uno de los programas estrella del gobierno federal, porque resulta que el que tenía considerado en Ixmiquilpan pues tiene pues problemas ahí de tenencia, esto para la construcción de 750 viviendas y esto lo declaró el secretario de Gobierno del Estado de Hidalgo, Guillermo Olivares Reyna, recordando que se había previsto inicialmente hacer la construcción en la comunidad del Valante en Ixmiquilpan, pero ahí tiene, le insisto, este problemas agrarios. En este sentido, como parte de la glosa del cuarto informe de gobierno del mandatario Julio Menchaca Salazar, tras el cuestionamiento de la diputada Cynthia Citlali Delgado Mendoza sobre este tema, Olivares Reyna explicó que el conflicto ha dificultado el avance del proyecto y añadiendo que incluso se ofreció asesoría jurídica para regularizar el predio original, pero al considerar que el proceso podría prolongarse, decidieron buscar un nuevo predio. Las Casas del Bienestar, dijo, reclaman celeridad, que se arranca en cuanto antes y es por eso que se decidió buscar un nuevo predio. Como alternativa indicó que se ofreció un terreno en donación donde podrían construirse las viviendas, siempre y cuando cumplan con los requisitos legales y técnicos. Mencionó que se trabajan los aspectos relacionados con un pozo de agua y una planta de tratamiento para hacer viable este proyecto. De acuerdo con los antecedentes del conflicto, la disputa por la tenencia de la tierra se prolonga desde hace 80 años, entonces pues que es muy complicado de que puedan utilizar el espacio que se tenía considerado originalmente en el Valante en Ixmiquilpan, pues porque no pueden usarlo porque hay un problema de tenencia legal en ese en ese espacio. Bueno, este de hecho hay versiones periodísticas que afirman que cuando el personal relacionado con el proyecto intentó descargar material para construir los cimientos de las viviendas, habitantes de la zona pues de plano se los se los impidieron y les dijeron "no, aquí no pueden descargar.</t>
  </si>
  <si>
    <t>Plan Nacional De Vivienda</t>
  </si>
  <si>
    <t>Radioescucha: Una colectiva de la Ruta Indeco Aldama pasó 10.38 de la mañana ayer, ocurrió un acto de discriminación hacia un adolescente con discapacidad, iban a subirla y se arrancó.</t>
  </si>
  <si>
    <t>Radioescucha: La verdad escribo como mamá estoy muy molesta por la marcha que va a realizar la Universidad del Estado, porque están obligando a los chicos a asistir, ¿acaso la Universidad del Estado de Hidalgo está garantizando la integridad de los chicos, que dicha marcha tiene un trasfondo político?</t>
  </si>
  <si>
    <t>Daniel Mertínez: Insisto, Hidalgo, ella es de los pocos estados del país que no cuentan con estos servicios. Sean buenos o sean malos, pues ahora sí que la experiencia de cada quien, pero es increíble que no formemos parte de ese concierto tecnológico actual ya. Y es gusto en saludarte y bueno, le decía a Isa fuera del aire hace ratito, pónganse de acuerdo, por una parte el gobernador dice que estamos preparando denuncias, por otra parte el presidente de la Juanta de Gobierno dice, bueno, vamos a revisar el tema y a lo mejor lo legislamos.</t>
  </si>
  <si>
    <t>Radioescucha: se dice primero el pueblo, pues el pueblo no viaja en helicóptero o vehículo particular, nuestros políticos no usan taxi, o sea, no sufren servicio de transporte público. ¿Por qué no hacen sus clásicas encuestas al pueblo sobre lo que les conviene para ellos?</t>
  </si>
  <si>
    <t>Daniel Martínez: Y veo en la tarjeta informativa que envía Movilidad y transporte del Estado de Hidalgo, digo, no le toca esa chamba, pero sí informar qué es lo que pasó, que no hay ninguna información acerca de si hay alguna persona detenida como presunto responsable del intento de robo que denunció el taxista. El taxista registrado adecuadamente, el taxista tiene su licencia y está registrado adecuadamente, pero ni una palabra, si detuvieron a la persona que presuntamente intentó el asalto. ni una palabra en la tarjeta informativa bueno, 9.53 más temas de seguridad pública</t>
  </si>
  <si>
    <t>Accidente transporte público</t>
  </si>
  <si>
    <t>El operador de un taxi terminó impactándose contra un poste, presuntamente al resistirse a un asalto por parte de un pasajero que viajaba en dicha unidad de transporte individual. La situación se registró en la carretera Pachuca-Actopan, a la altura del puente del Barrio del Judío, resultando dos personas lesionadas durante la situación. Se conoció que uno de los pasajeros del taxi habría intentado asaltar al conductor y, durante el forcejeo, lo lesionó en una mano y en el rostro. Ante esta situación, el operador de la unidad perdió el control del vehículo y se impactó contra un poste, el cual cayó y provocó que un motociclista derrapara. Elementos de Seguridad Pública, Tránsito y Protección Civil de San Agustín Tlaxiaca acudieron al lugar para atender la emergencia y brindar atención a los involucrados. El saldo fue de dos personas lesionadas: el conductor del taxi y el motociclista, quienes fueron valorados por paramédicos y presentaron policontusiones, sin lesiones de gravedad. La Secretaría de Movilidad y Transporte en Hidalgo (Semoth), dio a conocer a través del Sistema de Transporte Convencional de Hidalgo (STCH), informó que dio seguimiento al caso y confirmó que el operador contaba con licencia vigente y que la unidad tenía su documentación en regla.</t>
  </si>
  <si>
    <t>Asalto a transporte público</t>
  </si>
  <si>
    <t>Capacita SEPH a supervisores escolares en acompañamiento pedagógico</t>
  </si>
  <si>
    <t>MEJORA EDUCATIVA</t>
  </si>
  <si>
    <t>En Hidalgo existen alrededor de 10 personas en situación de calle que reciben pensión para adultos mayores, así como también algunas privadas de libertad al interior de Ceresos, de acuerdo con datos del Gobierno Federal. La Delegación de Programas para el Bienestar en Hidalgo dio a conocer que del 19 al 25 de octubre se estará realizando la incorporación a los programas de pensiones para el bienestar de adultos mayores de 65 y en mujeres bienestar de 60 a 64 años. En conferencia de prensa, el delegado de Programas para el Bienestar en el estado, Abraham Mendoza, sí comentó que si existieran personas postradas de alguna forma en su cama, acudirían a sus domicilios para poder incorporarlos al programa de pensiones. Por ello, invitó a la población a que si conocen a una persona adulta mayor que no reciba como tal la pensión y no pueda salir de su casa, les notifiquen directamente a los servidores de la nación para que los puedan visitar y hagan también este registro; mismo caso para personas en situación de calle. Actualmente, indicó que tienen alrededor de 10 personas en situación de calle ubicadas en diversos puntos del estado de Hidalgo, inscritos en el programa de pensión, ya sea por discapacidad o adultos mayores, a quienes les consiguieron un comprobante de domicilio para poder ayudarlos a inscribirse. Sin precisar cuántos, comentó también que hay algunas personas adultas mayores que están en centros de reinserción social (Ceresos) que cuentan con este apoyo con este programa y los registros fueron con facilidades que dio la Secretaría de Seguridad Pública del Estado dentro de los mismos penales. La actual incorporación sería de acuerdo con la letra del primer apellido, de acuerdo con el calendario en los módulos de los 84 municipios del estado, de las 10:00 de la mañana a las 4:00 de la tarde. Esa es la información y los datos finales que se tienen precisamente en el estado de Hidalgo: sí hay personas en situación de calle y presos que reciben Pensión del Bienestar.</t>
  </si>
  <si>
    <t>Pensión Del Bienestar</t>
  </si>
  <si>
    <t>El relleno sanitario del Huixmi, que está ubicado en Pachuca, y es que contaría con una vida útil estimada de alrededor de 2 años, uno por cada celda de disposición de residuos. Esto lo informó Mónica Patricia Mixtega Trejo, la titular de la Secretaría de Medio Ambiente y Recursos Naturales del Estado de Hidalgo, durante su comparecencia ante el Congreso local el día 19 de octubre. La funcionaria explicó que en este espacio operan dos empresas particulares: Consultas Nacionales de Información y Asesorías S.A. de C.V., y Marsacot, las cuales cuentan con celdas diferentes para recibir los residuos sólidos urbanos de al menos 14 municipios hidalguenses, principalmente de la zona metropolitana de Pachuca. Ante esta situación, indicó que el gobierno municipal de Pachuca trabajaría en la actualización del programa de ordenamiento ecológico local con la finalidad de abrir más celdas para la disposición de residuos. Otro de los temas que fue abordado durante la comparecencia fue la situación de la presa Requena, donde actualmente se estima la presencia de más de 159,000 toneladas de lirio acuático. Mixtega Trejo informó sobre el proyecto para adquirir cuatro nuevas máquinas trituradoras destinadas a reducir la presencia de esta planta en el embalse y sus alrededores; sin embargo, reconoció que los equipos todavía no han sido comprados y que no habría tampoco fecha para poder adquirirlos. Explico que el procedimiento depende de los procesos de licitación, los cuales podrían tardar alrededor de tres meses, y para esta compra se contempla una inversión aproximada de 33 millones de pesos. En otros temas, la funcionaria señaló que existen 84 unidades económicas generadoras de residuos de manejo especial, un sector que requiere acciones de regulación y seguimiento para procurar una disposición adecuada de los desechos. También informó sobre la dispersión de 19 millones de esferas de semillas en una superficie de 11 hectáreas, aunque será necesario precisar el alcance y los resultados de esta intervención para conocer también su impacto ambiental.</t>
  </si>
  <si>
    <t>En cabina Rubén Gosnzález Henpandez, Vocal Secretario de la 04 Junta Distrital Local del INE en Hidalgo informó de la convocatoria para quien esté interesado y cumpla con los requisitos para cubrir las 5 vacantes para las consejerías propietarias y 5 para consejerías suplente. Asimismo, invitó a la población a tramitar, actualizar y reimprimir su INE.</t>
  </si>
  <si>
    <t>Convocatoria</t>
  </si>
  <si>
    <t>La Secretaría de Educación Pública de Hidalgo (SEPH) ha destinado 148 millones 782 mil pesos para atender escuelas afectadas en su infraestructura por la vaguada monzónica del año pasado. Lo anterior fue informado por el titular de la dependencia estatal, Natividad Castrejón Valdez, durante su comparecencia ante el Congreso del Estado de Hidalgo, este martes 20 de octubre. Una de las atenciones que destacó el funcionario estatal, fue sobre la Escuela Secundaria General “Caudillo del Sur”, donde se invierten 16 millones 800 mil pesos y los trabajos registran un avance del 60 por ciento. Mientras que en un plantel de educación preescolar dentro del mismo municipio, existe avance en su rehabilitación del 45 por ciento y una escuela primaria, del 55 por ciento. “Eso llevó casi seis meses después de la vaguada, hasta que Conagua tomó la decisión de construir un enorme muro que impida otra vez el desborde del río. Entonces se decidió que sí se repararan las escuelas que estaban ahí”, señaló. Castrejón Valdez explicó que la intervención se retrasó debido a que se analizaba la posibilidad de reconstruir las escuelas en otros lugares, ante el riesgo que representaba su ubicación. Además, actualmente se ejecutan once obras de rehabilitación a planteles educativos en los municipios de Huehuetla, Tlahuiltepa, Tianguistengo y Tepehuacán. El funcionario estatal señaló que 56 millones de pesos destinados a la atención de las escuelas afectadas corresponden al seguro institucional, mientras que el resto de los recursos proviene del gobierno estatal. Como parte de las gestiones realizadas ante el gobierno federal, se entregaron 10 mil bienes y equipos para reponer parte de lo perdido y contribuir a la recuperación de los planteles. Además, se distribuyeron 525 computadoras portátiles entre el personal docente y administrativo. Castrejón Valdez recordó que, al inicio de la emergencia, se recibieron más de 250 reportes de escuelas afectadas; sin embargo, durante el proceso de revisión y limpieza se determinó que muchas de ellas únicamente presentaban acumulación de lodo y residuos ocasionados por las lluvias. Después de un análisis se contabilizaron 99 planteles con afectaciones 19 con daños graves, 36 con daños moderados y 44 con daños leves.</t>
  </si>
  <si>
    <t>La devolución de las 80 hectáreas que solicitan estudiantes de la Escuela Normal Rural Luis Villarreal, conocida como El Mexe, no está contemplada por el momento, afirmó el titular de la Secretaría de Educación Pública de Hidalgo (SEPH), Natividad Castrejón Valdez, durante su comparecencia ante el Congreso estatal. Mientras el funcionario presentaba información ante los legisladores, un grupo de normalistas se concentró en el exterior del recinto y bloqueó los accesos, lo que dificultó el tránsito de ciudadanos, trabajadores legislativos, periodistas y funcionarios que se encontraban en el lugar. Los manifestantes expresaron sus demandas mediante consignas y mantas. La movilización también generó cuestionamientos entre los diputados. Marco Antonio Mendoza Bustamante pidió que algún representante de la Secretaría de Educación saliera a escuchar a los estudiantes, al considerar necesario atender sus planteamientos relacionados con el marco curricular común, la formación docente y diversos asuntos administrativos. En respuesta, Castrejón Valdez aseguró que las autoridades mantienen abiertas las mesas de negociación con los normalistas. Detalló que durante la semana anterior se realizaron dos encuentros en la Ciudad de México, uno estatal y otro nacional, con la participación de la Secretaría de Gobernación. Asimismo, indicó que la siguiente reunión está prevista para el 3 de noviembre y que se han llevado a cabo más de 50 encuentros de trabajo. No obstante, el titular de la SEPH cuestionó la intervención de Roberto Azpeitia en el conflicto y lo acusó de utilizar las demandas de la comunidad normalista con fines políticos personales. Según el secretario, Azpeitia no forma parte de la planta académica de El Mexe ni cuenta con una representación formal de la institución. Castrejón también lo vinculó con la toma de las instalaciones de la dependencia ocurrida en febrero de 2026, durante la cual, aseguró, se registraron daños en puertas y cristales. Añadió que existe una carpeta de investigación relacionada con esos hechos. El funcionario sostuvo que, debido a esa situación, no considera viable establecer una interlocución con Azpeitia, aunque afirmó que las negociaciones con los estudiantes continúan. La postura de la dependencia mantiene sin respuesta favorable la exigencia de recuperar las 80 hectáreas reclamadas por los normalistas.</t>
  </si>
  <si>
    <t>Menchaca Salazar logra gestión histórica ante Pemex por más de 654 millones de pesos</t>
  </si>
  <si>
    <t>Donación Pemex</t>
  </si>
  <si>
    <t>La cancha deportiva de la colonia El Paraíso fue rehabilitada y puesta nuevamente en funcionamiento con trabajos de mantenimiento, instalación de tableros, luminarias y malla perimetral, informó el gobierno municipal encabezado por la alcaldesa Lorena García Cázares. Los trabajos, a cargo de la Dirección de Mantenimiento Urbano, dependiente de la Secretaría de Servicios Municipales, incluyeron la colocación de cuatro rollos de malla de 25 metros cada uno, la construcción de mampostería para su soporte, la instalación de dos tableros nuevos y la pintura y delimitación de las líneas deportivas. También se colocaron luminarias y una segunda sección de malla en la parte superior, con el propósito de evitar que los balones salgan hacia las viviendas cercanas. La rehabilitación se suma a las intervenciones realizadas en espacios deportivos de colonias como Guadalupe Cañada, Glorias, Napateco, Ruiz Cortines, San Luis, Ahuehuetitla, Glorias 3, Jardines del Sur, Nuevo Tulancingo y Huapalcalco. El municipio prevé realizar otra intervención en Rincones de la Hacienda antes de que concluya el año, como parte de las acciones para recuperar y dar mantenimiento a instalaciones destinadas al deporte. Durante la inauguración también se anunció que la Dirección de Cultura Física, en coordinación con la Liga Municipal de Basquetbol Escolar y de Clubes (LIMBECT), iniciará el próximo 3 de noviembre un torneo de basquetbol para incentivar la actividad física y promover la participación de niñas, niños y jóvenes. De acuerdo con el gobierno municipal, Tulancingo cuenta con un censo de 122 canchas y espacios destinados al deporte y la convivencia, infraestructura que busca ofrecer alternativas de recreación y fomentar hábitos saludables entre la población.</t>
  </si>
  <si>
    <t>Con perfilado y demás trabajos técnicos, iniciaron el pasado jueves 15 de octubre trabajos de rehabilitación de la carretera Tulancingo-Cuautepec, en la zona de San Juan el Banco, una de las más deterioradas. Armando Pérez Alcibar, titular de la Secretaría municipal de Desarrollo Urbano, Obras Públicas y Medio Ambiente, confirmó el inicio de labores de este tipo incluso en otras vialidades tanto de interconexión con otros municipios, como internas. Señaló que los trabajos se desarrollarán en lo que resta del año, e incluso deberán ser terminados antes de finalizar el presente 2026. En la zona de Medias Tierras, será intervenida la calle Francisco I. Madero hasta Rodríguez y Coss; se trata de una de las vialidades con mayor daño que se encuentran dentro del municipio de Tulancingo. El funcionario señaló que en ambos casos los trabajos de rehabilitación serán con asfalto, debido a las condiciones físicas de las zonas donde se encuentran las calles a atender. También está considerada la rehabilitación de Libramiento La Joya, entre bulevar Miguel Hidalgo y la entrada al Campus en la región de la Universidad Autónoma del Estado de Hidalgo. En este caso se realizará el reencarpetamiento se realizará en el carril que presenta mayor daño, y en una etapa posterior, se atendería el otro carril, con uso de asfalto, al igual que en las dos zonas anteriores. Este mismo año también se atenderá la parte que presenta mayor daño entre el bulevar La Morena y parte de la zona de Napateco, también con el compromiso de concretar los trabajos en pocas semanas. Pérez Alcibar señaló que en estos y otros trabajos de rehabilitación física a vialidades en Tulancingo, está considerada una inversión por aproximadamente 12 millones de pesos, cantidad aproximada a la asignada para las mismas labores durante el año pasado. En el mismo contexto, señaló que durante este año se han aplicado alrededor de siete millones de pesos para bacheo en diversos sectores del municipio; la meta alcanzada hasta el momento en dichos trabajos es del 70 por ciento. Respecto al caso de la calle Nicolás Bravo, que en una parte de esta presenta baches luego de realizarse reparaciones, aseguró que en breve la compañía que se contrató para dichas labores tendrá que subsanar los daños que se volvieron a registrar.</t>
  </si>
  <si>
    <t>Rehabilitación Vial</t>
  </si>
  <si>
    <t>El Congreso del Estado de Hidalgo está dispuesto a que se analice la Ley de Movilidad y Transporte de la entidad, para permitir la operación legal de las empresas de transporte para pasajeros por aplicación. El planteamiento fue realizado por el diputado local, Andrés Velázquez Vázquez, presidente de la Junta de Gobierno del Congreso estatal, Andrés Velázquez Vázquez, tras conocerse que una de estas empresas ya ofrece sus servicios en Pachuca, así como otra en Tulancingo. Velázquez Vázquez, comentó que en caso de una petición para legislar en el tema, analizarían los impactos que tienen las aplicaciones en la ciudadanía y en los concesionarios de los taxis. “Hace 20 años no habían esas plataformas, pues hubo bastantes concesiones, pero van variando las plataformas, muchos temas de reparto y todo eso, pues sí tenemos que legislar. Yo estaría en la disposición de analizar con prontitud, para que tengamos una respuesta y ver eso antes que ingresen esas plataformas”, señaló. Previamente, el Gobernador de Hidalgo, Julio Menchaca Salazar, ha señalado que de estar operando las empresas de transporte de pasajeros por aplicación, lo estarían haciendo de forma ilegal. Ello porque no existe legislación donde se regule su operación dentro del Estado de Hidalgo, por lo cual podrían existir sanciones. Velázquez Vázquez dijo que es probable que el tema se analice con prontitud y pueda discutirse en esta misma legislatura. Aclaró que en la eventual revisión a la legislación se deberán analizar las implicaciones de la entrada de las plataformas para quienes tienen concesiones de taxi; consideró que, aunque el mercado es abierto, debe estar todo reglamentado. Por su parte, el presidente de la Comisión Permanente de Comunicaciones y Transportes del Congreso local, Juan Pablo Escalante Urbán, recordó las declaraciones del Gobernador de Hidalgo, en cuanto a la operación del servicio que actualmente es ilegal. “No tienen los permisos ni siquiera, y para ello se tiene que modificar la ley para que ellos puedan circular y brindar el servicio. Mientras tanto lo están haciendo de manera ilegal”, expuso. El legislador recomendó a la población a ser prudentes y que sigan usando el transporte público convencional de Hidalgo.</t>
  </si>
  <si>
    <t>El Gobierno de Hidalgo alista una denuncia contra Uber por su presunta prestación de servicios de transporte en Pachuca sin contar con la autorización correspondiente, informó el gobernador Julio Menchaca Salazar, quien prevé que el recurso sea presentado ante la Procuraduría General de Justicia del Estado en los próximos días. El mandatario explicó que la Coordinación General Jurídica trabaja en la integración del documento para que el Ministerio Público determine si existen elementos para investigar posibles infracciones y establecer responsabilidades. Tras un evento de entrega de donaciones de Petróleos Mexicanos (Pemex), Menchaca señaló que la legislación contempla sanciones relacionadas con el uso irregular de servicios públicos. Añadió que el análisis podría incluir tanto a quienes impulsan la operación de la plataforma como a las personas que ofrezcan viajes mediante ella. Respecto a la posibilidad de que Uber obtenga los permisos necesarios, el gobernador indicó que la empresa puede participar en los procedimientos establecidos; sin embargo, afirmó que actualmente no se han autorizado nuevas concesiones para rutas u otras modalidades de transporte público, debido a la saturación que, según dijo, enfrenta el sector en Hidalgo. Menchaca Salazar reconoció que mejorar la movilidad será uno de los asuntos pendientes durante la parte final de su administración, ante las necesidades de traslado de la población. En otro tema, llamó a los usuarios del transporte público a presentar denuncias formales cuando enfrenten malos tratos o agresiones por parte de operadores. Señaló que estos procedimientos permiten a las autoridades investigar los casos y, si corresponde, aplicar sanciones a conductores o concesionarios.</t>
  </si>
  <si>
    <t>En cuestión de agenda, se espera que en unos minutos más el gobernador Julio Menchaca Salazar encabece el Congreso Nacional de Moda y Vestido 2026. Esto se realizará en el Auditorio Gota de Plata a las 19 horas.</t>
  </si>
  <si>
    <t>Agenda gobernador</t>
  </si>
  <si>
    <t>Protege Hidalgo el conocimiento para impulsar la innovación</t>
  </si>
  <si>
    <t>Propiedad intelectual</t>
  </si>
  <si>
    <t>El día de ayer se llevó a cabo la comparecencia del secretario de educación pública, Natividad Castrejón. La comparecencia fue larga e interesante, abordando temas como la eficiencia terminal en educación, la infraestructura educativa, la dinámica social y las nuevas condiciones de seguridad en las escuelas, así como los planes y programas de estudio. Durante esta comparecencia, alumnos de la Normal Rural Luis Villarreal de El Mexe protestaron por mejores instalaciones y exigieron la devolución de las antiguas instalaciones en Tepatepec, Francisco I. Madero. Bloquearon los accesos al Congreso del Estado, cerrando la calle que lleva al Congreso, así como a las instalaciones del Poder Judicial y de Radio y Televisión de Hidalgo. La manifestación fue pacífica, pero causó complicaciones en el tránsito. Los estudiantes exigían la asistencia del secretario a sus asambleas para abordar su pliego petitorio. La situación se prolongó durante varias horas, dificultando la entrada y salida del Congreso. La comparecencia de Onésimo Serrano, encargado de la Unidad de Planeación y Prospectiva del Gobierno del Estado de Hidalgo, sufrió un retraso. Al final, el secretario se retiró por una salida alterna, y los estudiantes se fueron sin incidentes, dejando solo un bloqueo temporal. La agenda legislativa avanzó y Onésimo Serrano pudo realizar su comparecencia.</t>
  </si>
  <si>
    <t>Recorrido Por Instalaciones</t>
  </si>
  <si>
    <t>Vecinos de San Agustín Tlaxiaca reportaron objetos sospechosos, bolsas de plástico, en un área desierta cerca de Santa Catarina. Al llegar, la policía encontró dos cuerpos sin vida. Uno de ellos estaba dentro de una bolsa en la carretera Pachuca-Actopan. Además, en el mismo municipio, se halló a una persona degollada en un hotel, dentro de una habitación. Esta persona aparentemente entró con otra que logró escapar sin ser vista por la seguridad del lugar.</t>
  </si>
  <si>
    <t>Está la campaña estatal de vacunación, vacunación invernal, que la Secretaría de Salud puso en operación hace unos días. Hay más de un millón quinientas mil dosis de vacunas contra el COVID, contra la influencia estacional. Por favor, acuda a su clínica, a su centro de salud más cercano. Hay que estar bien inmunizados, hay que estar preparados para esta temporada invernal, principalmente niños menores de cinco años, adultos mayores. Es muy importante que reciban sus vacunas. Todo es gratuito. Esto todo es, por supuesto, gratuito en el tema de la salud acá en el estado de Hidalgo.</t>
  </si>
  <si>
    <t>Andrés Torres: Gracias a toda la gente que nos sigue a través de las redes sociales, que nos escribe diariamente, que está muy pendiente de las vocales, les repito, más de 12 años de transmisiones interrumpidas, a punto de cumplir 13 años, y sobre todo le agradezco muchísimo a la gente que todos los días, todos los días sin excepción, nos saluda, gracias, creo que prácticamente es el único programa de radio y televisión de algo que tiene interacción con el auditorio, ¿no? Somos el único, bueno y tenemos interacción Porque como están cortados los teléfonos Por falta de pago, pues nosotros Tenemos que poner un teléfono Tenemos que poner un canal de WAF Todo eso A cuenta de La propia producción Y pues mire Con la agradable noticia de que Muchísima, muchísima gente Nos escucha todos los días</t>
  </si>
  <si>
    <t>Precariedad laboral</t>
  </si>
  <si>
    <t>Andrés Torres: cumplimos un mes fuera del aire en nuestra estación 91.1 de frecuencia modulada allá en Jacala de Ledezma. Bueno, pues yo apelo a las autoridades que nos ayuden para que podamos resolver este asunto. Evidentemente el área administrativa y el área de ingeniería no lo pueden resolver. Ahí ellos tendrán que dar cuentas Por qué este asunto no avanza Lo que nos corresponde a nosotros es estar pendientes Tener nuestras programaciones a punto Y el personal ahí pendiente para que estemos En el momento de que se restablezca la señal Trabajar como nos corresponde</t>
  </si>
  <si>
    <t>Hay una onda fría y un frente frío en todo el territorio nacional, especialmente en el estado de Hidalgo. La Subsecretaría de Protección Civil del Estado pide a la población estar atentos a la bajada de temperaturas, sobre todo en áreas altas, donde se esperan heladas y temperaturas de hasta 0 grados. Para el 21 de octubre de 2026, se informa que habrá chubascos de 5 a 25 milímetros y temperaturas de 0 a 5 grados. También se pronostican vientos de 20 a 30 kilómetros por hora, con rachas de 40 a 60 kilómetros por hora.</t>
  </si>
  <si>
    <t>SSH hace un llamado a reforzar medidas de prevención ante el incremento de enfermedades respiratorias</t>
  </si>
  <si>
    <t>Prevención De Enfermedades</t>
  </si>
  <si>
    <t>Locutor Jesús Riveros da lectura a comentario de radioescucha que reporta retrasos y deficiencias en una obra de infraestructura cercana al plantel Cecyte en Tulancingo, señalando que los trabajos han permanecido pausados por casi un año. La inconformidad destaca la falta de banquetas para los estudiantes, lo cual genera condiciones de riesgo en la época de lluvias debido a la acumulación de lodo y resbalones de los alumnos, sin que haya una fecha definida para la pavimentación de la zona.</t>
  </si>
  <si>
    <t>Locutor Jesús Riveros da lectura a comentario de radioescucha que reporta su inconformidad ante la venta de credenciales escolares en la Escuela Secundaria Técnica 48 Japón, ubicada en la colonia La Cañada. La denunciante señaló que la credencial tiene un costo de $60 pesos y que las autoridades del plantel informaron que por el momento no será utilizada hasta nuevo aviso, expresando que esta medida le parece un negocio irregular.</t>
  </si>
  <si>
    <t>Hidalgo consolida liderazgo en indicadores educativos a nivel nacional</t>
  </si>
  <si>
    <t>En entrevista con el licenciado Pedro Luis Noble Monterrubio, presidente del Colegio de Notarios en Hidalgo, se aclaró que los contenidos y cuentas de redes sociales (Facebook, Instagram, TikTok, Twitter) son considerados activos intangibles y pueden ser incluidos en un testamento. Noble Monterrubio explicó que los bienes intangibles —aquellos producto de la inteligencia humana con valor económico— forman parte del patrimonio heredable. Entre estos activos se encuentran el acervo digital (timeline, fotos, videos), marcas registradas, patentes industriales, inventos, software, derechos de autor y el fondo o avío comercial.</t>
  </si>
  <si>
    <t>Testamento</t>
  </si>
  <si>
    <t>Durante su comparecencia ante el Congreso de Hidalgo, la secretaria de movilidad y transporte, Lyzbeth Robles Gutiérrez, informó sobre las acciones de su dependencia en el marco de la glosa del cuarto informe del gobernador Julio Menchaca Salazar. Ante cuestionamientos de la diputada Claudia Lira Luna sobre la problemática del tráfico en las horas pico al sur y centro de Pachuca, la secretaria indicó que se realizarán análisis técnicos mediante cámaras con inteligencia artificial instaladas en puentes del bulevar Felipe Ángeles. Asimismo, reiteró que la legislación vigente protege y establece la exclusividad del carril confinado para el transporte masivo (BRT) con el fin de garantizar una movilidad segura y eficiente.</t>
  </si>
  <si>
    <t>Durante su intervención, Onésimo Serrano destacó que a partir de la actualización del Plan Estatal de Desarrollo se ha brindado acompañamiento a las dependencias y organismos del gobierno de Hidalgo para alinear sus programas sectoriales, institucionales y especiales, actualizando cerca de 84 instrumentos de planeación y capacitando a los 84 municipios con una metodología homologada para los periodos 2024-2027. Asimismo, señaló la importancia de la coordinación interinstitucional y la participación ciudadana mediante el COPLADEIH y los COPLADEM, habiendo participado en más de 300 sesiones para definir obras y acciones prioritarias con las comunidades.</t>
  </si>
  <si>
    <t>Uno de los ejes emblemáticos de la administración encabezada por el gobernador Julio Menchaca Salazar ha sido la educación, logrando posicionar a Hidalgo en el octavo lugar nacional en eficiencia terminal. Se destaca que el 39% de los alumnos que ingresan a primaria logran concluir la educación superior, incrementando la eficiencia terminal en 12.4 puntos porcentuales. Asimismo, la entidad cuenta con la red de laboratorios de ciencia y tecnología más grande del país, abarcando 47 planteles que benefician a cerca de 60,000 estudiantes, además de haberse destinado más de 4,400 millones de pesos en apoyos a la economía en este sector.</t>
  </si>
  <si>
    <t>Durante su comparecencia ante el Congreso del Estado como parte de la glosa del informe de gobierno de Julio Menchaca Salazar, el secretario de Educación Pública de Hidalgo, Natividad Castrejón Valdés, informó que la entidad escaló al octavo lugar nacional en eficiencia educativa. El funcionario destacó el incremento en la conclusión de estudios de nivel medio superior y superior, así como una inversión acumulada de 2,700 millones de pesos en infraestructura, de los cuales 780 millones se destinaron recientemente a 1,500 planteles. Asimismo, resaltó una inversión de más de 4,400 millones de pesos en la entrega de útiles y uniformes escolares para aproximadamente 570,000 alumnos por ciclo escolar.</t>
  </si>
  <si>
    <t>El gobernador de Hidalgo, Julio Menchaca Salazar, anunció que el coordinador jurídico del estado, Raúl Serret Lara, prepara una denuncia penal contra la plataforma Uber por operar en Pachuca de manera ilegal y sin los permisos correspondientes. El mandatario estatal señaló que la ley contempla sanciones tanto para quienes promueven el servicio irregular como para aquellos que lo utilizan con fines de lucro sin estar debidamente registrados. Asimismo, aclaró que aunque la legislación permite concursar por una concesión estatal, prestar el servicio operando de forma arbitraria constituye una ilegalidad.</t>
  </si>
  <si>
    <t>Durante la conferencia de prensa matutina encabezada por la Presidencia de México, el director de Petróleos Mexicanos (Pemex), Juan Carlos Carpio, destacó el compromiso social de la empresa con las comunidades donde opera. Detalló que entre 2025 y septiembre de 2026 se han destinado cerca de 6,600 millones de pesos en apoyos dirigidos a regiones estratégicas. Dichos recursos se traducen en la construcción de caminos, proyectos productivos, obras de salud, educación, infraestructura y diversos programas comunitarios.</t>
  </si>
  <si>
    <t>Locutor Jesús Riveros da lectura a comentario de radioescucha reporta que están obligando a los estudiantes a acudir a la marcha de la UAEH y la molestia es porque es una marcha que tiene trasfondo político.</t>
  </si>
  <si>
    <t>Caravana Cultural llenará de arte Xochicoatlán</t>
  </si>
  <si>
    <t>Cultura</t>
  </si>
  <si>
    <t>Caravanas Culturales</t>
  </si>
  <si>
    <t>El Gobierno de Julio Menchaca Salazar fortalece la planeación estatal con participación, evaluación e innovación.</t>
  </si>
  <si>
    <t>A raíz de los conflictos regulatorios con el servicio de Uber en el estado de Hidalgo, donde el gobierno estatal anunció denuncias por operar sin permisos, comenzó a promocionarse en Pachuca y Tulancingo una nueva plataforma mexicana llamada "Pronto". Esta aplicación ofrece servicios de transporte de pasajeros y paquetería bajo un modelo de suscripción fija para los conductores y sin comisión por trayecto, operando de manera digital. Sin embargo, la entrada de estas plataformas en la entidad continúa generando cuestionamientos por parte de las autoridades y el gremio transportista debido a la falta de concesiones formales bajo la legislación vigente en el estado.</t>
  </si>
  <si>
    <t>En la conferencia matutina del gabinete de energía, se destacó el papel estratégico de Petróleos Mexicanos (Pemex) en la economía nacional y su impacto en el estado de Hidalgo. El gobernador Julio Menchaca Salazar informó sobre una gestión histórica con Pemex superior a los 654 millones de pesos, la cual incluye un reciente paquete de apoyo con 5,000 toneladas de asfalto, equipo de salud y maquinaria. Por su parte, el director de Pemex, Juan Carlos Carpio, señaló que la producción de barriles diarios se mantiene estable y la refinación ha incrementado al 81% en comparación con 2018, impulsada por la operación constante de las refinerías, la refinería Olmeca y la modernización de la planta ubicada en Tula. Asimismo, se resaltó una inversión cercana a los 6,600 millones de pesos destinada a proyectos comunitarios y caminos en la región entre 2025 y 2026.</t>
  </si>
  <si>
    <t>En la conferencia matutina del gabinete de energía, se destacó el papel estratégico de Petróleos Mexicanos (Pemex) en la economía nacional y su impacto en el estado de Hidalgo. El gobernador Julio Menchaca Salazar informó sobre una gestión histórica con Pemex superior a los 654 millones de pesos, la cual incluye un reciente paquete de apoyo con 5,000 toneladas de asfalto, equipo de salud y maquinaria. Por su parte, el director de Pemex, Juan Carlos Carpio, señaló que la producción de barriles diarios se mantiene estable y la refinación ha incrementado al 81% en comparación con 2018, impulsada por la operación constante de las refinerías, la refinería Olmeca y la modernización de la planta ubicada en Tula. Asimismo, se resaltó una inversión cercana a los 6,600 millones de pesos destinada a proyectos comunitarios y caminos en la región entre 2025 y 2026, informó David Cárdenas durante su colaboración matutina.</t>
  </si>
  <si>
    <t>Autonomía</t>
  </si>
  <si>
    <t>LA CAAMT informa que derivado de un reporte ciudadano, ya se intervino una parte de la red de alcantarillado que presentaba un colapso, esto en la Colonia Indeco. Asimismo, indicó que en cuanto lo permita el clima se continuará con la reposición de la banqueta.</t>
  </si>
  <si>
    <t>Alcantarillado</t>
  </si>
  <si>
    <t>Recordándoles que tenemos una advertencia, tenemos la alerta que nos da la Subsecretaría de Protección Civil y Gestión de Riesgos del Gobierno del Estado de Hidalgo, dependiente de la Secretaría de Gobierno, respecto a los temas del clima. Se esperan descensos de temperatura nuevamente y lluvias, lluvias moderadas en buena parte del estado. Sin embargo, la Subsecretaría de Protección Civil nos dice, "Hay que estar muy atentos, por favor, no hay que bajar la guardia en estos días que, bueno, pues el clima está en esta situación cambiante". La Subsecretaría de Protección Civil y Gestión de Riesgos informa a la población que para este 22 de octubre de 2026, de acuerdo con el aviso número 587 del Pronóstico Meteorológico General del Servicio Meteorológico Nacional, se prevén intervalos de chubascos de 5 a 25 milímetros. Asimismo, se pronostican temperaturas mínimas de 0 a 5 grados, con vientos de 10 a 20 kilómetros por hora y con rachas de 30 a 50 kilómetros por hora.</t>
  </si>
  <si>
    <t>La Subsecretaría de Protección Civil y Gestión de Riesgos informó que se pronostican lluvias fuertes, chubascos, así como un descenso en las temperaturas y vientos con rachas de hasta 50 km/h, afectando principalmente las regiones norte y este de Hidalgo. Debido a la acumulación previa de humedad en los suelos, las autoridades advirtieron sobre el riesgo latente de deslaves, derrumbes, inundaciones y crecidas de ríos. Ante este panorama, se emitieron diversas recomendaciones a la población, tales como evitar cruzar cuerpos de agua o calles inundadas, respetar los cierres carreteros y mantenerse informados ante cualquier señal de peligro.</t>
  </si>
  <si>
    <t>En cabina Diana Peña, titular de la Dirección de Inclusión de Tulancingo señala que la persona que hace unos días se quejó porque un operador de transporte público se negó a darle servicio a su familiar con capacidades diferentes, puede acudir a esta dependencia para darle acompañamiento para que el operador sea sancionado. Asimismo, informó que por ley no deben de negar el servicio a este sector. Asimismo, habló de las labores que hacen beneficio de las personas con discapacidad a través de programas y diferentes actividades.</t>
  </si>
  <si>
    <t>Apoyo a personas con discapacidad</t>
  </si>
  <si>
    <t>Impulsa Saderh transformación integral de la región Otomí-Tepehua y Valle de Tulancingo</t>
  </si>
  <si>
    <t>Radioescucha: es increíble que sabiendo el nefasto servicio que tiene el transporte público, con autos ya de 20 años, con vidrios polarizados, sucios y a veces sin cinturón de seguridad, muchos taxistas sin tarjetón o licencia, no permitan la entrada de plataformas.</t>
  </si>
  <si>
    <t>Radioescucha: ojalá que entren las plataformas porque el servicio que se ofrece actualmente en taxis es muy deficiente, hay operadores que son muy despotados.</t>
  </si>
  <si>
    <t>Daniel Martínez hablando sobre la llega de plataformas de transporte a Hidalgo comenta: me quedo también con las palabras de Andrés Velázquez Vázquez, presidente de la Junta de Gobierno del Congreso del Estado de Hidalgo. Al final de cuentas, la tecnología ya llegó. Más adelante señala que no se debe satanizar un servicio, sino adecuarlo a las necesidades.</t>
  </si>
  <si>
    <t>Nuevamente, por acá nos están mandando mensajes de que consideran que el tema de no permitir las plataformas, además de que no les permite tener otras opciones a quien busca otros servicios que no sean los taxis ordinarios, le está cerrando las puertas a quien quiere llevarse una lanita, un ingreso extra. Ese es el pensamiento o el punto de vista que nos están compartiendo por acá por WhatsApp.</t>
  </si>
  <si>
    <t>Didi en Tula comenzó a promocionarse mediante una convocatoria dirigida a personas con automóvil propio que estén interesadas en registrarse como socios conductores. La publicidad difundida anuncia la llegada de la plataforma Tula, ahí ofrece como promoción una ganancia garantizada superior superior a 10,000 pesos durante la primera semana de lanzamiento, sujeta a las condiciones establecidas por la empresa. La convocatoria aparece apenas unos días después de que Uber habilitara la posibilidad de solicitar viajes en Pachuca, y esta convocatoria ha sido difundida para Tula de Allende y estaría dirigida a propietarios de vehículos. Entre los principales atractivos promocionales se encuentra la comisión del 9%, horarios flexibles, demanda de viajes y más de 20 funciones de seguridad. La publicidad también ofrece una ganancia garantizada de 10,000 pesos durante la primera semana de lanzamiento y al tratarse de una promoción comercial, el acceso a este beneficio puede estar sujeto a términos y condiciones. Entre los requisitos anunciados para registrarse se encuentran el INE, la licencia de conducir, tarjeta de circulación, una fotografía tomada mediante la aplicación. La empresa también habilitó un número de WhatsApp para poder brindar asesoría a las personas que estén interesadas en registrarse. El día lunes Uber habilitó dentro de su aplicación la posibilidad de consultar y solicitar viajes en Pachuca y como ya lo mencionabas Daniel, el Gobierno del Estado de Hidalgo ha fijado su posicionamiento y ha sostenido que el modelo bajo el cual estas plataformas pretenden prestar el servicio no estaría contemplado actualmente como una modalidad autorizada por la legislación estatal.</t>
  </si>
  <si>
    <t>Entre septiembre del año pasado y el mismo mes de este 2026, la Secretaría de Movilidad y Transporte en Hidalgo (Semoth) ha detectado 129 vehículos que realizaban servicio de transporte para pasajeros por medio de plataformas digitales. El dato fue ofrecido por la titular de la dependencia estatal, Lyzbeth Robles Gutiérrez, durante su comparecencia ante el Congreso de Hidalgo, realizada el miércoles 21 de octubre. La funcionaria agregó que se aplicaron 50 sanciones por prestar el servicio sin contar con la autorización, lo que significó una recaudación por 4 millones 399 mil 125 pesos. En el Estado de Hidalgo se han detectado varias empresas que prestan el servicio, pese a que las actuales normativas en materia de transporte para pasajeros no las tiene contempladas, y por tanto, no están autorizadas para operar. La detección de las 129 unidades particulares que fueron remitidas al corralón, han sido detectadas en varios municipios de la entidad. En cuanto a las sanciones, en Pachuca se han aplicado 26; seguido de Mineral de la Reforma, 11; Tizayuca, 4; Ixmiquilpan, 3; Villa de Tezontepec, 2; así como uno en Tepeapulco, otro en Zempoala y otro en Tolcayuca. No fueron precisados más municipios. La titular de Semoth recordó que con anterioridad Uber promovió diversos juicios de amparo para obtener autorización y así operar en la entidad, pero no consiguió resoluciones favorables; asimismo, aseguró que no hay juicios de garantía vigentes. Respecto al anuncio del gobernador Julio Menchaca Salazar sobre la presentación de denuncias por los viajes que oferta Uber, la secretaria señaló que se trata de una estrategia del Poder Ejecutivo en la que también participa la dependencia a su cargo. Puntualizó que las acciones podrían ocurrir en dos sentidos, tanto en el ámbito administrativo como en la vía penal..</t>
  </si>
  <si>
    <t>El Sindicato Nacional de Trabajadores del Seguro Social aprobó la propuesta del Instituto Mexicano del Seguro Social de un alza del 8% al salario, sin embargo, trabajadores disidentes del instituto informaron que rechazaron este aumento. Esta propuesta se realizó luego de la aprobación por parte del Consejo Técnico del Instituto en una conferencia más temprano. Zoé Robledo, director general del IMSS, explicó que del 8%, 4% iba al salario y 4% a prestaciones. Entonces, en entrevista para el programa de Javier Solórzano, resulta que el vocero de los trabajadores del IMSS, Rafael Soto, informó sobre el descontento por el aumento. Dijo lo siguiente en esta entrevista: "Otra vez nos quieren ver la cara y no lo vamos a permitir, se mantiene la movilización, exigimos la renuncia de Rafael Olivos", así lo dijo el vocero en esta entrevista y pues afirmó que no van a dejar de movilizarse y explicó que aunque hasta el momento solamente se tiene en cuenta una movilización en la Ciudad de México, se estaría realizando también un llamado para poder comenzar movilizaciones en distintas partes del país y pues en la marcha que se tiene planteada precisamente para este este día, bueno el día de ayer que precisamente se llevó a cabo pues se estaba esperando entre 3,000 y 5,000 personas aproximadamente, sin embargo pues sí, obviamente tienen planeada una nueva movilización para finales de este mes, entonces vamos a estar ahí al pendiente. Pero bien, de manera previa el Sindicato Nacional de Trabajadores del Seguro Social informó que estarían aprobando el aumento del 8% a través de un comunicado, informaron luego de la negociación que se había alcanzado el acuerdo salarial.</t>
  </si>
  <si>
    <t>Aumento salarial</t>
  </si>
  <si>
    <t>El día de ayer se llevó a cabo una marcha de la UAEH, la cual tuvo una connotación política, al viejo estilo de enseñar el músculo por parte de la Familia Sosa Castelán, que además están ligados al Partido del Trabajo. La señal política es muy clara. Al salir a las calles, al movilizar a los alumnos y a los maestros de la Universidad Autónoma del Estado de Hidalgo para mostrar el músculo, para dar cuenta de "mira cuántos votos tengo aquí disponibles, dispuestos". Está mandando una señal no solamente de que quiero negociar, no solamente de fuerza, no solamente mostrar el músculo, sino también vamos a negociar.</t>
  </si>
  <si>
    <t>La Secretaría de Movilidad y Transporte en Hidalgo (Semoth) considera la implementación de un sistema integral de trámites y gestión de la información para transporte convencional. Lo anterior fue informado por Lyzbeth Robles Gutiérrez, titular de la dependencia estatal durante su comparecencia ante el Congreso de Hidalgo, realizada el miércoles 21 de octubre. Señaló que también está considerada la modernización tecnológica del servicio y la adquisición de equipo especializado para la inspección vehicular. También se considera un sistema para aplicar pruebas psicométricas a personas conductoras, un estudio de impacto vial en el bulevar Luis Donaldo Colosio, dentro de la Zona Metropolitana de Pachuca, junto con el equipamiento de una unidad móvil para realizar pruebas toxicológicas. La funcionaria señaló que también está considerada la elaboración de los planes de movilidad urbana sustentable de Ixmiquilpan y Huejutla, así como en el Plan Estratégico de Seguridad Vial para el Estado de Hidalgo. Robles Gutiérrez informó que en transporte público convencional, la Semoth desde el año 2022, ha realizado mil 830 operativos de vigilancia y supervisión. Asimismo, explicó que el gobierno estatal destinó 9 millones 500 mil pesos al censo de transporte en Hidalgo. El censo permitió identificar mil 272 rutas de transporte colectivo y 633 sitios de transporte individual. En cuanto al Sistema de Transporte Metropolitano, conocido como Tuzobús, se destacó que se registró un incremento de 24 por ciento de viajes, tras la renovación de unidades. Con la modernización de la flota vehicular, el número de personas usuarias pasó de 75 mil a casi 93 mil, tanto en la ruta troncal como en las alimentadoras. De acuerdo con la funcionaria, el sistema registra una eficiencia operativa de 99 por ciento y una disminución de 56 por ciento en las quejas. La Semoth desarrolla proyectos de renovación de la red semafórica, elaboración de dictámenes estructurales de los puentes a cargo del sistema, mantenimiento y rehabilitación integral de las estaciones del Sistema de Transporte Metropolitano.</t>
  </si>
  <si>
    <t>Hoy es un día muy importante porque por primera vez en la historia, un Oficial Mayor comparecerá ante el Congreso. Esto forma parte de una tradición que inició el ex gobernador Jesús Murillo Canan en los años 90, donde los miembros del gabinete del gobernador presentan sus informes ante los diputados. El gobernador Julio Menchaca Salazar presentó su cuarto informe de actividades en septiembre, el cual incluye los logros y metas de su equipo. Este proceso de comparecencias siempre ha generado diversas opiniones entre los diputados y la población, ya que a algunos les interesa y a otros no. Sin embargo, la comparecencia de hoy se destaca porque busca mejorar la transparencia y la rendición de cuentas. Orlando Ángeles, el Oficial Mayor, comparecerá a las 4 de la tarde, y es una oportunidad para que se expliquen los detalles sobre el gasto y la aplicación de recursos del gobierno. Este evento resalta la intención de las autoridades de resolver dudas y proporcionar claridad sobre el uso del dinero público. Se espera que esto contribuya a un mejor entendimiento de las responsabilidades del gobierno y fomente el diálogo entre autoridades y representantes populares. Mañana se discutirá en este espacio qué resultados dejó la comparecencia de Orlando Ángeles.</t>
  </si>
  <si>
    <t>Oficialía Mayor</t>
  </si>
  <si>
    <t>Durante su comparecencia ante la sexagésima sexta Legislatura local, la titular de la Secretaría de Movilidad y Transporte (Semot), Lyzbeth Robles Gutiérrez, destacó la incorporación de tecnología avanzada —como cámaras con inteligencia artificial y sistemas de videovigilancia— en las unidades de transporte masivo. Asimismo, abordó las problemáticas viales de la zona metropolitana, enfatizando la importancia de respetar el carril exclusivo del Tuzobús para garantizar la seguridad vial, optimizar las frecuencias de paso y evitar el congestionamiento generado por la invasión de vehículos particulares.</t>
  </si>
  <si>
    <t>El titular de la Secretaría de Bienestar e Inclusión Social (Sebiso), Ricardo Gómez Moreno, compareció ante el Congreso del Estado para detallar los avances del cuarto informe de gobierno. Destacó que los programas sociales se triplicaron de 4 a 12 acciones directas, alcanzando un presupuesto de 400 millones de pesos destinados a combatir la pobreza y apoyar a sectores vulnerables, incluidos adultos mayores, personas con discapacidad y cuidadoras. Asimismo, resaltó la cobertura territorial mediante las "Casas del Pueblo" para eliminar intermediarios en la entrega de apoyos. No obstante, señaló los retos en el registro e integración de artesanos en ciertas demarcaciones como la comarca minera y parte del Valle del Mezquital, a pesar de los 15 millones de pesos asignados a este sector.</t>
  </si>
  <si>
    <t>Bienestar</t>
  </si>
  <si>
    <t>Triplicó Sebiso apoyos para sectores vulnerables de Hidalgo: Ricardo Gómez Moreno durante su comparecencia ante representantes del Congreso del Estado.</t>
  </si>
  <si>
    <t>A cuatro años de este gobierno, la SEMOT avanza en la ejecución de acciones necesarias tendientes a planificar la movilidad</t>
  </si>
  <si>
    <t>En entrevista en cabina, la directora de la Oficina de Inclusión para Personas con Discapacidad y Personas Cuidadoras del municipio de Tulancingo, Diana Esmeralda Peña Canales, invitó a la ciudadanía a participar en la "Caminata y Carrera con Causa", programada para el próximo domingo 25 de octubre a las 08:00 horas con salida en la calle Riva Palacio. El evento tiene como propósito recaudar fondos destinados íntegramente a la adquisición de ayudas técnicas (tales como sillas de ruedas, bastones, andaderas y cojines antiescaras) gestionadas a través del organizador e ابن Díaz Rosas. La inscripción es gratuita para personas con discapacidad y cuidadoras, mientras que el público general y competidores infantiles deberán cubrir una cuota de recuperación.</t>
  </si>
  <si>
    <t>Evento Con Causa</t>
  </si>
  <si>
    <t>Ejidatarios de Palma Gorda, en Mineral de la Reforma, se manifestaron este miércoles en la zona donde se realizaron trabajos para la construcción del tren México-Pachuca, con el objetivo de exigir el pago de los terrenos expropiados para el proyecto. Los inconformes se concentraron en las inmediaciones de las obras ejecutadas por el Ejército Mexicano y colocaron lonas con mensajes dirigidos a las autoridades, mediante los cuales solicitaron una indemnización por las tierras utilizadas para la construcción de la vía ferroviaria. Desde horas de la mañana, los ejidatarios habían advertido que podrían realizar un bloqueo en el bulevar Las Torres como medida de protesta; sin embargo, finalmente esta acción no se llevó a cabo. La manifestación permaneció en el área de los trabajos, donde los ejidatarios mantuvieron su exigencia de que las autoridades atendieran sus demandas y agilizaran el proceso para recibir el pago correspondiente por sus terrenos.</t>
  </si>
  <si>
    <t>Expropiación</t>
  </si>
  <si>
    <t>Ciudadanos y comerciantes han reportado robos en la plaza central de Tulancingo, donde, de acuerdo con los testimonios, se han identificado distintas formas de operar para sustraer pertenencias, una problemática que lleva tiempo presente, pero que habría aumentado durante las últimas semanas. Según los reportes, entre las prácticas que afectan a los compradores se encuentra el corte de bolsas y mochilas para extraer objetos de valor sin que las víctimas lo adviertan de inmediato. En el caso de los comerciantes, señalaron que presuntamente algunas personas recurren a distracciones para desviar su atención y aprovechar esos momentos para tomar dinero, mercancía u otras pertenencias. Los ciudadanos manifestaron su preocupación ante la recurrencia de estos hechos en uno de los espacios comerciales más concurridos del municipio, por lo que consideran importante reforzar las medidas de prevención y vigilancia en la zona. Ante esta situación, se buscó a la Secretaría de Seguridad Pública de Tulancingo para conocer su posicionamiento sobre los reportes, así como las posibles acciones para atenderlos; sin embargo, hasta el momento sin respuesta favorable.</t>
  </si>
  <si>
    <t>Inseguridad</t>
  </si>
  <si>
    <t>En su colaboración semanal, el especialista Gustavo Rosales compartió los pormenores del Epic Travers Hidalgo 2026, una exigente competencia multideportiva programada del 23 al 25 de octubre que contará con la participación de 150 atletas nacionales e internacionales. El recorrido constará de 230 kilómetros distribuidos en 9 municipios del estado (Mineral del Chico, Atotonilco el Grande, Actopan, Santiago de Anaya, Cardonal, Metztitlán, Ixmiquilpan, Tasquillo y Zimapán), e incluirá 30 km de trail, cañón, 35 km de ciclismo de montaña y 20 km de paddle board en aguas abiertas bajo condiciones de clima frío.</t>
  </si>
  <si>
    <t>Justa Deportiva</t>
  </si>
  <si>
    <t>Entrevista en cabina el licenciado Leo Román Osorio Rodríguez, representante de la visitaduría de la Comisión de Derechos Humanos del Estado de Hidalgo (CDHEH) en Tulancingo - Habló sobre la convocatoria de la Medalla Aurora de Plata al Mérito en los Derechos Humanos 2026. Durante su intervención, destacó la importancia de reconocer la labor de personas, colectivos y organizaciones de la sociedad civil que defienden la dignidad humana y los derechos fundamentales en comunidades y espacios locales. Asimismo, detalló las bases de participación, señalando que el periodo de recepción de propuestas concluye el 2 de diciembre de 2026 y que la entrega del galardón se llevará a cabo en el marco del Día Internacional de los Derechos Humanos.</t>
  </si>
  <si>
    <t>CDHEH</t>
  </si>
  <si>
    <t>Medalla al mérito</t>
  </si>
  <si>
    <t>Los profesionistas en Derecho Roberto Daniel Calderón Lazcano y Alberto Reyes Weber cumplieron con la totalidad de los requisitos establecidos en la convocatoria para participar en el proceso de selección de la persona titular del Órgano Interno de Control del municipio de Tulancingo de Bravo. En seguimiento a la convocatoria emitida el pasado 12 de octubre, la Comisión Especial encargada de coordinar el proceso de selección dio a conocer, mediante la constancia de publicación correspondiente, los nombres de las dos personas aspirantes que acreditaron la documentación requerida en tiempo y forma. Como parte de las siguientes etapas, este 22 de octubre se tiene programada la defensa de los ensayos de ambos profesionistas. Posteriormente, el 26 de octubre se presentará ante el Ayuntamiento la propuesta para ocupar el cargo. Finalmente, el 29 de octubre, durante la sesión de Ayuntamiento, se realizará la designación y, en su caso, la toma de protesta y entrega del nombramiento correspondiente, conforme al calendario previsto en la convocatoria. Con ello, el proceso de selección dará cumplimiento a las bases establecidas y a las disposiciones legales aplicables.</t>
  </si>
  <si>
    <t>Órgano Interno de Control</t>
  </si>
  <si>
    <t>Se destacó el dinamismo económico y el desarrollo de corredores industriales en el estado de Hidalgo y el centro del país. En este contexto, la subsecretaria de Industria y Comercio de la Secretaría de Economía, Ximena Escobedo Juárez, señaló que se cumplió con la meta de entregar 20 nuevos parques industriales en el marco del plan de gobierno, alcanzando un total de 40 parques entregados (40% de la meta sexenal) ubicados en 17 municipios de ocho entidades federativas, con una inversión superior a los 670 millones de dólares. Por su parte, el presidente del Consejo Directivo de la Asociación Mexicana de Parques Industriales Privados (AMPIP), David Onelli, detalló que estos 20 nuevos complejos abarcan 4.8 millones de metros cuadrados, tienen capacidad para 176 empresas, prevén más de 30,000 empleos y acumulan una inversión de 463 millones de dólares para fortalecer las cadenas de suministro nacionales.</t>
  </si>
  <si>
    <t>Parque industrial</t>
  </si>
  <si>
    <t>Andrés Torres antes de iniciar la transmisión de "Las Vocales Radio" por televisión comenta lo siguiente: "...digamos que funcionarios ignorantes, ¿no? e hijos de la rechingada. Son unos hijos de chingada. Y cobarde. Le molesta al señor director de Radio y Televisión de Hidalgo que nosotros tengamos redes sociales, ¿por qué? Porque él es un acosador y un delincuente. Nosotros sí somos trabajadores, nosotros sí somos gente de medios de comunicación, de certificados, no somos arribistas, ¿no? Y ojalá y me esté viendo y le pasen la nota al señor director, es un cobarde. Así, un cobarde. Para que quede bien claro, cuando guste, a la hora que quiera, lo podemos este aclarar. Lo podemos aclarar.</t>
  </si>
  <si>
    <t>Peyorativo</t>
  </si>
  <si>
    <t>Para el Estado de Hidalgo se tiene considerada una meta de construcción de 66 mil 500 Viviendas del Bienestar, ubicadas en los municipios de San Agustín Tlaxiaca, Mineral de la Reforma, Tepeapulco, Tepeji del Río, Zempoala, Actopan y Tulancingo. Lo anterior fue señalado durante la reunión encabezada por la Presidenta de México, Claudia Sheinbaum Pardo, en Palacio Nacional, donde se evaluaron los avances de dicho programa, en donde participó el Gobernador de Hidalgo, Julio Menchaca Salazar, junto con alcaldesas y alcaldes donde actualmente se construyen las viviendas. En la reunión se estableció la posibilidad de incorporar más municipios de Hidalgo al Programa Nacional de Vivienda para el Bienestar, para lo cual se está realizando la evaluación de terrenos, condiciones legales, entre otros temas. De acuerdo al Gobierno Federal, cada vivienda tiene un costo promedio de construcción de 600 mil pesos y están a cargo del Instituto del Fondo Nacional de la Vivienda para los Trabajadores (Infonavit) y la Comisión Nacional de Vivienda (Conavi). Del total de hogares, 11 mil 500 serán edificados por el Infonavit y 20 mil por la Conavi, de acuerdo a lo establecido previamente. Como parte de esta estrategia nacional, que contempla la construcción de 1.8 millones de viviendas, incluyendo al Estado de Hidalgo, con el objetivo de ampliar el acceso de las familias a una vivienda digna. Actualmente están en construcción 5 mil 990 viviendas nuevas en los municipios del Estado de Hidalgo ya señalados. Cabe señalar que los municipios donde se asientan las viviendas deben facilitar el acceso a servicios como agua potable, drenaje y electricidad, además de atender los trámites catastrales, avalúos y escrituración de las casas y departamentos. El Gobernador Menchaca Salazar acompañó a la mandataria nacional en un encuentro para revisar los avances del proceso de modernización del IMSS-Bienestar, junto a 23 gobernadoras y gobernadores que están integrados al sistema de atención a la salud.</t>
  </si>
  <si>
    <t>Menchaca y Sheinbaum suman esfuerzos para impulsar el programa Vivienda para el Bienestar en Hidalgo</t>
  </si>
  <si>
    <t>Andrés Torres en respuesta a una radioescucha que pregunta por qué no se pasan imágenes en las noticias, argumentando que esto haría el noticiero más completo. Andrés Torres se disculpa y explica que el formato del noticiero ha cambiado a lo largo de los años, ya que llevan 13 años funcionando. Mencionan que hay carencias en Radio y Televisión de Hidalgo que hacen difícil realizar un noticiero de televisión. Actualmente, están haciendo un programa de radio con apoyo visual y desde Pachuca, tienen un equipo muy pequeño, conformado por un camarógrafo, dos conductores y un operador de radio. Explica que la falta de recursos y personal limita sus capacidades. Para crear un noticiero formal, se requiere un equipo grande y completo, algo que ellos no pueden ofrecer debido a su situación. Además, la financiación del proyecto es personal, ya que no reciben apoyo económico para tener imágenes y presentar un formato de noticiero de televisión. El informativo se nutre principalmente de un estilo de radio. También menciona que su programa comenzó con un enfoque de opiniones y no como un noticiero, aunque ahora brinda noticias. Está orgulloso de lo que han logrado con el esfuerzo de sus compañeros y de las personas que apoyan el proyecto. Sin embargo, enfatiza la difícil situación en la que trabajan, con recursos muy limitados. Agradecen a colaboradores que, de forma altruista, contribuyen con información sin recibir pago alguno. Todos los gastos del programa, como transporte y materiales, son cubiertos por ellos mismos. Lamenta los inconvenientes causados por la falta de recursos y reafirma su compromiso de ofrecer la mejor información política y social posible, a pesar de las limitaciones. Se despide disculpándose nuevamente y reafirmando su dedicación al informativo.</t>
  </si>
  <si>
    <t>Con publicación editorial, SEPH impulsa la preservación de la lengua Náhuatl y su legado cultural</t>
  </si>
  <si>
    <t>Preservación Lenguas Maternas</t>
  </si>
  <si>
    <t>Debido a que desde la temporada de verano de este año se registraron casos de Covid-19 en la región Tulancingo, se espera repunte de casos por influenza estacional durante la temporada invernal. La información fue presentada durante la reunión mensual del Comité Jurisdiccional de Vigilancia Epidemiológica, por lo cual se hizo llamado para aplicarse la vacuna para ambos padecimientos, las cuales ya están disponibles. Durante la sesión de trabajo realizada este miércoles 21 de octubre, se señaló que también se espera durante la temporada invernal, incremento de casos de otras enfermedades broncorespiratorias, como influenza H1N1 y tipo B. Se tiene especial preocupación en la incidencia de virus sincitial respiratorio, una de las principales causas de muerte en niñas y niños de cinco años de edad, por las complicaciones que pueden presentar en su estado de salud. Las autoridades sanitarias han detectado que el grupo entre los 24 a 39 años de edad es donde se presenta el mayor porcentaje de personas que enferman de padecimientos broncorespiratorios. Una de las principales causas de dicha incidencia es debido a que dicho grupo de edad rechaza vacunarse, una de las principales estrategias para evitar este tipo de enfermedades o aminorar sus efectos. En cuanto a fallecimientos por este tipo de padecimientos, en la región correspondiente a la Jurisdicción Sanitaria Regional II, los municipios con mayor registro son Acaxochitlán, Metepec, Santiago Tulantepec, Tulancingo y Tenango de Doria. En el caso de Covid-19, los fallecimientos se han registrado sobre todo en personas con antecedentes de diabetes, hipertensión, obesidad y asma. Mientras que en los fallecimientos por influenza, se registran sobre todo en personas con antecedentes también de diabetes, así como de Enfermedad Pulmonar Obstructiva Crónica y enfermedades renales agudas. Se insistió en reforzar los esquemas de información preventiva a los padecimientos broncorespiratorios, así como la estrategia de vacunación, señalando que existen dosis suficientes para atender a la población. En el caso de la vacunación, adultos mayores, mujeres embarazadas, así como niñas y niños, junto con personas con enfermedades crónico degenerativas, son quienes serán atendidas prioritariamente para ser vacunadas.</t>
  </si>
  <si>
    <t>Seguimos fuera del aire allá en Jacala de Ledezma, ya cumplimos un mes fuera del aire en el 91.1 de frecuencia modulada, les ofrecemos una disculpa. Bueno, pues estamos esperando que las áreas técnicas y administrativas pues resuelvan los problemas allá en la estación.</t>
  </si>
  <si>
    <t>Durante su visita a la subestación Hidalgo en Pachuca, el gobernador Julio Menchaca Salazar reafirmó la estrecha colaboración y coordinación con la Comisión Federal de Electricidad (CFE), acompañado por funcionarios estatales como el secretario de desarrollo económico, Carlos Henkel Escorza, y la directora de la agencia estatal de energía, Ivonne Margarita Ramírez Núñez. En el encuentro con el encargado de la gerencia de la división Centro Oriente de la CFE, Jesús Alberto Armenta Lara, se destacó la importancia estratégica de la infraestructura eléctrica para garantizar servicios seguros y de calidad que impulsen el desarrollo social y económico del Estado.</t>
  </si>
  <si>
    <t>La planta coquizadora de la refinería Miguel Hidalgo, en Tula de Allende, Hidalgo, tiene previsto comenzar operaciones en noviembre de este año, anunció la presidenta de México, Claudia Sheinbaum Pardo, durante su conferencia matutina de este miércoles 21 de octubre. El proyecto forma parte de las acciones de Petróleos Mexicanos (Pemex) para ampliar la capacidad de refinación y aumentar la producción nacional de combustibles, con el objetivo de disminuir la necesidad de adquirirlos en el extranjero. Sheinbaum explicó que la estrategia federal incluye la modernización de las seis refinerías del país, la construcción de la planta Olmeca, en Dos Bocas, Tabasco, y la adquisición de Deer Park, ubicada en Texas, Estados Unidos. La mandataria señaló que México todavía compra en el exterior alrededor del 15 por ciento de los combustibles que consume, entre ellos gasolina, diésel, turbosina y parte del gas LP. En este contexto, la entrada en funcionamiento de la coquizadora de Tula busca contribuir al aprovechamiento del petróleo procesado en el país. Además de la instalación hidalguense, el Gobierno federal desarrolla otra planta coquizadora en Salina Cruz, Oaxaca. De acuerdo con lo expuesto por la presidenta, el aprovechamiento del coque también se contempla dentro de los planes para fortalecer la producción nacional de fertilizantes. Durante la misma conferencia, el director general de Pemex, Juan Carlos Carpio, informó que el procesamiento de petróleo registra un incremento de 81 por ciento respecto a 2018, resultado que atribuyó a las inversiones y los trabajos de modernización de la infraestructura de refinación. El inicio de operaciones de la planta de Tula se perfila como parte de la estrategia federal para incrementar el procesamiento de crudo y reducir la dependencia de combustibles importados.</t>
  </si>
  <si>
    <t>Refinería Tula</t>
  </si>
  <si>
    <t>Andrés Torres informa sobre la situación de la iniciativa del Congreso del Estado que busca reducir las responsabilidades de los regidores en los ayuntamientos. Según el conteo hasta ayer, la mayoría de los ayuntamientos se oponen a la iniciativa, con tres municipios a favor y nueve en contra. Yareli Melo está a cargo del conteo y ha presentado los resultados en redes sociales. Actualmente, la mayoría de los cabildos que han revisado la propuesta han decidido rechazarla. Se espera que la iniciativa sea revisada por los 84 ayuntamientos en total antes de llegar a una conclusión final sobre su aprobación o rechazo.</t>
  </si>
  <si>
    <t>El gobernador de nuestro estado, Julio Menchaca Salazar, asistió a este evento denominado Congreso Nacional de la Moda y el Vestido 2026. Con la convicción de respaldar a todos los sectores económicos, el gobernador Julio Menchaca Salazar inauguró el Congreso de Moda y Vestido 2026, que por primera vez se lleva a cabo en nuestro estado y que es un bastión de la industria textil. Hidalgo tiene una historia ligada desde la fabricación de hilo hasta la confección de prendas. Asumo el compromiso de acompañar esta importante actividad que desarrollan y se genere en un bienestar compartido. El mandatario estatal reconoció el trabajo del sector empresarial que en sinergia con la administración estatal elevó los índices del estado en la actividad económica. En este evento también estuvo presente José Pablo Maauad, presidente de la Cámara Nacional de la Industria del Vestido, y otros representantes de la Cámara Nacional de la Industria Textil, como Rafael Torres y también Juan Porras Manrilla, tesorero de la Confederación de Cámaras Industriales de los Estados Unidos Mexicanos y, bueno, pues en el evento se destacó el crecimiento del sector textil en nuestro estado. El gobernador de Hidalgo también, pues destacó, como lo escuchan ustedes, la tradición que tiene desde muchos, muchos, hace muchos años nuestro estado en el tema textil, sobre todo en regiones muy identificadas, como usted lo sabe, la zona de Tulancingo, la zona de Cuautepec, son por antonomasia zonas textileras en nuestro estado. Aldo Falcón: también comenta el gobernador Julio Menchaca, Hidalgo es el quinto productor nacional de prendas de vestir. En el Congreso Nacional de Moda y Vestido reconocemos a quienes hacen posible esta actividad que generan empleos e ingresos para las familias hidalguenses.</t>
  </si>
  <si>
    <t>Reunión con Empresarios</t>
  </si>
  <si>
    <t>El gobernador de Hidalgo, Julio Menchaca Salazar, inauguró el Congreso de Moda y Vestido 2026, reafirmando el compromiso estatal de consolidar a la entidad como un bastión de la industria textil y de la confección. Respaldado por la Canaive y la Canaintex, el sector busca alinearse con el Plan México para impulsar la competitividad, la atracción de inversiones y el desarrollo económico. Asimismo, ante retos globales como el contrabando y la informalidad, se destacó que la paz laboral y la estabilidad de Hidalgo posicionan al estado como una de las mejores opciones para el crecimiento de nuevos negocios.</t>
  </si>
  <si>
    <t>Reunión Con Empresarios</t>
  </si>
  <si>
    <t>La Secretaría de Salud lleva a cabo una campaña de vacunación contra el Covid y antiinfluenza estacional. Se recomienda que la gente se acerque a la clínica, hospital o centro de salud más cercano para recibir su vacuna, que es gratuita. Las prioridades son niños menores de 5 años, adultos mayores y personas con enfermedades crónicas. Hay más de 1,500,000 dosis disponibles en todo el estado para proteger a la población, especialmente en la temporada invernal que se aproxima, para enfrentar el Covid y la influenza.</t>
  </si>
  <si>
    <t>Daniel Martínez comenta que están llegando mensajes acompañados de un video que Isa está compartiendo en redes sociales sobre el muy mal estado de la carretera Tulancingo–Santiago Tulantepec. Están pidiendo que se cumpla con la reparación del tramo de aproximadamente un kilómetro y doscientos metros. Aunque entiende que las condiciones climáticas impiden la obra por ahora, la situación es urgente. También menciona que el fin de semana la alcaldesa de Santiago Tulantepec, Yanet Fernández señaló que pusieron algo de material, pero advirtió que esto no es una solución definitiva.</t>
  </si>
  <si>
    <t>Vialidad en mal estado</t>
  </si>
  <si>
    <t>Hidalgo lleva tradición del Xantolo a Berlín, Alemania</t>
  </si>
  <si>
    <t>Xantolo</t>
  </si>
  <si>
    <t>En el marco del desarrollo de la industria del vestido en el estado, locutor Juan Carlos Santamaría destacó la importante colaboración y vinculación con el sector académico e instituciones de educación superior en la entidad, tales como la Universidad de la Sierra Hidalguense y la Universidad Politécnica de Tulancingo. Estos centros educativos impulsan la investigación y la innovación en el diseño de prendas funcionales que propicien el bienestar integral de las personas. Asimismo, se destacó que la infraestructura de la región, aunada a los trabajos de seguridad y recuperación de transporte de mercancías, consolidan a Hidalgo como un punto clave y atractivo para la inversión en el sector textil y de la moda.</t>
  </si>
  <si>
    <t>Vinculación académica</t>
  </si>
  <si>
    <t>Congreso Nacional de Moda y Vestido 2026.</t>
  </si>
  <si>
    <t>Durante su participación matutina, David Cárdenas informó sobre los temas abordados en la conferencia matutina de la presidenta de la República, destacando principalmente la reunión sostenida el día anterior con 31 gobernadores y la jefa de Gobierno de la Ciudad de México. En dicho encuentro, al cual asistió el gobernador de Hidalgo, Julio Menchaca Salazar, se evaluó la continuidad del programa Vivienda del Bienestar y se establecieron facilidades para incentivar las inversiones públicas y privadas.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</si>
</sst>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05" tableType="queryTable" totalsRowShown="0">
  <autoFilter ref="A1:M105"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05"/>
  <sheetViews>
    <sheetView tabSelected="1" workbookViewId="0">
      <selection activeCell="A2" sqref="A2"/>
    </sheetView>
  </sheetViews>
  <sheetFormatPr baseColWidth="10" defaultRowHeight="15" x14ac:dyDescent="0.25"/>
  <cols>
    <col min="1" max="1" width="8.5703125" bestFit="1" customWidth="1"/>
    <col min="2" max="2" width="11.42578125" bestFit="1" customWidth="1"/>
    <col min="3" max="3" width="18" bestFit="1" customWidth="1"/>
    <col min="4" max="4" width="15.140625" bestFit="1" customWidth="1"/>
    <col min="5" max="5" width="81.140625" bestFit="1" customWidth="1"/>
    <col min="6" max="6" width="15.28515625" bestFit="1" customWidth="1"/>
    <col min="7" max="7" width="35.7109375" bestFit="1" customWidth="1"/>
    <col min="8" max="9" width="12.425781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11</v>
      </c>
      <c r="C1" t="s">
        <v>12</v>
      </c>
      <c r="D1" t="s">
        <v>13</v>
      </c>
      <c r="E1" t="s">
        <v>1</v>
      </c>
      <c r="F1" t="s">
        <v>2</v>
      </c>
      <c r="G1" t="s">
        <v>4</v>
      </c>
      <c r="H1" t="s">
        <v>3</v>
      </c>
      <c r="I1" t="s">
        <v>5</v>
      </c>
      <c r="J1" t="s">
        <v>14</v>
      </c>
      <c r="K1" t="s">
        <v>15</v>
      </c>
      <c r="L1" t="s">
        <v>16</v>
      </c>
      <c r="M1" t="s">
        <v>21</v>
      </c>
    </row>
    <row r="2" spans="1:13" x14ac:dyDescent="0.25">
      <c r="A2" s="2">
        <v>46316</v>
      </c>
      <c r="B2" s="1" t="str">
        <f ca="1">IF(Información1[[#This Row],[Fecha]]='Ajuste de fechas'!$A$2,"Día actual","Día anterior")</f>
        <v>Día anterior</v>
      </c>
      <c r="C2" t="s">
        <v>38</v>
      </c>
      <c r="D2" t="s">
        <v>39</v>
      </c>
      <c r="E2" t="s">
        <v>78</v>
      </c>
      <c r="F2" t="s">
        <v>8</v>
      </c>
      <c r="G2" t="s">
        <v>79</v>
      </c>
      <c r="H2" t="s">
        <v>40</v>
      </c>
      <c r="I2" t="s">
        <v>6</v>
      </c>
      <c r="J2" t="s">
        <v>17</v>
      </c>
      <c r="K2" t="s">
        <v>42</v>
      </c>
      <c r="L2" t="s">
        <v>18</v>
      </c>
      <c r="M2">
        <v>1</v>
      </c>
    </row>
    <row r="3" spans="1:13" x14ac:dyDescent="0.25">
      <c r="A3" s="2">
        <v>46316</v>
      </c>
      <c r="B3" s="1" t="str">
        <f ca="1">IF(Información1[[#This Row],[Fecha]]='Ajuste de fechas'!$A$2,"Día actual","Día anterior")</f>
        <v>Día anterior</v>
      </c>
      <c r="C3" t="s">
        <v>38</v>
      </c>
      <c r="D3" t="s">
        <v>39</v>
      </c>
      <c r="E3" t="s">
        <v>80</v>
      </c>
      <c r="F3" t="s">
        <v>25</v>
      </c>
      <c r="G3" t="s">
        <v>66</v>
      </c>
      <c r="H3" t="s">
        <v>40</v>
      </c>
      <c r="I3" t="s">
        <v>10</v>
      </c>
      <c r="J3" t="s">
        <v>17</v>
      </c>
      <c r="K3" t="s">
        <v>42</v>
      </c>
      <c r="L3" t="s">
        <v>19</v>
      </c>
      <c r="M3">
        <v>1</v>
      </c>
    </row>
    <row r="4" spans="1:13" x14ac:dyDescent="0.25">
      <c r="A4" s="2">
        <v>46316</v>
      </c>
      <c r="B4" s="1" t="str">
        <f ca="1">IF(Información1[[#This Row],[Fecha]]='Ajuste de fechas'!$A$2,"Día actual","Día anterior")</f>
        <v>Día anterior</v>
      </c>
      <c r="C4" t="s">
        <v>38</v>
      </c>
      <c r="D4" t="s">
        <v>39</v>
      </c>
      <c r="E4" t="s">
        <v>81</v>
      </c>
      <c r="F4" t="s">
        <v>25</v>
      </c>
      <c r="G4" t="s">
        <v>82</v>
      </c>
      <c r="H4" t="s">
        <v>40</v>
      </c>
      <c r="I4" t="s">
        <v>10</v>
      </c>
      <c r="J4" t="s">
        <v>17</v>
      </c>
      <c r="K4" t="s">
        <v>42</v>
      </c>
      <c r="L4" t="s">
        <v>19</v>
      </c>
      <c r="M4">
        <v>1</v>
      </c>
    </row>
    <row r="5" spans="1:13" x14ac:dyDescent="0.25">
      <c r="A5" s="2">
        <v>46316</v>
      </c>
      <c r="B5" s="1" t="str">
        <f ca="1">IF(Información1[[#This Row],[Fecha]]='Ajuste de fechas'!$A$2,"Día actual","Día anterior")</f>
        <v>Día anterior</v>
      </c>
      <c r="C5" t="s">
        <v>38</v>
      </c>
      <c r="D5" t="s">
        <v>39</v>
      </c>
      <c r="E5" t="s">
        <v>83</v>
      </c>
      <c r="F5" t="s">
        <v>84</v>
      </c>
      <c r="G5" t="s">
        <v>150</v>
      </c>
      <c r="H5" t="s">
        <v>40</v>
      </c>
      <c r="I5" t="s">
        <v>6</v>
      </c>
      <c r="J5" t="s">
        <v>58</v>
      </c>
      <c r="K5" t="s">
        <v>42</v>
      </c>
      <c r="L5" t="s">
        <v>18</v>
      </c>
      <c r="M5">
        <v>1</v>
      </c>
    </row>
    <row r="6" spans="1:13" x14ac:dyDescent="0.25">
      <c r="A6" s="2">
        <v>46316</v>
      </c>
      <c r="B6" s="1" t="str">
        <f ca="1">IF(Información1[[#This Row],[Fecha]]='Ajuste de fechas'!$A$2,"Día actual","Día anterior")</f>
        <v>Día anterior</v>
      </c>
      <c r="C6" t="s">
        <v>43</v>
      </c>
      <c r="D6" t="s">
        <v>44</v>
      </c>
      <c r="E6" t="s">
        <v>86</v>
      </c>
      <c r="F6" t="s">
        <v>32</v>
      </c>
      <c r="G6" t="s">
        <v>87</v>
      </c>
      <c r="H6" t="s">
        <v>27</v>
      </c>
      <c r="I6" t="s">
        <v>6</v>
      </c>
      <c r="J6" t="s">
        <v>17</v>
      </c>
      <c r="K6" t="s">
        <v>45</v>
      </c>
      <c r="L6" t="s">
        <v>18</v>
      </c>
      <c r="M6">
        <v>1</v>
      </c>
    </row>
    <row r="7" spans="1:13" x14ac:dyDescent="0.25">
      <c r="A7" s="2">
        <v>46316</v>
      </c>
      <c r="B7" s="1" t="str">
        <f ca="1">IF(Información1[[#This Row],[Fecha]]='Ajuste de fechas'!$A$2,"Día actual","Día anterior")</f>
        <v>Día anterior</v>
      </c>
      <c r="C7" t="s">
        <v>43</v>
      </c>
      <c r="D7" t="s">
        <v>44</v>
      </c>
      <c r="E7" t="s">
        <v>88</v>
      </c>
      <c r="F7" t="s">
        <v>32</v>
      </c>
      <c r="G7" t="s">
        <v>46</v>
      </c>
      <c r="H7" t="s">
        <v>27</v>
      </c>
      <c r="I7" t="s">
        <v>6</v>
      </c>
      <c r="J7" t="s">
        <v>17</v>
      </c>
      <c r="K7" t="s">
        <v>53</v>
      </c>
      <c r="L7" t="s">
        <v>18</v>
      </c>
      <c r="M7">
        <v>1</v>
      </c>
    </row>
    <row r="8" spans="1:13" x14ac:dyDescent="0.25">
      <c r="A8" s="2">
        <v>46316</v>
      </c>
      <c r="B8" s="1" t="str">
        <f ca="1">IF(Información1[[#This Row],[Fecha]]='Ajuste de fechas'!$A$2,"Día actual","Día anterior")</f>
        <v>Día anterior</v>
      </c>
      <c r="C8" t="s">
        <v>43</v>
      </c>
      <c r="D8" t="s">
        <v>44</v>
      </c>
      <c r="E8" t="s">
        <v>89</v>
      </c>
      <c r="F8" t="s">
        <v>32</v>
      </c>
      <c r="G8" t="s">
        <v>46</v>
      </c>
      <c r="H8" t="s">
        <v>27</v>
      </c>
      <c r="I8" t="s">
        <v>6</v>
      </c>
      <c r="J8" t="s">
        <v>17</v>
      </c>
      <c r="K8" t="s">
        <v>53</v>
      </c>
      <c r="L8" t="s">
        <v>18</v>
      </c>
      <c r="M8">
        <v>1</v>
      </c>
    </row>
    <row r="9" spans="1:13" x14ac:dyDescent="0.25">
      <c r="A9" s="2">
        <v>46316</v>
      </c>
      <c r="B9" s="1" t="str">
        <f ca="1">IF(Información1[[#This Row],[Fecha]]='Ajuste de fechas'!$A$2,"Día actual","Día anterior")</f>
        <v>Día anterior</v>
      </c>
      <c r="C9" t="s">
        <v>43</v>
      </c>
      <c r="D9" t="s">
        <v>44</v>
      </c>
      <c r="E9" t="s">
        <v>90</v>
      </c>
      <c r="F9" t="s">
        <v>8</v>
      </c>
      <c r="G9" t="s">
        <v>77</v>
      </c>
      <c r="H9" t="s">
        <v>27</v>
      </c>
      <c r="I9" t="s">
        <v>10</v>
      </c>
      <c r="J9" t="s">
        <v>17</v>
      </c>
      <c r="K9" t="s">
        <v>34</v>
      </c>
      <c r="L9" t="s">
        <v>19</v>
      </c>
      <c r="M9">
        <v>1</v>
      </c>
    </row>
    <row r="10" spans="1:13" x14ac:dyDescent="0.25">
      <c r="A10" s="2">
        <v>46316</v>
      </c>
      <c r="B10" s="1" t="str">
        <f ca="1">IF(Información1[[#This Row],[Fecha]]='Ajuste de fechas'!$A$2,"Día actual","Día anterior")</f>
        <v>Día anterior</v>
      </c>
      <c r="C10" t="s">
        <v>43</v>
      </c>
      <c r="D10" t="s">
        <v>44</v>
      </c>
      <c r="E10" t="s">
        <v>91</v>
      </c>
      <c r="F10" t="s">
        <v>25</v>
      </c>
      <c r="G10" t="s">
        <v>92</v>
      </c>
      <c r="H10" t="s">
        <v>27</v>
      </c>
      <c r="I10" t="s">
        <v>6</v>
      </c>
      <c r="J10" t="s">
        <v>17</v>
      </c>
      <c r="K10" t="s">
        <v>45</v>
      </c>
      <c r="L10" t="s">
        <v>18</v>
      </c>
      <c r="M10">
        <v>1</v>
      </c>
    </row>
    <row r="11" spans="1:13" x14ac:dyDescent="0.25">
      <c r="A11" s="2">
        <v>46316</v>
      </c>
      <c r="B11" s="1" t="str">
        <f ca="1">IF(Información1[[#This Row],[Fecha]]='Ajuste de fechas'!$A$2,"Día actual","Día anterior")</f>
        <v>Día anterior</v>
      </c>
      <c r="C11" t="s">
        <v>43</v>
      </c>
      <c r="D11" t="s">
        <v>44</v>
      </c>
      <c r="E11" t="s">
        <v>93</v>
      </c>
      <c r="F11" t="s">
        <v>8</v>
      </c>
      <c r="G11" t="s">
        <v>69</v>
      </c>
      <c r="H11" t="s">
        <v>27</v>
      </c>
      <c r="I11" t="s">
        <v>10</v>
      </c>
      <c r="J11" t="s">
        <v>17</v>
      </c>
      <c r="K11" t="s">
        <v>34</v>
      </c>
      <c r="L11" t="s">
        <v>19</v>
      </c>
      <c r="M11">
        <v>1</v>
      </c>
    </row>
    <row r="12" spans="1:13" x14ac:dyDescent="0.25">
      <c r="A12" s="2">
        <v>46316</v>
      </c>
      <c r="B12" s="1" t="str">
        <f ca="1">IF(Información1[[#This Row],[Fecha]]='Ajuste de fechas'!$A$2,"Día actual","Día anterior")</f>
        <v>Día anterior</v>
      </c>
      <c r="C12" t="s">
        <v>43</v>
      </c>
      <c r="D12" t="s">
        <v>44</v>
      </c>
      <c r="E12" t="s">
        <v>94</v>
      </c>
      <c r="F12" t="s">
        <v>84</v>
      </c>
      <c r="G12" t="s">
        <v>150</v>
      </c>
      <c r="H12" t="s">
        <v>27</v>
      </c>
      <c r="I12" t="s">
        <v>10</v>
      </c>
      <c r="J12" t="s">
        <v>58</v>
      </c>
      <c r="K12" t="s">
        <v>34</v>
      </c>
      <c r="L12" t="s">
        <v>19</v>
      </c>
      <c r="M12">
        <v>1</v>
      </c>
    </row>
    <row r="13" spans="1:13" x14ac:dyDescent="0.25">
      <c r="A13" s="2">
        <v>46316</v>
      </c>
      <c r="B13" s="1" t="str">
        <f ca="1">IF(Información1[[#This Row],[Fecha]]='Ajuste de fechas'!$A$2,"Día actual","Día anterior")</f>
        <v>Día anterior</v>
      </c>
      <c r="C13" t="s">
        <v>43</v>
      </c>
      <c r="D13" t="s">
        <v>44</v>
      </c>
      <c r="E13" t="s">
        <v>95</v>
      </c>
      <c r="F13" t="s">
        <v>59</v>
      </c>
      <c r="G13" t="s">
        <v>77</v>
      </c>
      <c r="H13" t="s">
        <v>27</v>
      </c>
      <c r="I13" t="s">
        <v>10</v>
      </c>
      <c r="J13" t="s">
        <v>58</v>
      </c>
      <c r="K13" t="s">
        <v>45</v>
      </c>
      <c r="L13" t="s">
        <v>19</v>
      </c>
      <c r="M13">
        <v>1</v>
      </c>
    </row>
    <row r="14" spans="1:13" x14ac:dyDescent="0.25">
      <c r="A14" s="2">
        <v>46316</v>
      </c>
      <c r="B14" s="1" t="str">
        <f ca="1">IF(Información1[[#This Row],[Fecha]]='Ajuste de fechas'!$A$2,"Día actual","Día anterior")</f>
        <v>Día anterior</v>
      </c>
      <c r="C14" t="s">
        <v>43</v>
      </c>
      <c r="D14" t="s">
        <v>44</v>
      </c>
      <c r="E14" t="s">
        <v>95</v>
      </c>
      <c r="F14" t="s">
        <v>63</v>
      </c>
      <c r="G14" t="s">
        <v>77</v>
      </c>
      <c r="H14" t="s">
        <v>27</v>
      </c>
      <c r="I14" t="s">
        <v>10</v>
      </c>
      <c r="J14" t="s">
        <v>17</v>
      </c>
      <c r="K14" t="s">
        <v>45</v>
      </c>
      <c r="L14" t="s">
        <v>19</v>
      </c>
      <c r="M14">
        <v>1</v>
      </c>
    </row>
    <row r="15" spans="1:13" x14ac:dyDescent="0.25">
      <c r="A15" s="2">
        <v>46316</v>
      </c>
      <c r="B15" s="1" t="str">
        <f ca="1">IF(Información1[[#This Row],[Fecha]]='Ajuste de fechas'!$A$2,"Día actual","Día anterior")</f>
        <v>Día anterior</v>
      </c>
      <c r="C15" t="s">
        <v>43</v>
      </c>
      <c r="D15" t="s">
        <v>44</v>
      </c>
      <c r="E15" t="s">
        <v>96</v>
      </c>
      <c r="F15" t="s">
        <v>8</v>
      </c>
      <c r="G15" t="s">
        <v>77</v>
      </c>
      <c r="H15" t="s">
        <v>27</v>
      </c>
      <c r="I15" t="s">
        <v>10</v>
      </c>
      <c r="J15" t="s">
        <v>17</v>
      </c>
      <c r="K15" t="s">
        <v>34</v>
      </c>
      <c r="L15" t="s">
        <v>19</v>
      </c>
      <c r="M15">
        <v>1</v>
      </c>
    </row>
    <row r="16" spans="1:13" x14ac:dyDescent="0.25">
      <c r="A16" s="2">
        <v>46316</v>
      </c>
      <c r="B16" s="1" t="str">
        <f ca="1">IF(Información1[[#This Row],[Fecha]]='Ajuste de fechas'!$A$2,"Día actual","Día anterior")</f>
        <v>Día anterior</v>
      </c>
      <c r="C16" t="s">
        <v>43</v>
      </c>
      <c r="D16" t="s">
        <v>44</v>
      </c>
      <c r="E16" t="s">
        <v>97</v>
      </c>
      <c r="F16" t="s">
        <v>8</v>
      </c>
      <c r="G16" t="s">
        <v>98</v>
      </c>
      <c r="H16" t="s">
        <v>27</v>
      </c>
      <c r="I16" t="s">
        <v>10</v>
      </c>
      <c r="J16" t="s">
        <v>17</v>
      </c>
      <c r="K16" t="s">
        <v>45</v>
      </c>
      <c r="L16" t="s">
        <v>19</v>
      </c>
      <c r="M16">
        <v>1</v>
      </c>
    </row>
    <row r="17" spans="1:13" x14ac:dyDescent="0.25">
      <c r="A17" s="2">
        <v>46316</v>
      </c>
      <c r="B17" s="1" t="str">
        <f ca="1">IF(Información1[[#This Row],[Fecha]]='Ajuste de fechas'!$A$2,"Día actual","Día anterior")</f>
        <v>Día anterior</v>
      </c>
      <c r="C17" t="s">
        <v>43</v>
      </c>
      <c r="D17" t="s">
        <v>44</v>
      </c>
      <c r="E17" t="s">
        <v>99</v>
      </c>
      <c r="F17" t="s">
        <v>8</v>
      </c>
      <c r="G17" t="s">
        <v>100</v>
      </c>
      <c r="H17" t="s">
        <v>27</v>
      </c>
      <c r="I17" t="s">
        <v>6</v>
      </c>
      <c r="J17" t="s">
        <v>17</v>
      </c>
      <c r="K17" t="s">
        <v>45</v>
      </c>
      <c r="L17" t="s">
        <v>18</v>
      </c>
      <c r="M17">
        <v>1</v>
      </c>
    </row>
    <row r="18" spans="1:13" x14ac:dyDescent="0.25">
      <c r="A18" s="2">
        <v>46316</v>
      </c>
      <c r="B18" s="1" t="str">
        <f ca="1">IF(Información1[[#This Row],[Fecha]]='Ajuste de fechas'!$A$2,"Día actual","Día anterior")</f>
        <v>Día anterior</v>
      </c>
      <c r="C18" t="s">
        <v>43</v>
      </c>
      <c r="D18" t="s">
        <v>44</v>
      </c>
      <c r="E18" t="s">
        <v>101</v>
      </c>
      <c r="F18" t="s">
        <v>9</v>
      </c>
      <c r="G18" t="s">
        <v>102</v>
      </c>
      <c r="H18" t="s">
        <v>27</v>
      </c>
      <c r="I18" t="s">
        <v>6</v>
      </c>
      <c r="J18" t="s">
        <v>17</v>
      </c>
      <c r="K18" t="s">
        <v>53</v>
      </c>
      <c r="L18" t="s">
        <v>20</v>
      </c>
      <c r="M18">
        <v>1</v>
      </c>
    </row>
    <row r="19" spans="1:13" x14ac:dyDescent="0.25">
      <c r="A19" s="2">
        <v>46316</v>
      </c>
      <c r="B19" s="1" t="str">
        <f ca="1">IF(Información1[[#This Row],[Fecha]]='Ajuste de fechas'!$A$2,"Día actual","Día anterior")</f>
        <v>Día anterior</v>
      </c>
      <c r="C19" t="s">
        <v>43</v>
      </c>
      <c r="D19" t="s">
        <v>44</v>
      </c>
      <c r="E19" t="s">
        <v>103</v>
      </c>
      <c r="F19" t="s">
        <v>60</v>
      </c>
      <c r="G19" t="s">
        <v>104</v>
      </c>
      <c r="H19" t="s">
        <v>27</v>
      </c>
      <c r="I19" t="s">
        <v>6</v>
      </c>
      <c r="J19" t="s">
        <v>58</v>
      </c>
      <c r="K19" t="s">
        <v>53</v>
      </c>
      <c r="L19" t="s">
        <v>18</v>
      </c>
      <c r="M19">
        <v>1</v>
      </c>
    </row>
    <row r="20" spans="1:13" x14ac:dyDescent="0.25">
      <c r="A20" s="2">
        <v>46316</v>
      </c>
      <c r="B20" s="1" t="str">
        <f ca="1">IF(Información1[[#This Row],[Fecha]]='Ajuste de fechas'!$A$2,"Día actual","Día anterior")</f>
        <v>Día anterior</v>
      </c>
      <c r="C20" t="s">
        <v>43</v>
      </c>
      <c r="D20" t="s">
        <v>44</v>
      </c>
      <c r="E20" t="s">
        <v>105</v>
      </c>
      <c r="F20" t="s">
        <v>67</v>
      </c>
      <c r="G20" t="s">
        <v>49</v>
      </c>
      <c r="H20" t="s">
        <v>27</v>
      </c>
      <c r="I20" t="s">
        <v>6</v>
      </c>
      <c r="J20" t="s">
        <v>17</v>
      </c>
      <c r="K20" t="s">
        <v>53</v>
      </c>
      <c r="L20" t="s">
        <v>18</v>
      </c>
      <c r="M20">
        <v>1</v>
      </c>
    </row>
    <row r="21" spans="1:13" x14ac:dyDescent="0.25">
      <c r="A21" s="2">
        <v>46316</v>
      </c>
      <c r="B21" s="1" t="str">
        <f ca="1">IF(Información1[[#This Row],[Fecha]]='Ajuste de fechas'!$A$2,"Día actual","Día anterior")</f>
        <v>Día anterior</v>
      </c>
      <c r="C21" t="s">
        <v>43</v>
      </c>
      <c r="D21" t="s">
        <v>44</v>
      </c>
      <c r="E21" t="s">
        <v>106</v>
      </c>
      <c r="F21" t="s">
        <v>61</v>
      </c>
      <c r="G21" t="s">
        <v>107</v>
      </c>
      <c r="H21" t="s">
        <v>27</v>
      </c>
      <c r="I21" t="s">
        <v>6</v>
      </c>
      <c r="J21" t="s">
        <v>62</v>
      </c>
      <c r="K21" t="s">
        <v>45</v>
      </c>
      <c r="L21" t="s">
        <v>24</v>
      </c>
      <c r="M21">
        <v>1</v>
      </c>
    </row>
    <row r="22" spans="1:13" x14ac:dyDescent="0.25">
      <c r="A22" s="2">
        <v>46316</v>
      </c>
      <c r="B22" s="1" t="str">
        <f ca="1">IF(Información1[[#This Row],[Fecha]]='Ajuste de fechas'!$A$2,"Día actual","Día anterior")</f>
        <v>Día anterior</v>
      </c>
      <c r="C22" t="s">
        <v>43</v>
      </c>
      <c r="D22" t="s">
        <v>44</v>
      </c>
      <c r="E22" t="s">
        <v>108</v>
      </c>
      <c r="F22" t="s">
        <v>9</v>
      </c>
      <c r="G22" t="s">
        <v>49</v>
      </c>
      <c r="H22" t="s">
        <v>27</v>
      </c>
      <c r="I22" t="s">
        <v>6</v>
      </c>
      <c r="J22" t="s">
        <v>17</v>
      </c>
      <c r="K22" t="s">
        <v>53</v>
      </c>
      <c r="L22" t="s">
        <v>18</v>
      </c>
      <c r="M22">
        <v>1</v>
      </c>
    </row>
    <row r="23" spans="1:13" x14ac:dyDescent="0.25">
      <c r="A23" s="2">
        <v>46316</v>
      </c>
      <c r="B23" s="1" t="str">
        <f ca="1">IF(Información1[[#This Row],[Fecha]]='Ajuste de fechas'!$A$2,"Día actual","Día anterior")</f>
        <v>Día anterior</v>
      </c>
      <c r="C23" t="s">
        <v>43</v>
      </c>
      <c r="D23" t="s">
        <v>44</v>
      </c>
      <c r="E23" t="s">
        <v>109</v>
      </c>
      <c r="F23" t="s">
        <v>9</v>
      </c>
      <c r="G23" t="s">
        <v>49</v>
      </c>
      <c r="H23" t="s">
        <v>27</v>
      </c>
      <c r="I23" t="s">
        <v>6</v>
      </c>
      <c r="J23" t="s">
        <v>17</v>
      </c>
      <c r="K23" t="s">
        <v>53</v>
      </c>
      <c r="L23" t="s">
        <v>18</v>
      </c>
      <c r="M23">
        <v>1</v>
      </c>
    </row>
    <row r="24" spans="1:13" x14ac:dyDescent="0.25">
      <c r="A24" s="2">
        <v>46316</v>
      </c>
      <c r="B24" s="1" t="str">
        <f ca="1">IF(Información1[[#This Row],[Fecha]]='Ajuste de fechas'!$A$2,"Día actual","Día anterior")</f>
        <v>Día anterior</v>
      </c>
      <c r="C24" t="s">
        <v>43</v>
      </c>
      <c r="D24" t="s">
        <v>44</v>
      </c>
      <c r="E24" t="s">
        <v>110</v>
      </c>
      <c r="F24" t="s">
        <v>63</v>
      </c>
      <c r="G24" t="s">
        <v>111</v>
      </c>
      <c r="H24" t="s">
        <v>27</v>
      </c>
      <c r="I24" t="s">
        <v>6</v>
      </c>
      <c r="J24" t="s">
        <v>17</v>
      </c>
      <c r="K24" t="s">
        <v>54</v>
      </c>
      <c r="L24" t="s">
        <v>20</v>
      </c>
      <c r="M24">
        <v>1</v>
      </c>
    </row>
    <row r="25" spans="1:13" x14ac:dyDescent="0.25">
      <c r="A25" s="2">
        <v>46316</v>
      </c>
      <c r="B25" s="1" t="str">
        <f ca="1">IF(Información1[[#This Row],[Fecha]]='Ajuste de fechas'!$A$2,"Día actual","Día anterior")</f>
        <v>Día anterior</v>
      </c>
      <c r="C25" t="s">
        <v>43</v>
      </c>
      <c r="D25" t="s">
        <v>44</v>
      </c>
      <c r="E25" t="s">
        <v>112</v>
      </c>
      <c r="F25" t="s">
        <v>56</v>
      </c>
      <c r="G25" t="s">
        <v>76</v>
      </c>
      <c r="H25" t="s">
        <v>27</v>
      </c>
      <c r="I25" t="s">
        <v>6</v>
      </c>
      <c r="J25" t="s">
        <v>57</v>
      </c>
      <c r="K25" t="s">
        <v>45</v>
      </c>
      <c r="L25" t="s">
        <v>18</v>
      </c>
      <c r="M25">
        <v>1</v>
      </c>
    </row>
    <row r="26" spans="1:13" x14ac:dyDescent="0.25">
      <c r="A26" s="2">
        <v>46316</v>
      </c>
      <c r="B26" s="1" t="str">
        <f ca="1">IF(Información1[[#This Row],[Fecha]]='Ajuste de fechas'!$A$2,"Día actual","Día anterior")</f>
        <v>Día anterior</v>
      </c>
      <c r="C26" t="s">
        <v>43</v>
      </c>
      <c r="D26" t="s">
        <v>44</v>
      </c>
      <c r="E26" t="s">
        <v>113</v>
      </c>
      <c r="F26" t="s">
        <v>56</v>
      </c>
      <c r="G26" t="s">
        <v>114</v>
      </c>
      <c r="H26" t="s">
        <v>27</v>
      </c>
      <c r="I26" t="s">
        <v>6</v>
      </c>
      <c r="J26" t="s">
        <v>57</v>
      </c>
      <c r="K26" t="s">
        <v>45</v>
      </c>
      <c r="L26" t="s">
        <v>18</v>
      </c>
      <c r="M26">
        <v>1</v>
      </c>
    </row>
    <row r="27" spans="1:13" x14ac:dyDescent="0.25">
      <c r="A27" s="2">
        <v>46316</v>
      </c>
      <c r="B27" s="1" t="str">
        <f ca="1">IF(Información1[[#This Row],[Fecha]]='Ajuste de fechas'!$A$2,"Día actual","Día anterior")</f>
        <v>Día anterior</v>
      </c>
      <c r="C27" t="s">
        <v>43</v>
      </c>
      <c r="D27" t="s">
        <v>44</v>
      </c>
      <c r="E27" t="s">
        <v>115</v>
      </c>
      <c r="F27" t="s">
        <v>59</v>
      </c>
      <c r="G27" t="s">
        <v>77</v>
      </c>
      <c r="H27" t="s">
        <v>27</v>
      </c>
      <c r="I27" t="s">
        <v>6</v>
      </c>
      <c r="J27" t="s">
        <v>58</v>
      </c>
      <c r="K27" t="s">
        <v>53</v>
      </c>
      <c r="L27" t="s">
        <v>18</v>
      </c>
      <c r="M27">
        <v>1</v>
      </c>
    </row>
    <row r="28" spans="1:13" x14ac:dyDescent="0.25">
      <c r="A28" s="2">
        <v>46316</v>
      </c>
      <c r="B28" s="1" t="str">
        <f ca="1">IF(Información1[[#This Row],[Fecha]]='Ajuste de fechas'!$A$2,"Día actual","Día anterior")</f>
        <v>Día anterior</v>
      </c>
      <c r="C28" t="s">
        <v>43</v>
      </c>
      <c r="D28" t="s">
        <v>44</v>
      </c>
      <c r="E28" t="s">
        <v>116</v>
      </c>
      <c r="F28" t="s">
        <v>63</v>
      </c>
      <c r="G28" t="s">
        <v>77</v>
      </c>
      <c r="H28" t="s">
        <v>27</v>
      </c>
      <c r="I28" t="s">
        <v>6</v>
      </c>
      <c r="J28" t="s">
        <v>17</v>
      </c>
      <c r="K28" t="s">
        <v>53</v>
      </c>
      <c r="L28" t="s">
        <v>18</v>
      </c>
      <c r="M28">
        <v>1</v>
      </c>
    </row>
    <row r="29" spans="1:13" x14ac:dyDescent="0.25">
      <c r="A29" s="2">
        <v>46316</v>
      </c>
      <c r="B29" s="1" t="str">
        <f ca="1">IF(Información1[[#This Row],[Fecha]]='Ajuste de fechas'!$A$2,"Día actual","Día anterior")</f>
        <v>Día anterior</v>
      </c>
      <c r="C29" t="s">
        <v>38</v>
      </c>
      <c r="D29" t="s">
        <v>39</v>
      </c>
      <c r="E29" t="s">
        <v>117</v>
      </c>
      <c r="F29" t="s">
        <v>63</v>
      </c>
      <c r="G29" t="s">
        <v>118</v>
      </c>
      <c r="H29" t="s">
        <v>40</v>
      </c>
      <c r="I29" t="s">
        <v>6</v>
      </c>
      <c r="J29" t="s">
        <v>17</v>
      </c>
      <c r="K29" t="s">
        <v>41</v>
      </c>
      <c r="L29" t="s">
        <v>18</v>
      </c>
      <c r="M29">
        <v>1</v>
      </c>
    </row>
    <row r="30" spans="1:13" x14ac:dyDescent="0.25">
      <c r="A30" s="2">
        <v>46316</v>
      </c>
      <c r="B30" s="1" t="str">
        <f ca="1">IF(Información1[[#This Row],[Fecha]]='Ajuste de fechas'!$A$2,"Día actual","Día anterior")</f>
        <v>Día anterior</v>
      </c>
      <c r="C30" t="s">
        <v>38</v>
      </c>
      <c r="D30" t="s">
        <v>39</v>
      </c>
      <c r="E30" t="s">
        <v>119</v>
      </c>
      <c r="F30" t="s">
        <v>51</v>
      </c>
      <c r="G30" t="s">
        <v>120</v>
      </c>
      <c r="H30" t="s">
        <v>40</v>
      </c>
      <c r="I30" t="s">
        <v>6</v>
      </c>
      <c r="J30" t="s">
        <v>17</v>
      </c>
      <c r="K30" t="s">
        <v>42</v>
      </c>
      <c r="L30" t="s">
        <v>20</v>
      </c>
      <c r="M30">
        <v>1</v>
      </c>
    </row>
    <row r="31" spans="1:13" x14ac:dyDescent="0.25">
      <c r="A31" s="2">
        <v>46316</v>
      </c>
      <c r="B31" s="1" t="str">
        <f ca="1">IF(Información1[[#This Row],[Fecha]]='Ajuste de fechas'!$A$2,"Día actual","Día anterior")</f>
        <v>Día anterior</v>
      </c>
      <c r="C31" t="s">
        <v>38</v>
      </c>
      <c r="D31" t="s">
        <v>39</v>
      </c>
      <c r="E31" t="s">
        <v>121</v>
      </c>
      <c r="F31" t="s">
        <v>9</v>
      </c>
      <c r="G31" t="s">
        <v>49</v>
      </c>
      <c r="H31" t="s">
        <v>40</v>
      </c>
      <c r="I31" t="s">
        <v>6</v>
      </c>
      <c r="J31" t="s">
        <v>17</v>
      </c>
      <c r="K31" t="s">
        <v>42</v>
      </c>
      <c r="L31" t="s">
        <v>18</v>
      </c>
      <c r="M31">
        <v>1</v>
      </c>
    </row>
    <row r="32" spans="1:13" x14ac:dyDescent="0.25">
      <c r="A32" s="2">
        <v>46316</v>
      </c>
      <c r="B32" s="1" t="str">
        <f ca="1">IF(Información1[[#This Row],[Fecha]]='Ajuste de fechas'!$A$2,"Día actual","Día anterior")</f>
        <v>Día anterior</v>
      </c>
      <c r="C32" t="s">
        <v>38</v>
      </c>
      <c r="D32" t="s">
        <v>39</v>
      </c>
      <c r="E32" t="s">
        <v>74</v>
      </c>
      <c r="F32" t="s">
        <v>63</v>
      </c>
      <c r="G32" t="s">
        <v>122</v>
      </c>
      <c r="H32" t="s">
        <v>40</v>
      </c>
      <c r="I32" t="s">
        <v>7</v>
      </c>
      <c r="J32" t="s">
        <v>17</v>
      </c>
      <c r="K32" t="s">
        <v>42</v>
      </c>
      <c r="L32" t="s">
        <v>20</v>
      </c>
      <c r="M32">
        <v>1</v>
      </c>
    </row>
    <row r="33" spans="1:13" x14ac:dyDescent="0.25">
      <c r="A33" s="2">
        <v>46316</v>
      </c>
      <c r="B33" s="1" t="str">
        <f ca="1">IF(Información1[[#This Row],[Fecha]]='Ajuste de fechas'!$A$2,"Día actual","Día anterior")</f>
        <v>Día anterior</v>
      </c>
      <c r="C33" t="s">
        <v>38</v>
      </c>
      <c r="D33" t="s">
        <v>39</v>
      </c>
      <c r="E33" t="s">
        <v>110</v>
      </c>
      <c r="F33" t="s">
        <v>63</v>
      </c>
      <c r="G33" t="s">
        <v>111</v>
      </c>
      <c r="H33" t="s">
        <v>40</v>
      </c>
      <c r="I33" t="s">
        <v>6</v>
      </c>
      <c r="J33" t="s">
        <v>17</v>
      </c>
      <c r="K33" t="s">
        <v>42</v>
      </c>
      <c r="L33" t="s">
        <v>20</v>
      </c>
      <c r="M33">
        <v>1</v>
      </c>
    </row>
    <row r="34" spans="1:13" x14ac:dyDescent="0.25">
      <c r="A34" s="2">
        <v>46316</v>
      </c>
      <c r="B34" s="1" t="str">
        <f ca="1">IF(Información1[[#This Row],[Fecha]]='Ajuste de fechas'!$A$2,"Día actual","Día anterior")</f>
        <v>Día anterior</v>
      </c>
      <c r="C34" t="s">
        <v>38</v>
      </c>
      <c r="D34" t="s">
        <v>39</v>
      </c>
      <c r="E34" t="s">
        <v>123</v>
      </c>
      <c r="F34" t="s">
        <v>47</v>
      </c>
      <c r="G34" t="s">
        <v>46</v>
      </c>
      <c r="H34" t="s">
        <v>40</v>
      </c>
      <c r="I34" t="s">
        <v>10</v>
      </c>
      <c r="J34" t="s">
        <v>17</v>
      </c>
      <c r="K34" t="s">
        <v>42</v>
      </c>
      <c r="L34" t="s">
        <v>18</v>
      </c>
      <c r="M34">
        <v>1</v>
      </c>
    </row>
    <row r="35" spans="1:13" x14ac:dyDescent="0.25">
      <c r="A35" s="2">
        <v>46316</v>
      </c>
      <c r="B35" s="1" t="str">
        <f ca="1">IF(Información1[[#This Row],[Fecha]]='Ajuste de fechas'!$A$2,"Día actual","Día anterior")</f>
        <v>Día anterior</v>
      </c>
      <c r="C35" t="s">
        <v>38</v>
      </c>
      <c r="D35" t="s">
        <v>39</v>
      </c>
      <c r="E35" t="s">
        <v>124</v>
      </c>
      <c r="F35" t="s">
        <v>26</v>
      </c>
      <c r="G35" t="s">
        <v>52</v>
      </c>
      <c r="H35" t="s">
        <v>40</v>
      </c>
      <c r="I35" t="s">
        <v>6</v>
      </c>
      <c r="J35" t="s">
        <v>17</v>
      </c>
      <c r="K35" t="s">
        <v>41</v>
      </c>
      <c r="L35" t="s">
        <v>18</v>
      </c>
      <c r="M35">
        <v>1</v>
      </c>
    </row>
    <row r="36" spans="1:13" x14ac:dyDescent="0.25">
      <c r="A36" s="2">
        <v>46316</v>
      </c>
      <c r="B36" s="1" t="str">
        <f ca="1">IF(Información1[[#This Row],[Fecha]]='Ajuste de fechas'!$A$2,"Día actual","Día anterior")</f>
        <v>Día anterior</v>
      </c>
      <c r="C36" t="s">
        <v>38</v>
      </c>
      <c r="D36" t="s">
        <v>39</v>
      </c>
      <c r="E36" t="s">
        <v>125</v>
      </c>
      <c r="F36" t="s">
        <v>25</v>
      </c>
      <c r="G36" t="s">
        <v>126</v>
      </c>
      <c r="H36" t="s">
        <v>40</v>
      </c>
      <c r="I36" t="s">
        <v>6</v>
      </c>
      <c r="J36" t="s">
        <v>17</v>
      </c>
      <c r="K36" t="s">
        <v>42</v>
      </c>
      <c r="L36" t="s">
        <v>19</v>
      </c>
      <c r="M36">
        <v>1</v>
      </c>
    </row>
    <row r="37" spans="1:13" x14ac:dyDescent="0.25">
      <c r="A37" s="2">
        <v>46316</v>
      </c>
      <c r="B37" s="1" t="str">
        <f ca="1">IF(Información1[[#This Row],[Fecha]]='Ajuste de fechas'!$A$2,"Día actual","Día anterior")</f>
        <v>Día anterior</v>
      </c>
      <c r="C37" t="s">
        <v>38</v>
      </c>
      <c r="D37" t="s">
        <v>39</v>
      </c>
      <c r="E37" t="s">
        <v>127</v>
      </c>
      <c r="F37" t="s">
        <v>25</v>
      </c>
      <c r="G37" t="s">
        <v>48</v>
      </c>
      <c r="H37" t="s">
        <v>40</v>
      </c>
      <c r="I37" t="s">
        <v>10</v>
      </c>
      <c r="J37" t="s">
        <v>17</v>
      </c>
      <c r="K37" t="s">
        <v>42</v>
      </c>
      <c r="L37" t="s">
        <v>19</v>
      </c>
      <c r="M37">
        <v>1</v>
      </c>
    </row>
    <row r="38" spans="1:13" x14ac:dyDescent="0.25">
      <c r="A38" s="2">
        <v>46316</v>
      </c>
      <c r="B38" s="1" t="str">
        <f ca="1">IF(Información1[[#This Row],[Fecha]]='Ajuste de fechas'!$A$2,"Día actual","Día anterior")</f>
        <v>Día anterior</v>
      </c>
      <c r="C38" t="s">
        <v>38</v>
      </c>
      <c r="D38" t="s">
        <v>39</v>
      </c>
      <c r="E38" t="s">
        <v>128</v>
      </c>
      <c r="F38" t="s">
        <v>25</v>
      </c>
      <c r="G38" t="s">
        <v>64</v>
      </c>
      <c r="H38" t="s">
        <v>40</v>
      </c>
      <c r="I38" t="s">
        <v>6</v>
      </c>
      <c r="J38" t="s">
        <v>17</v>
      </c>
      <c r="K38" t="s">
        <v>42</v>
      </c>
      <c r="L38" t="s">
        <v>18</v>
      </c>
      <c r="M38">
        <v>1</v>
      </c>
    </row>
    <row r="39" spans="1:13" x14ac:dyDescent="0.25">
      <c r="A39" s="2">
        <v>46316</v>
      </c>
      <c r="B39" s="1" t="str">
        <f ca="1">IF(Información1[[#This Row],[Fecha]]='Ajuste de fechas'!$A$2,"Día actual","Día anterior")</f>
        <v>Día anterior</v>
      </c>
      <c r="C39" t="s">
        <v>70</v>
      </c>
      <c r="D39" t="s">
        <v>71</v>
      </c>
      <c r="E39" t="s">
        <v>129</v>
      </c>
      <c r="F39" t="s">
        <v>26</v>
      </c>
      <c r="G39" t="s">
        <v>130</v>
      </c>
      <c r="H39" t="s">
        <v>27</v>
      </c>
      <c r="I39" t="s">
        <v>6</v>
      </c>
      <c r="J39" t="s">
        <v>17</v>
      </c>
      <c r="K39" t="s">
        <v>72</v>
      </c>
      <c r="L39" t="s">
        <v>20</v>
      </c>
      <c r="M39">
        <v>1</v>
      </c>
    </row>
    <row r="40" spans="1:13" x14ac:dyDescent="0.25">
      <c r="A40" s="2">
        <v>46316</v>
      </c>
      <c r="B40" s="1" t="str">
        <f ca="1">IF(Información1[[#This Row],[Fecha]]='Ajuste de fechas'!$A$2,"Día actual","Día anterior")</f>
        <v>Día anterior</v>
      </c>
      <c r="C40" t="s">
        <v>28</v>
      </c>
      <c r="D40" t="s">
        <v>33</v>
      </c>
      <c r="E40" t="s">
        <v>131</v>
      </c>
      <c r="F40" t="s">
        <v>9</v>
      </c>
      <c r="G40" t="s">
        <v>68</v>
      </c>
      <c r="H40" t="s">
        <v>27</v>
      </c>
      <c r="I40" t="s">
        <v>10</v>
      </c>
      <c r="J40" t="s">
        <v>17</v>
      </c>
      <c r="K40" t="s">
        <v>34</v>
      </c>
      <c r="L40" t="s">
        <v>19</v>
      </c>
      <c r="M40">
        <v>1</v>
      </c>
    </row>
    <row r="41" spans="1:13" x14ac:dyDescent="0.25">
      <c r="A41" s="2">
        <v>46316</v>
      </c>
      <c r="B41" s="1" t="str">
        <f ca="1">IF(Información1[[#This Row],[Fecha]]='Ajuste de fechas'!$A$2,"Día actual","Día anterior")</f>
        <v>Día anterior</v>
      </c>
      <c r="C41" t="s">
        <v>28</v>
      </c>
      <c r="D41" t="s">
        <v>33</v>
      </c>
      <c r="E41" t="s">
        <v>132</v>
      </c>
      <c r="F41" t="s">
        <v>9</v>
      </c>
      <c r="G41" t="s">
        <v>68</v>
      </c>
      <c r="H41" t="s">
        <v>27</v>
      </c>
      <c r="I41" t="s">
        <v>10</v>
      </c>
      <c r="J41" t="s">
        <v>17</v>
      </c>
      <c r="K41" t="s">
        <v>34</v>
      </c>
      <c r="L41" t="s">
        <v>19</v>
      </c>
      <c r="M41">
        <v>1</v>
      </c>
    </row>
    <row r="42" spans="1:13" x14ac:dyDescent="0.25">
      <c r="A42" s="2">
        <v>46316</v>
      </c>
      <c r="B42" s="1" t="str">
        <f ca="1">IF(Información1[[#This Row],[Fecha]]='Ajuste de fechas'!$A$2,"Día actual","Día anterior")</f>
        <v>Día anterior</v>
      </c>
      <c r="C42" t="s">
        <v>28</v>
      </c>
      <c r="D42" t="s">
        <v>33</v>
      </c>
      <c r="E42" t="s">
        <v>133</v>
      </c>
      <c r="F42" t="s">
        <v>9</v>
      </c>
      <c r="G42" t="s">
        <v>49</v>
      </c>
      <c r="H42" t="s">
        <v>27</v>
      </c>
      <c r="I42" t="s">
        <v>6</v>
      </c>
      <c r="J42" t="s">
        <v>17</v>
      </c>
      <c r="K42" t="s">
        <v>30</v>
      </c>
      <c r="L42" t="s">
        <v>20</v>
      </c>
      <c r="M42">
        <v>1</v>
      </c>
    </row>
    <row r="43" spans="1:13" x14ac:dyDescent="0.25">
      <c r="A43" s="2">
        <v>46316</v>
      </c>
      <c r="B43" s="1" t="str">
        <f ca="1">IF(Información1[[#This Row],[Fecha]]='Ajuste de fechas'!$A$2,"Día actual","Día anterior")</f>
        <v>Día anterior</v>
      </c>
      <c r="C43" t="s">
        <v>35</v>
      </c>
      <c r="D43" t="s">
        <v>36</v>
      </c>
      <c r="E43" t="s">
        <v>134</v>
      </c>
      <c r="F43" t="s">
        <v>58</v>
      </c>
      <c r="G43" t="s">
        <v>135</v>
      </c>
      <c r="H43" t="s">
        <v>27</v>
      </c>
      <c r="I43" t="s">
        <v>6</v>
      </c>
      <c r="J43" t="s">
        <v>58</v>
      </c>
      <c r="K43" t="s">
        <v>37</v>
      </c>
      <c r="L43" t="s">
        <v>18</v>
      </c>
      <c r="M43">
        <v>1</v>
      </c>
    </row>
    <row r="44" spans="1:13" x14ac:dyDescent="0.25">
      <c r="A44" s="2">
        <v>46316</v>
      </c>
      <c r="B44" s="1" t="str">
        <f ca="1">IF(Información1[[#This Row],[Fecha]]='Ajuste de fechas'!$A$2,"Día actual","Día anterior")</f>
        <v>Día anterior</v>
      </c>
      <c r="C44" t="s">
        <v>35</v>
      </c>
      <c r="D44" t="s">
        <v>36</v>
      </c>
      <c r="E44" t="s">
        <v>136</v>
      </c>
      <c r="F44" t="s">
        <v>8</v>
      </c>
      <c r="G44" t="s">
        <v>49</v>
      </c>
      <c r="H44" t="s">
        <v>27</v>
      </c>
      <c r="I44" t="s">
        <v>6</v>
      </c>
      <c r="J44" t="s">
        <v>17</v>
      </c>
      <c r="K44" t="s">
        <v>37</v>
      </c>
      <c r="L44" t="s">
        <v>18</v>
      </c>
      <c r="M44">
        <v>1</v>
      </c>
    </row>
    <row r="45" spans="1:13" x14ac:dyDescent="0.25">
      <c r="A45" s="2">
        <v>46316</v>
      </c>
      <c r="B45" s="1" t="str">
        <f ca="1">IF(Información1[[#This Row],[Fecha]]='Ajuste de fechas'!$A$2,"Día actual","Día anterior")</f>
        <v>Día anterior</v>
      </c>
      <c r="C45" t="s">
        <v>35</v>
      </c>
      <c r="D45" t="s">
        <v>36</v>
      </c>
      <c r="E45" t="s">
        <v>137</v>
      </c>
      <c r="F45" t="s">
        <v>51</v>
      </c>
      <c r="G45" t="s">
        <v>49</v>
      </c>
      <c r="H45" t="s">
        <v>27</v>
      </c>
      <c r="I45" t="s">
        <v>6</v>
      </c>
      <c r="J45" t="s">
        <v>17</v>
      </c>
      <c r="K45" t="s">
        <v>37</v>
      </c>
      <c r="L45" t="s">
        <v>18</v>
      </c>
      <c r="M45">
        <v>1</v>
      </c>
    </row>
    <row r="46" spans="1:13" x14ac:dyDescent="0.25">
      <c r="A46" s="2">
        <v>46316</v>
      </c>
      <c r="B46" s="1" t="str">
        <f ca="1">IF(Información1[[#This Row],[Fecha]]='Ajuste de fechas'!$A$2,"Día actual","Día anterior")</f>
        <v>Día anterior</v>
      </c>
      <c r="C46" t="s">
        <v>35</v>
      </c>
      <c r="D46" t="s">
        <v>36</v>
      </c>
      <c r="E46" t="s">
        <v>138</v>
      </c>
      <c r="F46" t="s">
        <v>9</v>
      </c>
      <c r="G46" t="s">
        <v>49</v>
      </c>
      <c r="H46" t="s">
        <v>27</v>
      </c>
      <c r="I46" t="s">
        <v>7</v>
      </c>
      <c r="J46" t="s">
        <v>17</v>
      </c>
      <c r="K46" t="s">
        <v>37</v>
      </c>
      <c r="L46" t="s">
        <v>19</v>
      </c>
      <c r="M46">
        <v>1</v>
      </c>
    </row>
    <row r="47" spans="1:13" x14ac:dyDescent="0.25">
      <c r="A47" s="2">
        <v>46316</v>
      </c>
      <c r="B47" s="1" t="str">
        <f ca="1">IF(Información1[[#This Row],[Fecha]]='Ajuste de fechas'!$A$2,"Día actual","Día anterior")</f>
        <v>Día anterior</v>
      </c>
      <c r="C47" t="s">
        <v>35</v>
      </c>
      <c r="D47" t="s">
        <v>36</v>
      </c>
      <c r="E47" t="s">
        <v>139</v>
      </c>
      <c r="F47" t="s">
        <v>9</v>
      </c>
      <c r="G47" t="s">
        <v>49</v>
      </c>
      <c r="H47" t="s">
        <v>27</v>
      </c>
      <c r="I47" t="s">
        <v>6</v>
      </c>
      <c r="J47" t="s">
        <v>17</v>
      </c>
      <c r="K47" t="s">
        <v>37</v>
      </c>
      <c r="L47" t="s">
        <v>18</v>
      </c>
      <c r="M47">
        <v>1</v>
      </c>
    </row>
    <row r="48" spans="1:13" x14ac:dyDescent="0.25">
      <c r="A48" s="2">
        <v>46316</v>
      </c>
      <c r="B48" s="1" t="str">
        <f ca="1">IF(Información1[[#This Row],[Fecha]]='Ajuste de fechas'!$A$2,"Día actual","Día anterior")</f>
        <v>Día anterior</v>
      </c>
      <c r="C48" t="s">
        <v>35</v>
      </c>
      <c r="D48" t="s">
        <v>36</v>
      </c>
      <c r="E48" t="s">
        <v>140</v>
      </c>
      <c r="F48" t="s">
        <v>63</v>
      </c>
      <c r="G48" t="s">
        <v>77</v>
      </c>
      <c r="H48" t="s">
        <v>27</v>
      </c>
      <c r="I48" t="s">
        <v>6</v>
      </c>
      <c r="J48" t="s">
        <v>17</v>
      </c>
      <c r="K48" t="s">
        <v>37</v>
      </c>
      <c r="L48" t="s">
        <v>18</v>
      </c>
      <c r="M48">
        <v>1</v>
      </c>
    </row>
    <row r="49" spans="1:13" x14ac:dyDescent="0.25">
      <c r="A49" s="2">
        <v>46316</v>
      </c>
      <c r="B49" s="1" t="str">
        <f ca="1">IF(Información1[[#This Row],[Fecha]]='Ajuste de fechas'!$A$2,"Día actual","Día anterior")</f>
        <v>Día anterior</v>
      </c>
      <c r="C49" t="s">
        <v>35</v>
      </c>
      <c r="D49" t="s">
        <v>36</v>
      </c>
      <c r="E49" t="s">
        <v>110</v>
      </c>
      <c r="F49" t="s">
        <v>63</v>
      </c>
      <c r="G49" t="s">
        <v>111</v>
      </c>
      <c r="H49" t="s">
        <v>27</v>
      </c>
      <c r="I49" t="s">
        <v>6</v>
      </c>
      <c r="J49" t="s">
        <v>17</v>
      </c>
      <c r="K49" t="s">
        <v>37</v>
      </c>
      <c r="L49" t="s">
        <v>20</v>
      </c>
      <c r="M49">
        <v>1</v>
      </c>
    </row>
    <row r="50" spans="1:13" x14ac:dyDescent="0.25">
      <c r="A50" s="2">
        <v>46316</v>
      </c>
      <c r="B50" s="1" t="str">
        <f ca="1">IF(Información1[[#This Row],[Fecha]]='Ajuste de fechas'!$A$2,"Día actual","Día anterior")</f>
        <v>Día anterior</v>
      </c>
      <c r="C50" t="s">
        <v>35</v>
      </c>
      <c r="D50" t="s">
        <v>36</v>
      </c>
      <c r="E50" t="s">
        <v>141</v>
      </c>
      <c r="F50" t="s">
        <v>61</v>
      </c>
      <c r="G50" t="s">
        <v>111</v>
      </c>
      <c r="H50" t="s">
        <v>27</v>
      </c>
      <c r="I50" t="s">
        <v>6</v>
      </c>
      <c r="J50" t="s">
        <v>62</v>
      </c>
      <c r="K50" t="s">
        <v>37</v>
      </c>
      <c r="L50" t="s">
        <v>18</v>
      </c>
      <c r="M50">
        <v>1</v>
      </c>
    </row>
    <row r="51" spans="1:13" x14ac:dyDescent="0.25">
      <c r="A51" s="2">
        <v>46316</v>
      </c>
      <c r="B51" s="1" t="str">
        <f ca="1">IF(Información1[[#This Row],[Fecha]]='Ajuste de fechas'!$A$2,"Día actual","Día anterior")</f>
        <v>Día anterior</v>
      </c>
      <c r="C51" t="s">
        <v>28</v>
      </c>
      <c r="D51" t="s">
        <v>29</v>
      </c>
      <c r="E51" t="s">
        <v>142</v>
      </c>
      <c r="F51" t="s">
        <v>84</v>
      </c>
      <c r="G51" t="s">
        <v>150</v>
      </c>
      <c r="H51" t="s">
        <v>27</v>
      </c>
      <c r="I51" t="s">
        <v>10</v>
      </c>
      <c r="J51" t="s">
        <v>58</v>
      </c>
      <c r="K51" t="s">
        <v>34</v>
      </c>
      <c r="L51" t="s">
        <v>19</v>
      </c>
      <c r="M51">
        <v>1</v>
      </c>
    </row>
    <row r="52" spans="1:13" x14ac:dyDescent="0.25">
      <c r="A52" s="2">
        <v>46316</v>
      </c>
      <c r="B52" s="1" t="str">
        <f ca="1">IF(Información1[[#This Row],[Fecha]]='Ajuste de fechas'!$A$2,"Día actual","Día anterior")</f>
        <v>Día anterior</v>
      </c>
      <c r="C52" t="s">
        <v>28</v>
      </c>
      <c r="D52" t="s">
        <v>29</v>
      </c>
      <c r="E52" t="s">
        <v>143</v>
      </c>
      <c r="F52" t="s">
        <v>144</v>
      </c>
      <c r="G52" t="s">
        <v>145</v>
      </c>
      <c r="H52" t="s">
        <v>27</v>
      </c>
      <c r="I52" t="s">
        <v>6</v>
      </c>
      <c r="J52" t="s">
        <v>17</v>
      </c>
      <c r="K52" t="s">
        <v>31</v>
      </c>
      <c r="L52" t="s">
        <v>20</v>
      </c>
      <c r="M52">
        <v>1</v>
      </c>
    </row>
    <row r="53" spans="1:13" x14ac:dyDescent="0.25">
      <c r="A53" s="2">
        <v>46316</v>
      </c>
      <c r="B53" s="1" t="str">
        <f ca="1">IF(Información1[[#This Row],[Fecha]]='Ajuste de fechas'!$A$2,"Día actual","Día anterior")</f>
        <v>Día anterior</v>
      </c>
      <c r="C53" t="s">
        <v>28</v>
      </c>
      <c r="D53" t="s">
        <v>29</v>
      </c>
      <c r="E53" t="s">
        <v>146</v>
      </c>
      <c r="F53" t="s">
        <v>51</v>
      </c>
      <c r="G53" t="s">
        <v>49</v>
      </c>
      <c r="H53" t="s">
        <v>27</v>
      </c>
      <c r="I53" t="s">
        <v>6</v>
      </c>
      <c r="J53" t="s">
        <v>17</v>
      </c>
      <c r="K53" t="s">
        <v>31</v>
      </c>
      <c r="L53" t="s">
        <v>20</v>
      </c>
      <c r="M53">
        <v>1</v>
      </c>
    </row>
    <row r="54" spans="1:13" x14ac:dyDescent="0.25">
      <c r="A54" s="2">
        <v>46316</v>
      </c>
      <c r="B54" s="1" t="str">
        <f ca="1">IF(Información1[[#This Row],[Fecha]]='Ajuste de fechas'!$A$2,"Día actual","Día anterior")</f>
        <v>Día anterior</v>
      </c>
      <c r="C54" t="s">
        <v>28</v>
      </c>
      <c r="D54" t="s">
        <v>29</v>
      </c>
      <c r="E54" t="s">
        <v>147</v>
      </c>
      <c r="F54" t="s">
        <v>63</v>
      </c>
      <c r="G54" t="s">
        <v>77</v>
      </c>
      <c r="H54" t="s">
        <v>27</v>
      </c>
      <c r="I54" t="s">
        <v>6</v>
      </c>
      <c r="J54" t="s">
        <v>17</v>
      </c>
      <c r="K54" t="s">
        <v>30</v>
      </c>
      <c r="L54" t="s">
        <v>18</v>
      </c>
      <c r="M54">
        <v>1</v>
      </c>
    </row>
    <row r="55" spans="1:13" x14ac:dyDescent="0.25">
      <c r="A55" s="2">
        <v>46316</v>
      </c>
      <c r="B55" s="1" t="str">
        <f ca="1">IF(Información1[[#This Row],[Fecha]]='Ajuste de fechas'!$A$2,"Día actual","Día anterior")</f>
        <v>Día anterior</v>
      </c>
      <c r="C55" t="s">
        <v>28</v>
      </c>
      <c r="D55" t="s">
        <v>29</v>
      </c>
      <c r="E55" t="s">
        <v>133</v>
      </c>
      <c r="F55" t="s">
        <v>9</v>
      </c>
      <c r="G55" t="s">
        <v>49</v>
      </c>
      <c r="H55" t="s">
        <v>27</v>
      </c>
      <c r="I55" t="s">
        <v>6</v>
      </c>
      <c r="J55" t="s">
        <v>17</v>
      </c>
      <c r="K55" t="s">
        <v>31</v>
      </c>
      <c r="L55" t="s">
        <v>20</v>
      </c>
      <c r="M55">
        <v>1</v>
      </c>
    </row>
    <row r="56" spans="1:13" x14ac:dyDescent="0.25">
      <c r="A56" s="2">
        <v>46316</v>
      </c>
      <c r="B56" s="1" t="str">
        <f ca="1">IF(Información1[[#This Row],[Fecha]]='Ajuste de fechas'!$A$2,"Día actual","Día anterior")</f>
        <v>Día anterior</v>
      </c>
      <c r="C56" t="s">
        <v>28</v>
      </c>
      <c r="D56" t="s">
        <v>29</v>
      </c>
      <c r="E56" t="s">
        <v>110</v>
      </c>
      <c r="F56" t="s">
        <v>63</v>
      </c>
      <c r="G56" t="s">
        <v>111</v>
      </c>
      <c r="H56" t="s">
        <v>27</v>
      </c>
      <c r="I56" t="s">
        <v>6</v>
      </c>
      <c r="J56" t="s">
        <v>17</v>
      </c>
      <c r="K56" t="s">
        <v>31</v>
      </c>
      <c r="L56" t="s">
        <v>20</v>
      </c>
      <c r="M56">
        <v>1</v>
      </c>
    </row>
    <row r="57" spans="1:13" x14ac:dyDescent="0.25">
      <c r="A57" s="2">
        <v>46316</v>
      </c>
      <c r="B57" s="1" t="str">
        <f ca="1">IF(Información1[[#This Row],[Fecha]]='Ajuste de fechas'!$A$2,"Día actual","Día anterior")</f>
        <v>Día anterior</v>
      </c>
      <c r="C57" t="s">
        <v>28</v>
      </c>
      <c r="D57" t="s">
        <v>29</v>
      </c>
      <c r="E57" t="s">
        <v>129</v>
      </c>
      <c r="F57" t="s">
        <v>26</v>
      </c>
      <c r="G57" t="s">
        <v>130</v>
      </c>
      <c r="H57" t="s">
        <v>27</v>
      </c>
      <c r="I57" t="s">
        <v>6</v>
      </c>
      <c r="J57" t="s">
        <v>17</v>
      </c>
      <c r="K57" t="s">
        <v>31</v>
      </c>
      <c r="L57" t="s">
        <v>20</v>
      </c>
      <c r="M57">
        <v>1</v>
      </c>
    </row>
    <row r="58" spans="1:13" x14ac:dyDescent="0.25">
      <c r="A58" s="2">
        <v>46316</v>
      </c>
      <c r="B58" s="1" t="str">
        <f ca="1">IF(Información1[[#This Row],[Fecha]]='Ajuste de fechas'!$A$2,"Día actual","Día anterior")</f>
        <v>Día anterior</v>
      </c>
      <c r="C58" t="s">
        <v>28</v>
      </c>
      <c r="D58" t="s">
        <v>29</v>
      </c>
      <c r="E58" t="s">
        <v>148</v>
      </c>
      <c r="F58" t="s">
        <v>61</v>
      </c>
      <c r="G58" t="s">
        <v>111</v>
      </c>
      <c r="H58" t="s">
        <v>27</v>
      </c>
      <c r="I58" t="s">
        <v>6</v>
      </c>
      <c r="J58" t="s">
        <v>62</v>
      </c>
      <c r="K58" t="s">
        <v>30</v>
      </c>
      <c r="L58" t="s">
        <v>18</v>
      </c>
      <c r="M58">
        <v>1</v>
      </c>
    </row>
    <row r="59" spans="1:13" x14ac:dyDescent="0.25">
      <c r="A59" s="2">
        <v>46316</v>
      </c>
      <c r="B59" s="1" t="str">
        <f ca="1">IF(Información1[[#This Row],[Fecha]]='Ajuste de fechas'!$A$2,"Día actual","Día anterior")</f>
        <v>Día anterior</v>
      </c>
      <c r="C59" t="s">
        <v>28</v>
      </c>
      <c r="D59" t="s">
        <v>29</v>
      </c>
      <c r="E59" t="s">
        <v>149</v>
      </c>
      <c r="F59" t="s">
        <v>63</v>
      </c>
      <c r="G59" t="s">
        <v>111</v>
      </c>
      <c r="H59" t="s">
        <v>27</v>
      </c>
      <c r="I59" t="s">
        <v>6</v>
      </c>
      <c r="J59" t="s">
        <v>17</v>
      </c>
      <c r="K59" t="s">
        <v>30</v>
      </c>
      <c r="L59" t="s">
        <v>18</v>
      </c>
      <c r="M59">
        <v>1</v>
      </c>
    </row>
    <row r="60" spans="1:13" x14ac:dyDescent="0.25">
      <c r="A60" s="2">
        <v>46317</v>
      </c>
      <c r="B60" s="1" t="str">
        <f ca="1">IF(Información1[[#This Row],[Fecha]]='Ajuste de fechas'!$A$2,"Día actual","Día anterior")</f>
        <v>Día actual</v>
      </c>
      <c r="C60" t="s">
        <v>43</v>
      </c>
      <c r="D60" t="s">
        <v>44</v>
      </c>
      <c r="E60" t="s">
        <v>151</v>
      </c>
      <c r="F60" t="s">
        <v>56</v>
      </c>
      <c r="G60" t="s">
        <v>152</v>
      </c>
      <c r="H60" t="s">
        <v>27</v>
      </c>
      <c r="I60" t="s">
        <v>7</v>
      </c>
      <c r="J60" t="s">
        <v>57</v>
      </c>
      <c r="K60" t="s">
        <v>45</v>
      </c>
      <c r="L60" t="s">
        <v>18</v>
      </c>
      <c r="M60">
        <v>1</v>
      </c>
    </row>
    <row r="61" spans="1:13" x14ac:dyDescent="0.25">
      <c r="A61" s="2">
        <v>46317</v>
      </c>
      <c r="B61" s="1" t="str">
        <f ca="1">IF(Información1[[#This Row],[Fecha]]='Ajuste de fechas'!$A$2,"Día actual","Día anterior")</f>
        <v>Día actual</v>
      </c>
      <c r="C61" t="s">
        <v>38</v>
      </c>
      <c r="D61" t="s">
        <v>39</v>
      </c>
      <c r="E61" t="s">
        <v>153</v>
      </c>
      <c r="F61" t="s">
        <v>25</v>
      </c>
      <c r="G61" t="s">
        <v>64</v>
      </c>
      <c r="H61" t="s">
        <v>40</v>
      </c>
      <c r="I61" t="s">
        <v>6</v>
      </c>
      <c r="J61" t="s">
        <v>17</v>
      </c>
      <c r="K61" t="s">
        <v>42</v>
      </c>
      <c r="L61" t="s">
        <v>18</v>
      </c>
      <c r="M61">
        <v>1</v>
      </c>
    </row>
    <row r="62" spans="1:13" x14ac:dyDescent="0.25">
      <c r="A62" s="2">
        <v>46317</v>
      </c>
      <c r="B62" s="1" t="str">
        <f ca="1">IF(Información1[[#This Row],[Fecha]]='Ajuste de fechas'!$A$2,"Día actual","Día anterior")</f>
        <v>Día actual</v>
      </c>
      <c r="C62" t="s">
        <v>28</v>
      </c>
      <c r="D62" t="s">
        <v>29</v>
      </c>
      <c r="E62" t="s">
        <v>154</v>
      </c>
      <c r="F62" t="s">
        <v>25</v>
      </c>
      <c r="G62" t="s">
        <v>64</v>
      </c>
      <c r="H62" t="s">
        <v>27</v>
      </c>
      <c r="I62" t="s">
        <v>6</v>
      </c>
      <c r="J62" t="s">
        <v>17</v>
      </c>
      <c r="K62" t="s">
        <v>31</v>
      </c>
      <c r="L62" t="s">
        <v>18</v>
      </c>
      <c r="M62">
        <v>1</v>
      </c>
    </row>
    <row r="63" spans="1:13" x14ac:dyDescent="0.25">
      <c r="A63" s="2">
        <v>46317</v>
      </c>
      <c r="B63" s="1" t="str">
        <f ca="1">IF(Información1[[#This Row],[Fecha]]='Ajuste de fechas'!$A$2,"Día actual","Día anterior")</f>
        <v>Día actual</v>
      </c>
      <c r="C63" t="s">
        <v>43</v>
      </c>
      <c r="D63" t="s">
        <v>44</v>
      </c>
      <c r="E63" t="s">
        <v>155</v>
      </c>
      <c r="F63" t="s">
        <v>56</v>
      </c>
      <c r="G63" t="s">
        <v>156</v>
      </c>
      <c r="H63" t="s">
        <v>27</v>
      </c>
      <c r="I63" t="s">
        <v>6</v>
      </c>
      <c r="J63" t="s">
        <v>57</v>
      </c>
      <c r="K63" t="s">
        <v>45</v>
      </c>
      <c r="L63" t="s">
        <v>24</v>
      </c>
      <c r="M63">
        <v>1</v>
      </c>
    </row>
    <row r="64" spans="1:13" x14ac:dyDescent="0.25">
      <c r="A64" s="2">
        <v>46317</v>
      </c>
      <c r="B64" s="1" t="str">
        <f ca="1">IF(Información1[[#This Row],[Fecha]]='Ajuste de fechas'!$A$2,"Día actual","Día anterior")</f>
        <v>Día actual</v>
      </c>
      <c r="C64" t="s">
        <v>43</v>
      </c>
      <c r="D64" t="s">
        <v>44</v>
      </c>
      <c r="E64" t="s">
        <v>157</v>
      </c>
      <c r="F64" t="s">
        <v>50</v>
      </c>
      <c r="G64" t="s">
        <v>73</v>
      </c>
      <c r="H64" t="s">
        <v>27</v>
      </c>
      <c r="I64" t="s">
        <v>6</v>
      </c>
      <c r="J64" t="s">
        <v>17</v>
      </c>
      <c r="K64" t="s">
        <v>53</v>
      </c>
      <c r="L64" t="s">
        <v>20</v>
      </c>
      <c r="M64">
        <v>1</v>
      </c>
    </row>
    <row r="65" spans="1:13" x14ac:dyDescent="0.25">
      <c r="A65" s="2">
        <v>46317</v>
      </c>
      <c r="B65" s="1" t="str">
        <f ca="1">IF(Información1[[#This Row],[Fecha]]='Ajuste de fechas'!$A$2,"Día actual","Día anterior")</f>
        <v>Día actual</v>
      </c>
      <c r="C65" t="s">
        <v>43</v>
      </c>
      <c r="D65" t="s">
        <v>44</v>
      </c>
      <c r="E65" t="s">
        <v>158</v>
      </c>
      <c r="F65" t="s">
        <v>8</v>
      </c>
      <c r="G65" t="s">
        <v>77</v>
      </c>
      <c r="H65" t="s">
        <v>27</v>
      </c>
      <c r="I65" t="s">
        <v>10</v>
      </c>
      <c r="J65" t="s">
        <v>17</v>
      </c>
      <c r="K65" t="s">
        <v>34</v>
      </c>
      <c r="L65" t="s">
        <v>19</v>
      </c>
      <c r="M65">
        <v>1</v>
      </c>
    </row>
    <row r="66" spans="1:13" x14ac:dyDescent="0.25">
      <c r="A66" s="2">
        <v>46317</v>
      </c>
      <c r="B66" s="1" t="str">
        <f ca="1">IF(Información1[[#This Row],[Fecha]]='Ajuste de fechas'!$A$2,"Día actual","Día anterior")</f>
        <v>Día actual</v>
      </c>
      <c r="C66" t="s">
        <v>43</v>
      </c>
      <c r="D66" t="s">
        <v>44</v>
      </c>
      <c r="E66" t="s">
        <v>159</v>
      </c>
      <c r="F66" t="s">
        <v>8</v>
      </c>
      <c r="G66" t="s">
        <v>77</v>
      </c>
      <c r="H66" t="s">
        <v>27</v>
      </c>
      <c r="I66" t="s">
        <v>6</v>
      </c>
      <c r="J66" t="s">
        <v>17</v>
      </c>
      <c r="K66" t="s">
        <v>34</v>
      </c>
      <c r="L66" t="s">
        <v>19</v>
      </c>
      <c r="M66">
        <v>1</v>
      </c>
    </row>
    <row r="67" spans="1:13" x14ac:dyDescent="0.25">
      <c r="A67" s="2">
        <v>46317</v>
      </c>
      <c r="B67" s="1" t="str">
        <f ca="1">IF(Información1[[#This Row],[Fecha]]='Ajuste de fechas'!$A$2,"Día actual","Día anterior")</f>
        <v>Día actual</v>
      </c>
      <c r="C67" t="s">
        <v>43</v>
      </c>
      <c r="D67" t="s">
        <v>44</v>
      </c>
      <c r="E67" t="s">
        <v>160</v>
      </c>
      <c r="F67" t="s">
        <v>8</v>
      </c>
      <c r="G67" t="s">
        <v>77</v>
      </c>
      <c r="H67" t="s">
        <v>27</v>
      </c>
      <c r="I67" t="s">
        <v>10</v>
      </c>
      <c r="J67" t="s">
        <v>17</v>
      </c>
      <c r="K67" t="s">
        <v>45</v>
      </c>
      <c r="L67" t="s">
        <v>19</v>
      </c>
      <c r="M67">
        <v>1</v>
      </c>
    </row>
    <row r="68" spans="1:13" x14ac:dyDescent="0.25">
      <c r="A68" s="2">
        <v>46317</v>
      </c>
      <c r="B68" s="1" t="str">
        <f ca="1">IF(Información1[[#This Row],[Fecha]]='Ajuste de fechas'!$A$2,"Día actual","Día anterior")</f>
        <v>Día actual</v>
      </c>
      <c r="C68" t="s">
        <v>43</v>
      </c>
      <c r="D68" t="s">
        <v>44</v>
      </c>
      <c r="E68" t="s">
        <v>161</v>
      </c>
      <c r="F68" t="s">
        <v>8</v>
      </c>
      <c r="G68" t="s">
        <v>77</v>
      </c>
      <c r="H68" t="s">
        <v>27</v>
      </c>
      <c r="I68" t="s">
        <v>10</v>
      </c>
      <c r="J68" t="s">
        <v>17</v>
      </c>
      <c r="K68" t="s">
        <v>34</v>
      </c>
      <c r="L68" t="s">
        <v>19</v>
      </c>
      <c r="M68">
        <v>1</v>
      </c>
    </row>
    <row r="69" spans="1:13" x14ac:dyDescent="0.25">
      <c r="A69" s="2">
        <v>46317</v>
      </c>
      <c r="B69" s="1" t="str">
        <f ca="1">IF(Información1[[#This Row],[Fecha]]='Ajuste de fechas'!$A$2,"Día actual","Día anterior")</f>
        <v>Día actual</v>
      </c>
      <c r="C69" t="s">
        <v>43</v>
      </c>
      <c r="D69" t="s">
        <v>44</v>
      </c>
      <c r="E69" t="s">
        <v>162</v>
      </c>
      <c r="F69" t="s">
        <v>8</v>
      </c>
      <c r="G69" t="s">
        <v>77</v>
      </c>
      <c r="H69" t="s">
        <v>27</v>
      </c>
      <c r="I69" t="s">
        <v>6</v>
      </c>
      <c r="J69" t="s">
        <v>17</v>
      </c>
      <c r="K69" t="s">
        <v>54</v>
      </c>
      <c r="L69" t="s">
        <v>18</v>
      </c>
      <c r="M69">
        <v>1</v>
      </c>
    </row>
    <row r="70" spans="1:13" x14ac:dyDescent="0.25">
      <c r="A70" s="2">
        <v>46317</v>
      </c>
      <c r="B70" s="1" t="str">
        <f ca="1">IF(Información1[[#This Row],[Fecha]]='Ajuste de fechas'!$A$2,"Día actual","Día anterior")</f>
        <v>Día actual</v>
      </c>
      <c r="C70" t="s">
        <v>43</v>
      </c>
      <c r="D70" t="s">
        <v>44</v>
      </c>
      <c r="E70" t="s">
        <v>163</v>
      </c>
      <c r="F70" t="s">
        <v>8</v>
      </c>
      <c r="G70" t="s">
        <v>77</v>
      </c>
      <c r="H70" t="s">
        <v>27</v>
      </c>
      <c r="I70" t="s">
        <v>6</v>
      </c>
      <c r="J70" t="s">
        <v>17</v>
      </c>
      <c r="K70" t="s">
        <v>53</v>
      </c>
      <c r="L70" t="s">
        <v>18</v>
      </c>
      <c r="M70">
        <v>1</v>
      </c>
    </row>
    <row r="71" spans="1:13" x14ac:dyDescent="0.25">
      <c r="A71" s="2">
        <v>46317</v>
      </c>
      <c r="B71" s="1" t="str">
        <f ca="1">IF(Información1[[#This Row],[Fecha]]='Ajuste de fechas'!$A$2,"Día actual","Día anterior")</f>
        <v>Día actual</v>
      </c>
      <c r="C71" t="s">
        <v>43</v>
      </c>
      <c r="D71" t="s">
        <v>44</v>
      </c>
      <c r="E71" t="s">
        <v>164</v>
      </c>
      <c r="F71" t="s">
        <v>61</v>
      </c>
      <c r="G71" t="s">
        <v>165</v>
      </c>
      <c r="H71" t="s">
        <v>27</v>
      </c>
      <c r="I71" t="s">
        <v>6</v>
      </c>
      <c r="J71" t="s">
        <v>62</v>
      </c>
      <c r="K71" t="s">
        <v>53</v>
      </c>
      <c r="L71" t="s">
        <v>18</v>
      </c>
      <c r="M71">
        <v>1</v>
      </c>
    </row>
    <row r="72" spans="1:13" x14ac:dyDescent="0.25">
      <c r="A72" s="2">
        <v>46317</v>
      </c>
      <c r="B72" s="1" t="str">
        <f ca="1">IF(Información1[[#This Row],[Fecha]]='Ajuste de fechas'!$A$2,"Día actual","Día anterior")</f>
        <v>Día actual</v>
      </c>
      <c r="C72" t="s">
        <v>38</v>
      </c>
      <c r="D72" t="s">
        <v>39</v>
      </c>
      <c r="E72" t="s">
        <v>166</v>
      </c>
      <c r="F72" t="s">
        <v>84</v>
      </c>
      <c r="G72" t="s">
        <v>85</v>
      </c>
      <c r="H72" t="s">
        <v>40</v>
      </c>
      <c r="I72" t="s">
        <v>6</v>
      </c>
      <c r="J72" t="s">
        <v>58</v>
      </c>
      <c r="K72" t="s">
        <v>42</v>
      </c>
      <c r="L72" t="s">
        <v>19</v>
      </c>
      <c r="M72">
        <v>1</v>
      </c>
    </row>
    <row r="73" spans="1:13" x14ac:dyDescent="0.25">
      <c r="A73" s="2">
        <v>46317</v>
      </c>
      <c r="B73" s="1" t="str">
        <f ca="1">IF(Información1[[#This Row],[Fecha]]='Ajuste de fechas'!$A$2,"Día actual","Día anterior")</f>
        <v>Día actual</v>
      </c>
      <c r="C73" t="s">
        <v>43</v>
      </c>
      <c r="D73" t="s">
        <v>44</v>
      </c>
      <c r="E73" t="s">
        <v>167</v>
      </c>
      <c r="F73" t="s">
        <v>8</v>
      </c>
      <c r="G73" t="s">
        <v>49</v>
      </c>
      <c r="H73" t="s">
        <v>27</v>
      </c>
      <c r="I73" t="s">
        <v>6</v>
      </c>
      <c r="J73" t="s">
        <v>17</v>
      </c>
      <c r="K73" t="s">
        <v>45</v>
      </c>
      <c r="L73" t="s">
        <v>18</v>
      </c>
      <c r="M73">
        <v>1</v>
      </c>
    </row>
    <row r="74" spans="1:13" x14ac:dyDescent="0.25">
      <c r="A74" s="2">
        <v>46317</v>
      </c>
      <c r="B74" s="1" t="str">
        <f ca="1">IF(Información1[[#This Row],[Fecha]]='Ajuste de fechas'!$A$2,"Día actual","Día anterior")</f>
        <v>Día actual</v>
      </c>
      <c r="C74" t="s">
        <v>38</v>
      </c>
      <c r="D74" t="s">
        <v>39</v>
      </c>
      <c r="E74" t="s">
        <v>168</v>
      </c>
      <c r="F74" t="s">
        <v>169</v>
      </c>
      <c r="G74" t="s">
        <v>49</v>
      </c>
      <c r="H74" t="s">
        <v>40</v>
      </c>
      <c r="I74" t="s">
        <v>7</v>
      </c>
      <c r="J74" t="s">
        <v>17</v>
      </c>
      <c r="K74" t="s">
        <v>42</v>
      </c>
      <c r="L74" t="s">
        <v>18</v>
      </c>
      <c r="M74">
        <v>1</v>
      </c>
    </row>
    <row r="75" spans="1:13" x14ac:dyDescent="0.25">
      <c r="A75" s="2">
        <v>46317</v>
      </c>
      <c r="B75" s="1" t="str">
        <f ca="1">IF(Información1[[#This Row],[Fecha]]='Ajuste de fechas'!$A$2,"Día actual","Día anterior")</f>
        <v>Día actual</v>
      </c>
      <c r="C75" t="s">
        <v>70</v>
      </c>
      <c r="D75" t="s">
        <v>71</v>
      </c>
      <c r="E75" t="s">
        <v>133</v>
      </c>
      <c r="F75" t="s">
        <v>9</v>
      </c>
      <c r="G75" t="s">
        <v>49</v>
      </c>
      <c r="H75" t="s">
        <v>27</v>
      </c>
      <c r="I75" t="s">
        <v>6</v>
      </c>
      <c r="J75" t="s">
        <v>17</v>
      </c>
      <c r="K75" t="s">
        <v>72</v>
      </c>
      <c r="L75" t="s">
        <v>20</v>
      </c>
      <c r="M75">
        <v>1</v>
      </c>
    </row>
    <row r="76" spans="1:13" x14ac:dyDescent="0.25">
      <c r="A76" s="2">
        <v>46317</v>
      </c>
      <c r="B76" s="1" t="str">
        <f ca="1">IF(Información1[[#This Row],[Fecha]]='Ajuste de fechas'!$A$2,"Día actual","Día anterior")</f>
        <v>Día actual</v>
      </c>
      <c r="C76" t="s">
        <v>35</v>
      </c>
      <c r="D76" t="s">
        <v>36</v>
      </c>
      <c r="E76" t="s">
        <v>170</v>
      </c>
      <c r="F76" t="s">
        <v>8</v>
      </c>
      <c r="G76" t="s">
        <v>49</v>
      </c>
      <c r="H76" t="s">
        <v>27</v>
      </c>
      <c r="I76" t="s">
        <v>6</v>
      </c>
      <c r="J76" t="s">
        <v>17</v>
      </c>
      <c r="K76" t="s">
        <v>37</v>
      </c>
      <c r="L76" t="s">
        <v>18</v>
      </c>
      <c r="M76">
        <v>1</v>
      </c>
    </row>
    <row r="77" spans="1:13" x14ac:dyDescent="0.25">
      <c r="A77" s="2">
        <v>46317</v>
      </c>
      <c r="B77" s="1" t="str">
        <f ca="1">IF(Información1[[#This Row],[Fecha]]='Ajuste de fechas'!$A$2,"Día actual","Día anterior")</f>
        <v>Día actual</v>
      </c>
      <c r="C77" t="s">
        <v>35</v>
      </c>
      <c r="D77" t="s">
        <v>36</v>
      </c>
      <c r="E77" t="s">
        <v>171</v>
      </c>
      <c r="F77" t="s">
        <v>172</v>
      </c>
      <c r="G77" t="s">
        <v>49</v>
      </c>
      <c r="H77" t="s">
        <v>27</v>
      </c>
      <c r="I77" t="s">
        <v>6</v>
      </c>
      <c r="J77" t="s">
        <v>17</v>
      </c>
      <c r="K77" t="s">
        <v>37</v>
      </c>
      <c r="L77" t="s">
        <v>18</v>
      </c>
      <c r="M77">
        <v>1</v>
      </c>
    </row>
    <row r="78" spans="1:13" x14ac:dyDescent="0.25">
      <c r="A78" s="2">
        <v>46317</v>
      </c>
      <c r="B78" s="1" t="str">
        <f ca="1">IF(Información1[[#This Row],[Fecha]]='Ajuste de fechas'!$A$2,"Día actual","Día anterior")</f>
        <v>Día actual</v>
      </c>
      <c r="C78" t="s">
        <v>28</v>
      </c>
      <c r="D78" t="s">
        <v>29</v>
      </c>
      <c r="E78" t="s">
        <v>173</v>
      </c>
      <c r="F78" t="s">
        <v>172</v>
      </c>
      <c r="G78" t="s">
        <v>49</v>
      </c>
      <c r="H78" t="s">
        <v>27</v>
      </c>
      <c r="I78" t="s">
        <v>6</v>
      </c>
      <c r="J78" t="s">
        <v>17</v>
      </c>
      <c r="K78" t="s">
        <v>31</v>
      </c>
      <c r="L78" t="s">
        <v>20</v>
      </c>
      <c r="M78">
        <v>1</v>
      </c>
    </row>
    <row r="79" spans="1:13" x14ac:dyDescent="0.25">
      <c r="A79" s="2">
        <v>46317</v>
      </c>
      <c r="B79" s="1" t="str">
        <f ca="1">IF(Información1[[#This Row],[Fecha]]='Ajuste de fechas'!$A$2,"Día actual","Día anterior")</f>
        <v>Día actual</v>
      </c>
      <c r="C79" t="s">
        <v>28</v>
      </c>
      <c r="D79" t="s">
        <v>29</v>
      </c>
      <c r="E79" t="s">
        <v>174</v>
      </c>
      <c r="F79" t="s">
        <v>8</v>
      </c>
      <c r="G79" t="s">
        <v>49</v>
      </c>
      <c r="H79" t="s">
        <v>27</v>
      </c>
      <c r="I79" t="s">
        <v>6</v>
      </c>
      <c r="J79" t="s">
        <v>17</v>
      </c>
      <c r="K79" t="s">
        <v>31</v>
      </c>
      <c r="L79" t="s">
        <v>20</v>
      </c>
      <c r="M79">
        <v>1</v>
      </c>
    </row>
    <row r="80" spans="1:13" x14ac:dyDescent="0.25">
      <c r="A80" s="2">
        <v>46317</v>
      </c>
      <c r="B80" s="1" t="str">
        <f ca="1">IF(Información1[[#This Row],[Fecha]]='Ajuste de fechas'!$A$2,"Día actual","Día anterior")</f>
        <v>Día actual</v>
      </c>
      <c r="C80" t="s">
        <v>28</v>
      </c>
      <c r="D80" t="s">
        <v>29</v>
      </c>
      <c r="E80" t="s">
        <v>175</v>
      </c>
      <c r="F80" t="s">
        <v>56</v>
      </c>
      <c r="G80" t="s">
        <v>176</v>
      </c>
      <c r="H80" t="s">
        <v>27</v>
      </c>
      <c r="I80" t="s">
        <v>6</v>
      </c>
      <c r="J80" t="s">
        <v>57</v>
      </c>
      <c r="K80" t="s">
        <v>30</v>
      </c>
      <c r="L80" t="s">
        <v>24</v>
      </c>
      <c r="M80">
        <v>1</v>
      </c>
    </row>
    <row r="81" spans="1:13" x14ac:dyDescent="0.25">
      <c r="A81" s="2">
        <v>46317</v>
      </c>
      <c r="B81" s="1" t="str">
        <f ca="1">IF(Información1[[#This Row],[Fecha]]='Ajuste de fechas'!$A$2,"Día actual","Día anterior")</f>
        <v>Día actual</v>
      </c>
      <c r="C81" t="s">
        <v>43</v>
      </c>
      <c r="D81" t="s">
        <v>44</v>
      </c>
      <c r="E81" t="s">
        <v>177</v>
      </c>
      <c r="F81" t="s">
        <v>61</v>
      </c>
      <c r="G81" t="s">
        <v>178</v>
      </c>
      <c r="H81" t="s">
        <v>27</v>
      </c>
      <c r="I81" t="s">
        <v>10</v>
      </c>
      <c r="J81" t="s">
        <v>62</v>
      </c>
      <c r="K81" t="s">
        <v>45</v>
      </c>
      <c r="L81" t="s">
        <v>18</v>
      </c>
      <c r="M81">
        <v>1</v>
      </c>
    </row>
    <row r="82" spans="1:13" x14ac:dyDescent="0.25">
      <c r="A82" s="2">
        <v>46317</v>
      </c>
      <c r="B82" s="1" t="str">
        <f ca="1">IF(Información1[[#This Row],[Fecha]]='Ajuste de fechas'!$A$2,"Día actual","Día anterior")</f>
        <v>Día actual</v>
      </c>
      <c r="C82" t="s">
        <v>43</v>
      </c>
      <c r="D82" t="s">
        <v>44</v>
      </c>
      <c r="E82" t="s">
        <v>179</v>
      </c>
      <c r="F82" t="s">
        <v>56</v>
      </c>
      <c r="G82" t="s">
        <v>180</v>
      </c>
      <c r="H82" t="s">
        <v>27</v>
      </c>
      <c r="I82" t="s">
        <v>10</v>
      </c>
      <c r="J82" t="s">
        <v>57</v>
      </c>
      <c r="K82" t="s">
        <v>53</v>
      </c>
      <c r="L82" t="s">
        <v>18</v>
      </c>
      <c r="M82">
        <v>1</v>
      </c>
    </row>
    <row r="83" spans="1:13" x14ac:dyDescent="0.25">
      <c r="A83" s="2">
        <v>46317</v>
      </c>
      <c r="B83" s="1" t="str">
        <f ca="1">IF(Información1[[#This Row],[Fecha]]='Ajuste de fechas'!$A$2,"Día actual","Día anterior")</f>
        <v>Día actual</v>
      </c>
      <c r="C83" t="s">
        <v>28</v>
      </c>
      <c r="D83" t="s">
        <v>29</v>
      </c>
      <c r="E83" t="s">
        <v>181</v>
      </c>
      <c r="F83" t="s">
        <v>51</v>
      </c>
      <c r="G83" t="s">
        <v>182</v>
      </c>
      <c r="H83" t="s">
        <v>27</v>
      </c>
      <c r="I83" t="s">
        <v>7</v>
      </c>
      <c r="J83" t="s">
        <v>17</v>
      </c>
      <c r="K83" t="s">
        <v>31</v>
      </c>
      <c r="L83" t="s">
        <v>18</v>
      </c>
      <c r="M83">
        <v>1</v>
      </c>
    </row>
    <row r="84" spans="1:13" x14ac:dyDescent="0.25">
      <c r="A84" s="2">
        <v>46317</v>
      </c>
      <c r="B84" s="1" t="str">
        <f ca="1">IF(Información1[[#This Row],[Fecha]]='Ajuste de fechas'!$A$2,"Día actual","Día anterior")</f>
        <v>Día actual</v>
      </c>
      <c r="C84" t="s">
        <v>28</v>
      </c>
      <c r="D84" t="s">
        <v>33</v>
      </c>
      <c r="E84" t="s">
        <v>183</v>
      </c>
      <c r="F84" t="s">
        <v>184</v>
      </c>
      <c r="G84" t="s">
        <v>185</v>
      </c>
      <c r="H84" t="s">
        <v>27</v>
      </c>
      <c r="I84" t="s">
        <v>6</v>
      </c>
      <c r="J84" t="s">
        <v>58</v>
      </c>
      <c r="K84" t="s">
        <v>30</v>
      </c>
      <c r="L84" t="s">
        <v>24</v>
      </c>
      <c r="M84">
        <v>1</v>
      </c>
    </row>
    <row r="85" spans="1:13" x14ac:dyDescent="0.25">
      <c r="A85" s="2">
        <v>46317</v>
      </c>
      <c r="B85" s="1" t="str">
        <f ca="1">IF(Información1[[#This Row],[Fecha]]='Ajuste de fechas'!$A$2,"Día actual","Día anterior")</f>
        <v>Día actual</v>
      </c>
      <c r="C85" t="s">
        <v>43</v>
      </c>
      <c r="D85" t="s">
        <v>44</v>
      </c>
      <c r="E85" t="s">
        <v>186</v>
      </c>
      <c r="F85" t="s">
        <v>56</v>
      </c>
      <c r="G85" t="s">
        <v>187</v>
      </c>
      <c r="H85" t="s">
        <v>27</v>
      </c>
      <c r="I85" t="s">
        <v>6</v>
      </c>
      <c r="J85" t="s">
        <v>57</v>
      </c>
      <c r="K85" t="s">
        <v>45</v>
      </c>
      <c r="L85" t="s">
        <v>18</v>
      </c>
      <c r="M85">
        <v>1</v>
      </c>
    </row>
    <row r="86" spans="1:13" x14ac:dyDescent="0.25">
      <c r="A86" s="2">
        <v>46317</v>
      </c>
      <c r="B86" s="1" t="str">
        <f ca="1">IF(Información1[[#This Row],[Fecha]]='Ajuste de fechas'!$A$2,"Día actual","Día anterior")</f>
        <v>Día actual</v>
      </c>
      <c r="C86" t="s">
        <v>35</v>
      </c>
      <c r="D86" t="s">
        <v>36</v>
      </c>
      <c r="E86" t="s">
        <v>188</v>
      </c>
      <c r="F86" t="s">
        <v>61</v>
      </c>
      <c r="G86" t="s">
        <v>189</v>
      </c>
      <c r="H86" t="s">
        <v>27</v>
      </c>
      <c r="I86" t="s">
        <v>6</v>
      </c>
      <c r="J86" t="s">
        <v>62</v>
      </c>
      <c r="K86" t="s">
        <v>37</v>
      </c>
      <c r="L86" t="s">
        <v>18</v>
      </c>
      <c r="M86">
        <v>1</v>
      </c>
    </row>
    <row r="87" spans="1:13" x14ac:dyDescent="0.25">
      <c r="A87" s="2">
        <v>46317</v>
      </c>
      <c r="B87" s="1" t="str">
        <f ca="1">IF(Información1[[#This Row],[Fecha]]='Ajuste de fechas'!$A$2,"Día actual","Día anterior")</f>
        <v>Día actual</v>
      </c>
      <c r="C87" t="s">
        <v>38</v>
      </c>
      <c r="D87" t="s">
        <v>39</v>
      </c>
      <c r="E87" t="s">
        <v>190</v>
      </c>
      <c r="F87" t="s">
        <v>25</v>
      </c>
      <c r="G87" t="s">
        <v>191</v>
      </c>
      <c r="H87" t="s">
        <v>40</v>
      </c>
      <c r="I87" t="s">
        <v>55</v>
      </c>
      <c r="J87" t="s">
        <v>17</v>
      </c>
      <c r="K87" t="s">
        <v>42</v>
      </c>
      <c r="L87" t="s">
        <v>19</v>
      </c>
      <c r="M87">
        <v>1</v>
      </c>
    </row>
    <row r="88" spans="1:13" x14ac:dyDescent="0.25">
      <c r="A88" s="2">
        <v>46317</v>
      </c>
      <c r="B88" s="1" t="str">
        <f ca="1">IF(Información1[[#This Row],[Fecha]]='Ajuste de fechas'!$A$2,"Día actual","Día anterior")</f>
        <v>Día actual</v>
      </c>
      <c r="C88" t="s">
        <v>43</v>
      </c>
      <c r="D88" t="s">
        <v>44</v>
      </c>
      <c r="E88" t="s">
        <v>192</v>
      </c>
      <c r="F88" t="s">
        <v>63</v>
      </c>
      <c r="G88" t="s">
        <v>92</v>
      </c>
      <c r="H88" t="s">
        <v>27</v>
      </c>
      <c r="I88" t="s">
        <v>6</v>
      </c>
      <c r="J88" t="s">
        <v>17</v>
      </c>
      <c r="K88" t="s">
        <v>53</v>
      </c>
      <c r="L88" t="s">
        <v>18</v>
      </c>
      <c r="M88">
        <v>1</v>
      </c>
    </row>
    <row r="89" spans="1:13" x14ac:dyDescent="0.25">
      <c r="A89" s="2">
        <v>46317</v>
      </c>
      <c r="B89" s="1" t="str">
        <f ca="1">IF(Información1[[#This Row],[Fecha]]='Ajuste de fechas'!$A$2,"Día actual","Día anterior")</f>
        <v>Día actual</v>
      </c>
      <c r="C89" t="s">
        <v>38</v>
      </c>
      <c r="D89" t="s">
        <v>39</v>
      </c>
      <c r="E89" t="s">
        <v>193</v>
      </c>
      <c r="F89" t="s">
        <v>63</v>
      </c>
      <c r="G89" t="s">
        <v>92</v>
      </c>
      <c r="H89" t="s">
        <v>40</v>
      </c>
      <c r="I89" t="s">
        <v>6</v>
      </c>
      <c r="J89" t="s">
        <v>17</v>
      </c>
      <c r="K89" t="s">
        <v>42</v>
      </c>
      <c r="L89" t="s">
        <v>20</v>
      </c>
      <c r="M89">
        <v>1</v>
      </c>
    </row>
    <row r="90" spans="1:13" x14ac:dyDescent="0.25">
      <c r="A90" s="2">
        <v>46317</v>
      </c>
      <c r="B90" s="1" t="str">
        <f ca="1">IF(Información1[[#This Row],[Fecha]]='Ajuste de fechas'!$A$2,"Día actual","Día anterior")</f>
        <v>Día actual</v>
      </c>
      <c r="C90" t="s">
        <v>38</v>
      </c>
      <c r="D90" t="s">
        <v>39</v>
      </c>
      <c r="E90" t="s">
        <v>194</v>
      </c>
      <c r="F90" t="s">
        <v>25</v>
      </c>
      <c r="G90" t="s">
        <v>126</v>
      </c>
      <c r="H90" t="s">
        <v>40</v>
      </c>
      <c r="I90" t="s">
        <v>10</v>
      </c>
      <c r="J90" t="s">
        <v>17</v>
      </c>
      <c r="K90" t="s">
        <v>42</v>
      </c>
      <c r="L90" t="s">
        <v>19</v>
      </c>
      <c r="M90">
        <v>1</v>
      </c>
    </row>
    <row r="91" spans="1:13" x14ac:dyDescent="0.25">
      <c r="A91" s="2">
        <v>46317</v>
      </c>
      <c r="B91" s="1" t="str">
        <f ca="1">IF(Información1[[#This Row],[Fecha]]='Ajuste de fechas'!$A$2,"Día actual","Día anterior")</f>
        <v>Día actual</v>
      </c>
      <c r="C91" t="s">
        <v>28</v>
      </c>
      <c r="D91" t="s">
        <v>33</v>
      </c>
      <c r="E91" t="s">
        <v>195</v>
      </c>
      <c r="F91" t="s">
        <v>9</v>
      </c>
      <c r="G91" t="s">
        <v>196</v>
      </c>
      <c r="H91" t="s">
        <v>27</v>
      </c>
      <c r="I91" t="s">
        <v>6</v>
      </c>
      <c r="J91" t="s">
        <v>17</v>
      </c>
      <c r="K91" t="s">
        <v>30</v>
      </c>
      <c r="L91" t="s">
        <v>20</v>
      </c>
      <c r="M91">
        <v>1</v>
      </c>
    </row>
    <row r="92" spans="1:13" x14ac:dyDescent="0.25">
      <c r="A92" s="2">
        <v>46317</v>
      </c>
      <c r="B92" s="1" t="str">
        <f ca="1">IF(Información1[[#This Row],[Fecha]]='Ajuste de fechas'!$A$2,"Día actual","Día anterior")</f>
        <v>Día actual</v>
      </c>
      <c r="C92" t="s">
        <v>43</v>
      </c>
      <c r="D92" t="s">
        <v>44</v>
      </c>
      <c r="E92" t="s">
        <v>197</v>
      </c>
      <c r="F92" t="s">
        <v>26</v>
      </c>
      <c r="G92" t="s">
        <v>130</v>
      </c>
      <c r="H92" t="s">
        <v>27</v>
      </c>
      <c r="I92" t="s">
        <v>6</v>
      </c>
      <c r="J92" t="s">
        <v>17</v>
      </c>
      <c r="K92" t="s">
        <v>53</v>
      </c>
      <c r="L92" t="s">
        <v>18</v>
      </c>
      <c r="M92">
        <v>1</v>
      </c>
    </row>
    <row r="93" spans="1:13" x14ac:dyDescent="0.25">
      <c r="A93" s="2">
        <v>46317</v>
      </c>
      <c r="B93" s="1" t="str">
        <f ca="1">IF(Información1[[#This Row],[Fecha]]='Ajuste de fechas'!$A$2,"Día actual","Día anterior")</f>
        <v>Día actual</v>
      </c>
      <c r="C93" t="s">
        <v>38</v>
      </c>
      <c r="D93" t="s">
        <v>39</v>
      </c>
      <c r="E93" t="s">
        <v>198</v>
      </c>
      <c r="F93" t="s">
        <v>25</v>
      </c>
      <c r="G93" t="s">
        <v>48</v>
      </c>
      <c r="H93" t="s">
        <v>40</v>
      </c>
      <c r="I93" t="s">
        <v>6</v>
      </c>
      <c r="J93" t="s">
        <v>17</v>
      </c>
      <c r="K93" t="s">
        <v>42</v>
      </c>
      <c r="L93" t="s">
        <v>18</v>
      </c>
      <c r="M93">
        <v>1</v>
      </c>
    </row>
    <row r="94" spans="1:13" x14ac:dyDescent="0.25">
      <c r="A94" s="2">
        <v>46317</v>
      </c>
      <c r="B94" s="1" t="str">
        <f ca="1">IF(Información1[[#This Row],[Fecha]]='Ajuste de fechas'!$A$2,"Día actual","Día anterior")</f>
        <v>Día actual</v>
      </c>
      <c r="C94" t="s">
        <v>35</v>
      </c>
      <c r="D94" t="s">
        <v>36</v>
      </c>
      <c r="E94" t="s">
        <v>199</v>
      </c>
      <c r="F94" t="s">
        <v>63</v>
      </c>
      <c r="G94" t="s">
        <v>75</v>
      </c>
      <c r="H94" t="s">
        <v>27</v>
      </c>
      <c r="I94" t="s">
        <v>7</v>
      </c>
      <c r="J94" t="s">
        <v>17</v>
      </c>
      <c r="K94" t="s">
        <v>37</v>
      </c>
      <c r="L94" t="s">
        <v>18</v>
      </c>
      <c r="M94">
        <v>1</v>
      </c>
    </row>
    <row r="95" spans="1:13" x14ac:dyDescent="0.25">
      <c r="A95" s="2">
        <v>46317</v>
      </c>
      <c r="B95" s="1" t="str">
        <f ca="1">IF(Información1[[#This Row],[Fecha]]='Ajuste de fechas'!$A$2,"Día actual","Día anterior")</f>
        <v>Día actual</v>
      </c>
      <c r="C95" t="s">
        <v>43</v>
      </c>
      <c r="D95" t="s">
        <v>44</v>
      </c>
      <c r="E95" t="s">
        <v>200</v>
      </c>
      <c r="F95" t="s">
        <v>61</v>
      </c>
      <c r="G95" t="s">
        <v>201</v>
      </c>
      <c r="H95" t="s">
        <v>27</v>
      </c>
      <c r="I95" t="s">
        <v>6</v>
      </c>
      <c r="J95" t="s">
        <v>62</v>
      </c>
      <c r="K95" t="s">
        <v>53</v>
      </c>
      <c r="L95" t="s">
        <v>18</v>
      </c>
      <c r="M95">
        <v>1</v>
      </c>
    </row>
    <row r="96" spans="1:13" x14ac:dyDescent="0.25">
      <c r="A96" s="2">
        <v>46317</v>
      </c>
      <c r="B96" s="1" t="str">
        <f ca="1">IF(Información1[[#This Row],[Fecha]]='Ajuste de fechas'!$A$2,"Día actual","Día anterior")</f>
        <v>Día actual</v>
      </c>
      <c r="C96" t="s">
        <v>38</v>
      </c>
      <c r="D96" t="s">
        <v>39</v>
      </c>
      <c r="E96" t="s">
        <v>202</v>
      </c>
      <c r="F96" t="s">
        <v>56</v>
      </c>
      <c r="G96" t="s">
        <v>65</v>
      </c>
      <c r="H96" t="s">
        <v>40</v>
      </c>
      <c r="I96" t="s">
        <v>6</v>
      </c>
      <c r="J96" t="s">
        <v>57</v>
      </c>
      <c r="K96" t="s">
        <v>42</v>
      </c>
      <c r="L96" t="s">
        <v>18</v>
      </c>
      <c r="M96">
        <v>1</v>
      </c>
    </row>
    <row r="97" spans="1:13" x14ac:dyDescent="0.25">
      <c r="A97" s="2">
        <v>46317</v>
      </c>
      <c r="B97" s="1" t="str">
        <f ca="1">IF(Información1[[#This Row],[Fecha]]='Ajuste de fechas'!$A$2,"Día actual","Día anterior")</f>
        <v>Día actual</v>
      </c>
      <c r="C97" t="s">
        <v>38</v>
      </c>
      <c r="D97" t="s">
        <v>39</v>
      </c>
      <c r="E97" t="s">
        <v>203</v>
      </c>
      <c r="F97" t="s">
        <v>63</v>
      </c>
      <c r="G97" t="s">
        <v>204</v>
      </c>
      <c r="H97" t="s">
        <v>40</v>
      </c>
      <c r="I97" t="s">
        <v>6</v>
      </c>
      <c r="J97" t="s">
        <v>17</v>
      </c>
      <c r="K97" t="s">
        <v>42</v>
      </c>
      <c r="L97" t="s">
        <v>18</v>
      </c>
      <c r="M97">
        <v>1</v>
      </c>
    </row>
    <row r="98" spans="1:13" x14ac:dyDescent="0.25">
      <c r="A98" s="2">
        <v>46317</v>
      </c>
      <c r="B98" s="1" t="str">
        <f ca="1">IF(Información1[[#This Row],[Fecha]]='Ajuste de fechas'!$A$2,"Día actual","Día anterior")</f>
        <v>Día actual</v>
      </c>
      <c r="C98" t="s">
        <v>35</v>
      </c>
      <c r="D98" t="s">
        <v>36</v>
      </c>
      <c r="E98" t="s">
        <v>205</v>
      </c>
      <c r="F98" t="s">
        <v>63</v>
      </c>
      <c r="G98" t="s">
        <v>206</v>
      </c>
      <c r="H98" t="s">
        <v>27</v>
      </c>
      <c r="I98" t="s">
        <v>7</v>
      </c>
      <c r="J98" t="s">
        <v>17</v>
      </c>
      <c r="K98" t="s">
        <v>37</v>
      </c>
      <c r="L98" t="s">
        <v>18</v>
      </c>
      <c r="M98">
        <v>1</v>
      </c>
    </row>
    <row r="99" spans="1:13" x14ac:dyDescent="0.25">
      <c r="A99" s="2">
        <v>46317</v>
      </c>
      <c r="B99" s="1" t="str">
        <f ca="1">IF(Información1[[#This Row],[Fecha]]='Ajuste de fechas'!$A$2,"Día actual","Día anterior")</f>
        <v>Día actual</v>
      </c>
      <c r="C99" t="s">
        <v>38</v>
      </c>
      <c r="D99" t="s">
        <v>39</v>
      </c>
      <c r="E99" t="s">
        <v>207</v>
      </c>
      <c r="F99" t="s">
        <v>26</v>
      </c>
      <c r="G99" t="s">
        <v>52</v>
      </c>
      <c r="H99" t="s">
        <v>40</v>
      </c>
      <c r="I99" t="s">
        <v>6</v>
      </c>
      <c r="J99" t="s">
        <v>17</v>
      </c>
      <c r="K99" t="s">
        <v>42</v>
      </c>
      <c r="L99" t="s">
        <v>18</v>
      </c>
      <c r="M99">
        <v>1</v>
      </c>
    </row>
    <row r="100" spans="1:13" x14ac:dyDescent="0.25">
      <c r="A100" s="2">
        <v>46317</v>
      </c>
      <c r="B100" s="1" t="str">
        <f ca="1">IF(Información1[[#This Row],[Fecha]]='Ajuste de fechas'!$A$2,"Día actual","Día anterior")</f>
        <v>Día actual</v>
      </c>
      <c r="C100" t="s">
        <v>43</v>
      </c>
      <c r="D100" t="s">
        <v>44</v>
      </c>
      <c r="E100" t="s">
        <v>208</v>
      </c>
      <c r="F100" t="s">
        <v>56</v>
      </c>
      <c r="G100" t="s">
        <v>209</v>
      </c>
      <c r="H100" t="s">
        <v>27</v>
      </c>
      <c r="I100" t="s">
        <v>10</v>
      </c>
      <c r="J100" t="s">
        <v>57</v>
      </c>
      <c r="K100" t="s">
        <v>34</v>
      </c>
      <c r="L100" t="s">
        <v>19</v>
      </c>
      <c r="M100">
        <v>1</v>
      </c>
    </row>
    <row r="101" spans="1:13" x14ac:dyDescent="0.25">
      <c r="A101" s="2">
        <v>46317</v>
      </c>
      <c r="B101" s="1" t="str">
        <f ca="1">IF(Información1[[#This Row],[Fecha]]='Ajuste de fechas'!$A$2,"Día actual","Día anterior")</f>
        <v>Día actual</v>
      </c>
      <c r="C101" t="s">
        <v>28</v>
      </c>
      <c r="D101" t="s">
        <v>29</v>
      </c>
      <c r="E101" t="s">
        <v>210</v>
      </c>
      <c r="F101" t="s">
        <v>144</v>
      </c>
      <c r="G101" t="s">
        <v>211</v>
      </c>
      <c r="H101" t="s">
        <v>27</v>
      </c>
      <c r="I101" t="s">
        <v>6</v>
      </c>
      <c r="J101" t="s">
        <v>17</v>
      </c>
      <c r="K101" t="s">
        <v>31</v>
      </c>
      <c r="L101" t="s">
        <v>20</v>
      </c>
      <c r="M101">
        <v>1</v>
      </c>
    </row>
    <row r="102" spans="1:13" x14ac:dyDescent="0.25">
      <c r="A102" s="2">
        <v>46317</v>
      </c>
      <c r="B102" s="1" t="str">
        <f ca="1">IF(Información1[[#This Row],[Fecha]]='Ajuste de fechas'!$A$2,"Día actual","Día anterior")</f>
        <v>Día actual</v>
      </c>
      <c r="C102" t="s">
        <v>28</v>
      </c>
      <c r="D102" t="s">
        <v>29</v>
      </c>
      <c r="E102" t="s">
        <v>212</v>
      </c>
      <c r="F102" t="s">
        <v>63</v>
      </c>
      <c r="G102" t="s">
        <v>213</v>
      </c>
      <c r="H102" t="s">
        <v>27</v>
      </c>
      <c r="I102" t="s">
        <v>7</v>
      </c>
      <c r="J102" t="s">
        <v>17</v>
      </c>
      <c r="K102" t="s">
        <v>31</v>
      </c>
      <c r="L102" t="s">
        <v>19</v>
      </c>
      <c r="M102">
        <v>1</v>
      </c>
    </row>
    <row r="103" spans="1:13" x14ac:dyDescent="0.25">
      <c r="A103" s="2">
        <v>46317</v>
      </c>
      <c r="B103" s="1" t="str">
        <f ca="1">IF(Información1[[#This Row],[Fecha]]='Ajuste de fechas'!$A$2,"Día actual","Día anterior")</f>
        <v>Día actual</v>
      </c>
      <c r="C103" t="s">
        <v>28</v>
      </c>
      <c r="D103" t="s">
        <v>29</v>
      </c>
      <c r="E103" t="s">
        <v>214</v>
      </c>
      <c r="F103" t="s">
        <v>63</v>
      </c>
      <c r="G103" t="s">
        <v>204</v>
      </c>
      <c r="H103" t="s">
        <v>27</v>
      </c>
      <c r="I103" t="s">
        <v>6</v>
      </c>
      <c r="J103" t="s">
        <v>17</v>
      </c>
      <c r="K103" t="s">
        <v>31</v>
      </c>
      <c r="L103" t="s">
        <v>20</v>
      </c>
      <c r="M103">
        <v>1</v>
      </c>
    </row>
    <row r="104" spans="1:13" x14ac:dyDescent="0.25">
      <c r="A104" s="2">
        <v>46317</v>
      </c>
      <c r="B104" s="1" t="str">
        <f ca="1">IF(Información1[[#This Row],[Fecha]]='Ajuste de fechas'!$A$2,"Día actual","Día anterior")</f>
        <v>Día actual</v>
      </c>
      <c r="C104" t="s">
        <v>28</v>
      </c>
      <c r="D104" t="s">
        <v>29</v>
      </c>
      <c r="E104" t="s">
        <v>193</v>
      </c>
      <c r="F104" t="s">
        <v>63</v>
      </c>
      <c r="G104" t="s">
        <v>92</v>
      </c>
      <c r="H104" t="s">
        <v>27</v>
      </c>
      <c r="I104" t="s">
        <v>6</v>
      </c>
      <c r="J104" t="s">
        <v>17</v>
      </c>
      <c r="K104" t="s">
        <v>31</v>
      </c>
      <c r="L104" t="s">
        <v>18</v>
      </c>
      <c r="M104">
        <v>1</v>
      </c>
    </row>
    <row r="105" spans="1:13" x14ac:dyDescent="0.25">
      <c r="A105" s="2">
        <v>46317</v>
      </c>
      <c r="B105" s="1" t="str">
        <f ca="1">IF(Información1[[#This Row],[Fecha]]='Ajuste de fechas'!$A$2,"Día actual","Día anterior")</f>
        <v>Día actual</v>
      </c>
      <c r="C105" t="s">
        <v>28</v>
      </c>
      <c r="D105" t="s">
        <v>29</v>
      </c>
      <c r="E105" t="s">
        <v>215</v>
      </c>
      <c r="F105" t="s">
        <v>61</v>
      </c>
      <c r="G105" t="s">
        <v>92</v>
      </c>
      <c r="H105" t="s">
        <v>27</v>
      </c>
      <c r="I105" t="s">
        <v>6</v>
      </c>
      <c r="J105" t="s">
        <v>62</v>
      </c>
      <c r="K105" t="s">
        <v>30</v>
      </c>
      <c r="L105" t="s">
        <v>18</v>
      </c>
      <c r="M10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22</v>
      </c>
      <c r="B1" t="s">
        <v>23</v>
      </c>
    </row>
    <row r="2" spans="1:2" x14ac:dyDescent="0.25">
      <c r="A2" s="2">
        <f ca="1">TODAY()</f>
        <v>46317</v>
      </c>
      <c r="B2" s="2">
        <f ca="1">A2-1</f>
        <v>46316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2026-10-22T23:28:18Z</dcterms:modified>
</cp:coreProperties>
</file>