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vivie\ReporteRadio\"/>
    </mc:Choice>
  </mc:AlternateContent>
  <xr:revisionPtr revIDLastSave="0" documentId="13_ncr:1_{80E0B949-3BBC-4F5B-B21E-C4E72FEA7574}"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Radio!$A$1:$M$177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89" i="2"/>
  <c r="B131" i="2"/>
  <c r="B134" i="2"/>
  <c r="B137" i="2"/>
  <c r="B140" i="2"/>
  <c r="B143" i="2"/>
  <c r="B146" i="2"/>
  <c r="B148" i="2"/>
  <c r="B151" i="2"/>
  <c r="B154" i="2"/>
  <c r="B157" i="2"/>
  <c r="B160" i="2"/>
  <c r="B163" i="2"/>
  <c r="B165" i="2"/>
  <c r="B168" i="2"/>
  <c r="B171" i="2"/>
  <c r="B174" i="2"/>
  <c r="B177"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130" i="2"/>
  <c r="B132" i="2"/>
  <c r="B136" i="2"/>
  <c r="B138" i="2"/>
  <c r="B141" i="2"/>
  <c r="B144" i="2"/>
  <c r="B147" i="2"/>
  <c r="B150" i="2"/>
  <c r="B153" i="2"/>
  <c r="B156" i="2"/>
  <c r="B159" i="2"/>
  <c r="B162" i="2"/>
  <c r="B166" i="2"/>
  <c r="B169" i="2"/>
  <c r="B172" i="2"/>
  <c r="B175"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3" i="2"/>
  <c r="B135" i="2"/>
  <c r="B139" i="2"/>
  <c r="B142" i="2"/>
  <c r="B145" i="2"/>
  <c r="B149" i="2"/>
  <c r="B152" i="2"/>
  <c r="B155" i="2"/>
  <c r="B158" i="2"/>
  <c r="B161" i="2"/>
  <c r="B164" i="2"/>
  <c r="B167" i="2"/>
  <c r="B170" i="2"/>
  <c r="B173" i="2"/>
  <c r="B176"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<sst xmlns="http://schemas.openxmlformats.org/spreadsheetml/2006/main" count="1768" uniqueCount="315">
  <si>
    <t>Fecha</t>
  </si>
  <si>
    <t>Titular</t>
  </si>
  <si>
    <t>Dependencia</t>
  </si>
  <si>
    <t>Canal</t>
  </si>
  <si>
    <t>Tema</t>
  </si>
  <si>
    <t>Estatus</t>
  </si>
  <si>
    <t>Sipdus</t>
  </si>
  <si>
    <t>Informativa</t>
  </si>
  <si>
    <t>Acir 92.5 FM</t>
  </si>
  <si>
    <t>Radioescucha</t>
  </si>
  <si>
    <t>Panorama Informativo Pachuca</t>
  </si>
  <si>
    <t>Radio local</t>
  </si>
  <si>
    <t>Positiva</t>
  </si>
  <si>
    <t>Eulalio Larrieta agradece a Jair Martínez de la SEGOBH, porque esta al pendiente de lo que se necesite y los reportes.</t>
  </si>
  <si>
    <t>Eulalio Larrieta</t>
  </si>
  <si>
    <t>Segobh</t>
  </si>
  <si>
    <t>Eulalio Larrieta agradece a Cristian Yahir Castañeda supervisor de la región Pachuca quien nos va atender los reportes que correspondan a la SEMOT</t>
  </si>
  <si>
    <t>Semot</t>
  </si>
  <si>
    <t>Eulalio Larrieta informa que Jorge Hernández del ayuntamiento de Pachuca, esta al pendiente de todos los reportes de la ciudadania del Municipio de Pachuca</t>
  </si>
  <si>
    <t>Ayuntamiento</t>
  </si>
  <si>
    <t>Eulalio Larrieta agradece Hans Islas del ayuntamiento de Mineral de la Reforma , por su apoyo en pasar los reportes.</t>
  </si>
  <si>
    <t>SEPH</t>
  </si>
  <si>
    <t>Presidencia</t>
  </si>
  <si>
    <t>SSPH</t>
  </si>
  <si>
    <t>Otros</t>
  </si>
  <si>
    <t>Negativa</t>
  </si>
  <si>
    <t>Gobernador</t>
  </si>
  <si>
    <t>Andrés Torres</t>
  </si>
  <si>
    <t>Súper Stéreo 100.5 FM</t>
  </si>
  <si>
    <t>Rodolfo López</t>
  </si>
  <si>
    <t>Enfoque Regional Meridiano</t>
  </si>
  <si>
    <t>Enfoque Regional Matutino</t>
  </si>
  <si>
    <t>Canal del Pueblo</t>
  </si>
  <si>
    <t>Vocales Radio</t>
  </si>
  <si>
    <t>Planeación</t>
  </si>
  <si>
    <t>Atención Ciudadana</t>
  </si>
  <si>
    <t>Jesús González</t>
  </si>
  <si>
    <t>Día</t>
  </si>
  <si>
    <t>Radiodifusora</t>
  </si>
  <si>
    <t>Programa</t>
  </si>
  <si>
    <t>Clasificación</t>
  </si>
  <si>
    <t>Autor</t>
  </si>
  <si>
    <t>Género</t>
  </si>
  <si>
    <t>Gobierno del estado</t>
  </si>
  <si>
    <t>Noticia</t>
  </si>
  <si>
    <t>Opinión</t>
  </si>
  <si>
    <t>Boletín</t>
  </si>
  <si>
    <t>Alcaldías</t>
  </si>
  <si>
    <t>Presidencia de la República</t>
  </si>
  <si>
    <t>Recuento</t>
  </si>
  <si>
    <t>Día actual</t>
  </si>
  <si>
    <t>Día anterior</t>
  </si>
  <si>
    <t>Abasto De Agua</t>
  </si>
  <si>
    <t>PGJEH</t>
  </si>
  <si>
    <t>Juan Carlos Santamaria</t>
  </si>
  <si>
    <t>NQ 90.1 FM</t>
  </si>
  <si>
    <t>Jesús Riveros</t>
  </si>
  <si>
    <t>Ke Buena 106.7 FM</t>
  </si>
  <si>
    <t>Noticias 106.7</t>
  </si>
  <si>
    <t>David Cárdenas</t>
  </si>
  <si>
    <t>Enlace Hidalgo1</t>
  </si>
  <si>
    <t>Mundial De Futbol</t>
  </si>
  <si>
    <t>Ruta de la Transformación</t>
  </si>
  <si>
    <t>Queja transporte público</t>
  </si>
  <si>
    <t>Eulalio Larrieta agradece a Edith Balderas de la Secretaria de Educación Pública.</t>
  </si>
  <si>
    <t>Eulalio Larrieta agradece Paola García y Lic. Sarahi Pineda, por estar atentas a los mensajes de la ciudadanía y por atenderlos.</t>
  </si>
  <si>
    <t>Turismo</t>
  </si>
  <si>
    <t>Congreso</t>
  </si>
  <si>
    <t>Tauromaquia</t>
  </si>
  <si>
    <t>Combate Al Narcomenudeo</t>
  </si>
  <si>
    <t>SSH</t>
  </si>
  <si>
    <t>Radio Lobo 96.7 FM</t>
  </si>
  <si>
    <t>Enlace Noticias</t>
  </si>
  <si>
    <t>Gina Lorenzo</t>
  </si>
  <si>
    <t>Fuga De Agua</t>
  </si>
  <si>
    <t>Vialidad En Mal Estado</t>
  </si>
  <si>
    <t>Entrevista</t>
  </si>
  <si>
    <t>Ataque Armado</t>
  </si>
  <si>
    <t>Enlace Hidalgo2</t>
  </si>
  <si>
    <t>Saderh</t>
  </si>
  <si>
    <t>Día del maestro</t>
  </si>
  <si>
    <t>Eulalio Larrieta agradece a Carlos Gamiño por estar al pendiente de temas</t>
  </si>
  <si>
    <t>Inatención</t>
  </si>
  <si>
    <t>Zanjas Caasim</t>
  </si>
  <si>
    <t>La Poderosa Tuxpan 93.1 FM</t>
  </si>
  <si>
    <t>Combate a la delincuencia</t>
  </si>
  <si>
    <t>Iniciativa</t>
  </si>
  <si>
    <t>Gusano barrenador</t>
  </si>
  <si>
    <t>Irving Sánchez</t>
  </si>
  <si>
    <t>Queja padres de familia</t>
  </si>
  <si>
    <t>Aprehensión</t>
  </si>
  <si>
    <t>Atención médica</t>
  </si>
  <si>
    <t>Auxilio a la ciudadanía</t>
  </si>
  <si>
    <t>TV local</t>
  </si>
  <si>
    <t>Accidente Vial</t>
  </si>
  <si>
    <t>Modernización Tuzobús</t>
  </si>
  <si>
    <t>Fortalecimiento educativo</t>
  </si>
  <si>
    <t>Radiodifusoras</t>
  </si>
  <si>
    <t>Declaración patrimonial</t>
  </si>
  <si>
    <t>"NN Nuestras Noticias ""El Resumen"""</t>
  </si>
  <si>
    <t>Tomás Sosa</t>
  </si>
  <si>
    <t>DIFH</t>
  </si>
  <si>
    <t>Detención de policía</t>
  </si>
  <si>
    <t>Plan Nacional De Vivienda</t>
  </si>
  <si>
    <t>Contraloría Social</t>
  </si>
  <si>
    <t>Exigen rehabilitación vial</t>
  </si>
  <si>
    <t>Ultra 102.9 FM</t>
  </si>
  <si>
    <t>Ultra Noticias1</t>
  </si>
  <si>
    <t>Daniel Martínez</t>
  </si>
  <si>
    <t>Vía telefónica el reporte de Bombero y Protección Civil con Abner Yáñez informa de las diversas emergencias reportadas por la ciudadanía y que fueron atendidas.</t>
  </si>
  <si>
    <t>En Ixmiquilpan circula un video en el que se ve a unas personas que cargaban gasolina sobre el bulevar principal y en donde se ve a plena luz del día, como varias personas a bordo de una camioneta blanca van armados y la gente optó por esconderse o ponerse salvo. En este lugar la violencia y la delincuencia se han desatado.</t>
  </si>
  <si>
    <t>Inseguridad</t>
  </si>
  <si>
    <t>La madrugada de este viernes, cuatro personas resultaron lesionadas en un incidente vial que se presentó en Ixmiquilpan. De acuerdo con la Policía municipal, el percance se presentó en la comunidad Lázaro Cárdenas, donde una camioneta impactó contra una barda.</t>
  </si>
  <si>
    <t>El DIFH a las 11 de la mañana tendrá un evento con las procuradurías de la defensa del menor.</t>
  </si>
  <si>
    <t>Protección del menor</t>
  </si>
  <si>
    <t>El Instituto Estatal Electoral de Hidalgo (IEEH) informó sobre la aplicación de sanciones económicas cercanas a los 10 millones de pesos contra tres partidos políticos, derivadas de observaciones realizadas durante procesos de fiscalización relacionados con el manejo de recursos públicos. El consejero del IEEH Alfredo Alcalá Montaño detalló que las multas fueron determinadas tras detectarse inconsistencias en la comprobación de gastos, deficiencias administrativas y anomalías financieras señaladas por la autoridad electoral federal. © 2025 Imagen - Excélsior. Todos los derechos reservados. El contenido de este sitio y de la edición impresa está protegido por la Ley Federal del Derecho de Autor. Prohibida la reproducción total o parcial sin autorización previa y por escrito. El material de terceros conserva sus propios derechos.</t>
  </si>
  <si>
    <t>IEEH</t>
  </si>
  <si>
    <t>Multas Partidos</t>
  </si>
  <si>
    <t>Recuperan tractocamión robado: transportaba maquinaria pesada</t>
  </si>
  <si>
    <t>Dos personas lesionadas es el saldo de un accidente vehicular registrado sobre la carretera México–Pachuca, luego de que una camioneta Renault terminara volcada a la altura del kilómetro 66, en la zona del municipio de Tolcayuca, casi en el cruce con el Arco Norte. Elementos de la Guardia Nacional les dieron atención.</t>
  </si>
  <si>
    <t>En Tizayuca fue detenido un hombre que era buscado por autoridades de Oaxaca</t>
  </si>
  <si>
    <t>Como parte de la atención a las afectaciones ocasionadas por las lluvias registradas la tarde de ayer, cuadrillas operativas de la Secretaría de Obras Públicas de Pachuca, realizaron acciones de limpieza y retiro de material en distintos puntos de la capital para restablecer condiciones adecuadas de movilidad. En el bulevar Minero, en el tramo que va del Panteón Municipal al Centro de Reinserción Social, se efectuó limpieza manual y retiro de lodo con apoyo de retroexcavadora y camión de volteo, extrayendo alrededor de siete metros cúbicos de material. En la lateral del bulevar Santa Catarina, a la altura del fraccionamiento Parque Esmeralda, se retiraron cerca de 10 metros cúbicos mediante maniobras con maquinaria pesada.</t>
  </si>
  <si>
    <t>Atención Afectaciones Por Lluvias</t>
  </si>
  <si>
    <t>El Ayuntamiento de Pachuca abrió a la circulación la primera etapa rehabilitada de la calle Miguel Ramos Arizpe, una vía estratégica del Centro Histórico que permitirá mejorar la movilidad y conectividad en la zona. Con esta intervención, automovilistas y peatones ya pueden transitar por una calle con mejores condiciones de seguridad y circulación. El alcalde Jorge Reyes señaló que estas acciones forman parte de la estrategia de recuperación urbana y del mejoramiento de la infraestructura de la capital hidalguense.</t>
  </si>
  <si>
    <t>Tren México-Querétaro impulsará movilidad y nuevas inversiones en la región Tula</t>
  </si>
  <si>
    <t>Tren México Querétaro</t>
  </si>
  <si>
    <t>Promueve DIF Hidalgo salud mental y física a través del conversatorio “Más Allá de un Gol”</t>
  </si>
  <si>
    <t>Andrés Torres comenta que le mandaron un mensaje con todo y fotografías en donde le mencionan que la semana pasada hubo un festejo en las instalaciones de UECS. da lectura al mensaje que le mandan: Hubo de todo, muchachos bailando a las secretarias, ministerios públicos, mujeres guapas que cobraron, así como wiski y tequila a más no poder, hasta disparos de arma de fuego al aire. Todo dentro de las instalaciones de la Unidad Especializada de Combate al Secuestro, por supuesto organizado por el flamante director el Maestro Manuel García guzmán, quien junto con todos los servidores públicos, agentes de investigación y peritos hicieron uso de manera incorrecta de las instalaciones de la UECS, pues se divierten como enanos en Disneylandia. Estas fiestas se organizan periódicamente, por lo menos una vez al mes. A ver qué dice el encargado del Despacho de la procuraduría General de Justicia del Estado, el señor Francisco Fernández Hasbun. Como se sabe la Ley General y el Sistema General de Seguridad Pública establece este tipo de cuestiones como faltas graves y pueden ser sancionados con la separación del cargo. El ingerir bebidas embriagantes dentro del horario laboral y dentro de las instalaciones de la institución, así como también sanciones administrativas, es decir inhabilitaciones por utilizar las instalaciones como centro de festejos de manera recurrente. Andrés, señala que le mandaron 5 fotografías y un video, que ha sido distribuido a varios medios y que ya le envió a Iram González.</t>
  </si>
  <si>
    <t>Andrés Torres reitera que la estación del 1010 AM de la huasteca El Vocero Huasteco sigue fuera del aire y se acumulan las semanas y ojalá les ayuden a resolver este asunto, porque al área administrativa le ha sido imposible. Hay gasolina para todo menos para lo que se necesita, menos para lo importante, pero para fiestas todos los días para eso sí hay recursos.</t>
  </si>
  <si>
    <t>SEPH y CCEH impulsan liderazgo juvenil con “Presidente por un Día”</t>
  </si>
  <si>
    <t>Menchaca supervisa en Tetepango obras que fortalecen la conectividad regional</t>
  </si>
  <si>
    <t>En Ajacuba, Menchaca Salazar subraya resultados de la transformación con obra y bienestar social</t>
  </si>
  <si>
    <t>Este jueves se registró un incendio al interior de la empresa Hidrocarburos de Hidalgo, luego de que un tanque de asfalto explotó y generó el siniestro. La empresa, ubicada sobre la carretera local Conejos-Atotonilco, en la localidad de Progreso, municipio de Atotonilco de Tula, notificó lo sucedido a las autoridades, a través del número de emergencias. Al sitio acudieron elementos de Protección Civil de Atotonilco de Tula, quienes trabajaron de manera coordinada para sofocar las llamas y controlar la situación, evitando mayores afectaciones dentro de las instalaciones. Luego de varios minutos de labores, las autoridades lograron contener el incendio; sin embargo, hasta el momento no se ha informado de manera oficial si existen personas lesionadas derivado de este incidente.</t>
  </si>
  <si>
    <t>Conato de incendio</t>
  </si>
  <si>
    <t>La Procuraduría General de Justicia del Estado de Hidalgo (PGJEH) mantiene bajo medidas de protección a un testigo relacionado con el caso de los nueve policías municipales de Progreso de Obregón procesados por homicidio doloso calificado y lesiones, mientras que el exdirector de Seguridad Pública del municipio continúa prófugo. El encargado del despacho de la PGJEH, Francisco Fernández Hasbun, informó que el exmando policial es investigado por su probable relación con los hechos ocurridos el pasado 13 de mayo y aseguró que ya es buscado por las autoridades. “Hay una persona prófuga relacionada con los hechos; la estamos buscando y pronto va a caer”, declaró el funcionario estatal. Fernández Hasbun explicó que recientemente falleció el cuñado de la víctima sobreviviente y no él, cómo se manejó en algunas versiones. Asimismo, indicó que, por ahora, no se ha solicitado ficha roja de Interpol ni alerta migratoria para localizar al exdirector fuera del país, aunque señaló que las autoridades continúan con el proceso para lograr su captura.</t>
  </si>
  <si>
    <t>Tras la aprobación del decreto global para financiamiento a los municipios afectados por la vaguada monzónica, hasta la fecha Tepehuacán de Guerrero y La Misión solicitaron adherirse para pedir crédito, informó Salvador Tallabs Rubio, gerente ejecutivo de Banobras en Hidalgo. El también representante legal del Banco Nacional de Obras y Servicios Públicos (Banobras) indicó que de los 26 municipios que contempla el decreto aprobado por el Congreso de Hidalgo la primera quincena de mayo, dos ya se acercaron a la institución. Detalló que los municipios restantes que quieran solicitar financiamiento, tienen a más tardar mes y medio para hacer el trámite, ya que Banobras debe firmar el contrato, para registrar la deuda a través de la Secretaría de Hacienda estatal, y posteriormente hacer el desembolso.</t>
  </si>
  <si>
    <t>Financiamiento</t>
  </si>
  <si>
    <t>El gobernador de Hidalgo, Julio Menchaca Salazar, instruyó a la Secretaría de Movilidad y Transporte a revisar las concesiones del transporte público convencional para verificar que todas las unidades cuenten con pólizas de seguro actualizadas. La medida surge tras el accidente registrado el pasado 20 de mayo en el bulevar Minero, donde una unidad de la ruta Tilcuautla–Plaza Juárez volcó y dejó varias personas lesionadas. Posteriormente, familiares de las víctimas denunciaron presuntas irregularidades y deficiencias en la atención médica brindada. Ante esta situación, el mandatario estatal informó que las personas afectadas fueron atendidas en instituciones públicas de salud, aunque señaló que ordenó a la Secretaría de Salud mantener seguimiento puntual a cada caso. Menchaca Salazar indicó que la titular de la dependencia, Vanesa Escalante Arroyo, deberá supervisar personalmente que los lesionados reciban la atención necesaria y el acompañamiento correspondiente. En materia de transporte, el gobernador advirtió que las autoridades deberán aplicar el reglamento vigente y sancionar a quienes incumplan con los requisitos establecidos para operar.</t>
  </si>
  <si>
    <t>Concesión transporte público</t>
  </si>
  <si>
    <t>En cabina el científico David Gale, representante del Instituto Nacional de Astrofísica, Óptica y Electrónica (INAOE) y la Antropóloga Ann Johnson hablaron del proyecto para convertir una de las antenas de la Estación Terrena en un radiotelescopio, el cual registra un avance cercano al 80%. El desarrollo, impulsado en un sitio actualmente administrado por la Agencia de Transformación Digital y Telecomunicaciones del gobierno federal, contempla además la creación de un observatorio astronómico integral, lo que permitirá no solo la captación de señales en ondas de radio, sino también la administración, generación y divulgación del conocimiento científico derivado de las investigaciones.</t>
  </si>
  <si>
    <t>Estación Terrena</t>
  </si>
  <si>
    <t>Los diputados José María Alejandro Pérez Ramírez y Jorge Arguelles Salazar, integrantes del Grupo Legislativo de Nueva Alianza Hidalgo, plantearon reformas al artículo 96 Bis de la Ley de Educación del Estado de Hidalgo para incluir expresamente la violencia cibernética como una forma de agresión hacia maestras, maestros y personal educativo. De acuerdo con la iniciativa, la violencia digital contra docentes se manifiesta mediante insultos, amenazas, difamación, campañas de odio, creación de perfiles falsos, grabaciones sin consentimiento, difusión de memes y manipulación de imágenes, acciones que pueden ocurrir dentro o fuera de las escuelas pero siempre vinculadas con el ejercicio profesional docente. Los legisladores argumentan que este tipo de agresiones ha provocado afectaciones psicológicas y emocionales en el personal educativo, generando estrés, ansiedad, depresión, ausentismo laboral e incluso renuncias. El documento advierte además que algunos casos han derivado en pensamientos suicidas entre víctimas de hostigamiento digital.</t>
  </si>
  <si>
    <t>Daniel Martínez sobre la consulta ciudadana sobre la Tauromaquia comenta: cuando te hagas bolas en tu trabajo legislativo, no hay bronca. Sácate de la manga una consulta ciudadana, no ha problema y ya después pospones las discusiones hasta que "forever and ever". y se lo can a dejar los de la próxima legislatura.</t>
  </si>
  <si>
    <t>El Congreso de Hidalgo pausó temporalmente la discusión relacionada con las iniciativas sobre corridas de toros, luego de que la Comisión de Legislación y Puntos Constitucionales solicitara detener el plazo de dictaminación mientras se define la viabilidad de una consulta ciudadana sobre el tema. La decisión fue dada a conocer durante la sesión ordinaria de este miércoles, cuando la directiva del mes de mayo informó sobre la petición presentada por la diputada Lizbeth Iraís Ordaz Islas, presidenta de dicha comisión, quien argumentó que el procedimiento debe esperar hasta que exista una resolución sobre la consulta actualmente revisada por el Tribunal Superior de Justicia del Estado de Hidalgo (TSJH). La suspensión impacta directamente en la iniciativa 186 impulsada por el diputado Avelino Tovar Iglesias, cuyo plazo de excitativa vencía este 28 de mayo. No obstante, las autoridades legislativas señalaron que el proceso permanecerá detenido hasta contar con condiciones legales para continuar el análisis. Ordaz Islas explicó que el Congreso busca garantizar que la ciudadanía pueda participar antes de emitir una resolución definitiva, ya que existen dos propuestas legislativas relacionadas con las corridas de toros, incluida otra presentada por el diputado Marco Mendoza.</t>
  </si>
  <si>
    <t>Luego de que enlaces vecinales en Tulancingo advirtieran que han recibido mensajes junto con enlaces para supuestos trámites y cobros por parte de la Comisión de Agua y Alcantarillado del Municipio de Tulancingo de Bravo (Caamt), el organismo operador advirtió que no son reales. Por medio de un comunicado oficial, se señala que la Caamt no cuenta con gestores externos ni personas autorizadas para realizar trámites, cobros o solicitar información personal a nombre de la institución fuera de los canales oficiales. El comunicado no cita si existen casos donde las personas contactadas hayan sido engañadas al pagar alguna cantidad de dinero u otorgado sus datos personales a los supuestos “gestores”. Se insistió que el organismo operador municipal no ofrece apoyos, descuentos, convenios o supuestos beneficios relacionados con el organismo por medio de terceras personas. La dependencia hace un llamado a la población para no proporcionar información personal, documentos oficiales, números de cuenta o datos sensibles a terceros, ya que esto podría poner en riesgo su seguridad y la protección de sus datos personales.</t>
  </si>
  <si>
    <t>Alerta De Fraude</t>
  </si>
  <si>
    <t>Fabián Daniel García Vera, subdirector de Mercados y Centros de Abasto de Tulancingo, informó en entrevista para Ultra Noticias Hidalgo que el municipio mantiene acciones permanentes para regular el comercio ambulante y recuperar espacios públicos en distintos puntos de la ciudad. El funcionario explicó que de manera permanente se realizan recorridos para liberar banquetas y vialidades, además de supervisar que no se obstruya el paso peatonal ni la circulación vehicular. Señaló que estas medidas buscan generar orden sin afectar la economía de las familias que dependen del comercio informal. También indicó que personal de la dependencia trabaja de manera coordinada con Protección Civil para emitir recomendaciones de seguridad, principalmente en tianguis y plazas, debido al manejo de tanques de gas y otros riesgos que podrían representar un peligro para comerciantes y ciudadanos. García Vera comentó que algunas de las zonas con mayor presencia de ambulantaje son la calle 21 de Marzo y la calle Libertad, puntos donde existe una importante concentración de peatones y transporte público, por lo que actualmente se mantiene vigilancia constante.</t>
  </si>
  <si>
    <t>Ambulantaje</t>
  </si>
  <si>
    <t>El registro de predios urbanos es el que tiene el aumento más significativo dentro del padrón catastral de Tulancingo, informó el gobierno municipal por medio de un comunicado oficial. La directora del Departamento de Catastro local, Ana María Guzmán López, informó que de septiembre del año 2024, cuando inició el actual periodo de gobierno municipal a la fecha, se registran dos mil 303 nuevas cuentas. Al inicio del actual periodo de gobierno municipal en Tulancingo el registro de cuentas catastrales era de 72 mil 950, y actualmente son 75 mil 253. La funcionaria municipal señaló que la cantidad de nuevos predios y el dato de que la mayoría de estos sean de tipo urbano, establece “una expansión ordenada de la ciudad”. Previamente, el titular de la Secretaría municipal de Desarrollo Urbano, Obras Públicas y Medio Ambiente, Armando Pérez Alcibar, señaló que se están revisando las zonas de desarrollo en Tulancingo. Lo anterior debido a que existen espacios, por ejemplo, que ya están densamente pobladas incluso desde hace varios años, pero que aún son consideradas como “zonas agrícolas tecnificadas”. Otros espacios están considerados como parques hídricos, así como reservas naturales o ecológicas, por lo que en dichas zonas no deberían darse permisos para construcción de vivienda o edificios. En otros casos, como las localidades de La Lagunilla y Santa Ana Hueytlalpan están consideradas como zonas para asentamientos humanos condicionados, donde debe existir desarrollo de viviendas y demás infraestructura, pero con respeto a las zonas naturales así como las agrícolas.</t>
  </si>
  <si>
    <t>Desarrollo Urbano</t>
  </si>
  <si>
    <t>En caso de presentarse lluvias extraordinarias, podría registrarse el desbordamiento de aguas en la Presa La Esperanza, que se encuentra en los límites territoriales de los municipios de Cuautepec y Tulancingo. La advertencia fue realizada por usuarios del Módulo 1 “Aguas Blancas” del Distrito de Riego Tulancingo, señalando que la excesiva acumulación de lirio en el vaso hidráulico provocaría taponamientos en las zonas de desfogue. Estos taponamientos a su vez provocarían eventualmente un desbordamiento de aguas que afectaría a varias zonas cercanas a la presa, incluso en sectores un poco más alejados físicamente. Los productores agrícolas recordaron que al inicio de la actual administración estatal solicitaron a la Secretaría de Agricultura y Desarrollo Rural en Hidalgo (Saderh) apoyo para la trituración y retiro de lirio. Previamente ya se habían realizado acciones al respecto, pero fueron insuficientes, pues al momento de retirar la planta, ya se había desarrollado más de esta dentro de la presa. Cuestionado en visita de trabajo a Tulancingo a mediados de esta semana, el titular de la Saderh, Napoleón González Pérez, señaló que el retiro del lirio no le corresponde a la instancia estatal a su cargo.</t>
  </si>
  <si>
    <t>Lirio Acuático</t>
  </si>
  <si>
    <t>OCSAD</t>
  </si>
  <si>
    <t>Salud Mental</t>
  </si>
  <si>
    <t>Un sujeto fue ejecutado con impactos de arma de fuego la madrugada de este viernes sobre la avenida 16 de septiembre, en el municipio de Apan. El hoy occiso, identificado con el alias de “El Temo”, circulaba a bordo de una motocicleta cuando sujetos desconocidos le dispararon entre las calles Escuadrón 201 y Ocampo. Al lugar arribaron cuerpos de emergencia; sin embargo, el masculino ya no contaba con signos vitales.</t>
  </si>
  <si>
    <t>Ejecuciones</t>
  </si>
  <si>
    <t>La presidenta Claudia Sheinbaum entregó el boleto que el regaló la FIFA para la inauguración del Mundial de Futbol 2026 a la joven que ganó el concurso de dominadas. La ganadora del boleto para el partido inaugural en el Estadio Ciudad de México, donde jugará la Selección Mexicana, fue Brianna Ameli Medina Cortez, de 18 años, originaria de Iztapalapa. Yolett Cervantes, de 21 años y originaria de Carril de Tlaquilpa, Veracruz, se ganó la entrada donada por la jefa de Gobierno de la Ciudad de México, Clara Brugada. Karla Itzel Peña, de 22 años y originaria de la alcaldía Gustavo A. Madero ganó un boleto para acudir al Estadio Guadalajara. Daira Yaretzi Díaz García, de 16 años y originaria de San Pedro Mixtepec, Oaxaca, fue ganadora de un boleto para el Estadio Monterrey. Por su parte, el director de la Conade, Romel Pacheco, señaló que en la ronda final fueron mil videos los seleccionados y de esa cantidad, sólo cuatro fueron los elegidos.</t>
  </si>
  <si>
    <t>La sesión extraordinaria número 10 de cabildo programada este día en el municipio de Cardonal no pudo llevarse a cabo luego de que regidores se opusieron a su desahogo al señalar inconsistencias en la cronología de las sesiones ordinarias. Durante la reunión, integrantes de la asamblea manifestaron su inconformidad debido a que, señalaron, no podía desarrollarse una décima sesión ordinaria cuando previamente no había sido celebrada la novena, por lo que insistieron en que el procedimiento debía respetar el orden establecido conforme a la ley. Los ediles argumentaron que aceptar el desarrollo de la décima sesión representaría una irregularidad administrativa, ya que las sesiones deben realizarse de manera cronológica y consecutiva, motivo por el cual se negaron a continuar con el desahogo del orden del día. Ante la postura de los asambleístas, la presidenta municipal Karla Hernández Cerroblanco mostró molestia, sin embargo, posteriormente accedió a que la situación quedara asentada en el acta. Tras el desacuerdo y la suspensión de la sesión, minutos después fue emitida la convocatoria oficial para desarrollar la novena sesión extraordinaria de cabildo, la cual fue programada para este mismo día a las 20:00 horas. Este hecho continúa evidenciando diferencias al interior del cabildo respecto al manejo administrativo y el cumplimiento de los procedimientos legales para el desarrollo de las sesiones municipales.</t>
  </si>
  <si>
    <t>Policía Estatal asegura a dos hombres y recupera maquinaria pesada en Tula de Allende</t>
  </si>
  <si>
    <t>Tren México-Querétaro impulsará movilidad y nuevas inversiones en la región Tula. (AUDIO MATV)</t>
  </si>
  <si>
    <t>Con alianzas globales y rumbo a FAMEX 2027, Hidalgo despega en la industria aeroespacial internacional</t>
  </si>
  <si>
    <t>Sedeco</t>
  </si>
  <si>
    <t>Feria Aeroespacial</t>
  </si>
  <si>
    <t>Menchaca supervisa en Tetepango obras que fortalecen la conectividad regional. (AUDIO JMS)</t>
  </si>
  <si>
    <t>En Ajacuba, Menchaca Salazar subraya resultados de la transformación con obra y bienestar social. (AUDIO JMS).</t>
  </si>
  <si>
    <t>Los partidos políticos en Hidalgo arrastran multas superiores a los 49 millones de pesos derivadas de irregularidades detectadas por el Instituto Nacional Electoral (INE) en procesos de fiscalización de campañas y ejercicios ordinarios. Los datos corresponden a procedimientos administrativos sancionadores aprobados por la autoridad electoral y reflejan tanto los montos ya retenidos como las cantidades que todavía siguen pendientes de pago. La información difundida por el consejero electoral del Instituto Estatal Electoral de Hidalgo (IEEH), Alfredo Alcalá Montaño, exhibe el impacto financiero que tienen las sanciones sobre las prerrogativas públicas de los partidos, particularmente en casos donde las multas superan varios años de financiamiento ordinario. Nueva Alianza Hidalgo aparece como el partido con el mayor volumen de sanciones acumuladas. De acuerdo con las tablas, el instituto político suma multas por 24 millones 971 mil 882 pesos, derivadas de observaciones relacionadas con campañas y ejercicios ordinarios de fiscalización. Hasta abril de 2026, al partido ya le habían retenido 6 millones 581 mil 898 pesos, aunque todavía mantiene pendientes por saldar más de 18.3 millones de pesos. Las sanciones más elevadas corresponden a las revisiones de gasto ordinario de 2022 y 2023. Tan solo por el ejercicio ordinario 2023, Nueva Alianza Hidalgo enfrenta una multa cercana a los 10 millones de pesos. A ello se suma otra sanción de casi 9 millones por el ejercicio 2022 y una más de casi 6 millones vinculada con la campaña del proceso electoral local 2023-2024. El PRI ocupa el segundo lugar en montos sancionados. Las tablas indican que acumula multas por 17 millones 770 mil 192 pesos. De esa cifra, únicamente se habían retenido 1 millón 344 mil 940 pesos hasta abril de este año, por lo que el saldo pendiente todavía supera los 16.4 millones. Las sanciones más fuertes también se concentran en irregularidades detectadas en los ejercicios ordinarios de 2022 y 2023, además de observaciones relacionadas con la campaña del proceso electoral local 2023-2024. En el caso priista, la multa individual más alta corresponde al ejercicio ordinario 2023, con un monto superior a 7.6 millones de pesos. Otra sanción cercana a 6.4 millones corresponde al ejercicio 2022, mientras que por fiscalización de campaña se añadieron otros 3.7 millones. El Partido del Trabajo registra el menor monto entre los partidos incluidos en las gráficas, aunque las cifras todavía representan un impacto importante para sus finanzas públicas. El PT acumula sanciones por 6 millones 321 mil 587 pesos. Hasta abril de 2026, el INE y las autoridades electorales ya habían retenido 285 mil 425 pesos, por lo que aún mantiene pendientes poco más de 6 millones de pesos. La mayor parte de la deuda del PT proviene también del ejercicio ordinario 2023, donde se impuso una multa superior a 6.2 millones de pesos. Además, aparece una sanción menor de poco más de 33 mil pesos relacionada con la campaña electoral extraordinaria de 2024, la cual ya fue liquidada por completo. El mecanismo utilizado para recuperar parte de estas sanciones es aplicar reducciones mensuales sobre el financiamiento público ordinario que reciben los partidos políticos, con un límite máximo equivalente al 25 por ciento de sus ministraciones mensuales. Con base en ese esquema, el documento calcula el tiempo necesario para cubrir determinadas sanciones. En el caso del PRI, una multa de 309 mil 553 pesos requeriría aproximadamente 1.57 meses de descuentos, considerando que el monto máximo mensual de deducción ronda los 196 mil pesos. Para el PT, una sanción de 46 mil 976 pesos podría liquidarse prácticamente en menos de un mes, debido a que el monto de deducción mensual autorizado supera los 252 mil pesos. Nueva Alianza Hidalgo enfrenta el escenario más largo. Una de sus sanciones, por más de 9.3 millones de pesos, requeriría cerca de 9.75 meses de descuentos continuos para ser cubierta utilizando el límite máximo de deducción permitido por la legislación electoral. Las observaciones que originaron estas multas están relacionadas principalmente con incumplimientos en materia de fiscalización. Entre las causas señaladas destacan la falta de comprobación de gastos, ausencia de facturas o comprobantes bancarios, reportes incompletos de ingresos y egresos, así como errores contables detectados durante las auditorías realizadas por la autoridad electoral. Aunque las sanciones corresponden a distintos ejercicios fiscales y procesos electorales, las cifras reflejan un problema recurrente en la administración financiera de los partidos políticos, particularmente en la integración y comprobación de gastos reportados ante las autoridades electorales. El impacto no es menor. Las multas terminan descontándose directamente de recursos públicos destinados al funcionamiento ordinario de los partidos, lo que reduce capacidad operativa, financiamiento territorial y actividades políticas internas. Las tablas también dejan ver que los adeudos siguen lejos de quedar cubiertos en su totalidad. Pese a las retenciones ya aplicadas, PRI y Nueva Alianza Hidalgo mantienen pendientes multimillonarios que continuarán descontándose de sus prerrogativas en los próximos meses. En conjunto, las sanciones acumuladas por PRI, PT y Nueva Alianza Hidalgo superan los 49 millones de pesos, una cifra que refleja el peso económico que puede alcanzar la fiscalización electoral cuando se detectan inconsistencias administrativas y contables en el manejo de recursos públicos.</t>
  </si>
  <si>
    <t>Multas INE</t>
  </si>
  <si>
    <t>En Tulancingo, la presidenta municipal, Lorena García Cázares, encabezó este jueves la apertura de una importante capacitación estatal dirigida a los comités de contraloría social del municipio, conformados por hombres y mujeres comprometidos con el desarrollo de sus localidades. “Esta capacitación es clave para una infraestructura perdurable y de calidad para las y los tulancinguenses”, enfatizó la alcaldesa, y añadió: “Quienes serán beneficiarios directos de las obras deben involucrarse desde el inicio hasta la conclusión de los trabajos por realizar”. Durante el evento, la mandataria agradeció la colaboración del gobernador Julio Menchaca Salazar y del secretario de Contraloría del Estado, Álvaro Bardales Ramírez, por brindar a la ciudadanía los conocimientos necesarios para desempeñarse de manera efectiva en la vigilancia y participación ciudadana. Asimismo, se destacó la labor de Miguel Ángel Romero Mejía, titular del Órgano Interno de Control, y de Armando Pérez Alcíbar, secretario de Desarrollo Urbano, Obras Públicas y Medio Ambiente, quienes refrendaron el compromiso con la transparencia en las obras y acciones ejecutadas por el municipio. La capacitación fue impartida por Miguel Rafael Islas Arce, representante de la Contraloría Estatal, con un enfoque dinámico y de fácil comprensión. En ella participaron comités de contraloría social de diversas localidades y colonias, como Santa Ana Hueytlalpan, Huajomulco, Ahuehuetitla Paraíso, Paraíso Norte, Rancho Santa Clara y Rincones de la Hacienda, entre otras. Durante la jornada, se entregaron kits de seguridad con cascos y chalecos reflejantes, proporcionados por la Secretaría de Contraloría del Gobierno del Estado de Hidalgo, para garantizar la protección de quienes participan activamente en la supervisión de obras.</t>
  </si>
  <si>
    <t>En vivo desde el notimóvil, Rene Aguilar realiza un enlace telefónico con integrantes del comité de padres de familia en la escuela primaria Gregorio Torres Quintero ubicada en La Lagunilla, quienes habían realizado un reporte y su inconformidad con el desempeño de las labores del intendente; derivado de lo anterior, las autoridades educativas han dado respuesta a su señalamientos con el cambio de intendente en un plazo de dos semanas, al momento, padres de familia se encuentra realizando labores de limpieza en el plantel.</t>
  </si>
  <si>
    <t>En otros temas, integrantes de un colectivo LGBT Hidalgo colocaron una bandera en el emblemático Reloj Monumental de Pachuca como parte de las actividades previas a la marcha del próximo 6 de junio en la capital hidalguense. Buscan visibilizar la diversidad y promover el respeto a los derechos de la comunidad LGBT+ en Hidalgo. Los activistas dieron a conocer que la movilización se llevará a cabo el próximo 6 de junio a partir de las 15 horas, teniendo como punto de partida la Plaza Independencia en Pachuca. AUDIO DE APOYO</t>
  </si>
  <si>
    <t>Con el programa Transformando el Futuro (Altasia Mercado), alumnas y alumnos de las escuelas públicas de Hidalgo podrán acceder a la ayuda, apoyo de útiles escolares para el ciclo escolar dos mil veintiséis, dos mil veintisiete. Ya puede usted consultar el calendario de registro y actualización de datos para formar parte de este padrón de beneficiarios. Cabe destacar que la convocatoria está dirigida únicamente para alumnas que estén inscritos o alumnos que estén inscritos en instituciones públicas de todo el estado. Madres, padres o, en su caso, los tutores legales de los estudiantes deberán de ingresar a la plataforma digital del sistema de padres de familia, la cual ha sido habilitada por las autoridades correspondientes. Una vez que dentro de la plataforma usted ingrese, tendrá que llenar el formato respetando la fecha en la que corresponda a cada nivel educativo. Durante las últimas semanas, mes de agosto, se podrán descargar los vales, asimismo la entrega y canje de estos mismos.</t>
  </si>
  <si>
    <t>Radioescucha reporta falta de agua en Zona Plateada, en privada Vizcaina.</t>
  </si>
  <si>
    <t>En un operativo conjunto en el que participaron la Unidad Especializada en Combate al Secuestro de la Procuraduría de Justicia del Estado de Hidalgo, la Secretaría de la Defensa Nacional y la Fiscalía General de Justicia de Oaxaca, fue detenido un hombre de iniciales K.G.R.C., identificado como generador de violencia en ese estado. La persona imputada contaba con una orden de aprehensión por homicidio doloso calificado ocurrido en Oaxaca. Además, se le investiga por su participación en actividades de distribución de estupefacientes en dicha entidad. El operativo tuvo lugar la madrugada de ayer jueves en la colonia Las Plazas del municipio de Tizayuca. Estamos de vuelta, gracias por continuar con nosotros. Siete de la mañana con veintiún minutos</t>
  </si>
  <si>
    <t>Recuerde usted que el pasado fin de semana se registró la caída de un rayo en la cruz de la iglesia de Nuestra Señora del Rosario en Real del Monte, pues ante este hecho autoridades y personal técnico realizan evaluaciones para determinar los daños y las acciones de restauración correspondientes; así lo informó el alcalde de Mineral del Monte, Edmundo Méndez. AUDIO DE APOYO</t>
  </si>
  <si>
    <t>Radioescucha agradece a Cassim, también a la Lic. Paola y Lic. Sarahi Pineda, ya atendieron mi reporte.</t>
  </si>
  <si>
    <t>Elementos de seguridad lograron recuperar un tractocamión con maquinaria pesada y detuvieron a dos hombres presuntamente relacionados con el robo de la unidad durante un operativo realizado en Tula de Allende. La acción se llevó a cabo en la colonia El Llano, primera sección, donde policías localizaron el tractocamión acoplado a una plataforma tipo cama baja que transportaba maquinaria pesada. De acuerdo con la denuncia, el propietario reportó el robo mientras circulaba a bordo de la unidad, lo que activó un despliegue de búsqueda y localización por parte de las corporaciones de seguridad. Los dos detenidos, uno de ellos con antecedentes penales, así como el tractocamión, la plataforma y la maquinaria asegurada, fueron puestos a disposición del Ministerio Público que continuará con las investigaciones para deslindar responsabilidades</t>
  </si>
  <si>
    <t>En otra información, Hidalgo acumula 282 delitos cometidos por servidores públicos durante los primeros cuatro meses de este año, datos del Secretariado Ejecutivo del Sistema Nacional de Seguridad Pública. Marzo fue el mes con más casos con 87 denuncias, le sigue febrero con 79, abril con 60, enero con 56</t>
  </si>
  <si>
    <t>Gobierno</t>
  </si>
  <si>
    <t>Delitos servidores públicos</t>
  </si>
  <si>
    <t>Radioescucha reporta que Caasim no viene a desazolve, esto en calle Gardenia de Bugambilia Norte 3</t>
  </si>
  <si>
    <t>Desazolve</t>
  </si>
  <si>
    <t>Vamos a la región del Valle del Mezquital, y es que el director de seguridad pública de Progreso de Obregón se encuentra prófugo de la justicia. Así lo confirmó el encargado de la Procuraduría de Justicia, Francisco Fernández Hasbun, quien aseguró que existen avances importantes para lograr su localización y captura. La orden de aprehensión está relacionada con los hechos ocurridos el pasado 13 de mayo, cuando agentes ministeriales y elementos del Ejército Mexicano detuvieron a nueve policías municipales, ocho hombres y una mujer, quienes ya fueron vinculados a proceso por los delitos de homicidio de uso calificado y lesiones. AUDIO DE APOYO</t>
  </si>
  <si>
    <t>En el marco del Día del Maestro, la presidenta municipal de Atitalaquia, Claudia Sandoval, encabezó una celebración con más de 600 docentes del municipio, donde reconoció su labor y trayectoria al servicio de la educación. Durante el encuentro, la alcaldía entregó reconocimientos especiales a maestras y maestros con hasta 48 años de servicio, acompañada por integrantes del cabildo, del DIF municipal y por Josefina Serrano Bautista, directora general de servicios regionales en representación de la Secretaría de Educación Pública de Hidalgo. Claudia Sandoval destacó la importancia del trabajo del magisterio en la formación de nuevas generaciones y refrendó el compromiso de mantener una alianza entre el gobierno y docentes para impulsar el desarrollo educativo. La celebración concluyó con música en vivo y actividades de convivencia organizadas por el gobierno municipal como muestra de reconocimiento al esfuerzo y dedicación de las maestras y los maestros de Atitalaquia.</t>
  </si>
  <si>
    <t>Radioescucha Dany Cravioto pide que en las colonias Cespedes y Doctores haya mejor vigilancia por parte de los policías, ya que pagamos los impuestos y todo lo que piden y no tenemos buena seguridad, en esas colonias, ya robos a peatones y robo de autopartes.</t>
  </si>
  <si>
    <t>Exigen seguridad</t>
  </si>
  <si>
    <t>Un empleado del Registro Civil de Huejutla fue detenido por su presunta relación con la duplicación de folios en actas oficiales y posibles faltantes de dinero que, según las investigaciones, alcanzarían hasta 35 mil pesos diarios. Estaba haciendo su ahorrito este trabajador en Huejutla y estaba falsificando documentos. Las autoridades indagan si hay más personas involucradas en el posible fraude administrativo. Vaya fichita la que encontraron en el ayuntamiento de Huejutla.</t>
  </si>
  <si>
    <t>Falsificación de documentos</t>
  </si>
  <si>
    <t>Radioescucha reporta una fuga de agua en calle Arizpe</t>
  </si>
  <si>
    <t>Radioescucha nuevamente sigue reportando la fuga de agua en Nopancalco y los de Caasim no hacen nada, hasta el dia de hoy se sigue desperdiciando el agua.</t>
  </si>
  <si>
    <t>Hablando de salud, Hidalgo sumó un nuevo caso de miasis por gusano barrenador en humanos y ya acumula ocho contagios durante esta emergencia sanitaria, de acuerdo con el boletín epidemiológico de la Secretaría de Salud. A nivel nacional se reportan 152 casos y dos muertes. La enfermedad es provocada por larvas que invaden heridas abiertas en personas y animales, por lo que médicos piden extremar medidas de higiene y cuidado de lesiones.</t>
  </si>
  <si>
    <t>Comenta el conductor sobre la inatención de Caasim en algunos reportes: “Caasim, caasim, ¿qué vamos a hacer con ustedes? Digan qué tenemos que hacer para que le den respuesta a la gente”.</t>
  </si>
  <si>
    <t>Habitantes de al menos nueve comunidades de San Felipe Orizatlán obligaron al presidente municipal a realizar un recorrido descalzo hasta la zona donde exigen atención a distintas necesidades comunitarias. Los pobladores expresaron su inconformidad por presuntos incumplimientos de compromisos asumidos por la administración municipal, particularmente en temas relacionados con obras y servicios para las localidades participantes.</t>
  </si>
  <si>
    <t>Incumplimiento de obra</t>
  </si>
  <si>
    <t>Ayer estuvo cerrada la carretera México-Tampico por varias horas. Esto a la altura de San Felipe Orizatlán, y es que luego de varias horas de tensión y manifestaciones, habitantes de nueve localidades se trasladaron caminando con el presidente municipal de San Felipe Orizatlán, Carlos Pérez Escamilla, en medio del conflicto derivado de presuntos incumplimientos hacia estas comunidades.</t>
  </si>
  <si>
    <t>Este domingo la presidenta de México, Claudia Sheinbaum, encabezará un acto de rendición de cuentas en el Monumento a la Revolución, informó el gobernador de Hidalgo, Julio Menchaca Salazar. AUDIO DE APOYO DE JMS</t>
  </si>
  <si>
    <t>Informe Sheinbaum</t>
  </si>
  <si>
    <t>Ante el incremento en la movilidad de personas rumbo al mundial de fútbol, México activó alertas epidemiológicas y reforzó las recomendaciones sanitarias para prevenir contagios de distintas enfermedades, entre ellas el ébola. Los especialistas piden mantener medidas básicas como lavado de manos, completar esquemas de vacunación, evitar eventos masivos si se presentan síntomas y mantenerse hidratado durante los partidos.</t>
  </si>
  <si>
    <t>Radioescucha comenta: “El hospital que inauguró Omar Fayad quedó como el elefante blanco, no funciona, es el que está al poniente de la ciudad”.</t>
  </si>
  <si>
    <t>Nuevo Hospital General</t>
  </si>
  <si>
    <t>En el municipio de Atotonilco de Tula vecinos de la comunidad de La Cañada se manifestaron la tarde de ayer en el Cabildo, debido a que en su comunidad se van a construir casas del bienestar sin que hayan sido tomados en cuenta. Omar Daniel, delegado de la comunidad de La Cañada, explicó a qué se debe su molestia “No estamos en contra de su construccion, lo que pasa que jamas se nos tomó encuenta saber sobre el proyecto”. La presidenta municipal Yocelyn Tovar habló de los beneficios que tiene este programa federal de vivienda, que busca ayudar a quienes menos tienen. AUDIO APOYO</t>
  </si>
  <si>
    <t>En Tepetitlán, el gobierno municipal reforzó las acciones de prevención y formación dirigidas a niñas, niños y adolescentes y sus familias a través del Sipinna municipal. En coordinación con la Telesecundaria 526 de San Pedro Nextlalpan, estudiantes de tercer grado participaron en el taller de prevención de adicciones impartido por personal de Ecosame, mientras que madres y padres de familia recibieron la plática "¿En casa se educa o se enseña?", enfocada en fortalecer el acompañamiento desde el hogar. Además, en el jardín de niños Ignacio Comonfort se desarrollaron actividades sobre estilos de crianza para las familias y de violencia escolar para las alumnas. Autoridades municipales señalaron que estas acciones buscan promover entornos más seguros y saludables, así como garantizar los derechos y el desarrollo integral de la niñez y adolescencia en Tepetitlán.</t>
  </si>
  <si>
    <t>Prevención De Adicciones</t>
  </si>
  <si>
    <t>En el marco del Día Mundial de la Tiroides, que se conmemora cada 25 de mayo, el Instituto Mexicano del Seguro Social (IMSS) en Hidalgo hizo un llamado a prestar atención de los síntomas que puedan mostrar alguna alteración en el funcionamiento de esta glándula. La tiroides tiene la función de producir hormonas indispensables para procesos vitales relacionados con el crecimiento, el desarrollo neurológico, la función reproductiva y el metabolismo energético, explicó Octavio Contreras Valdez, director del Hospital General de Zona (HGZ) No. 36 del IMSS en Pachuca</t>
  </si>
  <si>
    <t>Prevención De Enfermedades</t>
  </si>
  <si>
    <t>Hidalgo fortalece su promoción turística en el norte del país(AUDIO APOYO)</t>
  </si>
  <si>
    <t>Promoción turística</t>
  </si>
  <si>
    <t>Radioescucha reporta que las unidades de transporte sacan mucho humo; ojalá las autoridades pongan atención.</t>
  </si>
  <si>
    <t>La Secretaría de Medio Ambiente y Recursos Naturales del Gobierno de México invita a los habitantes de Atengo, del municipio Tezontepec de Aldama, a participar en la etapa informativa del proceso del Programa de Restauración Ecológica del Área de Influencia de la Presa Endhó. Se llevará a cabo el próximo domingo 31 de mayo, en el auditorio de la comunidad a las 9 de la mañana.</t>
  </si>
  <si>
    <t>Restauración Ecológica</t>
  </si>
  <si>
    <t>En este momento, en Enfoque Regional Meridiano, informan que está un fuerte operativo en la plaza Gran Patio Pachuca. Información extraoficial: Robaron un millón de pesos a un cuentahabiente.</t>
  </si>
  <si>
    <t>Robo a cuentahabiente</t>
  </si>
  <si>
    <t>Durante una gira de trabajo en Ajacuba, el gobernador de Hidalgo, Julio Menchaca Salazar, destacó que las rutas de la transformación y la Feria de Servicios para el Pueblo continúan acercando obras, programas y apoyos directamente a las comunidades hidalguenses. , AUDIO DE APOYO</t>
  </si>
  <si>
    <t>Como parte de las rutas de la transformación, el gobernador Julio Menchaca Salazar supervisó la pavimentación hidráulica del libramiento Xitri - Rojo Gómez, en Tetepango, obra en la que se invirtieron más de 21.6 millones de pesos para mejorar la movilidad y la conectividad de la región.Durante la gira de trabajo, el mandatario destacó que la transformación se construye escuchando a la ciudadanía y trabajando de la mano con los comités de obra y de Contraloría Social. Siempre ha sido fundamental para este gobierno, para el proceso de transformación, el escuchar a la gente, y nobleza obliga, nosotros hemos estado siempre en contacto con ustedes. En el proceso de las rutas de la transformación, hacemos eventos, precisamente una supervisión de obra, un contacto directo con los beneficiarios, por eso quiero agradecer a los comités de Contraloría, los comités de obra pública, porque precisamente de eso se va enriqueciendo el programa de gobierno. AUDIO DE APOYO</t>
  </si>
  <si>
    <t>En gira de trabajo por Ajacuba, el gobernador Julio Menchaca Salazar informó que se ejecutan obras y acciones por más de 93 millones de pesos para fortalecer la infraestructura, el acceso al agua potable y la conectividad del municipio. Durante estas rutas de la transformación y la feria de servicios para el pueblo, el mandatario destacó que este año se destinan cuatro mil setecientos millones de pesos a más de 100 programas sociales en Hidalgo, además de que en menos de cuatro años se han invertido más de 25 mil millones de pesos en obra pública en la entidad. Entre las acciones para Ajacuba destacan la construcción de un sistema de agua potable, la reposición de pozo, la rehabilitación y reconstrucción de carreteras estatales, pavimentaciones y la construcción de 19 cuartos dormitorio. AUDIO DE APOYO</t>
  </si>
  <si>
    <t>Radioescucha reporta que siguen sin arreglar los semáforos que están rumbo a Tulipanes por Chedraui, no funcionan</t>
  </si>
  <si>
    <t>Semaforización</t>
  </si>
  <si>
    <t>SEPH y CCEH impulsan liderazgo juvenil con “Presidente por un Día” (AUDIO APOYO)</t>
  </si>
  <si>
    <t>Simulador Cívico</t>
  </si>
  <si>
    <t>La consejera presidenta del Instituto Estatal Electoral de Hidalgo (IEEH), María Magdalena González Escalona, consideró prematuro calcular cuánto costaría una eventual consulta ciudadana sobre la tauromaquia en Hidalgo, debido a que todavía no se han definido las características técnicas y operativas del ejercicio.La funcionaria explicó que, conforme a la Ley de Consulta Popular, corresponde al organismo electoral organizar el proceso y elaborar un proyecto específico que contemple los recursos financieros, humanos y materiales necesarios para llevarlo a cabo.</t>
  </si>
  <si>
    <t>El titular de la Unidad de Planeación y Prospectiva de Hidalgo, Miguel Ángel Tello Vargas, aseguró que el proyecto del Tren México-Querétaro impulsado por el Gobierno de México y que contempla una estación en Tula, representa una de las principales apuestas de infraestructura para fortalecer la movilidad y detonar el crecimiento económico de la región. El funcionario estatal explicó que esta obra no solo beneficiará a Tula, sino también a municipios aledaños.</t>
  </si>
  <si>
    <t>Para mejorar la conectividad y facilitar el desarrollo económico industrial, Tello Vargas señaló que el tren permitirá una mejor conexión con parques industriales de municipios como Tepeji del Río y con infraestructura clave como el Hospital General de Zona del IMSS en Tula. Finalmente reiteró que el gobierno estatal mantiene la coordinación con la federación para consolidar proyectos que ordenen el crecimiento regional y mejoren la calidad de la vida de la población. México-Querétaro es el otro, porque no solamente va a cambiar El Llano, o sea la región Tula, obviamente vamos a ver el flujo, la movilidad en torno hacia el nuevo hospital, hacia Tepeji; hay que recordar que los parques industriales allá son muy importantes,</t>
  </si>
  <si>
    <t>El gobernador de Hidalgo, Julio Menchaca Salazar, se refirió a los datos aportados por el INEGI sobre la percepción de la población respecto al estado de las calles. AUDIO DE APOYO DE JMS</t>
  </si>
  <si>
    <t>Radioescucha Sr. Reyes reporta que personal de Caasim en el mes de abril rompieron el pavimento para introducir un tubo de agua, pero se les olvidó tapar la zanja.</t>
  </si>
  <si>
    <t>En cabina Alberto González comenta el evento de la presidenta Claudia Sheinbaum ayer en la Plaza Juárez y comenta que hay muchas cosas que se vienen arrastrando y no se resuelven con solo decir "cumplimos 2 años del triunfo. Nos están atacando nuestra soberanía", porque no están atacando la soberanía, simplemente un gobierno está haciendo lo que tiene qué hacer: exhibir a quienes deben. Y, si se tiene las pruebas, estas se exhiben en un juicio no en una extradición.</t>
  </si>
  <si>
    <t>Aniversario de la transformación</t>
  </si>
  <si>
    <t>Andrés Torres comenta que el Senador Cuauhtémoc Ochoa iba de muy mal talante y torciendo la boca a todos ayer en el evento de la presidenta Claudia Sheinbaum.</t>
  </si>
  <si>
    <t>Aspirantes</t>
  </si>
  <si>
    <t>Sucesión gubernamental</t>
  </si>
  <si>
    <t>Hoy inician operación las nuevas unidades del Tuzobús, ya se pueden ver las unidades circulando.</t>
  </si>
  <si>
    <t>Un aparatoso accidente se registró este domingo en la comunidad de El Alberto, en Ixmiquilpan, donde un vehículo cayó a una barranca de aproximadamente 100 metros de profundidad y quedó a escasos metros del río Tula. Autoridades correspondientes iniciaron las investigaciones para determinar las causas que originaron este percance; mientras que personal de la Policía municipal solicitaron la presencia de una grúa para el retiro de la unidad.</t>
  </si>
  <si>
    <t>Accidente Carretero</t>
  </si>
  <si>
    <t>Una mujer falleció luego de ser atropellada sobre la carretera Alfajayucan-Ixmiquilpan, a la altura de la entrada a la comunidad de Anoxtey, en el municipio de Alfajayucan. El hecho generó una movilización de cuerpos de emergencia y corporaciones de seguridad.</t>
  </si>
  <si>
    <t>Radioescucha comenta que ya andan circulando las nuevas unidades del Tuzobús.</t>
  </si>
  <si>
    <t>En sesión ordinaria, diputadas y diputados integrantes de la LXVI Legislatura aprobaron con 26 votos a favor, tres en contra y cero abstenciones el dictamen que reforma y adiciona diversas disposiciones de la Constitución Política del Estado de Hidalgo, en materia de austeridad presupuestaria y administrativa, igualdad sustantiva y paridad de género. La diputada Lizbeth Irais Ordaz Islas (Morena) presentó el fundamento de las iniciativas que pretenden incorporar los principios de austeridad y racionalidad en el ejercicio de los recursos públicos inherentes al presupuesto del Poder Legislativo estatal y a los límites de las remuneraciones asignadas a personas funcionarias en materia electoral, así como efectuar ajustes en la integración máxima de los ayuntamientos y fortalecer los principios de igualdad sustantiva y paridad de género en el Congreso del Estado. La legisladora explicó que el ordenamiento jurídico busca evitar que mediante mecanismos administrativos o ampliaciones presupuestales se generen incrementos discrecionales que rebasen el porcentaje constitucionalmente permitido.</t>
  </si>
  <si>
    <t>Paridad de género</t>
  </si>
  <si>
    <t>Andrés Torres comenta que siguen sin señal el en el 1010 de AM El Vocero Huasteco y están en en espera de que les den una solución: si les dan diesel para las plantas de energía o si reparan los aparatos eléctricos. Pide una disculpa a los hablantes del náhuatl, por no poderlos informar a través de esta estación bilingue.</t>
  </si>
  <si>
    <t>Menchaca refrenda respaldo de Hidalgo a la presidenta Sheinbaum</t>
  </si>
  <si>
    <t>Muere motociclista al chocar con un vehículo de la Guardia Nacional en Hidalgo. Accidente vial en Hidalgo deja muerto a joven de 25 años, tras percance entre una motocicleta y una unidad de la Guardia Nacional en la carretera San Juan Tecocomulco–El Aserradero, dentro de municipio de Cuautepec de Hinojosa.</t>
  </si>
  <si>
    <t>Un automovilista intentó ganarle el paso a una locomotora en la comunidad de San Jerónimo Tlamaco, municipios de Atitalaquia pero no logró completar la maniobra y su vehículo fue alcanzado. Afortunadamente, el conductor solo presentó lesiones menores, aunque los daños materiales fueron considerables.</t>
  </si>
  <si>
    <t>Accidente de tren</t>
  </si>
  <si>
    <t>El cuerpo de una mujer fue localizado en la localidad de El Frontón, dentro del municipio de Progreso de Obregón, la tarde del viernes 29 de mayo. Vecinos de la zona reportaron a la corporación de seguridad pública haber escuchado lo que al parecer eran detonaciones por arma de fuego. Al realizar recorrido, los uniformados localizaron el cuerpo de la mujer; paramédicos de la corporación de Protección Civil confirmaron que ya no contaba con signos vitales, señalando que presentaba una lesión provocada por impacto con arma de fuego. La víctima fue identificada como G.P.N.; se realizó operativo para la localización del agresor o agresores, sin que hasta el momento se haya reportado detención alguna relacionada con el caso. La calle Gómez Farías, donde fue localizada la mujer, quedó resguardada en tanto que personal de la Procuraduría General de Justicia del Estado de Hidalgo inició con el levantamiento de pruebas y la investigación del caso.</t>
  </si>
  <si>
    <t>Feminicidio</t>
  </si>
  <si>
    <t>Elementos de la Policía Municipal de Tulancingo detuvieron a dos masculinos en posesión de aproximadamente 250 gramos de presuntas sustancias prohibidas, entre ellas una sustancia con características similares al “cristal”. La acción se realizó como parte de los recorridos permanentes de prevención, disuasión y vigilancia implementados por el Mando Coordinado de Tulancingo. Tras la inspección, los detenidos y las sustancias aseguradas fueron puestos a disposición de la Procuraduría General de Justicia del Estado de Hidalgo (PGJEH), instancia encargada de llevar a cabo las investigaciones correspondientes y definir la situación legal de los implicados.</t>
  </si>
  <si>
    <t>SSPH recupera más de 1 millón de pesos robados a cuentahabiente en Pachuca: asegura a responsables</t>
  </si>
  <si>
    <t>La presidenta municipal de Tulancingo, Lorena García Cázares, encabezó la segunda sesión ordinaria del Comité de Control y Desempeño Institucional (COCODI), reafirmando su compromiso con la transparencia, la eficiencia y la ética en la gestión pública. En este encuentro, que contó con la participación de 16 integrantes del COCODI, se revisaron los logros del ejercicio 2025 y del primer trimestre de 2026, donde casi 100 unidades administrativas alcanzaron un 97 por ciento de cumplimiento en los objetivos establecidos, alineados con los acuerdos estratégicos del Plan Municipal de Desarrollo 2024-2027, mismo que será actualizado conforme a los lineamientos de la Unidad de Planeación y Prospectiva del Gobierno del Estado de Hidalgo. Dentro de los temas abordados, la presidenta del Comité de Ética y Prevención de Conflictos de Interés, Guadalupe Rodríguez Uribe, presentó un informe sobre las actividades realizadas durante 2025, destacando el distintivo de desempeño institucional que se implementará por segunda ocasión este año, con la inscripción de 46 unidades administrativas.</t>
  </si>
  <si>
    <t>Evaluación de desempeño</t>
  </si>
  <si>
    <t>Inaugura Natividad Castrejón la LXV Sesión Ordinaria de CUPIA</t>
  </si>
  <si>
    <t>El IMSS Bienestar en Hidalgo reactivó la Clínica de Manejo Avanzado de Heridas y Estomas del Hospital General de Alta Especialidad de Pachuca, tras cinco años de permanecer inactivo este servicio especializado de atención a la salud. La clínica ofrece atención especializada a pacientes con pie diabético, lesiones por presión, heridas traumáticas, quemaduras, heridas quirúrgicas complejas y otros padecimientos que requieren vigilancia médica y manejo multidisciplinario.</t>
  </si>
  <si>
    <t>Vía telefónica la madre de un alumno de quinto año de la escuela primaria “Nicolás Flores”, de la comunidad de El Susto, en el municipio de Singuilucan, informa que el martes de la semana pasada su hijo fue víctima de abuso sexual por parte de un grupo de alumnos de sexto grado y acusa que la directora del plantel le dijo que no dijera ni hiciera nada. ante esta situación señala que el día de hoy ella y un grupo de padres de familia se encuentran manifestándose afuera de la escuela porque la directora no ha actuado y temen por la integridad de oros alumnos. La mujer señaló que, tras conocer el relato de su hijo, acudió de inmediato a presentar la denuncia correspondiente ante las autoridades. El jefe de sector de la SEP sostiene una reunión con la directora de la escuela, mientras ellos permanecen a las afueras del plantel en espera de información y de una respuesta por parte de las autoridades educativas. La carpeta de investigación relacionada con este caso quedó registrada bajo el número 18-2026-02381. Pide a la PGJEH y la SEPH los atiendan lo antes posible.</t>
  </si>
  <si>
    <t>Abuso Sexual</t>
  </si>
  <si>
    <t>Tres partidos políticos con registro en el Estado de Hidalgo fueron sancionados por un monto global de 9 millones 743 mil 825.38 pesos, derivado de sanciones administrativas, irregularidades detectadas en campañas electorales y ejercicios ordinarios de financiamiento. El Consejo General del Instituto Estatal Electoral (IEEH) aprobó durante la primera sesión ordinaria del mes de mayo el proyecto mediante el cual se ejecutaron las sanciones a los partidos Nueva Alianza Hidalgo, Revolucionario Institucional y del Trabajo. El primero mencionado es el que tiene la sanción más alta, con 9 millones 387 mil 296 pesos; el monto mensual reducido será de 962 mil 348.93 pesos durante nueve meses. Mientras que el Partido Revolucionario Institucional obtuvo una sanción de 309 mil 553.12 pesos, con una reducción mensual de 196 mil 645.75 pesos. En tanto que el Partido del Trabajo deberá cubrir una multa por 46 mil 976.26 pesos. Las multas derivan de los Procedimientos Administrativos Sancionadores INE/P-COF-UTF/34/2021, INE/P-COF-UTF/19/2021 e INE/P-COF-UTF/80/2020. El consejero electoral Alfredo Alcalá Montaño señaló que entre las principales causas por las que los partidos políticos fueron acreedores a multas, están la falta de comprobación de gastos.</t>
  </si>
  <si>
    <t>La Procuraduría General de Justicia del Estado de Hidalgo (PGJEH) inició una investigación interna tras la difusión de una denuncia y un video en los que se observa una presunta celebración realizada al interior de las instalaciones de la Unidad Especializada en Combate al Secuestro. El encargado del despacho de la dependencia, Francisco Fernández Hasbun, calificó los hechos como una conducta inapropiada y advirtió que, en caso de comprobarse irregularidades, podrían aplicarse sanciones a los servidores públicos involucrados. Informó que el caso ya es analizado por el Órgano Interno de Control, instancia encargada de determinar si existieron responsabilidades administrativas derivadas de los hechos denunciados. Mientras se desarrolla la investigación, el titular de la unidad señalada permanece en funciones. Fernández Hasbun explicó que se recabará información y se realizarán entrevistas a las personas presuntamente involucradas para esclarecer lo ocurrido, así como establecer la fecha en que se habría llevado a cabo la reunión. De acuerdo con la denuncia difundida, en el encuentro habrían participado diversos funcionarios adscritos a la procuraduría, entre ellos agentes de investigación, peritos, ministerios públicos y personal administrativo. Además, se señala que presuntamente se consumieron bebidas alcohólicas dentro de las oficinas de la dependencia.</t>
  </si>
  <si>
    <t>Fiesta en oficina pública</t>
  </si>
  <si>
    <t>La Procuraduría General de Justicia del Estado de Hidalgo (PGJEH) mantiene vigentes 37 fichas rojas internacionales y cuatro alertas migratorias relacionadas con personas buscadas por diversos delitos. Lo anterior fue informado por el encargado de despacho de la dependencia estatal, Francisco Fernández Hasbun. Precisó que de las 37 fichas rojas acumuladas, once se han cumplido y 26 permanecen activas, en donde las personas imputadas son buscadas por delitos como abuso sexual, amenazas, desaparición cometida por particulares. Así como, fraude, homicidio, lesiones calificadas, robo, sustracción de menores, violación, y violencia familiar. También, mencionó que han emitido 4 alertas migratorias, todas por incumplimiento de obligaciones alimentarias. El funcionario explicó que las fichas rojas no se tramitan de manera bilateral con Estados Unidos, sino a través de los mecanismos internacionales de la Organización Internacional de Policía Criminal, Interpol. La PGJEH remite la información a la representación de Interpol en México, ubicada en la Ciudad de México, desde donde se canalizan las solicitudes a las oficinas regionales y centrales de la organización.</t>
  </si>
  <si>
    <t>Ficha roja</t>
  </si>
  <si>
    <t>Dentro del Estado de Hidalgo no operan agentes de seguridad de ninguna corporación o institución extranjera, particularmente de los Estados Unidos, afirmó Francisco Fernández Hasbun, encargado de despacho de la Procuraduría General de Justicia del estado (PGJEH). La declaración fue realizada tras señalamientos realizados incluso en el Congreso de la Unión respecto a la participación de cuerpos de seguridad o investigación en entidades de nuestro país. “Hemos tenido colaboraciones institucionales, no operativas. Quiero aclarar: en Hidalgo no hay operación de ninguna agencia de Estados Unidos, como la CIA, FBI o DEA; simplemente es intercambio de información”, señaló. Fernández Hasbun aseguró que la colaboración que mantiene la institución con autoridades de Estados Unidos se limita al intercambio de información y herramientas tecnológicas, sin que exista participación operativa de agencias extranjeras en territorio hidalguense. Explicó que la cooperación se ha centrado en el acceso a sistemas especializados para el fortalecimiento de las investigaciones, con objetivo de fortalecer los sistemas al respecto, ello para garantizar la seguridad. Entre ellos mencionó el sistema E-Trace, relacionado con análisis balístico, y la plataforma i2, utilizada para la construcción de redes de vínculos entre personas y eventos dentro de las indagatorias. “Simplemente se trata de intercambio de información y apoyo en algunos sistemas”, insistió el funcionario estatal.</t>
  </si>
  <si>
    <t>Intervención extranjera</t>
  </si>
  <si>
    <t>Daniel Martínez comenta que el viernes usó el Tuzobús y en la parada de Plaza Juárez él y otros usuarios vieron pasar 5 unidades muy llenas y no pudieron abordar. La gente le comentó que eso es de todos los días. esperó 1 hora con 7 minutos para abordar un Tuzobús y con problema tremendo en el sistema de frenos porque se escuchaba como resoplaba la unidad y para remate, dos o tres estaciones antes de llegar a su destino, se tenia que empujar la puesta para que se abriera. El Día de hoy se tiene programado que el gobierno estatal entregue las nuevas unidades de Tuzobús y cualquier unidad que entre va a ser mejor que esas "latitas" que lo que están padeciendo en este momento los usuarios de lo que se manejaba como la mejor opción. No es así, no hay manera de que te puedas mover en Pachuca.</t>
  </si>
  <si>
    <t>Deficiencias Tuzobús</t>
  </si>
  <si>
    <t>Radioescucha: no puede ser que la carretera Metepec- Agua Blanca a ala altura de Tortugas a unos meses de haber sido reparada ya tiene hoyos ¿de qué calidad estamos hablando?</t>
  </si>
  <si>
    <t>Calidad de obra</t>
  </si>
  <si>
    <t>Radioescucha pide que se aumenten los rondines de vigilancia en Napateco porque hay mucha inseguridad en las calles con personas sospechosas.</t>
  </si>
  <si>
    <t>Hasta la fecha, Hidalgo acumula 94 perros y 2 gatos afectados por el gusano barrenador, cuatro casos se registraron en Mineral de la Reforma, que se ubica entre los municipios con más reportes junto con Huautla, Chapulhuacán, Cuautepec, La Misión y Tenango de Doria. De acuerdo con el informe del Servicio Nacional de Sanidad, Inocuidad y Calidad Agroalimentaria (Senasica) con corte al 27 de mayo, la entidad acumula 630 casos de barrenador reportados en 70 municipios, de los cuales 89 son activos distribuidos en 39 demarcaciones. En marzo pasado la Secretaría de Salud de Hidalgo (SSH) alertó sobre el riesgo para mascotas, ya que ese padecimiento no solo causa afectaciones en el ganado sino en animales domésticos, principalmente en los de situación de calle. Al cierre de marzo la entidad registró 10 casos de gusano barrenador en caninos, por lo que en dos meses la incidencia aumentó considerablemente, ya que en el reciente corte de mayo del Senasica reportaron 94 acumulados en perros y 2 en gatos. Sólo 26 están activos en caninos. Los municipios con más casos acumulados de gusano barrenador en perros son Huautla con 7, Mineral de la Reforma, Chapulhuacán, Cuautepec, La Misión y Tenango de Doria, con 4 caninos. En Huehuetla y Huejutla se reportaron los 2 felinos infectados.</t>
  </si>
  <si>
    <t>Gobierno de Hidalgo consolida protección efectiva y real para niñas, niños y adolescentes</t>
  </si>
  <si>
    <t>Personal médico de la Clínica Hospital de Huejutla activó los protocolos de atención y gestionó el traslado de un derechohabiente de 76 años de edad, a una unidad de alta especialidad debido a la gravedad de su estado de salud. El Instituto de Seguridad y Servicios Sociales de los Trabajadores del Estado (ISSSTE) en Hidalgo coordinó el traslado aeromédico de la mujer originaria del municipio de Huautla, quien presentó quemaduras de tercer grado en 80 por ciento de la superficie corporal. La paciente ingresó a la Clínica Hospital Daniel Salazar Fernández, ubicada en el municipio de Huejutla de Reyes, donde personal médico activó de inmediato los protocolos de atención para pacientes con quemaduras graves. En la sala de choque recibió maniobras de reanimación hídrica y lograron estabilizarla para su traslado. El personal directivo realizó las gestiones institucionales correspondientes ante oficinas centrales y con el Gobierno de Hidalgo para concretar el apoyo logístico requerido. Derivado de estas acciones, la paciente fue aceptada para su atención en el Centro Médico Nacional “20 de Noviembre”, en la Ciudad de México, para ser atendida por especialistas del servicio de Cirugía Plástica y Reconstructiva y permanecerá bajo vigilancia en la Unidad de Cuidados Intensivos para Adultos. El traslado se realizó mediante un helicóptero equipado como ambulancia de terapia intensiva, que despegó desde el helipuerto de la Unidad de Servicios Estatales de Huejutla (USEH), con el objetivo de reducir los tiempos de traslado y garantizar el soporte médico continuo durante el trayecto.</t>
  </si>
  <si>
    <t>Puente aéreo</t>
  </si>
  <si>
    <t>Exhorta DIF Hidalgo a los 84 municipios a crear sus procuradurías de Protección de Niñas, Niños y Adolescentes. Siete municipios del Estado de Hidalgo aún tienen pendiente la conformación de sus respectivas Procuradurías de Protección de Niñas, Niños y Adolescentes, mientras que 65 ya las tienen consolidadas y 12 restantes están en su proceso de integración. El dato fue ofrecido por la presidenta del Patronato del Sistema DIF Hidalgo, Edda Vite Ramos, durante la instalación del Comité técnico para el acompañamiento y seguimiento de la implementación de estas procuradurías municipales. No ofreció datos de los municipios que aún no realiza la conformación de dicho espacio de atención legal, señalando que se trata principalmente de localidades alejadas donde existen mayores dificultades para conformar las estructuras necesarias. Sin embargo, señaló que la falta de recursos económicos no puede ser utilizada como argumento para incumplir con esta obligación, ya que los gobiernos municipales cuentan con un techo presupuestal que puede destinarse a la asistencia social. Tras la aprobación por parte del Congreso del Estado de Hidalgo de las Procuradurías de Protección de Niñas, Niños y Adolescentes, existe un plazo de 180 días para conformarlas en cada uno de los 84 municipios de la entidad, el cual comenzó a correr el 13 de abril de este año. Cada una de estas instancias municipales deberán contar con abogado, psicólogo y trabajador social para dar atención y seguimiento a los casos que se presenten dentro de los municipios; Son 12 los municipios a los que les falta alguno de los profesionales y hay siete que no registran ningún avance al respecto.</t>
  </si>
  <si>
    <t>Guillermo “Billy” Álvarez, expresidente de la Cooperativa Cruz Azul y exdirectivo del club cementero, murió este sábado 30 de mayo. Su fallecimiento ocurrió una semana después de que Cruz Azul conquistó su décimo título de Liga MX. Al momento de su muerte, Álvarez se encontraba internado en un hospital en Toluca, en el Estado de México; sin embargo, estuvo en el penal del Altiplano, donde permanecía desde su detención en enero de 2025.</t>
  </si>
  <si>
    <t>Cruz Azul</t>
  </si>
  <si>
    <t>La presidenta de México Claudia Sheinbaum acusó el Departamento de Justicia de EU pretende convertirse en 'principal elector' en México mediante solicitudes de extradición contra autoridades mexicanas, sin presentar pruebas, al menos de manera pública. La mandataria sostuvo que la solicitud urgente presentada por una oficina de esa institución para detener con fines de extradición a 10 mexicanos, entre ellos a un gobernador, un alcalde y un senador en funciones sin presentar públicamente pruebas constituye un hecho sin precedente en la relación bilateral y también dijo que esto abre la puerta a una intervenión política en asuntos internos.</t>
  </si>
  <si>
    <t>La Ciudad de México tiene calles cerradas este 1 de junio, debido a la marcha de maestros de la CNTE (Coordinadora Nacional de Trabajadores de la Educación). Luego de no alcanzar acuerdos con la Secretaría de Educación Pública (SEP), los maestros participan en una marcha masiva, con el objetivo de que atiendan sus demandas, que van desde incrementos salariales hasta la abrogación de la Ley del ISSSTE de 2007.</t>
  </si>
  <si>
    <t>Ley del ISSSTE</t>
  </si>
  <si>
    <t>La secretaria de Gobernación, Rosa Icela Rodríguez, mantiene mesas de diálogo con la Coordinadora Nacional de Trabajadores de la Educación (CNTE), exhortándolos a privilegiar la vía institucional sobre las confrontaciones y evitar afectaciones a los ciudadanos en la Ciudad de México y otros estados.</t>
  </si>
  <si>
    <t>Una mujer de 29 años de edad, originaria de Colombia, fue rescatada por elementos de la Secretaría de Seguridad Pública de Hidalgo (SSPH) luego de que presuntamente fuera privada de la libertad por un grupo de sujetos cuando circulaba a bordo de una motocicleta en la colonia San Antonio, en la capital hidalguense. De acuerdo con los primeros reportes, la víctima habría sido interceptada por varios individuos, quienes la obligaron a subir a una camioneta gris; posteriormente, los presuntos responsables habrían exigido la cantidad de 150 mil pesos a cambio de liberarla. Tras recibir el reporte de los hechos, las autoridades estatales desplegaron un operativo de búsqueda y localización que permitió ubicar la unidad involucrada minutos después sobre el bulevar de acceso a Acayuca, en el municipio de Zapotlán de Juárez.</t>
  </si>
  <si>
    <t>Combate Al Secuestro</t>
  </si>
  <si>
    <t>Camioneta se pasa el alto e impacta al Tuzobús</t>
  </si>
  <si>
    <t>Accidente Tuzobús</t>
  </si>
  <si>
    <t>Elementos de la Secretaría de Seguridad Pública, Tránsito y Vialidad de Pachuca concluyeron una capacitación especializada en Identificación y Clonación de Vehículos, con el objetivo de fortalecer sus capacidades técnicas y operativas en labores de prevención, vigilancia y detección. La formación fue impartida por el National Insurance Crime Bureau y contó con la participación de alrededor de 100 elementos de la corporación municipal. Como parte del proceso, las y los participantes realizaron prácticas de campo enfocadas en la identificación, inspección y verificación de vehículos, además de ejercicios para detectar alteraciones y posibles indicios relacionados con unidades clonadas. La capacitación permitió reforzar herramientas técnicas y metodológicas que apoyarán el trabajo operativo del personal, especialmente en tareas de prevención, detección e investigación de posibles hechos relacionados con este tipo de irregularidades. De acuerdo con la corporación, estas acciones forman parte de la estrategia permanente de profesionalización de la Secretaría de Seguridad Pública, Tránsito y Vialidad de Pachuca, orientada a contar con elementos mejor preparados y con mayor capacidad de respuesta. Con este tipo de formación, la institución busca fortalecer la seguridad y proteger el patrimonio de las y los pachuqueños, mediante personal capacitado para actuar con mayor eficacia ante situaciones vinculadas con la identificación de vehículos.</t>
  </si>
  <si>
    <t>Capacitación policial</t>
  </si>
  <si>
    <t>Se venció el plazo de declaraciones patrimoniales</t>
  </si>
  <si>
    <t>Contraloría</t>
  </si>
  <si>
    <t>En vivo desde la conferencia matutina, Juan Carlos Santamaría informa que, durante su participación, Humberto Cabrera Román, director del Sistema Integrado de Transporte Masivo quien anunció que, a partir del próximo mes se estará encargado en su totalidad de la operación de este nuevo Sistema de Transporte Metropolitano. Asimismo, destacó la importancia de las nuevas unidades de alto desempeño, dijo, son unidades que podría circular en cualquier parte del mundo, en razón de que cumplen con regulaciones en diferentes ámbitos, entre ellas, las regulaciones ambientales, dijo que, las vagonetas que se integran el próximo mes, tendrán una disposición diferente de los asientos para mayor seguridad y comodidad de los usuarios, también contarán con cámara de monitoreo para el conductor y cámaras de seguridad para los usuarios. Explicó que, con estas nuevas unidades se reducirán los tiempos de espera, lo que hará más eficiente este transporte.</t>
  </si>
  <si>
    <t>En vivo desde la conferencia matutina, Juan Carlos Santamaría informa que, hace unos minutos, la secretaria de Movilidad y Transporte, Lizbeth Robles Gutiérrez ha dicho que la prioridad en esta modernización del Sistema de Transporte Masivo, ha sido, sentar las bases para una transformación de este sistema para hacerlos viable y eficiente financieramente. El Tuzobús se traslada a ser Sistema de Transporte Metropolitano entregándose en la primera etapa 80 unidades de allá tecnología, 42 para 80 pasajeros y 38 más para 50 pasajeros; en julio próximo, se estarán integrando 60 vagonetas. También habló acerca de la capacitación para conductores, así como una mejora en estaciones, puentes y paraderos. (AUDIO LRG).</t>
  </si>
  <si>
    <t>Inicia conferencia matutina semanal desde la Sala del Pueblo en Palacio de Gobierno, el coordinador general de Comunicación Gubernamental, Edmundo Pineda López da la bienvenida, informando que esta conferencia será relativa sobre la entrega de las nuevas unidades para el Tuzobús, estas unidades que ya estas dispuestas en Plaza Juárez.</t>
  </si>
  <si>
    <t>Locutor Juan Carlos Santamaría informó que, en la agenda de hoy, se realizará la entrega de las nuevas unidades del Tuzobús, mismas que, impactarán directamente en los habitantes de la zona metropolitana. Además de ser más modernos y adecuados para personas con discapacidad, estas nuevas unidades cuentan con elementos de infraestructura representativos de la capital y de municipios cómo Zempoala con los Arcos del Padre Tembleque. Dicho evento será encabezado por el gobernador Julio Menchaca.</t>
  </si>
  <si>
    <t>Un hombre de 31 años de edad fue lesionado por arma blanca la tarde de este domingo en el municipio de Alfajayucan, luego de ser atacado por una persona que logró huir del lugar. Ya se implementó un operativo, lamentablemente pues no se pudo detener al presunto responsable.</t>
  </si>
  <si>
    <t>Una persona perdió la vida la tarde del sábado luego de ser atacada con disparos de arma de fuego mientras circulaba a bordo de una motocicleta en la comunidad de Santa María Nativitas en el municipio de Tezontepec de Aldama.De acuerdo con información oficial, los hechos ocurrieron sobre la calle Melchor Campo, donde elementos de seguridad pública y tránsito municipal acudieron tras recibir un reporte de incidente vial. Al llegar al lugar, los agentes localizaron a un hombre tendido sobre la carpeta báltica con lesiones producidas por proyectil de arma de fuego. En el sitio también se encontraba una motocicleta de color negro con huellas de accidente.Durante la inspección de la zona, las autoridades localizaron un arma de fuego a varios metros del cuerpo.</t>
  </si>
  <si>
    <t>Autoridades sanitarias confirmaron el primer caso de gusano barrenador en el cerro del municipio de Acaxochitlán, situación que activó mediante medidas de vigilancia y prevención para evitar la propagación de esta infestación parasitaria. En acuerdo con los reportes, el animal fue diagnosticado tras presentar heridas con presencia de larvas, por lo que recibió atención especializada para controlar la afección y reducir riesgos sanitarios.Esto fue la semana pasada, de lo cual, pues digo, fue un cachorrito que andaba ahí caminando. Se da el aviso, en este caso llega Protección Civil, llega Sector Salud y de lo cual pues se hace el protocolo que se tiene que hacer y se le da el acompañamiento. Se está trabajando en conjunto con el Sector Salud, se están mandando las muestras, se está haciendo todo el protocolo que se tiene que hacer.</t>
  </si>
  <si>
    <t>Al inicio de este espacio que es tiempo ya, mire, ya es tiempo electoral y hay algunos actores políticos que aprovechan cualquier cosa para salir en la foto, para entregar, entre comillas, resultados. Es el caso de Mineral de la Reforma, mire, antes del fraccionamiento Cipreses en ese municipio, difundieron un video en el que expresan su inconformidad por la presencia del regidor de Movimiento Ciudadano, Víctor Juárez, durante la atención de una solicitud relacionada con el mejoramiento de una viabilidad en la zona.De acuerdo con los medios, las gestiones para atender la problemática fueron impulsadas directamente por los habitantes del fraccionamiento mediante diversas solicitudes realizadas durante varias semanas, pero el regidor, Víctor Juárez, quería saludar con sombrero ajeno. En su mensaje señalaron que el inmigrante del Cabildo no participó en el proceso, ni acompañó las peticiones presentadas por la comunidad ante las autoridades correspondientes. Solamente quería salir en la foto cuando yo hubiera resultados.</t>
  </si>
  <si>
    <t>Pavimentación</t>
  </si>
  <si>
    <t>En otros temas representantes de la comunidad de San Juan en el municipio de Tecozautla anunciaron que entregarán tres cartas dirigidas a autoridades de los distintos órdenes de gobierno para expresar su rechazo al proyecto fotovoltaico se pretende desarrollar en la zona de acuerdo con la información de la vocera de la comunidad.La documentación reúne firmas de habitantes que manifestó su postura respecto al proyecto denominado FV Tecozautla. El 9 de mayo la comunidad de San Juan Tecozautla en el estado de Hidalgo fue declarada por su asamblea pública como libre de explotación minera, hidrocarburos, generaciones de energía hidroeléctrica, así como de megaproyectos eólicos y solares que impliquen cambio de uso de suelo sin el consentimiento expreso de la comunidad. Mediante tres actas firmadas, una de una comunitaria, una digital, y una infantil juvenil rechazan el proyecto denominado FV Tecozautla de la empresa Green Park Energy. AUDIO DE APOYO COMUNITARIO.</t>
  </si>
  <si>
    <t>Parque Fotovoltaico</t>
  </si>
  <si>
    <t>En otros temas, la Procuraduría General de Justicia de Hidalgo inició un procedimiento ante el órgano interno de control para investigar la conducta del director general de la unidad especializada en el combate al secuestro, Manuel García Guzmán, luego de la difusión de un video en el que aparece participando en una celebración dentro de las instalaciones de la dependencia. Al ser cuestionado sobre el caso, el encargado del despacho de la Procuraduría de Hidalgo, Francisco Fernández Hasbún, confirmó que la investigación ya está en curso y advirtió que habrá consecuencias derivadas de la resolución que emita la instancia correspondiente. AUDIO DE APOYO</t>
  </si>
  <si>
    <t>Vamos, otra información, no fue película, no fue grabación de Netflix, no fue una telenovela, fue algo real, la rápida acción de los protocolos de videovigilancia y seguimiento permitió la detención de dos personas presuntamente relacionadas con el robo a un cuentahabiente ocurrido el pasado viernes 29 de mayo en Pachuca. De acuerdo con los reportes, la víctima había realizado retiros en sucursales bancarias ubicadas en una plaza comercial del capital hidalguense. Minutos después, mientras permanecía en un estacionamiento, fue interceptada por dos hombres que la despojaron de manera violenta del retirado. Tras la denuncia, al 911, personal de monitoreo del C5I identificó a los presuntos responsables cuando huían a bordo del vehículo Volkswagen Vento Gris, lo que derivó en un operativo de búsqueda en distintos puntos de la zona metropolitana. Esto sin duda afectó la circulación vial, era viernes, era quincena, imagínense usted todo el caos que generó este operativo importante de seguridad en varias salidas de la capital del estado. Las autoridades detectaron posteriormente que ambos descendieron de la unidad de este auto cerca de la central de autobuses de Pachuca para intentar abandonar la ciudad por separado,</t>
  </si>
  <si>
    <t>Hidalgo alista la apertura de una nueva ciudad deportiva de alto rendimiento, buscará concentrar en un mismo espacio entrenadores, asociaciones deportivas y atletas para fortalecer la preparación de talentos en la entidad. Hay que recordar que hace mucho no se atendía tanto, hoy se está atendiendo, hoy estamos buscando talento, estamos buscando talento para poder incorporar.Bien lo dice el director del instituto Oscar Pérez, tenía años que el deporte y la cultura era un tema secundario en las administraciones estatales y ahora eso ha cambiado. AUDIO DE APOYO</t>
  </si>
  <si>
    <t>Ciudad deportiva</t>
  </si>
  <si>
    <t>Parte del mensaje que se escuchó ayer en Plaza Juárez, aquí en Hidalgo, en la capital hidalguense, por parte de la doctora Claudia Sheinbaum. Y donde el gobernador de Hidalgo, Julio Menchaca Salazar, encabezó una concentración en la que reiteró el respaldo de la entidad a la presidenta de México, Claudia Sheinbaum, con motivo del mensaje que la mandataria federal ofreció al cumplir dos años de su triunfo electoral. De acuerdo con el gobierno estatal, 15 mil hidalguenses participaron en el acto realizado de manera simultánea. De acuerdo con el gobierno estatal, 15 mil hidalguenses participaron en el acto realizado de manera simultánea. El mandatario estatal también señaló que Hidalgo mantiene expectativas altas de desarrollo vinculadas a proyectos estratégicos impulsados por la federación, entre ellos, ya lo conoce usted, el tren de pasajeros AIFA en Pachuca, los polos de desarrollo para el bienestar y los programas de modernización sector agrícola. AUDIOS DE APYO CSP – JMS,</t>
  </si>
  <si>
    <t>Aniversario de la Transformación</t>
  </si>
  <si>
    <t>Como ya le mencionaba, el sistema del transporte masivo Tuzobús entrará en una nueva fase a partir de este lunes, con la incorporación de nuevas unidades y el inicio de la operación directa por parte del gobierno de Hidalgo. El gobernador Julio Machaca Salazar informó que el proyecto contempla una reingeniería integral del sistema orientada a mejorar las condiciones de servicio para las y los usuarios. Entre las acciones anunciadas se encuentra la renovación de autobuses, la modernización de estaciones y la rehabilitación de infraestructura que presenta deterioro acumulado desde hace varios años. AUDIO APOYO ENTREVISTA JMS</t>
  </si>
  <si>
    <t>Radioescucha Sr. Fidel reporta que en Piracantos, tienen más baches que habitantes</t>
  </si>
  <si>
    <t>Radioescucha reporta que la calle en donde está el velatorio del IMSS está en muy mal estado y tiene un bache muy grande</t>
  </si>
  <si>
    <t>Radioescucha comenta que todas las calles en Pachuca estan en mal estado, ojala puedan darle esa información al presidente municipal de Pachuca</t>
  </si>
  <si>
    <t>Radioescucha reporta que siguen sin arreglar los semáforos que están rumbo a Tulipanes por Chedraui, no funciona</t>
  </si>
  <si>
    <t>Radioescucha que en Bosques del Peñar, ya no solo batallamos por las calles en mal estado, tambien estamos batallando en la seguridad, la noche de ayer un tipo trato de abrir mi auto</t>
  </si>
  <si>
    <t>Radioescucha falta de agua en Valle del Palmar no cae con presión</t>
  </si>
  <si>
    <t>Radioescucha reporta en Venta Prieta calle 1ero de Mayo</t>
  </si>
  <si>
    <t>Elementos de protección civil y bomberos de Atitalaquia, en coordinación con policía y tránsito municipal,atendieron un accidente en las vías del tren de la entrada al parque industrial, donde un vehículo compacto fue impactado por la locomotora.De acuerdo con los hechos, el conductor del vehículo intentó ganarle el paso al tren, lo que provocó el impacto. Afortunadamente, no se reportaron personas lesionadas, solo daños materiales.Protección civil y bomberos recuerda a la ciudadanía la importancia de extremar medidas de seguridad al transitar por zonas aledañas a las vías del tren.</t>
  </si>
  <si>
    <t>- La presidenta Claudia Sheinbaum cumple dos años de su victoria en las elecciones presidenciales asegurando que en México no hay crisis a la vista, presume inversión extranjera histórica, avances en la reducción de delitos, la batería más grande de apoyos económicos para los más necesitados, y una lucha por la defensa de la soberanía</t>
  </si>
  <si>
    <t>Todo se encuentra listo en la Plaza Juárez para el arranque oficial de operaciones de las nuevas unidades que se incorporarán al Sistema de Transporte Metropolitano Tuzobús que será a las 11:00 AM, con el objetivo de fortalecer el servicio de movilidad en la zona metropolitana de Pachuca.</t>
  </si>
  <si>
    <t>En este momento reporta un accidente vial en Boulevard Felipe Ángeles, a la altura de las agencias de automóviles; confirman que fue un automóvil particular y un taxi. El accidente está invadiendo el carril del Tuzobús.</t>
  </si>
  <si>
    <t>El Instituto Mexicano del Seguro Social (IMSS) en Hidalgo, a través del Voluntariado hizo entrega e 36 kits con prótesis de mama artesanales a mujeres que han sido sometidas a un proceso de mastectomía, debido a que cursaron con diagnóstico de cáncer de mama.Esta entrega tiene como objetivo favorecer el bienestar físico, social y emocional de las mujeres, así como apoyar en su proceso de recuperación y fortalecimiento de la autoestima, el uso de estas prótesis ayuda a prevenir dolores cervicales y lumbares provocados por el desbalance de peso tras una mastectomía.</t>
  </si>
  <si>
    <t>Cáncer De Mama</t>
  </si>
  <si>
    <t>Como parte del Programa Nacional de Tecnificación de Riego impulsado por el Gobierno de México, la Comisión Nacional del Agua (Conagua) informó que en Hidalgo ya fueron revestidos cerca de 200 kilómetros de infraestructura hidráulica en la región del Valle del Mezquital.De acuerdo con la dependencia federal, la longitud intervenida equivale aproximadamente a recorrer por carretera la distancia entre Pachuca y Huejutla, una referencia utilizada para dimensionar el alcance de las obras ejecutadas en la entidad.</t>
  </si>
  <si>
    <t>Tecnificación De Riego</t>
  </si>
  <si>
    <t>La Primera Comisión Permanente de Legislación y Puntos Constitucionales del Congreso de Hidalgo aprobó este viernes 29 de mayo, por mayoría de votos, un dictamen que contempla diversas reformas y adiciones a la Constitución Política del Estado de Hidalgo en materia de austeridad presupuestaria y administrativa, igualdad sustantiva y paridad de género.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</si>
</sst>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177" tableType="queryTable" totalsRowShown="0">
  <autoFilter ref="A1:M177"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177"/>
  <sheetViews>
    <sheetView tabSelected="1" topLeftCell="A142" workbookViewId="0">
      <selection activeCell="B177" sqref="B177"/>
    </sheetView>
  </sheetViews>
  <sheetFormatPr baseColWidth="10" defaultRowHeight="15" x14ac:dyDescent="0.25"/>
  <cols>
    <col min="1" max="1" width="8.5703125" bestFit="1" customWidth="1"/>
    <col min="2" max="2" width="11.42578125" bestFit="1" customWidth="1"/>
    <col min="3" max="3" width="26" bestFit="1" customWidth="1"/>
    <col min="4" max="4" width="35.5703125" bestFit="1" customWidth="1"/>
    <col min="5" max="5" width="81.140625" bestFit="1" customWidth="1"/>
    <col min="6" max="6" width="15.28515625" bestFit="1" customWidth="1"/>
    <col min="7" max="7" width="30.85546875" bestFit="1" customWidth="1"/>
    <col min="8" max="8" width="11" bestFit="1" customWidth="1"/>
    <col min="9" max="9" width="11.140625" bestFit="1" customWidth="1"/>
    <col min="10" max="10" width="25.7109375" bestFit="1" customWidth="1"/>
    <col min="11" max="11" width="22.28515625" bestFit="1" customWidth="1"/>
    <col min="12" max="12" width="10"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37</v>
      </c>
      <c r="C1" t="s">
        <v>38</v>
      </c>
      <c r="D1" t="s">
        <v>39</v>
      </c>
      <c r="E1" t="s">
        <v>1</v>
      </c>
      <c r="F1" t="s">
        <v>2</v>
      </c>
      <c r="G1" t="s">
        <v>4</v>
      </c>
      <c r="H1" t="s">
        <v>3</v>
      </c>
      <c r="I1" t="s">
        <v>5</v>
      </c>
      <c r="J1" t="s">
        <v>40</v>
      </c>
      <c r="K1" t="s">
        <v>41</v>
      </c>
      <c r="L1" t="s">
        <v>42</v>
      </c>
      <c r="M1" t="s">
        <v>49</v>
      </c>
    </row>
    <row r="2" spans="1:13" x14ac:dyDescent="0.25">
      <c r="A2" s="2">
        <v>46171</v>
      </c>
      <c r="B2" s="1" t="str">
        <f ca="1">IF(Información1[[#This Row],[Fecha]]='Ajuste de fechas'!$A$2,"Día actual","Día anterior")</f>
        <v>Día anterior</v>
      </c>
      <c r="C2" t="s">
        <v>32</v>
      </c>
      <c r="D2" t="s">
        <v>33</v>
      </c>
      <c r="E2" t="s">
        <v>110</v>
      </c>
      <c r="F2" t="s">
        <v>19</v>
      </c>
      <c r="G2" t="s">
        <v>111</v>
      </c>
      <c r="H2" t="s">
        <v>93</v>
      </c>
      <c r="I2" t="s">
        <v>25</v>
      </c>
      <c r="J2" t="s">
        <v>47</v>
      </c>
      <c r="K2" t="s">
        <v>27</v>
      </c>
      <c r="L2" t="s">
        <v>44</v>
      </c>
      <c r="M2">
        <v>3</v>
      </c>
    </row>
    <row r="3" spans="1:13" x14ac:dyDescent="0.25">
      <c r="A3" s="2">
        <v>46171</v>
      </c>
      <c r="B3" s="1" t="str">
        <f ca="1">IF(Información1[[#This Row],[Fecha]]='Ajuste de fechas'!$A$2,"Día actual","Día anterior")</f>
        <v>Día anterior</v>
      </c>
      <c r="C3" t="s">
        <v>32</v>
      </c>
      <c r="D3" t="s">
        <v>33</v>
      </c>
      <c r="E3" t="s">
        <v>112</v>
      </c>
      <c r="F3" t="s">
        <v>19</v>
      </c>
      <c r="G3" t="s">
        <v>94</v>
      </c>
      <c r="H3" t="s">
        <v>93</v>
      </c>
      <c r="I3" t="s">
        <v>25</v>
      </c>
      <c r="J3" t="s">
        <v>47</v>
      </c>
      <c r="K3" t="s">
        <v>27</v>
      </c>
      <c r="L3" t="s">
        <v>44</v>
      </c>
      <c r="M3">
        <v>3</v>
      </c>
    </row>
    <row r="4" spans="1:13" x14ac:dyDescent="0.25">
      <c r="A4" s="2">
        <v>46171</v>
      </c>
      <c r="B4" s="1" t="str">
        <f ca="1">IF(Información1[[#This Row],[Fecha]]='Ajuste de fechas'!$A$2,"Día actual","Día anterior")</f>
        <v>Día anterior</v>
      </c>
      <c r="C4" t="s">
        <v>32</v>
      </c>
      <c r="D4" t="s">
        <v>33</v>
      </c>
      <c r="E4" t="s">
        <v>113</v>
      </c>
      <c r="F4" t="s">
        <v>101</v>
      </c>
      <c r="G4" t="s">
        <v>114</v>
      </c>
      <c r="H4" t="s">
        <v>93</v>
      </c>
      <c r="I4" t="s">
        <v>25</v>
      </c>
      <c r="J4" t="s">
        <v>43</v>
      </c>
      <c r="K4" t="s">
        <v>27</v>
      </c>
      <c r="L4" t="s">
        <v>44</v>
      </c>
      <c r="M4">
        <v>3</v>
      </c>
    </row>
    <row r="5" spans="1:13" x14ac:dyDescent="0.25">
      <c r="A5" s="2">
        <v>46171</v>
      </c>
      <c r="B5" s="1" t="str">
        <f ca="1">IF(Información1[[#This Row],[Fecha]]='Ajuste de fechas'!$A$2,"Día actual","Día anterior")</f>
        <v>Día anterior</v>
      </c>
      <c r="C5" t="s">
        <v>32</v>
      </c>
      <c r="D5" t="s">
        <v>33</v>
      </c>
      <c r="E5" t="s">
        <v>115</v>
      </c>
      <c r="F5" t="s">
        <v>116</v>
      </c>
      <c r="G5" t="s">
        <v>117</v>
      </c>
      <c r="H5" t="s">
        <v>93</v>
      </c>
      <c r="I5" t="s">
        <v>7</v>
      </c>
      <c r="J5" t="s">
        <v>24</v>
      </c>
      <c r="K5" t="s">
        <v>27</v>
      </c>
      <c r="L5" t="s">
        <v>44</v>
      </c>
      <c r="M5">
        <v>3</v>
      </c>
    </row>
    <row r="6" spans="1:13" x14ac:dyDescent="0.25">
      <c r="A6" s="2">
        <v>46171</v>
      </c>
      <c r="B6" s="1" t="str">
        <f ca="1">IF(Información1[[#This Row],[Fecha]]='Ajuste de fechas'!$A$2,"Día actual","Día anterior")</f>
        <v>Día anterior</v>
      </c>
      <c r="C6" t="s">
        <v>32</v>
      </c>
      <c r="D6" t="s">
        <v>33</v>
      </c>
      <c r="E6" t="s">
        <v>118</v>
      </c>
      <c r="F6" t="s">
        <v>23</v>
      </c>
      <c r="G6" t="s">
        <v>85</v>
      </c>
      <c r="H6" t="s">
        <v>93</v>
      </c>
      <c r="I6" t="s">
        <v>7</v>
      </c>
      <c r="J6" t="s">
        <v>43</v>
      </c>
      <c r="K6" t="s">
        <v>27</v>
      </c>
      <c r="L6" t="s">
        <v>46</v>
      </c>
      <c r="M6">
        <v>3</v>
      </c>
    </row>
    <row r="7" spans="1:13" x14ac:dyDescent="0.25">
      <c r="A7" s="2">
        <v>46171</v>
      </c>
      <c r="B7" s="1" t="str">
        <f ca="1">IF(Información1[[#This Row],[Fecha]]='Ajuste de fechas'!$A$2,"Día actual","Día anterior")</f>
        <v>Día anterior</v>
      </c>
      <c r="C7" t="s">
        <v>32</v>
      </c>
      <c r="D7" t="s">
        <v>33</v>
      </c>
      <c r="E7" t="s">
        <v>119</v>
      </c>
      <c r="F7" t="s">
        <v>22</v>
      </c>
      <c r="G7" t="s">
        <v>92</v>
      </c>
      <c r="H7" t="s">
        <v>93</v>
      </c>
      <c r="I7" t="s">
        <v>7</v>
      </c>
      <c r="J7" t="s">
        <v>48</v>
      </c>
      <c r="K7" t="s">
        <v>27</v>
      </c>
      <c r="L7" t="s">
        <v>44</v>
      </c>
      <c r="M7">
        <v>3</v>
      </c>
    </row>
    <row r="8" spans="1:13" x14ac:dyDescent="0.25">
      <c r="A8" s="2">
        <v>46171</v>
      </c>
      <c r="B8" s="1" t="str">
        <f ca="1">IF(Información1[[#This Row],[Fecha]]='Ajuste de fechas'!$A$2,"Día actual","Día anterior")</f>
        <v>Día anterior</v>
      </c>
      <c r="C8" t="s">
        <v>32</v>
      </c>
      <c r="D8" t="s">
        <v>33</v>
      </c>
      <c r="E8" t="s">
        <v>120</v>
      </c>
      <c r="F8" t="s">
        <v>53</v>
      </c>
      <c r="G8" t="s">
        <v>90</v>
      </c>
      <c r="H8" t="s">
        <v>93</v>
      </c>
      <c r="I8" t="s">
        <v>7</v>
      </c>
      <c r="J8" t="s">
        <v>43</v>
      </c>
      <c r="K8" t="s">
        <v>27</v>
      </c>
      <c r="L8" t="s">
        <v>46</v>
      </c>
      <c r="M8">
        <v>3</v>
      </c>
    </row>
    <row r="9" spans="1:13" x14ac:dyDescent="0.25">
      <c r="A9" s="2">
        <v>46171</v>
      </c>
      <c r="B9" s="1" t="str">
        <f ca="1">IF(Información1[[#This Row],[Fecha]]='Ajuste de fechas'!$A$2,"Día actual","Día anterior")</f>
        <v>Día anterior</v>
      </c>
      <c r="C9" t="s">
        <v>32</v>
      </c>
      <c r="D9" t="s">
        <v>33</v>
      </c>
      <c r="E9" t="s">
        <v>121</v>
      </c>
      <c r="F9" t="s">
        <v>19</v>
      </c>
      <c r="G9" t="s">
        <v>122</v>
      </c>
      <c r="H9" t="s">
        <v>93</v>
      </c>
      <c r="I9" t="s">
        <v>7</v>
      </c>
      <c r="J9" t="s">
        <v>47</v>
      </c>
      <c r="K9" t="s">
        <v>27</v>
      </c>
      <c r="L9" t="s">
        <v>44</v>
      </c>
      <c r="M9">
        <v>3</v>
      </c>
    </row>
    <row r="10" spans="1:13" x14ac:dyDescent="0.25">
      <c r="A10" s="2">
        <v>46171</v>
      </c>
      <c r="B10" s="1" t="str">
        <f ca="1">IF(Información1[[#This Row],[Fecha]]='Ajuste de fechas'!$A$2,"Día actual","Día anterior")</f>
        <v>Día anterior</v>
      </c>
      <c r="C10" t="s">
        <v>32</v>
      </c>
      <c r="D10" t="s">
        <v>33</v>
      </c>
      <c r="E10" t="s">
        <v>123</v>
      </c>
      <c r="F10" t="s">
        <v>19</v>
      </c>
      <c r="G10" t="s">
        <v>105</v>
      </c>
      <c r="H10" t="s">
        <v>93</v>
      </c>
      <c r="I10" t="s">
        <v>7</v>
      </c>
      <c r="J10" t="s">
        <v>47</v>
      </c>
      <c r="K10" t="s">
        <v>27</v>
      </c>
      <c r="L10" t="s">
        <v>44</v>
      </c>
      <c r="M10">
        <v>3</v>
      </c>
    </row>
    <row r="11" spans="1:13" x14ac:dyDescent="0.25">
      <c r="A11" s="2">
        <v>46171</v>
      </c>
      <c r="B11" s="1" t="str">
        <f ca="1">IF(Información1[[#This Row],[Fecha]]='Ajuste de fechas'!$A$2,"Día actual","Día anterior")</f>
        <v>Día anterior</v>
      </c>
      <c r="C11" t="s">
        <v>32</v>
      </c>
      <c r="D11" t="s">
        <v>33</v>
      </c>
      <c r="E11" t="s">
        <v>124</v>
      </c>
      <c r="F11" t="s">
        <v>34</v>
      </c>
      <c r="G11" t="s">
        <v>125</v>
      </c>
      <c r="H11" t="s">
        <v>93</v>
      </c>
      <c r="I11" t="s">
        <v>7</v>
      </c>
      <c r="J11" t="s">
        <v>43</v>
      </c>
      <c r="K11" t="s">
        <v>27</v>
      </c>
      <c r="L11" t="s">
        <v>46</v>
      </c>
      <c r="M11">
        <v>3</v>
      </c>
    </row>
    <row r="12" spans="1:13" x14ac:dyDescent="0.25">
      <c r="A12" s="2">
        <v>46171</v>
      </c>
      <c r="B12" s="1" t="str">
        <f ca="1">IF(Información1[[#This Row],[Fecha]]='Ajuste de fechas'!$A$2,"Día actual","Día anterior")</f>
        <v>Día anterior</v>
      </c>
      <c r="C12" t="s">
        <v>32</v>
      </c>
      <c r="D12" t="s">
        <v>33</v>
      </c>
      <c r="E12" t="s">
        <v>126</v>
      </c>
      <c r="F12" t="s">
        <v>101</v>
      </c>
      <c r="H12" t="s">
        <v>93</v>
      </c>
      <c r="I12" t="s">
        <v>7</v>
      </c>
      <c r="J12" t="s">
        <v>43</v>
      </c>
      <c r="K12" t="s">
        <v>27</v>
      </c>
      <c r="L12" t="s">
        <v>46</v>
      </c>
      <c r="M12">
        <v>3</v>
      </c>
    </row>
    <row r="13" spans="1:13" x14ac:dyDescent="0.25">
      <c r="A13" s="2">
        <v>46171</v>
      </c>
      <c r="B13" s="1" t="str">
        <f ca="1">IF(Información1[[#This Row],[Fecha]]='Ajuste de fechas'!$A$2,"Día actual","Día anterior")</f>
        <v>Día anterior</v>
      </c>
      <c r="C13" t="s">
        <v>32</v>
      </c>
      <c r="D13" t="s">
        <v>33</v>
      </c>
      <c r="E13" t="s">
        <v>127</v>
      </c>
      <c r="F13" t="s">
        <v>53</v>
      </c>
      <c r="H13" t="s">
        <v>93</v>
      </c>
      <c r="I13" t="s">
        <v>25</v>
      </c>
      <c r="J13" t="s">
        <v>43</v>
      </c>
      <c r="K13" t="s">
        <v>27</v>
      </c>
      <c r="L13" t="s">
        <v>44</v>
      </c>
      <c r="M13">
        <v>3</v>
      </c>
    </row>
    <row r="14" spans="1:13" x14ac:dyDescent="0.25">
      <c r="A14" s="2">
        <v>46171</v>
      </c>
      <c r="B14" s="1" t="str">
        <f ca="1">IF(Información1[[#This Row],[Fecha]]='Ajuste de fechas'!$A$2,"Día actual","Día anterior")</f>
        <v>Día anterior</v>
      </c>
      <c r="C14" t="s">
        <v>32</v>
      </c>
      <c r="D14" t="s">
        <v>33</v>
      </c>
      <c r="E14" t="s">
        <v>128</v>
      </c>
      <c r="F14" t="s">
        <v>15</v>
      </c>
      <c r="G14" t="s">
        <v>97</v>
      </c>
      <c r="H14" t="s">
        <v>93</v>
      </c>
      <c r="I14" t="s">
        <v>25</v>
      </c>
      <c r="J14" t="s">
        <v>43</v>
      </c>
      <c r="K14" t="s">
        <v>27</v>
      </c>
      <c r="L14" t="s">
        <v>45</v>
      </c>
      <c r="M14">
        <v>3</v>
      </c>
    </row>
    <row r="15" spans="1:13" x14ac:dyDescent="0.25">
      <c r="A15" s="2">
        <v>46171</v>
      </c>
      <c r="B15" s="1" t="str">
        <f ca="1">IF(Información1[[#This Row],[Fecha]]='Ajuste de fechas'!$A$2,"Día actual","Día anterior")</f>
        <v>Día anterior</v>
      </c>
      <c r="C15" t="s">
        <v>32</v>
      </c>
      <c r="D15" t="s">
        <v>33</v>
      </c>
      <c r="E15" t="s">
        <v>129</v>
      </c>
      <c r="F15" t="s">
        <v>21</v>
      </c>
      <c r="H15" t="s">
        <v>93</v>
      </c>
      <c r="I15" t="s">
        <v>7</v>
      </c>
      <c r="J15" t="s">
        <v>43</v>
      </c>
      <c r="K15" t="s">
        <v>27</v>
      </c>
      <c r="L15" t="s">
        <v>46</v>
      </c>
      <c r="M15">
        <v>3</v>
      </c>
    </row>
    <row r="16" spans="1:13" x14ac:dyDescent="0.25">
      <c r="A16" s="2">
        <v>46171</v>
      </c>
      <c r="B16" s="1" t="str">
        <f ca="1">IF(Información1[[#This Row],[Fecha]]='Ajuste de fechas'!$A$2,"Día actual","Día anterior")</f>
        <v>Día anterior</v>
      </c>
      <c r="C16" t="s">
        <v>32</v>
      </c>
      <c r="D16" t="s">
        <v>33</v>
      </c>
      <c r="E16" t="s">
        <v>130</v>
      </c>
      <c r="F16" t="s">
        <v>26</v>
      </c>
      <c r="G16" t="s">
        <v>62</v>
      </c>
      <c r="H16" t="s">
        <v>93</v>
      </c>
      <c r="I16" t="s">
        <v>7</v>
      </c>
      <c r="J16" t="s">
        <v>43</v>
      </c>
      <c r="K16" t="s">
        <v>27</v>
      </c>
      <c r="L16" t="s">
        <v>46</v>
      </c>
      <c r="M16">
        <v>3</v>
      </c>
    </row>
    <row r="17" spans="1:13" x14ac:dyDescent="0.25">
      <c r="A17" s="2">
        <v>46171</v>
      </c>
      <c r="B17" s="1" t="str">
        <f ca="1">IF(Información1[[#This Row],[Fecha]]='Ajuste de fechas'!$A$2,"Día actual","Día anterior")</f>
        <v>Día anterior</v>
      </c>
      <c r="C17" t="s">
        <v>32</v>
      </c>
      <c r="D17" t="s">
        <v>33</v>
      </c>
      <c r="E17" t="s">
        <v>131</v>
      </c>
      <c r="F17" t="s">
        <v>26</v>
      </c>
      <c r="G17" t="s">
        <v>62</v>
      </c>
      <c r="H17" t="s">
        <v>93</v>
      </c>
      <c r="I17" t="s">
        <v>7</v>
      </c>
      <c r="J17" t="s">
        <v>43</v>
      </c>
      <c r="K17" t="s">
        <v>27</v>
      </c>
      <c r="L17" t="s">
        <v>46</v>
      </c>
      <c r="M17">
        <v>3</v>
      </c>
    </row>
    <row r="18" spans="1:13" x14ac:dyDescent="0.25">
      <c r="A18" s="2">
        <v>46171</v>
      </c>
      <c r="B18" s="1" t="str">
        <f ca="1">IF(Información1[[#This Row],[Fecha]]='Ajuste de fechas'!$A$2,"Día actual","Día anterior")</f>
        <v>Día anterior</v>
      </c>
      <c r="C18" t="s">
        <v>106</v>
      </c>
      <c r="D18" t="s">
        <v>107</v>
      </c>
      <c r="E18" t="s">
        <v>120</v>
      </c>
      <c r="F18" t="s">
        <v>53</v>
      </c>
      <c r="G18" t="s">
        <v>90</v>
      </c>
      <c r="H18" t="s">
        <v>11</v>
      </c>
      <c r="I18" t="s">
        <v>7</v>
      </c>
      <c r="J18" t="s">
        <v>43</v>
      </c>
      <c r="K18" t="s">
        <v>108</v>
      </c>
      <c r="L18" t="s">
        <v>46</v>
      </c>
      <c r="M18">
        <v>2</v>
      </c>
    </row>
    <row r="19" spans="1:13" x14ac:dyDescent="0.25">
      <c r="A19" s="2">
        <v>46171</v>
      </c>
      <c r="B19" s="1" t="str">
        <f ca="1">IF(Información1[[#This Row],[Fecha]]='Ajuste de fechas'!$A$2,"Día actual","Día anterior")</f>
        <v>Día anterior</v>
      </c>
      <c r="C19" t="s">
        <v>106</v>
      </c>
      <c r="D19" t="s">
        <v>107</v>
      </c>
      <c r="E19" t="s">
        <v>132</v>
      </c>
      <c r="F19" t="s">
        <v>19</v>
      </c>
      <c r="G19" t="s">
        <v>133</v>
      </c>
      <c r="H19" t="s">
        <v>11</v>
      </c>
      <c r="I19" t="s">
        <v>7</v>
      </c>
      <c r="J19" t="s">
        <v>47</v>
      </c>
      <c r="K19" t="s">
        <v>108</v>
      </c>
      <c r="L19" t="s">
        <v>44</v>
      </c>
      <c r="M19">
        <v>2</v>
      </c>
    </row>
    <row r="20" spans="1:13" x14ac:dyDescent="0.25">
      <c r="A20" s="2">
        <v>46171</v>
      </c>
      <c r="B20" s="1" t="str">
        <f ca="1">IF(Información1[[#This Row],[Fecha]]='Ajuste de fechas'!$A$2,"Día actual","Día anterior")</f>
        <v>Día anterior</v>
      </c>
      <c r="C20" t="s">
        <v>106</v>
      </c>
      <c r="D20" t="s">
        <v>107</v>
      </c>
      <c r="E20" t="s">
        <v>134</v>
      </c>
      <c r="F20" t="s">
        <v>53</v>
      </c>
      <c r="G20" t="s">
        <v>102</v>
      </c>
      <c r="H20" t="s">
        <v>11</v>
      </c>
      <c r="I20" t="s">
        <v>7</v>
      </c>
      <c r="J20" t="s">
        <v>43</v>
      </c>
      <c r="K20" t="s">
        <v>108</v>
      </c>
      <c r="L20" t="s">
        <v>44</v>
      </c>
      <c r="M20">
        <v>2</v>
      </c>
    </row>
    <row r="21" spans="1:13" x14ac:dyDescent="0.25">
      <c r="A21" s="2">
        <v>46171</v>
      </c>
      <c r="B21" s="1" t="str">
        <f ca="1">IF(Información1[[#This Row],[Fecha]]='Ajuste de fechas'!$A$2,"Día actual","Día anterior")</f>
        <v>Día anterior</v>
      </c>
      <c r="C21" t="s">
        <v>106</v>
      </c>
      <c r="D21" t="s">
        <v>107</v>
      </c>
      <c r="E21" t="s">
        <v>131</v>
      </c>
      <c r="F21" t="s">
        <v>26</v>
      </c>
      <c r="G21" t="s">
        <v>62</v>
      </c>
      <c r="H21" t="s">
        <v>11</v>
      </c>
      <c r="I21" t="s">
        <v>7</v>
      </c>
      <c r="J21" t="s">
        <v>43</v>
      </c>
      <c r="K21" t="s">
        <v>108</v>
      </c>
      <c r="L21" t="s">
        <v>46</v>
      </c>
      <c r="M21">
        <v>2</v>
      </c>
    </row>
    <row r="22" spans="1:13" x14ac:dyDescent="0.25">
      <c r="A22" s="2">
        <v>46171</v>
      </c>
      <c r="B22" s="1" t="str">
        <f ca="1">IF(Información1[[#This Row],[Fecha]]='Ajuste de fechas'!$A$2,"Día actual","Día anterior")</f>
        <v>Día anterior</v>
      </c>
      <c r="C22" t="s">
        <v>106</v>
      </c>
      <c r="D22" t="s">
        <v>107</v>
      </c>
      <c r="E22" t="s">
        <v>135</v>
      </c>
      <c r="F22" t="s">
        <v>24</v>
      </c>
      <c r="G22" t="s">
        <v>136</v>
      </c>
      <c r="H22" t="s">
        <v>11</v>
      </c>
      <c r="I22" t="s">
        <v>7</v>
      </c>
      <c r="J22" t="s">
        <v>24</v>
      </c>
      <c r="K22" t="s">
        <v>108</v>
      </c>
      <c r="L22" t="s">
        <v>44</v>
      </c>
      <c r="M22">
        <v>2</v>
      </c>
    </row>
    <row r="23" spans="1:13" x14ac:dyDescent="0.25">
      <c r="A23" s="2">
        <v>46171</v>
      </c>
      <c r="B23" s="1" t="str">
        <f ca="1">IF(Información1[[#This Row],[Fecha]]='Ajuste de fechas'!$A$2,"Día actual","Día anterior")</f>
        <v>Día anterior</v>
      </c>
      <c r="C23" t="s">
        <v>106</v>
      </c>
      <c r="D23" t="s">
        <v>107</v>
      </c>
      <c r="E23" t="s">
        <v>137</v>
      </c>
      <c r="F23" t="s">
        <v>26</v>
      </c>
      <c r="G23" t="s">
        <v>138</v>
      </c>
      <c r="H23" t="s">
        <v>11</v>
      </c>
      <c r="I23" t="s">
        <v>7</v>
      </c>
      <c r="J23" t="s">
        <v>43</v>
      </c>
      <c r="K23" t="s">
        <v>108</v>
      </c>
      <c r="L23" t="s">
        <v>44</v>
      </c>
      <c r="M23">
        <v>2</v>
      </c>
    </row>
    <row r="24" spans="1:13" x14ac:dyDescent="0.25">
      <c r="A24" s="2">
        <v>46171</v>
      </c>
      <c r="B24" s="1" t="str">
        <f ca="1">IF(Información1[[#This Row],[Fecha]]='Ajuste de fechas'!$A$2,"Día actual","Día anterior")</f>
        <v>Día anterior</v>
      </c>
      <c r="C24" t="s">
        <v>106</v>
      </c>
      <c r="D24" t="s">
        <v>107</v>
      </c>
      <c r="E24" t="s">
        <v>139</v>
      </c>
      <c r="F24" t="s">
        <v>22</v>
      </c>
      <c r="G24" t="s">
        <v>140</v>
      </c>
      <c r="H24" t="s">
        <v>11</v>
      </c>
      <c r="I24" t="s">
        <v>7</v>
      </c>
      <c r="J24" t="s">
        <v>48</v>
      </c>
      <c r="K24" t="s">
        <v>108</v>
      </c>
      <c r="L24" t="s">
        <v>76</v>
      </c>
      <c r="M24">
        <v>2</v>
      </c>
    </row>
    <row r="25" spans="1:13" x14ac:dyDescent="0.25">
      <c r="A25" s="2">
        <v>46171</v>
      </c>
      <c r="B25" s="1" t="str">
        <f ca="1">IF(Información1[[#This Row],[Fecha]]='Ajuste de fechas'!$A$2,"Día actual","Día anterior")</f>
        <v>Día anterior</v>
      </c>
      <c r="C25" t="s">
        <v>106</v>
      </c>
      <c r="D25" t="s">
        <v>107</v>
      </c>
      <c r="E25" t="s">
        <v>141</v>
      </c>
      <c r="F25" t="s">
        <v>67</v>
      </c>
      <c r="G25" t="s">
        <v>86</v>
      </c>
      <c r="H25" t="s">
        <v>11</v>
      </c>
      <c r="I25" t="s">
        <v>7</v>
      </c>
      <c r="J25" t="s">
        <v>24</v>
      </c>
      <c r="K25" t="s">
        <v>108</v>
      </c>
      <c r="L25" t="s">
        <v>44</v>
      </c>
      <c r="M25">
        <v>2</v>
      </c>
    </row>
    <row r="26" spans="1:13" x14ac:dyDescent="0.25">
      <c r="A26" s="2">
        <v>46171</v>
      </c>
      <c r="B26" s="1" t="str">
        <f ca="1">IF(Información1[[#This Row],[Fecha]]='Ajuste de fechas'!$A$2,"Día actual","Día anterior")</f>
        <v>Día anterior</v>
      </c>
      <c r="C26" t="s">
        <v>106</v>
      </c>
      <c r="D26" t="s">
        <v>107</v>
      </c>
      <c r="E26" t="s">
        <v>142</v>
      </c>
      <c r="F26" t="s">
        <v>67</v>
      </c>
      <c r="G26" t="s">
        <v>68</v>
      </c>
      <c r="H26" t="s">
        <v>11</v>
      </c>
      <c r="I26" t="s">
        <v>7</v>
      </c>
      <c r="J26" t="s">
        <v>24</v>
      </c>
      <c r="K26" t="s">
        <v>108</v>
      </c>
      <c r="L26" t="s">
        <v>45</v>
      </c>
      <c r="M26">
        <v>2</v>
      </c>
    </row>
    <row r="27" spans="1:13" x14ac:dyDescent="0.25">
      <c r="A27" s="2">
        <v>46171</v>
      </c>
      <c r="B27" s="1" t="str">
        <f ca="1">IF(Información1[[#This Row],[Fecha]]='Ajuste de fechas'!$A$2,"Día actual","Día anterior")</f>
        <v>Día anterior</v>
      </c>
      <c r="C27" t="s">
        <v>106</v>
      </c>
      <c r="D27" t="s">
        <v>107</v>
      </c>
      <c r="E27" t="s">
        <v>143</v>
      </c>
      <c r="F27" t="s">
        <v>67</v>
      </c>
      <c r="G27" t="s">
        <v>68</v>
      </c>
      <c r="H27" t="s">
        <v>11</v>
      </c>
      <c r="I27" t="s">
        <v>7</v>
      </c>
      <c r="J27" t="s">
        <v>24</v>
      </c>
      <c r="K27" t="s">
        <v>108</v>
      </c>
      <c r="L27" t="s">
        <v>44</v>
      </c>
      <c r="M27">
        <v>2</v>
      </c>
    </row>
    <row r="28" spans="1:13" x14ac:dyDescent="0.25">
      <c r="A28" s="2">
        <v>46171</v>
      </c>
      <c r="B28" s="1" t="str">
        <f ca="1">IF(Información1[[#This Row],[Fecha]]='Ajuste de fechas'!$A$2,"Día actual","Día anterior")</f>
        <v>Día anterior</v>
      </c>
      <c r="C28" t="s">
        <v>106</v>
      </c>
      <c r="D28" t="s">
        <v>107</v>
      </c>
      <c r="E28" t="s">
        <v>144</v>
      </c>
      <c r="F28" t="s">
        <v>19</v>
      </c>
      <c r="G28" t="s">
        <v>145</v>
      </c>
      <c r="H28" t="s">
        <v>11</v>
      </c>
      <c r="I28" t="s">
        <v>7</v>
      </c>
      <c r="J28" t="s">
        <v>47</v>
      </c>
      <c r="K28" t="s">
        <v>108</v>
      </c>
      <c r="L28" t="s">
        <v>44</v>
      </c>
      <c r="M28">
        <v>2</v>
      </c>
    </row>
    <row r="29" spans="1:13" x14ac:dyDescent="0.25">
      <c r="A29" s="2">
        <v>46171</v>
      </c>
      <c r="B29" s="1" t="str">
        <f ca="1">IF(Información1[[#This Row],[Fecha]]='Ajuste de fechas'!$A$2,"Día actual","Día anterior")</f>
        <v>Día anterior</v>
      </c>
      <c r="C29" t="s">
        <v>106</v>
      </c>
      <c r="D29" t="s">
        <v>107</v>
      </c>
      <c r="E29" t="s">
        <v>109</v>
      </c>
      <c r="F29" t="s">
        <v>19</v>
      </c>
      <c r="G29" t="s">
        <v>92</v>
      </c>
      <c r="H29" t="s">
        <v>11</v>
      </c>
      <c r="I29" t="s">
        <v>7</v>
      </c>
      <c r="J29" t="s">
        <v>47</v>
      </c>
      <c r="K29" t="s">
        <v>108</v>
      </c>
      <c r="L29" t="s">
        <v>44</v>
      </c>
      <c r="M29">
        <v>2</v>
      </c>
    </row>
    <row r="30" spans="1:13" x14ac:dyDescent="0.25">
      <c r="A30" s="2">
        <v>46171</v>
      </c>
      <c r="B30" s="1" t="str">
        <f ca="1">IF(Información1[[#This Row],[Fecha]]='Ajuste de fechas'!$A$2,"Día actual","Día anterior")</f>
        <v>Día anterior</v>
      </c>
      <c r="C30" t="s">
        <v>106</v>
      </c>
      <c r="D30" t="s">
        <v>107</v>
      </c>
      <c r="E30" t="s">
        <v>146</v>
      </c>
      <c r="F30" t="s">
        <v>19</v>
      </c>
      <c r="G30" t="s">
        <v>147</v>
      </c>
      <c r="H30" t="s">
        <v>11</v>
      </c>
      <c r="I30" t="s">
        <v>7</v>
      </c>
      <c r="J30" t="s">
        <v>47</v>
      </c>
      <c r="K30" t="s">
        <v>108</v>
      </c>
      <c r="L30" t="s">
        <v>44</v>
      </c>
      <c r="M30">
        <v>2</v>
      </c>
    </row>
    <row r="31" spans="1:13" x14ac:dyDescent="0.25">
      <c r="A31" s="2">
        <v>46171</v>
      </c>
      <c r="B31" s="1" t="str">
        <f ca="1">IF(Información1[[#This Row],[Fecha]]='Ajuste de fechas'!$A$2,"Día actual","Día anterior")</f>
        <v>Día anterior</v>
      </c>
      <c r="C31" t="s">
        <v>106</v>
      </c>
      <c r="D31" t="s">
        <v>107</v>
      </c>
      <c r="E31" t="s">
        <v>148</v>
      </c>
      <c r="F31" t="s">
        <v>19</v>
      </c>
      <c r="G31" t="s">
        <v>149</v>
      </c>
      <c r="H31" t="s">
        <v>11</v>
      </c>
      <c r="I31" t="s">
        <v>7</v>
      </c>
      <c r="J31" t="s">
        <v>47</v>
      </c>
      <c r="K31" t="s">
        <v>108</v>
      </c>
      <c r="L31" t="s">
        <v>44</v>
      </c>
      <c r="M31">
        <v>2</v>
      </c>
    </row>
    <row r="32" spans="1:13" x14ac:dyDescent="0.25">
      <c r="A32" s="2">
        <v>46171</v>
      </c>
      <c r="B32" s="1" t="str">
        <f ca="1">IF(Información1[[#This Row],[Fecha]]='Ajuste de fechas'!$A$2,"Día actual","Día anterior")</f>
        <v>Día anterior</v>
      </c>
      <c r="C32" t="s">
        <v>106</v>
      </c>
      <c r="D32" t="s">
        <v>107</v>
      </c>
      <c r="E32" t="s">
        <v>150</v>
      </c>
      <c r="F32" t="s">
        <v>79</v>
      </c>
      <c r="G32" t="s">
        <v>151</v>
      </c>
      <c r="H32" t="s">
        <v>11</v>
      </c>
      <c r="I32" t="s">
        <v>7</v>
      </c>
      <c r="J32" t="s">
        <v>43</v>
      </c>
      <c r="K32" t="s">
        <v>108</v>
      </c>
      <c r="L32" t="s">
        <v>44</v>
      </c>
      <c r="M32">
        <v>2</v>
      </c>
    </row>
    <row r="33" spans="1:13" x14ac:dyDescent="0.25">
      <c r="A33" s="2">
        <v>46171</v>
      </c>
      <c r="B33" s="1" t="str">
        <f ca="1">IF(Información1[[#This Row],[Fecha]]='Ajuste de fechas'!$A$2,"Día actual","Día anterior")</f>
        <v>Día anterior</v>
      </c>
      <c r="C33" t="s">
        <v>55</v>
      </c>
      <c r="D33" t="s">
        <v>78</v>
      </c>
      <c r="E33" t="s">
        <v>154</v>
      </c>
      <c r="F33" t="s">
        <v>19</v>
      </c>
      <c r="G33" t="s">
        <v>155</v>
      </c>
      <c r="H33" t="s">
        <v>11</v>
      </c>
      <c r="I33" t="s">
        <v>7</v>
      </c>
      <c r="J33" t="s">
        <v>47</v>
      </c>
      <c r="K33" t="s">
        <v>56</v>
      </c>
      <c r="L33" t="s">
        <v>44</v>
      </c>
      <c r="M33">
        <v>1</v>
      </c>
    </row>
    <row r="34" spans="1:13" x14ac:dyDescent="0.25">
      <c r="A34" s="2">
        <v>46171</v>
      </c>
      <c r="B34" s="1" t="str">
        <f ca="1">IF(Información1[[#This Row],[Fecha]]='Ajuste de fechas'!$A$2,"Día actual","Día anterior")</f>
        <v>Día anterior</v>
      </c>
      <c r="C34" t="s">
        <v>57</v>
      </c>
      <c r="D34" t="s">
        <v>58</v>
      </c>
      <c r="E34" t="s">
        <v>156</v>
      </c>
      <c r="F34" t="s">
        <v>22</v>
      </c>
      <c r="G34" t="s">
        <v>61</v>
      </c>
      <c r="H34" t="s">
        <v>11</v>
      </c>
      <c r="I34" t="s">
        <v>7</v>
      </c>
      <c r="J34" t="s">
        <v>48</v>
      </c>
      <c r="K34" t="s">
        <v>59</v>
      </c>
      <c r="L34" t="s">
        <v>44</v>
      </c>
      <c r="M34">
        <v>1</v>
      </c>
    </row>
    <row r="35" spans="1:13" x14ac:dyDescent="0.25">
      <c r="A35" s="2">
        <v>46171</v>
      </c>
      <c r="B35" s="1" t="str">
        <f ca="1">IF(Información1[[#This Row],[Fecha]]='Ajuste de fechas'!$A$2,"Día actual","Día anterior")</f>
        <v>Día anterior</v>
      </c>
      <c r="C35" t="s">
        <v>57</v>
      </c>
      <c r="D35" t="s">
        <v>58</v>
      </c>
      <c r="E35" t="s">
        <v>157</v>
      </c>
      <c r="F35" t="s">
        <v>19</v>
      </c>
      <c r="H35" t="s">
        <v>11</v>
      </c>
      <c r="I35" t="s">
        <v>25</v>
      </c>
      <c r="J35" t="s">
        <v>47</v>
      </c>
      <c r="K35" t="s">
        <v>59</v>
      </c>
      <c r="L35" t="s">
        <v>44</v>
      </c>
      <c r="M35">
        <v>1</v>
      </c>
    </row>
    <row r="36" spans="1:13" x14ac:dyDescent="0.25">
      <c r="A36" s="2">
        <v>46171</v>
      </c>
      <c r="B36" s="1" t="str">
        <f ca="1">IF(Información1[[#This Row],[Fecha]]='Ajuste de fechas'!$A$2,"Día actual","Día anterior")</f>
        <v>Día anterior</v>
      </c>
      <c r="C36" t="s">
        <v>57</v>
      </c>
      <c r="D36" t="s">
        <v>58</v>
      </c>
      <c r="E36" t="s">
        <v>158</v>
      </c>
      <c r="F36" t="s">
        <v>23</v>
      </c>
      <c r="G36" t="s">
        <v>85</v>
      </c>
      <c r="H36" t="s">
        <v>11</v>
      </c>
      <c r="I36" t="s">
        <v>7</v>
      </c>
      <c r="J36" t="s">
        <v>43</v>
      </c>
      <c r="K36" t="s">
        <v>59</v>
      </c>
      <c r="L36" t="s">
        <v>46</v>
      </c>
      <c r="M36">
        <v>1</v>
      </c>
    </row>
    <row r="37" spans="1:13" x14ac:dyDescent="0.25">
      <c r="A37" s="2">
        <v>46171</v>
      </c>
      <c r="B37" s="1" t="str">
        <f ca="1">IF(Información1[[#This Row],[Fecha]]='Ajuste de fechas'!$A$2,"Día actual","Día anterior")</f>
        <v>Día anterior</v>
      </c>
      <c r="C37" t="s">
        <v>57</v>
      </c>
      <c r="D37" t="s">
        <v>58</v>
      </c>
      <c r="E37" t="s">
        <v>159</v>
      </c>
      <c r="F37" t="s">
        <v>34</v>
      </c>
      <c r="G37" t="s">
        <v>125</v>
      </c>
      <c r="H37" t="s">
        <v>11</v>
      </c>
      <c r="I37" t="s">
        <v>7</v>
      </c>
      <c r="J37" t="s">
        <v>43</v>
      </c>
      <c r="K37" t="s">
        <v>59</v>
      </c>
      <c r="L37" t="s">
        <v>46</v>
      </c>
      <c r="M37">
        <v>1</v>
      </c>
    </row>
    <row r="38" spans="1:13" x14ac:dyDescent="0.25">
      <c r="A38" s="2">
        <v>46171</v>
      </c>
      <c r="B38" s="1" t="str">
        <f ca="1">IF(Información1[[#This Row],[Fecha]]='Ajuste de fechas'!$A$2,"Día actual","Día anterior")</f>
        <v>Día anterior</v>
      </c>
      <c r="C38" t="s">
        <v>57</v>
      </c>
      <c r="D38" t="s">
        <v>58</v>
      </c>
      <c r="E38" t="s">
        <v>160</v>
      </c>
      <c r="F38" t="s">
        <v>161</v>
      </c>
      <c r="G38" t="s">
        <v>162</v>
      </c>
      <c r="H38" t="s">
        <v>11</v>
      </c>
      <c r="I38" t="s">
        <v>7</v>
      </c>
      <c r="J38" t="s">
        <v>43</v>
      </c>
      <c r="K38" t="s">
        <v>59</v>
      </c>
      <c r="L38" t="s">
        <v>46</v>
      </c>
      <c r="M38">
        <v>1</v>
      </c>
    </row>
    <row r="39" spans="1:13" x14ac:dyDescent="0.25">
      <c r="A39" s="2">
        <v>46171</v>
      </c>
      <c r="B39" s="1" t="str">
        <f ca="1">IF(Información1[[#This Row],[Fecha]]='Ajuste de fechas'!$A$2,"Día actual","Día anterior")</f>
        <v>Día anterior</v>
      </c>
      <c r="C39" t="s">
        <v>57</v>
      </c>
      <c r="D39" t="s">
        <v>58</v>
      </c>
      <c r="E39" t="s">
        <v>126</v>
      </c>
      <c r="F39" t="s">
        <v>101</v>
      </c>
      <c r="G39" t="s">
        <v>153</v>
      </c>
      <c r="H39" t="s">
        <v>11</v>
      </c>
      <c r="I39" t="s">
        <v>7</v>
      </c>
      <c r="J39" t="s">
        <v>43</v>
      </c>
      <c r="K39" t="s">
        <v>59</v>
      </c>
      <c r="L39" t="s">
        <v>46</v>
      </c>
      <c r="M39">
        <v>1</v>
      </c>
    </row>
    <row r="40" spans="1:13" x14ac:dyDescent="0.25">
      <c r="A40" s="2">
        <v>46171</v>
      </c>
      <c r="B40" s="1" t="str">
        <f ca="1">IF(Información1[[#This Row],[Fecha]]='Ajuste de fechas'!$A$2,"Día actual","Día anterior")</f>
        <v>Día anterior</v>
      </c>
      <c r="C40" t="s">
        <v>57</v>
      </c>
      <c r="D40" t="s">
        <v>58</v>
      </c>
      <c r="E40" t="s">
        <v>163</v>
      </c>
      <c r="F40" t="s">
        <v>26</v>
      </c>
      <c r="G40" t="s">
        <v>62</v>
      </c>
      <c r="H40" t="s">
        <v>11</v>
      </c>
      <c r="I40" t="s">
        <v>7</v>
      </c>
      <c r="J40" t="s">
        <v>43</v>
      </c>
      <c r="K40" t="s">
        <v>59</v>
      </c>
      <c r="L40" t="s">
        <v>46</v>
      </c>
      <c r="M40">
        <v>1</v>
      </c>
    </row>
    <row r="41" spans="1:13" x14ac:dyDescent="0.25">
      <c r="A41" s="2">
        <v>46171</v>
      </c>
      <c r="B41" s="1" t="str">
        <f ca="1">IF(Información1[[#This Row],[Fecha]]='Ajuste de fechas'!$A$2,"Día actual","Día anterior")</f>
        <v>Día anterior</v>
      </c>
      <c r="C41" t="s">
        <v>57</v>
      </c>
      <c r="D41" t="s">
        <v>58</v>
      </c>
      <c r="E41" t="s">
        <v>164</v>
      </c>
      <c r="F41" t="s">
        <v>26</v>
      </c>
      <c r="G41" t="s">
        <v>62</v>
      </c>
      <c r="H41" t="s">
        <v>11</v>
      </c>
      <c r="I41" t="s">
        <v>7</v>
      </c>
      <c r="J41" t="s">
        <v>43</v>
      </c>
      <c r="K41" t="s">
        <v>59</v>
      </c>
      <c r="L41" t="s">
        <v>46</v>
      </c>
      <c r="M41">
        <v>1</v>
      </c>
    </row>
    <row r="42" spans="1:13" x14ac:dyDescent="0.25">
      <c r="A42" s="2">
        <v>46171</v>
      </c>
      <c r="B42" s="1" t="str">
        <f ca="1">IF(Información1[[#This Row],[Fecha]]='Ajuste de fechas'!$A$2,"Día actual","Día anterior")</f>
        <v>Día anterior</v>
      </c>
      <c r="C42" t="s">
        <v>55</v>
      </c>
      <c r="D42" t="s">
        <v>60</v>
      </c>
      <c r="E42" t="s">
        <v>165</v>
      </c>
      <c r="F42" t="s">
        <v>24</v>
      </c>
      <c r="G42" t="s">
        <v>166</v>
      </c>
      <c r="H42" t="s">
        <v>11</v>
      </c>
      <c r="I42" t="s">
        <v>7</v>
      </c>
      <c r="J42" t="s">
        <v>24</v>
      </c>
      <c r="K42" t="s">
        <v>56</v>
      </c>
      <c r="L42" t="s">
        <v>44</v>
      </c>
      <c r="M42">
        <v>1</v>
      </c>
    </row>
    <row r="43" spans="1:13" x14ac:dyDescent="0.25">
      <c r="A43" s="2">
        <v>46171</v>
      </c>
      <c r="B43" s="1" t="str">
        <f ca="1">IF(Información1[[#This Row],[Fecha]]='Ajuste de fechas'!$A$2,"Día actual","Día anterior")</f>
        <v>Día anterior</v>
      </c>
      <c r="C43" t="s">
        <v>55</v>
      </c>
      <c r="D43" t="s">
        <v>60</v>
      </c>
      <c r="E43" t="s">
        <v>156</v>
      </c>
      <c r="F43" t="s">
        <v>22</v>
      </c>
      <c r="G43" t="s">
        <v>61</v>
      </c>
      <c r="H43" t="s">
        <v>11</v>
      </c>
      <c r="I43" t="s">
        <v>7</v>
      </c>
      <c r="J43" t="s">
        <v>48</v>
      </c>
      <c r="K43" t="s">
        <v>56</v>
      </c>
      <c r="L43" t="s">
        <v>44</v>
      </c>
      <c r="M43">
        <v>1</v>
      </c>
    </row>
    <row r="44" spans="1:13" x14ac:dyDescent="0.25">
      <c r="A44" s="2">
        <v>46171</v>
      </c>
      <c r="B44" s="1" t="str">
        <f ca="1">IF(Información1[[#This Row],[Fecha]]='Ajuste de fechas'!$A$2,"Día actual","Día anterior")</f>
        <v>Día anterior</v>
      </c>
      <c r="C44" t="s">
        <v>55</v>
      </c>
      <c r="D44" t="s">
        <v>60</v>
      </c>
      <c r="E44" t="s">
        <v>167</v>
      </c>
      <c r="F44" t="s">
        <v>21</v>
      </c>
      <c r="G44" t="s">
        <v>104</v>
      </c>
      <c r="H44" t="s">
        <v>11</v>
      </c>
      <c r="I44" t="s">
        <v>7</v>
      </c>
      <c r="J44" t="s">
        <v>43</v>
      </c>
      <c r="K44" t="s">
        <v>56</v>
      </c>
      <c r="L44" t="s">
        <v>44</v>
      </c>
      <c r="M44">
        <v>1</v>
      </c>
    </row>
    <row r="45" spans="1:13" x14ac:dyDescent="0.25">
      <c r="A45" s="2">
        <v>46171</v>
      </c>
      <c r="B45" s="1" t="str">
        <f ca="1">IF(Información1[[#This Row],[Fecha]]='Ajuste de fechas'!$A$2,"Día actual","Día anterior")</f>
        <v>Día anterior</v>
      </c>
      <c r="C45" t="s">
        <v>55</v>
      </c>
      <c r="D45" t="s">
        <v>60</v>
      </c>
      <c r="E45" t="s">
        <v>168</v>
      </c>
      <c r="F45" t="s">
        <v>21</v>
      </c>
      <c r="G45" t="s">
        <v>89</v>
      </c>
      <c r="H45" t="s">
        <v>11</v>
      </c>
      <c r="I45" t="s">
        <v>7</v>
      </c>
      <c r="J45" t="s">
        <v>43</v>
      </c>
      <c r="K45" t="s">
        <v>56</v>
      </c>
      <c r="L45" t="s">
        <v>44</v>
      </c>
      <c r="M45">
        <v>1</v>
      </c>
    </row>
    <row r="46" spans="1:13" x14ac:dyDescent="0.25">
      <c r="A46" s="2">
        <v>46171</v>
      </c>
      <c r="B46" s="1" t="str">
        <f ca="1">IF(Información1[[#This Row],[Fecha]]='Ajuste de fechas'!$A$2,"Día actual","Día anterior")</f>
        <v>Día anterior</v>
      </c>
      <c r="C46" t="s">
        <v>55</v>
      </c>
      <c r="D46" t="s">
        <v>60</v>
      </c>
      <c r="E46" t="s">
        <v>158</v>
      </c>
      <c r="F46" t="s">
        <v>23</v>
      </c>
      <c r="G46" t="s">
        <v>85</v>
      </c>
      <c r="H46" t="s">
        <v>11</v>
      </c>
      <c r="I46" t="s">
        <v>7</v>
      </c>
      <c r="J46" t="s">
        <v>43</v>
      </c>
      <c r="K46" t="s">
        <v>54</v>
      </c>
      <c r="L46" t="s">
        <v>46</v>
      </c>
      <c r="M46">
        <v>1</v>
      </c>
    </row>
    <row r="47" spans="1:13" x14ac:dyDescent="0.25">
      <c r="A47" s="2">
        <v>46171</v>
      </c>
      <c r="B47" s="1" t="str">
        <f ca="1">IF(Información1[[#This Row],[Fecha]]='Ajuste de fechas'!$A$2,"Día actual","Día anterior")</f>
        <v>Día anterior</v>
      </c>
      <c r="C47" t="s">
        <v>55</v>
      </c>
      <c r="D47" t="s">
        <v>60</v>
      </c>
      <c r="E47" t="s">
        <v>163</v>
      </c>
      <c r="F47" t="s">
        <v>26</v>
      </c>
      <c r="G47" t="s">
        <v>62</v>
      </c>
      <c r="H47" t="s">
        <v>11</v>
      </c>
      <c r="I47" t="s">
        <v>7</v>
      </c>
      <c r="J47" t="s">
        <v>43</v>
      </c>
      <c r="K47" t="s">
        <v>54</v>
      </c>
      <c r="L47" t="s">
        <v>46</v>
      </c>
      <c r="M47">
        <v>1</v>
      </c>
    </row>
    <row r="48" spans="1:13" x14ac:dyDescent="0.25">
      <c r="A48" s="2">
        <v>46171</v>
      </c>
      <c r="B48" s="1" t="str">
        <f ca="1">IF(Información1[[#This Row],[Fecha]]='Ajuste de fechas'!$A$2,"Día actual","Día anterior")</f>
        <v>Día anterior</v>
      </c>
      <c r="C48" t="s">
        <v>55</v>
      </c>
      <c r="D48" t="s">
        <v>60</v>
      </c>
      <c r="E48" t="s">
        <v>164</v>
      </c>
      <c r="F48" t="s">
        <v>26</v>
      </c>
      <c r="G48" t="s">
        <v>62</v>
      </c>
      <c r="H48" t="s">
        <v>11</v>
      </c>
      <c r="I48" t="s">
        <v>7</v>
      </c>
      <c r="J48" t="s">
        <v>43</v>
      </c>
      <c r="K48" t="s">
        <v>54</v>
      </c>
      <c r="L48" t="s">
        <v>46</v>
      </c>
      <c r="M48">
        <v>1</v>
      </c>
    </row>
    <row r="49" spans="1:13" x14ac:dyDescent="0.25">
      <c r="A49" s="2">
        <v>46171</v>
      </c>
      <c r="B49" s="1" t="str">
        <f ca="1">IF(Información1[[#This Row],[Fecha]]='Ajuste de fechas'!$A$2,"Día actual","Día anterior")</f>
        <v>Día anterior</v>
      </c>
      <c r="C49" t="s">
        <v>28</v>
      </c>
      <c r="D49" t="s">
        <v>31</v>
      </c>
      <c r="E49" t="s">
        <v>169</v>
      </c>
      <c r="F49" t="s">
        <v>24</v>
      </c>
      <c r="H49" t="s">
        <v>11</v>
      </c>
      <c r="I49" t="s">
        <v>7</v>
      </c>
      <c r="J49" t="s">
        <v>24</v>
      </c>
      <c r="K49" t="s">
        <v>29</v>
      </c>
      <c r="L49" t="s">
        <v>44</v>
      </c>
      <c r="M49">
        <v>1</v>
      </c>
    </row>
    <row r="50" spans="1:13" x14ac:dyDescent="0.25">
      <c r="A50" s="2">
        <v>46171</v>
      </c>
      <c r="B50" s="1" t="str">
        <f ca="1">IF(Información1[[#This Row],[Fecha]]='Ajuste de fechas'!$A$2,"Día actual","Día anterior")</f>
        <v>Día anterior</v>
      </c>
      <c r="C50" t="s">
        <v>28</v>
      </c>
      <c r="D50" t="s">
        <v>31</v>
      </c>
      <c r="E50" t="s">
        <v>170</v>
      </c>
      <c r="F50" t="s">
        <v>22</v>
      </c>
      <c r="H50" t="s">
        <v>11</v>
      </c>
      <c r="I50" t="s">
        <v>7</v>
      </c>
      <c r="J50" t="s">
        <v>48</v>
      </c>
      <c r="K50" t="s">
        <v>29</v>
      </c>
      <c r="L50" t="s">
        <v>44</v>
      </c>
      <c r="M50">
        <v>1</v>
      </c>
    </row>
    <row r="51" spans="1:13" x14ac:dyDescent="0.25">
      <c r="A51" s="2">
        <v>46171</v>
      </c>
      <c r="B51" s="1" t="str">
        <f ca="1">IF(Información1[[#This Row],[Fecha]]='Ajuste de fechas'!$A$2,"Día actual","Día anterior")</f>
        <v>Día anterior</v>
      </c>
      <c r="C51" t="s">
        <v>8</v>
      </c>
      <c r="D51" t="s">
        <v>10</v>
      </c>
      <c r="E51" t="s">
        <v>171</v>
      </c>
      <c r="F51" t="s">
        <v>6</v>
      </c>
      <c r="G51" t="s">
        <v>52</v>
      </c>
      <c r="H51" t="s">
        <v>11</v>
      </c>
      <c r="I51" t="s">
        <v>25</v>
      </c>
      <c r="J51" t="s">
        <v>43</v>
      </c>
      <c r="K51" t="s">
        <v>9</v>
      </c>
      <c r="L51" t="s">
        <v>45</v>
      </c>
      <c r="M51">
        <v>1</v>
      </c>
    </row>
    <row r="52" spans="1:13" x14ac:dyDescent="0.25">
      <c r="A52" s="2">
        <v>46171</v>
      </c>
      <c r="B52" s="1" t="str">
        <f ca="1">IF(Información1[[#This Row],[Fecha]]='Ajuste de fechas'!$A$2,"Día actual","Día anterior")</f>
        <v>Día anterior</v>
      </c>
      <c r="C52" t="s">
        <v>28</v>
      </c>
      <c r="D52" t="s">
        <v>31</v>
      </c>
      <c r="E52" t="s">
        <v>172</v>
      </c>
      <c r="F52" t="s">
        <v>53</v>
      </c>
      <c r="G52" t="s">
        <v>90</v>
      </c>
      <c r="H52" t="s">
        <v>11</v>
      </c>
      <c r="I52" t="s">
        <v>7</v>
      </c>
      <c r="J52" t="s">
        <v>43</v>
      </c>
      <c r="K52" t="s">
        <v>29</v>
      </c>
      <c r="L52" t="s">
        <v>44</v>
      </c>
      <c r="M52">
        <v>1</v>
      </c>
    </row>
    <row r="53" spans="1:13" x14ac:dyDescent="0.25">
      <c r="A53" s="2">
        <v>46171</v>
      </c>
      <c r="B53" s="1" t="str">
        <f ca="1">IF(Información1[[#This Row],[Fecha]]='Ajuste de fechas'!$A$2,"Día actual","Día anterior")</f>
        <v>Día anterior</v>
      </c>
      <c r="C53" t="s">
        <v>8</v>
      </c>
      <c r="D53" t="s">
        <v>10</v>
      </c>
      <c r="E53" t="s">
        <v>120</v>
      </c>
      <c r="F53" t="s">
        <v>53</v>
      </c>
      <c r="G53" t="s">
        <v>90</v>
      </c>
      <c r="H53" t="s">
        <v>11</v>
      </c>
      <c r="I53" t="s">
        <v>7</v>
      </c>
      <c r="J53" t="s">
        <v>43</v>
      </c>
      <c r="K53" t="s">
        <v>14</v>
      </c>
      <c r="L53" t="s">
        <v>46</v>
      </c>
      <c r="M53">
        <v>1</v>
      </c>
    </row>
    <row r="54" spans="1:13" x14ac:dyDescent="0.25">
      <c r="A54" s="2">
        <v>46171</v>
      </c>
      <c r="B54" s="1" t="str">
        <f ca="1">IF(Información1[[#This Row],[Fecha]]='Ajuste de fechas'!$A$2,"Día actual","Día anterior")</f>
        <v>Día anterior</v>
      </c>
      <c r="C54" t="s">
        <v>28</v>
      </c>
      <c r="D54" t="s">
        <v>31</v>
      </c>
      <c r="E54" t="s">
        <v>173</v>
      </c>
      <c r="F54" t="s">
        <v>19</v>
      </c>
      <c r="G54" t="s">
        <v>122</v>
      </c>
      <c r="H54" t="s">
        <v>11</v>
      </c>
      <c r="I54" t="s">
        <v>7</v>
      </c>
      <c r="J54" t="s">
        <v>47</v>
      </c>
      <c r="K54" t="s">
        <v>29</v>
      </c>
      <c r="L54" t="s">
        <v>44</v>
      </c>
      <c r="M54">
        <v>1</v>
      </c>
    </row>
    <row r="55" spans="1:13" x14ac:dyDescent="0.25">
      <c r="A55" s="2">
        <v>46171</v>
      </c>
      <c r="B55" s="1" t="str">
        <f ca="1">IF(Información1[[#This Row],[Fecha]]='Ajuste de fechas'!$A$2,"Día actual","Día anterior")</f>
        <v>Día anterior</v>
      </c>
      <c r="C55" t="s">
        <v>8</v>
      </c>
      <c r="D55" t="s">
        <v>10</v>
      </c>
      <c r="E55" t="s">
        <v>174</v>
      </c>
      <c r="F55" t="s">
        <v>6</v>
      </c>
      <c r="G55" t="s">
        <v>35</v>
      </c>
      <c r="H55" t="s">
        <v>11</v>
      </c>
      <c r="I55" t="s">
        <v>7</v>
      </c>
      <c r="J55" t="s">
        <v>43</v>
      </c>
      <c r="K55" t="s">
        <v>9</v>
      </c>
      <c r="L55" t="s">
        <v>45</v>
      </c>
      <c r="M55">
        <v>1</v>
      </c>
    </row>
    <row r="56" spans="1:13" x14ac:dyDescent="0.25">
      <c r="A56" s="2">
        <v>46171</v>
      </c>
      <c r="B56" s="1" t="str">
        <f ca="1">IF(Información1[[#This Row],[Fecha]]='Ajuste de fechas'!$A$2,"Día actual","Día anterior")</f>
        <v>Día anterior</v>
      </c>
      <c r="C56" t="s">
        <v>8</v>
      </c>
      <c r="D56" t="s">
        <v>10</v>
      </c>
      <c r="E56" t="s">
        <v>20</v>
      </c>
      <c r="F56" t="s">
        <v>19</v>
      </c>
      <c r="G56" t="s">
        <v>35</v>
      </c>
      <c r="H56" t="s">
        <v>11</v>
      </c>
      <c r="I56" t="s">
        <v>12</v>
      </c>
      <c r="J56" t="s">
        <v>47</v>
      </c>
      <c r="K56" t="s">
        <v>14</v>
      </c>
      <c r="L56" t="s">
        <v>45</v>
      </c>
      <c r="M56">
        <v>1</v>
      </c>
    </row>
    <row r="57" spans="1:13" x14ac:dyDescent="0.25">
      <c r="A57" s="2">
        <v>46171</v>
      </c>
      <c r="B57" s="1" t="str">
        <f ca="1">IF(Información1[[#This Row],[Fecha]]='Ajuste de fechas'!$A$2,"Día actual","Día anterior")</f>
        <v>Día anterior</v>
      </c>
      <c r="C57" t="s">
        <v>8</v>
      </c>
      <c r="D57" t="s">
        <v>10</v>
      </c>
      <c r="E57" t="s">
        <v>18</v>
      </c>
      <c r="F57" t="s">
        <v>19</v>
      </c>
      <c r="G57" t="s">
        <v>35</v>
      </c>
      <c r="H57" t="s">
        <v>11</v>
      </c>
      <c r="I57" t="s">
        <v>12</v>
      </c>
      <c r="J57" t="s">
        <v>47</v>
      </c>
      <c r="K57" t="s">
        <v>14</v>
      </c>
      <c r="L57" t="s">
        <v>45</v>
      </c>
      <c r="M57">
        <v>1</v>
      </c>
    </row>
    <row r="58" spans="1:13" x14ac:dyDescent="0.25">
      <c r="A58" s="2">
        <v>46171</v>
      </c>
      <c r="B58" s="1" t="str">
        <f ca="1">IF(Información1[[#This Row],[Fecha]]='Ajuste de fechas'!$A$2,"Día actual","Día anterior")</f>
        <v>Día anterior</v>
      </c>
      <c r="C58" t="s">
        <v>8</v>
      </c>
      <c r="D58" t="s">
        <v>10</v>
      </c>
      <c r="E58" t="s">
        <v>81</v>
      </c>
      <c r="F58" t="s">
        <v>67</v>
      </c>
      <c r="G58" t="s">
        <v>35</v>
      </c>
      <c r="H58" t="s">
        <v>11</v>
      </c>
      <c r="I58" t="s">
        <v>12</v>
      </c>
      <c r="J58" t="s">
        <v>24</v>
      </c>
      <c r="K58" t="s">
        <v>14</v>
      </c>
      <c r="L58" t="s">
        <v>45</v>
      </c>
      <c r="M58">
        <v>1</v>
      </c>
    </row>
    <row r="59" spans="1:13" x14ac:dyDescent="0.25">
      <c r="A59" s="2">
        <v>46171</v>
      </c>
      <c r="B59" s="1" t="str">
        <f ca="1">IF(Información1[[#This Row],[Fecha]]='Ajuste de fechas'!$A$2,"Día actual","Día anterior")</f>
        <v>Día anterior</v>
      </c>
      <c r="C59" t="s">
        <v>8</v>
      </c>
      <c r="D59" t="s">
        <v>10</v>
      </c>
      <c r="E59" t="s">
        <v>64</v>
      </c>
      <c r="F59" t="s">
        <v>21</v>
      </c>
      <c r="G59" t="s">
        <v>35</v>
      </c>
      <c r="H59" t="s">
        <v>11</v>
      </c>
      <c r="I59" t="s">
        <v>12</v>
      </c>
      <c r="J59" t="s">
        <v>43</v>
      </c>
      <c r="K59" t="s">
        <v>14</v>
      </c>
      <c r="L59" t="s">
        <v>45</v>
      </c>
      <c r="M59">
        <v>1</v>
      </c>
    </row>
    <row r="60" spans="1:13" x14ac:dyDescent="0.25">
      <c r="A60" s="2">
        <v>46171</v>
      </c>
      <c r="B60" s="1" t="str">
        <f ca="1">IF(Información1[[#This Row],[Fecha]]='Ajuste de fechas'!$A$2,"Día actual","Día anterior")</f>
        <v>Día anterior</v>
      </c>
      <c r="C60" t="s">
        <v>8</v>
      </c>
      <c r="D60" t="s">
        <v>10</v>
      </c>
      <c r="E60" t="s">
        <v>13</v>
      </c>
      <c r="F60" t="s">
        <v>15</v>
      </c>
      <c r="G60" t="s">
        <v>35</v>
      </c>
      <c r="H60" t="s">
        <v>11</v>
      </c>
      <c r="I60" t="s">
        <v>12</v>
      </c>
      <c r="J60" t="s">
        <v>43</v>
      </c>
      <c r="K60" t="s">
        <v>14</v>
      </c>
      <c r="L60" t="s">
        <v>45</v>
      </c>
      <c r="M60">
        <v>1</v>
      </c>
    </row>
    <row r="61" spans="1:13" x14ac:dyDescent="0.25">
      <c r="A61" s="2">
        <v>46171</v>
      </c>
      <c r="B61" s="1" t="str">
        <f ca="1">IF(Información1[[#This Row],[Fecha]]='Ajuste de fechas'!$A$2,"Día actual","Día anterior")</f>
        <v>Día anterior</v>
      </c>
      <c r="C61" t="s">
        <v>8</v>
      </c>
      <c r="D61" t="s">
        <v>10</v>
      </c>
      <c r="E61" t="s">
        <v>16</v>
      </c>
      <c r="F61" t="s">
        <v>17</v>
      </c>
      <c r="G61" t="s">
        <v>35</v>
      </c>
      <c r="H61" t="s">
        <v>11</v>
      </c>
      <c r="I61" t="s">
        <v>12</v>
      </c>
      <c r="J61" t="s">
        <v>43</v>
      </c>
      <c r="K61" t="s">
        <v>14</v>
      </c>
      <c r="L61" t="s">
        <v>45</v>
      </c>
      <c r="M61">
        <v>1</v>
      </c>
    </row>
    <row r="62" spans="1:13" x14ac:dyDescent="0.25">
      <c r="A62" s="2">
        <v>46171</v>
      </c>
      <c r="B62" s="1" t="str">
        <f ca="1">IF(Información1[[#This Row],[Fecha]]='Ajuste de fechas'!$A$2,"Día actual","Día anterior")</f>
        <v>Día anterior</v>
      </c>
      <c r="C62" t="s">
        <v>8</v>
      </c>
      <c r="D62" t="s">
        <v>10</v>
      </c>
      <c r="E62" t="s">
        <v>65</v>
      </c>
      <c r="F62" t="s">
        <v>6</v>
      </c>
      <c r="G62" t="s">
        <v>35</v>
      </c>
      <c r="H62" t="s">
        <v>11</v>
      </c>
      <c r="I62" t="s">
        <v>12</v>
      </c>
      <c r="J62" t="s">
        <v>43</v>
      </c>
      <c r="K62" t="s">
        <v>14</v>
      </c>
      <c r="L62" t="s">
        <v>45</v>
      </c>
      <c r="M62">
        <v>1</v>
      </c>
    </row>
    <row r="63" spans="1:13" x14ac:dyDescent="0.25">
      <c r="A63" s="2">
        <v>46171</v>
      </c>
      <c r="B63" s="1" t="str">
        <f ca="1">IF(Información1[[#This Row],[Fecha]]='Ajuste de fechas'!$A$2,"Día actual","Día anterior")</f>
        <v>Día anterior</v>
      </c>
      <c r="C63" t="s">
        <v>28</v>
      </c>
      <c r="D63" t="s">
        <v>31</v>
      </c>
      <c r="E63" t="s">
        <v>175</v>
      </c>
      <c r="F63" t="s">
        <v>23</v>
      </c>
      <c r="G63" t="s">
        <v>85</v>
      </c>
      <c r="H63" t="s">
        <v>11</v>
      </c>
      <c r="I63" t="s">
        <v>7</v>
      </c>
      <c r="J63" t="s">
        <v>43</v>
      </c>
      <c r="K63" t="s">
        <v>29</v>
      </c>
      <c r="L63" t="s">
        <v>44</v>
      </c>
      <c r="M63">
        <v>1</v>
      </c>
    </row>
    <row r="64" spans="1:13" x14ac:dyDescent="0.25">
      <c r="A64" s="2">
        <v>46171</v>
      </c>
      <c r="B64" s="1" t="str">
        <f ca="1">IF(Información1[[#This Row],[Fecha]]='Ajuste de fechas'!$A$2,"Día actual","Día anterior")</f>
        <v>Día anterior</v>
      </c>
      <c r="C64" t="s">
        <v>8</v>
      </c>
      <c r="D64" t="s">
        <v>10</v>
      </c>
      <c r="E64" t="s">
        <v>158</v>
      </c>
      <c r="F64" t="s">
        <v>23</v>
      </c>
      <c r="G64" t="s">
        <v>85</v>
      </c>
      <c r="H64" t="s">
        <v>11</v>
      </c>
      <c r="I64" t="s">
        <v>7</v>
      </c>
      <c r="J64" t="s">
        <v>43</v>
      </c>
      <c r="K64" t="s">
        <v>14</v>
      </c>
      <c r="L64" t="s">
        <v>46</v>
      </c>
      <c r="M64">
        <v>1</v>
      </c>
    </row>
    <row r="65" spans="1:13" x14ac:dyDescent="0.25">
      <c r="A65" s="2">
        <v>46171</v>
      </c>
      <c r="B65" s="1" t="str">
        <f ca="1">IF(Información1[[#This Row],[Fecha]]='Ajuste de fechas'!$A$2,"Día actual","Día anterior")</f>
        <v>Día anterior</v>
      </c>
      <c r="C65" t="s">
        <v>28</v>
      </c>
      <c r="D65" t="s">
        <v>31</v>
      </c>
      <c r="E65" t="s">
        <v>176</v>
      </c>
      <c r="F65" t="s">
        <v>177</v>
      </c>
      <c r="G65" t="s">
        <v>178</v>
      </c>
      <c r="H65" t="s">
        <v>11</v>
      </c>
      <c r="I65" t="s">
        <v>25</v>
      </c>
      <c r="J65" t="s">
        <v>43</v>
      </c>
      <c r="K65" t="s">
        <v>29</v>
      </c>
      <c r="L65" t="s">
        <v>44</v>
      </c>
      <c r="M65">
        <v>1</v>
      </c>
    </row>
    <row r="66" spans="1:13" x14ac:dyDescent="0.25">
      <c r="A66" s="2">
        <v>46171</v>
      </c>
      <c r="B66" s="1" t="str">
        <f ca="1">IF(Información1[[#This Row],[Fecha]]='Ajuste de fechas'!$A$2,"Día actual","Día anterior")</f>
        <v>Día anterior</v>
      </c>
      <c r="C66" t="s">
        <v>8</v>
      </c>
      <c r="D66" t="s">
        <v>10</v>
      </c>
      <c r="E66" t="s">
        <v>179</v>
      </c>
      <c r="F66" t="s">
        <v>6</v>
      </c>
      <c r="G66" t="s">
        <v>180</v>
      </c>
      <c r="H66" t="s">
        <v>11</v>
      </c>
      <c r="I66" t="s">
        <v>25</v>
      </c>
      <c r="J66" t="s">
        <v>43</v>
      </c>
      <c r="K66" t="s">
        <v>9</v>
      </c>
      <c r="L66" t="s">
        <v>45</v>
      </c>
      <c r="M66">
        <v>1</v>
      </c>
    </row>
    <row r="67" spans="1:13" x14ac:dyDescent="0.25">
      <c r="A67" s="2">
        <v>46171</v>
      </c>
      <c r="B67" s="1" t="str">
        <f ca="1">IF(Información1[[#This Row],[Fecha]]='Ajuste de fechas'!$A$2,"Día actual","Día anterior")</f>
        <v>Día anterior</v>
      </c>
      <c r="C67" t="s">
        <v>28</v>
      </c>
      <c r="D67" t="s">
        <v>31</v>
      </c>
      <c r="E67" t="s">
        <v>181</v>
      </c>
      <c r="F67" t="s">
        <v>53</v>
      </c>
      <c r="G67" t="s">
        <v>102</v>
      </c>
      <c r="H67" t="s">
        <v>11</v>
      </c>
      <c r="I67" t="s">
        <v>7</v>
      </c>
      <c r="J67" t="s">
        <v>43</v>
      </c>
      <c r="K67" t="s">
        <v>29</v>
      </c>
      <c r="L67" t="s">
        <v>44</v>
      </c>
      <c r="M67">
        <v>1</v>
      </c>
    </row>
    <row r="68" spans="1:13" x14ac:dyDescent="0.25">
      <c r="A68" s="2">
        <v>46171</v>
      </c>
      <c r="B68" s="1" t="str">
        <f ca="1">IF(Información1[[#This Row],[Fecha]]='Ajuste de fechas'!$A$2,"Día actual","Día anterior")</f>
        <v>Día anterior</v>
      </c>
      <c r="C68" t="s">
        <v>28</v>
      </c>
      <c r="D68" t="s">
        <v>31</v>
      </c>
      <c r="E68" t="s">
        <v>182</v>
      </c>
      <c r="F68" t="s">
        <v>19</v>
      </c>
      <c r="G68" t="s">
        <v>80</v>
      </c>
      <c r="H68" t="s">
        <v>11</v>
      </c>
      <c r="I68" t="s">
        <v>7</v>
      </c>
      <c r="J68" t="s">
        <v>47</v>
      </c>
      <c r="K68" t="s">
        <v>29</v>
      </c>
      <c r="L68" t="s">
        <v>44</v>
      </c>
      <c r="M68">
        <v>1</v>
      </c>
    </row>
    <row r="69" spans="1:13" x14ac:dyDescent="0.25">
      <c r="A69" s="2">
        <v>46171</v>
      </c>
      <c r="B69" s="1" t="str">
        <f ca="1">IF(Información1[[#This Row],[Fecha]]='Ajuste de fechas'!$A$2,"Día actual","Día anterior")</f>
        <v>Día anterior</v>
      </c>
      <c r="C69" t="s">
        <v>8</v>
      </c>
      <c r="D69" t="s">
        <v>10</v>
      </c>
      <c r="E69" t="s">
        <v>183</v>
      </c>
      <c r="F69" t="s">
        <v>19</v>
      </c>
      <c r="G69" t="s">
        <v>184</v>
      </c>
      <c r="H69" t="s">
        <v>11</v>
      </c>
      <c r="I69" t="s">
        <v>25</v>
      </c>
      <c r="J69" t="s">
        <v>47</v>
      </c>
      <c r="K69" t="s">
        <v>9</v>
      </c>
      <c r="L69" t="s">
        <v>45</v>
      </c>
      <c r="M69">
        <v>1</v>
      </c>
    </row>
    <row r="70" spans="1:13" x14ac:dyDescent="0.25">
      <c r="A70" s="2">
        <v>46171</v>
      </c>
      <c r="B70" s="1" t="str">
        <f ca="1">IF(Información1[[#This Row],[Fecha]]='Ajuste de fechas'!$A$2,"Día actual","Día anterior")</f>
        <v>Día anterior</v>
      </c>
      <c r="C70" t="s">
        <v>28</v>
      </c>
      <c r="D70" t="s">
        <v>31</v>
      </c>
      <c r="E70" t="s">
        <v>185</v>
      </c>
      <c r="F70" t="s">
        <v>19</v>
      </c>
      <c r="G70" t="s">
        <v>186</v>
      </c>
      <c r="H70" t="s">
        <v>11</v>
      </c>
      <c r="I70" t="s">
        <v>25</v>
      </c>
      <c r="J70" t="s">
        <v>47</v>
      </c>
      <c r="K70" t="s">
        <v>29</v>
      </c>
      <c r="L70" t="s">
        <v>44</v>
      </c>
      <c r="M70">
        <v>1</v>
      </c>
    </row>
    <row r="71" spans="1:13" x14ac:dyDescent="0.25">
      <c r="A71" s="2">
        <v>46171</v>
      </c>
      <c r="B71" s="1" t="str">
        <f ca="1">IF(Información1[[#This Row],[Fecha]]='Ajuste de fechas'!$A$2,"Día actual","Día anterior")</f>
        <v>Día anterior</v>
      </c>
      <c r="C71" t="s">
        <v>8</v>
      </c>
      <c r="D71" t="s">
        <v>10</v>
      </c>
      <c r="E71" t="s">
        <v>187</v>
      </c>
      <c r="F71" t="s">
        <v>6</v>
      </c>
      <c r="G71" t="s">
        <v>74</v>
      </c>
      <c r="H71" t="s">
        <v>11</v>
      </c>
      <c r="I71" t="s">
        <v>25</v>
      </c>
      <c r="J71" t="s">
        <v>43</v>
      </c>
      <c r="K71" t="s">
        <v>9</v>
      </c>
      <c r="L71" t="s">
        <v>45</v>
      </c>
      <c r="M71">
        <v>1</v>
      </c>
    </row>
    <row r="72" spans="1:13" x14ac:dyDescent="0.25">
      <c r="A72" s="2">
        <v>46171</v>
      </c>
      <c r="B72" s="1" t="str">
        <f ca="1">IF(Información1[[#This Row],[Fecha]]='Ajuste de fechas'!$A$2,"Día actual","Día anterior")</f>
        <v>Día anterior</v>
      </c>
      <c r="C72" t="s">
        <v>8</v>
      </c>
      <c r="D72" t="s">
        <v>10</v>
      </c>
      <c r="E72" t="s">
        <v>188</v>
      </c>
      <c r="F72" t="s">
        <v>6</v>
      </c>
      <c r="G72" t="s">
        <v>74</v>
      </c>
      <c r="H72" t="s">
        <v>11</v>
      </c>
      <c r="I72" t="s">
        <v>25</v>
      </c>
      <c r="J72" t="s">
        <v>43</v>
      </c>
      <c r="K72" t="s">
        <v>9</v>
      </c>
      <c r="L72" t="s">
        <v>45</v>
      </c>
      <c r="M72">
        <v>1</v>
      </c>
    </row>
    <row r="73" spans="1:13" x14ac:dyDescent="0.25">
      <c r="A73" s="2">
        <v>46171</v>
      </c>
      <c r="B73" s="1" t="str">
        <f ca="1">IF(Información1[[#This Row],[Fecha]]='Ajuste de fechas'!$A$2,"Día actual","Día anterior")</f>
        <v>Día anterior</v>
      </c>
      <c r="C73" t="s">
        <v>28</v>
      </c>
      <c r="D73" t="s">
        <v>31</v>
      </c>
      <c r="E73" t="s">
        <v>189</v>
      </c>
      <c r="F73" t="s">
        <v>70</v>
      </c>
      <c r="G73" t="s">
        <v>87</v>
      </c>
      <c r="H73" t="s">
        <v>11</v>
      </c>
      <c r="I73" t="s">
        <v>7</v>
      </c>
      <c r="J73" t="s">
        <v>43</v>
      </c>
      <c r="K73" t="s">
        <v>29</v>
      </c>
      <c r="L73" t="s">
        <v>44</v>
      </c>
      <c r="M73">
        <v>1</v>
      </c>
    </row>
    <row r="74" spans="1:13" x14ac:dyDescent="0.25">
      <c r="A74" s="2">
        <v>46171</v>
      </c>
      <c r="B74" s="1" t="str">
        <f ca="1">IF(Información1[[#This Row],[Fecha]]='Ajuste de fechas'!$A$2,"Día actual","Día anterior")</f>
        <v>Día anterior</v>
      </c>
      <c r="C74" t="s">
        <v>8</v>
      </c>
      <c r="D74" t="s">
        <v>10</v>
      </c>
      <c r="E74" t="s">
        <v>190</v>
      </c>
      <c r="F74" t="s">
        <v>6</v>
      </c>
      <c r="G74" t="s">
        <v>82</v>
      </c>
      <c r="H74" t="s">
        <v>11</v>
      </c>
      <c r="I74" t="s">
        <v>25</v>
      </c>
      <c r="J74" t="s">
        <v>43</v>
      </c>
      <c r="K74" t="s">
        <v>14</v>
      </c>
      <c r="L74" t="s">
        <v>45</v>
      </c>
      <c r="M74">
        <v>1</v>
      </c>
    </row>
    <row r="75" spans="1:13" x14ac:dyDescent="0.25">
      <c r="A75" s="2">
        <v>46171</v>
      </c>
      <c r="B75" s="1" t="str">
        <f ca="1">IF(Información1[[#This Row],[Fecha]]='Ajuste de fechas'!$A$2,"Día actual","Día anterior")</f>
        <v>Día anterior</v>
      </c>
      <c r="C75" t="s">
        <v>28</v>
      </c>
      <c r="D75" t="s">
        <v>30</v>
      </c>
      <c r="E75" t="s">
        <v>191</v>
      </c>
      <c r="F75" t="s">
        <v>19</v>
      </c>
      <c r="G75" t="s">
        <v>192</v>
      </c>
      <c r="H75" t="s">
        <v>11</v>
      </c>
      <c r="I75" t="s">
        <v>25</v>
      </c>
      <c r="J75" t="s">
        <v>47</v>
      </c>
      <c r="K75" t="s">
        <v>36</v>
      </c>
      <c r="L75" t="s">
        <v>44</v>
      </c>
      <c r="M75">
        <v>1</v>
      </c>
    </row>
    <row r="76" spans="1:13" x14ac:dyDescent="0.25">
      <c r="A76" s="2">
        <v>46171</v>
      </c>
      <c r="B76" s="1" t="str">
        <f ca="1">IF(Información1[[#This Row],[Fecha]]='Ajuste de fechas'!$A$2,"Día actual","Día anterior")</f>
        <v>Día anterior</v>
      </c>
      <c r="C76" t="s">
        <v>28</v>
      </c>
      <c r="D76" t="s">
        <v>31</v>
      </c>
      <c r="E76" t="s">
        <v>193</v>
      </c>
      <c r="F76" t="s">
        <v>19</v>
      </c>
      <c r="G76" t="s">
        <v>192</v>
      </c>
      <c r="H76" t="s">
        <v>11</v>
      </c>
      <c r="I76" t="s">
        <v>25</v>
      </c>
      <c r="J76" t="s">
        <v>47</v>
      </c>
      <c r="K76" t="s">
        <v>29</v>
      </c>
      <c r="L76" t="s">
        <v>44</v>
      </c>
      <c r="M76">
        <v>1</v>
      </c>
    </row>
    <row r="77" spans="1:13" x14ac:dyDescent="0.25">
      <c r="A77" s="2">
        <v>46171</v>
      </c>
      <c r="B77" s="1" t="str">
        <f ca="1">IF(Información1[[#This Row],[Fecha]]='Ajuste de fechas'!$A$2,"Día actual","Día anterior")</f>
        <v>Día anterior</v>
      </c>
      <c r="C77" t="s">
        <v>28</v>
      </c>
      <c r="D77" t="s">
        <v>31</v>
      </c>
      <c r="E77" t="s">
        <v>194</v>
      </c>
      <c r="F77" t="s">
        <v>26</v>
      </c>
      <c r="G77" t="s">
        <v>195</v>
      </c>
      <c r="H77" t="s">
        <v>11</v>
      </c>
      <c r="I77" t="s">
        <v>7</v>
      </c>
      <c r="J77" t="s">
        <v>43</v>
      </c>
      <c r="K77" t="s">
        <v>29</v>
      </c>
      <c r="L77" t="s">
        <v>44</v>
      </c>
      <c r="M77">
        <v>1</v>
      </c>
    </row>
    <row r="78" spans="1:13" x14ac:dyDescent="0.25">
      <c r="A78" s="2">
        <v>46171</v>
      </c>
      <c r="B78" s="1" t="str">
        <f ca="1">IF(Información1[[#This Row],[Fecha]]='Ajuste de fechas'!$A$2,"Día actual","Día anterior")</f>
        <v>Día anterior</v>
      </c>
      <c r="C78" t="s">
        <v>28</v>
      </c>
      <c r="D78" t="s">
        <v>31</v>
      </c>
      <c r="E78" t="s">
        <v>196</v>
      </c>
      <c r="F78" t="s">
        <v>24</v>
      </c>
      <c r="G78" t="s">
        <v>61</v>
      </c>
      <c r="H78" t="s">
        <v>11</v>
      </c>
      <c r="I78" t="s">
        <v>7</v>
      </c>
      <c r="J78" t="s">
        <v>24</v>
      </c>
      <c r="K78" t="s">
        <v>29</v>
      </c>
      <c r="L78" t="s">
        <v>44</v>
      </c>
      <c r="M78">
        <v>1</v>
      </c>
    </row>
    <row r="79" spans="1:13" x14ac:dyDescent="0.25">
      <c r="A79" s="2">
        <v>46171</v>
      </c>
      <c r="B79" s="1" t="str">
        <f ca="1">IF(Información1[[#This Row],[Fecha]]='Ajuste de fechas'!$A$2,"Día actual","Día anterior")</f>
        <v>Día anterior</v>
      </c>
      <c r="C79" t="s">
        <v>8</v>
      </c>
      <c r="D79" t="s">
        <v>10</v>
      </c>
      <c r="E79" t="s">
        <v>197</v>
      </c>
      <c r="F79" t="s">
        <v>177</v>
      </c>
      <c r="G79" t="s">
        <v>198</v>
      </c>
      <c r="H79" t="s">
        <v>11</v>
      </c>
      <c r="I79" t="s">
        <v>25</v>
      </c>
      <c r="J79" t="s">
        <v>43</v>
      </c>
      <c r="K79" t="s">
        <v>9</v>
      </c>
      <c r="L79" t="s">
        <v>45</v>
      </c>
      <c r="M79">
        <v>1</v>
      </c>
    </row>
    <row r="80" spans="1:13" x14ac:dyDescent="0.25">
      <c r="A80" s="2">
        <v>46171</v>
      </c>
      <c r="B80" s="1" t="str">
        <f ca="1">IF(Información1[[#This Row],[Fecha]]='Ajuste de fechas'!$A$2,"Día actual","Día anterior")</f>
        <v>Día anterior</v>
      </c>
      <c r="C80" t="s">
        <v>28</v>
      </c>
      <c r="D80" t="s">
        <v>30</v>
      </c>
      <c r="E80" t="s">
        <v>199</v>
      </c>
      <c r="F80" t="s">
        <v>19</v>
      </c>
      <c r="G80" t="s">
        <v>103</v>
      </c>
      <c r="H80" t="s">
        <v>11</v>
      </c>
      <c r="I80" t="s">
        <v>7</v>
      </c>
      <c r="J80" t="s">
        <v>47</v>
      </c>
      <c r="K80" t="s">
        <v>36</v>
      </c>
      <c r="L80" t="s">
        <v>44</v>
      </c>
      <c r="M80">
        <v>1</v>
      </c>
    </row>
    <row r="81" spans="1:13" x14ac:dyDescent="0.25">
      <c r="A81" s="2">
        <v>46171</v>
      </c>
      <c r="B81" s="1" t="str">
        <f ca="1">IF(Información1[[#This Row],[Fecha]]='Ajuste de fechas'!$A$2,"Día actual","Día anterior")</f>
        <v>Día anterior</v>
      </c>
      <c r="C81" t="s">
        <v>28</v>
      </c>
      <c r="D81" t="s">
        <v>31</v>
      </c>
      <c r="E81" t="s">
        <v>200</v>
      </c>
      <c r="F81" t="s">
        <v>19</v>
      </c>
      <c r="G81" t="s">
        <v>201</v>
      </c>
      <c r="H81" t="s">
        <v>11</v>
      </c>
      <c r="I81" t="s">
        <v>7</v>
      </c>
      <c r="J81" t="s">
        <v>47</v>
      </c>
      <c r="K81" t="s">
        <v>29</v>
      </c>
      <c r="L81" t="s">
        <v>44</v>
      </c>
      <c r="M81">
        <v>1</v>
      </c>
    </row>
    <row r="82" spans="1:13" x14ac:dyDescent="0.25">
      <c r="A82" s="2">
        <v>46171</v>
      </c>
      <c r="B82" s="1" t="str">
        <f ca="1">IF(Información1[[#This Row],[Fecha]]='Ajuste de fechas'!$A$2,"Día actual","Día anterior")</f>
        <v>Día anterior</v>
      </c>
      <c r="C82" t="s">
        <v>8</v>
      </c>
      <c r="D82" t="s">
        <v>10</v>
      </c>
      <c r="E82" t="s">
        <v>202</v>
      </c>
      <c r="F82" t="s">
        <v>22</v>
      </c>
      <c r="G82" t="s">
        <v>203</v>
      </c>
      <c r="H82" t="s">
        <v>11</v>
      </c>
      <c r="I82" t="s">
        <v>7</v>
      </c>
      <c r="J82" t="s">
        <v>48</v>
      </c>
      <c r="K82" t="s">
        <v>14</v>
      </c>
      <c r="L82" t="s">
        <v>44</v>
      </c>
      <c r="M82">
        <v>1</v>
      </c>
    </row>
    <row r="83" spans="1:13" x14ac:dyDescent="0.25">
      <c r="A83" s="2">
        <v>46171</v>
      </c>
      <c r="B83" s="1" t="str">
        <f ca="1">IF(Información1[[#This Row],[Fecha]]='Ajuste de fechas'!$A$2,"Día actual","Día anterior")</f>
        <v>Día anterior</v>
      </c>
      <c r="C83" t="s">
        <v>84</v>
      </c>
      <c r="D83" t="s">
        <v>72</v>
      </c>
      <c r="E83" t="s">
        <v>204</v>
      </c>
      <c r="F83" t="s">
        <v>66</v>
      </c>
      <c r="G83" t="s">
        <v>205</v>
      </c>
      <c r="H83" t="s">
        <v>11</v>
      </c>
      <c r="I83" t="s">
        <v>7</v>
      </c>
      <c r="J83" t="s">
        <v>43</v>
      </c>
      <c r="K83" t="s">
        <v>73</v>
      </c>
      <c r="L83" t="s">
        <v>46</v>
      </c>
      <c r="M83">
        <v>1</v>
      </c>
    </row>
    <row r="84" spans="1:13" x14ac:dyDescent="0.25">
      <c r="A84" s="2">
        <v>46171</v>
      </c>
      <c r="B84" s="1" t="str">
        <f ca="1">IF(Información1[[#This Row],[Fecha]]='Ajuste de fechas'!$A$2,"Día actual","Día anterior")</f>
        <v>Día anterior</v>
      </c>
      <c r="C84" t="s">
        <v>71</v>
      </c>
      <c r="D84" t="s">
        <v>72</v>
      </c>
      <c r="E84" t="s">
        <v>204</v>
      </c>
      <c r="F84" t="s">
        <v>66</v>
      </c>
      <c r="G84" t="s">
        <v>205</v>
      </c>
      <c r="H84" t="s">
        <v>11</v>
      </c>
      <c r="I84" t="s">
        <v>7</v>
      </c>
      <c r="J84" t="s">
        <v>43</v>
      </c>
      <c r="K84" t="s">
        <v>73</v>
      </c>
      <c r="L84" t="s">
        <v>46</v>
      </c>
      <c r="M84">
        <v>1</v>
      </c>
    </row>
    <row r="85" spans="1:13" x14ac:dyDescent="0.25">
      <c r="A85" s="2">
        <v>46171</v>
      </c>
      <c r="B85" s="1" t="str">
        <f ca="1">IF(Información1[[#This Row],[Fecha]]='Ajuste de fechas'!$A$2,"Día actual","Día anterior")</f>
        <v>Día anterior</v>
      </c>
      <c r="C85" t="s">
        <v>8</v>
      </c>
      <c r="D85" t="s">
        <v>10</v>
      </c>
      <c r="E85" t="s">
        <v>206</v>
      </c>
      <c r="F85" t="s">
        <v>17</v>
      </c>
      <c r="G85" t="s">
        <v>63</v>
      </c>
      <c r="H85" t="s">
        <v>11</v>
      </c>
      <c r="I85" t="s">
        <v>25</v>
      </c>
      <c r="J85" t="s">
        <v>43</v>
      </c>
      <c r="K85" t="s">
        <v>9</v>
      </c>
      <c r="L85" t="s">
        <v>45</v>
      </c>
      <c r="M85">
        <v>1</v>
      </c>
    </row>
    <row r="86" spans="1:13" x14ac:dyDescent="0.25">
      <c r="A86" s="2">
        <v>46171</v>
      </c>
      <c r="B86" s="1" t="str">
        <f ca="1">IF(Información1[[#This Row],[Fecha]]='Ajuste de fechas'!$A$2,"Día actual","Día anterior")</f>
        <v>Día anterior</v>
      </c>
      <c r="C86" t="s">
        <v>28</v>
      </c>
      <c r="D86" t="s">
        <v>30</v>
      </c>
      <c r="E86" t="s">
        <v>207</v>
      </c>
      <c r="F86" t="s">
        <v>22</v>
      </c>
      <c r="G86" t="s">
        <v>208</v>
      </c>
      <c r="H86" t="s">
        <v>11</v>
      </c>
      <c r="I86" t="s">
        <v>7</v>
      </c>
      <c r="J86" t="s">
        <v>48</v>
      </c>
      <c r="K86" t="s">
        <v>36</v>
      </c>
      <c r="L86" t="s">
        <v>44</v>
      </c>
      <c r="M86">
        <v>1</v>
      </c>
    </row>
    <row r="87" spans="1:13" x14ac:dyDescent="0.25">
      <c r="A87" s="2">
        <v>46171</v>
      </c>
      <c r="B87" s="1" t="str">
        <f ca="1">IF(Información1[[#This Row],[Fecha]]='Ajuste de fechas'!$A$2,"Día actual","Día anterior")</f>
        <v>Día anterior</v>
      </c>
      <c r="C87" t="s">
        <v>28</v>
      </c>
      <c r="D87" t="s">
        <v>30</v>
      </c>
      <c r="E87" t="s">
        <v>209</v>
      </c>
      <c r="F87" t="s">
        <v>24</v>
      </c>
      <c r="G87" t="s">
        <v>210</v>
      </c>
      <c r="H87" t="s">
        <v>11</v>
      </c>
      <c r="I87" t="s">
        <v>7</v>
      </c>
      <c r="J87" t="s">
        <v>24</v>
      </c>
      <c r="K87" t="s">
        <v>36</v>
      </c>
      <c r="L87" t="s">
        <v>44</v>
      </c>
      <c r="M87">
        <v>1</v>
      </c>
    </row>
    <row r="88" spans="1:13" x14ac:dyDescent="0.25">
      <c r="A88" s="2">
        <v>46171</v>
      </c>
      <c r="B88" s="1" t="str">
        <f ca="1">IF(Información1[[#This Row],[Fecha]]='Ajuste de fechas'!$A$2,"Día actual","Día anterior")</f>
        <v>Día anterior</v>
      </c>
      <c r="C88" t="s">
        <v>28</v>
      </c>
      <c r="D88" t="s">
        <v>30</v>
      </c>
      <c r="E88" t="s">
        <v>211</v>
      </c>
      <c r="F88" t="s">
        <v>26</v>
      </c>
      <c r="G88" t="s">
        <v>62</v>
      </c>
      <c r="H88" t="s">
        <v>11</v>
      </c>
      <c r="I88" t="s">
        <v>7</v>
      </c>
      <c r="J88" t="s">
        <v>43</v>
      </c>
      <c r="K88" t="s">
        <v>36</v>
      </c>
      <c r="L88" t="s">
        <v>44</v>
      </c>
      <c r="M88">
        <v>1</v>
      </c>
    </row>
    <row r="89" spans="1:13" x14ac:dyDescent="0.25">
      <c r="A89" s="2">
        <v>46171</v>
      </c>
      <c r="B89" s="1" t="str">
        <f ca="1">IF(Información1[[#This Row],[Fecha]]='Ajuste de fechas'!$A$2,"Día actual","Día anterior")</f>
        <v>Día anterior</v>
      </c>
      <c r="C89" t="s">
        <v>28</v>
      </c>
      <c r="D89" t="s">
        <v>30</v>
      </c>
      <c r="E89" t="s">
        <v>212</v>
      </c>
      <c r="F89" t="s">
        <v>26</v>
      </c>
      <c r="G89" t="s">
        <v>62</v>
      </c>
      <c r="H89" t="s">
        <v>11</v>
      </c>
      <c r="I89" t="s">
        <v>7</v>
      </c>
      <c r="J89" t="s">
        <v>43</v>
      </c>
      <c r="K89" t="s">
        <v>36</v>
      </c>
      <c r="L89" t="s">
        <v>44</v>
      </c>
      <c r="M89">
        <v>1</v>
      </c>
    </row>
    <row r="90" spans="1:13" x14ac:dyDescent="0.25">
      <c r="A90" s="2">
        <v>46171</v>
      </c>
      <c r="B90" s="1" t="str">
        <f ca="1">IF(Información1[[#This Row],[Fecha]]='Ajuste de fechas'!$A$2,"Día actual","Día anterior")</f>
        <v>Día anterior</v>
      </c>
      <c r="C90" t="s">
        <v>84</v>
      </c>
      <c r="D90" t="s">
        <v>72</v>
      </c>
      <c r="E90" t="s">
        <v>164</v>
      </c>
      <c r="F90" t="s">
        <v>26</v>
      </c>
      <c r="G90" t="s">
        <v>62</v>
      </c>
      <c r="H90" t="s">
        <v>11</v>
      </c>
      <c r="I90" t="s">
        <v>7</v>
      </c>
      <c r="J90" t="s">
        <v>43</v>
      </c>
      <c r="K90" t="s">
        <v>73</v>
      </c>
      <c r="L90" t="s">
        <v>46</v>
      </c>
      <c r="M90">
        <v>1</v>
      </c>
    </row>
    <row r="91" spans="1:13" x14ac:dyDescent="0.25">
      <c r="A91" s="2">
        <v>46171</v>
      </c>
      <c r="B91" s="1" t="str">
        <f ca="1">IF(Información1[[#This Row],[Fecha]]='Ajuste de fechas'!$A$2,"Día actual","Día anterior")</f>
        <v>Día anterior</v>
      </c>
      <c r="C91" t="s">
        <v>28</v>
      </c>
      <c r="D91" t="s">
        <v>31</v>
      </c>
      <c r="E91" t="s">
        <v>213</v>
      </c>
      <c r="F91" t="s">
        <v>26</v>
      </c>
      <c r="G91" t="s">
        <v>62</v>
      </c>
      <c r="H91" t="s">
        <v>11</v>
      </c>
      <c r="I91" t="s">
        <v>7</v>
      </c>
      <c r="J91" t="s">
        <v>43</v>
      </c>
      <c r="K91" t="s">
        <v>29</v>
      </c>
      <c r="L91" t="s">
        <v>44</v>
      </c>
      <c r="M91">
        <v>1</v>
      </c>
    </row>
    <row r="92" spans="1:13" x14ac:dyDescent="0.25">
      <c r="A92" s="2">
        <v>46171</v>
      </c>
      <c r="B92" s="1" t="str">
        <f ca="1">IF(Información1[[#This Row],[Fecha]]='Ajuste de fechas'!$A$2,"Día actual","Día anterior")</f>
        <v>Día anterior</v>
      </c>
      <c r="C92" t="s">
        <v>28</v>
      </c>
      <c r="D92" t="s">
        <v>31</v>
      </c>
      <c r="E92" t="s">
        <v>212</v>
      </c>
      <c r="F92" t="s">
        <v>26</v>
      </c>
      <c r="G92" t="s">
        <v>62</v>
      </c>
      <c r="H92" t="s">
        <v>11</v>
      </c>
      <c r="I92" t="s">
        <v>7</v>
      </c>
      <c r="J92" t="s">
        <v>43</v>
      </c>
      <c r="K92" t="s">
        <v>29</v>
      </c>
      <c r="L92" t="s">
        <v>44</v>
      </c>
      <c r="M92">
        <v>1</v>
      </c>
    </row>
    <row r="93" spans="1:13" x14ac:dyDescent="0.25">
      <c r="A93" s="2">
        <v>46171</v>
      </c>
      <c r="B93" s="1" t="str">
        <f ca="1">IF(Información1[[#This Row],[Fecha]]='Ajuste de fechas'!$A$2,"Día actual","Día anterior")</f>
        <v>Día anterior</v>
      </c>
      <c r="C93" t="s">
        <v>8</v>
      </c>
      <c r="D93" t="s">
        <v>10</v>
      </c>
      <c r="E93" t="s">
        <v>214</v>
      </c>
      <c r="F93" t="s">
        <v>19</v>
      </c>
      <c r="G93" t="s">
        <v>215</v>
      </c>
      <c r="H93" t="s">
        <v>11</v>
      </c>
      <c r="I93" t="s">
        <v>25</v>
      </c>
      <c r="J93" t="s">
        <v>47</v>
      </c>
      <c r="K93" t="s">
        <v>9</v>
      </c>
      <c r="L93" t="s">
        <v>45</v>
      </c>
      <c r="M93">
        <v>1</v>
      </c>
    </row>
    <row r="94" spans="1:13" x14ac:dyDescent="0.25">
      <c r="A94" s="2">
        <v>46171</v>
      </c>
      <c r="B94" s="1" t="str">
        <f ca="1">IF(Información1[[#This Row],[Fecha]]='Ajuste de fechas'!$A$2,"Día actual","Día anterior")</f>
        <v>Día anterior</v>
      </c>
      <c r="C94" t="s">
        <v>84</v>
      </c>
      <c r="D94" t="s">
        <v>72</v>
      </c>
      <c r="E94" t="s">
        <v>216</v>
      </c>
      <c r="F94" t="s">
        <v>21</v>
      </c>
      <c r="G94" t="s">
        <v>217</v>
      </c>
      <c r="H94" t="s">
        <v>11</v>
      </c>
      <c r="I94" t="s">
        <v>7</v>
      </c>
      <c r="J94" t="s">
        <v>43</v>
      </c>
      <c r="K94" t="s">
        <v>73</v>
      </c>
      <c r="L94" t="s">
        <v>46</v>
      </c>
      <c r="M94">
        <v>1</v>
      </c>
    </row>
    <row r="95" spans="1:13" x14ac:dyDescent="0.25">
      <c r="A95" s="2">
        <v>46171</v>
      </c>
      <c r="B95" s="1" t="str">
        <f ca="1">IF(Información1[[#This Row],[Fecha]]='Ajuste de fechas'!$A$2,"Día actual","Día anterior")</f>
        <v>Día anterior</v>
      </c>
      <c r="C95" t="s">
        <v>28</v>
      </c>
      <c r="D95" t="s">
        <v>30</v>
      </c>
      <c r="E95" t="s">
        <v>218</v>
      </c>
      <c r="F95" t="s">
        <v>116</v>
      </c>
      <c r="G95" t="s">
        <v>68</v>
      </c>
      <c r="H95" t="s">
        <v>11</v>
      </c>
      <c r="I95" t="s">
        <v>7</v>
      </c>
      <c r="J95" t="s">
        <v>24</v>
      </c>
      <c r="K95" t="s">
        <v>36</v>
      </c>
      <c r="L95" t="s">
        <v>44</v>
      </c>
      <c r="M95">
        <v>1</v>
      </c>
    </row>
    <row r="96" spans="1:13" x14ac:dyDescent="0.25">
      <c r="A96" s="2">
        <v>46171</v>
      </c>
      <c r="B96" s="1" t="str">
        <f ca="1">IF(Información1[[#This Row],[Fecha]]='Ajuste de fechas'!$A$2,"Día actual","Día anterior")</f>
        <v>Día anterior</v>
      </c>
      <c r="C96" t="s">
        <v>28</v>
      </c>
      <c r="D96" t="s">
        <v>30</v>
      </c>
      <c r="E96" t="s">
        <v>219</v>
      </c>
      <c r="F96" t="s">
        <v>34</v>
      </c>
      <c r="G96" t="s">
        <v>125</v>
      </c>
      <c r="H96" t="s">
        <v>11</v>
      </c>
      <c r="I96" t="s">
        <v>7</v>
      </c>
      <c r="J96" t="s">
        <v>43</v>
      </c>
      <c r="K96" t="s">
        <v>36</v>
      </c>
      <c r="L96" t="s">
        <v>44</v>
      </c>
      <c r="M96">
        <v>1</v>
      </c>
    </row>
    <row r="97" spans="1:13" x14ac:dyDescent="0.25">
      <c r="A97" s="2">
        <v>46171</v>
      </c>
      <c r="B97" s="1" t="str">
        <f ca="1">IF(Información1[[#This Row],[Fecha]]='Ajuste de fechas'!$A$2,"Día actual","Día anterior")</f>
        <v>Día anterior</v>
      </c>
      <c r="C97" t="s">
        <v>28</v>
      </c>
      <c r="D97" t="s">
        <v>31</v>
      </c>
      <c r="E97" t="s">
        <v>220</v>
      </c>
      <c r="F97" t="s">
        <v>34</v>
      </c>
      <c r="G97" t="s">
        <v>125</v>
      </c>
      <c r="H97" t="s">
        <v>11</v>
      </c>
      <c r="I97" t="s">
        <v>7</v>
      </c>
      <c r="J97" t="s">
        <v>43</v>
      </c>
      <c r="K97" t="s">
        <v>29</v>
      </c>
      <c r="L97" t="s">
        <v>44</v>
      </c>
      <c r="M97">
        <v>1</v>
      </c>
    </row>
    <row r="98" spans="1:13" x14ac:dyDescent="0.25">
      <c r="A98" s="2">
        <v>46171</v>
      </c>
      <c r="B98" s="1" t="str">
        <f ca="1">IF(Información1[[#This Row],[Fecha]]='Ajuste de fechas'!$A$2,"Día actual","Día anterior")</f>
        <v>Día anterior</v>
      </c>
      <c r="C98" t="s">
        <v>8</v>
      </c>
      <c r="D98" t="s">
        <v>10</v>
      </c>
      <c r="E98" t="s">
        <v>124</v>
      </c>
      <c r="F98" t="s">
        <v>34</v>
      </c>
      <c r="G98" t="s">
        <v>125</v>
      </c>
      <c r="H98" t="s">
        <v>11</v>
      </c>
      <c r="I98" t="s">
        <v>7</v>
      </c>
      <c r="J98" t="s">
        <v>43</v>
      </c>
      <c r="K98" t="s">
        <v>14</v>
      </c>
      <c r="L98" t="s">
        <v>46</v>
      </c>
      <c r="M98">
        <v>1</v>
      </c>
    </row>
    <row r="99" spans="1:13" x14ac:dyDescent="0.25">
      <c r="A99" s="2">
        <v>46171</v>
      </c>
      <c r="B99" s="1" t="str">
        <f ca="1">IF(Información1[[#This Row],[Fecha]]='Ajuste de fechas'!$A$2,"Día actual","Día anterior")</f>
        <v>Día anterior</v>
      </c>
      <c r="C99" t="s">
        <v>28</v>
      </c>
      <c r="D99" t="s">
        <v>31</v>
      </c>
      <c r="E99" t="s">
        <v>221</v>
      </c>
      <c r="F99" t="s">
        <v>26</v>
      </c>
      <c r="G99" t="s">
        <v>75</v>
      </c>
      <c r="H99" t="s">
        <v>11</v>
      </c>
      <c r="I99" t="s">
        <v>7</v>
      </c>
      <c r="J99" t="s">
        <v>43</v>
      </c>
      <c r="K99" t="s">
        <v>29</v>
      </c>
      <c r="L99" t="s">
        <v>44</v>
      </c>
      <c r="M99">
        <v>1</v>
      </c>
    </row>
    <row r="100" spans="1:13" x14ac:dyDescent="0.25">
      <c r="A100" s="2">
        <v>46171</v>
      </c>
      <c r="B100" s="1" t="str">
        <f ca="1">IF(Información1[[#This Row],[Fecha]]='Ajuste de fechas'!$A$2,"Día actual","Día anterior")</f>
        <v>Día anterior</v>
      </c>
      <c r="C100" t="s">
        <v>8</v>
      </c>
      <c r="D100" t="s">
        <v>10</v>
      </c>
      <c r="E100" t="s">
        <v>222</v>
      </c>
      <c r="F100" t="s">
        <v>6</v>
      </c>
      <c r="G100" t="s">
        <v>83</v>
      </c>
      <c r="H100" t="s">
        <v>11</v>
      </c>
      <c r="I100" t="s">
        <v>25</v>
      </c>
      <c r="J100" t="s">
        <v>43</v>
      </c>
      <c r="K100" t="s">
        <v>9</v>
      </c>
      <c r="L100" t="s">
        <v>45</v>
      </c>
      <c r="M100">
        <v>1</v>
      </c>
    </row>
    <row r="101" spans="1:13" x14ac:dyDescent="0.25">
      <c r="A101" s="2">
        <v>46174</v>
      </c>
      <c r="B101" s="1" t="str">
        <f ca="1">IF(Información1[[#This Row],[Fecha]]='Ajuste de fechas'!$A$2,"Día actual","Día anterior")</f>
        <v>Día actual</v>
      </c>
      <c r="C101" t="s">
        <v>32</v>
      </c>
      <c r="D101" t="s">
        <v>33</v>
      </c>
      <c r="E101" t="s">
        <v>223</v>
      </c>
      <c r="F101" t="s">
        <v>22</v>
      </c>
      <c r="G101" t="s">
        <v>224</v>
      </c>
      <c r="H101" t="s">
        <v>93</v>
      </c>
      <c r="I101" t="s">
        <v>25</v>
      </c>
      <c r="J101" t="s">
        <v>48</v>
      </c>
      <c r="K101" t="s">
        <v>27</v>
      </c>
      <c r="L101" t="s">
        <v>45</v>
      </c>
      <c r="M101">
        <v>2</v>
      </c>
    </row>
    <row r="102" spans="1:13" x14ac:dyDescent="0.25">
      <c r="A102" s="2">
        <v>46174</v>
      </c>
      <c r="B102" s="1" t="str">
        <f ca="1">IF(Información1[[#This Row],[Fecha]]='Ajuste de fechas'!$A$2,"Día actual","Día anterior")</f>
        <v>Día actual</v>
      </c>
      <c r="C102" t="s">
        <v>32</v>
      </c>
      <c r="D102" t="s">
        <v>33</v>
      </c>
      <c r="E102" t="s">
        <v>225</v>
      </c>
      <c r="F102" t="s">
        <v>226</v>
      </c>
      <c r="G102" t="s">
        <v>224</v>
      </c>
      <c r="H102" t="s">
        <v>93</v>
      </c>
      <c r="I102" t="s">
        <v>7</v>
      </c>
      <c r="J102" t="s">
        <v>227</v>
      </c>
      <c r="K102" t="s">
        <v>27</v>
      </c>
      <c r="L102" t="s">
        <v>45</v>
      </c>
      <c r="M102">
        <v>2</v>
      </c>
    </row>
    <row r="103" spans="1:13" x14ac:dyDescent="0.25">
      <c r="A103" s="2">
        <v>46174</v>
      </c>
      <c r="B103" s="1" t="str">
        <f ca="1">IF(Información1[[#This Row],[Fecha]]='Ajuste de fechas'!$A$2,"Día actual","Día anterior")</f>
        <v>Día actual</v>
      </c>
      <c r="C103" t="s">
        <v>32</v>
      </c>
      <c r="D103" t="s">
        <v>33</v>
      </c>
      <c r="E103" t="s">
        <v>228</v>
      </c>
      <c r="F103" t="s">
        <v>17</v>
      </c>
      <c r="G103" t="s">
        <v>95</v>
      </c>
      <c r="H103" t="s">
        <v>93</v>
      </c>
      <c r="I103" t="s">
        <v>7</v>
      </c>
      <c r="J103" t="s">
        <v>43</v>
      </c>
      <c r="K103" t="s">
        <v>27</v>
      </c>
      <c r="L103" t="s">
        <v>44</v>
      </c>
      <c r="M103">
        <v>2</v>
      </c>
    </row>
    <row r="104" spans="1:13" x14ac:dyDescent="0.25">
      <c r="A104" s="2">
        <v>46174</v>
      </c>
      <c r="B104" s="1" t="str">
        <f ca="1">IF(Información1[[#This Row],[Fecha]]='Ajuste de fechas'!$A$2,"Día actual","Día anterior")</f>
        <v>Día actual</v>
      </c>
      <c r="C104" t="s">
        <v>32</v>
      </c>
      <c r="D104" t="s">
        <v>33</v>
      </c>
      <c r="E104" t="s">
        <v>229</v>
      </c>
      <c r="F104" t="s">
        <v>53</v>
      </c>
      <c r="G104" t="s">
        <v>230</v>
      </c>
      <c r="H104" t="s">
        <v>93</v>
      </c>
      <c r="I104" t="s">
        <v>7</v>
      </c>
      <c r="J104" t="s">
        <v>43</v>
      </c>
      <c r="K104" t="s">
        <v>27</v>
      </c>
      <c r="L104" t="s">
        <v>44</v>
      </c>
      <c r="M104">
        <v>2</v>
      </c>
    </row>
    <row r="105" spans="1:13" x14ac:dyDescent="0.25">
      <c r="A105" s="2">
        <v>46174</v>
      </c>
      <c r="B105" s="1" t="str">
        <f ca="1">IF(Información1[[#This Row],[Fecha]]='Ajuste de fechas'!$A$2,"Día actual","Día anterior")</f>
        <v>Día actual</v>
      </c>
      <c r="C105" t="s">
        <v>32</v>
      </c>
      <c r="D105" t="s">
        <v>33</v>
      </c>
      <c r="E105" t="s">
        <v>231</v>
      </c>
      <c r="F105" t="s">
        <v>19</v>
      </c>
      <c r="G105" t="s">
        <v>92</v>
      </c>
      <c r="H105" t="s">
        <v>93</v>
      </c>
      <c r="I105" t="s">
        <v>7</v>
      </c>
      <c r="J105" t="s">
        <v>47</v>
      </c>
      <c r="K105" t="s">
        <v>27</v>
      </c>
      <c r="L105" t="s">
        <v>44</v>
      </c>
      <c r="M105">
        <v>2</v>
      </c>
    </row>
    <row r="106" spans="1:13" x14ac:dyDescent="0.25">
      <c r="A106" s="2">
        <v>46174</v>
      </c>
      <c r="B106" s="1" t="str">
        <f ca="1">IF(Información1[[#This Row],[Fecha]]='Ajuste de fechas'!$A$2,"Día actual","Día anterior")</f>
        <v>Día actual</v>
      </c>
      <c r="C106" t="s">
        <v>32</v>
      </c>
      <c r="D106" t="s">
        <v>33</v>
      </c>
      <c r="E106" t="s">
        <v>232</v>
      </c>
      <c r="F106" t="s">
        <v>17</v>
      </c>
      <c r="G106" t="s">
        <v>95</v>
      </c>
      <c r="H106" t="s">
        <v>93</v>
      </c>
      <c r="I106" t="s">
        <v>7</v>
      </c>
      <c r="J106" t="s">
        <v>43</v>
      </c>
      <c r="K106" t="s">
        <v>9</v>
      </c>
      <c r="L106" t="s">
        <v>45</v>
      </c>
      <c r="M106">
        <v>2</v>
      </c>
    </row>
    <row r="107" spans="1:13" x14ac:dyDescent="0.25">
      <c r="A107" s="2">
        <v>46174</v>
      </c>
      <c r="B107" s="1" t="str">
        <f ca="1">IF(Información1[[#This Row],[Fecha]]='Ajuste de fechas'!$A$2,"Día actual","Día anterior")</f>
        <v>Día actual</v>
      </c>
      <c r="C107" t="s">
        <v>32</v>
      </c>
      <c r="D107" t="s">
        <v>33</v>
      </c>
      <c r="E107" t="s">
        <v>233</v>
      </c>
      <c r="F107" t="s">
        <v>67</v>
      </c>
      <c r="G107" t="s">
        <v>234</v>
      </c>
      <c r="H107" t="s">
        <v>93</v>
      </c>
      <c r="I107" t="s">
        <v>7</v>
      </c>
      <c r="J107" t="s">
        <v>24</v>
      </c>
      <c r="K107" t="s">
        <v>27</v>
      </c>
      <c r="L107" t="s">
        <v>44</v>
      </c>
      <c r="M107">
        <v>2</v>
      </c>
    </row>
    <row r="108" spans="1:13" x14ac:dyDescent="0.25">
      <c r="A108" s="2">
        <v>46174</v>
      </c>
      <c r="B108" s="1" t="str">
        <f ca="1">IF(Información1[[#This Row],[Fecha]]='Ajuste de fechas'!$A$2,"Día actual","Día anterior")</f>
        <v>Día actual</v>
      </c>
      <c r="C108" t="s">
        <v>32</v>
      </c>
      <c r="D108" t="s">
        <v>33</v>
      </c>
      <c r="E108" t="s">
        <v>235</v>
      </c>
      <c r="F108" t="s">
        <v>15</v>
      </c>
      <c r="G108" t="s">
        <v>97</v>
      </c>
      <c r="H108" t="s">
        <v>93</v>
      </c>
      <c r="I108" t="s">
        <v>25</v>
      </c>
      <c r="J108" t="s">
        <v>43</v>
      </c>
      <c r="K108" t="s">
        <v>27</v>
      </c>
      <c r="L108" t="s">
        <v>45</v>
      </c>
      <c r="M108">
        <v>2</v>
      </c>
    </row>
    <row r="109" spans="1:13" x14ac:dyDescent="0.25">
      <c r="A109" s="2">
        <v>46174</v>
      </c>
      <c r="B109" s="1" t="str">
        <f ca="1">IF(Información1[[#This Row],[Fecha]]='Ajuste de fechas'!$A$2,"Día actual","Día anterior")</f>
        <v>Día actual</v>
      </c>
      <c r="C109" t="s">
        <v>32</v>
      </c>
      <c r="D109" t="s">
        <v>33</v>
      </c>
      <c r="E109" t="s">
        <v>236</v>
      </c>
      <c r="F109" t="s">
        <v>26</v>
      </c>
      <c r="G109" t="s">
        <v>224</v>
      </c>
      <c r="H109" t="s">
        <v>93</v>
      </c>
      <c r="I109" t="s">
        <v>7</v>
      </c>
      <c r="J109" t="s">
        <v>43</v>
      </c>
      <c r="K109" t="s">
        <v>27</v>
      </c>
      <c r="L109" t="s">
        <v>46</v>
      </c>
      <c r="M109">
        <v>2</v>
      </c>
    </row>
    <row r="110" spans="1:13" x14ac:dyDescent="0.25">
      <c r="A110" s="2">
        <v>46174</v>
      </c>
      <c r="B110" s="1" t="str">
        <f ca="1">IF(Información1[[#This Row],[Fecha]]='Ajuste de fechas'!$A$2,"Día actual","Día anterior")</f>
        <v>Día actual</v>
      </c>
      <c r="C110" t="s">
        <v>106</v>
      </c>
      <c r="D110" t="s">
        <v>107</v>
      </c>
      <c r="E110" t="s">
        <v>237</v>
      </c>
      <c r="F110" t="s">
        <v>22</v>
      </c>
      <c r="G110" t="s">
        <v>94</v>
      </c>
      <c r="H110" t="s">
        <v>11</v>
      </c>
      <c r="I110" t="s">
        <v>7</v>
      </c>
      <c r="J110" t="s">
        <v>48</v>
      </c>
      <c r="K110" t="s">
        <v>108</v>
      </c>
      <c r="L110" t="s">
        <v>44</v>
      </c>
      <c r="M110">
        <v>1</v>
      </c>
    </row>
    <row r="111" spans="1:13" x14ac:dyDescent="0.25">
      <c r="A111" s="2">
        <v>46174</v>
      </c>
      <c r="B111" s="1" t="str">
        <f ca="1">IF(Información1[[#This Row],[Fecha]]='Ajuste de fechas'!$A$2,"Día actual","Día anterior")</f>
        <v>Día actual</v>
      </c>
      <c r="C111" t="s">
        <v>106</v>
      </c>
      <c r="D111" t="s">
        <v>107</v>
      </c>
      <c r="E111" t="s">
        <v>238</v>
      </c>
      <c r="F111" t="s">
        <v>19</v>
      </c>
      <c r="G111" t="s">
        <v>239</v>
      </c>
      <c r="H111" t="s">
        <v>11</v>
      </c>
      <c r="I111" t="s">
        <v>7</v>
      </c>
      <c r="J111" t="s">
        <v>47</v>
      </c>
      <c r="K111" t="s">
        <v>108</v>
      </c>
      <c r="L111" t="s">
        <v>44</v>
      </c>
      <c r="M111">
        <v>1</v>
      </c>
    </row>
    <row r="112" spans="1:13" x14ac:dyDescent="0.25">
      <c r="A112" s="2">
        <v>46174</v>
      </c>
      <c r="B112" s="1" t="str">
        <f ca="1">IF(Información1[[#This Row],[Fecha]]='Ajuste de fechas'!$A$2,"Día actual","Día anterior")</f>
        <v>Día actual</v>
      </c>
      <c r="C112" t="s">
        <v>106</v>
      </c>
      <c r="D112" t="s">
        <v>107</v>
      </c>
      <c r="E112" t="s">
        <v>240</v>
      </c>
      <c r="F112" t="s">
        <v>53</v>
      </c>
      <c r="G112" t="s">
        <v>241</v>
      </c>
      <c r="H112" t="s">
        <v>11</v>
      </c>
      <c r="I112" t="s">
        <v>7</v>
      </c>
      <c r="J112" t="s">
        <v>43</v>
      </c>
      <c r="K112" t="s">
        <v>108</v>
      </c>
      <c r="L112" t="s">
        <v>44</v>
      </c>
      <c r="M112">
        <v>1</v>
      </c>
    </row>
    <row r="113" spans="1:13" x14ac:dyDescent="0.25">
      <c r="A113" s="2">
        <v>46174</v>
      </c>
      <c r="B113" s="1" t="str">
        <f ca="1">IF(Información1[[#This Row],[Fecha]]='Ajuste de fechas'!$A$2,"Día actual","Día anterior")</f>
        <v>Día actual</v>
      </c>
      <c r="C113" t="s">
        <v>106</v>
      </c>
      <c r="D113" t="s">
        <v>107</v>
      </c>
      <c r="E113" t="s">
        <v>242</v>
      </c>
      <c r="F113" t="s">
        <v>19</v>
      </c>
      <c r="G113" t="s">
        <v>69</v>
      </c>
      <c r="H113" t="s">
        <v>11</v>
      </c>
      <c r="I113" t="s">
        <v>7</v>
      </c>
      <c r="J113" t="s">
        <v>47</v>
      </c>
      <c r="K113" t="s">
        <v>108</v>
      </c>
      <c r="L113" t="s">
        <v>44</v>
      </c>
      <c r="M113">
        <v>1</v>
      </c>
    </row>
    <row r="114" spans="1:13" x14ac:dyDescent="0.25">
      <c r="A114" s="2">
        <v>46174</v>
      </c>
      <c r="B114" s="1" t="str">
        <f ca="1">IF(Información1[[#This Row],[Fecha]]='Ajuste de fechas'!$A$2,"Día actual","Día anterior")</f>
        <v>Día actual</v>
      </c>
      <c r="C114" t="s">
        <v>106</v>
      </c>
      <c r="D114" t="s">
        <v>107</v>
      </c>
      <c r="E114" t="s">
        <v>243</v>
      </c>
      <c r="F114" t="s">
        <v>23</v>
      </c>
      <c r="G114" t="s">
        <v>85</v>
      </c>
      <c r="H114" t="s">
        <v>11</v>
      </c>
      <c r="I114" t="s">
        <v>7</v>
      </c>
      <c r="J114" t="s">
        <v>43</v>
      </c>
      <c r="K114" t="s">
        <v>108</v>
      </c>
      <c r="L114" t="s">
        <v>46</v>
      </c>
      <c r="M114">
        <v>1</v>
      </c>
    </row>
    <row r="115" spans="1:13" x14ac:dyDescent="0.25">
      <c r="A115" s="2">
        <v>46174</v>
      </c>
      <c r="B115" s="1" t="str">
        <f ca="1">IF(Información1[[#This Row],[Fecha]]='Ajuste de fechas'!$A$2,"Día actual","Día anterior")</f>
        <v>Día actual</v>
      </c>
      <c r="C115" t="s">
        <v>106</v>
      </c>
      <c r="D115" t="s">
        <v>107</v>
      </c>
      <c r="E115" t="s">
        <v>244</v>
      </c>
      <c r="F115" t="s">
        <v>19</v>
      </c>
      <c r="G115" t="s">
        <v>245</v>
      </c>
      <c r="H115" t="s">
        <v>11</v>
      </c>
      <c r="I115" t="s">
        <v>7</v>
      </c>
      <c r="J115" t="s">
        <v>47</v>
      </c>
      <c r="K115" t="s">
        <v>108</v>
      </c>
      <c r="L115" t="s">
        <v>44</v>
      </c>
      <c r="M115">
        <v>1</v>
      </c>
    </row>
    <row r="116" spans="1:13" x14ac:dyDescent="0.25">
      <c r="A116" s="2">
        <v>46174</v>
      </c>
      <c r="B116" s="1" t="str">
        <f ca="1">IF(Información1[[#This Row],[Fecha]]='Ajuste de fechas'!$A$2,"Día actual","Día anterior")</f>
        <v>Día actual</v>
      </c>
      <c r="C116" t="s">
        <v>106</v>
      </c>
      <c r="D116" t="s">
        <v>107</v>
      </c>
      <c r="E116" t="s">
        <v>246</v>
      </c>
      <c r="F116" t="s">
        <v>21</v>
      </c>
      <c r="G116" t="s">
        <v>96</v>
      </c>
      <c r="H116" t="s">
        <v>11</v>
      </c>
      <c r="I116" t="s">
        <v>7</v>
      </c>
      <c r="J116" t="s">
        <v>43</v>
      </c>
      <c r="K116" t="s">
        <v>108</v>
      </c>
      <c r="L116" t="s">
        <v>46</v>
      </c>
      <c r="M116">
        <v>1</v>
      </c>
    </row>
    <row r="117" spans="1:13" x14ac:dyDescent="0.25">
      <c r="A117" s="2">
        <v>46174</v>
      </c>
      <c r="B117" s="1" t="str">
        <f ca="1">IF(Información1[[#This Row],[Fecha]]='Ajuste de fechas'!$A$2,"Día actual","Día anterior")</f>
        <v>Día actual</v>
      </c>
      <c r="C117" t="s">
        <v>106</v>
      </c>
      <c r="D117" t="s">
        <v>107</v>
      </c>
      <c r="E117" t="s">
        <v>247</v>
      </c>
      <c r="F117" t="s">
        <v>22</v>
      </c>
      <c r="G117" t="s">
        <v>91</v>
      </c>
      <c r="H117" t="s">
        <v>11</v>
      </c>
      <c r="I117" t="s">
        <v>7</v>
      </c>
      <c r="J117" t="s">
        <v>48</v>
      </c>
      <c r="K117" t="s">
        <v>108</v>
      </c>
      <c r="L117" t="s">
        <v>44</v>
      </c>
      <c r="M117">
        <v>1</v>
      </c>
    </row>
    <row r="118" spans="1:13" x14ac:dyDescent="0.25">
      <c r="A118" s="2">
        <v>46174</v>
      </c>
      <c r="B118" s="1" t="str">
        <f ca="1">IF(Información1[[#This Row],[Fecha]]='Ajuste de fechas'!$A$2,"Día actual","Día anterior")</f>
        <v>Día actual</v>
      </c>
      <c r="C118" t="s">
        <v>106</v>
      </c>
      <c r="D118" t="s">
        <v>107</v>
      </c>
      <c r="E118" t="s">
        <v>248</v>
      </c>
      <c r="F118" t="s">
        <v>21</v>
      </c>
      <c r="G118" t="s">
        <v>249</v>
      </c>
      <c r="H118" t="s">
        <v>11</v>
      </c>
      <c r="I118" t="s">
        <v>7</v>
      </c>
      <c r="J118" t="s">
        <v>43</v>
      </c>
      <c r="K118" t="s">
        <v>108</v>
      </c>
      <c r="L118" t="s">
        <v>76</v>
      </c>
      <c r="M118">
        <v>1</v>
      </c>
    </row>
    <row r="119" spans="1:13" x14ac:dyDescent="0.25">
      <c r="A119" s="2">
        <v>46174</v>
      </c>
      <c r="B119" s="1" t="str">
        <f ca="1">IF(Información1[[#This Row],[Fecha]]='Ajuste de fechas'!$A$2,"Día actual","Día anterior")</f>
        <v>Día actual</v>
      </c>
      <c r="C119" t="s">
        <v>106</v>
      </c>
      <c r="D119" t="s">
        <v>107</v>
      </c>
      <c r="E119" t="s">
        <v>250</v>
      </c>
      <c r="F119" t="s">
        <v>116</v>
      </c>
      <c r="G119" t="s">
        <v>117</v>
      </c>
      <c r="H119" t="s">
        <v>11</v>
      </c>
      <c r="I119" t="s">
        <v>7</v>
      </c>
      <c r="J119" t="s">
        <v>24</v>
      </c>
      <c r="K119" t="s">
        <v>108</v>
      </c>
      <c r="L119" t="s">
        <v>44</v>
      </c>
      <c r="M119">
        <v>1</v>
      </c>
    </row>
    <row r="120" spans="1:13" x14ac:dyDescent="0.25">
      <c r="A120" s="2">
        <v>46174</v>
      </c>
      <c r="B120" s="1" t="str">
        <f ca="1">IF(Información1[[#This Row],[Fecha]]='Ajuste de fechas'!$A$2,"Día actual","Día anterior")</f>
        <v>Día actual</v>
      </c>
      <c r="C120" t="s">
        <v>106</v>
      </c>
      <c r="D120" t="s">
        <v>107</v>
      </c>
      <c r="E120" t="s">
        <v>251</v>
      </c>
      <c r="F120" t="s">
        <v>53</v>
      </c>
      <c r="G120" t="s">
        <v>252</v>
      </c>
      <c r="H120" t="s">
        <v>11</v>
      </c>
      <c r="I120" t="s">
        <v>7</v>
      </c>
      <c r="J120" t="s">
        <v>43</v>
      </c>
      <c r="K120" t="s">
        <v>108</v>
      </c>
      <c r="L120" t="s">
        <v>44</v>
      </c>
      <c r="M120">
        <v>1</v>
      </c>
    </row>
    <row r="121" spans="1:13" x14ac:dyDescent="0.25">
      <c r="A121" s="2">
        <v>46174</v>
      </c>
      <c r="B121" s="1" t="str">
        <f ca="1">IF(Información1[[#This Row],[Fecha]]='Ajuste de fechas'!$A$2,"Día actual","Día anterior")</f>
        <v>Día actual</v>
      </c>
      <c r="C121" t="s">
        <v>106</v>
      </c>
      <c r="D121" t="s">
        <v>107</v>
      </c>
      <c r="E121" t="s">
        <v>253</v>
      </c>
      <c r="F121" t="s">
        <v>53</v>
      </c>
      <c r="G121" t="s">
        <v>254</v>
      </c>
      <c r="H121" t="s">
        <v>11</v>
      </c>
      <c r="I121" t="s">
        <v>7</v>
      </c>
      <c r="J121" t="s">
        <v>43</v>
      </c>
      <c r="K121" t="s">
        <v>108</v>
      </c>
      <c r="L121" t="s">
        <v>44</v>
      </c>
      <c r="M121">
        <v>1</v>
      </c>
    </row>
    <row r="122" spans="1:13" x14ac:dyDescent="0.25">
      <c r="A122" s="2">
        <v>46174</v>
      </c>
      <c r="B122" s="1" t="str">
        <f ca="1">IF(Información1[[#This Row],[Fecha]]='Ajuste de fechas'!$A$2,"Día actual","Día anterior")</f>
        <v>Día actual</v>
      </c>
      <c r="C122" t="s">
        <v>106</v>
      </c>
      <c r="D122" t="s">
        <v>107</v>
      </c>
      <c r="E122" t="s">
        <v>255</v>
      </c>
      <c r="F122" t="s">
        <v>53</v>
      </c>
      <c r="G122" t="s">
        <v>256</v>
      </c>
      <c r="H122" t="s">
        <v>11</v>
      </c>
      <c r="I122" t="s">
        <v>7</v>
      </c>
      <c r="J122" t="s">
        <v>43</v>
      </c>
      <c r="K122" t="s">
        <v>108</v>
      </c>
      <c r="L122" t="s">
        <v>44</v>
      </c>
      <c r="M122">
        <v>1</v>
      </c>
    </row>
    <row r="123" spans="1:13" x14ac:dyDescent="0.25">
      <c r="A123" s="2">
        <v>46174</v>
      </c>
      <c r="B123" s="1" t="str">
        <f ca="1">IF(Información1[[#This Row],[Fecha]]='Ajuste de fechas'!$A$2,"Día actual","Día anterior")</f>
        <v>Día actual</v>
      </c>
      <c r="C123" t="s">
        <v>106</v>
      </c>
      <c r="D123" t="s">
        <v>107</v>
      </c>
      <c r="E123" t="s">
        <v>257</v>
      </c>
      <c r="F123" t="s">
        <v>17</v>
      </c>
      <c r="G123" t="s">
        <v>258</v>
      </c>
      <c r="H123" t="s">
        <v>11</v>
      </c>
      <c r="I123" t="s">
        <v>7</v>
      </c>
      <c r="J123" t="s">
        <v>43</v>
      </c>
      <c r="K123" t="s">
        <v>108</v>
      </c>
      <c r="L123" t="s">
        <v>45</v>
      </c>
      <c r="M123">
        <v>1</v>
      </c>
    </row>
    <row r="124" spans="1:13" x14ac:dyDescent="0.25">
      <c r="A124" s="2">
        <v>46174</v>
      </c>
      <c r="B124" s="1" t="str">
        <f ca="1">IF(Información1[[#This Row],[Fecha]]='Ajuste de fechas'!$A$2,"Día actual","Día anterior")</f>
        <v>Día actual</v>
      </c>
      <c r="C124" t="s">
        <v>106</v>
      </c>
      <c r="D124" t="s">
        <v>107</v>
      </c>
      <c r="E124" t="s">
        <v>259</v>
      </c>
      <c r="F124" t="s">
        <v>6</v>
      </c>
      <c r="G124" t="s">
        <v>260</v>
      </c>
      <c r="H124" t="s">
        <v>11</v>
      </c>
      <c r="I124" t="s">
        <v>25</v>
      </c>
      <c r="J124" t="s">
        <v>43</v>
      </c>
      <c r="K124" t="s">
        <v>9</v>
      </c>
      <c r="L124" t="s">
        <v>45</v>
      </c>
      <c r="M124">
        <v>1</v>
      </c>
    </row>
    <row r="125" spans="1:13" x14ac:dyDescent="0.25">
      <c r="A125" s="2">
        <v>46174</v>
      </c>
      <c r="B125" s="1" t="str">
        <f ca="1">IF(Información1[[#This Row],[Fecha]]='Ajuste de fechas'!$A$2,"Día actual","Día anterior")</f>
        <v>Día actual</v>
      </c>
      <c r="C125" t="s">
        <v>106</v>
      </c>
      <c r="D125" t="s">
        <v>107</v>
      </c>
      <c r="E125" t="s">
        <v>261</v>
      </c>
      <c r="F125" t="s">
        <v>19</v>
      </c>
      <c r="G125" t="s">
        <v>184</v>
      </c>
      <c r="H125" t="s">
        <v>11</v>
      </c>
      <c r="I125" t="s">
        <v>25</v>
      </c>
      <c r="J125" t="s">
        <v>47</v>
      </c>
      <c r="K125" t="s">
        <v>9</v>
      </c>
      <c r="L125" t="s">
        <v>45</v>
      </c>
      <c r="M125">
        <v>1</v>
      </c>
    </row>
    <row r="126" spans="1:13" x14ac:dyDescent="0.25">
      <c r="A126" s="2">
        <v>46174</v>
      </c>
      <c r="B126" s="1" t="str">
        <f ca="1">IF(Información1[[#This Row],[Fecha]]='Ajuste de fechas'!$A$2,"Día actual","Día anterior")</f>
        <v>Día actual</v>
      </c>
      <c r="C126" t="s">
        <v>106</v>
      </c>
      <c r="D126" t="s">
        <v>107</v>
      </c>
      <c r="E126" t="s">
        <v>262</v>
      </c>
      <c r="F126" t="s">
        <v>70</v>
      </c>
      <c r="G126" t="s">
        <v>87</v>
      </c>
      <c r="H126" t="s">
        <v>11</v>
      </c>
      <c r="I126" t="s">
        <v>25</v>
      </c>
      <c r="J126" t="s">
        <v>43</v>
      </c>
      <c r="K126" t="s">
        <v>108</v>
      </c>
      <c r="L126" t="s">
        <v>44</v>
      </c>
      <c r="M126">
        <v>1</v>
      </c>
    </row>
    <row r="127" spans="1:13" x14ac:dyDescent="0.25">
      <c r="A127" s="2">
        <v>46174</v>
      </c>
      <c r="B127" s="1" t="str">
        <f ca="1">IF(Información1[[#This Row],[Fecha]]='Ajuste de fechas'!$A$2,"Día actual","Día anterior")</f>
        <v>Día actual</v>
      </c>
      <c r="C127" t="s">
        <v>106</v>
      </c>
      <c r="D127" t="s">
        <v>107</v>
      </c>
      <c r="E127" t="s">
        <v>263</v>
      </c>
      <c r="F127" t="s">
        <v>101</v>
      </c>
      <c r="G127" t="s">
        <v>114</v>
      </c>
      <c r="H127" t="s">
        <v>11</v>
      </c>
      <c r="I127" t="s">
        <v>7</v>
      </c>
      <c r="J127" t="s">
        <v>43</v>
      </c>
      <c r="K127" t="s">
        <v>108</v>
      </c>
      <c r="L127" t="s">
        <v>46</v>
      </c>
      <c r="M127">
        <v>1</v>
      </c>
    </row>
    <row r="128" spans="1:13" x14ac:dyDescent="0.25">
      <c r="A128" s="2">
        <v>46174</v>
      </c>
      <c r="B128" s="1" t="str">
        <f ca="1">IF(Información1[[#This Row],[Fecha]]='Ajuste de fechas'!$A$2,"Día actual","Día anterior")</f>
        <v>Día actual</v>
      </c>
      <c r="C128" t="s">
        <v>106</v>
      </c>
      <c r="D128" t="s">
        <v>107</v>
      </c>
      <c r="E128" t="s">
        <v>264</v>
      </c>
      <c r="F128" t="s">
        <v>22</v>
      </c>
      <c r="G128" t="s">
        <v>265</v>
      </c>
      <c r="H128" t="s">
        <v>11</v>
      </c>
      <c r="I128" t="s">
        <v>7</v>
      </c>
      <c r="J128" t="s">
        <v>48</v>
      </c>
      <c r="K128" t="s">
        <v>108</v>
      </c>
      <c r="L128" t="s">
        <v>44</v>
      </c>
      <c r="M128">
        <v>1</v>
      </c>
    </row>
    <row r="129" spans="1:13" x14ac:dyDescent="0.25">
      <c r="A129" s="2">
        <v>46174</v>
      </c>
      <c r="B129" s="1" t="str">
        <f ca="1">IF(Información1[[#This Row],[Fecha]]='Ajuste de fechas'!$A$2,"Día actual","Día anterior")</f>
        <v>Día actual</v>
      </c>
      <c r="C129" t="s">
        <v>106</v>
      </c>
      <c r="D129" t="s">
        <v>107</v>
      </c>
      <c r="E129" t="s">
        <v>109</v>
      </c>
      <c r="F129" t="s">
        <v>19</v>
      </c>
      <c r="G129" t="s">
        <v>92</v>
      </c>
      <c r="H129" t="s">
        <v>11</v>
      </c>
      <c r="I129" t="s">
        <v>7</v>
      </c>
      <c r="J129" t="s">
        <v>47</v>
      </c>
      <c r="K129" t="s">
        <v>108</v>
      </c>
      <c r="L129" t="s">
        <v>44</v>
      </c>
      <c r="M129">
        <v>1</v>
      </c>
    </row>
    <row r="130" spans="1:13" x14ac:dyDescent="0.25">
      <c r="A130" s="2">
        <v>46174</v>
      </c>
      <c r="B130" s="1" t="str">
        <f ca="1">IF(Información1[[#This Row],[Fecha]]='Ajuste de fechas'!$A$2,"Día actual","Día anterior")</f>
        <v>Día actual</v>
      </c>
      <c r="C130" t="s">
        <v>106</v>
      </c>
      <c r="D130" t="s">
        <v>107</v>
      </c>
      <c r="E130" t="s">
        <v>266</v>
      </c>
      <c r="F130" t="s">
        <v>101</v>
      </c>
      <c r="G130" t="s">
        <v>114</v>
      </c>
      <c r="H130" t="s">
        <v>11</v>
      </c>
      <c r="I130" t="s">
        <v>7</v>
      </c>
      <c r="J130" t="s">
        <v>43</v>
      </c>
      <c r="K130" t="s">
        <v>108</v>
      </c>
      <c r="L130" t="s">
        <v>44</v>
      </c>
      <c r="M130">
        <v>1</v>
      </c>
    </row>
    <row r="131" spans="1:13" x14ac:dyDescent="0.25">
      <c r="A131" s="2">
        <v>46174</v>
      </c>
      <c r="B131" s="1" t="str">
        <f ca="1">IF(Información1[[#This Row],[Fecha]]='Ajuste de fechas'!$A$2,"Día actual","Día anterior")</f>
        <v>Día actual</v>
      </c>
      <c r="C131" t="s">
        <v>106</v>
      </c>
      <c r="D131" t="s">
        <v>107</v>
      </c>
      <c r="E131" t="s">
        <v>267</v>
      </c>
      <c r="F131" t="s">
        <v>24</v>
      </c>
      <c r="G131" t="s">
        <v>268</v>
      </c>
      <c r="H131" t="s">
        <v>11</v>
      </c>
      <c r="I131" t="s">
        <v>7</v>
      </c>
      <c r="J131" t="s">
        <v>24</v>
      </c>
      <c r="K131" t="s">
        <v>108</v>
      </c>
      <c r="L131" t="s">
        <v>44</v>
      </c>
      <c r="M131">
        <v>1</v>
      </c>
    </row>
    <row r="132" spans="1:13" x14ac:dyDescent="0.25">
      <c r="A132" s="2">
        <v>46174</v>
      </c>
      <c r="B132" s="1" t="str">
        <f ca="1">IF(Información1[[#This Row],[Fecha]]='Ajuste de fechas'!$A$2,"Día actual","Día anterior")</f>
        <v>Día actual</v>
      </c>
      <c r="C132" t="s">
        <v>106</v>
      </c>
      <c r="D132" t="s">
        <v>107</v>
      </c>
      <c r="E132" t="s">
        <v>269</v>
      </c>
      <c r="F132" t="s">
        <v>22</v>
      </c>
      <c r="H132" t="s">
        <v>11</v>
      </c>
      <c r="I132" t="s">
        <v>7</v>
      </c>
      <c r="J132" t="s">
        <v>48</v>
      </c>
      <c r="K132" t="s">
        <v>108</v>
      </c>
      <c r="L132" t="s">
        <v>44</v>
      </c>
      <c r="M132">
        <v>1</v>
      </c>
    </row>
    <row r="133" spans="1:13" x14ac:dyDescent="0.25">
      <c r="A133" s="2">
        <v>46174</v>
      </c>
      <c r="B133" s="1" t="str">
        <f ca="1">IF(Información1[[#This Row],[Fecha]]='Ajuste de fechas'!$A$2,"Día actual","Día anterior")</f>
        <v>Día actual</v>
      </c>
      <c r="C133" t="s">
        <v>55</v>
      </c>
      <c r="D133" t="s">
        <v>78</v>
      </c>
      <c r="E133" t="s">
        <v>270</v>
      </c>
      <c r="F133" t="s">
        <v>22</v>
      </c>
      <c r="G133" t="s">
        <v>271</v>
      </c>
      <c r="H133" t="s">
        <v>11</v>
      </c>
      <c r="I133" t="s">
        <v>7</v>
      </c>
      <c r="J133" t="s">
        <v>48</v>
      </c>
      <c r="K133" t="s">
        <v>88</v>
      </c>
      <c r="L133" t="s">
        <v>44</v>
      </c>
      <c r="M133">
        <v>1</v>
      </c>
    </row>
    <row r="134" spans="1:13" x14ac:dyDescent="0.25">
      <c r="A134" s="2">
        <v>46174</v>
      </c>
      <c r="B134" s="1" t="str">
        <f ca="1">IF(Información1[[#This Row],[Fecha]]='Ajuste de fechas'!$A$2,"Día actual","Día anterior")</f>
        <v>Día actual</v>
      </c>
      <c r="C134" t="s">
        <v>55</v>
      </c>
      <c r="D134" t="s">
        <v>78</v>
      </c>
      <c r="E134" t="s">
        <v>272</v>
      </c>
      <c r="F134" t="s">
        <v>22</v>
      </c>
      <c r="G134" t="s">
        <v>271</v>
      </c>
      <c r="H134" t="s">
        <v>11</v>
      </c>
      <c r="I134" t="s">
        <v>7</v>
      </c>
      <c r="J134" t="s">
        <v>48</v>
      </c>
      <c r="K134" t="s">
        <v>56</v>
      </c>
      <c r="L134" t="s">
        <v>44</v>
      </c>
      <c r="M134">
        <v>1</v>
      </c>
    </row>
    <row r="135" spans="1:13" x14ac:dyDescent="0.25">
      <c r="A135" s="2">
        <v>46174</v>
      </c>
      <c r="B135" s="1" t="str">
        <f ca="1">IF(Información1[[#This Row],[Fecha]]='Ajuste de fechas'!$A$2,"Día actual","Día anterior")</f>
        <v>Día actual</v>
      </c>
      <c r="C135" t="s">
        <v>55</v>
      </c>
      <c r="D135" t="s">
        <v>78</v>
      </c>
      <c r="E135" t="s">
        <v>273</v>
      </c>
      <c r="F135" t="s">
        <v>23</v>
      </c>
      <c r="G135" t="s">
        <v>274</v>
      </c>
      <c r="H135" t="s">
        <v>11</v>
      </c>
      <c r="I135" t="s">
        <v>7</v>
      </c>
      <c r="J135" t="s">
        <v>43</v>
      </c>
      <c r="K135" t="s">
        <v>56</v>
      </c>
      <c r="L135" t="s">
        <v>44</v>
      </c>
      <c r="M135">
        <v>1</v>
      </c>
    </row>
    <row r="136" spans="1:13" x14ac:dyDescent="0.25">
      <c r="A136" s="2">
        <v>46174</v>
      </c>
      <c r="B136" s="1" t="str">
        <f ca="1">IF(Información1[[#This Row],[Fecha]]='Ajuste de fechas'!$A$2,"Día actual","Día anterior")</f>
        <v>Día actual</v>
      </c>
      <c r="C136" t="s">
        <v>55</v>
      </c>
      <c r="D136" t="s">
        <v>78</v>
      </c>
      <c r="E136" t="s">
        <v>275</v>
      </c>
      <c r="F136" t="s">
        <v>17</v>
      </c>
      <c r="G136" t="s">
        <v>276</v>
      </c>
      <c r="H136" t="s">
        <v>11</v>
      </c>
      <c r="I136" t="s">
        <v>7</v>
      </c>
      <c r="J136" t="s">
        <v>43</v>
      </c>
      <c r="K136" t="s">
        <v>56</v>
      </c>
      <c r="L136" t="s">
        <v>44</v>
      </c>
      <c r="M136">
        <v>1</v>
      </c>
    </row>
    <row r="137" spans="1:13" x14ac:dyDescent="0.25">
      <c r="A137" s="2">
        <v>46174</v>
      </c>
      <c r="B137" s="1" t="str">
        <f ca="1">IF(Información1[[#This Row],[Fecha]]='Ajuste de fechas'!$A$2,"Día actual","Día anterior")</f>
        <v>Día actual</v>
      </c>
      <c r="C137" t="s">
        <v>55</v>
      </c>
      <c r="D137" t="s">
        <v>60</v>
      </c>
      <c r="E137" t="s">
        <v>277</v>
      </c>
      <c r="F137" t="s">
        <v>19</v>
      </c>
      <c r="G137" t="s">
        <v>278</v>
      </c>
      <c r="H137" t="s">
        <v>11</v>
      </c>
      <c r="I137" t="s">
        <v>7</v>
      </c>
      <c r="J137" t="s">
        <v>47</v>
      </c>
      <c r="K137" t="s">
        <v>54</v>
      </c>
      <c r="L137" t="s">
        <v>44</v>
      </c>
      <c r="M137">
        <v>1</v>
      </c>
    </row>
    <row r="138" spans="1:13" x14ac:dyDescent="0.25">
      <c r="A138" s="2">
        <v>46174</v>
      </c>
      <c r="B138" s="1" t="str">
        <f ca="1">IF(Información1[[#This Row],[Fecha]]='Ajuste de fechas'!$A$2,"Día actual","Día anterior")</f>
        <v>Día actual</v>
      </c>
      <c r="C138" t="s">
        <v>55</v>
      </c>
      <c r="D138" t="s">
        <v>60</v>
      </c>
      <c r="E138" t="s">
        <v>279</v>
      </c>
      <c r="F138" t="s">
        <v>280</v>
      </c>
      <c r="G138" t="s">
        <v>98</v>
      </c>
      <c r="H138" t="s">
        <v>11</v>
      </c>
      <c r="I138" t="s">
        <v>7</v>
      </c>
      <c r="J138" t="s">
        <v>43</v>
      </c>
      <c r="K138" t="s">
        <v>54</v>
      </c>
      <c r="L138" t="s">
        <v>46</v>
      </c>
      <c r="M138">
        <v>1</v>
      </c>
    </row>
    <row r="139" spans="1:13" x14ac:dyDescent="0.25">
      <c r="A139" s="2">
        <v>46174</v>
      </c>
      <c r="B139" s="1" t="str">
        <f ca="1">IF(Información1[[#This Row],[Fecha]]='Ajuste de fechas'!$A$2,"Día actual","Día anterior")</f>
        <v>Día actual</v>
      </c>
      <c r="C139" t="s">
        <v>55</v>
      </c>
      <c r="D139" t="s">
        <v>60</v>
      </c>
      <c r="E139" t="s">
        <v>281</v>
      </c>
      <c r="F139" t="s">
        <v>17</v>
      </c>
      <c r="G139" t="s">
        <v>95</v>
      </c>
      <c r="H139" t="s">
        <v>11</v>
      </c>
      <c r="I139" t="s">
        <v>7</v>
      </c>
      <c r="J139" t="s">
        <v>43</v>
      </c>
      <c r="K139" t="s">
        <v>54</v>
      </c>
      <c r="L139" t="s">
        <v>44</v>
      </c>
      <c r="M139">
        <v>1</v>
      </c>
    </row>
    <row r="140" spans="1:13" x14ac:dyDescent="0.25">
      <c r="A140" s="2">
        <v>46174</v>
      </c>
      <c r="B140" s="1" t="str">
        <f ca="1">IF(Información1[[#This Row],[Fecha]]='Ajuste de fechas'!$A$2,"Día actual","Día anterior")</f>
        <v>Día actual</v>
      </c>
      <c r="C140" t="s">
        <v>55</v>
      </c>
      <c r="D140" t="s">
        <v>60</v>
      </c>
      <c r="E140" t="s">
        <v>282</v>
      </c>
      <c r="F140" t="s">
        <v>17</v>
      </c>
      <c r="G140" t="s">
        <v>95</v>
      </c>
      <c r="H140" t="s">
        <v>11</v>
      </c>
      <c r="I140" t="s">
        <v>7</v>
      </c>
      <c r="J140" t="s">
        <v>43</v>
      </c>
      <c r="K140" t="s">
        <v>54</v>
      </c>
      <c r="L140" t="s">
        <v>44</v>
      </c>
      <c r="M140">
        <v>1</v>
      </c>
    </row>
    <row r="141" spans="1:13" x14ac:dyDescent="0.25">
      <c r="A141" s="2">
        <v>46174</v>
      </c>
      <c r="B141" s="1" t="str">
        <f ca="1">IF(Información1[[#This Row],[Fecha]]='Ajuste de fechas'!$A$2,"Día actual","Día anterior")</f>
        <v>Día actual</v>
      </c>
      <c r="C141" t="s">
        <v>55</v>
      </c>
      <c r="D141" t="s">
        <v>60</v>
      </c>
      <c r="E141" t="s">
        <v>283</v>
      </c>
      <c r="F141" t="s">
        <v>152</v>
      </c>
      <c r="G141" t="s">
        <v>95</v>
      </c>
      <c r="H141" t="s">
        <v>11</v>
      </c>
      <c r="I141" t="s">
        <v>7</v>
      </c>
      <c r="J141" t="s">
        <v>43</v>
      </c>
      <c r="K141" t="s">
        <v>54</v>
      </c>
      <c r="L141" t="s">
        <v>44</v>
      </c>
      <c r="M141">
        <v>1</v>
      </c>
    </row>
    <row r="142" spans="1:13" x14ac:dyDescent="0.25">
      <c r="A142" s="2">
        <v>46174</v>
      </c>
      <c r="B142" s="1" t="str">
        <f ca="1">IF(Información1[[#This Row],[Fecha]]='Ajuste de fechas'!$A$2,"Día actual","Día anterior")</f>
        <v>Día actual</v>
      </c>
      <c r="C142" t="s">
        <v>55</v>
      </c>
      <c r="D142" t="s">
        <v>60</v>
      </c>
      <c r="E142" t="s">
        <v>284</v>
      </c>
      <c r="F142" t="s">
        <v>26</v>
      </c>
      <c r="G142" t="s">
        <v>95</v>
      </c>
      <c r="H142" t="s">
        <v>11</v>
      </c>
      <c r="I142" t="s">
        <v>7</v>
      </c>
      <c r="J142" t="s">
        <v>43</v>
      </c>
      <c r="K142" t="s">
        <v>54</v>
      </c>
      <c r="L142" t="s">
        <v>44</v>
      </c>
      <c r="M142">
        <v>1</v>
      </c>
    </row>
    <row r="143" spans="1:13" x14ac:dyDescent="0.25">
      <c r="A143" s="2">
        <v>46171</v>
      </c>
      <c r="B143" s="1" t="str">
        <f ca="1">IF(Información1[[#This Row],[Fecha]]='Ajuste de fechas'!$A$2,"Día actual","Día anterior")</f>
        <v>Día anterior</v>
      </c>
      <c r="C143" t="s">
        <v>84</v>
      </c>
      <c r="D143" t="s">
        <v>99</v>
      </c>
      <c r="E143" t="s">
        <v>160</v>
      </c>
      <c r="F143" t="s">
        <v>161</v>
      </c>
      <c r="G143" t="s">
        <v>162</v>
      </c>
      <c r="H143" t="s">
        <v>11</v>
      </c>
      <c r="I143" t="s">
        <v>7</v>
      </c>
      <c r="J143" t="s">
        <v>43</v>
      </c>
      <c r="K143" t="s">
        <v>100</v>
      </c>
      <c r="L143" t="s">
        <v>46</v>
      </c>
      <c r="M143">
        <v>1</v>
      </c>
    </row>
    <row r="144" spans="1:13" x14ac:dyDescent="0.25">
      <c r="A144" s="2">
        <v>46171</v>
      </c>
      <c r="B144" s="1" t="str">
        <f ca="1">IF(Información1[[#This Row],[Fecha]]='Ajuste de fechas'!$A$2,"Día actual","Día anterior")</f>
        <v>Día anterior</v>
      </c>
      <c r="C144" t="s">
        <v>84</v>
      </c>
      <c r="D144" t="s">
        <v>99</v>
      </c>
      <c r="E144" t="s">
        <v>204</v>
      </c>
      <c r="F144" t="s">
        <v>66</v>
      </c>
      <c r="G144" t="s">
        <v>205</v>
      </c>
      <c r="H144" t="s">
        <v>11</v>
      </c>
      <c r="I144" t="s">
        <v>7</v>
      </c>
      <c r="J144" t="s">
        <v>43</v>
      </c>
      <c r="K144" t="s">
        <v>100</v>
      </c>
      <c r="L144" t="s">
        <v>46</v>
      </c>
      <c r="M144">
        <v>1</v>
      </c>
    </row>
    <row r="145" spans="1:13" x14ac:dyDescent="0.25">
      <c r="A145" s="2">
        <v>46171</v>
      </c>
      <c r="B145" s="1" t="str">
        <f ca="1">IF(Información1[[#This Row],[Fecha]]='Ajuste de fechas'!$A$2,"Día actual","Día anterior")</f>
        <v>Día anterior</v>
      </c>
      <c r="C145" t="s">
        <v>84</v>
      </c>
      <c r="D145" t="s">
        <v>99</v>
      </c>
      <c r="E145" t="s">
        <v>126</v>
      </c>
      <c r="F145" t="s">
        <v>101</v>
      </c>
      <c r="G145" t="s">
        <v>153</v>
      </c>
      <c r="H145" t="s">
        <v>11</v>
      </c>
      <c r="I145" t="s">
        <v>7</v>
      </c>
      <c r="J145" t="s">
        <v>43</v>
      </c>
      <c r="K145" t="s">
        <v>100</v>
      </c>
      <c r="L145" t="s">
        <v>46</v>
      </c>
      <c r="M145">
        <v>1</v>
      </c>
    </row>
    <row r="146" spans="1:13" x14ac:dyDescent="0.25">
      <c r="A146" s="2">
        <v>46174</v>
      </c>
      <c r="B146" s="1" t="str">
        <f ca="1">IF(Información1[[#This Row],[Fecha]]='Ajuste de fechas'!$A$2,"Día actual","Día anterior")</f>
        <v>Día actual</v>
      </c>
      <c r="C146" t="s">
        <v>28</v>
      </c>
      <c r="D146" t="s">
        <v>31</v>
      </c>
      <c r="E146" t="s">
        <v>285</v>
      </c>
      <c r="F146" t="s">
        <v>19</v>
      </c>
      <c r="G146" t="s">
        <v>77</v>
      </c>
      <c r="H146" t="s">
        <v>11</v>
      </c>
      <c r="I146" t="s">
        <v>25</v>
      </c>
      <c r="J146" t="s">
        <v>47</v>
      </c>
      <c r="K146" t="s">
        <v>29</v>
      </c>
      <c r="L146" t="s">
        <v>44</v>
      </c>
      <c r="M146">
        <v>1</v>
      </c>
    </row>
    <row r="147" spans="1:13" x14ac:dyDescent="0.25">
      <c r="A147" s="2">
        <v>46174</v>
      </c>
      <c r="B147" s="1" t="str">
        <f ca="1">IF(Información1[[#This Row],[Fecha]]='Ajuste de fechas'!$A$2,"Día actual","Día anterior")</f>
        <v>Día actual</v>
      </c>
      <c r="C147" t="s">
        <v>28</v>
      </c>
      <c r="D147" t="s">
        <v>31</v>
      </c>
      <c r="E147" t="s">
        <v>286</v>
      </c>
      <c r="F147" t="s">
        <v>19</v>
      </c>
      <c r="G147" t="s">
        <v>77</v>
      </c>
      <c r="H147" t="s">
        <v>11</v>
      </c>
      <c r="I147" t="s">
        <v>25</v>
      </c>
      <c r="J147" t="s">
        <v>47</v>
      </c>
      <c r="K147" t="s">
        <v>29</v>
      </c>
      <c r="L147" t="s">
        <v>44</v>
      </c>
      <c r="M147">
        <v>1</v>
      </c>
    </row>
    <row r="148" spans="1:13" x14ac:dyDescent="0.25">
      <c r="A148" s="2">
        <v>46174</v>
      </c>
      <c r="B148" s="1" t="str">
        <f ca="1">IF(Información1[[#This Row],[Fecha]]='Ajuste de fechas'!$A$2,"Día actual","Día anterior")</f>
        <v>Día actual</v>
      </c>
      <c r="C148" t="s">
        <v>28</v>
      </c>
      <c r="D148" t="s">
        <v>31</v>
      </c>
      <c r="E148" t="s">
        <v>287</v>
      </c>
      <c r="F148" t="s">
        <v>19</v>
      </c>
      <c r="G148" t="s">
        <v>87</v>
      </c>
      <c r="H148" t="s">
        <v>11</v>
      </c>
      <c r="I148" t="s">
        <v>7</v>
      </c>
      <c r="J148" t="s">
        <v>47</v>
      </c>
      <c r="K148" t="s">
        <v>29</v>
      </c>
      <c r="L148" t="s">
        <v>44</v>
      </c>
      <c r="M148">
        <v>1</v>
      </c>
    </row>
    <row r="149" spans="1:13" x14ac:dyDescent="0.25">
      <c r="A149" s="2">
        <v>46174</v>
      </c>
      <c r="B149" s="1" t="str">
        <f ca="1">IF(Información1[[#This Row],[Fecha]]='Ajuste de fechas'!$A$2,"Día actual","Día anterior")</f>
        <v>Día actual</v>
      </c>
      <c r="C149" t="s">
        <v>28</v>
      </c>
      <c r="D149" t="s">
        <v>31</v>
      </c>
      <c r="E149" t="s">
        <v>288</v>
      </c>
      <c r="F149" t="s">
        <v>19</v>
      </c>
      <c r="G149" t="s">
        <v>289</v>
      </c>
      <c r="H149" t="s">
        <v>11</v>
      </c>
      <c r="I149" t="s">
        <v>25</v>
      </c>
      <c r="J149" t="s">
        <v>47</v>
      </c>
      <c r="K149" t="s">
        <v>29</v>
      </c>
      <c r="L149" t="s">
        <v>44</v>
      </c>
      <c r="M149">
        <v>1</v>
      </c>
    </row>
    <row r="150" spans="1:13" x14ac:dyDescent="0.25">
      <c r="A150" s="2">
        <v>46174</v>
      </c>
      <c r="B150" s="1" t="str">
        <f ca="1">IF(Información1[[#This Row],[Fecha]]='Ajuste de fechas'!$A$2,"Día actual","Día anterior")</f>
        <v>Día actual</v>
      </c>
      <c r="C150" t="s">
        <v>28</v>
      </c>
      <c r="D150" t="s">
        <v>31</v>
      </c>
      <c r="E150" t="s">
        <v>290</v>
      </c>
      <c r="F150" t="s">
        <v>19</v>
      </c>
      <c r="G150" t="s">
        <v>291</v>
      </c>
      <c r="H150" t="s">
        <v>11</v>
      </c>
      <c r="I150" t="s">
        <v>7</v>
      </c>
      <c r="J150" t="s">
        <v>47</v>
      </c>
      <c r="K150" t="s">
        <v>29</v>
      </c>
      <c r="L150" t="s">
        <v>44</v>
      </c>
      <c r="M150">
        <v>1</v>
      </c>
    </row>
    <row r="151" spans="1:13" x14ac:dyDescent="0.25">
      <c r="A151" s="2">
        <v>46174</v>
      </c>
      <c r="B151" s="1" t="str">
        <f ca="1">IF(Información1[[#This Row],[Fecha]]='Ajuste de fechas'!$A$2,"Día actual","Día anterior")</f>
        <v>Día actual</v>
      </c>
      <c r="C151" t="s">
        <v>28</v>
      </c>
      <c r="D151" t="s">
        <v>31</v>
      </c>
      <c r="E151" t="s">
        <v>292</v>
      </c>
      <c r="F151" t="s">
        <v>53</v>
      </c>
      <c r="G151" t="s">
        <v>252</v>
      </c>
      <c r="H151" t="s">
        <v>11</v>
      </c>
      <c r="I151" t="s">
        <v>7</v>
      </c>
      <c r="J151" t="s">
        <v>43</v>
      </c>
      <c r="K151" t="s">
        <v>29</v>
      </c>
      <c r="L151" t="s">
        <v>44</v>
      </c>
      <c r="M151">
        <v>1</v>
      </c>
    </row>
    <row r="152" spans="1:13" x14ac:dyDescent="0.25">
      <c r="A152" s="2">
        <v>46174</v>
      </c>
      <c r="B152" s="1" t="str">
        <f ca="1">IF(Información1[[#This Row],[Fecha]]='Ajuste de fechas'!$A$2,"Día actual","Día anterior")</f>
        <v>Día actual</v>
      </c>
      <c r="C152" t="s">
        <v>28</v>
      </c>
      <c r="D152" t="s">
        <v>31</v>
      </c>
      <c r="E152" t="s">
        <v>293</v>
      </c>
      <c r="F152" t="s">
        <v>23</v>
      </c>
      <c r="G152" t="s">
        <v>85</v>
      </c>
      <c r="H152" t="s">
        <v>11</v>
      </c>
      <c r="I152" t="s">
        <v>7</v>
      </c>
      <c r="J152" t="s">
        <v>43</v>
      </c>
      <c r="K152" t="s">
        <v>29</v>
      </c>
      <c r="L152" t="s">
        <v>44</v>
      </c>
      <c r="M152">
        <v>1</v>
      </c>
    </row>
    <row r="153" spans="1:13" x14ac:dyDescent="0.25">
      <c r="A153" s="2">
        <v>46174</v>
      </c>
      <c r="B153" s="1" t="str">
        <f ca="1">IF(Información1[[#This Row],[Fecha]]='Ajuste de fechas'!$A$2,"Día actual","Día anterior")</f>
        <v>Día actual</v>
      </c>
      <c r="C153" t="s">
        <v>28</v>
      </c>
      <c r="D153" t="s">
        <v>31</v>
      </c>
      <c r="E153" t="s">
        <v>294</v>
      </c>
      <c r="F153" t="s">
        <v>21</v>
      </c>
      <c r="G153" t="s">
        <v>295</v>
      </c>
      <c r="H153" t="s">
        <v>11</v>
      </c>
      <c r="I153" t="s">
        <v>7</v>
      </c>
      <c r="J153" t="s">
        <v>43</v>
      </c>
      <c r="K153" t="s">
        <v>29</v>
      </c>
      <c r="L153" t="s">
        <v>44</v>
      </c>
      <c r="M153">
        <v>1</v>
      </c>
    </row>
    <row r="154" spans="1:13" x14ac:dyDescent="0.25">
      <c r="A154" s="2">
        <v>46174</v>
      </c>
      <c r="B154" s="1" t="str">
        <f ca="1">IF(Información1[[#This Row],[Fecha]]='Ajuste de fechas'!$A$2,"Día actual","Día anterior")</f>
        <v>Día actual</v>
      </c>
      <c r="C154" t="s">
        <v>28</v>
      </c>
      <c r="D154" t="s">
        <v>31</v>
      </c>
      <c r="E154" t="s">
        <v>296</v>
      </c>
      <c r="F154" t="s">
        <v>26</v>
      </c>
      <c r="G154" t="s">
        <v>297</v>
      </c>
      <c r="H154" t="s">
        <v>11</v>
      </c>
      <c r="I154" t="s">
        <v>7</v>
      </c>
      <c r="J154" t="s">
        <v>43</v>
      </c>
      <c r="K154" t="s">
        <v>29</v>
      </c>
      <c r="L154" t="s">
        <v>44</v>
      </c>
      <c r="M154">
        <v>1</v>
      </c>
    </row>
    <row r="155" spans="1:13" x14ac:dyDescent="0.25">
      <c r="A155" s="2">
        <v>46174</v>
      </c>
      <c r="B155" s="1" t="str">
        <f ca="1">IF(Información1[[#This Row],[Fecha]]='Ajuste de fechas'!$A$2,"Día actual","Día anterior")</f>
        <v>Día actual</v>
      </c>
      <c r="C155" t="s">
        <v>28</v>
      </c>
      <c r="D155" t="s">
        <v>31</v>
      </c>
      <c r="E155" t="s">
        <v>298</v>
      </c>
      <c r="F155" t="s">
        <v>26</v>
      </c>
      <c r="G155" t="s">
        <v>95</v>
      </c>
      <c r="H155" t="s">
        <v>11</v>
      </c>
      <c r="I155" t="s">
        <v>7</v>
      </c>
      <c r="J155" t="s">
        <v>43</v>
      </c>
      <c r="K155" t="s">
        <v>29</v>
      </c>
      <c r="L155" t="s">
        <v>44</v>
      </c>
      <c r="M155">
        <v>1</v>
      </c>
    </row>
    <row r="156" spans="1:13" x14ac:dyDescent="0.25">
      <c r="A156" s="2">
        <v>46174</v>
      </c>
      <c r="B156" s="1" t="str">
        <f ca="1">IF(Información1[[#This Row],[Fecha]]='Ajuste de fechas'!$A$2,"Día actual","Día anterior")</f>
        <v>Día actual</v>
      </c>
      <c r="C156" t="s">
        <v>8</v>
      </c>
      <c r="D156" t="s">
        <v>10</v>
      </c>
      <c r="E156" t="s">
        <v>299</v>
      </c>
      <c r="F156" t="s">
        <v>19</v>
      </c>
      <c r="G156" t="s">
        <v>75</v>
      </c>
      <c r="H156" t="s">
        <v>11</v>
      </c>
      <c r="I156" t="s">
        <v>25</v>
      </c>
      <c r="J156" t="s">
        <v>47</v>
      </c>
      <c r="K156" t="s">
        <v>9</v>
      </c>
      <c r="L156" t="s">
        <v>45</v>
      </c>
      <c r="M156">
        <v>1</v>
      </c>
    </row>
    <row r="157" spans="1:13" x14ac:dyDescent="0.25">
      <c r="A157" s="2">
        <v>46174</v>
      </c>
      <c r="B157" s="1" t="str">
        <f ca="1">IF(Información1[[#This Row],[Fecha]]='Ajuste de fechas'!$A$2,"Día actual","Día anterior")</f>
        <v>Día actual</v>
      </c>
      <c r="C157" t="s">
        <v>8</v>
      </c>
      <c r="D157" t="s">
        <v>10</v>
      </c>
      <c r="E157" t="s">
        <v>300</v>
      </c>
      <c r="F157" t="s">
        <v>19</v>
      </c>
      <c r="G157" t="s">
        <v>75</v>
      </c>
      <c r="H157" t="s">
        <v>11</v>
      </c>
      <c r="I157" t="s">
        <v>25</v>
      </c>
      <c r="J157" t="s">
        <v>47</v>
      </c>
      <c r="K157" t="s">
        <v>9</v>
      </c>
      <c r="L157" t="s">
        <v>45</v>
      </c>
      <c r="M157">
        <v>1</v>
      </c>
    </row>
    <row r="158" spans="1:13" x14ac:dyDescent="0.25">
      <c r="A158" s="2">
        <v>46174</v>
      </c>
      <c r="B158" s="1" t="str">
        <f ca="1">IF(Información1[[#This Row],[Fecha]]='Ajuste de fechas'!$A$2,"Día actual","Día anterior")</f>
        <v>Día actual</v>
      </c>
      <c r="C158" t="s">
        <v>8</v>
      </c>
      <c r="D158" t="s">
        <v>10</v>
      </c>
      <c r="E158" t="s">
        <v>301</v>
      </c>
      <c r="F158" t="s">
        <v>19</v>
      </c>
      <c r="G158" t="s">
        <v>75</v>
      </c>
      <c r="H158" t="s">
        <v>11</v>
      </c>
      <c r="I158" t="s">
        <v>25</v>
      </c>
      <c r="J158" t="s">
        <v>47</v>
      </c>
      <c r="K158" t="s">
        <v>9</v>
      </c>
      <c r="L158" t="s">
        <v>45</v>
      </c>
      <c r="M158">
        <v>1</v>
      </c>
    </row>
    <row r="159" spans="1:13" x14ac:dyDescent="0.25">
      <c r="A159" s="2">
        <v>46174</v>
      </c>
      <c r="B159" s="1" t="str">
        <f ca="1">IF(Información1[[#This Row],[Fecha]]='Ajuste de fechas'!$A$2,"Día actual","Día anterior")</f>
        <v>Día actual</v>
      </c>
      <c r="C159" t="s">
        <v>8</v>
      </c>
      <c r="D159" t="s">
        <v>10</v>
      </c>
      <c r="E159" t="s">
        <v>302</v>
      </c>
      <c r="F159" t="s">
        <v>19</v>
      </c>
      <c r="G159" t="s">
        <v>215</v>
      </c>
      <c r="H159" t="s">
        <v>11</v>
      </c>
      <c r="I159" t="s">
        <v>25</v>
      </c>
      <c r="J159" t="s">
        <v>47</v>
      </c>
      <c r="K159" t="s">
        <v>9</v>
      </c>
      <c r="L159" t="s">
        <v>45</v>
      </c>
      <c r="M159">
        <v>1</v>
      </c>
    </row>
    <row r="160" spans="1:13" x14ac:dyDescent="0.25">
      <c r="A160" s="2">
        <v>46174</v>
      </c>
      <c r="B160" s="1" t="str">
        <f ca="1">IF(Información1[[#This Row],[Fecha]]='Ajuste de fechas'!$A$2,"Día actual","Día anterior")</f>
        <v>Día actual</v>
      </c>
      <c r="C160" t="s">
        <v>8</v>
      </c>
      <c r="D160" t="s">
        <v>10</v>
      </c>
      <c r="E160" t="s">
        <v>303</v>
      </c>
      <c r="F160" t="s">
        <v>19</v>
      </c>
      <c r="G160" t="s">
        <v>111</v>
      </c>
      <c r="H160" t="s">
        <v>11</v>
      </c>
      <c r="I160" t="s">
        <v>25</v>
      </c>
      <c r="J160" t="s">
        <v>47</v>
      </c>
      <c r="K160" t="s">
        <v>9</v>
      </c>
      <c r="L160" t="s">
        <v>45</v>
      </c>
      <c r="M160">
        <v>1</v>
      </c>
    </row>
    <row r="161" spans="1:13" x14ac:dyDescent="0.25">
      <c r="A161" s="2">
        <v>46174</v>
      </c>
      <c r="B161" s="1" t="str">
        <f ca="1">IF(Información1[[#This Row],[Fecha]]='Ajuste de fechas'!$A$2,"Día actual","Día anterior")</f>
        <v>Día actual</v>
      </c>
      <c r="C161" t="s">
        <v>8</v>
      </c>
      <c r="D161" t="s">
        <v>10</v>
      </c>
      <c r="E161" t="s">
        <v>304</v>
      </c>
      <c r="F161" t="s">
        <v>6</v>
      </c>
      <c r="G161" t="s">
        <v>52</v>
      </c>
      <c r="H161" t="s">
        <v>11</v>
      </c>
      <c r="I161" t="s">
        <v>25</v>
      </c>
      <c r="J161" t="s">
        <v>43</v>
      </c>
      <c r="K161" t="s">
        <v>9</v>
      </c>
      <c r="L161" t="s">
        <v>45</v>
      </c>
      <c r="M161">
        <v>1</v>
      </c>
    </row>
    <row r="162" spans="1:13" x14ac:dyDescent="0.25">
      <c r="A162" s="2">
        <v>46174</v>
      </c>
      <c r="B162" s="1" t="str">
        <f ca="1">IF(Información1[[#This Row],[Fecha]]='Ajuste de fechas'!$A$2,"Día actual","Día anterior")</f>
        <v>Día actual</v>
      </c>
      <c r="C162" t="s">
        <v>8</v>
      </c>
      <c r="D162" t="s">
        <v>10</v>
      </c>
      <c r="E162" t="s">
        <v>305</v>
      </c>
      <c r="F162" t="s">
        <v>6</v>
      </c>
      <c r="G162" t="s">
        <v>74</v>
      </c>
      <c r="H162" t="s">
        <v>11</v>
      </c>
      <c r="I162" t="s">
        <v>25</v>
      </c>
      <c r="J162" t="s">
        <v>43</v>
      </c>
      <c r="K162" t="s">
        <v>9</v>
      </c>
      <c r="L162" t="s">
        <v>45</v>
      </c>
      <c r="M162">
        <v>1</v>
      </c>
    </row>
    <row r="163" spans="1:13" x14ac:dyDescent="0.25">
      <c r="A163" s="2">
        <v>46174</v>
      </c>
      <c r="B163" s="1" t="str">
        <f ca="1">IF(Información1[[#This Row],[Fecha]]='Ajuste de fechas'!$A$2,"Día actual","Día anterior")</f>
        <v>Día actual</v>
      </c>
      <c r="C163" t="s">
        <v>8</v>
      </c>
      <c r="D163" t="s">
        <v>10</v>
      </c>
      <c r="E163" t="s">
        <v>306</v>
      </c>
      <c r="F163" t="s">
        <v>19</v>
      </c>
      <c r="G163" t="s">
        <v>239</v>
      </c>
      <c r="H163" t="s">
        <v>11</v>
      </c>
      <c r="I163" t="s">
        <v>7</v>
      </c>
      <c r="J163" t="s">
        <v>47</v>
      </c>
      <c r="K163" t="s">
        <v>14</v>
      </c>
      <c r="L163" t="s">
        <v>44</v>
      </c>
      <c r="M163">
        <v>1</v>
      </c>
    </row>
    <row r="164" spans="1:13" x14ac:dyDescent="0.25">
      <c r="A164" s="2">
        <v>46174</v>
      </c>
      <c r="B164" s="1" t="str">
        <f ca="1">IF(Información1[[#This Row],[Fecha]]='Ajuste de fechas'!$A$2,"Día actual","Día anterior")</f>
        <v>Día actual</v>
      </c>
      <c r="C164" t="s">
        <v>8</v>
      </c>
      <c r="D164" t="s">
        <v>10</v>
      </c>
      <c r="E164" t="s">
        <v>307</v>
      </c>
      <c r="F164" t="s">
        <v>22</v>
      </c>
      <c r="G164" t="s">
        <v>224</v>
      </c>
      <c r="H164" t="s">
        <v>11</v>
      </c>
      <c r="I164" t="s">
        <v>7</v>
      </c>
      <c r="J164" t="s">
        <v>48</v>
      </c>
      <c r="K164" t="s">
        <v>14</v>
      </c>
      <c r="L164" t="s">
        <v>44</v>
      </c>
      <c r="M164">
        <v>1</v>
      </c>
    </row>
    <row r="165" spans="1:13" x14ac:dyDescent="0.25">
      <c r="A165" s="2">
        <v>46174</v>
      </c>
      <c r="B165" s="1" t="str">
        <f ca="1">IF(Información1[[#This Row],[Fecha]]='Ajuste de fechas'!$A$2,"Día actual","Día anterior")</f>
        <v>Día actual</v>
      </c>
      <c r="C165" t="s">
        <v>8</v>
      </c>
      <c r="D165" t="s">
        <v>10</v>
      </c>
      <c r="E165" t="s">
        <v>308</v>
      </c>
      <c r="F165" t="s">
        <v>17</v>
      </c>
      <c r="G165" t="s">
        <v>95</v>
      </c>
      <c r="H165" t="s">
        <v>11</v>
      </c>
      <c r="I165" t="s">
        <v>7</v>
      </c>
      <c r="J165" t="s">
        <v>43</v>
      </c>
      <c r="K165" t="s">
        <v>14</v>
      </c>
      <c r="L165" t="s">
        <v>44</v>
      </c>
      <c r="M165">
        <v>1</v>
      </c>
    </row>
    <row r="166" spans="1:13" x14ac:dyDescent="0.25">
      <c r="A166" s="2">
        <v>46174</v>
      </c>
      <c r="B166" s="1" t="str">
        <f ca="1">IF(Información1[[#This Row],[Fecha]]='Ajuste de fechas'!$A$2,"Día actual","Día anterior")</f>
        <v>Día actual</v>
      </c>
      <c r="C166" t="s">
        <v>8</v>
      </c>
      <c r="D166" t="s">
        <v>10</v>
      </c>
      <c r="E166" t="s">
        <v>309</v>
      </c>
      <c r="F166" t="s">
        <v>19</v>
      </c>
      <c r="G166" t="s">
        <v>94</v>
      </c>
      <c r="H166" t="s">
        <v>11</v>
      </c>
      <c r="I166" t="s">
        <v>7</v>
      </c>
      <c r="J166" t="s">
        <v>47</v>
      </c>
      <c r="K166" t="s">
        <v>14</v>
      </c>
      <c r="L166" t="s">
        <v>44</v>
      </c>
      <c r="M166">
        <v>1</v>
      </c>
    </row>
    <row r="167" spans="1:13" x14ac:dyDescent="0.25">
      <c r="A167" s="2">
        <v>46174</v>
      </c>
      <c r="B167" s="1" t="str">
        <f ca="1">IF(Información1[[#This Row],[Fecha]]='Ajuste de fechas'!$A$2,"Día actual","Día anterior")</f>
        <v>Día actual</v>
      </c>
      <c r="C167" t="s">
        <v>8</v>
      </c>
      <c r="D167" t="s">
        <v>10</v>
      </c>
      <c r="E167" t="s">
        <v>310</v>
      </c>
      <c r="F167" t="s">
        <v>22</v>
      </c>
      <c r="G167" t="s">
        <v>311</v>
      </c>
      <c r="H167" t="s">
        <v>11</v>
      </c>
      <c r="I167" t="s">
        <v>7</v>
      </c>
      <c r="J167" t="s">
        <v>48</v>
      </c>
      <c r="K167" t="s">
        <v>14</v>
      </c>
      <c r="L167" t="s">
        <v>44</v>
      </c>
      <c r="M167">
        <v>1</v>
      </c>
    </row>
    <row r="168" spans="1:13" x14ac:dyDescent="0.25">
      <c r="A168" s="2">
        <v>46174</v>
      </c>
      <c r="B168" s="1" t="str">
        <f ca="1">IF(Información1[[#This Row],[Fecha]]='Ajuste de fechas'!$A$2,"Día actual","Día anterior")</f>
        <v>Día actual</v>
      </c>
      <c r="C168" t="s">
        <v>8</v>
      </c>
      <c r="D168" t="s">
        <v>10</v>
      </c>
      <c r="E168" t="s">
        <v>312</v>
      </c>
      <c r="F168" t="s">
        <v>22</v>
      </c>
      <c r="G168" t="s">
        <v>313</v>
      </c>
      <c r="H168" t="s">
        <v>11</v>
      </c>
      <c r="I168" t="s">
        <v>7</v>
      </c>
      <c r="J168" t="s">
        <v>48</v>
      </c>
      <c r="K168" t="s">
        <v>14</v>
      </c>
      <c r="L168" t="s">
        <v>44</v>
      </c>
      <c r="M168">
        <v>1</v>
      </c>
    </row>
    <row r="169" spans="1:13" x14ac:dyDescent="0.25">
      <c r="A169" s="2">
        <v>46174</v>
      </c>
      <c r="B169" s="1" t="str">
        <f ca="1">IF(Información1[[#This Row],[Fecha]]='Ajuste de fechas'!$A$2,"Día actual","Día anterior")</f>
        <v>Día actual</v>
      </c>
      <c r="C169" t="s">
        <v>8</v>
      </c>
      <c r="D169" t="s">
        <v>10</v>
      </c>
      <c r="E169" t="s">
        <v>314</v>
      </c>
      <c r="F169" t="s">
        <v>67</v>
      </c>
      <c r="G169" t="s">
        <v>234</v>
      </c>
      <c r="H169" t="s">
        <v>11</v>
      </c>
      <c r="I169" t="s">
        <v>7</v>
      </c>
      <c r="J169" t="s">
        <v>24</v>
      </c>
      <c r="K169" t="s">
        <v>14</v>
      </c>
      <c r="L169" t="s">
        <v>44</v>
      </c>
      <c r="M169">
        <v>1</v>
      </c>
    </row>
    <row r="170" spans="1:13" x14ac:dyDescent="0.25">
      <c r="A170" s="2">
        <v>46174</v>
      </c>
      <c r="B170" s="1" t="str">
        <f ca="1">IF(Información1[[#This Row],[Fecha]]='Ajuste de fechas'!$A$2,"Día actual","Día anterior")</f>
        <v>Día actual</v>
      </c>
      <c r="C170" t="s">
        <v>8</v>
      </c>
      <c r="D170" t="s">
        <v>10</v>
      </c>
      <c r="E170" t="s">
        <v>263</v>
      </c>
      <c r="F170" t="s">
        <v>26</v>
      </c>
      <c r="G170" t="s">
        <v>114</v>
      </c>
      <c r="H170" t="s">
        <v>11</v>
      </c>
      <c r="I170" t="s">
        <v>7</v>
      </c>
      <c r="J170" t="s">
        <v>43</v>
      </c>
      <c r="K170" t="s">
        <v>14</v>
      </c>
      <c r="L170" t="s">
        <v>46</v>
      </c>
      <c r="M170">
        <v>1</v>
      </c>
    </row>
    <row r="171" spans="1:13" x14ac:dyDescent="0.25">
      <c r="A171" s="2">
        <v>46174</v>
      </c>
      <c r="B171" s="1" t="str">
        <f ca="1">IF(Información1[[#This Row],[Fecha]]='Ajuste de fechas'!$A$2,"Día actual","Día anterior")</f>
        <v>Día actual</v>
      </c>
      <c r="C171" t="s">
        <v>8</v>
      </c>
      <c r="D171" t="s">
        <v>10</v>
      </c>
      <c r="E171" t="s">
        <v>20</v>
      </c>
      <c r="F171" t="s">
        <v>19</v>
      </c>
      <c r="G171" t="s">
        <v>35</v>
      </c>
      <c r="H171" t="s">
        <v>11</v>
      </c>
      <c r="I171" t="s">
        <v>12</v>
      </c>
      <c r="J171" t="s">
        <v>47</v>
      </c>
      <c r="K171" t="s">
        <v>14</v>
      </c>
      <c r="L171" t="s">
        <v>45</v>
      </c>
      <c r="M171">
        <v>1</v>
      </c>
    </row>
    <row r="172" spans="1:13" x14ac:dyDescent="0.25">
      <c r="A172" s="2">
        <v>46174</v>
      </c>
      <c r="B172" s="1" t="str">
        <f ca="1">IF(Información1[[#This Row],[Fecha]]='Ajuste de fechas'!$A$2,"Día actual","Día anterior")</f>
        <v>Día actual</v>
      </c>
      <c r="C172" t="s">
        <v>8</v>
      </c>
      <c r="D172" t="s">
        <v>10</v>
      </c>
      <c r="E172" t="s">
        <v>18</v>
      </c>
      <c r="F172" t="s">
        <v>19</v>
      </c>
      <c r="G172" t="s">
        <v>35</v>
      </c>
      <c r="H172" t="s">
        <v>11</v>
      </c>
      <c r="I172" t="s">
        <v>12</v>
      </c>
      <c r="J172" t="s">
        <v>47</v>
      </c>
      <c r="K172" t="s">
        <v>14</v>
      </c>
      <c r="L172" t="s">
        <v>45</v>
      </c>
      <c r="M172">
        <v>1</v>
      </c>
    </row>
    <row r="173" spans="1:13" x14ac:dyDescent="0.25">
      <c r="A173" s="2">
        <v>46174</v>
      </c>
      <c r="B173" s="1" t="str">
        <f ca="1">IF(Información1[[#This Row],[Fecha]]='Ajuste de fechas'!$A$2,"Día actual","Día anterior")</f>
        <v>Día actual</v>
      </c>
      <c r="C173" t="s">
        <v>8</v>
      </c>
      <c r="D173" t="s">
        <v>10</v>
      </c>
      <c r="E173" t="s">
        <v>81</v>
      </c>
      <c r="F173" t="s">
        <v>67</v>
      </c>
      <c r="G173" t="s">
        <v>35</v>
      </c>
      <c r="H173" t="s">
        <v>11</v>
      </c>
      <c r="I173" t="s">
        <v>12</v>
      </c>
      <c r="J173" t="s">
        <v>24</v>
      </c>
      <c r="K173" t="s">
        <v>14</v>
      </c>
      <c r="L173" t="s">
        <v>45</v>
      </c>
      <c r="M173">
        <v>1</v>
      </c>
    </row>
    <row r="174" spans="1:13" x14ac:dyDescent="0.25">
      <c r="A174" s="2">
        <v>46174</v>
      </c>
      <c r="B174" s="1" t="str">
        <f ca="1">IF(Información1[[#This Row],[Fecha]]='Ajuste de fechas'!$A$2,"Día actual","Día anterior")</f>
        <v>Día actual</v>
      </c>
      <c r="C174" t="s">
        <v>8</v>
      </c>
      <c r="D174" t="s">
        <v>10</v>
      </c>
      <c r="E174" t="s">
        <v>64</v>
      </c>
      <c r="F174" t="s">
        <v>21</v>
      </c>
      <c r="G174" t="s">
        <v>35</v>
      </c>
      <c r="H174" t="s">
        <v>11</v>
      </c>
      <c r="I174" t="s">
        <v>12</v>
      </c>
      <c r="J174" t="s">
        <v>43</v>
      </c>
      <c r="K174" t="s">
        <v>14</v>
      </c>
      <c r="L174" t="s">
        <v>45</v>
      </c>
      <c r="M174">
        <v>1</v>
      </c>
    </row>
    <row r="175" spans="1:13" x14ac:dyDescent="0.25">
      <c r="A175" s="2">
        <v>46174</v>
      </c>
      <c r="B175" s="1" t="str">
        <f ca="1">IF(Información1[[#This Row],[Fecha]]='Ajuste de fechas'!$A$2,"Día actual","Día anterior")</f>
        <v>Día actual</v>
      </c>
      <c r="C175" t="s">
        <v>8</v>
      </c>
      <c r="D175" t="s">
        <v>10</v>
      </c>
      <c r="E175" t="s">
        <v>13</v>
      </c>
      <c r="F175" t="s">
        <v>15</v>
      </c>
      <c r="G175" t="s">
        <v>35</v>
      </c>
      <c r="H175" t="s">
        <v>11</v>
      </c>
      <c r="I175" t="s">
        <v>12</v>
      </c>
      <c r="J175" t="s">
        <v>43</v>
      </c>
      <c r="K175" t="s">
        <v>14</v>
      </c>
      <c r="L175" t="s">
        <v>45</v>
      </c>
      <c r="M175">
        <v>1</v>
      </c>
    </row>
    <row r="176" spans="1:13" x14ac:dyDescent="0.25">
      <c r="A176" s="2">
        <v>46174</v>
      </c>
      <c r="B176" s="1" t="str">
        <f ca="1">IF(Información1[[#This Row],[Fecha]]='Ajuste de fechas'!$A$2,"Día actual","Día anterior")</f>
        <v>Día actual</v>
      </c>
      <c r="C176" t="s">
        <v>8</v>
      </c>
      <c r="D176" t="s">
        <v>10</v>
      </c>
      <c r="E176" t="s">
        <v>16</v>
      </c>
      <c r="F176" t="s">
        <v>17</v>
      </c>
      <c r="G176" t="s">
        <v>35</v>
      </c>
      <c r="H176" t="s">
        <v>11</v>
      </c>
      <c r="I176" t="s">
        <v>12</v>
      </c>
      <c r="J176" t="s">
        <v>43</v>
      </c>
      <c r="K176" t="s">
        <v>14</v>
      </c>
      <c r="L176" t="s">
        <v>45</v>
      </c>
      <c r="M176">
        <v>1</v>
      </c>
    </row>
    <row r="177" spans="1:13" x14ac:dyDescent="0.25">
      <c r="A177" s="2">
        <v>46174</v>
      </c>
      <c r="B177" s="1" t="str">
        <f ca="1">IF(Información1[[#This Row],[Fecha]]='Ajuste de fechas'!$A$2,"Día actual","Día anterior")</f>
        <v>Día actual</v>
      </c>
      <c r="C177" t="s">
        <v>8</v>
      </c>
      <c r="D177" t="s">
        <v>10</v>
      </c>
      <c r="E177" t="s">
        <v>65</v>
      </c>
      <c r="F177" t="s">
        <v>6</v>
      </c>
      <c r="G177" t="s">
        <v>35</v>
      </c>
      <c r="H177" t="s">
        <v>11</v>
      </c>
      <c r="I177" t="s">
        <v>12</v>
      </c>
      <c r="J177" t="s">
        <v>43</v>
      </c>
      <c r="K177" t="s">
        <v>14</v>
      </c>
      <c r="L177" t="s">
        <v>45</v>
      </c>
      <c r="M177">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50</v>
      </c>
      <c r="B1" t="s">
        <v>51</v>
      </c>
    </row>
    <row r="2" spans="1:2" x14ac:dyDescent="0.25">
      <c r="A2" s="2">
        <f ca="1">TODAY()</f>
        <v>46174</v>
      </c>
      <c r="B2" s="2">
        <f ca="1">A2-1</f>
        <v>46173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2026-06-01T22:36:35Z</dcterms:modified>
</cp:coreProperties>
</file>