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5D4F19A1-827B-4771-8BA2-46040A363D2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96" i="2"/>
  <c r="B100" i="2"/>
  <c r="B103" i="2"/>
  <c r="B106" i="2"/>
  <c r="B109" i="2"/>
  <c r="B112" i="2"/>
  <c r="B115" i="2"/>
  <c r="B118" i="2"/>
  <c r="B121" i="2"/>
  <c r="B124" i="2"/>
  <c r="B127"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98" i="2"/>
  <c r="B101" i="2"/>
  <c r="B104" i="2"/>
  <c r="B107" i="2"/>
  <c r="B110" i="2"/>
  <c r="B113" i="2"/>
  <c r="B117" i="2"/>
  <c r="B119" i="2"/>
  <c r="B123" i="2"/>
  <c r="B126" i="2"/>
  <c r="B129"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7" i="2"/>
  <c r="B99" i="2"/>
  <c r="B102" i="2"/>
  <c r="B105" i="2"/>
  <c r="B108" i="2"/>
  <c r="B111" i="2"/>
  <c r="B114" i="2"/>
  <c r="B116" i="2"/>
  <c r="B120" i="2"/>
  <c r="B122" i="2"/>
  <c r="B125" i="2"/>
  <c r="B1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<sst xmlns="http://schemas.openxmlformats.org/spreadsheetml/2006/main" count="1295" uniqueCount="271">
  <si>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</si>
  <si>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</si>
  <si>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</si>
  <si>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</si>
  <si>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</si>
  <si>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</si>
  <si>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</si>
  <si>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</si>
  <si>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</si>
  <si>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</si>
  <si>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</si>
  <si>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</si>
  <si>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</si>
  <si>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</si>
  <si>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</si>
  <si>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</si>
  <si>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</si>
  <si>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</si>
  <si>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</si>
  <si>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</si>
  <si>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</si>
  <si>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</si>
  <si>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</si>
  <si>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</si>
  <si>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</si>
  <si>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</si>
  <si>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</si>
  <si>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</si>
  <si>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</si>
  <si>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</si>
  <si>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</si>
  <si>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</si>
  <si>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</si>
  <si>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</si>
  <si>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</si>
  <si>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</si>
  <si>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</si>
  <si>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</si>
  <si>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</si>
  <si>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</si>
  <si>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</si>
  <si>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</si>
  <si>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</si>
  <si>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</si>
  <si>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</si>
  <si>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</si>
  <si>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</si>
  <si>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</si>
  <si>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</si>
  <si>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</si>
  <si>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</si>
  <si>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</si>
  <si>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</si>
  <si>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</si>
  <si>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</si>
  <si>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TV local</t>
  </si>
  <si>
    <t>David Cárdenas</t>
  </si>
  <si>
    <t>La Poderosa Tuxpan 93.1 FM</t>
  </si>
  <si>
    <t>NN Nuestras Noticias Zona Norte</t>
  </si>
  <si>
    <t>Entrevista</t>
  </si>
  <si>
    <t>Abasto de agua</t>
  </si>
  <si>
    <t>Enfoque Regional Matutino</t>
  </si>
  <si>
    <t>Rodolfo López</t>
  </si>
  <si>
    <t>Radio Lobo 96.7 FM</t>
  </si>
  <si>
    <t>Turismo</t>
  </si>
  <si>
    <t>Enlace Noticias</t>
  </si>
  <si>
    <t>Eulalio Larrieta agradece a Carlos Gamiño por estar al pendiente de temas.</t>
  </si>
  <si>
    <t>Bienestar</t>
  </si>
  <si>
    <t>Mes Del Adulto Mayor</t>
  </si>
  <si>
    <t>DIFH</t>
  </si>
  <si>
    <t>PGJEH</t>
  </si>
  <si>
    <t>SSH</t>
  </si>
  <si>
    <t>Retención alcalde</t>
  </si>
  <si>
    <t>Simulacro Sismo</t>
  </si>
  <si>
    <t>Aldo Falcón</t>
  </si>
  <si>
    <t>OCSAD</t>
  </si>
  <si>
    <t>Regreso A Clases</t>
  </si>
  <si>
    <t>Gina Lorenzo</t>
  </si>
  <si>
    <t>Cuotas escolares</t>
  </si>
  <si>
    <t>Alcantarillado</t>
  </si>
  <si>
    <t>Ke Buena 106.7 FM</t>
  </si>
  <si>
    <t>Noticias 106.7</t>
  </si>
  <si>
    <t>Asignación de plazas</t>
  </si>
  <si>
    <t>Queja transporte público</t>
  </si>
  <si>
    <t>Curso de verano</t>
  </si>
  <si>
    <t>Turismo Comunitario</t>
  </si>
  <si>
    <t>Ultra 102.9 FM</t>
  </si>
  <si>
    <t>Ultra Noticias1</t>
  </si>
  <si>
    <t>Combate a la delincuencia</t>
  </si>
  <si>
    <t>Izza Hernández</t>
  </si>
  <si>
    <t>Jessenia Romero</t>
  </si>
  <si>
    <t>Abner Yáñez</t>
  </si>
  <si>
    <t>Vía telefónica el reporte de Bombero y Protección Civil con Abner Yáñez informa de las diversas emergencias reportadas por la ciudadanía y que fueron atendidas.</t>
  </si>
  <si>
    <t>Auxilio a la ciudadanía</t>
  </si>
  <si>
    <t>Participación</t>
  </si>
  <si>
    <t>Registro de celulares</t>
  </si>
  <si>
    <t>Enfoque Regional Meridiano</t>
  </si>
  <si>
    <t>Conmemoración Aniversario</t>
  </si>
  <si>
    <t>Vinculación A Proceso</t>
  </si>
  <si>
    <t>Cuando son por acá las 14:53, rápidamente déjeme compartirle información importante relacionada con estos temas de ex exmandatarios municipales que ahora en Singuilucan, esto que publica Subrayado MX: El expresidente municipal de Singuilucan, Marcos Miguel N.N., alias “El Ratón”, enfrentará juicio oral por uso ilícito de atribuciones y facultades agravado. Esta acusación deriva de la investigación conocida como Estafa Siniestra, donde se indaga el presunto desvío de recursos públicos mediante contratos y operaciones simuladas. La determinación fue emitida durante la audiencia intermedia celebrada el 20 de agosto de 2026, en la que un juez de control dictó el auto de apertura a juicio oral dentro de la causa penal 1936/2025, bajo la conducción de la jueza Janett Montiel Mendoza. De acuerdo con las investigaciones, durante la administración encabezada por el exalcalde se habrían recibido 109 millones 645 mil 325 pesos en recursos extraordinarios, destinados originalmente a diversas acciones y servicios para el municipio, entre ellos la sanitización de áreas comunales, adquisición de papelería y artículos de escritorio, traslado y renta de maquinaria, así como el pago de personal eventual. No obstante, la fiscalía sostiene que después se celebraron 161 contratos con 22 personas físicas y morales. Este esquema presuntamente permitió usar los recursos mediante operaciones financieras simuladas. El caso forma parte de las investigaciones emprendidas por autoridades estatales en torno a la Estafa Siniestra, denominación con la que se identifica una serie de indagatorias relacionadas con el presunto desvío de recursos públicos mediante mecanismos administrativos y financieros irregulares. Con el auto de apertura, la causa penal avanza a juicio oral. El tribunal competente desahogará las pruebas admitidas y determinará la responsabilidad o inocencia del exfuncionario. “El Ratón” también enfrenta una segunda acusación relacionada con un monto de 16 millones de pesos. Este expediente aún se encuentra en la etapa intermedia, por lo que no ha llegado a juicio oral. Cabe señalar que el señalamiento corresponde a una investigación penal y la responsabilidad del exalcalde deberá ser determinada por la autoridad judicial mediante sentencia. Pues ahí está el tema, dando seguimiento también a esto de la llamada "Estafa Siniestra", donde se involucra a varios alcaldes, funcionarios, simulando la adquisición, como usted ya escuchó, simulaban la adquisición por ahí de pues equipo sanitario, artículos sanitarios quiero decir, como gel, como... bueno, en fin, una... una gran cantidad de productos que en realidad nunca se compraron y pues dónde terminó este dinero es lo que se está investigando. Algunos alcaldes, para liberarla, ya mejor regresaron parte del dinero.</t>
  </si>
  <si>
    <t>Estafa Siniestra</t>
  </si>
  <si>
    <t>El secretario de Educación Pública de Hidalgo, Natividad Castrejón Valdez, encabezó la celebración del 26.º aniversario del Instituto Tecnológico Superior del Occidente del Estado de Hidalgo (ITSOE) en Mixquiahuala de Juárez. Durante el evento, se colocó la primera piedra de una nueva unidad académica para Ingeniería Industrial e Ingeniería Electromecánica (con una inversión superior a 11.5 millones de pesos) y se entregó la autorización para la nueva Maestría en Ingeniería Industrial. Asimismo, se otorgaron reconocimientos por trayectoria académica y desempeño estudiantil destacado.</t>
  </si>
  <si>
    <t>Con estrategia de seguridad, Hidalgo no baja la guardia: Julio Menchaca</t>
  </si>
  <si>
    <t>Reunión Gabinete De Seguridad</t>
  </si>
  <si>
    <t>El Sistema DIF de Cuautepec de Hinojosa llevó a cabo la entrega de mil 592 canastas alimentarias a familias de 51 comunidades y barrios del municipio, como parte del Programa Integral de Fortalecimiento Alimentario “Es por Ti”. La jornada, realizada el pasado viernes, permitió ampliar la cobertura territorial de este programa y acercar apoyos a mujeres y hombres de distintas zonas de Cuautepec, contribuyendo a atender las necesidades alimentarias de las familias beneficiarias. Esta acción fue posible gracias a la gestión del presidente municipal, Jorge Hernández Araus, y de la presidenta del DIF Cuautepec, Krystal Butrón, en coordinación con el Sistema DIF Hidalgo. Con estas entregas se busca fortalecer la atención social y garantizar que los programas y apoyos lleguen de manera directa a más familias del municipio.</t>
  </si>
  <si>
    <t>Entrega De Apoyos</t>
  </si>
  <si>
    <t>Inaugura SEPH sala de lactancia en oficinas centrales</t>
  </si>
  <si>
    <t>Lactancia materna</t>
  </si>
  <si>
    <t>Locutor Jesús Riveros lee y responde a un mensaje de radioescucha en el que se cuestiona qué le falta a Tulancingo para albergar un parque industrial y elevar su competitividad. Riveros menciona que el gobernador Julio Menchaca abordó previamente el tema del potencial regional y los requerimientos de los inversionistas, recordando que en el pasado existió un proyecto de parque industrial para el municipio que no se concretó.</t>
  </si>
  <si>
    <t>Parque Industrial Tulancingo</t>
  </si>
  <si>
    <t>Locutor Jesús Riveros detalla el anuncio del noveno paquete de inversiones en Hidalgo, encabezado por el gobernador Julio Menchaca. Se destacan megaproyectos como el Polo de Desarrollo Económico para el Bienestar en Zapotlán (más de 10,100 millones de pesos), la reactivación de la Cruz Azul en Tula de Allende (6,500 millones de pesos), el proyecto Mundo Charro en Singuilucan (3,500 millones de pesos), el patio logístico de Transportes Castores en Tolcayuca (500 millones de pesos) y la presencia de marcas e infraestructuras industriales en Tulancingo, Pachuca y Tepeji del Río.</t>
  </si>
  <si>
    <t>Mañanera de Hidalgo</t>
  </si>
  <si>
    <t>El gobernador Julio Menchaca destaca la fortaleza del sistema de educación superior en Hidalgo, señalando que casi la mitad del presupuesto estatal (alrededor de 33,000 millones de pesos) se destina al sector educativo. Asimismo, subraya el incremento en el número de egresados universitarios y reconoce la labor del magisterio, directivos y estudiantes. Posteriormente, el locutor Jesús Riveros comenta la atención a medios del gobernador en la capital del estado para dar detalles sobre un noveno anuncio de inversiones, destacando proyectos como Mundo Charro en Singuilucan y The Home Depot en Tulancingo. Lo anterior, durante la conferencia mañanera encabezada por el gobernador Julio Menchaca.</t>
  </si>
  <si>
    <t>Información de interés familiar y, desde luego, también congratularse, ¿no? Una persona que no ve a su familia desde hace cuatro décadas, 40 años. Y hablábamos hace poco de en la década el siglo pasado, década de los 40, cuando se firmó un convenio, Estados Unidos entra a la guerra, se requieren trabajadoras, trabajadores en las fábricas de Estados Unidos y entonces se abre este convenio con Manuel Ávila Camacho y van las y los mexicanos a laborar. Y ahí surge la palabra "bracero", ¿por qué?, lo decíamos, porque se trabajaba con los brazos, brazos fuertes, manos honradas de las y los mexicanos. Y es de justicia social el estar también cercanos a sus familiares. Si hablamos de que tienen 40 años que no los veían, esto fue 1985 la última vez que los vio, hasta esta oportunidad el Gobierno de Hidalgo les dice el tiempo que han estado esperando en este momento se acorta y vamos a generar este programa. Enhorabuena.</t>
  </si>
  <si>
    <t>Apoyo A Migrantes</t>
  </si>
  <si>
    <t>20 adultos mayores hidalguenses viajaron a Texas para reencontrarse con sus familias. 20 20 hidalguenses viajaron el pasado viernes a Texas para reencontrarse con sus hijas e hijos después de más de una década de separación, todo ello como parte del programa de reencuentro familiar "Raíces de Hidalgo". La estrategia es operada por la Secretaría de Bienestar e Inclusión Social, a través de la Dirección General de Atención al Migrante, con orientación y acompañamiento para facilitar los trámites migratorios. El secretario de la Sebiso, Ricardo Gómez, entregó visas estadounidenses a 13 beneficiarios que se suman a 7 documentos gestionados previamente. Las personas beneficiarias, mayores de 65 años, son originarias de Tula de Allende, Tepeji del Río, Huejutla, Mixquiahuala e Ixmiquilpan. El funcionario destacó que algunas familias tenían, ¡escuche usted!, hasta 40 años sin ver a sus familiares. El programa ha permitido gestionar 80 visas para adultos mayores durante el año 2026. En esta estancia se contará con acompañamiento de representantes de migrantes hidalguenses en Texas. El programa busca facilitar el encuentro familiar y brindar a las personas adultas la posibilidad de convivir nuevamente con sus seres queridos después de tantos, tantos años de separación.</t>
  </si>
  <si>
    <t>Locutor David Cárdenas comentó sobre la notade “Cascos Rosas”, dijo, que se pasan los años y uno considera que determinadas actividades estaban destinadas propiamente a la masculinidad, pero la pregunta es inmediata: cuando la mujer se queda en casa con los hijos atendiéndolos, trabajando, cuidando y llevando a cabo la tarea diaria, se descompone el grifo del agua, la llave, se requiere un plomero, no hay quien tome entonces la stillson, el perico, la llave de media, el desarmador. Y va llevando a cabo las tareas que en otro momento se consideraron —solamente lo digo así, se consideraron— que eran propias de la masculinidad. Y cuando uno dice "Oye, ¿ya se reparó? ¿Qué pasó?", "Estaba mal el empaque". "¿Quién lo arregló?", "Pues yo, pues yo estoy en la casa y yo tengo que tomar las decisiones". Porque normalmente, bueno, en ocasiones por la cuestión del trabajo "lo vemos el sábado", "lo hacemos el domingo", "se rompió el cristal, el martes lo veo el próximo sábado"... No, tienen que resolver. Y en ese tienen, me refiero a una parte afectiva también para su propio hogar. Bueno, pues "Cascos Rosas" está participando y lo está haciendo al grado que ha obtenido el Premio Nacional por Acciones de Emergencia y en esto también va generando ya no solamente una idea, sino va generando una conducta en la participación social hogareña de todas las personas.</t>
  </si>
  <si>
    <t>Cascos Rosas</t>
  </si>
  <si>
    <t>En el estado de Hidalgo, las mujeres están rompiendo brechas de género en un sector que históricamente estuvo masculinizado: la administración y operación de los servicios de agua. A través de la estrategia nacional «Cascos Rosas», impulsada por la Asociación Nacional de Entidades de Agua y Saneamiento (ANEAS), un total de 260 mujeres distribuidas en 48 municipios participan activamente en tareas operativas, técnicas y administrativas de la entidad. La labor de las brigadistas abarca desde trabajos en campo —como la reparación de fugas, la operación de plantas tratadoras, la lectura de medidores y el análisis de la calidad del agua— hasta la toma de decisiones estratégicas en la función pública. Actualmente, la iniciativa cuenta con la integración de 15 presidentas municipales y 9 directoras de organismos operadores y áreas de agua, consolidando a Hidalgo como el estado líder a nivel nacional en participación activa dentro del programa. El objetivo central de "Cascos Rosas" va más allá de abrir espacios laborales en cuadrillas; busca profesionalizar, fortalecer las capacidades técnicas de las mujeres y otorgarles un rol protagónico en la gobernanza del recurso hídrico. Cabe resaltar que el impacto y compromiso de estas brigadas femeninas se demostró durante las contingencias derivadas de la vaguada monzónica de 2025 en cinco municipios hidalguenses, labor que las hizo acreedoras al Premio Nacional por Acciones de Emergencia.</t>
  </si>
  <si>
    <t>En el marco de la tercera edición del programa «Viviendo en Plenitud», que logró reunir a más de 10,000 adultos mayores de diversas regiones del estado, el Sistema para el Desarrollo Integral de la Familia (DIF) Hidalgo emitió un llamado urgente a los ayuntamientos de la entidad para priorizar la asistencia social y habilitar más centros de atención para este sector de la población. La presidenta del Patronato del DIF Estatal, Edda Vite Ramos, conminó a las y los presidentes municipales a incrementar los presupuestos destinados a los sistemas DIF locales. Señaló que en diversas administraciones municipales ha faltado voluntad política y presupuesto para atender adecuadamente a los grupos vulnerables, por lo que instó a los alcaldes a sumar esfuerzos y aprovechar los 42 programas con los que cuenta la estructura estatal. Asimismo, destacó la importancia de incrementar los espacios dedicados al desarrollo integral de los adultos mayores. Actualmente, el DIF estatal opera dos casas de día en Pachuca donde se imparten talleres de cocina, tejido y actividades recreativas, mientras que en el resto del territorio hidalguense únicamente existen 28 espacios de este tipo administrados por los ayuntamientos, una cifra que se busca ampliar para garantizar una vejez activa y digna.</t>
  </si>
  <si>
    <t>Estudiantes de la UPH llevan capacitación agroindustrial a comunidades de la Huasteca</t>
  </si>
  <si>
    <t>Participación social</t>
  </si>
  <si>
    <t>El lunes 24 de agosto se llevó a cabo la Primera Capacitación de Manejo de Purificadoras de Agua de Autoservicio en el Auditorio Benito Juárez de la Presidencia Municipal de Tulancingo. La actividad, enmarcada en la iniciativa “Por un Tulancingo Seguro”, dio inicio a las 10:45 horas con el objetivo de reforzar las medidas de salud e higiene en estos establecimientos. Durante el encuentro, de carácter gratuito, se abordaron temas clave como la verificación y mantenimiento de filtros, procesos de desinfección, medidas de higiene y el cumplimiento de las normas sanitarias vigentes. Al finalizar la jornada, las y los asistentes recibieron una constancia con validez oficial por su participación.</t>
  </si>
  <si>
    <t>Capacitación</t>
  </si>
  <si>
    <t>Cascos Rosas Hidalgo, plataforma de igualdad en gestión hídrica</t>
  </si>
  <si>
    <t>DIFH: Más de 12 mil personas mayores participaron en "Viviendo en Plenitud"</t>
  </si>
  <si>
    <t>Entrevista en cabina biólogo Rolando Arturo Pérez García, representante del Instituto Nacional Electoral (INE) en el Distrito 04 de Tulancingo - Habló sobre las actividades y rutas que seguirán los módulos de atención ciudadana para la tramitación de la credencial para votar. Explicó que el módulo itinerante 130452 dará servicio en los municipios de Acatlán y Santiago Tulantepec, mientras que el módulo 130453 cubrirá la zona de la Sierra Otomí-Tepehua, visitando localidades de Metepec, Huehuetla, San Bartolo Tutotepec y Agua Blanca. Por su parte, el módulo fijo ubicado en la ciudad de Tulancingo continuará operando de lunes a viernes en un horario de 8:00 a 20:00 horas y los sábados de 8:00 a 15:00 horas. Pérez García, puntualizó los requisitos necesarios según la gestión requerida. Para la primera inscripción, reincorporación o cambio de domicilio, las personas deben presentar en original su acta de nacimiento, CURP, comprobante de domicilio y una identificación oficial con fotografía, como el pasaporte, la licencia de conducir o credenciales escolares y laborales. En caso de solicitar un reemplazo o reposición por extravío sin modificación de datos personales, el trámite se realiza directamente sin necesidad de entregar documentación adicional. Asimismo, instó a los ciudadanos cuya credencial venza en este año a solicitar su renovación con anticipación. Finalmente, aclaró que la entrega del documento se lleva a cabo únicamente en el módulo donde fue tramitado, en un plazo regular de 7 a 9 días tras haberse normalizado la expedición de plásticos. Para consultar la disponibilidad del documento antes de acudir a recogerlo, los ciudadanos pueden comunicarse a la línea INEETEL proporcionando el código de barras impreso en su comprobante.</t>
  </si>
  <si>
    <t>Credencialización</t>
  </si>
  <si>
    <t>PIBEH localiza a persona con discapacidad que contaba con ficha de búsqueda</t>
  </si>
  <si>
    <t>Localización de persona</t>
  </si>
  <si>
    <t>En un operativo conjunto entre fuerzas federales y estatales, autoridades de seguridad lograron la detención de 20 personas presuntamente vinculadas al Cártel Jalisco Nueva Generación (CJNG), tras cumplimentar cateos simultáneos en 36 inmuebles distribuidos en los estados de Hidalgo, Jalisco y Michoacán. El titular de la Secretaría de Seguridad y Protección Ciudadana (SSPC), Omar García Harfuch, dio a conocer a través de sus canales oficiales que las intervenciones se llevaron a cabo el pasado 19 de agosto, en una acción coordinada entre la Secretaría de la Defensa Nacional (SEDENA), la Secretaría de Marina (SEMAR), la fiscalía general de la República (FGR), la Guardia Nacional y la propia SSPC. Durante los cateos, las fuerzas de seguridad aseguraron: Armas de fuego y diversa dosis de droga, 113 vehículos, Animales exóticos con cuidado inadecuado, entre los que se encuentran tigres y panteras, además de diversas aves, Numerario, equipo de comunicación, un dron y un inhibidor de señal para drones. García Harfuch destacó que, sumando estas 20 detenciones a los operativos de precisión realizados previamente por el Ejército Mexicano, se contabilizan 32 integrantes de esta organización criminal sacados de circulación. "No es únicamente detener generadores de violencia, sino debilitar de manera sostenida las capacidades operativas, logísticas y financieras de las organizaciones criminales. La fuerza del Estado está en sus instituciones, en la inteligencia y en la investigación", puntualizó el funcionario federal. Las autoridades revalidaron su compromiso de mantener la coordinación interinstitucional para garantizar la tranquilidad y protección de las familias en las entidades intervenidas.</t>
  </si>
  <si>
    <t>Locutor Juan Carlos Santamaría informa que se modificó el horario de la conferencia del Gobierno de Hidalgo para realizar, en la Sala del Pueblo, el noveno anuncio de inversiones encabezado por el gobernador Julio Menchaca. Asimismo, recapitula las cifras e impacto del octavo anuncio en el mes de febrero de 2026, recordando los municipios beneficiados y las metas de inversión privada y empleo en la entidad.</t>
  </si>
  <si>
    <t>No se pierda la transmisión especial de Radio y Televisión de Hidalgo. A la 1:00 de la tarde el gobernador dará un anuncio muy muy importante, el noveno anuncio de inversión para el Estado de Hidalgo en los primeros 4 años de su mandato. Así que vamos a tener una transmisión especial, una conferencia de prensa como todos los lunes, pero esta va a iniciar a la 1:00 de la tarde a través de las redes sociales del Gobierno del Estado de Hidalgo, a través por supuesto de la señal de Hidalgo Radio.</t>
  </si>
  <si>
    <t>Anuncio de inversiones</t>
  </si>
  <si>
    <t>A la 1:00 de la tarde, el gobernador Julio Menchaca Salazar hará un anuncio sobre una nueva inversión para el Estado de Hidalgo, que se espera genere importantes recursos. Este anuncio podría traer buenas noticias, ya que se menciona un crecimiento en el empleo y el desarrollo económico. El gobierno busca crear condiciones adecuadas para atraer inversionistas de diferentes partes del mundo. Las inversiones son principalmente privadas, y el gobierno se encarga de mejorar la seguridad y la infraestructura para facilitar la llegada de empresas. También se subraya la importancia de generar empleos formales, que se registran en el Seguro Social, ofreciendo seguridad social y beneficios a las familias de los trabajadores. Más inversiones significan más oportunidades para las familias en Hidalgo.</t>
  </si>
  <si>
    <t>Un incidente vial que se presentó sobre la carretera Pachuca-Ciudad Sahagún en su tramo correspondiente a Zempoala. El conductor de este vehículo pierde el control y vol- eh se produce la volcadura. Lamentablemente cobra la vida de esta persona, eh al lugar arribó personal de la de la Procuraduría General de Justicia para iniciar la carpeta de investigación correspondiente.</t>
  </si>
  <si>
    <t>Levantamiento De Cuerpo</t>
  </si>
  <si>
    <t>Andrés Torres informó que el bloqueo realizado por vecinos de San Salvador, específicamente en La Flor, exigían que el alcalde, señor Martínez, cumpliese con obras y promesas. Tras largos diálogos el viernes, la Secretaría de Gobierno logró acuerdos para abrir la carretera México-Laredo en la zona de Ixmiquilpan, San Salvador y Santiago de Anaya. Los habitantes de Ixmiquilpan también se unieron al reclamo debido al cierre de la carretera que afectaba a los balnearios. A pesar del bloqueo, hubo una gran afluencia de turistas en la zona. Al final, se llegó a un acuerdo y se retiraron los bloqueos.</t>
  </si>
  <si>
    <t>Ayer por la tarde en la antigua carretera al Cristo Rey a la altura del Cristo Rey un conductor perdió el control y cayó al barranco. Al Lugar llegó personal de Bomberos, quienes lograron rescatara 3 personas, que fueron trasladadas al hospital</t>
  </si>
  <si>
    <t>Un hombre de 41 años fue detenido en la colonia 11 de Julio después de que policías municipales le encontraron 16 dosis de una sustancia con características de cristal y dos bolsas con probable marihuana. La intervención se llevó a cabo durante un recorrido del operativo denominado “Mineral Seguro”, cuando elementos de la Secretaría de Seguridad Ciudadana patrullaban el Circuito 11 de Julio. En ese punto observaron a un hombre que se desplazaba en una motoneta negra sin placas de circulación. Según la versión de la corporación, el conductor mostró una conducta considerada inusual, por lo que los agentes realizaron una inspección. El hombre fue identificado mediante las iniciales J. S. J. V. Después de la revisión quedó detenido y fue trasladado para continuar con el procedimiento correspondiente. Entre las pertenencias del detenido fueron localizados 16 envoltorios con una sustancia que, por sus características, fue reportada preliminarmente como cristal. El contenido registró un peso total de 1.3 gramos.</t>
  </si>
  <si>
    <t>Combate Al Narcomenudeo</t>
  </si>
  <si>
    <t>Como parte de los operativos permanentes para inhibir el trasiego ilegal de combustible, elementos de la Secretaría de Seguridad Pública de Hidalgo (SSPH), en coordinación con la Guardia Nacional (GN), aseguraron a dos personas y recuperaron 770 litros de hidrocarburo, en el municipio de Tlaxcoapan. Los hechos se registraron en la colonia La Vega, donde personal de la policía estatal y de la GN realizaba recorridos de seguridad y vigilancia. Durante el patrullaje, los agentes identificaron dos vehículos sospechosos que circulaban a exceso de velocidad, por lo que les dieron alcance para su intervención. Tras detener la marcha de las unidades y entrevistar a sus ocupantes, se constató que transportaban hidrocarburo en contenedores de diferentes capacidades. Al no acreditar la procedencia legal del combustible, se procedió conforme al protocolo. En el lugar fueron detenidos dos hombres y se aseguraron dos vehículos, un automóvil tipo sedán y una furgoneta tipo van, así como el combustible y los contenedores, mismos que fueron puestos a disposición de la autoridad competente para el inicio de la carpeta de investigación.</t>
  </si>
  <si>
    <t>Combate Al Huachicol</t>
  </si>
  <si>
    <t>Vincularon a proceso a dos personas detenidas luego de un enfrentamiento con elementos de la Guardia Nacional (GN), en la colonia La Amistad, municipio de Tula, a quienes les confiscaron dos armas de fuego y una granada táctica. Por tanto, Raymundo "N" y Juan "N" permanecerán en prisión preventiva los dos meses fijados como plazo para el cierre de la investigación complementaria. La autoridad judicial, además, impuso como medida cautelar, prisión preventiva oficiosa. Ambos son acusados de posesión de armas de fuego, cartuchos, cargadores y granada de uso exclusivo de las Fuerzas Armadas, y de homicidio en grado de tentativa. Las personas detenidas y los objetos confiscados fueron puestos a disposición del Ministerio Público Federal, instancia que integró los datos de prueba necesarios para que la jueza de Control resolviera vincular a proceso.</t>
  </si>
  <si>
    <t>Hidalgo impulsa reencuentro de 20 persona adultas mayores con sus familias en Estados Unidos</t>
  </si>
  <si>
    <t>La Secretaría de Bienestar e Inclusión Social de Hidalgo (Sebiso) prevé que la Caravana del Migrante de diciembre mantenga una participación similar a la de años anteriores, pese al endurecimiento de la política migratoria en Estados Unidos, informó su titular, Ricardo Gómez Moreno. El funcionario señaló que en 2025 participaron alrededor de 230 a 240 vehículos de Hidalgo, mientras que la caravana nacional reunió cerca de mil 600 unidades, por lo que estimó que este año la afluencia será constante. “Pensábamos que iba a bajar el número de personas interesadas en venir, pero no; fueron prácticamente los mismos e incluso más”, afirmó. Gómez Moreno explicó que las familias migrantes esperan durante todo el año este viaje y participan porque consideran que el recorrido es seguro gracias al acompañamiento institucional. Sobre el programa de reencuentro familiar, informó que durante 2026 se han tramitado 80 visas, y que en los próximos días viajará un segundo grupo de aproximadamente 20 personas para reunirse con sus familiares en Estados Unidos. Aclaró que el trámite no se ha endurecido por la política migratoria estadounidense, aunque sí continúa siendo tardado, con un tiempo aproximado de un año entre la obtención del pasaporte y la cita para la visa. Precisó que hasta el momento no existe reporte de hidalguenses detenidos por el Servicio de Inmigración y Control de Aduanas (ICE) que requieran atención extraordinaria, aunque mantienen coordinación con el Instituto Nacional de Migración para atender cualquier emergencia. Asimismo, se dio a conocer que hasta mayo, casi sumaron 3 mil hidalguenses asegurados por elementos del ICE y deportados a México.</t>
  </si>
  <si>
    <t>Caravana migrante</t>
  </si>
  <si>
    <t>Integrantes de la Asamblea Municipal de Tulancingo aprobaron la operación del Programa Municipal de Identidad y Comercialización “Hecho en Tulancingo”. La aprobación del programa se registró durante la Décima Novena Sesión Ordinaria del Ayuntamiento, ocurrida durante el viernes 21 de agosto. De acuerdo a la propuesta aprobada y presentada por la Comisión de Fomento Económico del cuerpo edilicio, personas físicas o morales que desarrollen actividades productivas, empresariales, manufactureras y artesanales, podrán usar la marca “Hecho en Tulancingo”. Para poder usarla, deberán cumplir con los requisitos establecidos en el programa, además de sujetarse a los lineamientos de operación, reglas de uso, manual de identidad gráfica y formatos administrativos correspondientes. En este sentido, la alcaldesa Lorena García Cázares para suscribir los contratos necesarios con las personas que cumplan los requisitos para incorporarse al programa, así como para realizar los procesos de renovación o actualización del uso de la marca. De acuerdo a lo presentado hace unos días por la titular de Fomento Económico municipal, Minerva Rosales Gayosso, la marca “Hecho en Tulancingo” la pueden obtener productores de cinco sectores. Se trata del textil, el artesanal, alimentos primarios, así como procesados, junto con la industria y manufactura. También puntos de venta y distribuidores pueden obtener y utilizar la marca, de acuerdo a lo aprobado por la Asamblea Municipal de Tulancingo. La marca busca crear una identidad que permita reconocer de manera directa los artículos elaborados en Tulancingo y facilitar su incorporación a distintos espacios y canales de comercialización. El distintivo podrá aparecer mediante una etiqueta o distintivo en los productos, de manera que los consumidores puedan identificar que fueron elaborados o producidos en Tulancingo. El programa pretende contribuir a que los productos locales tengan mayor presencia en el mercado y, con ello, generar nuevas oportunidades para los sectores productivos del municipio.</t>
  </si>
  <si>
    <t>Hecho en Tulancingo</t>
  </si>
  <si>
    <t>Vía telefónica en Ultra Noticias la Secretaria de Turismo, Elizabeth Quintanar informó que con la participación de 87 comunidades provenientes de 28 municipios del estado, se llevará a cabo el Segundo Encuentro Estatal de Turismo Comunitario "Raíces de Hidalgo", un espacio dedicado a visibilizar y promover las expresiones culturales, ancestrales y naturales de la entidad. El evento se celebrará el próximo viernes 28 de agosto en la Hacienda Tepotzotlán, ubicada en el municipio de Epazoyucan, en un horario de 10:00 a.m. a 6:00 p.m., con acceso totalmente gratuito para el público en general. Durante la jornada, los asistentes podrán disfrutar de 60 muestras de experiencias turísticas que integran la riqueza gastronómica de la región, medicina tradicional basada en herbolaria, artesanías locales, así como actividades culturales que incluyen danzas folclóricas, música en vivo y ponencias. El encuentro busca consolidar el turismo comunitario como un pilar de desarrollo sostenible para las comunidades locales, fomentando la preservación del patrimonio biocultural y una distribución equitativa de los beneficios económicos en el estado de Hidalgo.</t>
  </si>
  <si>
    <t>Un hombre perdió la vida tras una riña registrada durante la madrugada del sábado 22 de agosto en el fraccionamiento Villas de Pachuca, ubicado al sur de la capital del Estado de Hidalgo. Vecinos de la zona reportaron el hallazgo del cuerpo de una persona, tras lo cual acudiendo elementos de seguridad pública junto con personal de atención a emergencias. Estos últimos valoraron a la persona localizada, de 44 años de edad, confirmando que ya no presentaba signos vitales. Se refirió que personas presuntamente relacionadas con la riña abandonaron el lugar a bordo de un automóvil Dodge Challenger, de color rojo con negro, y una camioneta Mazda. En un operativo realizado por los elementos policiacos, fue localizado el automóvil Dodge Challenger, el cual estaba abandonado, sin persona alguna en su interior o alrededores. Hasta el momento no se reportan personas detenidas relacionadas con la agresión que derivó en el fallecimiento de una persona.</t>
  </si>
  <si>
    <t>Muerte por riña</t>
  </si>
  <si>
    <t>Un hombre fue localizado sin vida sobre el bulevar Central del Parque Industrial de Atitalaquia, siendo reportada la situación por personas que circulaban en ese momento por la zona. Al sitio acudieron elementos policiacos, así como personal de atención a emergencias, confirmando que el cuerpo de la persona, de aproximadamente 45 años de edad, se encontraba tirado sobre la vía pública. Tras revisarle, confirmaron que ya no contaba con signos vitales, siendo acordonada el área para el inicio de investigaciones por parte de la Procuraduría General de Justicia del Estado de Hidalgo. La persona fallecida vestía pantalón de mezclilla negro, chamarra azul con franjas blancas y gorra negra, así como botas de trabajo de color café con rojo, sin que hasta el momento se conociera sobre su identidad. Se prevé que a partir de la respectiva investigación se determinen las causas del fallecimiento, así como las responsabilidades legales a quien corresponda.</t>
  </si>
  <si>
    <t>Localización de cuerpo</t>
  </si>
  <si>
    <t>Una mujer perdió la vida luego de caer presuntamente desde la azotea del segundo piso de un domicilio particular ubicado en la colonia Rojo Lugo, donde se registró una movilización de cuerpos de emergencia y seguridad. De acuerdo con los primeros reportes, la mujer quedó tendida sobre el pavimento tras la caída. Paramédicos de la Cruz Roja acudieron al sitio luego de recibir el llamado de emergencia y, tras valorar a la víctima, confirmaron que ya no presentaba signos vitales. Elementos de Seguridad Pública Municipal y Estatal también arribaron al lugar y acordonaron la zona para preservar la escena, mientras se esperaba la intervención de las autoridades ministeriales. Personal del Servicio Médico Forense (SEMEFO) y de la Procuraduría General de Justicia del Estado de Hidalgo (PGJEH) realizó las diligencias correspondientes y llevó a cabo el levantamiento del cuerpo.</t>
  </si>
  <si>
    <t>Un hombre que viajaba en motocicleta fue interceptado y a continuación atacado con arma de fuego por dos sujetos que viajaban en un vehículo semejante, sobre la carretera federal México-Tampico, dentro del municipio de Zacualtipán. El ataque ocurrió la mañana del domingo 23 de agosto, en el crucero hacia Tianguistengo, sitio a donde se acercaron los atacantes a la víctima, para dispararle directamente y huir posteriormente a gran velocidad. Al sitio acudieron elementos policiacos, así como de atención a emergencias; estos últimos valoraron al hombre baleado, trasladándolo de inmediato para recibir atención médica especializada a sus heridas. En tanto, los uniformados implementaron operativo de búsqueda y localización de los atacantes, sin que hasta el momento se hayan localizado. Hasta el momento no se conoce sobre la evolución en el estado de salud de la persona atacada con arma de fuego; tampoco se ha conocido el motivo de que haya sido atacado. Personal de la Procuraduría General de Justicia del Estado de Hidalgo ha iniciado las investigaciones respectivas al caso.</t>
  </si>
  <si>
    <t>Ataque Armado</t>
  </si>
  <si>
    <t>La Secretaría de Educación Pública de Hidalgo (SEPH), a través de la Subsecretaría de Educación Básica, da seguimiento permanente a temas estratégicos para fortalecer la coordinación de las actividades del ciclo escolar 2026-2027. En representación del secretario de Educación Pública de Hidalgo, Natividad Castrejón Valdez, la subsecretaria de Educación Básica, Nancy Adriana León Vite, sostuvo una reunión de trabajo con las y los directores generales del área para revisar asuntos relacionados con el próximo ciclo escolar, entre ellos, la circular para el inicio de clases 2026-2027, el reporte correspondiente al primer día de actividades, así como la recepción y distribución de los Libros de Texto Gratuitos. También se revisaron los trabajos vinculados con el Diplomado Educación Ambiental Crítica, la estrategia “Regreso a Clases con un Árbol”, el Parlamento Infantil y las actividades programadas en el marco de la Feria San Francisco 2026. Asimismo, se analizaron los avances del Convenio de Colaboración con el Museo de Memoria y Tolerancia, además de diversos procesos de consulta, convocatorias y solicitudes de información. Con estas acciones, la SEPH fortalece la coordinación entre sus distintas áreas y da continuidad a los temas prioritarios para el próximo ciclo escolar. En la reunión participaron la titular de la Unidad de Gestión Técnica, Claudia Huerta Ruiz; el director general de Educación Básica, Leobardo Cano Albarrán; la directora general de Desarrollo Curricular, María del Rosario Ramírez Hernández; la directora general de Servicios Regionales, Josefina Serrano Bautista; el director general de Asesoría y Gestión Educativa, Andrés Caballero Zerón; y el subdirector de Contraloría Social, Alberto Armador Artista, en representación del director general de Fortalecimiento Educativo, Martín Pérez Sierra.</t>
  </si>
  <si>
    <t>El expresidente municipal de Singuilucan, Marcos Miguel N.N., irá a juicio luego de que un juez de control dictó auto de apertura a juicio oral dentro de la causa penal 1936/2025, relacionada con el delito de uso ilícito de atribuciones y facultades agravado. La determinación se produjo durante una audiencia intermedia celebrada este 20 de agosto de 2026, presidida por la jueza Janett Montiel Mendoza. El caso está relacionado con las investigaciones de la llamada Estafa Siniestra, esquema mediante el cual, de acuerdo con las indagatorias, se habrían desviado recursos públicos a través de operaciones y contratos presuntamente irregulares. Presuntamente, en su administración recibió recursos extraordinarios por 109 millones 645 mil 325 pesos, mismos que debían ser destinados a la sanitización de áreas comunales, compra de papelería y artículos de escritorio, traslado y renta de maquinaria y pago de personal eventual. La investigación sostiene que posteriormente se habrían celebrado 161 contratos con 22 personas físicas y morales. El señalamiento es que esos recursos habrían sido utilizados mediante un esquema de operaciones simuladas. Además de la causa por la que ya se llegó a la etapa de juicio oral, el exalcalde enfrenta otra acusación por la cifra de 16 millones de pesos, misma que está en etapa intermedia.</t>
  </si>
  <si>
    <t>El relleno sanitario de Siete Mezquites ubicado en la comunidad de Teocalco en Tula de Allende, cuenta con permisos de construcción, pero no de operación. Lo anterior fue puntualizado por el Gobernador de Hidalgo, Julio Menchaca Salazar, enfatizando que dichas instalaciones no operarán hasta que cuenten con los permisos correspondientes. La declaración es ofrecida luego de que la Comisión Nacional del Agua (Conagua) emitiera una opinión técnica donde señala un posible riesgo para los mantos acuíferos debido a la alta permeabilidad del suelo y la profundidad del nivel freático. Menchaca Salazar reconoció que diariamente se está generando basura en todo el país, por lo que el reto es encontrar mecanismos adecuados para su disposición final. “El reto es encontrar un tratamiento adecuado, porque he escuchado muchas voces de preocupación, pero pocas propuestas para atender una situación que todos los días, cotidianamente, es la generación de basura”. La construcción del relleno sanitario llevaba un avance aproximado del 90 por ciento en su construcción a cargo de la empresa Marsacot S.A. de C.V. El Gobernador de Hidalgo insistió que el cumplimiento de los requisitos es indispensable para que el relleno sanitario pueda entrar en operación, por lo que la empresa deberá contar con la totalidad de los permisos antes de comenzar actividades. Insistió que uno de los principales retos es encontrar sitios adecuados para la disposición y tratamiento de los residuos de la región de Tula. Agregó que este lunes 24 de agosto, durante la conferencia de prensa matutina del Gobierno del Estado de Hidalgo, se dará a conocer más detalles sobre el proyecto para el depósito y disposición final de la basura. Ello a reserva de darse a conocerse un resolutivo final para establecer si las instalaciones del relleno sanitario pueden funcionar.</t>
  </si>
  <si>
    <t>Relleno Sanitario</t>
  </si>
  <si>
    <t>El presidente municipal de Tula de Allende, Cristhian Martínez Reséndiz, informó que el relleno sanitario El Siete Mezquites permanecerá en pausa hasta que haya un dictamen definitivo sobre su impacto ambiental. Aclaró que, si el dictamen indica contaminación o riesgos, se clausurará. Martínez Reséndiz espera que la Secretaría del Medio Ambiente y Recursos Naturales (Semarnat) proporcione este dictamen. También mencionó que el permiso de funcionamiento lo otorgan la Semarnat y el Ayuntamiento, pero actualmente no hay uno vigente. Además, se refirió al rechazo de los habitantes de Tezontle de Aldama hacia el relleno, señalando que no se puede tomar una decisión solo por la oposición sin fundamentos científicos. Resaltó la importancia de basar decisiones en información técnica y científica para garantizar la salud y el medio ambiente.</t>
  </si>
  <si>
    <t>Habitantes de la Sierra Otomí-Tepehua muestran mayor disposición para aceptar la reubicación de viviendas ubicadas en zonas de riesgo, informó el subsecretario de Protección Civil de Hidalgo, Román Bernal Díaz, a casi un año de las afectaciones provocadas por la vaguada monzónica de octubre de 2025. El funcionario señaló que recientemente concluyeron las reuniones con las familias afectadas, con el objetivo de concientizarlas sobre los riesgos de permanecer en los sitios donde fueron construidas sus viviendas. “Las pláticas que se han tenido, la concientización que se ha tenido en materia de riesgos, la ciudadanía ha estado entendiendo, y ahorita se ha facilitado todo este protocolo de registro y convencimiento de las personas para salirse de las zonas de riesgo”, señaló en entrevista. La razón principal para no aceptar la reubicación, los habitantes en zonas de riesgo señalan el arraigo al sitio donde han vivido y han desarrollado sus actividades, incluso por varias generaciones. Hace unas semanas, funcionarios de la Secretaría de Desarrollo Agrario, Territorial y Urbano del Gobierno Federal, junto con funcionarios de dependencias de la administración del Estado de Hidalgo, llevaron a cabo reuniones con habitantes ubicados en zonas de riesgo en varias regiones de la entidad. En dichas reuniones se les hizo mención de los riesgos de quedarse en los espacios donde tienen actualmente sus viviendas, así como los detalles sobre la reubicación que se les ofrece. Bernal Díaz dijo no tener datos sobre la cantidad de habitantes que ya aceptaron la reubicación, pues las labores han estado a cargo sobre todo a cargo de la Federación, que lleva el registro correspondiente. Insistió que ha existido entendimiento y avanza el protocolo de reconstrucción y reubicación ubicada en zona de riesgo. “No hay un municipio que más preocupe, simplemente tenemos un tema de que si estamos en zona de riesgo, tenemos qué evacuar”, enfatizó Bernal Díaz respecto al tema, El programa evaluó inicialmente un padrón de 2 mil 866 viviendas en polígonos de alto riesgo; para la reubicación de las familias que sí aceptaron, se gestiona la donación de un predio propiedad del Instituto Nacional de los Pueblos Indígenas.</t>
  </si>
  <si>
    <t>Reubicación de viviendas</t>
  </si>
  <si>
    <t>En cabina Andrés Torres y Alberto González dialogan sobre la coyuntura política y económica del estado de Hidalgo. Andrés Torres destaca el liderazgo de Julio Menchaca Salazar, señalando como hito su participación en la conferencia mañanera de la presidenta Claudia Sheinbaum. Coinciden en que la llegada de Adán Augusto Ramírez a la circunscripción electoral suma al proyecto local en lugar de confrontar. A pesar de una semana compleja marcada por bloqueos en la carretera México-Laredo por parte de manifestantes de San Salvador, la Secretaría de Gobierno logró liberar la vía mediante la negociación y un calendario de atención. Resaltan los anuncios de inversión privada internacional y la reactivación industrial (mencionando a Cruz Azul y empresas como Amazon, Mercado Libre y Farmacias Guadalajara). En este sentido, Alberto González señala el caso de una inversión de 20 millones de pesos en Huichapan (empresa de amaranto Coronado) que terminó por cerrarse, instando a dar seguimiento real a los proyectos. Coinciden en el aprovechamiento de los terrenos del antiguo proyecto aeroportuario (Zapotlán, Villa de Tezontepec, Tizayuca) para consolidar un polo industrial estratégico, beneficiado por la cercanía al AIFA, la autopista México-Pachuca, el Arco Norte y el proyecto del tren. Finalmente, Alberto González hace hincapié en la necesidad de proteger los recursos hídricos frente al crecimiento industrial, mencionando la presión sobre el acueducto Cuautitlán-Pachuca.</t>
  </si>
  <si>
    <t>Atracción De Inversiones</t>
  </si>
  <si>
    <t>Lidera formación STEM con amplia red de laboratorios</t>
  </si>
  <si>
    <t>Laboratorio STEM</t>
  </si>
  <si>
    <t>En respuesta a la radioescucha Olga Islas que pregunta si la visita de los altos mandos de Morena a Ciudad Sahagún y sus candidatos es una señal importante. Andrés Torres menciona que hay muchas especulaciones sobre la política actual, especialmente los procesos de selección de candidatos de Morena a nivel nacional y estatal. Señala que, como reportero, espera a que sucedan los hechos antes de realizar afirmaciones. Torres destaca que los liderazgos políticos en Hidalgo son firmes y están bien definidos, a pesar de los cambios recientes, como el nombramiento de Adán Augusto como coordinador de la Cuarta Circunscripción. Expresa que algunos análisis extremistas carecen de información y podrían estar equivocados en sus predicciones. También señala el importante gesto de la presidente Claudia Sheinbaum al invitar exclusivamente al gobernador de Hidalgo, Julio Menchaca, a una conferencia, lo que muestra un apoyo político claro. Torres destaca que este tipo de respaldo es significativo y sugiere que los liderazgos en el estado están bien establecidos y se fortalecerán, anticipando una declaración clave de un líder político de Hidalgo en poco tiempo.</t>
  </si>
  <si>
    <t>Liderazgo político</t>
  </si>
  <si>
    <t>El viernes y sábado, en la Feria, el Patronato DIF, dirigido por Edda Vite Ramos, organizó el Festival de los Adultos Mayores. El gobernador Julio Menchaca participó el sábado y disfrutó del danzón. Además de entretenimiento, el evento ofreció asesorías y atención médica a los adultos mayores. El gobernador les animó a disfrutar y aprovechar los servicios del Gobierno del Estado, a través del Patronato DIF y la Secretaría de Salud. Se destacaron momentos alegres con la participación de los adultos mayores y el gobernador en redes sociales.</t>
  </si>
  <si>
    <t>Andrés Torres felicita a todos los niños y organizadores del curso de verano del Gobierno del Estado que finalizó el pasado viernes. Estuvo a cargo de la Oficialía Mayor, el Oficial Mayor Orlando Ángeles y del Sistema DIF Hidalgo, y miles de niños disfrutaron de más de un mes de actividades.</t>
  </si>
  <si>
    <t>Oficialía Mayor</t>
  </si>
  <si>
    <t>La Sección 15 del Sindicato Nacional de Trabajadores de la Educación (SNTE) fortaleció la coordinación con autoridades educativas mediante la entrega de mil 653 propuestas y órdenes de presentación para distintos niveles educativos. Durante un segundo encuentro, el secretario general de la Sección 15, Said Vargas Sáenz, realizó la entrega acompañado por el secretario de Educación Pública de Hidalgo, Natividad Castrejón Valdez, y Jesús Jaime Rochín Carrillo. Las propuestas corresponden a Preescolar y Primaria Indígena, Secundarias Generales y Técnicas, Telesecundarias, Niveles Especiales y Educación Física. Said Vargas Sáenz destacó que estas acciones forman parte del trabajo conjunto para mejorar las condiciones laborales del magisterio y brindar mayor certeza a las y los trabajadores de la educación. El encuentro refrendó la disposición de mantener el diálogo y la coordinación entre la representación sindical y las autoridades educativas para atender las necesidades del sector. “Hoy la 15 está de pie”, afirmó el dirigente sindical, quien señaló que la unidad y el compromiso son fundamentales para continuar con #LaNuevaHistoriaDelMagisterio.</t>
  </si>
  <si>
    <t>Hoy, el gobernador de Hidalgo, Julio Menchaca, anunciará una nueva inversión, el noveno anuncio desde que asumió el cargo hace cuatro años. A la 1:00 de la tarde se llevará a cabo este anuncio, que será transmitido en televisión, radio y redes sociales del gobierno. El objetivo es informar sobre oportunidades de empleo y desarrollo para las familias hidalguenses. En los últimos días, se han publicado artículos sobre el crecimiento económico de Hidalgo y las nuevas oportunidades laborales. La semana pasada, el gobernador compartió información en la conferencia mañanera, destacando los logros en desarrollo económico y empleo. Se alienta a la población a no perderse la cobertura informativa de este evento que promete ser significativo para la entidad.</t>
  </si>
  <si>
    <t>Radioescucha reporta que reparen bache en tramo carrera que entronca con la Providencia en Mineral de la Reforma</t>
  </si>
  <si>
    <t>Vialidad En Mal Estado</t>
  </si>
  <si>
    <t>Radioescucha manda audio y comenta : ¿Qué opinión tiene usted por el tráfico que se hizo desde ayer de la SEPH al puente de Tellez? Pido que las autoridades realicen algo al respecto</t>
  </si>
  <si>
    <t>Tráfico vial</t>
  </si>
  <si>
    <t>El Segundo Simulacro Nacional 2026 se realizará el sábado 19 de septiembre a las 12:00 horas, tiempo del centro de México, convocado por la Coordinación Nacional de Protección Civil.</t>
  </si>
  <si>
    <t>A través de un procedimiento abreviado, la Fiscalía General de la República obtuvo sentencia de dos años tres meses de prisión contra Abraham N, quien fue detenido con un arma de fuego tipo pistola, un cargador, cuatro cartuchos útiles, un casquillo percutido y cuatro elementos balísticos en la colonia El Durazno, en el municipio de San Agustín Tlaxiaca.</t>
  </si>
  <si>
    <t>Sentencia</t>
  </si>
  <si>
    <t>Hay muchos temas importantes, muchos trabajos que realiza el Gobierno de México aquí en el estado de Hidalgo, y el municipio de Tula de Allende tiene gran importancia por lo que se anunció en el tema del rescate del río Tula. Te puedo informar que los trabajos para el saneamiento del río Tula avanzan a la altura de la comunidad de San Marcos, en este municipio, según informó Jaime Vázquez Bracho, comisionado para la restauración del río Tula por parte de la CONAGUA.</t>
  </si>
  <si>
    <t>Saneamiento río Tula</t>
  </si>
  <si>
    <t>Jesús González</t>
  </si>
  <si>
    <t>En otra información, Hidalgo registró un ingreso de 863.65 millones de dólares por concepto de remesas durante el primer semestre de este 2026, lo que representa un aumento de 20 millones respecto al mismo periodo del año anterior, según informó la Dirección General de Atención al Migrante.</t>
  </si>
  <si>
    <t>Remesas</t>
  </si>
  <si>
    <t>COMENTARIO LOCUTOR RODOLFO LOPEZ - Es que han existido muchas voces a lo largo de estos meses sobre este tema y ya el gobernador es claro y contundente sobre el relleno sanitario 7 Mezquites aquí en el municipio de Tula.</t>
  </si>
  <si>
    <t>El gobernador Julio Menchaca pues habló del relleno sanitario 7 Mezquites en el municipio de Tula.</t>
  </si>
  <si>
    <t>Siguiendo con temas de educación, la Secretaría de Educación Pública de Hidalgo afina los preparativos para el ciclo escolar 2026-2027.</t>
  </si>
  <si>
    <t>Siete de la mañana ya con catorce minutos, seguramente usted que ha caminado por el centro de Tula o en algún otro municipio, a mí me ha tocado ver en Mixquiahuala, en Actopan y en la capital del estado, largas filas en centros de atención Telcel. ¿Por qué se lo digo?</t>
  </si>
  <si>
    <t>Radioescucha 73 - 88, dice: ¿Dónde puedo reportar que seguimos con el problema de colectiva café de Campestre Villas del Álamo? Esperando 36 minutos y no pasa. Habemos muchos confiados en este transporte.</t>
  </si>
  <si>
    <t>Con la entrada en operación de un nuevo juzgado especializado en materia de protección de niñas, niños y adolescentes, Hidalgo logró agilizar alrededor de 10 procedimientos relacionados con medidas de protección y adopciones, así lo informó la procuradora de protección de niñas, niños y adolescentes del Sistema DIF Hidalgo, Laura Karina Ramírez Jiménez.</t>
  </si>
  <si>
    <t>Protección del menor</t>
  </si>
  <si>
    <t>- Radioescucha solicita a Comercio y Abasto Municipal y el Área de Protección Animal verifiquen a los vendedores de pollitos y gansos en la Central de Abasto de Pachuca, ya que hay muchos de ellos con patas, alas rotas, inclusive muertos, asfixiados».</t>
  </si>
  <si>
    <t>Protección Animal</t>
  </si>
  <si>
    <t>Una riña en la colonia Villas de Pachuca dejó un hombre muerto. De acuerdo con testimonios, inició un altercado entre varios hombres. Al arribar la policía, encontraron sobre la cinta asfáltica a un sujeto de 44 años de edad, sin signos vitales y con huellas de violencia. Testigos afirmaron que los responsables viajaban en un vehículo Charger rojo con negro y una camioneta Mazda, sin que hasta el momento haya personas detenidas.</t>
  </si>
  <si>
    <t>Esta semana concluyen las actividades para conmemorar el Mes de las Personas Mayores</t>
  </si>
  <si>
    <t>Más de 2 mil personas mayores de 32 municipios participaron en la tercera edición de Viviendo en Plenitud, organizada por el sistema DIF Hidalgo en el recinto ferial de Pachuca.</t>
  </si>
  <si>
    <t>Este es parte del mensaje del gobernador de Hidalgo, Julio Menchaca Salazar, durante este anuncio de inversiones.</t>
  </si>
  <si>
    <t>El líder de la cooperativa La Cruz Azul dijo que la cementera proyecta generar 3 millones de toneladas anuales de producción de cemento con la puesta en marcha y en funcionamiento de la planta cementera de Tula.</t>
  </si>
  <si>
    <t>Hoy llamaron a conferencia de prensa; usted sabe que todos los lunes hay conferencia de prensa muy temprano. Hoy la hicieron... todavía está la conferencia, inició a la 1:00 de la tarde, todavía está.</t>
  </si>
  <si>
    <t>Radioescucha reporta que no van arreglar las lamparas en calle Jorge Rojo Lugo</t>
  </si>
  <si>
    <t>Luminarias</t>
  </si>
  <si>
    <t>El señor José Rogelio Hernández Ortega está desaparecido. La última vez que se le vio fue el 20 de agosto de este año en el municipio de Atitalaquia. Él tiene 74 años de edad, es de tez morena clara, complexión delgada, cabello lacio y corto color cano, color de ojos café claro, estatura 1.55. Viste playera de color verde, pantalón de color negro, sombrero de color beige y zapatos de color negro. Si usted lo ve por ahí, a José Rogelio Hernández Ortega, puede marcar al 771 130 74 36, 771 130 74 36.</t>
  </si>
  <si>
    <t>Elementos de la Policía Industrial Bancaria localizaron sano y salvo en Plaza Galerías Pachuca a un joven de 23 años con discapacidad psicológica.</t>
  </si>
  <si>
    <t>Un hombre en situación de calle perdió la vida por intoxicación de humo tras un incendio de plásticos y basura registrado en la colonia San Antonio en Ixmiquilpan. Paramédicos de la Cruz Roja acudieron a un inmueble ubicado en la calle Pallares donde confirmaron que la víctima ya no presentaba signos vitales. El propietario del lugar señaló que desconocía la identidad del fallecido. Autoridades iniciaron las diligencias correspondientes.</t>
  </si>
  <si>
    <t>La Secretaría de Educación Pública fortalece acciones para promover entornos laborales saludables con la puesta en marcha de una sala de lactancia en las oficinas centrales</t>
  </si>
  <si>
    <t>La Secretaría de Educación Pública de Hidalgo puso en marcha una nueva sala de lactancia en sus oficinas centrales.</t>
  </si>
  <si>
    <t>Inagura SEPH sala de lactancia en oficinas centrales</t>
  </si>
  <si>
    <t>Hidalgo se ubica entre las siete entidades del país con mayor especialización de egresados en áreas de ciencia, tecnología, ingeniería y matemáticas, así lo informó el secretario de Educación Pública Estatal Natividad Castrejón Valdéz.</t>
  </si>
  <si>
    <t>Tres personas armadas asaltaron a una mujer de 78 años de edad dentro de su domicilio ubicado en la colonia Tazadhó, Ixmiquilpan.</t>
  </si>
  <si>
    <t>Inseguridad</t>
  </si>
  <si>
    <t>De acuerdo con la plataforma que administra la Secretaría de Gobierno y la Comisión Nacional de Búsqueda, durante los primeros 20 días de agosto se emitieron siete fichas de búsqueda de personas en Hidalgo: cinco de hombres y dos de mujeres, con mayor incidencia en Pachuca y San Salvador, con dos casos cada uno.</t>
  </si>
  <si>
    <t>Ficha De Búsqueda</t>
  </si>
  <si>
    <t>Radioescucha pregunta: ¿en la escuela nivel de bachillerato del estado de Hidalgo realizan examen de selección, de admisión?</t>
  </si>
  <si>
    <t>Examen de admisión</t>
  </si>
  <si>
    <t>Radioescucha comenta: Mi hijo va a entrar a tercero de secundaria. Yo fui a quererlo inscribir en la Escuela General Número 5 de Alfonso Cravioto y no me lo permitieron. No hay prórrogas... no... sin prórrogas para poder pagar la inscripción. Simplemente el director y la subdirectora no lo permitieron. Son 1000 pesos, ¿es obligatorio?. Comenta conductor a ver, tienen que checarlo con SEPH directamente. ¿Cómo que no le permitieron inscribirlo? Tienen que inscribirlo, en verdad, esto no debe de ser. SEPH, por favor</t>
  </si>
  <si>
    <t>De acuerdo con el reporte epidemiológico de la Secretaría de Salud con corte al 17 de agosto, en Hidalgo se han registrado 154 casos de COVID-19 y 9 fallecimientos por esta causa.</t>
  </si>
  <si>
    <t>Covid 19</t>
  </si>
  <si>
    <t>Y el Instituto Tecnológico Superior del Occidente del Estado de Hidalgo celebró su aniversario número 26 con la colocación de la primera piedra de una nueva unidad académica para las carreras de Ingeniería Industrial y Electromecánica, que tendrá una inversión superior a los 11.5 millones de pesos.</t>
  </si>
  <si>
    <t>En más información, elementos de la Secretaría de Seguridad Pública de Hidalgo, en coordinación con la Guardia Nacional, aseguraron a dos personas y recuperaron 770 litros de hidrocarburo durante un operativo en la colonia La Vega, en Tlaxcoapan.</t>
  </si>
  <si>
    <t>Fueron aseguradas dos personas y recuperados 770 litros de hidrocarburo en el municipio de Tlaxcoapan.</t>
  </si>
  <si>
    <t>Hoy el estado de Hidalgo fue nota nacional porque el trabajo que viene realizando el Gobierno de México, encabezado por la presidenta Claudia Sheinbaum, y por supuesto el trabajo que hace el titular de la Secretaría de Seguridad y Protección Ciudadana, Omar García Harfuch, está dando resultados</t>
  </si>
  <si>
    <t>Radioescucha pide que hagan algo con el carril del Tuzobús para salir de Pachuca a Zapotlán, sí está tremendo esto</t>
  </si>
  <si>
    <t>Carril confinado</t>
  </si>
  <si>
    <t>Fortalecen operativo de vigilacia para mejorar la seguridad vial en el carril exclusivo del Transporte Metropolitano</t>
  </si>
  <si>
    <t>Un hombre perdió la vida sobre la carretera Tula-Jorobas a la altura de la localidad de Cañada en Atotonilco de Tula. De acuerdo con la información disponible, el fallecimiento se produjo luego de que el hombre fue atropellado por un autobús de AVM cuyo conductor fue asegurado por la policía municipal.</t>
  </si>
  <si>
    <t>Atropellamiento</t>
  </si>
  <si>
    <t>En las instalaciones de la Presidencia Municipal de Actopan se llevó a cabo una reunión de entendimiento entre representantes de la comunidad La Flor y autoridades estatales, además de la Procuraduría General de Justicia del Estado de Hidalgo.</t>
  </si>
  <si>
    <t>Atención A Manifestantes</t>
  </si>
  <si>
    <t>Radioescucha 80 – 70, pregunta ¿qué se sabe de la balacera el día de ayer en Chavarría?</t>
  </si>
  <si>
    <t>Hidalgo impulsa reencuentro de 20 personas adultas mayores con sus familias en Estados Unidos</t>
  </si>
  <si>
    <t>Radioescucha Señor Fidel manda imágenes para que vean el pésimo trabajo que hacen los de CAASIM: cambio de coladera, pero todo el daño alrededor de la coladera lo dejaron</t>
  </si>
  <si>
    <t>Un hombre perdió la vida tras registrarse un accidente vehicular sobre la carretera Refinería-Atitalaquia, a la altura de Petro Asfaltos y Sigma, donde un vehículo compacto se impactó contra un tractocamión.</t>
  </si>
  <si>
    <t>Accidente Vial</t>
  </si>
  <si>
    <t>Un automóvil terminó dentro de un canal de aguas negras la mañana de hoy lunes alrededor de las 8:20 de la mañana sobre la carretera Actopan-Ixmiquilpan, a la altura de Las Rosas.De acuerdo con los primeros reportes, el pavimento mojado por las lluvias habría provocado que el conductor perdiera el control de la unidad.Elementos de Protección Civil y Seguridad Pública de Santiago de Anaya, con apoyo de corporaciones de San Salvador, acudieron al lugar y lograron rescatar al ocupante del vehículo sin que se reportaran consecuencias mayores.Ante las condiciones de lluvia que persisten en distintos puntos de la entidad, se recomienda a los automovilistas reducir la velocidad, mantener distancia entre vehículos y evitar maniobras intempestivas.</t>
  </si>
  <si>
    <t>Accidente Carretero</t>
  </si>
  <si>
    <t>En otra información, un saldo de seis personas fallecidas y dos lesionadas dejaron distintos accidentes de tránsito ocurridos durante el fin de semana en carreteras de Hidalgo. Varios de ellos con la participación de vehículos de carga.Entre los hechos se registraron colisiones contra pipas en las carreteras Refinería-Atitalaquia y en la antigua México-Querétaro, a la altura de Tepeji del Río, esta última con dos personas heridas; mientras que en Tulancingo un motociclista murió sobre la carretera estatal Tulancingo-Cuautepec, mientras que en Atotonilco de Tula un peatón murió atropellado por un autobús cuyo conductor fue detenido.Se reportaron además la salida de un vehículo de camino en la carretera Ciudad Sahagún-Pachuca, a la altura de Pacoyucan, y una volcadura en la carretera federal México-Laredo, en el municipio de Zimapán, ambas con una persona fallecida.</t>
  </si>
  <si>
    <t>Una persona perdió la vida tras un accidente automovilístico registrado la madrugada de este domingo sobre la carretera Pachuca-Ciudad Sahagún a la altura del municipio de Epazoyucan, con dirección a Pachuca. La unidad se impactó contra el muro de un puente.</t>
  </si>
  <si>
    <t>Radioescucha Sr. Gama reporta falta de agua en El Atorón, por favor, que nos apoye CAASIM</t>
  </si>
  <si>
    <t>Locutor jesús Riveros da lectura a comentario de radioescucha que señala: "Buenas tardes, Saludos desde Sahagún, ¿Cómo podemos solicitar ser parte del equipo de trabajo de Home Depot?”; Jesús Riveros responde, yo creo que esa información pronto la vamos a tener, pronto la vamos a tener aquí a la mano, así que hay que estar hay que estar al pendiente. Recuerde que primero es el proceso de edificación y y ya una vez, ya casi al final de este proceso de construcción del nuevo Home Depot, bueno pues se empieza... se abre se abre la la bolsa de trabajo para para estos para este lugar, para este espacio, y estaremos al pendiente de ello.</t>
  </si>
  <si>
    <t>Sedeco</t>
  </si>
  <si>
    <t>Locutor Jesús Riveros da lectura a comentario de radioescucha que expresa lo siguiente: "Buenas tardes, disculpen... un reporte para los tres órdenes de gobierno y Seguridad Pública de Hidalgo para que se pongan las pilas, porque nos dicen, hay muchos carros con luces de patrullas y operan en las carreteras para robar las pertenencias de los tripulantes haciéndose pasar como patrulleros y vigilantes en las carreteras”; Jesús Riveros responde: Señor Juan, sí, muchas gracias por su reporte. Pues ha habido varios casos muy desafortunados donde se han consumado asaltos, secuestros, pero también ha habido operativos donde han detenido a las personas que operan de esta de esta manera. Aunque, al parecer cada vez es más común y pues por ello ya la gente ya inclusive ya no se detiene cuando ven algunas algunos este códigos, luces que utilizan que utilizan exclusivamente las patrullas.</t>
  </si>
  <si>
    <t>Patrulla pirata</t>
  </si>
  <si>
    <t>Con el objetivo de fortalecer las condiciones de higiene y contribuir a garantizar la calidad del agua que consume la población, la Dirección de Sanidad Municipal llevó a cabo una capacitación dirigida a responsables de módulos purificadores de agua de autoservicio, con la participación de personal de la Comisión para la Protección contra Riesgos Sanitarios del Estado de Hidalgo (COPRISEH). La jornada se realizó de manera gratuita en el Auditorio Benito Juárez de la Presidencia Municipal y estuvo dirigida a quienes operan este tipo de establecimientos, cuya presencia se ha incrementado como una alternativa para que las familias tulancinguenses adquieran agua purificada.</t>
  </si>
  <si>
    <t>Certificación sanitaria</t>
  </si>
  <si>
    <t>“Bueno ayer, recuerde que platicábamos sobre el tema de las inversiones que se están generando aquí en el Estado de Hidalgo. Y específicamente aquí en Tulancingo platicábamos que se va a instalar un Home Depot. Usted tenía algunas dudas ahí al respecto y pues bueno, también por ahí las autoridades señalaron que esta nueva tienda Home Home Depot, perdón, que se va a instalar aquí en Tulancingo tiene una inversión de 397 millones de pesos y va a generar alrededor de 500 empleos. Y bueno, así lo como le digo, así lo anunciaron las autoridades, en específico el Titular de Desarrollo Económico de Hidalgo, Carlos Henkel Escorza. El proyecto se suma a la llegada de nuevas empresas del municipio y aprovecha su ubicación, conectividad carretera y actividad comercial”. La presidenta municipal, Lorena García Cázares, señaló que la instalación de la compañía refleja las condiciones que ofrece Tulancingo para atraer capital privado. Destacó que las inversiones deben acompañarse de infraestructura y una planeación que permita atender el crecimiento de la población. Entre los proyectos que contribuirán a esa expansión se encuentran la construcción de alrededor de 5 mil Viviendas del Bienestar y la ampliación a cuatro carriles del tramo carretero Piula-Tulancingo. García Cázares sostuvo que el crecimiento económico del municipio no debe depender únicamente de grandes empresas, por lo que el gobierno local también mantiene programas de capacitación, acompañamiento y formalización dirigidos a micro, pequeñas y medianas empresas. Con la inversión de Home Depot, Tulancingo incorpora un nuevo proyecto comercial de capital privado que aportará empleos y actividad económica al municipio. “son algunas de las primeras revelaciones que se hacen sobre la instalación de este de este Home Depot aquí en Tulancingo como parte de las inversiones privadas aquí a nuestro a nuestro municipio de Tulancingo”.</t>
  </si>
  <si>
    <t>Arranca fase intensiva del Consejo Técnico Escolar rumbo al nuevo ciclo escolar</t>
  </si>
  <si>
    <t>Consejo Técnico</t>
  </si>
  <si>
    <t>Con una inversión de más de 1 millón 242 mil pesos, el presidente municipal de Cuautepec de Hinojosa, Jorge Hernández Araus, inauguró la pavimentación hidráulica del camino de acceso a la localidad de Cebaditas, una obra que mejora la movilidad y brinda mayor seguridad a quienes transitan diariamente por esta vía. Los trabajos incluyeron 734.86 metros cuadrados de pavimento de concreto hidráulico, además de 235.36 metros lineales de guarniciones y la aplicación de pintura de tránsito. Durante la inauguración, Jorge Hernández Araus destacó que la transformación de Cuautepec se impulsa desde las comunidades, mediante el trabajo conjunto entre el gobierno municipal y la ciudadanía. Con esta obra, Cebaditas cuenta ahora con un acceso más digno, seguro y funcional para sus habitantes.</t>
  </si>
  <si>
    <t>Pavimentación hidráulica</t>
  </si>
  <si>
    <t>El Gobierno del Estado de Hidalgo, en coordinación con autoridades federales y municipales, evalúa predios en siete municipios para el programa «Vivienda para el Bienestar». Miguel Ángel Tello Vargas, titular de la Unidad de Planeación y Prospectiva, detalló que se realizan análisis técnicos y jurídicos sobre servicios básicos, accesibilidad y certeza legal para garantizar viviendas dignas y seguras a familias de bajos ingresos.</t>
  </si>
  <si>
    <t>Plan Nacional De Vivienda</t>
  </si>
  <si>
    <t>El titular de la Secretaría de Educación Pública de Hidalgo, Natividad Castrejón Valdés, informó que el 31 de agosto inicia el ciclo escolar 2026-2027 con una matrícula estimada de entre 630 000 y 650 000 alumnos de educación básica. Aclaró que las cuotas escolares no son obligatorias para la inscripción y dependen de acuerdos entre padres de familia. Asimismo, anunció la entrega de 141 plazas docentes y 3800 cambios de adscripción.</t>
  </si>
  <si>
    <t>SSPH desarticula dos presuntos puntos de venta de droga en Mineral del Monte</t>
  </si>
  <si>
    <t>Asegura SSPH a cuatro personas relacionadas con robos a negocios en Mineral de la Reforma</t>
  </si>
  <si>
    <t>Con estrategia de seguridad, Hidalgo no baja la guardia: Julio Menchaca.</t>
  </si>
  <si>
    <t>Hidalgo, potencia en marcha; alcanza más de 147.6 mil millones de pesos en inversiones.</t>
  </si>
  <si>
    <t>El día de ayer se dio a conocer esta información en donde Hidalgo, que es una potencia en marcha, alcanza más de 147.6 mil millones de pesos en inversiones. En cuatro años, el actual gobierno ha captado más inversiones privadas que las cuatro administraciones anteriores juntas. Estamos hablando de que en cuatro años se ha logrado rebasar lo que se hizo en 24 años. En cuatro de 24 en estos cuatro años. El mandatario hidalguense Julio Menchaca Salazar presentó 10 nuevos proyectos que se suman a los 120 anunciados en lo que va de su gestión, comentó locutor David Cárdenas.</t>
  </si>
  <si>
    <t>Como parte de la agenda de trabajo de este día, se anunció la continuidad del programa "Rutas de la Transformación para la Reconstrucción" en la Sierra Hidalguense. A partir de las 10:45 horas, la jornada contempla actividades en la localidad de La Galera de Ixtlahuaco, perteneciente al municipio de Lolotla. Este programa incluye la entrega de apoyos sociales directos, así como la supervisión, entrega y anuncio de nuevas obras públicas destinadas a atender las necesidades de la región.</t>
  </si>
  <si>
    <t>Rutas de la Reconstrucción</t>
  </si>
  <si>
    <t>Casa de la Niña del DIF Hidalgo conmemora 22 años de acompañamiento y construcción de nuevos sueños</t>
  </si>
  <si>
    <t>Casa de la Niña</t>
  </si>
  <si>
    <t>Trabajo coordinado asegura que predios donde se construye vivienda sean los más aptos: Miguel Tello</t>
  </si>
  <si>
    <t>Jesús Riveros da lectura a comentario de radioescucha que pregunta, a dónde puede reportar a los conductores de las colectivas que van de Singuilucan a Pachuca y de Singuilucan a Tulancingo, van conduciendo utilizando el celular, pide que recuerden que no van solos, que llevan pasaje, ojalá les prohíban el celular para que no arriesguen la vida de las personas.</t>
  </si>
  <si>
    <t>Hidalgo, potencia en marcha; alcanza más de 147.6 mil millones de pesos en inversiones</t>
  </si>
  <si>
    <t>Tras recibir un reporte de emergencia al 911, elementos de la Policía Preventiva y la Unidad K9 de Pachuca, en coordinación con la Dirección General de Protección Civil municipal, la Policía Estatal y guardabosques, desplegaron un operativo conjunto de búsqueda para localizar a cuatro personas extraviadas en la zona boscosa del Valle de los Enamorados. (Sobre esto, ya le comenté hace unos momentos que fue parte del resumen que se analizó en el marco de la reunión semanal del Gabinete de Seguridad. Le sigo platicando detalles al respecto) comenta Juan Carlos Santamaría. De acuerdo con el informe de los familiares, los excursionistas ingresaron al área montañosa alrededor de las 15:30 horas, perdiendo contacto con ellos posteriormente. Ante la alerta, las autoridades activaron un despliegue operativo integrado por nueve elementos, cinco unidades y el binomio canino Alfa por parte de la Secretaría de Seguridad Pública de Pachuca, sumados a siete efectivos y cuatro unidades de Protección Civil, con el respaldo de la policía estatal y tres guardabosques. Luego de efectuar un exhaustivo recorrido a pie tierra que abarcó una circunferencia aproximada de 10 kilómetros, los cuerpos de rescate lograron ubicar a las cuatro personas: un joven de 18 años (identificado con las iniciales E. E. L.) y tres menores de 11, 13 y 14 años de edad. Tras ser valorados en el sitio por paramédicos de Protección Civil, se determinó que se encontraban en buen estado de salud y no requerían traslado a un hospital, por lo que se procedió a su reencuentro y entrega inmediata con sus familiares.</t>
  </si>
  <si>
    <t>La Secretaría de Seguridad Pública, Tránsito y Vialidad de Pachuca dio a conocer que, en lo que va del año (de enero a agosto), ha otorgado un total de 1,638 atenciones y auxilios viales a automovilistas en la capital hidalguense. El objetivo primordial de estas acciones es garantizar una movilidad segura y asistir oportunamente a los conductores que enfrenten percances mecánicos o emergencias en las principales arterias de la ciudad.Para llevar a cabo este despliegue, el gobierno municipal implementó dos modalidades operativas: Recorridos de prevención e intervención inmediata: A través de patrullajes continuos, el personal operativo brindó 1,211 auxilios directos en la vía pública; Atención a llamadas ciudadanas: Se canalizaron 427 atenciones a través de reportes recibidos en el Centro de Cómputo, Control, Comando y Comunicaciones (C4) de Pachuca. Las autoridades municipales informaron que este dispositivo se mantendrá de forma estratégica en la capital para reducir los tiempos de respuesta ante cualquier eventualidad y consolidar una policía de proximidad al servicio de la ciudadanía.</t>
  </si>
  <si>
    <t>Auxilio vial</t>
  </si>
  <si>
    <t>Juan Carlos Peña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</si>
</sst>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9" tableType="queryTable" totalsRowShown="0">
  <autoFilter ref="A1:M12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9"/>
  <sheetViews>
    <sheetView tabSelected="1" workbookViewId="0"/>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9"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46258</v>
      </c>
      <c r="B2" s="1" t="str">
        <f ca="1">IF(Información1[[#This Row],[Fecha]]='Ajuste de fechas'!$A$2,"Día actual","Día anterior")</f>
        <v>Día anterior</v>
      </c>
      <c r="C2" t="s">
        <v>49</v>
      </c>
      <c r="D2" t="s">
        <v>54</v>
      </c>
      <c r="E2" t="s">
        <v>99</v>
      </c>
      <c r="F2" t="s">
        <v>19</v>
      </c>
      <c r="G2" t="s">
        <v>100</v>
      </c>
      <c r="H2" t="s">
        <v>11</v>
      </c>
      <c r="I2" t="s">
        <v>25</v>
      </c>
      <c r="J2" t="s">
        <v>43</v>
      </c>
      <c r="K2" t="s">
        <v>50</v>
      </c>
      <c r="L2" t="s">
        <v>40</v>
      </c>
      <c r="M2">
        <v>1</v>
      </c>
    </row>
    <row r="3" spans="1:13" x14ac:dyDescent="0.25">
      <c r="A3" s="2">
        <v>46258</v>
      </c>
      <c r="B3" s="1" t="str">
        <f ca="1">IF(Información1[[#This Row],[Fecha]]='Ajuste de fechas'!$A$2,"Día actual","Día anterior")</f>
        <v>Día anterior</v>
      </c>
      <c r="C3" t="s">
        <v>49</v>
      </c>
      <c r="D3" t="s">
        <v>54</v>
      </c>
      <c r="E3" t="s">
        <v>101</v>
      </c>
      <c r="F3" t="s">
        <v>21</v>
      </c>
      <c r="G3" t="s">
        <v>97</v>
      </c>
      <c r="H3" t="s">
        <v>11</v>
      </c>
      <c r="I3" t="s">
        <v>7</v>
      </c>
      <c r="J3" t="s">
        <v>39</v>
      </c>
      <c r="K3" t="s">
        <v>50</v>
      </c>
      <c r="L3" t="s">
        <v>40</v>
      </c>
      <c r="M3">
        <v>1</v>
      </c>
    </row>
    <row r="4" spans="1:13" x14ac:dyDescent="0.25">
      <c r="A4" s="2">
        <v>46258</v>
      </c>
      <c r="B4" s="1" t="str">
        <f ca="1">IF(Información1[[#This Row],[Fecha]]='Ajuste de fechas'!$A$2,"Día actual","Día anterior")</f>
        <v>Día anterior</v>
      </c>
      <c r="C4" t="s">
        <v>49</v>
      </c>
      <c r="D4" t="s">
        <v>54</v>
      </c>
      <c r="E4" t="s">
        <v>102</v>
      </c>
      <c r="F4" t="s">
        <v>26</v>
      </c>
      <c r="G4" t="s">
        <v>103</v>
      </c>
      <c r="H4" t="s">
        <v>11</v>
      </c>
      <c r="I4" t="s">
        <v>7</v>
      </c>
      <c r="J4" t="s">
        <v>39</v>
      </c>
      <c r="K4" t="s">
        <v>50</v>
      </c>
      <c r="L4" t="s">
        <v>42</v>
      </c>
      <c r="M4">
        <v>1</v>
      </c>
    </row>
    <row r="5" spans="1:13" x14ac:dyDescent="0.25">
      <c r="A5" s="2">
        <v>46258</v>
      </c>
      <c r="B5" s="1" t="str">
        <f ca="1">IF(Información1[[#This Row],[Fecha]]='Ajuste de fechas'!$A$2,"Día actual","Día anterior")</f>
        <v>Día anterior</v>
      </c>
      <c r="C5" t="s">
        <v>49</v>
      </c>
      <c r="D5" t="s">
        <v>54</v>
      </c>
      <c r="E5" t="s">
        <v>104</v>
      </c>
      <c r="F5" t="s">
        <v>19</v>
      </c>
      <c r="G5" t="s">
        <v>105</v>
      </c>
      <c r="H5" t="s">
        <v>11</v>
      </c>
      <c r="I5" t="s">
        <v>7</v>
      </c>
      <c r="J5" t="s">
        <v>43</v>
      </c>
      <c r="K5" t="s">
        <v>50</v>
      </c>
      <c r="L5" t="s">
        <v>40</v>
      </c>
      <c r="M5">
        <v>1</v>
      </c>
    </row>
    <row r="6" spans="1:13" x14ac:dyDescent="0.25">
      <c r="A6" s="2">
        <v>46258</v>
      </c>
      <c r="B6" s="1" t="str">
        <f ca="1">IF(Información1[[#This Row],[Fecha]]='Ajuste de fechas'!$A$2,"Día actual","Día anterior")</f>
        <v>Día anterior</v>
      </c>
      <c r="C6" t="s">
        <v>49</v>
      </c>
      <c r="D6" t="s">
        <v>54</v>
      </c>
      <c r="E6" t="s">
        <v>106</v>
      </c>
      <c r="F6" t="s">
        <v>21</v>
      </c>
      <c r="G6" t="s">
        <v>107</v>
      </c>
      <c r="H6" t="s">
        <v>11</v>
      </c>
      <c r="I6" t="s">
        <v>7</v>
      </c>
      <c r="J6" t="s">
        <v>39</v>
      </c>
      <c r="K6" t="s">
        <v>50</v>
      </c>
      <c r="L6" t="s">
        <v>42</v>
      </c>
      <c r="M6">
        <v>1</v>
      </c>
    </row>
    <row r="7" spans="1:13" x14ac:dyDescent="0.25">
      <c r="A7" s="2">
        <v>46258</v>
      </c>
      <c r="B7" s="1" t="str">
        <f ca="1">IF(Información1[[#This Row],[Fecha]]='Ajuste de fechas'!$A$2,"Día actual","Día anterior")</f>
        <v>Día anterior</v>
      </c>
      <c r="C7" t="s">
        <v>49</v>
      </c>
      <c r="D7" t="s">
        <v>54</v>
      </c>
      <c r="E7" t="s">
        <v>108</v>
      </c>
      <c r="F7" t="s">
        <v>26</v>
      </c>
      <c r="G7" t="s">
        <v>109</v>
      </c>
      <c r="H7" t="s">
        <v>11</v>
      </c>
      <c r="I7" t="s">
        <v>7</v>
      </c>
      <c r="J7" t="s">
        <v>39</v>
      </c>
      <c r="K7" t="s">
        <v>50</v>
      </c>
      <c r="L7" t="s">
        <v>41</v>
      </c>
      <c r="M7">
        <v>1</v>
      </c>
    </row>
    <row r="8" spans="1:13" x14ac:dyDescent="0.25">
      <c r="A8" s="2">
        <v>46258</v>
      </c>
      <c r="B8" s="1" t="str">
        <f ca="1">IF(Información1[[#This Row],[Fecha]]='Ajuste de fechas'!$A$2,"Día actual","Día anterior")</f>
        <v>Día anterior</v>
      </c>
      <c r="C8" t="s">
        <v>49</v>
      </c>
      <c r="D8" t="s">
        <v>54</v>
      </c>
      <c r="E8" t="s">
        <v>110</v>
      </c>
      <c r="F8" t="s">
        <v>26</v>
      </c>
      <c r="G8" t="s">
        <v>111</v>
      </c>
      <c r="H8" t="s">
        <v>11</v>
      </c>
      <c r="I8" t="s">
        <v>7</v>
      </c>
      <c r="J8" t="s">
        <v>39</v>
      </c>
      <c r="K8" t="s">
        <v>50</v>
      </c>
      <c r="L8" t="s">
        <v>40</v>
      </c>
      <c r="M8">
        <v>1</v>
      </c>
    </row>
    <row r="9" spans="1:13" x14ac:dyDescent="0.25">
      <c r="A9" s="2">
        <v>46258</v>
      </c>
      <c r="B9" s="1" t="str">
        <f ca="1">IF(Información1[[#This Row],[Fecha]]='Ajuste de fechas'!$A$2,"Día actual","Día anterior")</f>
        <v>Día anterior</v>
      </c>
      <c r="C9" t="s">
        <v>49</v>
      </c>
      <c r="D9" t="s">
        <v>54</v>
      </c>
      <c r="E9" t="s">
        <v>112</v>
      </c>
      <c r="F9" t="s">
        <v>26</v>
      </c>
      <c r="G9" t="s">
        <v>111</v>
      </c>
      <c r="H9" t="s">
        <v>11</v>
      </c>
      <c r="I9" t="s">
        <v>7</v>
      </c>
      <c r="J9" t="s">
        <v>39</v>
      </c>
      <c r="K9" t="s">
        <v>50</v>
      </c>
      <c r="L9" t="s">
        <v>40</v>
      </c>
      <c r="M9">
        <v>1</v>
      </c>
    </row>
    <row r="10" spans="1:13" x14ac:dyDescent="0.25">
      <c r="A10" s="2">
        <v>46258</v>
      </c>
      <c r="B10" s="1" t="str">
        <f ca="1">IF(Información1[[#This Row],[Fecha]]='Ajuste de fechas'!$A$2,"Día actual","Día anterior")</f>
        <v>Día anterior</v>
      </c>
      <c r="C10" t="s">
        <v>80</v>
      </c>
      <c r="D10" t="s">
        <v>81</v>
      </c>
      <c r="E10" t="s">
        <v>113</v>
      </c>
      <c r="F10" t="s">
        <v>67</v>
      </c>
      <c r="G10" t="s">
        <v>114</v>
      </c>
      <c r="H10" t="s">
        <v>11</v>
      </c>
      <c r="I10" t="s">
        <v>12</v>
      </c>
      <c r="J10" t="s">
        <v>39</v>
      </c>
      <c r="K10" t="s">
        <v>56</v>
      </c>
      <c r="L10" t="s">
        <v>41</v>
      </c>
      <c r="M10">
        <v>1</v>
      </c>
    </row>
    <row r="11" spans="1:13" x14ac:dyDescent="0.25">
      <c r="A11" s="2">
        <v>46258</v>
      </c>
      <c r="B11" s="1" t="str">
        <f ca="1">IF(Información1[[#This Row],[Fecha]]='Ajuste de fechas'!$A$2,"Día actual","Día anterior")</f>
        <v>Día anterior</v>
      </c>
      <c r="C11" t="s">
        <v>80</v>
      </c>
      <c r="D11" t="s">
        <v>81</v>
      </c>
      <c r="E11" t="s">
        <v>115</v>
      </c>
      <c r="F11" t="s">
        <v>67</v>
      </c>
      <c r="G11" t="s">
        <v>114</v>
      </c>
      <c r="H11" t="s">
        <v>11</v>
      </c>
      <c r="I11" t="s">
        <v>7</v>
      </c>
      <c r="J11" t="s">
        <v>39</v>
      </c>
      <c r="K11" t="s">
        <v>56</v>
      </c>
      <c r="L11" t="s">
        <v>40</v>
      </c>
      <c r="M11">
        <v>1</v>
      </c>
    </row>
    <row r="12" spans="1:13" x14ac:dyDescent="0.25">
      <c r="A12" s="2">
        <v>46258</v>
      </c>
      <c r="B12" s="1" t="str">
        <f ca="1">IF(Información1[[#This Row],[Fecha]]='Ajuste de fechas'!$A$2,"Día actual","Día anterior")</f>
        <v>Día anterior</v>
      </c>
      <c r="C12" t="s">
        <v>80</v>
      </c>
      <c r="D12" t="s">
        <v>81</v>
      </c>
      <c r="E12" t="s">
        <v>116</v>
      </c>
      <c r="F12" t="s">
        <v>75</v>
      </c>
      <c r="G12" t="s">
        <v>117</v>
      </c>
      <c r="H12" t="s">
        <v>11</v>
      </c>
      <c r="I12" t="s">
        <v>12</v>
      </c>
      <c r="J12" t="s">
        <v>39</v>
      </c>
      <c r="K12" t="s">
        <v>56</v>
      </c>
      <c r="L12" t="s">
        <v>41</v>
      </c>
      <c r="M12">
        <v>1</v>
      </c>
    </row>
    <row r="13" spans="1:13" x14ac:dyDescent="0.25">
      <c r="A13" s="2">
        <v>46258</v>
      </c>
      <c r="B13" s="1" t="str">
        <f ca="1">IF(Información1[[#This Row],[Fecha]]='Ajuste de fechas'!$A$2,"Día actual","Día anterior")</f>
        <v>Día anterior</v>
      </c>
      <c r="C13" t="s">
        <v>80</v>
      </c>
      <c r="D13" t="s">
        <v>81</v>
      </c>
      <c r="E13" t="s">
        <v>118</v>
      </c>
      <c r="F13" t="s">
        <v>75</v>
      </c>
      <c r="G13" t="s">
        <v>117</v>
      </c>
      <c r="H13" t="s">
        <v>11</v>
      </c>
      <c r="I13" t="s">
        <v>7</v>
      </c>
      <c r="J13" t="s">
        <v>39</v>
      </c>
      <c r="K13" t="s">
        <v>56</v>
      </c>
      <c r="L13" t="s">
        <v>40</v>
      </c>
      <c r="M13">
        <v>1</v>
      </c>
    </row>
    <row r="14" spans="1:13" x14ac:dyDescent="0.25">
      <c r="A14" s="2">
        <v>46258</v>
      </c>
      <c r="B14" s="1" t="str">
        <f ca="1">IF(Información1[[#This Row],[Fecha]]='Ajuste de fechas'!$A$2,"Día actual","Día anterior")</f>
        <v>Día anterior</v>
      </c>
      <c r="C14" t="s">
        <v>80</v>
      </c>
      <c r="D14" t="s">
        <v>81</v>
      </c>
      <c r="E14" t="s">
        <v>119</v>
      </c>
      <c r="F14" t="s">
        <v>69</v>
      </c>
      <c r="G14" t="s">
        <v>68</v>
      </c>
      <c r="H14" t="s">
        <v>11</v>
      </c>
      <c r="I14" t="s">
        <v>7</v>
      </c>
      <c r="J14" t="s">
        <v>39</v>
      </c>
      <c r="K14" t="s">
        <v>56</v>
      </c>
      <c r="L14" t="s">
        <v>40</v>
      </c>
      <c r="M14">
        <v>1</v>
      </c>
    </row>
    <row r="15" spans="1:13" x14ac:dyDescent="0.25">
      <c r="A15" s="2">
        <v>46258</v>
      </c>
      <c r="B15" s="1" t="str">
        <f ca="1">IF(Información1[[#This Row],[Fecha]]='Ajuste de fechas'!$A$2,"Día actual","Día anterior")</f>
        <v>Día anterior</v>
      </c>
      <c r="C15" t="s">
        <v>49</v>
      </c>
      <c r="D15" t="s">
        <v>51</v>
      </c>
      <c r="E15" t="s">
        <v>120</v>
      </c>
      <c r="F15" t="s">
        <v>21</v>
      </c>
      <c r="G15" t="s">
        <v>121</v>
      </c>
      <c r="H15" t="s">
        <v>11</v>
      </c>
      <c r="I15" t="s">
        <v>7</v>
      </c>
      <c r="J15" t="s">
        <v>39</v>
      </c>
      <c r="K15" t="s">
        <v>50</v>
      </c>
      <c r="L15" t="s">
        <v>42</v>
      </c>
      <c r="M15">
        <v>1</v>
      </c>
    </row>
    <row r="16" spans="1:13" x14ac:dyDescent="0.25">
      <c r="A16" s="2">
        <v>46258</v>
      </c>
      <c r="B16" s="1" t="str">
        <f ca="1">IF(Información1[[#This Row],[Fecha]]='Ajuste de fechas'!$A$2,"Día actual","Día anterior")</f>
        <v>Día anterior</v>
      </c>
      <c r="C16" t="s">
        <v>49</v>
      </c>
      <c r="D16" t="s">
        <v>51</v>
      </c>
      <c r="E16" t="s">
        <v>122</v>
      </c>
      <c r="F16" t="s">
        <v>19</v>
      </c>
      <c r="G16" t="s">
        <v>123</v>
      </c>
      <c r="H16" t="s">
        <v>11</v>
      </c>
      <c r="I16" t="s">
        <v>7</v>
      </c>
      <c r="J16" t="s">
        <v>43</v>
      </c>
      <c r="K16" t="s">
        <v>50</v>
      </c>
      <c r="L16" t="s">
        <v>40</v>
      </c>
      <c r="M16">
        <v>1</v>
      </c>
    </row>
    <row r="17" spans="1:13" x14ac:dyDescent="0.25">
      <c r="A17" s="2">
        <v>46258</v>
      </c>
      <c r="B17" s="1" t="str">
        <f ca="1">IF(Información1[[#This Row],[Fecha]]='Ajuste de fechas'!$A$2,"Día actual","Día anterior")</f>
        <v>Día anterior</v>
      </c>
      <c r="C17" t="s">
        <v>49</v>
      </c>
      <c r="D17" t="s">
        <v>51</v>
      </c>
      <c r="E17" t="s">
        <v>124</v>
      </c>
      <c r="F17" t="s">
        <v>75</v>
      </c>
      <c r="G17" t="s">
        <v>117</v>
      </c>
      <c r="H17" t="s">
        <v>11</v>
      </c>
      <c r="I17" t="s">
        <v>7</v>
      </c>
      <c r="J17" t="s">
        <v>39</v>
      </c>
      <c r="K17" t="s">
        <v>48</v>
      </c>
      <c r="L17" t="s">
        <v>42</v>
      </c>
      <c r="M17">
        <v>1</v>
      </c>
    </row>
    <row r="18" spans="1:13" x14ac:dyDescent="0.25">
      <c r="A18" s="2">
        <v>46258</v>
      </c>
      <c r="B18" s="1" t="str">
        <f ca="1">IF(Información1[[#This Row],[Fecha]]='Ajuste de fechas'!$A$2,"Día actual","Día anterior")</f>
        <v>Día anterior</v>
      </c>
      <c r="C18" t="s">
        <v>49</v>
      </c>
      <c r="D18" t="s">
        <v>51</v>
      </c>
      <c r="E18" t="s">
        <v>125</v>
      </c>
      <c r="F18" t="s">
        <v>69</v>
      </c>
      <c r="G18" t="s">
        <v>68</v>
      </c>
      <c r="H18" t="s">
        <v>11</v>
      </c>
      <c r="I18" t="s">
        <v>7</v>
      </c>
      <c r="J18" t="s">
        <v>39</v>
      </c>
      <c r="K18" t="s">
        <v>48</v>
      </c>
      <c r="L18" t="s">
        <v>42</v>
      </c>
      <c r="M18">
        <v>1</v>
      </c>
    </row>
    <row r="19" spans="1:13" x14ac:dyDescent="0.25">
      <c r="A19" s="2">
        <v>46258</v>
      </c>
      <c r="B19" s="1" t="str">
        <f ca="1">IF(Información1[[#This Row],[Fecha]]='Ajuste de fechas'!$A$2,"Día actual","Día anterior")</f>
        <v>Día anterior</v>
      </c>
      <c r="C19" t="s">
        <v>49</v>
      </c>
      <c r="D19" t="s">
        <v>51</v>
      </c>
      <c r="E19" t="s">
        <v>126</v>
      </c>
      <c r="F19" t="s">
        <v>24</v>
      </c>
      <c r="G19" t="s">
        <v>127</v>
      </c>
      <c r="H19" t="s">
        <v>11</v>
      </c>
      <c r="I19" t="s">
        <v>7</v>
      </c>
      <c r="J19" t="s">
        <v>24</v>
      </c>
      <c r="K19" t="s">
        <v>48</v>
      </c>
      <c r="L19" t="s">
        <v>59</v>
      </c>
      <c r="M19">
        <v>1</v>
      </c>
    </row>
    <row r="20" spans="1:13" x14ac:dyDescent="0.25">
      <c r="A20" s="2">
        <v>46258</v>
      </c>
      <c r="B20" s="1" t="str">
        <f ca="1">IF(Información1[[#This Row],[Fecha]]='Ajuste de fechas'!$A$2,"Día actual","Día anterior")</f>
        <v>Día anterior</v>
      </c>
      <c r="C20" t="s">
        <v>49</v>
      </c>
      <c r="D20" t="s">
        <v>51</v>
      </c>
      <c r="E20" t="s">
        <v>128</v>
      </c>
      <c r="F20" t="s">
        <v>23</v>
      </c>
      <c r="G20" t="s">
        <v>129</v>
      </c>
      <c r="H20" t="s">
        <v>11</v>
      </c>
      <c r="I20" t="s">
        <v>7</v>
      </c>
      <c r="J20" t="s">
        <v>39</v>
      </c>
      <c r="K20" t="s">
        <v>48</v>
      </c>
      <c r="L20" t="s">
        <v>42</v>
      </c>
      <c r="M20">
        <v>1</v>
      </c>
    </row>
    <row r="21" spans="1:13" x14ac:dyDescent="0.25">
      <c r="A21" s="2">
        <v>46258</v>
      </c>
      <c r="B21" s="1" t="str">
        <f ca="1">IF(Información1[[#This Row],[Fecha]]='Ajuste de fechas'!$A$2,"Día actual","Día anterior")</f>
        <v>Día anterior</v>
      </c>
      <c r="C21" t="s">
        <v>49</v>
      </c>
      <c r="D21" t="s">
        <v>51</v>
      </c>
      <c r="E21" t="s">
        <v>130</v>
      </c>
      <c r="F21" t="s">
        <v>22</v>
      </c>
      <c r="G21" t="s">
        <v>88</v>
      </c>
      <c r="H21" t="s">
        <v>11</v>
      </c>
      <c r="I21" t="s">
        <v>7</v>
      </c>
      <c r="J21" t="s">
        <v>44</v>
      </c>
      <c r="K21" t="s">
        <v>50</v>
      </c>
      <c r="L21" t="s">
        <v>40</v>
      </c>
      <c r="M21">
        <v>1</v>
      </c>
    </row>
    <row r="22" spans="1:13" x14ac:dyDescent="0.25">
      <c r="A22" s="2">
        <v>46258</v>
      </c>
      <c r="B22" s="1" t="str">
        <f ca="1">IF(Información1[[#This Row],[Fecha]]='Ajuste de fechas'!$A$2,"Día actual","Día anterior")</f>
        <v>Día anterior</v>
      </c>
      <c r="C22" t="s">
        <v>49</v>
      </c>
      <c r="D22" t="s">
        <v>51</v>
      </c>
      <c r="E22" t="s">
        <v>131</v>
      </c>
      <c r="F22" t="s">
        <v>26</v>
      </c>
      <c r="G22" t="s">
        <v>111</v>
      </c>
      <c r="H22" t="s">
        <v>11</v>
      </c>
      <c r="I22" t="s">
        <v>7</v>
      </c>
      <c r="J22" t="s">
        <v>39</v>
      </c>
      <c r="K22" t="s">
        <v>48</v>
      </c>
      <c r="L22" t="s">
        <v>40</v>
      </c>
      <c r="M22">
        <v>1</v>
      </c>
    </row>
    <row r="23" spans="1:13" x14ac:dyDescent="0.25">
      <c r="A23" s="2">
        <v>46258</v>
      </c>
      <c r="B23" s="1" t="str">
        <f ca="1">IF(Información1[[#This Row],[Fecha]]='Ajuste de fechas'!$A$2,"Día actual","Día anterior")</f>
        <v>Día anterior</v>
      </c>
      <c r="C23" t="s">
        <v>29</v>
      </c>
      <c r="D23" t="s">
        <v>30</v>
      </c>
      <c r="E23" t="s">
        <v>132</v>
      </c>
      <c r="F23" t="s">
        <v>26</v>
      </c>
      <c r="G23" t="s">
        <v>133</v>
      </c>
      <c r="H23" t="s">
        <v>55</v>
      </c>
      <c r="I23" t="s">
        <v>12</v>
      </c>
      <c r="J23" t="s">
        <v>39</v>
      </c>
      <c r="K23" t="s">
        <v>27</v>
      </c>
      <c r="L23" t="s">
        <v>40</v>
      </c>
      <c r="M23">
        <v>1</v>
      </c>
    </row>
    <row r="24" spans="1:13" x14ac:dyDescent="0.25">
      <c r="A24" s="2">
        <v>46258</v>
      </c>
      <c r="B24" s="1" t="str">
        <f ca="1">IF(Información1[[#This Row],[Fecha]]='Ajuste de fechas'!$A$2,"Día actual","Día anterior")</f>
        <v>Día anterior</v>
      </c>
      <c r="C24" t="s">
        <v>29</v>
      </c>
      <c r="D24" t="s">
        <v>30</v>
      </c>
      <c r="E24" t="s">
        <v>134</v>
      </c>
      <c r="F24" t="s">
        <v>26</v>
      </c>
      <c r="G24" t="s">
        <v>133</v>
      </c>
      <c r="H24" t="s">
        <v>55</v>
      </c>
      <c r="I24" t="s">
        <v>12</v>
      </c>
      <c r="J24" t="s">
        <v>39</v>
      </c>
      <c r="K24" t="s">
        <v>27</v>
      </c>
      <c r="L24" t="s">
        <v>40</v>
      </c>
      <c r="M24">
        <v>1</v>
      </c>
    </row>
    <row r="25" spans="1:13" x14ac:dyDescent="0.25">
      <c r="A25" s="2">
        <v>46258</v>
      </c>
      <c r="B25" s="1" t="str">
        <f ca="1">IF(Información1[[#This Row],[Fecha]]='Ajuste de fechas'!$A$2,"Día actual","Día anterior")</f>
        <v>Día anterior</v>
      </c>
      <c r="C25" t="s">
        <v>29</v>
      </c>
      <c r="D25" t="s">
        <v>30</v>
      </c>
      <c r="E25" t="s">
        <v>135</v>
      </c>
      <c r="F25" t="s">
        <v>70</v>
      </c>
      <c r="G25" t="s">
        <v>136</v>
      </c>
      <c r="H25" t="s">
        <v>55</v>
      </c>
      <c r="I25" t="s">
        <v>7</v>
      </c>
      <c r="J25" t="s">
        <v>39</v>
      </c>
      <c r="K25" t="s">
        <v>74</v>
      </c>
      <c r="L25" t="s">
        <v>40</v>
      </c>
      <c r="M25">
        <v>1</v>
      </c>
    </row>
    <row r="26" spans="1:13" x14ac:dyDescent="0.25">
      <c r="A26" s="2">
        <v>46258</v>
      </c>
      <c r="B26" s="1" t="str">
        <f ca="1">IF(Información1[[#This Row],[Fecha]]='Ajuste de fechas'!$A$2,"Día actual","Día anterior")</f>
        <v>Día anterior</v>
      </c>
      <c r="C26" t="s">
        <v>29</v>
      </c>
      <c r="D26" t="s">
        <v>30</v>
      </c>
      <c r="E26" t="s">
        <v>137</v>
      </c>
      <c r="F26" t="s">
        <v>15</v>
      </c>
      <c r="G26" t="s">
        <v>72</v>
      </c>
      <c r="H26" t="s">
        <v>55</v>
      </c>
      <c r="I26" t="s">
        <v>12</v>
      </c>
      <c r="J26" t="s">
        <v>39</v>
      </c>
      <c r="K26" t="s">
        <v>27</v>
      </c>
      <c r="L26" t="s">
        <v>40</v>
      </c>
      <c r="M26">
        <v>1</v>
      </c>
    </row>
    <row r="27" spans="1:13" x14ac:dyDescent="0.25">
      <c r="A27" s="2">
        <v>46258</v>
      </c>
      <c r="B27" s="1" t="str">
        <f ca="1">IF(Información1[[#This Row],[Fecha]]='Ajuste de fechas'!$A$2,"Día actual","Día anterior")</f>
        <v>Día anterior</v>
      </c>
      <c r="C27" t="s">
        <v>29</v>
      </c>
      <c r="D27" t="s">
        <v>30</v>
      </c>
      <c r="E27" t="s">
        <v>138</v>
      </c>
      <c r="F27" t="s">
        <v>23</v>
      </c>
      <c r="G27" t="s">
        <v>93</v>
      </c>
      <c r="H27" t="s">
        <v>55</v>
      </c>
      <c r="I27" t="s">
        <v>12</v>
      </c>
      <c r="J27" t="s">
        <v>39</v>
      </c>
      <c r="K27" t="s">
        <v>74</v>
      </c>
      <c r="L27" t="s">
        <v>40</v>
      </c>
      <c r="M27">
        <v>1</v>
      </c>
    </row>
    <row r="28" spans="1:13" x14ac:dyDescent="0.25">
      <c r="A28" s="2">
        <v>46258</v>
      </c>
      <c r="B28" s="1" t="str">
        <f ca="1">IF(Información1[[#This Row],[Fecha]]='Ajuste de fechas'!$A$2,"Día actual","Día anterior")</f>
        <v>Día anterior</v>
      </c>
      <c r="C28" t="s">
        <v>86</v>
      </c>
      <c r="D28" t="s">
        <v>87</v>
      </c>
      <c r="E28" t="s">
        <v>139</v>
      </c>
      <c r="F28" t="s">
        <v>19</v>
      </c>
      <c r="G28" t="s">
        <v>140</v>
      </c>
      <c r="H28" t="s">
        <v>11</v>
      </c>
      <c r="I28" t="s">
        <v>7</v>
      </c>
      <c r="J28" t="s">
        <v>43</v>
      </c>
      <c r="K28" t="s">
        <v>89</v>
      </c>
      <c r="L28" t="s">
        <v>40</v>
      </c>
      <c r="M28">
        <v>1</v>
      </c>
    </row>
    <row r="29" spans="1:13" x14ac:dyDescent="0.25">
      <c r="A29" s="2">
        <v>46258</v>
      </c>
      <c r="B29" s="1" t="str">
        <f ca="1">IF(Información1[[#This Row],[Fecha]]='Ajuste de fechas'!$A$2,"Día actual","Día anterior")</f>
        <v>Día anterior</v>
      </c>
      <c r="C29" t="s">
        <v>86</v>
      </c>
      <c r="D29" t="s">
        <v>87</v>
      </c>
      <c r="E29" t="s">
        <v>141</v>
      </c>
      <c r="F29" t="s">
        <v>23</v>
      </c>
      <c r="G29" t="s">
        <v>142</v>
      </c>
      <c r="H29" t="s">
        <v>11</v>
      </c>
      <c r="I29" t="s">
        <v>7</v>
      </c>
      <c r="J29" t="s">
        <v>39</v>
      </c>
      <c r="K29" t="s">
        <v>89</v>
      </c>
      <c r="L29" t="s">
        <v>40</v>
      </c>
      <c r="M29">
        <v>1</v>
      </c>
    </row>
    <row r="30" spans="1:13" x14ac:dyDescent="0.25">
      <c r="A30" s="2">
        <v>46258</v>
      </c>
      <c r="B30" s="1" t="str">
        <f ca="1">IF(Información1[[#This Row],[Fecha]]='Ajuste de fechas'!$A$2,"Día actual","Día anterior")</f>
        <v>Día anterior</v>
      </c>
      <c r="C30" t="s">
        <v>86</v>
      </c>
      <c r="D30" t="s">
        <v>87</v>
      </c>
      <c r="E30" t="s">
        <v>143</v>
      </c>
      <c r="F30" t="s">
        <v>70</v>
      </c>
      <c r="G30" t="s">
        <v>98</v>
      </c>
      <c r="H30" t="s">
        <v>11</v>
      </c>
      <c r="I30" t="s">
        <v>7</v>
      </c>
      <c r="J30" t="s">
        <v>39</v>
      </c>
      <c r="K30" t="s">
        <v>89</v>
      </c>
      <c r="L30" t="s">
        <v>40</v>
      </c>
      <c r="M30">
        <v>1</v>
      </c>
    </row>
    <row r="31" spans="1:13" x14ac:dyDescent="0.25">
      <c r="A31" s="2">
        <v>46258</v>
      </c>
      <c r="B31" s="1" t="str">
        <f ca="1">IF(Información1[[#This Row],[Fecha]]='Ajuste de fechas'!$A$2,"Día actual","Día anterior")</f>
        <v>Día anterior</v>
      </c>
      <c r="C31" t="s">
        <v>86</v>
      </c>
      <c r="D31" t="s">
        <v>87</v>
      </c>
      <c r="E31" t="s">
        <v>144</v>
      </c>
      <c r="F31" t="s">
        <v>67</v>
      </c>
      <c r="G31" t="s">
        <v>114</v>
      </c>
      <c r="H31" t="s">
        <v>11</v>
      </c>
      <c r="I31" t="s">
        <v>12</v>
      </c>
      <c r="J31" t="s">
        <v>39</v>
      </c>
      <c r="K31" t="s">
        <v>89</v>
      </c>
      <c r="L31" t="s">
        <v>42</v>
      </c>
      <c r="M31">
        <v>1</v>
      </c>
    </row>
    <row r="32" spans="1:13" x14ac:dyDescent="0.25">
      <c r="A32" s="2">
        <v>46258</v>
      </c>
      <c r="B32" s="1" t="str">
        <f ca="1">IF(Información1[[#This Row],[Fecha]]='Ajuste de fechas'!$A$2,"Día actual","Día anterior")</f>
        <v>Día anterior</v>
      </c>
      <c r="C32" t="s">
        <v>86</v>
      </c>
      <c r="D32" t="s">
        <v>87</v>
      </c>
      <c r="E32" t="s">
        <v>145</v>
      </c>
      <c r="F32" t="s">
        <v>67</v>
      </c>
      <c r="G32" t="s">
        <v>146</v>
      </c>
      <c r="H32" t="s">
        <v>11</v>
      </c>
      <c r="I32" t="s">
        <v>7</v>
      </c>
      <c r="J32" t="s">
        <v>39</v>
      </c>
      <c r="K32" t="s">
        <v>89</v>
      </c>
      <c r="L32" t="s">
        <v>40</v>
      </c>
      <c r="M32">
        <v>1</v>
      </c>
    </row>
    <row r="33" spans="1:13" x14ac:dyDescent="0.25">
      <c r="A33" s="2">
        <v>46258</v>
      </c>
      <c r="B33" s="1" t="str">
        <f ca="1">IF(Información1[[#This Row],[Fecha]]='Ajuste de fechas'!$A$2,"Día actual","Día anterior")</f>
        <v>Día anterior</v>
      </c>
      <c r="C33" t="s">
        <v>86</v>
      </c>
      <c r="D33" t="s">
        <v>87</v>
      </c>
      <c r="E33" t="s">
        <v>147</v>
      </c>
      <c r="F33" t="s">
        <v>19</v>
      </c>
      <c r="G33" t="s">
        <v>148</v>
      </c>
      <c r="H33" t="s">
        <v>11</v>
      </c>
      <c r="I33" t="s">
        <v>7</v>
      </c>
      <c r="J33" t="s">
        <v>43</v>
      </c>
      <c r="K33" t="s">
        <v>90</v>
      </c>
      <c r="L33" t="s">
        <v>40</v>
      </c>
      <c r="M33">
        <v>1</v>
      </c>
    </row>
    <row r="34" spans="1:13" x14ac:dyDescent="0.25">
      <c r="A34" s="2">
        <v>46258</v>
      </c>
      <c r="B34" s="1" t="str">
        <f ca="1">IF(Información1[[#This Row],[Fecha]]='Ajuste de fechas'!$A$2,"Día actual","Día anterior")</f>
        <v>Día anterior</v>
      </c>
      <c r="C34" t="s">
        <v>86</v>
      </c>
      <c r="D34" t="s">
        <v>87</v>
      </c>
      <c r="E34" t="s">
        <v>149</v>
      </c>
      <c r="F34" t="s">
        <v>64</v>
      </c>
      <c r="G34" t="s">
        <v>85</v>
      </c>
      <c r="H34" t="s">
        <v>11</v>
      </c>
      <c r="I34" t="s">
        <v>7</v>
      </c>
      <c r="J34" t="s">
        <v>39</v>
      </c>
      <c r="K34" t="s">
        <v>89</v>
      </c>
      <c r="L34" t="s">
        <v>59</v>
      </c>
      <c r="M34">
        <v>1</v>
      </c>
    </row>
    <row r="35" spans="1:13" x14ac:dyDescent="0.25">
      <c r="A35" s="2">
        <v>46258</v>
      </c>
      <c r="B35" s="1" t="str">
        <f ca="1">IF(Información1[[#This Row],[Fecha]]='Ajuste de fechas'!$A$2,"Día actual","Día anterior")</f>
        <v>Día anterior</v>
      </c>
      <c r="C35" t="s">
        <v>86</v>
      </c>
      <c r="D35" t="s">
        <v>87</v>
      </c>
      <c r="E35" t="s">
        <v>150</v>
      </c>
      <c r="F35" t="s">
        <v>19</v>
      </c>
      <c r="G35" t="s">
        <v>151</v>
      </c>
      <c r="H35" t="s">
        <v>11</v>
      </c>
      <c r="I35" t="s">
        <v>7</v>
      </c>
      <c r="J35" t="s">
        <v>43</v>
      </c>
      <c r="K35" t="s">
        <v>89</v>
      </c>
      <c r="L35" t="s">
        <v>40</v>
      </c>
      <c r="M35">
        <v>1</v>
      </c>
    </row>
    <row r="36" spans="1:13" x14ac:dyDescent="0.25">
      <c r="A36" s="2">
        <v>46258</v>
      </c>
      <c r="B36" s="1" t="str">
        <f ca="1">IF(Información1[[#This Row],[Fecha]]='Ajuste de fechas'!$A$2,"Día actual","Día anterior")</f>
        <v>Día anterior</v>
      </c>
      <c r="C36" t="s">
        <v>86</v>
      </c>
      <c r="D36" t="s">
        <v>87</v>
      </c>
      <c r="E36" t="s">
        <v>152</v>
      </c>
      <c r="F36" t="s">
        <v>19</v>
      </c>
      <c r="G36" t="s">
        <v>153</v>
      </c>
      <c r="H36" t="s">
        <v>11</v>
      </c>
      <c r="I36" t="s">
        <v>7</v>
      </c>
      <c r="J36" t="s">
        <v>43</v>
      </c>
      <c r="K36" t="s">
        <v>90</v>
      </c>
      <c r="L36" t="s">
        <v>40</v>
      </c>
      <c r="M36">
        <v>1</v>
      </c>
    </row>
    <row r="37" spans="1:13" x14ac:dyDescent="0.25">
      <c r="A37" s="2">
        <v>46258</v>
      </c>
      <c r="B37" s="1" t="str">
        <f ca="1">IF(Información1[[#This Row],[Fecha]]='Ajuste de fechas'!$A$2,"Día actual","Día anterior")</f>
        <v>Día anterior</v>
      </c>
      <c r="C37" t="s">
        <v>86</v>
      </c>
      <c r="D37" t="s">
        <v>87</v>
      </c>
      <c r="E37" t="s">
        <v>154</v>
      </c>
      <c r="F37" t="s">
        <v>70</v>
      </c>
      <c r="G37" t="s">
        <v>136</v>
      </c>
      <c r="H37" t="s">
        <v>11</v>
      </c>
      <c r="I37" t="s">
        <v>7</v>
      </c>
      <c r="J37" t="s">
        <v>39</v>
      </c>
      <c r="K37" t="s">
        <v>90</v>
      </c>
      <c r="L37" t="s">
        <v>40</v>
      </c>
      <c r="M37">
        <v>1</v>
      </c>
    </row>
    <row r="38" spans="1:13" x14ac:dyDescent="0.25">
      <c r="A38" s="2">
        <v>46258</v>
      </c>
      <c r="B38" s="1" t="str">
        <f ca="1">IF(Información1[[#This Row],[Fecha]]='Ajuste de fechas'!$A$2,"Día actual","Día anterior")</f>
        <v>Día anterior</v>
      </c>
      <c r="C38" t="s">
        <v>86</v>
      </c>
      <c r="D38" t="s">
        <v>87</v>
      </c>
      <c r="E38" t="s">
        <v>155</v>
      </c>
      <c r="F38" t="s">
        <v>70</v>
      </c>
      <c r="G38" t="s">
        <v>156</v>
      </c>
      <c r="H38" t="s">
        <v>11</v>
      </c>
      <c r="I38" t="s">
        <v>7</v>
      </c>
      <c r="J38" t="s">
        <v>39</v>
      </c>
      <c r="K38" t="s">
        <v>89</v>
      </c>
      <c r="L38" t="s">
        <v>40</v>
      </c>
      <c r="M38">
        <v>1</v>
      </c>
    </row>
    <row r="39" spans="1:13" x14ac:dyDescent="0.25">
      <c r="A39" s="2">
        <v>46258</v>
      </c>
      <c r="B39" s="1" t="str">
        <f ca="1">IF(Información1[[#This Row],[Fecha]]='Ajuste de fechas'!$A$2,"Día actual","Día anterior")</f>
        <v>Día anterior</v>
      </c>
      <c r="C39" t="s">
        <v>86</v>
      </c>
      <c r="D39" t="s">
        <v>87</v>
      </c>
      <c r="E39" t="s">
        <v>157</v>
      </c>
      <c r="F39" t="s">
        <v>21</v>
      </c>
      <c r="G39" t="s">
        <v>76</v>
      </c>
      <c r="H39" t="s">
        <v>11</v>
      </c>
      <c r="I39" t="s">
        <v>7</v>
      </c>
      <c r="J39" t="s">
        <v>39</v>
      </c>
      <c r="K39" t="s">
        <v>90</v>
      </c>
      <c r="L39" t="s">
        <v>40</v>
      </c>
      <c r="M39">
        <v>1</v>
      </c>
    </row>
    <row r="40" spans="1:13" x14ac:dyDescent="0.25">
      <c r="A40" s="2">
        <v>46258</v>
      </c>
      <c r="B40" s="1" t="str">
        <f ca="1">IF(Información1[[#This Row],[Fecha]]='Ajuste de fechas'!$A$2,"Día actual","Día anterior")</f>
        <v>Día anterior</v>
      </c>
      <c r="C40" t="s">
        <v>86</v>
      </c>
      <c r="D40" t="s">
        <v>87</v>
      </c>
      <c r="E40" t="s">
        <v>92</v>
      </c>
      <c r="F40" t="s">
        <v>19</v>
      </c>
      <c r="G40" t="s">
        <v>93</v>
      </c>
      <c r="H40" t="s">
        <v>11</v>
      </c>
      <c r="I40" t="s">
        <v>7</v>
      </c>
      <c r="J40" t="s">
        <v>43</v>
      </c>
      <c r="K40" t="s">
        <v>91</v>
      </c>
      <c r="L40" t="s">
        <v>94</v>
      </c>
      <c r="M40">
        <v>1</v>
      </c>
    </row>
    <row r="41" spans="1:13" x14ac:dyDescent="0.25">
      <c r="A41" s="2">
        <v>46258</v>
      </c>
      <c r="B41" s="1" t="str">
        <f ca="1">IF(Información1[[#This Row],[Fecha]]='Ajuste de fechas'!$A$2,"Día actual","Día anterior")</f>
        <v>Día anterior</v>
      </c>
      <c r="C41" t="s">
        <v>86</v>
      </c>
      <c r="D41" t="s">
        <v>87</v>
      </c>
      <c r="E41" t="s">
        <v>158</v>
      </c>
      <c r="F41" t="s">
        <v>19</v>
      </c>
      <c r="G41" t="s">
        <v>100</v>
      </c>
      <c r="H41" t="s">
        <v>11</v>
      </c>
      <c r="I41" t="s">
        <v>7</v>
      </c>
      <c r="J41" t="s">
        <v>43</v>
      </c>
      <c r="K41" t="s">
        <v>89</v>
      </c>
      <c r="L41" t="s">
        <v>40</v>
      </c>
      <c r="M41">
        <v>1</v>
      </c>
    </row>
    <row r="42" spans="1:13" x14ac:dyDescent="0.25">
      <c r="A42" s="2">
        <v>46258</v>
      </c>
      <c r="B42" s="1" t="str">
        <f ca="1">IF(Información1[[#This Row],[Fecha]]='Ajuste de fechas'!$A$2,"Día actual","Día anterior")</f>
        <v>Día anterior</v>
      </c>
      <c r="C42" t="s">
        <v>86</v>
      </c>
      <c r="D42" t="s">
        <v>87</v>
      </c>
      <c r="E42" t="s">
        <v>159</v>
      </c>
      <c r="F42" t="s">
        <v>26</v>
      </c>
      <c r="G42" t="s">
        <v>160</v>
      </c>
      <c r="H42" t="s">
        <v>11</v>
      </c>
      <c r="I42" t="s">
        <v>7</v>
      </c>
      <c r="J42" t="s">
        <v>39</v>
      </c>
      <c r="K42" t="s">
        <v>90</v>
      </c>
      <c r="L42" t="s">
        <v>40</v>
      </c>
      <c r="M42">
        <v>1</v>
      </c>
    </row>
    <row r="43" spans="1:13" x14ac:dyDescent="0.25">
      <c r="A43" s="2">
        <v>46258</v>
      </c>
      <c r="B43" s="1" t="str">
        <f ca="1">IF(Información1[[#This Row],[Fecha]]='Ajuste de fechas'!$A$2,"Día actual","Día anterior")</f>
        <v>Día anterior</v>
      </c>
      <c r="C43" t="s">
        <v>86</v>
      </c>
      <c r="D43" t="s">
        <v>87</v>
      </c>
      <c r="E43" t="s">
        <v>161</v>
      </c>
      <c r="F43" t="s">
        <v>19</v>
      </c>
      <c r="G43" t="s">
        <v>160</v>
      </c>
      <c r="H43" t="s">
        <v>11</v>
      </c>
      <c r="I43" t="s">
        <v>7</v>
      </c>
      <c r="J43" t="s">
        <v>43</v>
      </c>
      <c r="K43" t="s">
        <v>89</v>
      </c>
      <c r="L43" t="s">
        <v>40</v>
      </c>
      <c r="M43">
        <v>1</v>
      </c>
    </row>
    <row r="44" spans="1:13" x14ac:dyDescent="0.25">
      <c r="A44" s="2">
        <v>46258</v>
      </c>
      <c r="B44" s="1" t="str">
        <f ca="1">IF(Información1[[#This Row],[Fecha]]='Ajuste de fechas'!$A$2,"Día actual","Día anterior")</f>
        <v>Día anterior</v>
      </c>
      <c r="C44" t="s">
        <v>86</v>
      </c>
      <c r="D44" t="s">
        <v>87</v>
      </c>
      <c r="E44" t="s">
        <v>162</v>
      </c>
      <c r="F44" t="s">
        <v>15</v>
      </c>
      <c r="G44" t="s">
        <v>163</v>
      </c>
      <c r="H44" t="s">
        <v>11</v>
      </c>
      <c r="I44" t="s">
        <v>7</v>
      </c>
      <c r="J44" t="s">
        <v>39</v>
      </c>
      <c r="K44" t="s">
        <v>90</v>
      </c>
      <c r="L44" t="s">
        <v>40</v>
      </c>
      <c r="M44">
        <v>1</v>
      </c>
    </row>
    <row r="45" spans="1:13" x14ac:dyDescent="0.25">
      <c r="A45" s="2">
        <v>46258</v>
      </c>
      <c r="B45" s="1" t="str">
        <f ca="1">IF(Información1[[#This Row],[Fecha]]='Ajuste de fechas'!$A$2,"Día actual","Día anterior")</f>
        <v>Día anterior</v>
      </c>
      <c r="C45" t="s">
        <v>29</v>
      </c>
      <c r="D45" t="s">
        <v>30</v>
      </c>
      <c r="E45" t="s">
        <v>164</v>
      </c>
      <c r="F45" t="s">
        <v>26</v>
      </c>
      <c r="G45" t="s">
        <v>165</v>
      </c>
      <c r="H45" t="s">
        <v>55</v>
      </c>
      <c r="I45" t="s">
        <v>12</v>
      </c>
      <c r="J45" t="s">
        <v>39</v>
      </c>
      <c r="K45" t="s">
        <v>27</v>
      </c>
      <c r="L45" t="s">
        <v>41</v>
      </c>
      <c r="M45">
        <v>1</v>
      </c>
    </row>
    <row r="46" spans="1:13" x14ac:dyDescent="0.25">
      <c r="A46" s="2">
        <v>46258</v>
      </c>
      <c r="B46" s="1" t="str">
        <f ca="1">IF(Información1[[#This Row],[Fecha]]='Ajuste de fechas'!$A$2,"Día actual","Día anterior")</f>
        <v>Día anterior</v>
      </c>
      <c r="C46" t="s">
        <v>29</v>
      </c>
      <c r="D46" t="s">
        <v>30</v>
      </c>
      <c r="E46" t="s">
        <v>166</v>
      </c>
      <c r="F46" t="s">
        <v>21</v>
      </c>
      <c r="G46" t="s">
        <v>167</v>
      </c>
      <c r="H46" t="s">
        <v>55</v>
      </c>
      <c r="I46" t="s">
        <v>7</v>
      </c>
      <c r="J46" t="s">
        <v>39</v>
      </c>
      <c r="K46" t="s">
        <v>74</v>
      </c>
      <c r="L46" t="s">
        <v>42</v>
      </c>
      <c r="M46">
        <v>1</v>
      </c>
    </row>
    <row r="47" spans="1:13" x14ac:dyDescent="0.25">
      <c r="A47" s="2">
        <v>46258</v>
      </c>
      <c r="B47" s="1" t="str">
        <f ca="1">IF(Información1[[#This Row],[Fecha]]='Ajuste de fechas'!$A$2,"Día actual","Día anterior")</f>
        <v>Día anterior</v>
      </c>
      <c r="C47" t="s">
        <v>29</v>
      </c>
      <c r="D47" t="s">
        <v>30</v>
      </c>
      <c r="E47" t="s">
        <v>168</v>
      </c>
      <c r="F47" t="s">
        <v>26</v>
      </c>
      <c r="G47" t="s">
        <v>169</v>
      </c>
      <c r="H47" t="s">
        <v>55</v>
      </c>
      <c r="I47" t="s">
        <v>12</v>
      </c>
      <c r="J47" t="s">
        <v>39</v>
      </c>
      <c r="K47" t="s">
        <v>27</v>
      </c>
      <c r="L47" t="s">
        <v>40</v>
      </c>
      <c r="M47">
        <v>1</v>
      </c>
    </row>
    <row r="48" spans="1:13" x14ac:dyDescent="0.25">
      <c r="A48" s="2">
        <v>46258</v>
      </c>
      <c r="B48" s="1" t="str">
        <f ca="1">IF(Información1[[#This Row],[Fecha]]='Ajuste de fechas'!$A$2,"Día actual","Día anterior")</f>
        <v>Día anterior</v>
      </c>
      <c r="C48" t="s">
        <v>29</v>
      </c>
      <c r="D48" t="s">
        <v>30</v>
      </c>
      <c r="E48" t="s">
        <v>170</v>
      </c>
      <c r="F48" t="s">
        <v>26</v>
      </c>
      <c r="G48" t="s">
        <v>68</v>
      </c>
      <c r="H48" t="s">
        <v>55</v>
      </c>
      <c r="I48" t="s">
        <v>7</v>
      </c>
      <c r="J48" t="s">
        <v>39</v>
      </c>
      <c r="K48" t="s">
        <v>27</v>
      </c>
      <c r="L48" t="s">
        <v>40</v>
      </c>
      <c r="M48">
        <v>1</v>
      </c>
    </row>
    <row r="49" spans="1:13" x14ac:dyDescent="0.25">
      <c r="A49" s="2">
        <v>46258</v>
      </c>
      <c r="B49" s="1" t="str">
        <f ca="1">IF(Información1[[#This Row],[Fecha]]='Ajuste de fechas'!$A$2,"Día actual","Día anterior")</f>
        <v>Día anterior</v>
      </c>
      <c r="C49" t="s">
        <v>29</v>
      </c>
      <c r="D49" t="s">
        <v>30</v>
      </c>
      <c r="E49" t="s">
        <v>171</v>
      </c>
      <c r="F49" t="s">
        <v>172</v>
      </c>
      <c r="G49" t="s">
        <v>84</v>
      </c>
      <c r="H49" t="s">
        <v>55</v>
      </c>
      <c r="I49" t="s">
        <v>12</v>
      </c>
      <c r="J49" t="s">
        <v>39</v>
      </c>
      <c r="K49" t="s">
        <v>27</v>
      </c>
      <c r="L49" t="s">
        <v>40</v>
      </c>
      <c r="M49">
        <v>1</v>
      </c>
    </row>
    <row r="50" spans="1:13" x14ac:dyDescent="0.25">
      <c r="A50" s="2">
        <v>46258</v>
      </c>
      <c r="B50" s="1" t="str">
        <f ca="1">IF(Información1[[#This Row],[Fecha]]='Ajuste de fechas'!$A$2,"Día actual","Día anterior")</f>
        <v>Día anterior</v>
      </c>
      <c r="C50" t="s">
        <v>29</v>
      </c>
      <c r="D50" t="s">
        <v>30</v>
      </c>
      <c r="E50" t="s">
        <v>173</v>
      </c>
      <c r="F50" t="s">
        <v>21</v>
      </c>
      <c r="G50" t="s">
        <v>82</v>
      </c>
      <c r="H50" t="s">
        <v>55</v>
      </c>
      <c r="I50" t="s">
        <v>7</v>
      </c>
      <c r="J50" t="s">
        <v>39</v>
      </c>
      <c r="K50" t="s">
        <v>27</v>
      </c>
      <c r="L50" t="s">
        <v>40</v>
      </c>
      <c r="M50">
        <v>1</v>
      </c>
    </row>
    <row r="51" spans="1:13" x14ac:dyDescent="0.25">
      <c r="A51" s="2">
        <v>46258</v>
      </c>
      <c r="B51" s="1" t="str">
        <f ca="1">IF(Información1[[#This Row],[Fecha]]='Ajuste de fechas'!$A$2,"Día actual","Día anterior")</f>
        <v>Día anterior</v>
      </c>
      <c r="C51" t="s">
        <v>29</v>
      </c>
      <c r="D51" t="s">
        <v>30</v>
      </c>
      <c r="E51" t="s">
        <v>174</v>
      </c>
      <c r="F51" t="s">
        <v>26</v>
      </c>
      <c r="G51" t="s">
        <v>133</v>
      </c>
      <c r="H51" t="s">
        <v>55</v>
      </c>
      <c r="I51" t="s">
        <v>12</v>
      </c>
      <c r="J51" t="s">
        <v>39</v>
      </c>
      <c r="K51" t="s">
        <v>27</v>
      </c>
      <c r="L51" t="s">
        <v>40</v>
      </c>
      <c r="M51">
        <v>1</v>
      </c>
    </row>
    <row r="52" spans="1:13" x14ac:dyDescent="0.25">
      <c r="A52" s="2">
        <v>46258</v>
      </c>
      <c r="B52" s="1" t="str">
        <f ca="1">IF(Información1[[#This Row],[Fecha]]='Ajuste de fechas'!$A$2,"Día actual","Día anterior")</f>
        <v>Día anterior</v>
      </c>
      <c r="C52" t="s">
        <v>8</v>
      </c>
      <c r="D52" t="s">
        <v>10</v>
      </c>
      <c r="E52" t="s">
        <v>175</v>
      </c>
      <c r="F52" t="s">
        <v>19</v>
      </c>
      <c r="G52" t="s">
        <v>176</v>
      </c>
      <c r="H52" t="s">
        <v>11</v>
      </c>
      <c r="I52" t="s">
        <v>25</v>
      </c>
      <c r="J52" t="s">
        <v>43</v>
      </c>
      <c r="K52" t="s">
        <v>9</v>
      </c>
      <c r="L52" t="s">
        <v>41</v>
      </c>
      <c r="M52">
        <v>1</v>
      </c>
    </row>
    <row r="53" spans="1:13" x14ac:dyDescent="0.25">
      <c r="A53" s="2">
        <v>46258</v>
      </c>
      <c r="B53" s="1" t="str">
        <f ca="1">IF(Información1[[#This Row],[Fecha]]='Ajuste de fechas'!$A$2,"Día actual","Día anterior")</f>
        <v>Día anterior</v>
      </c>
      <c r="C53" t="s">
        <v>8</v>
      </c>
      <c r="D53" t="s">
        <v>10</v>
      </c>
      <c r="E53" t="s">
        <v>177</v>
      </c>
      <c r="F53" t="s">
        <v>24</v>
      </c>
      <c r="G53" t="s">
        <v>178</v>
      </c>
      <c r="H53" t="s">
        <v>11</v>
      </c>
      <c r="I53" t="s">
        <v>7</v>
      </c>
      <c r="J53" t="s">
        <v>24</v>
      </c>
      <c r="K53" t="s">
        <v>9</v>
      </c>
      <c r="L53" t="s">
        <v>41</v>
      </c>
      <c r="M53">
        <v>1</v>
      </c>
    </row>
    <row r="54" spans="1:13" x14ac:dyDescent="0.25">
      <c r="A54" s="2">
        <v>46258</v>
      </c>
      <c r="B54" s="1" t="str">
        <f ca="1">IF(Información1[[#This Row],[Fecha]]='Ajuste de fechas'!$A$2,"Día actual","Día anterior")</f>
        <v>Día anterior</v>
      </c>
      <c r="C54" t="s">
        <v>8</v>
      </c>
      <c r="D54" t="s">
        <v>10</v>
      </c>
      <c r="E54" t="s">
        <v>179</v>
      </c>
      <c r="F54" t="s">
        <v>15</v>
      </c>
      <c r="G54" t="s">
        <v>73</v>
      </c>
      <c r="H54" t="s">
        <v>11</v>
      </c>
      <c r="I54" t="s">
        <v>7</v>
      </c>
      <c r="J54" t="s">
        <v>39</v>
      </c>
      <c r="K54" t="s">
        <v>14</v>
      </c>
      <c r="L54" t="s">
        <v>40</v>
      </c>
      <c r="M54">
        <v>1</v>
      </c>
    </row>
    <row r="55" spans="1:13" x14ac:dyDescent="0.25">
      <c r="A55" s="2">
        <v>46258</v>
      </c>
      <c r="B55" s="1" t="str">
        <f ca="1">IF(Información1[[#This Row],[Fecha]]='Ajuste de fechas'!$A$2,"Día actual","Día anterior")</f>
        <v>Día anterior</v>
      </c>
      <c r="C55" t="s">
        <v>8</v>
      </c>
      <c r="D55" t="s">
        <v>10</v>
      </c>
      <c r="E55" t="s">
        <v>180</v>
      </c>
      <c r="F55" t="s">
        <v>22</v>
      </c>
      <c r="G55" t="s">
        <v>181</v>
      </c>
      <c r="H55" t="s">
        <v>11</v>
      </c>
      <c r="I55" t="s">
        <v>7</v>
      </c>
      <c r="J55" t="s">
        <v>44</v>
      </c>
      <c r="K55" t="s">
        <v>14</v>
      </c>
      <c r="L55" t="s">
        <v>40</v>
      </c>
      <c r="M55">
        <v>1</v>
      </c>
    </row>
    <row r="56" spans="1:13" x14ac:dyDescent="0.25">
      <c r="A56" s="2">
        <v>46258</v>
      </c>
      <c r="B56" s="1" t="str">
        <f ca="1">IF(Información1[[#This Row],[Fecha]]='Ajuste de fechas'!$A$2,"Día actual","Día anterior")</f>
        <v>Día anterior</v>
      </c>
      <c r="C56" t="s">
        <v>28</v>
      </c>
      <c r="D56" t="s">
        <v>96</v>
      </c>
      <c r="E56" t="s">
        <v>182</v>
      </c>
      <c r="F56" t="s">
        <v>22</v>
      </c>
      <c r="G56" t="s">
        <v>183</v>
      </c>
      <c r="H56" t="s">
        <v>11</v>
      </c>
      <c r="I56" t="s">
        <v>7</v>
      </c>
      <c r="J56" t="s">
        <v>44</v>
      </c>
      <c r="K56" t="s">
        <v>184</v>
      </c>
      <c r="L56" t="s">
        <v>40</v>
      </c>
      <c r="M56">
        <v>1</v>
      </c>
    </row>
    <row r="57" spans="1:13" x14ac:dyDescent="0.25">
      <c r="A57" s="2">
        <v>46258</v>
      </c>
      <c r="B57" s="1" t="str">
        <f ca="1">IF(Información1[[#This Row],[Fecha]]='Ajuste de fechas'!$A$2,"Día actual","Día anterior")</f>
        <v>Día anterior</v>
      </c>
      <c r="C57" t="s">
        <v>28</v>
      </c>
      <c r="D57" t="s">
        <v>61</v>
      </c>
      <c r="E57" t="s">
        <v>185</v>
      </c>
      <c r="F57" t="s">
        <v>67</v>
      </c>
      <c r="G57" t="s">
        <v>186</v>
      </c>
      <c r="H57" t="s">
        <v>11</v>
      </c>
      <c r="I57" t="s">
        <v>7</v>
      </c>
      <c r="J57" t="s">
        <v>39</v>
      </c>
      <c r="K57" t="s">
        <v>62</v>
      </c>
      <c r="L57" t="s">
        <v>40</v>
      </c>
      <c r="M57">
        <v>1</v>
      </c>
    </row>
    <row r="58" spans="1:13" x14ac:dyDescent="0.25">
      <c r="A58" s="2">
        <v>46258</v>
      </c>
      <c r="B58" s="1" t="str">
        <f ca="1">IF(Información1[[#This Row],[Fecha]]='Ajuste de fechas'!$A$2,"Día actual","Día anterior")</f>
        <v>Día anterior</v>
      </c>
      <c r="C58" t="s">
        <v>28</v>
      </c>
      <c r="D58" t="s">
        <v>61</v>
      </c>
      <c r="E58" t="s">
        <v>187</v>
      </c>
      <c r="F58" t="s">
        <v>26</v>
      </c>
      <c r="G58" t="s">
        <v>160</v>
      </c>
      <c r="H58" t="s">
        <v>11</v>
      </c>
      <c r="I58" t="s">
        <v>7</v>
      </c>
      <c r="J58" t="s">
        <v>39</v>
      </c>
      <c r="K58" t="s">
        <v>62</v>
      </c>
      <c r="L58" t="s">
        <v>41</v>
      </c>
      <c r="M58">
        <v>1</v>
      </c>
    </row>
    <row r="59" spans="1:13" x14ac:dyDescent="0.25">
      <c r="A59" s="2">
        <v>46258</v>
      </c>
      <c r="B59" s="1" t="str">
        <f ca="1">IF(Información1[[#This Row],[Fecha]]='Ajuste de fechas'!$A$2,"Día actual","Día anterior")</f>
        <v>Día anterior</v>
      </c>
      <c r="C59" t="s">
        <v>28</v>
      </c>
      <c r="D59" t="s">
        <v>61</v>
      </c>
      <c r="E59" t="s">
        <v>188</v>
      </c>
      <c r="F59" t="s">
        <v>26</v>
      </c>
      <c r="G59" t="s">
        <v>160</v>
      </c>
      <c r="H59" t="s">
        <v>11</v>
      </c>
      <c r="I59" t="s">
        <v>7</v>
      </c>
      <c r="J59" t="s">
        <v>39</v>
      </c>
      <c r="K59" t="s">
        <v>62</v>
      </c>
      <c r="L59" t="s">
        <v>40</v>
      </c>
      <c r="M59">
        <v>1</v>
      </c>
    </row>
    <row r="60" spans="1:13" x14ac:dyDescent="0.25">
      <c r="A60" s="2">
        <v>46258</v>
      </c>
      <c r="B60" s="1" t="str">
        <f ca="1">IF(Información1[[#This Row],[Fecha]]='Ajuste de fechas'!$A$2,"Día actual","Día anterior")</f>
        <v>Día anterior</v>
      </c>
      <c r="C60" t="s">
        <v>28</v>
      </c>
      <c r="D60" t="s">
        <v>61</v>
      </c>
      <c r="E60" t="s">
        <v>189</v>
      </c>
      <c r="F60" t="s">
        <v>21</v>
      </c>
      <c r="G60" t="s">
        <v>76</v>
      </c>
      <c r="H60" t="s">
        <v>11</v>
      </c>
      <c r="I60" t="s">
        <v>7</v>
      </c>
      <c r="J60" t="s">
        <v>39</v>
      </c>
      <c r="K60" t="s">
        <v>62</v>
      </c>
      <c r="L60" t="s">
        <v>40</v>
      </c>
      <c r="M60">
        <v>1</v>
      </c>
    </row>
    <row r="61" spans="1:13" x14ac:dyDescent="0.25">
      <c r="A61" s="2">
        <v>46258</v>
      </c>
      <c r="B61" s="1" t="str">
        <f ca="1">IF(Información1[[#This Row],[Fecha]]='Ajuste de fechas'!$A$2,"Día actual","Día anterior")</f>
        <v>Día anterior</v>
      </c>
      <c r="C61" t="s">
        <v>28</v>
      </c>
      <c r="D61" t="s">
        <v>61</v>
      </c>
      <c r="E61" t="s">
        <v>190</v>
      </c>
      <c r="F61" t="s">
        <v>22</v>
      </c>
      <c r="G61" t="s">
        <v>95</v>
      </c>
      <c r="H61" t="s">
        <v>11</v>
      </c>
      <c r="I61" t="s">
        <v>7</v>
      </c>
      <c r="J61" t="s">
        <v>44</v>
      </c>
      <c r="K61" t="s">
        <v>62</v>
      </c>
      <c r="L61" t="s">
        <v>40</v>
      </c>
      <c r="M61">
        <v>1</v>
      </c>
    </row>
    <row r="62" spans="1:13" x14ac:dyDescent="0.25">
      <c r="A62" s="2">
        <v>46258</v>
      </c>
      <c r="B62" s="1" t="str">
        <f ca="1">IF(Información1[[#This Row],[Fecha]]='Ajuste de fechas'!$A$2,"Día actual","Día anterior")</f>
        <v>Día anterior</v>
      </c>
      <c r="C62" t="s">
        <v>8</v>
      </c>
      <c r="D62" t="s">
        <v>10</v>
      </c>
      <c r="E62" t="s">
        <v>191</v>
      </c>
      <c r="F62" t="s">
        <v>17</v>
      </c>
      <c r="G62" t="s">
        <v>83</v>
      </c>
      <c r="H62" t="s">
        <v>11</v>
      </c>
      <c r="I62" t="s">
        <v>25</v>
      </c>
      <c r="J62" t="s">
        <v>39</v>
      </c>
      <c r="K62" t="s">
        <v>9</v>
      </c>
      <c r="L62" t="s">
        <v>41</v>
      </c>
      <c r="M62">
        <v>1</v>
      </c>
    </row>
    <row r="63" spans="1:13" x14ac:dyDescent="0.25">
      <c r="A63" s="2">
        <v>46258</v>
      </c>
      <c r="B63" s="1" t="str">
        <f ca="1">IF(Información1[[#This Row],[Fecha]]='Ajuste de fechas'!$A$2,"Día actual","Día anterior")</f>
        <v>Día anterior</v>
      </c>
      <c r="C63" t="s">
        <v>28</v>
      </c>
      <c r="D63" t="s">
        <v>96</v>
      </c>
      <c r="E63" t="s">
        <v>192</v>
      </c>
      <c r="F63" t="s">
        <v>69</v>
      </c>
      <c r="G63" t="s">
        <v>193</v>
      </c>
      <c r="H63" t="s">
        <v>11</v>
      </c>
      <c r="I63" t="s">
        <v>7</v>
      </c>
      <c r="J63" t="s">
        <v>39</v>
      </c>
      <c r="K63" t="s">
        <v>184</v>
      </c>
      <c r="L63" t="s">
        <v>40</v>
      </c>
      <c r="M63">
        <v>1</v>
      </c>
    </row>
    <row r="64" spans="1:13" x14ac:dyDescent="0.25">
      <c r="A64" s="2">
        <v>46258</v>
      </c>
      <c r="B64" s="1" t="str">
        <f ca="1">IF(Información1[[#This Row],[Fecha]]='Ajuste de fechas'!$A$2,"Día actual","Día anterior")</f>
        <v>Día anterior</v>
      </c>
      <c r="C64" t="s">
        <v>8</v>
      </c>
      <c r="D64" t="s">
        <v>10</v>
      </c>
      <c r="E64" t="s">
        <v>194</v>
      </c>
      <c r="F64" t="s">
        <v>19</v>
      </c>
      <c r="G64" t="s">
        <v>195</v>
      </c>
      <c r="H64" t="s">
        <v>11</v>
      </c>
      <c r="I64" t="s">
        <v>7</v>
      </c>
      <c r="J64" t="s">
        <v>43</v>
      </c>
      <c r="K64" t="s">
        <v>9</v>
      </c>
      <c r="L64" t="s">
        <v>41</v>
      </c>
      <c r="M64">
        <v>1</v>
      </c>
    </row>
    <row r="65" spans="1:13" x14ac:dyDescent="0.25">
      <c r="A65" s="2">
        <v>46258</v>
      </c>
      <c r="B65" s="1" t="str">
        <f ca="1">IF(Información1[[#This Row],[Fecha]]='Ajuste de fechas'!$A$2,"Día actual","Día anterior")</f>
        <v>Día anterior</v>
      </c>
      <c r="C65" t="s">
        <v>28</v>
      </c>
      <c r="D65" t="s">
        <v>61</v>
      </c>
      <c r="E65" t="s">
        <v>196</v>
      </c>
      <c r="F65" t="s">
        <v>19</v>
      </c>
      <c r="G65" t="s">
        <v>151</v>
      </c>
      <c r="H65" t="s">
        <v>11</v>
      </c>
      <c r="I65" t="s">
        <v>7</v>
      </c>
      <c r="J65" t="s">
        <v>43</v>
      </c>
      <c r="K65" t="s">
        <v>62</v>
      </c>
      <c r="L65" t="s">
        <v>40</v>
      </c>
      <c r="M65">
        <v>1</v>
      </c>
    </row>
    <row r="66" spans="1:13" x14ac:dyDescent="0.25">
      <c r="A66" s="2">
        <v>46258</v>
      </c>
      <c r="B66" s="1" t="str">
        <f ca="1">IF(Información1[[#This Row],[Fecha]]='Ajuste de fechas'!$A$2,"Día actual","Día anterior")</f>
        <v>Día anterior</v>
      </c>
      <c r="C66" t="s">
        <v>57</v>
      </c>
      <c r="D66" t="s">
        <v>58</v>
      </c>
      <c r="E66" t="s">
        <v>197</v>
      </c>
      <c r="F66" t="s">
        <v>67</v>
      </c>
      <c r="G66" t="s">
        <v>68</v>
      </c>
      <c r="H66" t="s">
        <v>11</v>
      </c>
      <c r="I66" t="s">
        <v>7</v>
      </c>
      <c r="J66" t="s">
        <v>39</v>
      </c>
      <c r="K66" t="s">
        <v>77</v>
      </c>
      <c r="L66" t="s">
        <v>40</v>
      </c>
      <c r="M66">
        <v>1</v>
      </c>
    </row>
    <row r="67" spans="1:13" x14ac:dyDescent="0.25">
      <c r="A67" s="2">
        <v>46258</v>
      </c>
      <c r="B67" s="1" t="str">
        <f ca="1">IF(Información1[[#This Row],[Fecha]]='Ajuste de fechas'!$A$2,"Día actual","Día anterior")</f>
        <v>Día anterior</v>
      </c>
      <c r="C67" t="s">
        <v>28</v>
      </c>
      <c r="D67" t="s">
        <v>61</v>
      </c>
      <c r="E67" t="s">
        <v>198</v>
      </c>
      <c r="F67" t="s">
        <v>69</v>
      </c>
      <c r="G67" t="s">
        <v>68</v>
      </c>
      <c r="H67" t="s">
        <v>11</v>
      </c>
      <c r="I67" t="s">
        <v>7</v>
      </c>
      <c r="J67" t="s">
        <v>39</v>
      </c>
      <c r="K67" t="s">
        <v>62</v>
      </c>
      <c r="L67" t="s">
        <v>40</v>
      </c>
      <c r="M67">
        <v>1</v>
      </c>
    </row>
    <row r="68" spans="1:13" x14ac:dyDescent="0.25">
      <c r="A68" s="2">
        <v>46258</v>
      </c>
      <c r="B68" s="1" t="str">
        <f ca="1">IF(Información1[[#This Row],[Fecha]]='Ajuste de fechas'!$A$2,"Día actual","Día anterior")</f>
        <v>Día anterior</v>
      </c>
      <c r="C68" t="s">
        <v>28</v>
      </c>
      <c r="D68" t="s">
        <v>96</v>
      </c>
      <c r="E68" t="s">
        <v>199</v>
      </c>
      <c r="F68" t="s">
        <v>26</v>
      </c>
      <c r="G68" t="s">
        <v>111</v>
      </c>
      <c r="H68" t="s">
        <v>11</v>
      </c>
      <c r="I68" t="s">
        <v>7</v>
      </c>
      <c r="J68" t="s">
        <v>39</v>
      </c>
      <c r="K68" t="s">
        <v>184</v>
      </c>
      <c r="L68" t="s">
        <v>40</v>
      </c>
      <c r="M68">
        <v>1</v>
      </c>
    </row>
    <row r="69" spans="1:13" x14ac:dyDescent="0.25">
      <c r="A69" s="2">
        <v>46258</v>
      </c>
      <c r="B69" s="1" t="str">
        <f ca="1">IF(Información1[[#This Row],[Fecha]]='Ajuste de fechas'!$A$2,"Día actual","Día anterior")</f>
        <v>Día anterior</v>
      </c>
      <c r="C69" t="s">
        <v>28</v>
      </c>
      <c r="D69" t="s">
        <v>96</v>
      </c>
      <c r="E69" t="s">
        <v>200</v>
      </c>
      <c r="F69" t="s">
        <v>24</v>
      </c>
      <c r="G69" t="s">
        <v>111</v>
      </c>
      <c r="H69" t="s">
        <v>11</v>
      </c>
      <c r="I69" t="s">
        <v>7</v>
      </c>
      <c r="J69" t="s">
        <v>24</v>
      </c>
      <c r="K69" t="s">
        <v>184</v>
      </c>
      <c r="L69" t="s">
        <v>40</v>
      </c>
      <c r="M69">
        <v>1</v>
      </c>
    </row>
    <row r="70" spans="1:13" x14ac:dyDescent="0.25">
      <c r="A70" s="2">
        <v>46258</v>
      </c>
      <c r="B70" s="1" t="str">
        <f ca="1">IF(Información1[[#This Row],[Fecha]]='Ajuste de fechas'!$A$2,"Día actual","Día anterior")</f>
        <v>Día anterior</v>
      </c>
      <c r="C70" t="s">
        <v>28</v>
      </c>
      <c r="D70" t="s">
        <v>96</v>
      </c>
      <c r="E70" t="s">
        <v>201</v>
      </c>
      <c r="F70" t="s">
        <v>26</v>
      </c>
      <c r="G70" t="s">
        <v>111</v>
      </c>
      <c r="H70" t="s">
        <v>11</v>
      </c>
      <c r="I70" t="s">
        <v>7</v>
      </c>
      <c r="J70" t="s">
        <v>39</v>
      </c>
      <c r="K70" t="s">
        <v>184</v>
      </c>
      <c r="L70" t="s">
        <v>40</v>
      </c>
      <c r="M70">
        <v>1</v>
      </c>
    </row>
    <row r="71" spans="1:13" x14ac:dyDescent="0.25">
      <c r="A71" s="2">
        <v>46258</v>
      </c>
      <c r="B71" s="1" t="str">
        <f ca="1">IF(Información1[[#This Row],[Fecha]]='Ajuste de fechas'!$A$2,"Día actual","Día anterior")</f>
        <v>Día anterior</v>
      </c>
      <c r="C71" t="s">
        <v>8</v>
      </c>
      <c r="D71" t="s">
        <v>10</v>
      </c>
      <c r="E71" t="s">
        <v>202</v>
      </c>
      <c r="F71" t="s">
        <v>19</v>
      </c>
      <c r="G71" t="s">
        <v>203</v>
      </c>
      <c r="H71" t="s">
        <v>11</v>
      </c>
      <c r="I71" t="s">
        <v>25</v>
      </c>
      <c r="J71" t="s">
        <v>43</v>
      </c>
      <c r="K71" t="s">
        <v>9</v>
      </c>
      <c r="L71" t="s">
        <v>41</v>
      </c>
      <c r="M71">
        <v>1</v>
      </c>
    </row>
    <row r="72" spans="1:13" x14ac:dyDescent="0.25">
      <c r="A72" s="2">
        <v>46258</v>
      </c>
      <c r="B72" s="1" t="str">
        <f ca="1">IF(Información1[[#This Row],[Fecha]]='Ajuste de fechas'!$A$2,"Día actual","Día anterior")</f>
        <v>Día anterior</v>
      </c>
      <c r="C72" t="s">
        <v>28</v>
      </c>
      <c r="D72" t="s">
        <v>96</v>
      </c>
      <c r="E72" t="s">
        <v>204</v>
      </c>
      <c r="F72" t="s">
        <v>24</v>
      </c>
      <c r="G72" t="s">
        <v>129</v>
      </c>
      <c r="H72" t="s">
        <v>11</v>
      </c>
      <c r="I72" t="s">
        <v>7</v>
      </c>
      <c r="J72" t="s">
        <v>24</v>
      </c>
      <c r="K72" t="s">
        <v>184</v>
      </c>
      <c r="L72" t="s">
        <v>40</v>
      </c>
      <c r="M72">
        <v>1</v>
      </c>
    </row>
    <row r="73" spans="1:13" x14ac:dyDescent="0.25">
      <c r="A73" s="2">
        <v>46258</v>
      </c>
      <c r="B73" s="1" t="str">
        <f ca="1">IF(Información1[[#This Row],[Fecha]]='Ajuste de fechas'!$A$2,"Día actual","Día anterior")</f>
        <v>Día anterior</v>
      </c>
      <c r="C73" t="s">
        <v>28</v>
      </c>
      <c r="D73" t="s">
        <v>61</v>
      </c>
      <c r="E73" t="s">
        <v>205</v>
      </c>
      <c r="F73" t="s">
        <v>23</v>
      </c>
      <c r="G73" t="s">
        <v>129</v>
      </c>
      <c r="H73" t="s">
        <v>11</v>
      </c>
      <c r="I73" t="s">
        <v>7</v>
      </c>
      <c r="J73" t="s">
        <v>39</v>
      </c>
      <c r="K73" t="s">
        <v>62</v>
      </c>
      <c r="L73" t="s">
        <v>40</v>
      </c>
      <c r="M73">
        <v>1</v>
      </c>
    </row>
    <row r="74" spans="1:13" x14ac:dyDescent="0.25">
      <c r="A74" s="2">
        <v>46258</v>
      </c>
      <c r="B74" s="1" t="str">
        <f ca="1">IF(Información1[[#This Row],[Fecha]]='Ajuste de fechas'!$A$2,"Día actual","Día anterior")</f>
        <v>Día anterior</v>
      </c>
      <c r="C74" t="s">
        <v>28</v>
      </c>
      <c r="D74" t="s">
        <v>61</v>
      </c>
      <c r="E74" t="s">
        <v>206</v>
      </c>
      <c r="F74" t="s">
        <v>19</v>
      </c>
      <c r="G74" t="s">
        <v>153</v>
      </c>
      <c r="H74" t="s">
        <v>11</v>
      </c>
      <c r="I74" t="s">
        <v>7</v>
      </c>
      <c r="J74" t="s">
        <v>43</v>
      </c>
      <c r="K74" t="s">
        <v>62</v>
      </c>
      <c r="L74" t="s">
        <v>40</v>
      </c>
      <c r="M74">
        <v>1</v>
      </c>
    </row>
    <row r="75" spans="1:13" x14ac:dyDescent="0.25">
      <c r="A75" s="2">
        <v>46258</v>
      </c>
      <c r="B75" s="1" t="str">
        <f ca="1">IF(Información1[[#This Row],[Fecha]]='Ajuste de fechas'!$A$2,"Día actual","Día anterior")</f>
        <v>Día anterior</v>
      </c>
      <c r="C75" t="s">
        <v>57</v>
      </c>
      <c r="D75" t="s">
        <v>58</v>
      </c>
      <c r="E75" t="s">
        <v>207</v>
      </c>
      <c r="F75" t="s">
        <v>21</v>
      </c>
      <c r="G75" t="s">
        <v>107</v>
      </c>
      <c r="H75" t="s">
        <v>11</v>
      </c>
      <c r="I75" t="s">
        <v>7</v>
      </c>
      <c r="J75" t="s">
        <v>39</v>
      </c>
      <c r="K75" t="s">
        <v>77</v>
      </c>
      <c r="L75" t="s">
        <v>40</v>
      </c>
      <c r="M75">
        <v>1</v>
      </c>
    </row>
    <row r="76" spans="1:13" x14ac:dyDescent="0.25">
      <c r="A76" s="2">
        <v>46258</v>
      </c>
      <c r="B76" s="1" t="str">
        <f ca="1">IF(Información1[[#This Row],[Fecha]]='Ajuste de fechas'!$A$2,"Día actual","Día anterior")</f>
        <v>Día anterior</v>
      </c>
      <c r="C76" t="s">
        <v>28</v>
      </c>
      <c r="D76" t="s">
        <v>61</v>
      </c>
      <c r="E76" t="s">
        <v>208</v>
      </c>
      <c r="F76" t="s">
        <v>21</v>
      </c>
      <c r="G76" t="s">
        <v>107</v>
      </c>
      <c r="H76" t="s">
        <v>11</v>
      </c>
      <c r="I76" t="s">
        <v>7</v>
      </c>
      <c r="J76" t="s">
        <v>39</v>
      </c>
      <c r="K76" t="s">
        <v>62</v>
      </c>
      <c r="L76" t="s">
        <v>40</v>
      </c>
      <c r="M76">
        <v>1</v>
      </c>
    </row>
    <row r="77" spans="1:13" x14ac:dyDescent="0.25">
      <c r="A77" s="2">
        <v>46258</v>
      </c>
      <c r="B77" s="1" t="str">
        <f ca="1">IF(Información1[[#This Row],[Fecha]]='Ajuste de fechas'!$A$2,"Día actual","Día anterior")</f>
        <v>Día anterior</v>
      </c>
      <c r="C77" t="s">
        <v>8</v>
      </c>
      <c r="D77" t="s">
        <v>10</v>
      </c>
      <c r="E77" t="s">
        <v>209</v>
      </c>
      <c r="F77" t="s">
        <v>21</v>
      </c>
      <c r="G77" t="s">
        <v>107</v>
      </c>
      <c r="H77" t="s">
        <v>11</v>
      </c>
      <c r="I77" t="s">
        <v>7</v>
      </c>
      <c r="J77" t="s">
        <v>39</v>
      </c>
      <c r="K77" t="s">
        <v>14</v>
      </c>
      <c r="L77" t="s">
        <v>42</v>
      </c>
      <c r="M77">
        <v>1</v>
      </c>
    </row>
    <row r="78" spans="1:13" x14ac:dyDescent="0.25">
      <c r="A78" s="2">
        <v>46258</v>
      </c>
      <c r="B78" s="1" t="str">
        <f ca="1">IF(Información1[[#This Row],[Fecha]]='Ajuste de fechas'!$A$2,"Día actual","Día anterior")</f>
        <v>Día anterior</v>
      </c>
      <c r="C78" t="s">
        <v>28</v>
      </c>
      <c r="D78" t="s">
        <v>61</v>
      </c>
      <c r="E78" t="s">
        <v>210</v>
      </c>
      <c r="F78" t="s">
        <v>21</v>
      </c>
      <c r="G78" t="s">
        <v>167</v>
      </c>
      <c r="H78" t="s">
        <v>11</v>
      </c>
      <c r="I78" t="s">
        <v>7</v>
      </c>
      <c r="J78" t="s">
        <v>39</v>
      </c>
      <c r="K78" t="s">
        <v>62</v>
      </c>
      <c r="L78" t="s">
        <v>40</v>
      </c>
      <c r="M78">
        <v>1</v>
      </c>
    </row>
    <row r="79" spans="1:13" x14ac:dyDescent="0.25">
      <c r="A79" s="2">
        <v>46258</v>
      </c>
      <c r="B79" s="1" t="str">
        <f ca="1">IF(Información1[[#This Row],[Fecha]]='Ajuste de fechas'!$A$2,"Día actual","Día anterior")</f>
        <v>Día anterior</v>
      </c>
      <c r="C79" t="s">
        <v>28</v>
      </c>
      <c r="D79" t="s">
        <v>61</v>
      </c>
      <c r="E79" t="s">
        <v>211</v>
      </c>
      <c r="F79" t="s">
        <v>19</v>
      </c>
      <c r="G79" t="s">
        <v>212</v>
      </c>
      <c r="H79" t="s">
        <v>11</v>
      </c>
      <c r="I79" t="s">
        <v>7</v>
      </c>
      <c r="J79" t="s">
        <v>43</v>
      </c>
      <c r="K79" t="s">
        <v>62</v>
      </c>
      <c r="L79" t="s">
        <v>40</v>
      </c>
      <c r="M79">
        <v>1</v>
      </c>
    </row>
    <row r="80" spans="1:13" x14ac:dyDescent="0.25">
      <c r="A80" s="2">
        <v>46258</v>
      </c>
      <c r="B80" s="1" t="str">
        <f ca="1">IF(Información1[[#This Row],[Fecha]]='Ajuste de fechas'!$A$2,"Día actual","Día anterior")</f>
        <v>Día anterior</v>
      </c>
      <c r="C80" t="s">
        <v>28</v>
      </c>
      <c r="D80" t="s">
        <v>96</v>
      </c>
      <c r="E80" t="s">
        <v>213</v>
      </c>
      <c r="F80" t="s">
        <v>15</v>
      </c>
      <c r="G80" t="s">
        <v>214</v>
      </c>
      <c r="H80" t="s">
        <v>11</v>
      </c>
      <c r="I80" t="s">
        <v>7</v>
      </c>
      <c r="J80" t="s">
        <v>39</v>
      </c>
      <c r="K80" t="s">
        <v>184</v>
      </c>
      <c r="L80" t="s">
        <v>40</v>
      </c>
      <c r="M80">
        <v>1</v>
      </c>
    </row>
    <row r="81" spans="1:13" x14ac:dyDescent="0.25">
      <c r="A81" s="2">
        <v>46258</v>
      </c>
      <c r="B81" s="1" t="str">
        <f ca="1">IF(Información1[[#This Row],[Fecha]]='Ajuste de fechas'!$A$2,"Día actual","Día anterior")</f>
        <v>Día anterior</v>
      </c>
      <c r="C81" t="s">
        <v>8</v>
      </c>
      <c r="D81" t="s">
        <v>10</v>
      </c>
      <c r="E81" t="s">
        <v>215</v>
      </c>
      <c r="F81" t="s">
        <v>21</v>
      </c>
      <c r="G81" t="s">
        <v>216</v>
      </c>
      <c r="H81" t="s">
        <v>11</v>
      </c>
      <c r="I81" t="s">
        <v>7</v>
      </c>
      <c r="J81" t="s">
        <v>39</v>
      </c>
      <c r="K81" t="s">
        <v>9</v>
      </c>
      <c r="L81" t="s">
        <v>41</v>
      </c>
      <c r="M81">
        <v>1</v>
      </c>
    </row>
    <row r="82" spans="1:13" x14ac:dyDescent="0.25">
      <c r="A82" s="2">
        <v>46258</v>
      </c>
      <c r="B82" s="1" t="str">
        <f ca="1">IF(Información1[[#This Row],[Fecha]]='Ajuste de fechas'!$A$2,"Día actual","Día anterior")</f>
        <v>Día anterior</v>
      </c>
      <c r="C82" t="s">
        <v>8</v>
      </c>
      <c r="D82" t="s">
        <v>10</v>
      </c>
      <c r="E82" t="s">
        <v>217</v>
      </c>
      <c r="F82" t="s">
        <v>21</v>
      </c>
      <c r="G82" t="s">
        <v>78</v>
      </c>
      <c r="H82" t="s">
        <v>11</v>
      </c>
      <c r="I82" t="s">
        <v>25</v>
      </c>
      <c r="J82" t="s">
        <v>39</v>
      </c>
      <c r="K82" t="s">
        <v>9</v>
      </c>
      <c r="L82" t="s">
        <v>41</v>
      </c>
      <c r="M82">
        <v>1</v>
      </c>
    </row>
    <row r="83" spans="1:13" x14ac:dyDescent="0.25">
      <c r="A83" s="2">
        <v>46258</v>
      </c>
      <c r="B83" s="1" t="str">
        <f ca="1">IF(Información1[[#This Row],[Fecha]]='Ajuste de fechas'!$A$2,"Día actual","Día anterior")</f>
        <v>Día anterior</v>
      </c>
      <c r="C83" t="s">
        <v>8</v>
      </c>
      <c r="D83" t="s">
        <v>10</v>
      </c>
      <c r="E83" t="s">
        <v>218</v>
      </c>
      <c r="F83" t="s">
        <v>71</v>
      </c>
      <c r="G83" t="s">
        <v>219</v>
      </c>
      <c r="H83" t="s">
        <v>11</v>
      </c>
      <c r="I83" t="s">
        <v>7</v>
      </c>
      <c r="J83" t="s">
        <v>39</v>
      </c>
      <c r="K83" t="s">
        <v>14</v>
      </c>
      <c r="L83" t="s">
        <v>40</v>
      </c>
      <c r="M83">
        <v>1</v>
      </c>
    </row>
    <row r="84" spans="1:13" x14ac:dyDescent="0.25">
      <c r="A84" s="2">
        <v>46258</v>
      </c>
      <c r="B84" s="1" t="str">
        <f ca="1">IF(Información1[[#This Row],[Fecha]]='Ajuste de fechas'!$A$2,"Día actual","Día anterior")</f>
        <v>Día anterior</v>
      </c>
      <c r="C84" t="s">
        <v>28</v>
      </c>
      <c r="D84" t="s">
        <v>61</v>
      </c>
      <c r="E84" t="s">
        <v>220</v>
      </c>
      <c r="F84" t="s">
        <v>21</v>
      </c>
      <c r="G84" t="s">
        <v>97</v>
      </c>
      <c r="H84" t="s">
        <v>11</v>
      </c>
      <c r="I84" t="s">
        <v>7</v>
      </c>
      <c r="J84" t="s">
        <v>39</v>
      </c>
      <c r="K84" t="s">
        <v>62</v>
      </c>
      <c r="L84" t="s">
        <v>40</v>
      </c>
      <c r="M84">
        <v>1</v>
      </c>
    </row>
    <row r="85" spans="1:13" x14ac:dyDescent="0.25">
      <c r="A85" s="2">
        <v>46258</v>
      </c>
      <c r="B85" s="1" t="str">
        <f ca="1">IF(Información1[[#This Row],[Fecha]]='Ajuste de fechas'!$A$2,"Día actual","Día anterior")</f>
        <v>Día anterior</v>
      </c>
      <c r="C85" t="s">
        <v>28</v>
      </c>
      <c r="D85" t="s">
        <v>96</v>
      </c>
      <c r="E85" t="s">
        <v>221</v>
      </c>
      <c r="F85" t="s">
        <v>23</v>
      </c>
      <c r="G85" t="s">
        <v>142</v>
      </c>
      <c r="H85" t="s">
        <v>11</v>
      </c>
      <c r="I85" t="s">
        <v>7</v>
      </c>
      <c r="J85" t="s">
        <v>39</v>
      </c>
      <c r="K85" t="s">
        <v>184</v>
      </c>
      <c r="L85" t="s">
        <v>40</v>
      </c>
      <c r="M85">
        <v>1</v>
      </c>
    </row>
    <row r="86" spans="1:13" x14ac:dyDescent="0.25">
      <c r="A86" s="2">
        <v>46258</v>
      </c>
      <c r="B86" s="1" t="str">
        <f ca="1">IF(Información1[[#This Row],[Fecha]]='Ajuste de fechas'!$A$2,"Día actual","Día anterior")</f>
        <v>Día anterior</v>
      </c>
      <c r="C86" t="s">
        <v>28</v>
      </c>
      <c r="D86" t="s">
        <v>61</v>
      </c>
      <c r="E86" t="s">
        <v>222</v>
      </c>
      <c r="F86" t="s">
        <v>19</v>
      </c>
      <c r="G86" t="s">
        <v>142</v>
      </c>
      <c r="H86" t="s">
        <v>11</v>
      </c>
      <c r="I86" t="s">
        <v>7</v>
      </c>
      <c r="J86" t="s">
        <v>43</v>
      </c>
      <c r="K86" t="s">
        <v>62</v>
      </c>
      <c r="L86" t="s">
        <v>40</v>
      </c>
      <c r="M86">
        <v>1</v>
      </c>
    </row>
    <row r="87" spans="1:13" x14ac:dyDescent="0.25">
      <c r="A87" s="2">
        <v>46258</v>
      </c>
      <c r="B87" s="1" t="str">
        <f ca="1">IF(Información1[[#This Row],[Fecha]]='Ajuste de fechas'!$A$2,"Día actual","Día anterior")</f>
        <v>Día anterior</v>
      </c>
      <c r="C87" t="s">
        <v>28</v>
      </c>
      <c r="D87" t="s">
        <v>96</v>
      </c>
      <c r="E87" t="s">
        <v>223</v>
      </c>
      <c r="F87" t="s">
        <v>22</v>
      </c>
      <c r="G87" t="s">
        <v>88</v>
      </c>
      <c r="H87" t="s">
        <v>11</v>
      </c>
      <c r="I87" t="s">
        <v>7</v>
      </c>
      <c r="J87" t="s">
        <v>44</v>
      </c>
      <c r="K87" t="s">
        <v>184</v>
      </c>
      <c r="L87" t="s">
        <v>40</v>
      </c>
      <c r="M87">
        <v>1</v>
      </c>
    </row>
    <row r="88" spans="1:13" x14ac:dyDescent="0.25">
      <c r="A88" s="2">
        <v>46258</v>
      </c>
      <c r="B88" s="1" t="str">
        <f ca="1">IF(Información1[[#This Row],[Fecha]]='Ajuste de fechas'!$A$2,"Día actual","Día anterior")</f>
        <v>Día anterior</v>
      </c>
      <c r="C88" t="s">
        <v>63</v>
      </c>
      <c r="D88" t="s">
        <v>65</v>
      </c>
      <c r="E88" t="s">
        <v>124</v>
      </c>
      <c r="F88" t="s">
        <v>75</v>
      </c>
      <c r="G88" t="s">
        <v>117</v>
      </c>
      <c r="H88" t="s">
        <v>11</v>
      </c>
      <c r="I88" t="s">
        <v>7</v>
      </c>
      <c r="J88" t="s">
        <v>39</v>
      </c>
      <c r="K88" t="s">
        <v>77</v>
      </c>
      <c r="L88" t="s">
        <v>42</v>
      </c>
      <c r="M88">
        <v>1</v>
      </c>
    </row>
    <row r="89" spans="1:13" x14ac:dyDescent="0.25">
      <c r="A89" s="2">
        <v>46258</v>
      </c>
      <c r="B89" s="1" t="str">
        <f ca="1">IF(Información1[[#This Row],[Fecha]]='Ajuste de fechas'!$A$2,"Día actual","Día anterior")</f>
        <v>Día anterior</v>
      </c>
      <c r="C89" t="s">
        <v>8</v>
      </c>
      <c r="D89" t="s">
        <v>10</v>
      </c>
      <c r="E89" t="s">
        <v>224</v>
      </c>
      <c r="F89" t="s">
        <v>17</v>
      </c>
      <c r="G89" t="s">
        <v>225</v>
      </c>
      <c r="H89" t="s">
        <v>11</v>
      </c>
      <c r="I89" t="s">
        <v>7</v>
      </c>
      <c r="J89" t="s">
        <v>39</v>
      </c>
      <c r="K89" t="s">
        <v>9</v>
      </c>
      <c r="L89" t="s">
        <v>41</v>
      </c>
      <c r="M89">
        <v>1</v>
      </c>
    </row>
    <row r="90" spans="1:13" x14ac:dyDescent="0.25">
      <c r="A90" s="2">
        <v>46258</v>
      </c>
      <c r="B90" s="1" t="str">
        <f ca="1">IF(Información1[[#This Row],[Fecha]]='Ajuste de fechas'!$A$2,"Día actual","Día anterior")</f>
        <v>Día anterior</v>
      </c>
      <c r="C90" t="s">
        <v>8</v>
      </c>
      <c r="D90" t="s">
        <v>10</v>
      </c>
      <c r="E90" t="s">
        <v>226</v>
      </c>
      <c r="F90" t="s">
        <v>17</v>
      </c>
      <c r="G90" t="s">
        <v>225</v>
      </c>
      <c r="H90" t="s">
        <v>11</v>
      </c>
      <c r="I90" t="s">
        <v>7</v>
      </c>
      <c r="J90" t="s">
        <v>39</v>
      </c>
      <c r="K90" t="s">
        <v>14</v>
      </c>
      <c r="L90" t="s">
        <v>42</v>
      </c>
      <c r="M90">
        <v>1</v>
      </c>
    </row>
    <row r="91" spans="1:13" x14ac:dyDescent="0.25">
      <c r="A91" s="2">
        <v>46258</v>
      </c>
      <c r="B91" s="1" t="str">
        <f ca="1">IF(Información1[[#This Row],[Fecha]]='Ajuste de fechas'!$A$2,"Día actual","Día anterior")</f>
        <v>Día anterior</v>
      </c>
      <c r="C91" t="s">
        <v>28</v>
      </c>
      <c r="D91" t="s">
        <v>61</v>
      </c>
      <c r="E91" t="s">
        <v>227</v>
      </c>
      <c r="F91" t="s">
        <v>19</v>
      </c>
      <c r="G91" t="s">
        <v>228</v>
      </c>
      <c r="H91" t="s">
        <v>11</v>
      </c>
      <c r="I91" t="s">
        <v>7</v>
      </c>
      <c r="J91" t="s">
        <v>43</v>
      </c>
      <c r="K91" t="s">
        <v>62</v>
      </c>
      <c r="L91" t="s">
        <v>40</v>
      </c>
      <c r="M91">
        <v>1</v>
      </c>
    </row>
    <row r="92" spans="1:13" x14ac:dyDescent="0.25">
      <c r="A92" s="2">
        <v>46258</v>
      </c>
      <c r="B92" s="1" t="str">
        <f ca="1">IF(Información1[[#This Row],[Fecha]]='Ajuste de fechas'!$A$2,"Día actual","Día anterior")</f>
        <v>Día anterior</v>
      </c>
      <c r="C92" t="s">
        <v>8</v>
      </c>
      <c r="D92" t="s">
        <v>10</v>
      </c>
      <c r="E92" t="s">
        <v>20</v>
      </c>
      <c r="F92" t="s">
        <v>19</v>
      </c>
      <c r="G92" t="s">
        <v>32</v>
      </c>
      <c r="H92" t="s">
        <v>11</v>
      </c>
      <c r="I92" t="s">
        <v>12</v>
      </c>
      <c r="J92" t="s">
        <v>43</v>
      </c>
      <c r="K92" t="s">
        <v>14</v>
      </c>
      <c r="L92" t="s">
        <v>41</v>
      </c>
      <c r="M92">
        <v>1</v>
      </c>
    </row>
    <row r="93" spans="1:13" x14ac:dyDescent="0.25">
      <c r="A93" s="2">
        <v>46258</v>
      </c>
      <c r="B93" s="1" t="str">
        <f ca="1">IF(Información1[[#This Row],[Fecha]]='Ajuste de fechas'!$A$2,"Día actual","Día anterior")</f>
        <v>Día anterior</v>
      </c>
      <c r="C93" t="s">
        <v>8</v>
      </c>
      <c r="D93" t="s">
        <v>10</v>
      </c>
      <c r="E93" t="s">
        <v>18</v>
      </c>
      <c r="F93" t="s">
        <v>19</v>
      </c>
      <c r="G93" t="s">
        <v>32</v>
      </c>
      <c r="H93" t="s">
        <v>11</v>
      </c>
      <c r="I93" t="s">
        <v>12</v>
      </c>
      <c r="J93" t="s">
        <v>43</v>
      </c>
      <c r="K93" t="s">
        <v>14</v>
      </c>
      <c r="L93" t="s">
        <v>41</v>
      </c>
      <c r="M93">
        <v>1</v>
      </c>
    </row>
    <row r="94" spans="1:13" x14ac:dyDescent="0.25">
      <c r="A94" s="2">
        <v>46258</v>
      </c>
      <c r="B94" s="1" t="str">
        <f ca="1">IF(Información1[[#This Row],[Fecha]]='Ajuste de fechas'!$A$2,"Día actual","Día anterior")</f>
        <v>Día anterior</v>
      </c>
      <c r="C94" t="s">
        <v>8</v>
      </c>
      <c r="D94" t="s">
        <v>10</v>
      </c>
      <c r="E94" t="s">
        <v>66</v>
      </c>
      <c r="F94" t="s">
        <v>53</v>
      </c>
      <c r="G94" t="s">
        <v>32</v>
      </c>
      <c r="H94" t="s">
        <v>11</v>
      </c>
      <c r="I94" t="s">
        <v>12</v>
      </c>
      <c r="J94" t="s">
        <v>24</v>
      </c>
      <c r="K94" t="s">
        <v>14</v>
      </c>
      <c r="L94" t="s">
        <v>41</v>
      </c>
      <c r="M94">
        <v>1</v>
      </c>
    </row>
    <row r="95" spans="1:13" x14ac:dyDescent="0.25">
      <c r="A95" s="2">
        <v>46258</v>
      </c>
      <c r="B95" s="1" t="str">
        <f ca="1">IF(Información1[[#This Row],[Fecha]]='Ajuste de fechas'!$A$2,"Día actual","Día anterior")</f>
        <v>Día anterior</v>
      </c>
      <c r="C95" t="s">
        <v>8</v>
      </c>
      <c r="D95" t="s">
        <v>10</v>
      </c>
      <c r="E95" t="s">
        <v>13</v>
      </c>
      <c r="F95" t="s">
        <v>15</v>
      </c>
      <c r="G95" t="s">
        <v>32</v>
      </c>
      <c r="H95" t="s">
        <v>11</v>
      </c>
      <c r="I95" t="s">
        <v>12</v>
      </c>
      <c r="J95" t="s">
        <v>39</v>
      </c>
      <c r="K95" t="s">
        <v>14</v>
      </c>
      <c r="L95" t="s">
        <v>41</v>
      </c>
      <c r="M95">
        <v>1</v>
      </c>
    </row>
    <row r="96" spans="1:13" x14ac:dyDescent="0.25">
      <c r="A96" s="2">
        <v>46258</v>
      </c>
      <c r="B96" s="1" t="str">
        <f ca="1">IF(Información1[[#This Row],[Fecha]]='Ajuste de fechas'!$A$2,"Día actual","Día anterior")</f>
        <v>Día anterior</v>
      </c>
      <c r="C96" t="s">
        <v>8</v>
      </c>
      <c r="D96" t="s">
        <v>10</v>
      </c>
      <c r="E96" t="s">
        <v>16</v>
      </c>
      <c r="F96" t="s">
        <v>17</v>
      </c>
      <c r="G96" t="s">
        <v>32</v>
      </c>
      <c r="H96" t="s">
        <v>11</v>
      </c>
      <c r="I96" t="s">
        <v>12</v>
      </c>
      <c r="J96" t="s">
        <v>39</v>
      </c>
      <c r="K96" t="s">
        <v>14</v>
      </c>
      <c r="L96" t="s">
        <v>41</v>
      </c>
      <c r="M96">
        <v>1</v>
      </c>
    </row>
    <row r="97" spans="1:13" x14ac:dyDescent="0.25">
      <c r="A97" s="2">
        <v>46258</v>
      </c>
      <c r="B97" s="1" t="str">
        <f ca="1">IF(Información1[[#This Row],[Fecha]]='Ajuste de fechas'!$A$2,"Día actual","Día anterior")</f>
        <v>Día anterior</v>
      </c>
      <c r="C97" t="s">
        <v>8</v>
      </c>
      <c r="D97" t="s">
        <v>10</v>
      </c>
      <c r="E97" t="s">
        <v>52</v>
      </c>
      <c r="F97" t="s">
        <v>6</v>
      </c>
      <c r="G97" t="s">
        <v>32</v>
      </c>
      <c r="H97" t="s">
        <v>11</v>
      </c>
      <c r="I97" t="s">
        <v>12</v>
      </c>
      <c r="J97" t="s">
        <v>39</v>
      </c>
      <c r="K97" t="s">
        <v>14</v>
      </c>
      <c r="L97" t="s">
        <v>41</v>
      </c>
      <c r="M97">
        <v>1</v>
      </c>
    </row>
    <row r="98" spans="1:13" x14ac:dyDescent="0.25">
      <c r="A98" s="2">
        <v>46258</v>
      </c>
      <c r="B98" s="1" t="str">
        <f ca="1">IF(Información1[[#This Row],[Fecha]]='Ajuste de fechas'!$A$2,"Día actual","Día anterior")</f>
        <v>Día anterior</v>
      </c>
      <c r="C98" t="s">
        <v>28</v>
      </c>
      <c r="D98" t="s">
        <v>61</v>
      </c>
      <c r="E98" t="s">
        <v>229</v>
      </c>
      <c r="F98" t="s">
        <v>70</v>
      </c>
      <c r="G98" t="s">
        <v>230</v>
      </c>
      <c r="H98" t="s">
        <v>11</v>
      </c>
      <c r="I98" t="s">
        <v>7</v>
      </c>
      <c r="J98" t="s">
        <v>39</v>
      </c>
      <c r="K98" t="s">
        <v>62</v>
      </c>
      <c r="L98" t="s">
        <v>40</v>
      </c>
      <c r="M98">
        <v>1</v>
      </c>
    </row>
    <row r="99" spans="1:13" x14ac:dyDescent="0.25">
      <c r="A99" s="2">
        <v>46258</v>
      </c>
      <c r="B99" s="1" t="str">
        <f ca="1">IF(Información1[[#This Row],[Fecha]]='Ajuste de fechas'!$A$2,"Día actual","Día anterior")</f>
        <v>Día anterior</v>
      </c>
      <c r="C99" t="s">
        <v>8</v>
      </c>
      <c r="D99" t="s">
        <v>10</v>
      </c>
      <c r="E99" t="s">
        <v>231</v>
      </c>
      <c r="F99" t="s">
        <v>23</v>
      </c>
      <c r="G99" t="s">
        <v>156</v>
      </c>
      <c r="H99" t="s">
        <v>11</v>
      </c>
      <c r="I99" t="s">
        <v>7</v>
      </c>
      <c r="J99" t="s">
        <v>39</v>
      </c>
      <c r="K99" t="s">
        <v>9</v>
      </c>
      <c r="L99" t="s">
        <v>41</v>
      </c>
      <c r="M99">
        <v>1</v>
      </c>
    </row>
    <row r="100" spans="1:13" x14ac:dyDescent="0.25">
      <c r="A100" s="2">
        <v>46258</v>
      </c>
      <c r="B100" s="1" t="str">
        <f ca="1">IF(Información1[[#This Row],[Fecha]]='Ajuste de fechas'!$A$2,"Día actual","Día anterior")</f>
        <v>Día anterior</v>
      </c>
      <c r="C100" t="s">
        <v>8</v>
      </c>
      <c r="D100" t="s">
        <v>10</v>
      </c>
      <c r="E100" t="s">
        <v>232</v>
      </c>
      <c r="F100" t="s">
        <v>67</v>
      </c>
      <c r="G100" t="s">
        <v>114</v>
      </c>
      <c r="H100" t="s">
        <v>11</v>
      </c>
      <c r="I100" t="s">
        <v>7</v>
      </c>
      <c r="J100" t="s">
        <v>39</v>
      </c>
      <c r="K100" t="s">
        <v>14</v>
      </c>
      <c r="L100" t="s">
        <v>42</v>
      </c>
      <c r="M100">
        <v>1</v>
      </c>
    </row>
    <row r="101" spans="1:13" x14ac:dyDescent="0.25">
      <c r="A101" s="2">
        <v>46258</v>
      </c>
      <c r="B101" s="1" t="str">
        <f ca="1">IF(Información1[[#This Row],[Fecha]]='Ajuste de fechas'!$A$2,"Día actual","Día anterior")</f>
        <v>Día anterior</v>
      </c>
      <c r="C101" t="s">
        <v>8</v>
      </c>
      <c r="D101" t="s">
        <v>10</v>
      </c>
      <c r="E101" t="s">
        <v>233</v>
      </c>
      <c r="F101" t="s">
        <v>6</v>
      </c>
      <c r="G101" t="s">
        <v>79</v>
      </c>
      <c r="H101" t="s">
        <v>11</v>
      </c>
      <c r="I101" t="s">
        <v>25</v>
      </c>
      <c r="J101" t="s">
        <v>39</v>
      </c>
      <c r="K101" t="s">
        <v>9</v>
      </c>
      <c r="L101" t="s">
        <v>41</v>
      </c>
      <c r="M101">
        <v>1</v>
      </c>
    </row>
    <row r="102" spans="1:13" x14ac:dyDescent="0.25">
      <c r="A102" s="2">
        <v>46258</v>
      </c>
      <c r="B102" s="1" t="str">
        <f ca="1">IF(Información1[[#This Row],[Fecha]]='Ajuste de fechas'!$A$2,"Día actual","Día anterior")</f>
        <v>Día anterior</v>
      </c>
      <c r="C102" t="s">
        <v>28</v>
      </c>
      <c r="D102" t="s">
        <v>61</v>
      </c>
      <c r="E102" t="s">
        <v>234</v>
      </c>
      <c r="F102" t="s">
        <v>24</v>
      </c>
      <c r="G102" t="s">
        <v>235</v>
      </c>
      <c r="H102" t="s">
        <v>11</v>
      </c>
      <c r="I102" t="s">
        <v>7</v>
      </c>
      <c r="J102" t="s">
        <v>24</v>
      </c>
      <c r="K102" t="s">
        <v>62</v>
      </c>
      <c r="L102" t="s">
        <v>40</v>
      </c>
      <c r="M102">
        <v>1</v>
      </c>
    </row>
    <row r="103" spans="1:13" x14ac:dyDescent="0.25">
      <c r="A103" s="2">
        <v>46258</v>
      </c>
      <c r="B103" s="1" t="str">
        <f ca="1">IF(Información1[[#This Row],[Fecha]]='Ajuste de fechas'!$A$2,"Día actual","Día anterior")</f>
        <v>Día anterior</v>
      </c>
      <c r="C103" t="s">
        <v>28</v>
      </c>
      <c r="D103" t="s">
        <v>96</v>
      </c>
      <c r="E103" t="s">
        <v>236</v>
      </c>
      <c r="F103" t="s">
        <v>19</v>
      </c>
      <c r="G103" t="s">
        <v>237</v>
      </c>
      <c r="H103" t="s">
        <v>11</v>
      </c>
      <c r="I103" t="s">
        <v>7</v>
      </c>
      <c r="J103" t="s">
        <v>43</v>
      </c>
      <c r="K103" t="s">
        <v>184</v>
      </c>
      <c r="L103" t="s">
        <v>40</v>
      </c>
      <c r="M103">
        <v>1</v>
      </c>
    </row>
    <row r="104" spans="1:13" x14ac:dyDescent="0.25">
      <c r="A104" s="2">
        <v>46258</v>
      </c>
      <c r="B104" s="1" t="str">
        <f ca="1">IF(Información1[[#This Row],[Fecha]]='Ajuste de fechas'!$A$2,"Día actual","Día anterior")</f>
        <v>Día anterior</v>
      </c>
      <c r="C104" t="s">
        <v>28</v>
      </c>
      <c r="D104" t="s">
        <v>96</v>
      </c>
      <c r="E104" t="s">
        <v>238</v>
      </c>
      <c r="F104" t="s">
        <v>24</v>
      </c>
      <c r="G104" t="s">
        <v>237</v>
      </c>
      <c r="H104" t="s">
        <v>11</v>
      </c>
      <c r="I104" t="s">
        <v>7</v>
      </c>
      <c r="J104" t="s">
        <v>24</v>
      </c>
      <c r="K104" t="s">
        <v>184</v>
      </c>
      <c r="L104" t="s">
        <v>40</v>
      </c>
      <c r="M104">
        <v>1</v>
      </c>
    </row>
    <row r="105" spans="1:13" x14ac:dyDescent="0.25">
      <c r="A105" s="2">
        <v>46258</v>
      </c>
      <c r="B105" s="1" t="str">
        <f ca="1">IF(Información1[[#This Row],[Fecha]]='Ajuste de fechas'!$A$2,"Día actual","Día anterior")</f>
        <v>Día anterior</v>
      </c>
      <c r="C105" t="s">
        <v>28</v>
      </c>
      <c r="D105" t="s">
        <v>61</v>
      </c>
      <c r="E105" t="s">
        <v>239</v>
      </c>
      <c r="F105" t="s">
        <v>24</v>
      </c>
      <c r="G105" t="s">
        <v>237</v>
      </c>
      <c r="H105" t="s">
        <v>11</v>
      </c>
      <c r="I105" t="s">
        <v>7</v>
      </c>
      <c r="J105" t="s">
        <v>24</v>
      </c>
      <c r="K105" t="s">
        <v>62</v>
      </c>
      <c r="L105" t="s">
        <v>40</v>
      </c>
      <c r="M105">
        <v>1</v>
      </c>
    </row>
    <row r="106" spans="1:13" x14ac:dyDescent="0.25">
      <c r="A106" s="2">
        <v>46258</v>
      </c>
      <c r="B106" s="1" t="str">
        <f ca="1">IF(Información1[[#This Row],[Fecha]]='Ajuste de fechas'!$A$2,"Día actual","Día anterior")</f>
        <v>Día anterior</v>
      </c>
      <c r="C106" t="s">
        <v>8</v>
      </c>
      <c r="D106" t="s">
        <v>10</v>
      </c>
      <c r="E106" t="s">
        <v>240</v>
      </c>
      <c r="F106" t="s">
        <v>6</v>
      </c>
      <c r="G106" t="s">
        <v>60</v>
      </c>
      <c r="H106" t="s">
        <v>11</v>
      </c>
      <c r="I106" t="s">
        <v>25</v>
      </c>
      <c r="J106" t="s">
        <v>39</v>
      </c>
      <c r="K106" t="s">
        <v>9</v>
      </c>
      <c r="L106" t="s">
        <v>41</v>
      </c>
      <c r="M106">
        <v>1</v>
      </c>
    </row>
    <row r="107" spans="1:13" x14ac:dyDescent="0.25">
      <c r="A107" s="2">
        <v>46259</v>
      </c>
      <c r="B107" s="1" t="str">
        <f ca="1">IF(Información1[[#This Row],[Fecha]]='Ajuste de fechas'!$A$2,"Día actual","Día anterior")</f>
        <v>Día actual</v>
      </c>
      <c r="C107" t="s">
        <v>49</v>
      </c>
      <c r="D107" t="s">
        <v>54</v>
      </c>
      <c r="E107" t="s">
        <v>241</v>
      </c>
      <c r="F107" t="s">
        <v>242</v>
      </c>
      <c r="G107" t="s">
        <v>133</v>
      </c>
      <c r="H107" t="s">
        <v>11</v>
      </c>
      <c r="I107" t="s">
        <v>7</v>
      </c>
      <c r="J107" t="s">
        <v>39</v>
      </c>
      <c r="K107" t="s">
        <v>9</v>
      </c>
      <c r="L107" t="s">
        <v>41</v>
      </c>
      <c r="M107">
        <v>1</v>
      </c>
    </row>
    <row r="108" spans="1:13" x14ac:dyDescent="0.25">
      <c r="A108" s="2">
        <v>46259</v>
      </c>
      <c r="B108" s="1" t="str">
        <f ca="1">IF(Información1[[#This Row],[Fecha]]='Ajuste de fechas'!$A$2,"Día actual","Día anterior")</f>
        <v>Día actual</v>
      </c>
      <c r="C108" t="s">
        <v>49</v>
      </c>
      <c r="D108" t="s">
        <v>54</v>
      </c>
      <c r="E108" t="s">
        <v>243</v>
      </c>
      <c r="F108" t="s">
        <v>23</v>
      </c>
      <c r="G108" t="s">
        <v>244</v>
      </c>
      <c r="H108" t="s">
        <v>11</v>
      </c>
      <c r="I108" t="s">
        <v>25</v>
      </c>
      <c r="J108" t="s">
        <v>39</v>
      </c>
      <c r="K108" t="s">
        <v>9</v>
      </c>
      <c r="L108" t="s">
        <v>41</v>
      </c>
      <c r="M108">
        <v>1</v>
      </c>
    </row>
    <row r="109" spans="1:13" x14ac:dyDescent="0.25">
      <c r="A109" s="2">
        <v>46259</v>
      </c>
      <c r="B109" s="1" t="str">
        <f ca="1">IF(Información1[[#This Row],[Fecha]]='Ajuste de fechas'!$A$2,"Día actual","Día anterior")</f>
        <v>Día actual</v>
      </c>
      <c r="C109" t="s">
        <v>49</v>
      </c>
      <c r="D109" t="s">
        <v>54</v>
      </c>
      <c r="E109" t="s">
        <v>245</v>
      </c>
      <c r="F109" t="s">
        <v>19</v>
      </c>
      <c r="G109" t="s">
        <v>246</v>
      </c>
      <c r="H109" t="s">
        <v>11</v>
      </c>
      <c r="I109" t="s">
        <v>7</v>
      </c>
      <c r="J109" t="s">
        <v>43</v>
      </c>
      <c r="K109" t="s">
        <v>50</v>
      </c>
      <c r="L109" t="s">
        <v>40</v>
      </c>
      <c r="M109">
        <v>1</v>
      </c>
    </row>
    <row r="110" spans="1:13" x14ac:dyDescent="0.25">
      <c r="A110" s="2">
        <v>46259</v>
      </c>
      <c r="B110" s="1" t="str">
        <f ca="1">IF(Información1[[#This Row],[Fecha]]='Ajuste de fechas'!$A$2,"Día actual","Día anterior")</f>
        <v>Día actual</v>
      </c>
      <c r="C110" t="s">
        <v>49</v>
      </c>
      <c r="D110" t="s">
        <v>54</v>
      </c>
      <c r="E110" t="s">
        <v>247</v>
      </c>
      <c r="F110" t="s">
        <v>19</v>
      </c>
      <c r="G110" t="s">
        <v>133</v>
      </c>
      <c r="H110" t="s">
        <v>11</v>
      </c>
      <c r="I110" t="s">
        <v>7</v>
      </c>
      <c r="J110" t="s">
        <v>43</v>
      </c>
      <c r="K110" t="s">
        <v>50</v>
      </c>
      <c r="L110" t="s">
        <v>40</v>
      </c>
      <c r="M110">
        <v>1</v>
      </c>
    </row>
    <row r="111" spans="1:13" x14ac:dyDescent="0.25">
      <c r="A111" s="2">
        <v>46259</v>
      </c>
      <c r="B111" s="1" t="str">
        <f ca="1">IF(Información1[[#This Row],[Fecha]]='Ajuste de fechas'!$A$2,"Día actual","Día anterior")</f>
        <v>Día actual</v>
      </c>
      <c r="C111" t="s">
        <v>49</v>
      </c>
      <c r="D111" t="s">
        <v>54</v>
      </c>
      <c r="E111" t="s">
        <v>247</v>
      </c>
      <c r="F111" t="s">
        <v>242</v>
      </c>
      <c r="G111" t="s">
        <v>133</v>
      </c>
      <c r="H111" t="s">
        <v>11</v>
      </c>
      <c r="I111" t="s">
        <v>25</v>
      </c>
      <c r="J111" t="s">
        <v>39</v>
      </c>
      <c r="K111" t="s">
        <v>50</v>
      </c>
      <c r="L111" t="s">
        <v>40</v>
      </c>
      <c r="M111">
        <v>1</v>
      </c>
    </row>
    <row r="112" spans="1:13" x14ac:dyDescent="0.25">
      <c r="A112" s="2">
        <v>46259</v>
      </c>
      <c r="B112" s="1" t="str">
        <f ca="1">IF(Información1[[#This Row],[Fecha]]='Ajuste de fechas'!$A$2,"Día actual","Día anterior")</f>
        <v>Día actual</v>
      </c>
      <c r="C112" t="s">
        <v>49</v>
      </c>
      <c r="D112" t="s">
        <v>54</v>
      </c>
      <c r="E112" t="s">
        <v>248</v>
      </c>
      <c r="F112" t="s">
        <v>21</v>
      </c>
      <c r="G112" t="s">
        <v>249</v>
      </c>
      <c r="H112" t="s">
        <v>11</v>
      </c>
      <c r="I112" t="s">
        <v>7</v>
      </c>
      <c r="J112" t="s">
        <v>39</v>
      </c>
      <c r="K112" t="s">
        <v>50</v>
      </c>
      <c r="L112" t="s">
        <v>42</v>
      </c>
      <c r="M112">
        <v>1</v>
      </c>
    </row>
    <row r="113" spans="1:13" x14ac:dyDescent="0.25">
      <c r="A113" s="2">
        <v>46259</v>
      </c>
      <c r="B113" s="1" t="str">
        <f ca="1">IF(Información1[[#This Row],[Fecha]]='Ajuste de fechas'!$A$2,"Día actual","Día anterior")</f>
        <v>Día actual</v>
      </c>
      <c r="C113" t="s">
        <v>80</v>
      </c>
      <c r="D113" t="s">
        <v>81</v>
      </c>
      <c r="E113" t="s">
        <v>250</v>
      </c>
      <c r="F113" t="s">
        <v>19</v>
      </c>
      <c r="G113" t="s">
        <v>251</v>
      </c>
      <c r="H113" t="s">
        <v>11</v>
      </c>
      <c r="I113" t="s">
        <v>7</v>
      </c>
      <c r="J113" t="s">
        <v>43</v>
      </c>
      <c r="K113" t="s">
        <v>56</v>
      </c>
      <c r="L113" t="s">
        <v>40</v>
      </c>
      <c r="M113">
        <v>1</v>
      </c>
    </row>
    <row r="114" spans="1:13" x14ac:dyDescent="0.25">
      <c r="A114" s="2">
        <v>46259</v>
      </c>
      <c r="B114" s="1" t="str">
        <f ca="1">IF(Información1[[#This Row],[Fecha]]='Ajuste de fechas'!$A$2,"Día actual","Día anterior")</f>
        <v>Día actual</v>
      </c>
      <c r="C114" t="s">
        <v>80</v>
      </c>
      <c r="D114" t="s">
        <v>81</v>
      </c>
      <c r="E114" t="s">
        <v>252</v>
      </c>
      <c r="F114" t="s">
        <v>31</v>
      </c>
      <c r="G114" t="s">
        <v>253</v>
      </c>
      <c r="H114" t="s">
        <v>11</v>
      </c>
      <c r="I114" t="s">
        <v>12</v>
      </c>
      <c r="J114" t="s">
        <v>39</v>
      </c>
      <c r="K114" t="s">
        <v>56</v>
      </c>
      <c r="L114" t="s">
        <v>40</v>
      </c>
      <c r="M114">
        <v>1</v>
      </c>
    </row>
    <row r="115" spans="1:13" x14ac:dyDescent="0.25">
      <c r="A115" s="2">
        <v>46259</v>
      </c>
      <c r="B115" s="1" t="str">
        <f ca="1">IF(Información1[[#This Row],[Fecha]]='Ajuste de fechas'!$A$2,"Día actual","Día anterior")</f>
        <v>Día actual</v>
      </c>
      <c r="C115" t="s">
        <v>80</v>
      </c>
      <c r="D115" t="s">
        <v>81</v>
      </c>
      <c r="E115" t="s">
        <v>254</v>
      </c>
      <c r="F115" t="s">
        <v>21</v>
      </c>
      <c r="G115" t="s">
        <v>76</v>
      </c>
      <c r="H115" t="s">
        <v>11</v>
      </c>
      <c r="I115" t="s">
        <v>7</v>
      </c>
      <c r="J115" t="s">
        <v>39</v>
      </c>
      <c r="K115" t="s">
        <v>56</v>
      </c>
      <c r="L115" t="s">
        <v>40</v>
      </c>
      <c r="M115">
        <v>1</v>
      </c>
    </row>
    <row r="116" spans="1:13" x14ac:dyDescent="0.25">
      <c r="A116" s="2">
        <v>46259</v>
      </c>
      <c r="B116" s="1" t="str">
        <f ca="1">IF(Información1[[#This Row],[Fecha]]='Ajuste de fechas'!$A$2,"Día actual","Día anterior")</f>
        <v>Día actual</v>
      </c>
      <c r="C116" t="s">
        <v>80</v>
      </c>
      <c r="D116" t="s">
        <v>81</v>
      </c>
      <c r="E116" t="s">
        <v>255</v>
      </c>
      <c r="F116" t="s">
        <v>23</v>
      </c>
      <c r="G116" t="s">
        <v>140</v>
      </c>
      <c r="H116" t="s">
        <v>11</v>
      </c>
      <c r="I116" t="s">
        <v>12</v>
      </c>
      <c r="J116" t="s">
        <v>39</v>
      </c>
      <c r="K116" t="s">
        <v>56</v>
      </c>
      <c r="L116" t="s">
        <v>42</v>
      </c>
      <c r="M116">
        <v>1</v>
      </c>
    </row>
    <row r="117" spans="1:13" x14ac:dyDescent="0.25">
      <c r="A117" s="2">
        <v>46259</v>
      </c>
      <c r="B117" s="1" t="str">
        <f ca="1">IF(Información1[[#This Row],[Fecha]]='Ajuste de fechas'!$A$2,"Día actual","Día anterior")</f>
        <v>Día actual</v>
      </c>
      <c r="C117" t="s">
        <v>80</v>
      </c>
      <c r="D117" t="s">
        <v>81</v>
      </c>
      <c r="E117" t="s">
        <v>256</v>
      </c>
      <c r="F117" t="s">
        <v>23</v>
      </c>
      <c r="G117" t="s">
        <v>88</v>
      </c>
      <c r="H117" t="s">
        <v>11</v>
      </c>
      <c r="I117" t="s">
        <v>7</v>
      </c>
      <c r="J117" t="s">
        <v>39</v>
      </c>
      <c r="K117" t="s">
        <v>56</v>
      </c>
      <c r="L117" t="s">
        <v>42</v>
      </c>
      <c r="M117">
        <v>1</v>
      </c>
    </row>
    <row r="118" spans="1:13" x14ac:dyDescent="0.25">
      <c r="A118" s="2">
        <v>46259</v>
      </c>
      <c r="B118" s="1" t="str">
        <f ca="1">IF(Información1[[#This Row],[Fecha]]='Ajuste de fechas'!$A$2,"Día actual","Día anterior")</f>
        <v>Día actual</v>
      </c>
      <c r="C118" t="s">
        <v>80</v>
      </c>
      <c r="D118" t="s">
        <v>81</v>
      </c>
      <c r="E118" t="s">
        <v>257</v>
      </c>
      <c r="F118" t="s">
        <v>26</v>
      </c>
      <c r="G118" t="s">
        <v>103</v>
      </c>
      <c r="H118" t="s">
        <v>11</v>
      </c>
      <c r="I118" t="s">
        <v>25</v>
      </c>
      <c r="J118" t="s">
        <v>39</v>
      </c>
      <c r="K118" t="s">
        <v>56</v>
      </c>
      <c r="L118" t="s">
        <v>42</v>
      </c>
      <c r="M118">
        <v>1</v>
      </c>
    </row>
    <row r="119" spans="1:13" x14ac:dyDescent="0.25">
      <c r="A119" s="2">
        <v>46259</v>
      </c>
      <c r="B119" s="1" t="str">
        <f ca="1">IF(Información1[[#This Row],[Fecha]]='Ajuste de fechas'!$A$2,"Día actual","Día anterior")</f>
        <v>Día actual</v>
      </c>
      <c r="C119" t="s">
        <v>80</v>
      </c>
      <c r="D119" t="s">
        <v>81</v>
      </c>
      <c r="E119" t="s">
        <v>258</v>
      </c>
      <c r="F119" t="s">
        <v>26</v>
      </c>
      <c r="G119" t="s">
        <v>133</v>
      </c>
      <c r="H119" t="s">
        <v>11</v>
      </c>
      <c r="I119" t="s">
        <v>12</v>
      </c>
      <c r="J119" t="s">
        <v>39</v>
      </c>
      <c r="K119" t="s">
        <v>56</v>
      </c>
      <c r="L119" t="s">
        <v>42</v>
      </c>
      <c r="M119">
        <v>1</v>
      </c>
    </row>
    <row r="120" spans="1:13" x14ac:dyDescent="0.25">
      <c r="A120" s="2">
        <v>46259</v>
      </c>
      <c r="B120" s="1" t="str">
        <f ca="1">IF(Información1[[#This Row],[Fecha]]='Ajuste de fechas'!$A$2,"Día actual","Día anterior")</f>
        <v>Día actual</v>
      </c>
      <c r="C120" t="s">
        <v>80</v>
      </c>
      <c r="D120" t="s">
        <v>81</v>
      </c>
      <c r="E120" t="s">
        <v>259</v>
      </c>
      <c r="F120" t="s">
        <v>26</v>
      </c>
      <c r="G120" t="s">
        <v>133</v>
      </c>
      <c r="H120" t="s">
        <v>11</v>
      </c>
      <c r="I120" t="s">
        <v>12</v>
      </c>
      <c r="J120" t="s">
        <v>39</v>
      </c>
      <c r="K120" t="s">
        <v>56</v>
      </c>
      <c r="L120" t="s">
        <v>41</v>
      </c>
      <c r="M120">
        <v>1</v>
      </c>
    </row>
    <row r="121" spans="1:13" x14ac:dyDescent="0.25">
      <c r="A121" s="2">
        <v>46259</v>
      </c>
      <c r="B121" s="1" t="str">
        <f ca="1">IF(Información1[[#This Row],[Fecha]]='Ajuste de fechas'!$A$2,"Día actual","Día anterior")</f>
        <v>Día actual</v>
      </c>
      <c r="C121" t="s">
        <v>49</v>
      </c>
      <c r="D121" t="s">
        <v>51</v>
      </c>
      <c r="E121" t="s">
        <v>260</v>
      </c>
      <c r="F121" t="s">
        <v>26</v>
      </c>
      <c r="G121" t="s">
        <v>261</v>
      </c>
      <c r="H121" t="s">
        <v>11</v>
      </c>
      <c r="I121" t="s">
        <v>7</v>
      </c>
      <c r="J121" t="s">
        <v>39</v>
      </c>
      <c r="K121" t="s">
        <v>48</v>
      </c>
      <c r="L121" t="s">
        <v>40</v>
      </c>
      <c r="M121">
        <v>1</v>
      </c>
    </row>
    <row r="122" spans="1:13" x14ac:dyDescent="0.25">
      <c r="A122" s="2">
        <v>46259</v>
      </c>
      <c r="B122" s="1" t="str">
        <f ca="1">IF(Información1[[#This Row],[Fecha]]='Ajuste de fechas'!$A$2,"Día actual","Día anterior")</f>
        <v>Día actual</v>
      </c>
      <c r="C122" t="s">
        <v>49</v>
      </c>
      <c r="D122" t="s">
        <v>51</v>
      </c>
      <c r="E122" t="s">
        <v>262</v>
      </c>
      <c r="F122" t="s">
        <v>69</v>
      </c>
      <c r="G122" t="s">
        <v>263</v>
      </c>
      <c r="H122" t="s">
        <v>11</v>
      </c>
      <c r="I122" t="s">
        <v>7</v>
      </c>
      <c r="J122" t="s">
        <v>39</v>
      </c>
      <c r="K122" t="s">
        <v>48</v>
      </c>
      <c r="L122" t="s">
        <v>42</v>
      </c>
      <c r="M122">
        <v>1</v>
      </c>
    </row>
    <row r="123" spans="1:13" x14ac:dyDescent="0.25">
      <c r="A123" s="2">
        <v>46259</v>
      </c>
      <c r="B123" s="1" t="str">
        <f ca="1">IF(Información1[[#This Row],[Fecha]]='Ajuste de fechas'!$A$2,"Día actual","Día anterior")</f>
        <v>Día actual</v>
      </c>
      <c r="C123" t="s">
        <v>49</v>
      </c>
      <c r="D123" t="s">
        <v>51</v>
      </c>
      <c r="E123" t="s">
        <v>264</v>
      </c>
      <c r="F123" t="s">
        <v>31</v>
      </c>
      <c r="G123" t="s">
        <v>253</v>
      </c>
      <c r="H123" t="s">
        <v>11</v>
      </c>
      <c r="I123" t="s">
        <v>7</v>
      </c>
      <c r="J123" t="s">
        <v>39</v>
      </c>
      <c r="K123" t="s">
        <v>48</v>
      </c>
      <c r="L123" t="s">
        <v>42</v>
      </c>
      <c r="M123">
        <v>1</v>
      </c>
    </row>
    <row r="124" spans="1:13" x14ac:dyDescent="0.25">
      <c r="A124" s="2">
        <v>46259</v>
      </c>
      <c r="B124" s="1" t="str">
        <f ca="1">IF(Información1[[#This Row],[Fecha]]='Ajuste de fechas'!$A$2,"Día actual","Día anterior")</f>
        <v>Día actual</v>
      </c>
      <c r="C124" t="s">
        <v>49</v>
      </c>
      <c r="D124" t="s">
        <v>51</v>
      </c>
      <c r="E124" t="s">
        <v>265</v>
      </c>
      <c r="F124" t="s">
        <v>17</v>
      </c>
      <c r="G124" t="s">
        <v>83</v>
      </c>
      <c r="H124" t="s">
        <v>11</v>
      </c>
      <c r="I124" t="s">
        <v>25</v>
      </c>
      <c r="J124" t="s">
        <v>39</v>
      </c>
      <c r="K124" t="s">
        <v>9</v>
      </c>
      <c r="L124" t="s">
        <v>41</v>
      </c>
      <c r="M124">
        <v>1</v>
      </c>
    </row>
    <row r="125" spans="1:13" x14ac:dyDescent="0.25">
      <c r="A125" s="2">
        <v>46259</v>
      </c>
      <c r="B125" s="1" t="str">
        <f ca="1">IF(Información1[[#This Row],[Fecha]]='Ajuste de fechas'!$A$2,"Día actual","Día anterior")</f>
        <v>Día actual</v>
      </c>
      <c r="C125" t="s">
        <v>49</v>
      </c>
      <c r="D125" t="s">
        <v>51</v>
      </c>
      <c r="E125" t="s">
        <v>266</v>
      </c>
      <c r="F125" t="s">
        <v>26</v>
      </c>
      <c r="G125" t="s">
        <v>133</v>
      </c>
      <c r="H125" t="s">
        <v>11</v>
      </c>
      <c r="I125" t="s">
        <v>7</v>
      </c>
      <c r="J125" t="s">
        <v>39</v>
      </c>
      <c r="K125" t="s">
        <v>48</v>
      </c>
      <c r="L125" t="s">
        <v>42</v>
      </c>
      <c r="M125">
        <v>1</v>
      </c>
    </row>
    <row r="126" spans="1:13" x14ac:dyDescent="0.25">
      <c r="A126" s="2">
        <v>46259</v>
      </c>
      <c r="B126" s="1" t="str">
        <f ca="1">IF(Información1[[#This Row],[Fecha]]='Ajuste de fechas'!$A$2,"Día actual","Día anterior")</f>
        <v>Día actual</v>
      </c>
      <c r="C126" t="s">
        <v>49</v>
      </c>
      <c r="D126" t="s">
        <v>51</v>
      </c>
      <c r="E126" t="s">
        <v>267</v>
      </c>
      <c r="F126" t="s">
        <v>19</v>
      </c>
      <c r="G126" t="s">
        <v>129</v>
      </c>
      <c r="H126" t="s">
        <v>11</v>
      </c>
      <c r="I126" t="s">
        <v>7</v>
      </c>
      <c r="J126" t="s">
        <v>43</v>
      </c>
      <c r="K126" t="s">
        <v>48</v>
      </c>
      <c r="L126" t="s">
        <v>40</v>
      </c>
      <c r="M126">
        <v>1</v>
      </c>
    </row>
    <row r="127" spans="1:13" x14ac:dyDescent="0.25">
      <c r="A127" s="2">
        <v>46259</v>
      </c>
      <c r="B127" s="1" t="str">
        <f ca="1">IF(Información1[[#This Row],[Fecha]]='Ajuste de fechas'!$A$2,"Día actual","Día anterior")</f>
        <v>Día actual</v>
      </c>
      <c r="C127" t="s">
        <v>49</v>
      </c>
      <c r="D127" t="s">
        <v>51</v>
      </c>
      <c r="E127" t="s">
        <v>268</v>
      </c>
      <c r="F127" t="s">
        <v>19</v>
      </c>
      <c r="G127" t="s">
        <v>269</v>
      </c>
      <c r="H127" t="s">
        <v>11</v>
      </c>
      <c r="I127" t="s">
        <v>7</v>
      </c>
      <c r="J127" t="s">
        <v>43</v>
      </c>
      <c r="K127" t="s">
        <v>48</v>
      </c>
      <c r="L127" t="s">
        <v>40</v>
      </c>
      <c r="M127">
        <v>1</v>
      </c>
    </row>
    <row r="128" spans="1:13" x14ac:dyDescent="0.25">
      <c r="A128" s="2">
        <v>46259</v>
      </c>
      <c r="B128" s="1" t="str">
        <f ca="1">IF(Información1[[#This Row],[Fecha]]='Ajuste de fechas'!$A$2,"Día actual","Día anterior")</f>
        <v>Día actual</v>
      </c>
      <c r="C128" t="s">
        <v>49</v>
      </c>
      <c r="D128" t="s">
        <v>51</v>
      </c>
      <c r="E128" t="s">
        <v>255</v>
      </c>
      <c r="F128" t="s">
        <v>23</v>
      </c>
      <c r="G128" t="s">
        <v>140</v>
      </c>
      <c r="H128" t="s">
        <v>11</v>
      </c>
      <c r="I128" t="s">
        <v>7</v>
      </c>
      <c r="J128" t="s">
        <v>39</v>
      </c>
      <c r="K128" t="s">
        <v>270</v>
      </c>
      <c r="L128" t="s">
        <v>42</v>
      </c>
      <c r="M128">
        <v>1</v>
      </c>
    </row>
    <row r="129" spans="1:13" x14ac:dyDescent="0.25">
      <c r="A129" s="2">
        <v>46259</v>
      </c>
      <c r="B129" s="1" t="str">
        <f ca="1">IF(Información1[[#This Row],[Fecha]]='Ajuste de fechas'!$A$2,"Día actual","Día anterior")</f>
        <v>Día actual</v>
      </c>
      <c r="C129" t="s">
        <v>49</v>
      </c>
      <c r="D129" t="s">
        <v>51</v>
      </c>
      <c r="E129" t="s">
        <v>102</v>
      </c>
      <c r="F129" t="s">
        <v>26</v>
      </c>
      <c r="G129" t="s">
        <v>103</v>
      </c>
      <c r="H129" t="s">
        <v>11</v>
      </c>
      <c r="I129" t="s">
        <v>7</v>
      </c>
      <c r="J129" t="s">
        <v>39</v>
      </c>
      <c r="K129" t="s">
        <v>48</v>
      </c>
      <c r="L129" t="s">
        <v>42</v>
      </c>
      <c r="M12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46259</v>
      </c>
      <c r="B2" s="2">
        <f ca="1">A2-1</f>
        <v>46258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2026-08-26T00:25:51Z</dcterms:modified>
</cp:coreProperties>
</file>