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17DD5234-3BA8-4101-88EE-E00ED012997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152" i="2"/>
  <c r="B155" i="2"/>
  <c r="B156" i="2"/>
  <c r="B158" i="2"/>
  <c r="B161" i="2"/>
  <c r="B162" i="2"/>
  <c r="B164" i="2"/>
  <c r="B166" i="2"/>
  <c r="B168" i="2"/>
  <c r="B170" i="2"/>
  <c r="B172" i="2"/>
  <c r="B174" i="2"/>
  <c r="B176" i="2"/>
  <c r="B178" i="2"/>
  <c r="B180" i="2"/>
  <c r="B182" i="2"/>
  <c r="B184" i="2"/>
  <c r="B186" i="2"/>
  <c r="B188" i="2"/>
  <c r="B190" i="2"/>
  <c r="B191" i="2"/>
  <c r="B193" i="2"/>
  <c r="B194" i="2"/>
  <c r="B196" i="2"/>
  <c r="B197" i="2"/>
  <c r="B198" i="2"/>
  <c r="B199" i="2"/>
  <c r="B200" i="2"/>
  <c r="B201" i="2"/>
  <c r="B202" i="2"/>
  <c r="B203" i="2"/>
  <c r="B204" i="2"/>
  <c r="B205" i="2"/>
  <c r="B206"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40" i="2"/>
  <c r="B141" i="2"/>
  <c r="B142" i="2"/>
  <c r="B143" i="2"/>
  <c r="B144" i="2"/>
  <c r="B145" i="2"/>
  <c r="B146" i="2"/>
  <c r="B147" i="2"/>
  <c r="B148" i="2"/>
  <c r="B149" i="2"/>
  <c r="B150" i="2"/>
  <c r="B151" i="2"/>
  <c r="B153" i="2"/>
  <c r="B154" i="2"/>
  <c r="B157" i="2"/>
  <c r="B159" i="2"/>
  <c r="B160" i="2"/>
  <c r="B163" i="2"/>
  <c r="B165" i="2"/>
  <c r="B167" i="2"/>
  <c r="B169" i="2"/>
  <c r="B171" i="2"/>
  <c r="B173" i="2"/>
  <c r="B175" i="2"/>
  <c r="B177" i="2"/>
  <c r="B179" i="2"/>
  <c r="B181" i="2"/>
  <c r="B183" i="2"/>
  <c r="B185" i="2"/>
  <c r="B187" i="2"/>
  <c r="B189" i="2"/>
  <c r="B192" i="2"/>
  <c r="B195" i="2"/>
  <c r="B207" i="2"/>
  <c r="B208" i="2"/>
  <c r="B209" i="2"/>
  <c r="B210"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<sst xmlns="http://schemas.openxmlformats.org/spreadsheetml/2006/main" count="2105" uniqueCount="357">
  <si>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</si>
  <si>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</si>
  <si>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</si>
  <si>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</si>
  <si>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</si>
  <si>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</si>
  <si>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</si>
  <si>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</si>
  <si>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</si>
  <si>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</si>
  <si>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</si>
  <si>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</si>
  <si>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</si>
  <si>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</si>
  <si>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</si>
  <si>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</si>
  <si>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</si>
  <si>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</si>
  <si>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</si>
  <si>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</si>
  <si>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</si>
  <si>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</si>
  <si>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</si>
  <si>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</si>
  <si>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</si>
  <si>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</si>
  <si>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</si>
  <si>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</si>
  <si>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</si>
  <si>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</si>
  <si>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</si>
  <si>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</si>
  <si>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</si>
  <si>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</si>
  <si>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</si>
  <si>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</si>
  <si>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</si>
  <si>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</si>
  <si>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</si>
  <si>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</si>
  <si>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</si>
  <si>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</si>
  <si>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</si>
  <si>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</si>
  <si>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</si>
  <si>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</si>
  <si>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</si>
  <si>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</si>
  <si>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</si>
  <si>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</si>
  <si>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</si>
  <si>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</si>
  <si>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</si>
  <si>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</si>
  <si>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</si>
  <si>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</si>
  <si>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</si>
  <si>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</si>
  <si>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Radiodifusoras</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</si>
  <si>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</si>
  <si>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</si>
  <si>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</si>
  <si>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</si>
  <si>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</si>
  <si>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</si>
  <si>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</si>
  <si>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</si>
  <si>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</si>
  <si>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Eulalio Larrieta agradece a Carlos Gamiño por estar al pendiente de temas</t>
  </si>
  <si>
    <t>La Poderosa Tuxpan 93.1 FM</t>
  </si>
  <si>
    <t>NN Nuestras Noticias Zona Norte</t>
  </si>
  <si>
    <t>Liz Argüelles</t>
  </si>
  <si>
    <t>Entrevista</t>
  </si>
  <si>
    <t>SSH</t>
  </si>
  <si>
    <t>Abasto de agua</t>
  </si>
  <si>
    <t>Enfoque Regional Matutino</t>
  </si>
  <si>
    <t>Rodolfo López</t>
  </si>
  <si>
    <t>Participación</t>
  </si>
  <si>
    <t>Radio Lobo 96.7 FM</t>
  </si>
  <si>
    <t>TSJEH</t>
  </si>
  <si>
    <t>Reforma Electoral</t>
  </si>
  <si>
    <t>Rutas de la Reconstrucción</t>
  </si>
  <si>
    <t>Cultura</t>
  </si>
  <si>
    <t>Proceso electoral</t>
  </si>
  <si>
    <t>Feria Patronal</t>
  </si>
  <si>
    <t>Ataque Armado</t>
  </si>
  <si>
    <t>Festival Gastronómico</t>
  </si>
  <si>
    <t>Ordenamiento Territorial</t>
  </si>
  <si>
    <t>Proceso Por Feminicidio</t>
  </si>
  <si>
    <t>TV Cable hidalguense Canal 6</t>
  </si>
  <si>
    <t>Contigo Noticias</t>
  </si>
  <si>
    <t>Imagen Urbana</t>
  </si>
  <si>
    <t>Alerta Meteorológica</t>
  </si>
  <si>
    <t>Conmemoración Aniversario</t>
  </si>
  <si>
    <t>OCSAD</t>
  </si>
  <si>
    <t>Feria Del Libro</t>
  </si>
  <si>
    <t>Registro de celulares</t>
  </si>
  <si>
    <t>Carril confinado</t>
  </si>
  <si>
    <t>Entrega de reconocimientos</t>
  </si>
  <si>
    <t>Modernización Tuzobús</t>
  </si>
  <si>
    <t>Día de los pueblos indígenas</t>
  </si>
  <si>
    <t>Turismo</t>
  </si>
  <si>
    <t>Recolección De Basura</t>
  </si>
  <si>
    <t>Enfrentamiento Político</t>
  </si>
  <si>
    <t>Segunda etapa de modernización fortalece el transporte metropolitano de Hidalgo, AUDIO APOYO</t>
  </si>
  <si>
    <t>Atropellamiento</t>
  </si>
  <si>
    <t>Pueblos con sabor</t>
  </si>
  <si>
    <t>Detención</t>
  </si>
  <si>
    <t>Incidencia Delictiva</t>
  </si>
  <si>
    <t>Reforma De Ley</t>
  </si>
  <si>
    <t>Aspirantes</t>
  </si>
  <si>
    <t>Milton Cortés</t>
  </si>
  <si>
    <t>Un hombre de 41 años perdió la vida luego de ser atacado con disparos de arma de fuego en el municipio de Axapusco, Estado de México. Aunque fue trasladado de emergencia a una unidad médica en Villa de Tezontepec, Hidalgo, al arribar ya no presentaba signos vitales.Aunque el fallecimiento fue certificado en Hidalgo, la agresión ocurrió en territorio del Estado de México, por lo que las autoridades de ambas entidades deberán coordinar las investigaciones para esclarecer los hechos, identificar a los responsables y determinar el móvil del ataque.</t>
  </si>
  <si>
    <t>Homicidios</t>
  </si>
  <si>
    <t>Saderh y Universidad de Chapingo firman convenio para el análisis de suelos agrícolas</t>
  </si>
  <si>
    <t>Saderh</t>
  </si>
  <si>
    <t>Firma de convenio</t>
  </si>
  <si>
    <t>En la redacción de Enfoque Regional se recibieron reportes sobre la falta de agua potable en algunas colonias y comunidades de Atotonilco de Tula. Platicamos de la situación con el ingeniero Osvaldo Rodríguez Miranda director de la Comisión de Agua, Alcantarillado y Saneamiento del Municipio de Atotonilco de Tula, quien informó que se realizaron algunas maniobras de mantenimiento, lo que provocó el desabasto, y comentó que el servicio ya se regularizó.</t>
  </si>
  <si>
    <t>Una granizada acompañada de trozos de hielo de considerable tamaño se registró en diversos puntos de Alfajayucan. Campesinos de la región estimaron de manera preliminar afectaciones de hasta el 50 por ciento en las siembras, principalmente en parcelas en etapa de floración, a la espera de un reporte o balance oficial de evaluación por parte de las autoridades municipales o de Protección Civil.</t>
  </si>
  <si>
    <t>Afectaciones Por Lluvias</t>
  </si>
  <si>
    <t>Un hombre de 36 años fue aprehendido por elementos de la Secretaría de Seguridad Ciudadana de Mineral de la Reforma en el fraccionamiento Paseos de Chavarría, luego de que al notar la presencia policial intentó huir y agredió a los agentes. Al consultar la base de datos, se confirmó que contaba con una orden de aprehensión vigente por el delito de homicidio calificado, por lo que fue remitido al Ministerio Público.</t>
  </si>
  <si>
    <t>Aprehensión</t>
  </si>
  <si>
    <t>Refugio para Mujeres presenta Protocolo de Atención a municipios, AUDIO APOYO</t>
  </si>
  <si>
    <t>Atención a la mujer</t>
  </si>
  <si>
    <t>El Instituto Hidalguense de las Mujeres sostuvo una reunión de trabajo con las 84 instancias municipales para homologar el protocolo de canalización al refugio "En Familia Rompemos el Silencio". El espacio ofrece protección médica, psicológica, jurídica y educativa las 24 horas del día a mujeres e hijos en situación de violencia extrema. AUDIO DE APOYO</t>
  </si>
  <si>
    <t>Refugio para Mujeres presenta Protocolo de Atención a municipios</t>
  </si>
  <si>
    <t>Comenta el conductor Eulalio Larrieta que hoy en Santa Julia estará el programa “Colonia x Colonia”, contando con la presencia de todos los directivos de las diferentes áreas del ayuntamiento de Pachuca, y el presidente municipal Jorge Reyes, para dar solución a todo lo que requiera la ciudadanía.</t>
  </si>
  <si>
    <t>Se fortalece en el Hospital General del IMSS Bienestar de Tula, Hidalgo, un modelo de atención materna que promueve el parto natural, cuando representa la mejor opción para la madre y el bebé. A través de un comunicado se informó que, como parte de esta estrategia, el hospital cuenta con el Club del Embarazo, donde las mujeres y sus familias reciben orientación sobre control prenatal, signos de alarma, nutrición, ejercicios psicoprofilácticos, técnicas de respiración y herramientas que les permiten participar activamente durante el embarazo, el parto y el nacimiento de sus hijas e hijos.</t>
  </si>
  <si>
    <t>Atención prenatal</t>
  </si>
  <si>
    <t>Habitantes de la comunidad de Doxey, en Tlaxcoapan, mantuvieron bloqueado por segundo día consecutivo el acceso al centro de transferencia de residuos sólidos habilitado por el ayuntamiento tras el colapso del relleno regional de Tula. Los inconformes señalaron probables riesgos ambientales, proliferación de plagas y temor a la contaminación del pozo de agua potable que abastece a más de 100 mil habitantes, además de acusar el presunto depósito de desechos hospitalarios. Ante la manifestación, la recolección de basura municipal fue suspendida temporalmente.</t>
  </si>
  <si>
    <t>Basurero Clandestino</t>
  </si>
  <si>
    <t>Radioescucha reporta que en el tunel Huasca no tiene luz, y eso causa muchos accidentes</t>
  </si>
  <si>
    <t>Carretera Huasca</t>
  </si>
  <si>
    <t>Radioescucha comenta que en la calle Niño Perdido, a una cuadra de la presidencia municipal de Pachuca, están muchos perros y ya mordieron a varias personas, pide a las autoridades hacer algo</t>
  </si>
  <si>
    <t>Control animal</t>
  </si>
  <si>
    <t>El municipio de Huejutla de Reyes será sede del Festival Nacional de Pueblos Originarios Tlaxtoli 2026 y de la conmemoración del Día Internacional de los Pueblos Indígenas, del 7 al 9 de agosto. El encuentro reunirá a 350 artesanos, 50 cocineras tradicionales, 130 médicos ancestrales y 150 danzantes de Hidalgo y cinco entidades invitadas; asimismo, el 9 de agosto se rendirá homenaje a más de 1,500 parteras tradicionales. AUDIO DE APOYO</t>
  </si>
  <si>
    <t>Radioescucha Sra Mary reporta: mucha basura y por eso el drenaje está tapado; manda fotos, esto en calle de la 3.ª de Simón Bolívar en el Barrio La Palma.</t>
  </si>
  <si>
    <t>Drenaje tapado</t>
  </si>
  <si>
    <t>El gobernador Julio Menchaca Salazar fijó su postura frente a las recientes declaraciones de la senadora Carolina Viggiano Austria, señalando que la titularidad del Ejecutivo le exige actuar con seriedad, responsabilidad y sustento, por lo que descartó engancharse en confrontaciones políticas: AUDIO DE APOYO</t>
  </si>
  <si>
    <t>El Poder Judicial de Hidalgo pondrá en operación a partir del 3 de agosto, o sea el próximo lunes, un nuevo juzgado familiar especializado en el Distrito Judicial de Pachuca.</t>
  </si>
  <si>
    <t>Entrega de instalaciones</t>
  </si>
  <si>
    <t>En un video que circula en redes sociales, Liliana López Rangel pide justicia para su hijo Jesús Manuel López López, un repartidor de comida que perdió la vida luego de ser embestido por un vehículo la noche del pasado viernes 24 de julio en la esquina de Vicente Segura y Samuel Carro, a una cuadra de La Villita, en Pachuca, asegura que en el carro que imp4ctó la motocicleta donde viajaba su hijo iban cinco personas en presunto estado de ebriedad.</t>
  </si>
  <si>
    <t>Exigen esclarecer homicidio</t>
  </si>
  <si>
    <t>Familiares de Jorge Enrique Arcadio Rangel, quien fue asesinado por la tarde de lunes 27 de julio en el municipio de Zacualtipán, piden el apoyo de la ciudadanía para localizar al presunto responsable del homicidio en redes sociales difundieron una ficha con la identidad parcial y las características físicas del hombre, señalado como presunto agresor. Se trata de un hombre de 29 años de edad, que presuntamente es originario de la región huasteca y que, tras los hechos, habría escapado con rumbo desconocido. Advirtieron que, de no registrarse avances en el caso, realizarían movilizaciones para exigir justicia; entre estas movilizaciones, bloqueo de la carretera Pachuca-Huejutla a la altura de las instalaciones del Ministerio Público de Zacualtipán.</t>
  </si>
  <si>
    <t>La Feria de San Francisco-Pachuca 2026 crece luego de que los organizadores confirmaron que será este jueves 30 de julio cuando se presente de manera oficial la cartelera del Teatro del Pueblo, uno de los principales atractivos de la máxima fiesta de la capital hidalguense.</t>
  </si>
  <si>
    <t>Feria Pachuca</t>
  </si>
  <si>
    <t>Con la proximidad de la Feria Tepetilán 2026, programada del 6 al 10 de agosto , las autoridades municipales reforzaron el llamado a la prevención ante la circulación de publicaciones en redes sociales que ofrecen de manera presuntamente fraudulenta habitaciones y departamentos en renta para quienes asistirán a esas festividades.</t>
  </si>
  <si>
    <t>Del 31 de julio al 2 de agosto, el municipio de Paxtepec y la región de Huasca de Ocampo albergarán la novena edición del Festival del Hongo en el Rancho Cinegético El Guajolote. El evento ofrecerá recolección guiada de hongos silvestres en zona boscosa, muestras culturales y platillos preparados por cocineras tradicionales. AUDIO DE APOYO</t>
  </si>
  <si>
    <t>Radioescucha reporta fuga de agua en el cerro frente a Plaza Q</t>
  </si>
  <si>
    <t>Fuga De Agua</t>
  </si>
  <si>
    <t>Vía telefónica, Ing. Francisco Lugo, secretario de Obras Públicas del municipio de Pachuca, con el tema imagen urbana en el municipio de Pachuca. Es un tema aún poco preocupante; van 292 anuncios publicitarios retirados, algunos retirados por el ayuntamiento y otros por la empresa propietaria, ya que no contaban con las especificaciones necesarias. Sobre el tema de negocios que obstruyen las banquetas, efectivamente no está permitido tener mesas en la parte de afuera, y esos temas le corresponden más a reglamentos y espectáculos.</t>
  </si>
  <si>
    <t>La Universidad Tecnológica de Tulancingo (UTEC) participa en un proyecto de investigación que aplica Inteligencia Artificial, vehículos aéreos no tripulados (drones) y tecnología geoespacial para mapear e identificar riesgos de dispersión de metales pesados en los jales mineros de Zimapán. El desarrollo técnico se realiza en colaboración con la UAEH, la UAEMex, la empresa SIGSA y el financiamiento del Citnova.</t>
  </si>
  <si>
    <t>Investigación académica</t>
  </si>
  <si>
    <t>Investigador de la UTEC participa en proyecto para evaluar jales mineros en Zimapán</t>
  </si>
  <si>
    <t>Egresada del Cobaeh obtiene beca para estudiar en la Universidad de Pensilvania</t>
  </si>
  <si>
    <t>Movilidad Académica</t>
  </si>
  <si>
    <t>Yexalén Islas Castillo, egresada del plantel Almoloya del Colegio de Bachilleres del Estado de Hidalgo (Cobaeh), fue admitida con beca de cobertura 100% en la Universidad de Pensilvania, Estados Unidos, para cursar la licenciatura en Enfermería y Neurociencias. La estudiante aprendió inglés de forma autodidacta y superó las pruebas estandarizadas del examen SAT tras realizar 22 solicitudes de admisión en el extranjero. AUDIO DE APOYO</t>
  </si>
  <si>
    <t>El estado de Hidalgo recibió un reconocimiento por su aportación al plan de seguridad y protección civil "Kukulcán", desplegado durante la Copa Mundial de Fútbol 2026. El gobernador Julio Menchaca acompañó a la presidenta Claudia Sheinbaum Pardo en la entrega de distinciones al personal operativo, destacando que Pachuca fungió como campamento base de la selección de Sudáfrica del 2 al 26 de junio, periodo en el que se mantuvo un monitoreo permanente sin incidentes. AUDIO DE APOYO.</t>
  </si>
  <si>
    <t>Mundial De Futbol</t>
  </si>
  <si>
    <t>El alumno Rommel Martínez Montes, estudiante del plantel Cecyteh en Ixmiquilpan, obtuvo la medalla de oro en la Olimpiada Hidalguense de Informática, con lo que aseguró su pase para representar a la entidad en la fase nacional de la competencia. AUDIO DE APOYO</t>
  </si>
  <si>
    <t>Olimpiada de informática</t>
  </si>
  <si>
    <t>Uplaph avanza en la elaboración del Programa Regional de Desarrollo Urbano y Ordenamiento Territorial de Tula, AUDIO APOYO</t>
  </si>
  <si>
    <t>La Unidad de Planeación y Prospectiva del Gobierno de Hidalgo realizó un taller diagnóstico en Atotonilco de Tula para la elaboración del Programa Regional de Desarrollo Urbano y Ordenamiento Territorial de Tula. Durante las mesas de trabajo con autoridades y sociedad civil, el titular de la dependencia, Miguel Ángel Tello Vargas, subrayó que el objetivo es proyectar un crecimiento ordenado y sustentable para la región. AUDIO DE APOYO</t>
  </si>
  <si>
    <t>Radioescucha comenta: Debería la Semot no dejar estacionar a nadie en la Avenida Juárez y en la Avenida Revolución para que fluya el tránsito, porque si no, no va a funcionar.</t>
  </si>
  <si>
    <t>Ordenamiento vial</t>
  </si>
  <si>
    <t>En el marco del Día Mundial contra la Hepatitis, este 28 de julio, el Instituto Mexicano del Seguro Social (IMSS) en Hidalgo refuerza las acciones de concientización, detección y atención oportuna de esta enfermedad, que puede ocasionar daños graves al hígado si no se trata a tiempo. A través de sus Unidades de Medicina Familiar (UMF) se promueven estrategias preventivas.</t>
  </si>
  <si>
    <t>Prevención De Enfermedades</t>
  </si>
  <si>
    <t>El INE invita a las Instituciones de Educación Superior a participar en el monitoreo de programas de radio y televisión que difundan noticias durante las precampañas y campañas del Proceso Electoral Federal 2026-2027, Fecha límite: 31 de julio de 2026.</t>
  </si>
  <si>
    <t>La secretaria de Turismo de Hidalgo, Elizabeth Quintanar Gómez, explicó que la decisión de pausar la incorporación de nuevas localidades al programa Pueblos con Sabor durante 2026 y 2027 responde a la necesidad de consolidar la promoción y el control de calidad gastronómica de los 37 municipios que ya cuentan con la denominación. AUDIO DE APOYO</t>
  </si>
  <si>
    <t>Julio Menchaca prioriza atención de emergencias con nuevas instalaciones para bomberos y PC, AUDIO APOYO</t>
  </si>
  <si>
    <t>Recuperación Del Patrimonio</t>
  </si>
  <si>
    <t>Julio Menchaca prioriza atención de emergencias con nuevas instalaciones para bomberos y PC</t>
  </si>
  <si>
    <t>Tras 22 años sin la construcción de una nueva sede de auxilio en la capital hidalguense, el gobernador Julio Menchaca Salazar entregó las instalaciones del Heroico Cuerpo de Bomberos y las oficinas rehabilitadas de la Subsecretaría de Protección Civil y Gestión de Riesgos, con una inversión superior a 91 millones de pesos. El complejo, situado en el antiguo Polifórum José María Morelos y Pavón, cuenta con equipamiento tecnológico especializado y recibirá en noviembre un camión con escalera de 42 metros para emergencias de gran altura.Asimismo, durante la supervisión de obras de reconstrucción tras las afectaciones por lluvias, el mandatario informó que se cuenta con el compromiso del Gobierno Federal —a través de la SCT y Conagua— y del Gobierno del Estado para destinar este año 8,115 millones de pesos a la rehabilitación de caminos, sistemas de agua y 55 puentes dañados. AUDIOS DE APOYO</t>
  </si>
  <si>
    <t>El Congreso de Hidalgo informó que la iniciativa de reforma al Código Electoral del Estado continúa en análisis dentro de la Comisión de Legislación y Puntos Constitucionales, por lo que aún podría registrar cambios antes de ser presentada ante el Pleno, especialmente en los puntos que han generado mayor debate, como el esquema de paridad de género por orden alfabético.El presidente de la Junta de Gobierno, Andrés Velázquez Vázquez, señaló que la propuesta se revisa desde el ámbito jurídico y con la opinión de especialistas, al tiempo que aseguró que no habrá una aprobación apresurada.</t>
  </si>
  <si>
    <t>En un encuentro con medios de comunicación, el gobernador Julio Manchaca Salazar, abordó el tema de la iniciativa de reforma electoral que plantea reservar 42 de las 84 alcaldías del estado para candidaturas exclusivas de mujeres en el proceso electoral de 2027. El gobernador señaló que ante las distintas posturas que ha generado la propuesta, siempre habrá diferentes puntos de vista y sostuvo que corresponde al poder legislativo analizar y, en su caso, aprobar la iniciativa, AUDIO JMS</t>
  </si>
  <si>
    <t>Un joven de 18 años, identificado con las iniciales V. A. N. y originario del municipio de Huautla, falleció ahogado tras ingresar a una zona profunda del río Atlapexco en la Huasteca Hidalguense. Elementos de Protección Civil, corporaciones de seguridad y pobladores desplegaron un operativo de búsqueda durante dos horas hasta recuperar el cuerpo para las diligencias de ley.</t>
  </si>
  <si>
    <t>Rescate de cuerpo</t>
  </si>
  <si>
    <t>En entrevista con medios de comunicación el gobernador Julio Menchaca Salazar habló sobre el rezago judicial que enfrenta Hidalgo,luego de que la entidad fuera ubicada en el décimo lugar nacional, con un inventario histórico de 179880 expedientes que están pendientes de resolución, de acuerdo con cifras del Censo Nacional de Impartición de Justicia Estatal. Es un trabajo muy intenso el que realiza el Poder Judicial, AUDIO APOYO</t>
  </si>
  <si>
    <t>Rezago judicial</t>
  </si>
  <si>
    <t>Radioescucha reporta que en la colonia Palma, en la calle Alcatraz, están muchas tomas de agua clandestinas.</t>
  </si>
  <si>
    <t>Robo De Agua</t>
  </si>
  <si>
    <t>El gobernador Julio Menchaca Salazar informó sobre el avance de las rutas de la reconstrucción, estrategia puesta en marcha para dar seguimiento a las acciones de recuperación en los 28 municipios afectados por vaguada monzónica registrada en octubre del 2025, AUDIO APOYO JMS</t>
  </si>
  <si>
    <t>Refugio para Mujeres presenta Protocolo de Atención a municipios.</t>
  </si>
  <si>
    <t>La Comisión Nacional del Agua (Conagua), a través de su Dirección Local Hidalgo, finalizó el operativo de limpieza y desazolve en la red de drenaje en el municipio de Progreso de Obregón, teniendo como resultado el desazolve de 5 mil 960 metros lineales de tubería, 59 pozos de visita y 1 fosa séptica; además se retiraron 8 metros cúbicos (m3) de azolve y se succionaron 46 m3 de agua residual. Por otra parte, con la finalidad de fortalecer estas acciones de prevención, la Comisión dio inicio a los trabajos de mantenimiento a la red de desagüe en el municipio de Tlahuelilpan, los cuales se prevé que se efectuarán a lo largo de una semana. Es importante señalar que las labores que realiza la Conagua en ambos municipios benefician en conjunto a una población de más de 23 mil habitantes con la finalidad de contribuir al adecuado funcionamiento de la infraestructura sanitaria y reducir riesgos para la población durante la temporada de lluvias. La Comisión reitera el exhorto a las autoridades municipales a realizar limpieza y desazolve en puentes, alcantarillas y vados, además de eliminar obstáculos que impidan el libre escurrimiento de las corrientes dentro de la zona urbana y/o comunidades de su jurisdicción.</t>
  </si>
  <si>
    <t>Desazolve</t>
  </si>
  <si>
    <t>Un hombre que contaba con una orden de aprehensión vigente por el delito de homicidio calificado, fue detenido por elementos de la Secretaría de Seguridad Ciudadana de Mineral de la Reforma, luego de que intentó escapar y presuntamente agrediera a los policías durante una intervención en el fraccionamiento Paseos de Chavarría. De acuerdo con la información oficial, los hechos ocurrieron mientras los agentes municipales realizaban recorridos de seguridad y vigilancia en la zona. Durante el operativo detectaron a un sujeto que, al percatarse de la presencia de las patrullas, intentó huir, por lo que fue alcanzado e intervenido. Las autoridades señalaron que, durante la revisión, el individuo mostró una actitud agresiva hacia los elementos policiacos. Posteriormente, al consultar sus datos en las bases institucionales, se confirmó que tenía una orden de aprehensión vigente por el delito de homicidio calificado. El detenido fue identificado con las iniciales J.A.O.M., de 36 años de edad, quien quedó a disposición de la autoridad competente para dar continuidad al proceso legal correspondiente. La Secretaría de Seguridad Ciudadana informó que este tipo de acciones forman parte de los operativos permanentes de vigilancia y prevención que se realizan en distintos sectores del municipio para reforzar la seguridad y la aplicación de la ley.</t>
  </si>
  <si>
    <t>Raíces, memoria y diversidad: Hidalgo celebra a sus pueblos</t>
  </si>
  <si>
    <t>Raíces, memoria y diversidad: Hidalgo celebra a sus pueblos originarios</t>
  </si>
  <si>
    <t>En su colaboración diaria, David Cárdenas informó que, el día de ayer, se realizó una conferencia de prensa a la que acudió NQ y en donde se informó que Huejutla será capital de las culturas originarias al realizarse el “Festival de Pueblos Originarios Tlajtoli 2026”. El alcalde Alfredo San Román impulsa este encuentro nacional de la huasteca, durante la presentación, el alcalde destacó que la organización de este encuentro es resultado de la coordinación entre los tres órdenes de gobierno y representa una oportunidad para proyectar la identidad, tradiciones, patrimonio cultural y el fortalecimiento de la cultura de los pueblos originarios.</t>
  </si>
  <si>
    <t>El Congreso del Estado Libre y Soberano de Hidalgo entregó la distinción “La Mina del Tiempo” al Trío Aurora Hidalguense, como reconocimiento a su destacada trayectoria artística e invaluable contribución a la preservación, promoción y difusión del huapango y la música tradicional de la Sierra y Huasteca. El diputado Andrés Velázquez Vázquez, presidente de la Junta de Gobierno, resaltó que el grupo ha llevado la música de la Sierra y la Huasteca a escenarios nacionales e internacionales, preservando las raíces del huapango mientras conecta con nuevas generaciones mediante una propuesta que mantiene viva la tradición. El legislador explicó que la distinción simboliza el reconocimiento a una trayectoria construida con esfuerzo, disciplina y compromiso con la identidad del pueblo hidalguense, reafirmando que la cultura es un motor de orgullo, desarrollo y cohesión social, y que el Congreso continuará impulsando espacios para preservar y difundir las expresiones artísticas que distinguen a la entidad.</t>
  </si>
  <si>
    <t>Referente al evento en donde se reconoció el esfuerzo nacional durante Mundial de Futbol 2026, locutor David Cárdenas comentó que, en el tema deportivo, el estado de Hidalgo cumplió con creces la encomienda, no solamente la invitación y la llegada sino la anfitrionía, la cortesía y todo lo que lleva a cabo la necesidad de alguien que visita al Estado. En esta materia, Hidalgo ha estado presente en el mundial 2026, tanto, que se abrió la posibilidad de que Sudrafirca pueda ver en Hidalgo algún intercambio, porque así es como se van haciendo y fortaleciendo las relaciones con países lejanos, porque, a través de estar presentes se llevan lo mejor de Hidalgo. “Sí es el deporte pero también los lazos que se fortalecen”, expresó.</t>
  </si>
  <si>
    <t>Reconocen esfuerzo nacional durante Mundial de Futbol 2026</t>
  </si>
  <si>
    <t>Respecto a las acciones de la elaboración del Programa Regional de Desarrollo Urbano y Ordenamiento Territorial de Tula de la Unidad de Planeación y Prospectiva, locutor David Cárdenas comentó que, en otros tiempo cada municipio llevaba a cabo un ejercicio para expresar sus necesidades, pero, no tenía esta interconexión con los municipios aledaños por lo que, había que trasladarse de un lado a otro; hoy, en la actualidad todo requieres un procedimiento, todo requiere una normativa, todo requiere que se lleven a cabo estudios de factibilidad que puedan homologarse y que puedan tener esta interconexión, por ello, es que estas acciones fortalecen la planeación regional y avanzan en la construcción de instrumentos que permiten ordenar el crecimiento del territorio y contribuir al desarrollo de ciudades más adecuadas para las familias hidalguenses.</t>
  </si>
  <si>
    <t>Uplaph avanza en la elaboración del Programa Regional de Desarrollo Urbano y Ordenamiento Territorial de Tula</t>
  </si>
  <si>
    <t>El Instituto Mexicano del Seguro Social (IMSS) en Hidalgo realiza de manera permanente acciones de prevención y detección de hepatitis en el marco del día mundial contra esta enfermedad, el cual se conmemora cada 28 de julio. La hepatitis es una inflamación del hígado causada por virus (A, B, C, D y E), consumo excesivo de alcohol, medicamentos o enfermedades autoinmunes. Muchas veces no presenta síntomas iniciales, lo que dificulta su diagnóstico. La coordinadora de Enfermería en Salud Pública, Yenny Leticia Pérez Corona, señaló que la prevención y el diagnóstico oportuno evitan complicaciones tales como: cirrosis, cáncer de hígado e insuficiencia hepática, las cuales ocurren principalmente cuando la infección por los tipos B, C o D se vuelve crónica. Indicó que, en las unidades médicas se ofrecen pruebas rápidas gratuitas de hepatitis C en sus Unidades de Medicina Familiar, dirigidas a grupos de riesgo como personas con inmunodeficiencia, antecedentes de transfusión, tatuajes o perforaciones.</t>
  </si>
  <si>
    <t>Respecto a la entrega de la Estación de Bomberos "José María Morelos y Pavón", locutor David Cárdenas comentó que, durante mucho tiempo el polifórum estuvo ahí vacío, después fue utilizado, incluso, dice, un equipo de fútbol lo tenía como parte de su inventario, era muy difícil que los ciudadanos lo pudiéramos ocupar de alguna manera porque parecía que tenía un dueño; este complejo que es de las y los hidalguenses estaba a disposición o servicio de una empresa o simplemente estaba vacío. Alguna vez, dice, recuerda que había fútbol de canchitas, se llegaron a hacer exposiciones, pero, las personas creían que ya no era del Estado, que era propiedad privada de alguien</t>
  </si>
  <si>
    <t>Julio Menchaca prioriza atención de emergencias con nuevas instalaciones para bomberos y PC. (AUDIO JMS)</t>
  </si>
  <si>
    <t>Respecto a la inauguración de la Estación de Bomberos "José María Morelos y Pavón" y las nuevas Oficinas de la Subsecretaría de Protección Civil de Hidalgo, locutor Juan Carlos Santamaría comentó que, el espacio fue escenario de conciertos, escenario deportivo, pues había una cancha de fútbol rápido, el algunos años se jugaron ahí algunos torneos de medios de comunicación en lo que dice, le tocó participar con el ya desaparecido equipo “ Diario Visor”, incluso, señaló, en ese recinto llegó a venir a jugar Diego Armando Maradona; Luis Miguel también se llegó a presentar en este Polifórum. Al final, dice, de todo esto quedaron recuerdos, sobre todo, de un espacio que no se estaba aprovechando y que mejor que ahora, sea la Estación de Bomberos "José María Morelos y Pavón".</t>
  </si>
  <si>
    <t>Julio Menchaca prioriza atención de emergencias con nuevas instalaciones para bomberos y PC. (AUDIO JMS).</t>
  </si>
  <si>
    <t>Locutor Juan Carlos Santamaría comentó que, un asunto de relevancia para la zona metropolitana es la apertura de las nuevas instalaciones para Protección Civil y una nueva estación de Bomberos. Sin duda, en la niñez, uno de los sueños que se tienen es llegar a ser bombero, ya en el terreno de la realidad, cuando uno crece se ve la dificultad de esta profesión, cuestión por la cual, muchos declinan a ese sueño de niños y precisamente, cuando se ven las dificultades, lo que las personas que se dedican a esta noble tarea sacrifican en muchas ocasiones, incluso hasta su propia vida en cada servicio de emergencia, por ello, es que es uno de los trabajos con mayor reconocimiento social en el país. De acuerdo a datos del INEGI junto con personal de enfermería y docencia, los bomberos son de las profesiones que mayor reconocimiento social goza, muy merecido siempre el reconocimiento la Cuerpo de Bomberos.</t>
  </si>
  <si>
    <t>Un venado que era perseguido por cazadores furtivos fue rescatado por habitantes de la comunidad de El Xúchitl, en Huejutla, luego de que el ejemplar resultase herido mientras intentaba escapar. El animal fue localizado y capturado con cuidado por el delegado de la localidad, Ponciano Cruz Hernández, con el apoyo de otros vecinos, quienes intervinieron al percatarse de las lesiones que presentaba y solicitaron la presencia de los cuerpos de emergencia para ponerlo a salvo. De acuerdo con lo señalado por el representante comunitario, varias personas perseguían al cervatillo y habrían realizado disparos en su contra, aunque no consiguieron alcanzarlo. En su intento por alejarse, el venado atravesó una zona con alambre de púas, donde sufrió diferentes heridas. Tras asegurar al ejemplar, Cruz Hernández se comunicó con personal de Protección Civil Municipal y Bomberos de Huejutla para pedir apoyo con su entrega y traslado, debido a que requería una valoración médica y curaciones.</t>
  </si>
  <si>
    <t>Rescate Animal</t>
  </si>
  <si>
    <t>Entre 50 y 70 personas indígenas privadas de la libertad en penitenciarías de Hidalgo podrían acceder a un programa de excarcelación, tras detectarse irregularidades en sus procesos judiciales, porque carecieron de un traductor durante su procedimiento; o bien, no lograron pagar la reparación del daño. Así lo informó Prisco Manuel Gutiérrez, titular de la Comisión Estatal para el Desarrollo Sostenible de los Pueblos Indígenas (CEDSPI), quien explicó que, desde hace aproximadamente un año, la dependencia trabaja en la identificación de estos casos en coordinación con el Instituto Federal de Defensoría Pública (IFDP), encabezado en Hidalgo por Alberto Islas Lara. El programa contempla a personas que cumplieron la mayor parte de su condena y cuya fianza es accesible para recibir apoyo del gobierno federal o cuyos procesos presentaron violaciones, como la falta de intérpretes en su lengua materna.</t>
  </si>
  <si>
    <t>Amnistía</t>
  </si>
  <si>
    <t>Movilidad académica</t>
  </si>
  <si>
    <t>Este 28 de julio iniciaron las conferencias de prensa por parte del Gobierno de Tulancingo, que se suma a este ejercicio, que fue algo que primero inició el Gobierno Federal a través del expresidente Andrés Manuel López Obrador, siguió con las réplicas la presidenta Claudia Sheinbaum y después varios Estados de la república que se han sumado a las conferencias de prensa mañanera, semanales en algunos casos, como lo es el Gobierno del Estado de Hidalgo y ayer, inició el Gobierno de Tulancingo con este ejercicio. En estas conferencias, distintas secretarías darán a conocer información sobre programas, presupuestos, gastos e inversiones que realiza la administración municipal. En esta primera sesión participó la Secretaría de Obras Públicas, encabezada por el secretario Armando Pérez, quien presentó las acciones previstas para atender una de las principales demandas de la ciudadanía: el estado de las calles y vialidades. El funcionario y los directores de su dependencia informaron que durante 2026 continuará el programa de bacheo permanente, para el cual se destinarán 7.4 millones de pesos, recursos con los que se atenderán más de 20 mil metros cuadrados de superficie. Añadió que, al sumar las acciones realizadas en 2024 y 2025, la inversión acumulada alcanzará 16.3 millones de pesos, con lo que se habrá intervenido más de 45 mil metros cuadrados de bacheo en el municipio. Sin embargo, aclaró que el presupuesto destinado al bacheo es independiente de los recursos para rehabilitación de vialidades, pues esta última representa una inversión mucho mayor. (NOTA LEIDA DEL SOL DE TULANCINGO).</t>
  </si>
  <si>
    <t>Mañanera</t>
  </si>
  <si>
    <t>Egresada del Cobaeh obtiene beca para estudiar en la Universidad de Pensilvania (TESTIMONIO YEXALEN ISLAS CASTILLO)</t>
  </si>
  <si>
    <t>Respecto a la nota en donde se informa que el TSJEH ha sancionados 29 servidores públicos, locutor Jesús Riveros destacó el trabajo que está haciendo la magistrada Rebeca Stella Aladro, titular del TSJEH para que los funcionarios que están representando este importante tribunal labore como debe de ser. Señaló que, platicando con algunos amigos, en algunos casos es desgastante todos los procesos que se tienen que seguir para buscar justicia, para buscar hacer alguna denuncia, sobre todo, para recibir una buena atención, no de todos, pero sí de algunos servidores públicos que están a cargo de la labor de brindar y procurar justicia.</t>
  </si>
  <si>
    <t>Labor destacada</t>
  </si>
  <si>
    <t>Accidente transporte público</t>
  </si>
  <si>
    <t>Tras un intento de asalto, el conductor de una camioneta de reparto de productos de venta por aplicación digital, logró ser auxiliado por elementos policiacos del municipio de Tizayuca. Los elementos policiacos iniciaron operativo tras recibir reporte de una persona lesionada por arma de fuego, quien solicitaba apoyo. Al hacer contacto con los uniformados, el conductor de la unidad para reparto, narró que al estar haciendo labores en el municipio de Temascalapa, Estado de México, fue interceptado por dos sujetos que viajaban en una motocicleta. Pese a la lesión, el conductor decidió no detenerse y continuó manejando hasta ingresar al municipio de Tizayuca, donde solicitó apoyo de las autoridades, siendo trasladado a la Clínica 33 del IMSS para recibir atención médica. En el sitio permaneció el acompañante del repartidor, un adolescente de 17 años identificado con las iniciales H.O.B. La camioneta de reparto quedó bajo resguardo del Ministerio Público, mientras se realizan las diligencias correspondientes para integrar la carpeta de investigación. Hasta el momento no se conoce de personas detenidas siendo participantes de la agresión.</t>
  </si>
  <si>
    <t>Las consejeras del Instituto Estatal Electoral de Hidalgo (IEEH), María Magdalena González Escalona y Ariadna González Morales, consideraron que la iniciativa de reforma electoral presentada en el Congreso del estado representa un avance para garantizar la paridad sustantiva en las presidencias municipales y otorgará mayor certeza jurídica a partidos políticos, aspirantes y autoridades de cara al proceso electoral de 2027. La presidenta del IEEH, María Magdalena González Escalona, señaló que la propuesta mantiene el principio de progresividad en materia de derechos político-electorales de las mujeres, al pasar de 27 municipios exclusivos para candidaturas femeninas en la elección de 2024 a 42 para el próximo proceso. Recordó que las acciones afirmativas implementadas por el instituto permitieron que actualmente 41 municipios sean gobernados por mujeres, por lo que consideró que elevar este mecanismo al Código Electoral fortalece el acceso de las mujeres a los cargos de elección popular. "Me parece que esto cumple con el criterio de la progresividad y atiende la paridad sustantiva para asegurar que las mujeres accedan a gobernar al menos 42 municipios", expresó. Por su parte, la consejera Ariadna González Morales calificó la iniciativa como una reforma "novedosa" que busca eliminar los obstáculos históricos que han enfrentado las mujeres para acceder a las presidencias municipales. Indicó que, aunque la paridad horizontal y vertical ya forman parte de la legislación, la propuesta pretende garantizar la paridad sustantiva, es decir, generar condiciones para que las mujeres ocupen efectivamente la mitad de las alcaldías. "La idea de que el Congreso presente una reforma donde tome en cuenta precisamente la paridad sustantiva me parece adecuada", afirmó. La consejera recordó que antes de las acciones afirmativas el mayor número de alcaldías encabezadas por mujeres en Hidalgo era de apenas 17, lo que demuestra, dijo, que las medidas implementadas hasta ahora han sido necesarias para incrementar su participación. Ambas consejeras coincidieron en que incorporar estas disposiciones directamente en el Código Electoral brinda mayor certeza que mantenerlas únicamente como acciones afirmativas emitidas por el IEEH antes de cada proceso electoral.</t>
  </si>
  <si>
    <t>IEEH</t>
  </si>
  <si>
    <t>Impulsar al huapango como una de las expresiones musicales que identifiquen a México en el extranjero, al mismo nivel que el mariachi o la banda, es el objetivo que promueve el Trío Aurora Hidalguense, agrupación originaria de Xochiatipan que trabaja para llevar este género tradicional a nuevos escenarios internacionales. Tras recibir el reconocimiento “La Mina del Tiempo” por parte del Congreso de Hidalgo, sus integrantes señalaron que buscan abrir camino en Europa para que la música huasteca gane mayor presencia y sea reconocida como parte del patrimonio cultural mexicano. Los músicos destacaron que sus presentaciones en Estados Unidos, Colombia y Guatemala les han demostrado que el huapango tiene potencial para conectar con públicos de otros países, por lo que continuarán impulsando su difusión dentro y fuera de México. Como parte de ese propósito, adelantaron que preparan un nuevo material discográfico con el que esperan seguir promoviendo la riqueza cultural y musical de la Huasteca hidalguense.</t>
  </si>
  <si>
    <t>Patrimonio cultural</t>
  </si>
  <si>
    <t>Vía telefónica la Secretaria de Turismo, Elizabeth Quintanar informó que el pabellón instalado en Campo Marte, donde participó Hidalgo durante la Copa de Fútbol, cerró el 17 de julio. Durante el evento, se mostraron partidos en pantallas gigantes y la respuesta del público fue muy buena, con menciones a la comida de Zacahuil. Campo Marte rompió récords de asistencia y se implementó una fórmula con DJ al final del día, lo que mejoró la experiencia para los visitantes. La presencia de medios de comunicación fue importante, ya que se realizaron entrevistas y se promovió la cocina tradicional de Hidalgo. La cocinera Grindelia destacó la notable promoción que recibió su platillo, atrayendo la atención de televisoras y revistas. Mencionó que se organizó un tour para medios de comunicación, recibiendo elogios de personalidades como la embajadora de Sudáfrica y jugadores internacionales, quienes quedaron impresionados con la ciudad. Sin embargo, no se concretaron salidas para visitantes en el pabellón. La promoción del destino fue significativa, ya que los asistentes al evento adquirieron un mejor conocimiento de Tulancingo y sus atracciones, lo que podría atraer más turismo en el futuro. La promoción ante un gran público es el aspecto más importante para el desarrollo turístico de la región.</t>
  </si>
  <si>
    <t>Vía telefónica la Secretaria de Turismo, Elizabeth Quintanar informa que se llevará a cabo el sábado 1 de agosto en Zempoala el festival "Pueblos con Sabor" que comenzará a las 10 de la mañana. Este festival resalta la gastronomía de los 37 pueblos con sabor, donde se podrán probar platillos únicos y tradicionales. Habrá música, recorridos guiados hacia el Acueducto del Padre Tembleque y talleres relacionados con la comida. El evento tiene como objetivo que las familias se reúnan y exploren la cultura y gastronomía hidalguense. Habrá actividades para todos, como aprender a hacer tortillas de mezquite y degustar platillos variados. Además, se menciona la posibilidad de que empresarios se interesen en este tipo de eventos y se ofrezcan mesas de negocio informales. Los asistentes podrán disfrutar de degustaciones de comida y cerveza artesanal, así como actividades recreativas. La organización se ha preparado para recibir a visitantes que lleguen en transporte público o en vehículos particulares, garantizando espacios de estacionamiento. Esta es la primera vez que los 37 pueblos con sabor se reúnen en un mismo lugar para un evento de esta magnitud, que promete ser más que una simple muestra gastronómica, ya que incluye experiencias y talleres. Se espera que el evento sea un éxito y que en el futuro otros pueblos mágicos de Hidalgo también puedan albergar festivales similares. Se invita a las personas a que vengan y descubran lo delicioso que es Hidalgo, viviendo este verano una experiencia única hasta las ocho de la noche en Zempoala.</t>
  </si>
  <si>
    <t>Una mujer falleció tras ser atropellada por una patrulla adscrita a la Dirección de Seguridad Pública y Tránsito Municipal de Villa de Tezontepec. Fue el pasado 26 de julio cuando se registró la situación en la cabecera municipal; en ello se vio involucrada la patrulla, siendo atropellada la mujer de 54 años de edad. El gobierno municipal dio a conocer por medio de un comunicado que elementos de Protección Civil Municipal acudieron para proporcionar atención médica inicial. Posteriormente la mujer fue trasladada a la Clínica 36 del Instituto Mexicano del Seguro Social (IMSS), ubicada en la ciudad de Pachuca. La administración municipal aseguró que desde el primer momento se priorizó la atención médica y el acompañamiento correspondiente a la persona afectada. La autoridad municipal informó que el elemento policial involucrado, identificado como el Policía Tercero F. F. A. C., fue detenido formalmente en el lugar de los hechos y posteriormente se realizó el aseguramiento de la unidad oficial involucrada. El caso fue turnado a la Agencia del Ministerio Público en turno, con sede en Tizayuca, Hidalgo, instancia encargada de realizar las investigaciones y determinar la situación jurídica del servidor público.</t>
  </si>
  <si>
    <t>El Poder Judicial de Hidalgo (PJEH) creó un nuevo Juzgado Familiar Especializado en Pachuca para reducir la carga de trabajo de los cuatro ya existentes. El nuevo órgano jurisdiccional comenzará a funcionar a partir del 3 agosto de 2026. El acuerdo general 01/2026 publicado en el Periódico Oficial del Estado (POEH) establece que los juzgados Primero, Segundo, Tercero y Cuarto Familiar tienen exceso de asuntos, por lo que se estima que la incorporación disminuiría en 22% el volumen de expedientes que atiende cada uno. El juzgado estará ubicado sobre la carretera México-Pachuca, en Sector Primario, zona donde se encuentran otros inmuebles judiciales. Asimismo, tendrá competencia para conocer procedimientos relacionados con divorcios bilaterales, adopciones, declaraciones de ausencia, presunción de muerte, nombramiento de tutores y personas de apoyo, así como juicios sobre actas del Registro del Estado Familiar, entre otros procedimientos no contenciosos. El acuerdo indica que la especialización permitirá atender con mayor celeridad los procesos de adopción; y, que concentrar en un solo órgano los procedimientos, permitirá reducir tiempos de resolución e incorporar gradualmente herramientas de oralidad judicial. A partir del 3 de agosto, todas las nuevas demandas, solicitudes iniciales y exhortos serán turnados al nuevo órgano jurisdiccional, mientras que los cuatro juzgados familiares continuarán resolviendo -hasta su conclusión- los expedientes que ya tienen en trámite De enero a junio de este año, el PJEH recibió 29 mil 702 nuevos asuntos, de los cuales 11 mil 322 fueron de índole familiar, lo que equivale al 47%.</t>
  </si>
  <si>
    <t>De las 40 carpetas de investigación iniciadas en el municipio de Tulancingo ante el Ministerio Público por el delito de violación, en 39 casos las víctimas son mujeres y el caso restante corresponde a un hombre. Los datos corresponden al primer semestre de este año, siendo recopilados y difundidos por el Secretariado Ejecutivo del Sistema Nacional de Seguridad Pública (SESNSP). 19 de las denuncias corresponden a violación equiparada, delito que la ley castiga cuando la víctima es menor de 15 años o no puede comprender el significado del hecho o resistirlo, aunque no exista violencia. Los otros 21 correspondieron a violación simple, que implica el uso de violencia física o moral. De acuerdo a los datos recopilados por el SESNSP, señalan que dentro del municipio de Tulancingo adolescentes de 13 a 17 años de edad son víctimas en 12 de las carpetas de investigación iniciadas en el primer semestre de este año. En ese rango de edad se contabilizaron ocho denuncias por violación equiparada y cuatro por violación simple. También se registraron 12 casos de violación en personas de 30 a 60 años, mientras que en seis denuncias no se especificó la edad de la víctima. En el grupo de 18 a 29 años se iniciaron cinco carpetas, todas por violación simple, y en menores de 0 a 12 años se contabilizaron cinco casos, siendo tres por violación equiparada y dos por violación simple. En cuanto a la incidencia por mes, marzo contabiliza la mayor cantidad de denuncias, con diez en total, seguido de mayo, con nueve; febrero, con siete; abril, con seis; junio, con cinco; y enero, con tres. En la información se señala que el único caso en el que la víctima fue un hombre correspondió al delito de violación simple y ocurrió en una persona con edad entre 30 y 60 años. El SESNSP precisa que estas estadísticas corresponden únicamente a carpetas de investigación iniciadas por denuncias presentadas ante el Ministerio Público. Por ello, reflejan solo los casos denunciados formalmente y no la totalidad de los hechos que pudieron registrarse dentro del municipio de Tulancingo.</t>
  </si>
  <si>
    <t>Delitos de género</t>
  </si>
  <si>
    <t>La Secretaría de Salud de Hidalgo (SSH), por medio del director Jesús Rodríguez Ortega de la Jurisdicción Sanitaria número 10 de Huejutla, informó que en la Huasteca hidalguense únicamente se han registrado cinco casos de dengue no grave. Jesús Rodríguez detalló la incidencia de dos casos en Huejutla, uno en Yahualica, otro en Huazalingo y uno más en San Felipe Orizatlán. En los restantes municipios que conforman la Huasteca no se ha registrado esta enfermedad. No obstante, se trabaja con el apoyo del departamento de vectores para prevenir mayores contagios a lo largo del año. El funcionario estatal señaló que las condiciones climáticas predominantes en la Huasteca son propicias para la proliferación del mosquito transmisor Aedes aegypti.</t>
  </si>
  <si>
    <t>Dengue</t>
  </si>
  <si>
    <t>En la primera quincena del mes de julio se registraron 17 nuevos casos de Covid-19 en el estado de Hidalgo, con lo que se ubica en el tercer lugar nacional con más contagios, de acuerdo con la Dirección General de Epidemiología (DGE). La cifra establece que se registraron siete casos más respecto a la segunda quincena del mes de junio pasado. Además, pese a que en las dos últimas semanas no se registró ningún deceso, con las seis muertes acumuladas al cierre de junio la entidad hidalguense mantiene el primer lugar nacional con más defunciones debido a complicaciones por el padecimiento. Le siguen Ciudad de México con 3, Chihuahua y Guanajuato con 2 muertes cada uno. De acuerdo a la DGE, al corte del 16 de julio, el estado acumuló 83 casos de Covid-19, de los cuales seis se reportaron en la primera semana de julio y 11 la segunda semana; de enero a junio la entidad acumuló 66 padecimientos. De acuerdo a la misma dependencia, en todo el país se acumularon 855 casos de coronavirus y 21 defunciones a causa de ese padecimiento desde inicios de este año y hasta el corte del pasado 16 de julio. Las entidades de residencia con mayor número de casos de Covid-19 son Ciudad de México con 316, Estado de México con 93, Hidalgo con 83, Jalisco con 47 y Zacatecas con 38 padecimientos. Según datos de la dependencia federal, en lo que va de julio no se reportó ninguna muerte por complicaciones por Covid-19, y sólo acumuló seis decesos en el primer semestre del año.</t>
  </si>
  <si>
    <t>Covid 19</t>
  </si>
  <si>
    <t>Los casos activos de gusano barrenador en Hidalgo continúan a la baja. De acuerdo con el más reciente reporte del Servicio Nacional de Sanidad, Inocuidad y Calidad Agroalimentaria (Senasica), la entidad pasó de 142 a 46 casos activos, lo que representa una reducción del 67.6 por ciento respecto a la semana epidemiológica 26. El informe también indica que, desde noviembre de 2024 y hasta el 25 de julio de 2026, se han contabilizado mil 083 casos acumulados en el estado. Actualmente, Huichapan concentra el mayor número de casos activos con siete, mientras que Nopala de Villagrán y Tasquillo registran cuatro cada uno. La mayor incidencia se mantiene en caninos, con 23 casos, seguidos por bovinos, ovinos, equinos y porcinos. Aunque el panorama muestra una disminución importante, las autoridades continúan con las labores de vigilancia epidemiológica para detectar y atender oportunamente nuevos casos en los municipios afectados.</t>
  </si>
  <si>
    <t>Gusano barrenador</t>
  </si>
  <si>
    <t>Detrás de cada antojito, artesanía, juego o tradición que da vida a la Feria de Nuestra Señora de los Angelitos hay historias de familias que, generación tras generación, han convertido esta celebración en parte de la identidad de Tulancingo. Este año, por primera vez, su esfuerzo tendrá un reconocimiento especial. El Gobierno Municipal, a través de la Secretaría de Fomento Económico, entregará el galardón “Alas de Excelencia”, una distinción creada para reconocer a las y los ferieros que, con dedicación, creatividad y amor por sus raíces, mantienen viva una de las festividades más representativas del municipio. La secretaria de Fomento Económico, Minerva Rosales Gayosso, informó que la convocatoria ya establece las bases para participar en este reconocimiento, el cual premiará a los tres mejores espacios de la feria, además de otorgar un reconocimiento especial a la trayectoria de quienes, durante años, han sido protagonistas de esta tradición.</t>
  </si>
  <si>
    <t>Integrantes de la Asamblea Municipal de Cuautepec señalaron que varias luminarias colocadas en varios puntos de la demarcación ya presentan fallas, a un año que fue aprobada su adquisición. Lo anterior fue señalado por el regidor Rubén Cenobio Veloz, recordando que la empresa a la que se le otorgó el contrato para la compra de las luminarias, otorgó una garantía de tres a seis años de vida útil de dicho equipamiento. En reciente sesión del cuerpo edilicio, señaló que constantemente aplica recursos públicos para la reparación de varias de las seis mil 244 luminarias tipo LED. “Si la empresa dio esa garantía de tres a seis años, el personal de la presidencia municipal no tiene que desatender otras actividades para acudir a reparar las luminarias”, señaló el asambleísta municipal. La regidora Sara Nájera González, incluso especificó varias zonas dentro del municipio de Cuautepec donde las lámparas adquiridas apenas el año pasado ya no encienden. Entre dichas zonas señaló el tramo vial entre las localidades de Buenos Aires a Hueyapan, donde de plano todas las luminarias no encienden. Santa Elena Paliseca, Santa Rita, Santa María Nativitas y Almoloya, son otras zonas dentro del municipio donde tampoco funcionan las luminarias públicas, señaló la regidora. Al adquirirse las lámparas para alumbrado público el año pasado, el gobierno municipal afirmó que con su uso se generaba ahorro de energía, lo que a su vez significaba un ahorro mensual de un millón 88 mil 436 pesos. Cenobio Veloz pidió que la empresa proveedora asuma la responsabilidad que le corresponde, ya que el gobierno municipal constantemente destina recursos para sustituir las lámparas que dejan de funcionar.</t>
  </si>
  <si>
    <t>Luminarias</t>
  </si>
  <si>
    <t>Alrededor de 130 obras públicas realizadas en Tulancingo incluso desde hace más de una administración local están pendientes de ser recepcionadas, informó Armado Pérez Alcibar, secretario municipal de Desarrollo Urbano, Obras Públicas y Medio Ambiente. El dato fue ofrecido durante la primera conferencia semanal del gobierno municipal, realizada por el gobierno local, este martes 28 de julio. El funcionario no especificó desde hace cuántos gobiernos locales existen obras de ser recibidas oficialmente, ni la situación administrativa o financiera que presentan; incluso, si realmente existen o son funcionales. Tampoco señaló el monto global invertido en dichas obras, así como de qué tipo son, o las localidades donde tendrían que haber sido ejecutadas. “Ahora, en este gobierno municipal, lo que nos interesa es que la obra pública que estamos desarrollando se entregue completamente; salir bien y cumplirle a la población”, enfatizó. Durante la conferencia de prensa se detalló que durante la actual administración municipal en Tulancingo, se han invertido 224.5 millones de pesos para la ejecución de obra pública en distintos puntos del municipio. Se detalló que en el año 2024 se contó con 29 millones de pesos para la ejecución de 20 obras directas, así como nueve complementarias. Las primeras se realizan como acciones directas para resolver alguna situación de servicio a la población, mientras que las segundas son aquellas que sirven para concretar algún servicio inicial. El año pasado el monto para ejecución de obra pública en Tulancingo fue de 94.2 millones de pesos, con lo cual se concretaron 22 obras directas y 59 complementarias. Para el presente año se tiene considerado un presupuesto por 101.2 millones de pesos para llevar a cabo 27 obras directas y 53 complementarias. Pérez Alcibar señaló que al tomarse en cuenta las inversiones en obra pública por parte de los gobiernos estatal y federal, en lo que va de la actual administración municipal el monto de recursos públicos alcanza aproximadamente 3 mil 500 millones de pesos. Entre las obras que destacó, está la rehabilitación del Corredor Vial San José, a cargo del gobierno del Estado de Hidalgo; así como la ampliación de la autopista México-Tuxpan, que actualmente ejecuta el Gobierno Federal dentro del municipio de Tulancingo, para beneficio incluso de entidades vecinas.</t>
  </si>
  <si>
    <t>Entrega recepción</t>
  </si>
  <si>
    <t>Uplaph fortalece la planeación urbana y territorial de Hidalgo</t>
  </si>
  <si>
    <t>El gobernador Julio Menchaca encabezará las Rutas de la Transformación para la Reconstrucción y entregará apoyos. el primer evento se realizaráa las 10:45 en la Unidad Deportiva de Calnali y más tarde estará en la Plaza principal de Huazalingo</t>
  </si>
  <si>
    <t>Para este 29 de julio se pronostican intervalos de chubascos (5 a 25 mm), temperaturas máximas de 35 a 40 °C en las regiones norte y este y rachas de viento de hasta 60 km/h en Hidalgo.</t>
  </si>
  <si>
    <t>A pesar de que 40 parques acuáticos de Hidalgo obtuvieron la certificación sanitaria de Copriseh en el primer semestre de 2026, la Asociación de Balnearios del Estado de Hidalgo reportó un flujo de visitantes menor al esperado durante las vacaciones estivales. El presidente de la agrupación, José Luis Castro Gómez, confía en que la afluencia repunte en las semanas restantes. AUDIO DE APOYO</t>
  </si>
  <si>
    <t>Afluencia Turística</t>
  </si>
  <si>
    <t>El presidente municipal de Tula, Cristhian Martínez, habló sobre su aparición en lista, quien lo coloca como aspirante a la candidatura de Morena a la diputación federal del distrito de Tula, AUDIO APOYO</t>
  </si>
  <si>
    <t>Un sujeto perdió la vida tras recibir impactos de bala durante un ataque registrado en la zona limítrofe entre el municipio de Villa de Tezontepec, Hidalgo, y el municipio de Axapusco, Estado de México. Pese a ser trasladado por servicios de emergencia a un centro médico regional, la víctima falleció debido a la gravedad de las heridas.</t>
  </si>
  <si>
    <t>En cabina, participación de Jorge Hernández, director de Comunicación Social del Ayuntamiento de Pachuca, con el tema: programa del día de ayer “Colonia x Colonia” en Santa Julia, en donde estuvieron dependencias del ayuntamiento, y en 15 días próxima visita en San Antonio el Desmonte en el auditorio ejidal; hoy pintando guarniciones en G. Bonfil.</t>
  </si>
  <si>
    <t>La empresa calificadora Fitch Ratings confirmó la nota crediticia de largo plazo para Hidalgo en "AA+(mex)" con perspectiva estable, así como la categoría "AAA(mex)vr" para sus financiamientos con Banamex. El reporte atribuye la ponderación a la política de disciplina presupuestaria, el bajo nivel de endeudamiento, la liquidez y el fortalecimiento de los ingresos propios, permitiendo destinar mayores recursos a la infraestructura y a las obras de reconstrucción tras las afectaciones meteorológicas de 2025.</t>
  </si>
  <si>
    <t>Hacienda</t>
  </si>
  <si>
    <t>Calificación crediticia</t>
  </si>
  <si>
    <t>Se reúne SEMOT con autoridades de cuatro ayuntamientos para coordinar el despeje del carril exclusiv</t>
  </si>
  <si>
    <t>IHE ofrece curso de preparación para la certificación TOEFL</t>
  </si>
  <si>
    <t>Certificación de idioma</t>
  </si>
  <si>
    <t>Realizan Primer Foro Estatal "Hidalgo contra la Trata de Personas", AUDIO APOYO</t>
  </si>
  <si>
    <t>Combate a trata de personas</t>
  </si>
  <si>
    <t>En el marco del Día Mundial contra la Trata de Personas, el Gobierno de Hidalgo hizo un llamado a reforzar la prevención y denuncia de este delito. La directora de Derechos Humanos de la Secretaría de Gobierno, Jeanette Herrera Meneses, informó que en la entidad las principales carpetas investigadas corresponden a explotación sexual y laboral, contabilizando 31 investigaciones iniciadas de 2023 a la fecha y una sentencia dictada contra cinco responsables entre 2025 y 2026. AUDIO DE APOYO</t>
  </si>
  <si>
    <t>SSPH asegura a dos personas y desarticula presunto punto de venta de droga en Pachuca</t>
  </si>
  <si>
    <t>Combate Al Narcomenudeo</t>
  </si>
  <si>
    <t>Un hombre y una mujer fueron aprehendidos en la colonia El Palmar, en Pachuca, durante un operativo interinstitucional integrado por la SSPH, la PGJEH y la Secretaría de la Defensa Nacional. En la diligencia se aseguraron 113 dosis de probable cristal y 400 dosis de hierba con características de la marihuana, quedando lo asegurado a disposición del Ministerio Público.</t>
  </si>
  <si>
    <t>Vía telefónica, Juan Domingo Ortiz Padilla Delgado del estado de Hidalgo, de la Confederación Internacional de Motociclistas Oficiales y Motociclistas de Caminos, sobre su aniversario 25 de esta confederación, invitando a presenciar espectáculo de escuadrón de acrobacia este 8 de agosto en Plaza Juárez a las 4 de la tarde y recordar que se darán dulces a los niños. Nos acompañan compañeros de varias partes de la República Mexicana.</t>
  </si>
  <si>
    <t>El programa se realizó desde las instalaciones de la Policía Estatal Bancaria; durante la transmisión se realizaron diferentes intervenciones en las cuales se habló de su aniversario 50 de la Policía Estatal Bancaria, de la incineración de la réplica de la bandera mexicana, carrera atlética y hoy evento de bandas de guerra en el Parque Cultural Hidalguense a partir de las 2 de la tarde, en donde se reunirán más de 100 personas tocando instrumentos y reconocimientos para compañeros de la PIBEH con trayectoria de labor dentro de la corporación.</t>
  </si>
  <si>
    <t>Conmemoración aniversario</t>
  </si>
  <si>
    <t>De acuerdo con los indicadores del INEGI, Hidalgo se posicionó como la entidad con mayor crecimiento económico en el país durante el primer trimestre de 2026, alcanzando una variación anual del 8.2 %, frente al promedio nacional de 0.4 %. La actividad económica estuvo impulsada por el sector industrial (16.5 %), la construcción (40.6 %), la manufactura (7.9 %) y los servicios turísticos, que crecieron 20.9 %, ubicándose como el avance más alto en el ámbito nacional.</t>
  </si>
  <si>
    <t>Sedeco</t>
  </si>
  <si>
    <t>Crecimiento Económico</t>
  </si>
  <si>
    <t>Como parte de las políticas públicas de fomento económico, atracción de inversiones y desarrollo regional, la actividad económica de Hidalgo creció 8.2% anual durante el primer trimestre del 2026 con cifras ajustadas por estacionalidad. De acuerdo al último reporte del Inegi, este desempeño ubicó a la entidad en el primer lugar nacional de crecimiento, superado por más de 20 veces el promedio del país, que se situó en apenas 0.4%. Con este indicador, el Estado consolidó el mejor arranque de este año registrado en la última década, reflejando el impacto directo de la estrategia gubernamental orientada a la certidumbre jurídica, la infraestructura estratégica y la consolidación de Hidalgo como el nuevo polo de desarrollo del centro del país.</t>
  </si>
  <si>
    <t>Un joven de 19 años de edad perdió la vida por ahogamiento en las cascadas de Chimalapa, luego de ser arrastrado por la corriente mientras nadaba en este paraje turístico del municipio Acaxochitlán. Se conoció que la noche de ayer miércoles, policías de la dirección de Seguridad Pública municipal atendieron el llamado de auxilio de dos mujeres, de 51 y 25 años de edad, originarias de Ecatepec, Estado de México, quienes informaron que su familiar, identificado con las iniciales L.R.M., ingresó a nadar al cuerpo de agua. Relataron que observaron al joven alejarse mientras nadaba y, en un principio, pensaron que se encontraba jugando. Sin embargo, al transcurrir aproximadamente 30 minutos y no verlo regresar, se percataron de que había sido arrastrado por la corriente hacia la zona de la cascada, por lo que solicitaron el apoyo del área de Protección Civil para iniciar su búsqueda y rescate.</t>
  </si>
  <si>
    <t>Deceso turista</t>
  </si>
  <si>
    <t>La Jacalteca 91.9 FM</t>
  </si>
  <si>
    <t>Contenido gubernamental</t>
  </si>
  <si>
    <t>Vía telefónica Prisco Gutiérrez titular CEDSPI, el tema : 31 conmemoración del día internacional de los pueblos indigenas</t>
  </si>
  <si>
    <t>Yucundo Hernández Escudero</t>
  </si>
  <si>
    <t>Entrevista pautada</t>
  </si>
  <si>
    <t>La Sultana de La Sierra 93.5 FM</t>
  </si>
  <si>
    <t>Javier Yáñez</t>
  </si>
  <si>
    <t>Ximai 103.5 FM</t>
  </si>
  <si>
    <t>Juan Carlos Peña</t>
  </si>
  <si>
    <t>El presidente Cristhian Martínez hace entrega de nueva maquinaria para beneficio de las 54 colonias y comunidades de nuestro municipio, AUDIO APOYO</t>
  </si>
  <si>
    <t>Entrega de maquinaria</t>
  </si>
  <si>
    <t>Liliana López Rangel solicitó la colaboración de la ciudadanía y la intervención de las autoridades para esclarecer el fallecimiento de su hijo Jesús Manuel, de 29 años, quien trabajaba como repartidor de comida y perdió la vida tras ser colisionado por un vehículo la noche del 24 de julio en la capital hidalguense. La madre del joven busca reunir fondos para contratar un peritaje técnico particular luego de que el conductor involucrado fuera puesto en libertad, AUDIO APOYO</t>
  </si>
  <si>
    <t>El Gobierno de México fortaleció el Plan Maestro de Recuperación de la Presa Endhó mediante la colaboración de especialistas de la UNAM, el IPN, la Universidad Autónoma Chapingo, la Universidad de Guanajuato, el IICA y la Universidad de Tsinghua en China. La Comisión Nacional del Agua (Conagua) confirmó que el proyecto se basa en monitoreo técnico y evidencia científica para acelerar la restauración ecológica y el control del lirio acuático. AUDIO DE APOYO</t>
  </si>
  <si>
    <t>Firma De Convenio</t>
  </si>
  <si>
    <t>Un reporte ciudadano por fuertes olores fétidos en las inmediaciones del río que atraviesa la colonia El Bondo, en Ixmiquilpan, movilizó elementos de seguridad pública y protección civil quienes desplegaron un operativo de búsqueda para verificar el origen de la alerta.Durante la primera inspección, los cuerpos de emergencia localizaron prendas de vestir y cabellos, por lo que iniciaron un recorrido en busca de más indicios. Sin embargo, las condiciones del terreno y la falta de iluminación obligaron a suspender las labores para remudarla la mañana de hoy jueves. Tras continuar con la revisión personal de protección civil y bomberos, confirmó que el origen de los olores correspondía a restos de un animal en estado de descomposición, por lo que se descartó que se tratara de restos humanos.</t>
  </si>
  <si>
    <t>Operativo policiaco</t>
  </si>
  <si>
    <t>Al terminar el evento, la presidenta municipal de Tepetilán, Ana Elsa Castillo Cea, habló para Enfoque Regional sobre el tema ambiental que vive el municipio; comentó que la mayoría de los pozos del municipio están contaminados por metales y que al consumo humano sí pueden producir un tema de cáncer. Hoy en día no solo tenemos contaminación ambiental, sino que no nos beneficiamos con el riego de aguas negras; al no tener mantenimiento, entonces ahora tenemos el problema del mosco y el lirio acuático. AUDIO APOYO</t>
  </si>
  <si>
    <t>Ordenamiento ecológico</t>
  </si>
  <si>
    <t>Ayer, durante la elaboración del ordenamiento ecológico municipal, el gobierno de Tepetitlán llevó a cabo el taller de agenda ambiental y construcción social, un espacio de diálogo y participación en el que autoridades de los 3 órdenes de gobierno, especialistas y ciudadanía crearon propuestas en favor del municipio. Durante el discurso de la presidenta municipal de Tepetilán, Ana Elsa Castillo Cea, reconoció que el municipio está colapsado en materia ambiental, AUDIO APOYO</t>
  </si>
  <si>
    <t>La Unidad de Planeación y Prospectiva del Gobierno de Hidalgo celebró en Tepeji del Río un taller de trabajo participativo para la integración del Programa Regional de Desarrollo Urbano y Ordenamiento Territorial de Tula. En el encuentro se delimitaron junto con autoridades locales, delegados y comisariados ejidales las zonas aptas para el crecimiento urbano y las áreas destinadas a conservación ambiental. AUDIO DE APOYO</t>
  </si>
  <si>
    <t>Comenta el conductor Jesús Gonzales, que tiene toda la razón los campesinos, porque resulta que están canales que se están desbordando. Se reportó el desbordamiento de un canal de aguas negras ubicado a un costado de la termoeléctrica de CFE en la zona conocida como Aguas Negras en Tula; el agua ya alcanzó la carretera. Ojalá la Conagua, después de tantos años que se pide que escuchen a los campesinos, no están peleando por pelear; es necesario que les llegue el agua.</t>
  </si>
  <si>
    <t>Plan Nacional Hídrico</t>
  </si>
  <si>
    <t>Productores agrícolas de Francisco I.Madero se manifestaron ayer frente a las oficinas centrales de la Comisión Nacional del Agua, la Conagua, en la Ciudad de México, para exigir una respuesta a las demandas relacionadas con el abastecimiento de agua por el sector agrícola. La movilización se llevó a cabo después de que los campesinos no alcanzaran acuerdos durante una reunión sostenida con autoridades de la dependencia el pasado martes, por lo que decidieron trasladarse nuevamente a la capital del país en busca de una solución a sus planteamientos . Solicitaron que se atienda la problemática que enfrenta el campo en la región y se establezcan mecanismos que garanticen el suministro de agua necesaria para mantener las actividades productivas, AUDIO APOYO</t>
  </si>
  <si>
    <t>Vía telefónica, la diputada Yarabi González Martínez explicó que el Congreso de Hidalgo aprobó la iniciativa de que el 1 de octubre sea el Día del Café, de la Cafeticultora y del Cafeticultor Hidalguense para reconocer la importancia económica, social y cultural de esta actividad en 23 municipios del estado. También comentó que esto es para motivar a que las instituciones públicas puedan realizar grandes eventos a favor de los productores y productoras de café en Hidalgo.</t>
  </si>
  <si>
    <t>Este miércoles el Congreso de Hidalgo aprobó una reforma para prevenir la violencia en encuentros deportivos, después de varios episodios registrados recientemente en canchas amateurs del estado. La nueva regulación, propuesta por el diputado de Hidalgo, Miguel Moreno Zamora, considera conductas violentas las riñas entre jugadores, entrenadores, árbitros y aficionados; la irrupción sin permiso al terreno de juego; las amenazas, cánticos o pancartas que inciten a la agresión, así como el uso de redes sociales y otros medios digitales para organizar o promover enfrentamientos.</t>
  </si>
  <si>
    <t>El presidente de la Junta de Gobierno del Congreso del Estado de Hidalgo, Andrés Velázquez Vázquez, informó que la iniciativa sobre paridad de género en candidaturas municipales no será dictaminada esta semana, dado que mantendrá su curso de revisión jurídico-social antes de ser sometida a votación en el pleno. El legislador recordó que el órgano legislativo tiene como plazo límite el 15 de septiembre para definir la viabilidad y eventual aprobación de la norma de cara al proceso electoral 2026-2027.</t>
  </si>
  <si>
    <t>La presidenta de México, Claudia Sheinbaum, informó que la vinculación de los datos es realizada por las empresas de telefonía móvil y no por el gobierno. El objetivo es disminuir los delitos al máximo que se cometen a través del teléfono, AUDIO APOYO</t>
  </si>
  <si>
    <t>A partir de agosto de 2026 entrará en vigor una nueva fase del registro obligatorio de líneas de telefonía móvil, mediante el cual las y los usuarios deberán vincular su número celular con la clave única de registro de población, el CURP, para mantener activo el servicio. Al respecto, el titular de la Agencia de Transformación Digital y Telecomunicaciones, José Antonio Peña Merino, precisó la calendarización de este proceso de vinculación, AUDIO APOYO</t>
  </si>
  <si>
    <t>SSPH realiza jornada médica integral en el Cereso de la Huasteca</t>
  </si>
  <si>
    <t>Reinserción social</t>
  </si>
  <si>
    <t>Programas sociales no son dádivas, son un respaldo al pueblo hidalguense: Julio Menchaca. (AUDIO JMS)</t>
  </si>
  <si>
    <t>Julio Menchaca refuerza infraestructura de Calnali con más de 123 millones de pesos. (AUDIO JMS)</t>
  </si>
  <si>
    <t>Enlace Noticias</t>
  </si>
  <si>
    <t>Gina Lorenzo</t>
  </si>
  <si>
    <t>En su visita al municipio de Huazalingo, el gobernador Julio Menchaca Salazar encabezó la entrega de proyectos productivos para el campo, programas del bienestar y apoyos a madres trabajadoras que beneficiaron a productores locales, de Calnali y Atlapexco. El mandatario destacó que desde 2022 se han invertido más de 204 millones de pesos en la demarcación y anunció la rehabilitación de la carretera Tehuetlán-Huazalingo con una bolsa superior a los 85 millones de pesos. AUDIO DE APOYO.</t>
  </si>
  <si>
    <t>El gobernador Julio Menchaca Salazar anunció una inversión superior a los 123 millones de pesos para la infraestructura del municipio de Calnali como parte de las Rutas de la Transformación. Los recursos se destinarán a la reconstrucción de carreteras, muros de contención, drenaje, redes de agua potable y la edificación del puente Epapantla (con un aporte federal de 47.9 millones de pesos). Además, se entregaron apoyos sociales a 450 beneficiarios con un monto superior a 6 millones de pesos. AUDIO DE APOYO</t>
  </si>
  <si>
    <t>Elementos de la Secretaría de Seguridad Pública de Hidalgo resguardaron en un hotel de Tulancingo a un adulto y dos menores de edad que eran víctimas de una extorsión telefónica en su modalidad de secuestro virtual. Mediante el sistema de videovigilancia C5i y tras un reporte al 911, las fuerzas del orden ubicaron a las víctimas antes de que sus familiares realizaran un depósito de 300 mil pesos exigido por los extorsionadores.</t>
  </si>
  <si>
    <t>Secuestro virtual</t>
  </si>
  <si>
    <t>La Fiscalía General de la República (FGR) obtuvo sentencias de entre 11 y 12 años de prisión contra seis hombres detenidos en 2025 en la colonia San Marcos, municipio de Tula de Allende. Los imputados —identificados como Jesús "N", Miguel "N", Rubén "N", Abram "N", Ángel "N" y Alan "N"— fueron asegurados por la policía estatal en posesión de 14 armas de fuego, 1,092 cartuchos, 46 cargadores y diversos envoltorios con drogas, siendo procesados por delitos contra la salud y portación de armamento de uso exclusivo de las Fuerzas Armadas.</t>
  </si>
  <si>
    <t>Sentencia</t>
  </si>
  <si>
    <t>Radioescucha pide reductores de velocidad y topes en Parque de Poblamiento, especialmente en Federalismo.</t>
  </si>
  <si>
    <t>Topes vehiculares</t>
  </si>
  <si>
    <t>Fue encontrado el cuerpo sin vida de una persona a un costado de la Presa del Tejocotal en el municipio de Acaxochitlán, Hidalgo. El hallazgo ocurrió la mañana del jueves 30 de julio de 2026, ya están los servicios de emergencia y de los peritos de la PGJEH en el lugar.</t>
  </si>
  <si>
    <t>Localización de cuerpo</t>
  </si>
  <si>
    <t>Investigadora del ITSOEH obtiene patente del IMPI en tecnología alimentaria</t>
  </si>
  <si>
    <t>Registro de patente</t>
  </si>
  <si>
    <t>Irving Sánchez</t>
  </si>
  <si>
    <t>El titular del Órgano Interno de Control de Alfajayucan, Julio Eduardo Ruiz Pérez presentó su renuncia irrevocable al cargo, dejando acéfala esta área de la administración municipal. La separación fue dada a conocer por el alcalde municipal Julio Agustín Cruz Tovar durante la más reciente sesión de cabildo. De acuerdo con el documento leído por el mandatario durante la sesión, la renuncia fue ingresada el pasado 20 de julio, fecha a partir de la cual se hizo efectiva la separación del funcionario, aunque fue hasta este día cuando el hecho se informó formalmente a los integrantes de la asamblea. En el escrito, Julio Eduardo Ruiz Pérez dejó en claro que se trata de una renuncia irrevocable, sin abundar en mayores detalles sobre los motivos de su salida y limitándose a señalar cuestiones de carácter personal y la intención de continuar con sus propios proyectos Ante la situación, el presidente municipal informó que en los próximos días se estará trabajando en la elaboración y publicación de la convocatoria para quienes tengan interés en ocupar el cargo, por lo que el municipio actualmente permanece sin un titular al frente de esta instancia. Esta renuncia se suma a la reciente salida de la titular del Órgano Interno de Control de Francisco I. Madero, Tania Guadalupe Percastegui Caballero, quien apenas el 16 de julio presentó su renuncia con carácter de irrevocable. En este caso, el gobierno de Francisco I. Madero dio a conocer ya la convocatoria para ocupar el puesto que quedó vacante.</t>
  </si>
  <si>
    <t>Renuncia</t>
  </si>
  <si>
    <t>Con 290 actividades, la FILIJ Hidalgo 2026 prepara una gran fiesta literaria</t>
  </si>
  <si>
    <t>SSPH frustra secuestro virtual y evita el pago del rescate en Tulancingo de Bravo</t>
  </si>
  <si>
    <t>Se reúne Semot con autoridades de cuatro ayuntamientos para coordinar el despeje del carril exclusivo.</t>
  </si>
  <si>
    <t>Hidalgo consolida tres años consecutivos de mejora en su calidad crediticia con la afirmación de calificación de Fitch Ratings.</t>
  </si>
  <si>
    <t>Saderh y Universidad de Chapingo firman convenio para el análisis de suelos agrícolas.</t>
  </si>
  <si>
    <t>Tepeji del Río se une al Programa Regional de Desarrollo Urbano y Ordenamiento Territorial de Tula.</t>
  </si>
  <si>
    <t>Fue encontrado el cuerpo sin vida de una persona a un costado de la Presa del Tejocotal, en el municipio de Acaxochitlán, Hidalgo. El hallazgo ocurrió la mañana del jueves 30 de julio de 2026, ya están los servicios de emergencia en el lugar, a la espera de los peritos de la PGJEH.</t>
  </si>
  <si>
    <t>Del 14 al 16 de agosto, Acaxochitlán celebrará la edición 11 de la Feria de la Manzana y el Hongo 2026, una de las festividades más representativas del municipio, que reunirá gastronomía, cultura, ciencia, deporte y tradiciones para recibir a miles de visitantes de Hidalgo y otros estados del país. Durante la presentación oficial del programa, el presidente municipal, Ricardo Perea Gómez, destacó que esta feria representa el esfuerzo de productores, artesanos, cocineras tradicionales y de todas las personas que, con su trabajo diario, preservan la identidad del Pueblo Mágico.</t>
  </si>
  <si>
    <t>Entrevista en cabina Armando Pérez, secretario de Obras Públicas, Medio Ambiente y Desarrollo Urbano de Tulancingo - Habló sobre acciones que se están realizando en materia de obra pública en el municipio, anunció una inversión superior a los 101 millones de pesos para infraestructura y 7.4 millones de pesos para bacheo, además de reportar un acumulado de 224.5 millones invertidos entre 2024 y 2026.</t>
  </si>
  <si>
    <t>Obras De Infraestructura</t>
  </si>
  <si>
    <t>El Gobierno Municipal de Tulancingo concluyó la actualización del Programa Municipal de Desarrollo Urbano y Ordenamiento Territorial (PMDU), el principal instrumento técnico que definirá cómo crecerá el municipio en los próximos años, privilegiando el equilibrio entre desarrollo, infraestructura, movilidad, medio ambiente y bienestar social. Con este documento, la administración encabezada por la presidenta municipal Lorena García Cázares da un paso estratégico para consolidar un modelo de ciudad ordenada, sustentable y con mayor certeza para la inversión pública y privada, respondiendo a los nuevos retos derivados del crecimiento urbano y de las necesidades de una población en constante transformación. La actualización del PMDU integra información técnica especializada, sustentada en censos, estudios de campo, sistemas de información geográfica y diagnósticos territoriales. El programa establece criterios para orientar el uso del suelo, el desarrollo urbano, la protección de los recursos naturales, la movilidad, la infraestructura y la ocupación territorial, convirtiéndose en una herramienta que permitirá tomar decisiones con mayor certeza.</t>
  </si>
  <si>
    <t>Este 31 de julio del 2026 se cumplen dos años de los asesinatos de tres mujeres en la colonia San Isidro de Santiago Tulantepec, y ante ello, familiares de las víctimas y activistas sociales, convocaron a la sociedad civil a un rezo del rosario en su memoria, y una nueva protesta para exigir que el proceso judicial avance y se haga justicia. Señalaron que el objetivo de esta manifestación es mantener viva la memoria de las tres mujeres asesinadas y del bebé en gestación de una de ellas; además de reiterar el llamado a las autoridades para que el caso no permanezca en la impunidad. A través de las redes sociales, se ha publicado la convocatoria para que el próximo 31 de julio, se rece un rosario en memoria de Josselyn, Daniela, Lupita y su bebé, a las 10 de la mañana en el callejón Miguel Hidalgo, colonia San Isidro. Desde que ocurrió el lamentable hecho, familiares y activistas han realizado diversas acciones para visibilizar el caso y recordar a las víctimas, puesto que, pese al tiempo transcurrido, aún no existe una sentencia definitiva. Tres personas presuntamente involucradas fueron detenidas y enfrentan un proceso penal por los delitos de feminicidio y aborto forzado, no obstante, el juicio continúa en curso y este se ha alargado. En la convocatoria difundida invitan a la ciudadanía a sumarse a este acto de solidaridad llevando flores, veladoras, carteles y mensajes en memoria de las víctimas. «En memoria de nuestras hermanas, mujeres que siempre llevaremos en nuestras memorias. Se cumplen ya dos años de tan lamentable suceso, es por eso que invitamos a toda la población a unirse en solidaridad con la familia, quienes continúan firmes buscando la justicia que se merece su memoria», señala el mensaje de las activistas. Fue la noche del 31 de julio de 2024 cuando las autoridades localizaron los cuerpos de tres mujeres al interior de una vivienda ubicada en la colonia San Isidro, en Santiago Tulantepec. La Procuraduría General de Justicia del Estado de Hidalgo inició las investigaciones bajo el protocolo de feminicidio y posteriormente detuvo a tres personas presuntamente relacionadas con los hechos, quienes enfrentan un proceso penal por los delitos de feminicidio y aborto forzado. Los tres imputados permanecerán en el Centro de Reinserción Social (Cereso) de Tulancingo al menos hasta el próximo 28 de noviembre de 2026, en tanto concluye el desahogo de testigos, según lo acordado por los jueces asignados a este caso y dictaminado el pasado 23 de julio. Y aunque la medida cautelar de prisión preventiva se ha prolongado, a dos años del crimen, el caso continúa en proceso judicial y aún no existe una sentencia definitiva, por lo que familiares y colectivas feministas mantienen su exigencia de justicia mediante manifestaciones fuera de los juzgados en Tulancingo y actos conmemorativos para evitar que el caso quede en el olvido.</t>
  </si>
  <si>
    <t>Con 290 actividades, la FILIJ Hidalgo 2026 prepara una gran fiesta literaria.</t>
  </si>
  <si>
    <t>Se reúne Semot con autoridades de cuatro ayuntamientos para coordinar el despeje del carril exclusivo</t>
  </si>
  <si>
    <t>Julio Menchaca refuerza infraestructura de Calnali con más de 123 millones de pesos</t>
  </si>
  <si>
    <t>Programas sociales no son dádivas, son un respaldo al pueblo hidalguense: Julio Menchaca (AUDIO JMS)</t>
  </si>
  <si>
    <t>Aseguran a dos personas y desarticulan punto de venta de droga en Pachuca</t>
  </si>
  <si>
    <t>Julio Menchaca Salazar, ha estado en los municipios de Calnali, o ha regresado a los municipios de Calnali y Huazalingo. Mañana estará de nueva cuenta en el municipio de Tlanchinol</t>
  </si>
  <si>
    <t>Como parte de las actividades para preservar los conocimientos ancestrales y fortalecer el turismo en Hidalgo, el municipio de Ajacuba realizará del 7 al 9 de agosto la décimo séptima edición de la Feria de la Planta Medicinal, un evento que reunirá a médicos tradicionales, terapeutas, artesanos y especialistas en medicina natural provenientes de distintas regiones del país. La edición de este año contará con la participación de más de 20 expositores y expertos de ocho estados, quienes compartirán prácticas relacionadas con el uso de plantas medicinales, terapias alternativas y saberes heredados por generaciones. Cabe destacar que Ajacuba se ha consolidado como un referente del turismo de bienestar gracias a la combinación de sus aguas termales, su riqueza natural y la conservación de tradiciones vinculadas con la medicina ancestral. La feria ofrecerá un amplio programa de actividades que incluye 10 conferencias, talleres, terapias alternativas, rituales tradicionales, un pabellón especializado en medicina natural, venta de productos elaborados a partir de plantas medicinales y una muestra gastronómica con platillos típicos de la región.</t>
  </si>
  <si>
    <t>Turismo rural</t>
  </si>
  <si>
    <t>La reconstrucción de la infraestructura dañada por la vaguada monzónica que afectó a Hidalgo representa una inversión conjunta de 8 mil 115 millones de pesos, recursos que serán destinados a caminos, puentes, sistemas de agua y otras obras en 28 municipios de la Sierra, Huasteca y Sierra Gorda. El mandatario reconoció que existe inquietud entre la población por el tiempo que ha tomado el inicio de los trabajos; sin embargo, explicó que primero fue necesario integrar los expedientes técnicos, obtener la autorización de recursos y concluir los procesos de licitación. Julio Menchaca Salazar indicó que la fuerza de las lluvias destruyó 55 puentes, por lo que su reconstrucción es una de las prioridades de la estrategia estatal. Añadió que las obras ya fueron licitadas y adjudicadas, por lo que actualmente se encuentran en ejecución o próximas a iniciar, dependiendo del proyecto. Además, se trabajará en la rehabilitación de caminos y sistemas de agua potable dañados por las precipitaciones. Señaló que estas accion es forman parte de las las Rutas de la Reconstrucción</t>
  </si>
  <si>
    <t>Con una inversión superior a los 91 millones de pesos, el gobernador Julio Menchacas Alazar encabezó la entrega de la nueva estación de bomberos José María Morelos y Pabón, así como de las oficinas de la Subsecretaría de Protección Civil y Gestión de riesgos de Hidalgo, infraestructura que permitirá fortalecer la capacidad de respuesta ante emergencias en la capital hidalguense y municipios de la zona metropolitana. Durante el evento se destacó que estas instalaciones fueron rehabilitadas en un espacio que anteriormente permanecía en de su uso, incorporando tecnología, equipamiento especializado y mejores condiciones para el personal operativo encargado de salvaguardar a la población. Edgar Orlando Ángeles Pérez, oficial mayor del gobierno del estado de Hidalgo, señaló que desde el inicio de la administración se ha impulsado una política de recuperación y aprovechamiento del patrimonio con el objetivo de transformar espacios abandonados en instalaciones funcionales y de beneficios para las y los hidalguenses. Por su parte, Guillermo Olivares, secretario de Gobierno del Estado de Hidalgo, resaltó la importancia de fortalecer las capacidades operativas de protección civil, institución responsable del monitoreo de fenómenos hidrometeorológicos, atención de emergencias, estudios de riesgo y acciones preventivas en todo el territorio estatal. En su intervención Salvador Cruz, secretario de Seguridad Pública del estado de Hidalgo, reconoció la labor que diariamente realiza el heroico cuerpo de bomberos y destacó la incorporación de 19 nuevos elementos, quienes rendieron protesta para sumarse a las tareas de protección y auxilio a la ciudadanía. Finalmente, Julio Menchaca, gobernador constitucional del estado de Hidalgo, subrayó que uno de los compromisos de su administración es fortalecer las instituciones encargadas de la seguridad y atención de emergencias, brindándoles mejores herramientas de trabajo. Asimismo, recordó que en más de dos décadas no se había construido una estación de bomberos en Pachuca, por lo que esta obra representa un paso importante para mejorar la capacidad de respuesta ante incidentes de alta complejidad.</t>
  </si>
  <si>
    <t>SSPH frustra secuestro virtual y evita el pago del rescate en Tulancingo</t>
  </si>
  <si>
    <t>En cabina Armando Pérez, secretario de Obras Públicas, Medio Ambiente y Desarrollo Urbano de Tulancingo informó sobre acciones que se están realizando en materia de obra pública en el municipio, anunció una inversión superior a los 101 millones de pesos para infraestructura y 7.4 millones de pesos para bacheo, además de reportar un acumulado de 224.5 millones invertidos entre 2024 y 2026.</t>
  </si>
  <si>
    <t>Programas sociales no son dádivas, son un respaldo al pueblo hidalguense: Julio Menchaca</t>
  </si>
  <si>
    <t>La falta de recolección de basura reportada por vecinos de las colonias Indeco, Zapotlán de Allende, Medias Tierras y Guadalupe se debió a una falla mecánica en el camión compactador asignado a esa ruta, informó el secretario de Servicios Municipales de Tulancingo, Alberto Santuario. En entrevista con Ultra Noticias Hidalgo, el funcionario explicó que el servicio quedó restablecido ese mismo día, luego de que se implementó un plan emergente que consistió en enviar dos unidades de manera simultánea para regularizar la recolección de residuos en la zona afectada. Añadió que las fallas mecánicas en los vehículos representan uno de los principales problemas que enfrenta la dependencia; sin embargo, indicó que el municipio se encuentra en proceso de adquirir dos nuevas unidades que serán incorporadas a la flotilla vehicular para fortalecer el servicio. Asimismo, recordó que los reportes relacionados con la recolección de basura pueden realizarse a través del WhatsApp de la Dirección de Limpia y Disposición de Residuos, en el número 775 974 06 33.</t>
  </si>
  <si>
    <t>Con una inversión menor a los tres millones de pesos, fue rehabilitado el pozo San Antonio Farías, en Tulancingo, con lo que se podrá dar surtido de agua potable a aproximadamente 20 mil habitantes de la zona oriente del municipio. Enzo Balderas Castro, director de la Comisión de Agua y Alcantarillado municipal, señaló durante la ceremonia de reapertura de servicios de dicho pozo, que su rehabilitación se logró luego de recuperar el comodato del terreno donde se ubica el pozo. Señaló que tras diálogo con representantes del Ejido El Paraíso, al que corresponde el terreno donde se ubica el pozo, y con el apoyo de representantes vecinales de San Antonio Farías, se concretó la recuperación del comodato del terreno. Tras ello, se inició el reequipamiento del pozo, utilizando recursos propios, los que fueron usados para la adquisición de equipo eléctrico, mecánico y de bombeo para el funcionamiento del pozo. El pozo se reactiva tras quince años de no tener actividad alguna, por lo cual fue necesaria la adquisición de la infraestructura y equipo señalado, así como los trabajos de reacondicionamiento del espacio físico. Balderas Castro señaló que se trata de uno de los tres proyectos aprobados por el gobierno del Estado de Hidalgo para la activación de pozos para surtido de agua potable. El funcionario estatal señaló que las localidades de San Nicolás y Santa María el Chico, y por supuesto, San Antonio Farías, entre otras, serán beneficiadas al contar con surtido garantizado de agua potable de 30 litros por segundo. Calculó que la población beneficiada es de aproximadamente 20 mil personas, lo que representa alrededor del diez por ciento del total de la población del municipio de Tulancingo. En entrevista posterior, Balderas Castro reconoció que debido a los tiempos administrativos, será complicado que se pueda poner en operación otro pozo para surtido de agua potable. Pero garantizó que una planta de tratamiento de aguas residuales ubicada en la zona de Huajomulco, será puesta en operación en poco tiempo, pues los trabajos de habilitación de la infraestructura están muy avanzados. Esta planta se sumará a otra ubicada en la localidad de La Lagunilla, la que fue rehabilitada luego de diez años de encontrarse abandonada.</t>
  </si>
  <si>
    <t>Rehabilitación de pozo</t>
  </si>
  <si>
    <t>Corresponde al comité de la tradicional feria de Los Angelitos revisar que las conexiones para surtido de energía eléctrica sean las adecuadas, por lo que de detectarse tomas irregulares, serán desconectadas. Integrantes de dicho comité puntualizaron que se contrató una empresa para realizar las conexiones regulares y adecuadas a los puestos que participan en la feria. La administración local apoyó para la contratación del servicio ante la Comisión Federal de Electricidad, insistiendo que el resto de las responsabilidades corresponden al comité de la tradicional feria. Las puntualizaciones ocurren luego de que la noche del pasado martes 28 de julio se presentara un corto circuito en un poste para surtido de energía eléctrica, ubicado en la esquina de las calles Echávarri y 20 de noviembre, dentro de la zona donde se ubican puestos de la feria. El presidente del Comité de Feria, Raymundo Dimas Cortés, informó que el incidente fue atendido de manera inmediata por el personal operativo y técnico, gracias a la capacitación recibida por bomberos y Protección Civil de Tulancingo. Los elementos acudieron al lugar, logrando restablecer el suministro de energía desde la madrugada del miércoles 29 de julio, por lo que las actividades comerciales y recreativas continúan con normalidad. Precisó que, si bien aún no se han determinado las causas que originaron el cortocircuito, en coordinación con la Unión de Comerciantes se acordó intensificar las inspecciones en los puestos instalados para verificar las condiciones de las conexiones eléctricas, revisar el consumo de energía de cada establecimiento y emitir las recomendaciones necesarias para fortalecer las medidas preventivas.</t>
  </si>
  <si>
    <t>El Sistema DIF Tulancingo pondrá en marcha el taller gratuito “Escuela para Padres”, una iniciativa del Centro de Cultura Emocional de la Familia que busca brindar herramientas para fortalecer la convivencia y la crianza positiva en los hogares. En entrevista con Ultra Noticias Hidalgo, la presidenta del Patronato del Sistema DIF Tulancingo, Jessica Garrido Cázares, informó que el taller constará de cuatro sesiones, que se realizarán los viernes 31 de julio, 7, 14 y 21 de agosto, en un horario de 9:00 a 10:00 de la mañana. Entre los temas que se abordarán se encuentran la comunicación en familia, el manejo de emociones, la crianza positiva y el establecimiento de límites con amor. Se destacó que las madres y padres que no tengan con quién dejar a sus hijos podrán llevarlos, ya que serán atendidos por personal de PILARES durante las sesiones. Al concluir el curso, los participantes recibirán un reconocimiento de participación.</t>
  </si>
  <si>
    <t>Capacitación</t>
  </si>
  <si>
    <t>31 carpetas de investigación por el delito de trata de personas, principalmente relacionadas con explotación sexual han sido iniciadas por la Procuraduría General de Justicia del Estado de Hidalgo (PGJEH), de 2023 a la fecha. El dato fue ofrecido por Yanet Herrera Meneses, directora general de Derechos Humanos de la Secretaría de Gobierno de Hidalgo, en el marco del Día Mundial contra la Trata de Personas, que se conmemora cada 30 de julio. “Es uno de los delitos más graves que puede sufrir un ser humano, porque lo cosifica, le arrebata la dignidad y, poco a poco, le quita la vida o el deseo de vivir. Los traumas y las consecuencias que sufre una persona que ha sido víctima o posible víctima de trata son verdaderamente catastróficos”, señaló la funcionaria. Enfatizó que en los años 2025 y 2026 se obtuvo una sentencia condenatoria firme contra cinco personas responsables de este delito y se iniciaron ocho carpetas por la modalidad de explotación no especificada. La funcionaria precisó que los casos pueden presentarse en restaurantes, hoteles, lavados de autos, obras de construcción, actividades agrícolas y de manera particular, en el trabajo doméstico. Ello debido en ocasiones las condiciones laborales precarias se normalizan sin que la población identifique que pueden constituir un delito. Como parte de las estrategias preventivas, el gobierno de Hidalgo impulsa la campaña nacional “Tarjeta Roja contra la Trata”, promovida en coordinación con la Conferencia Nacional de Gobernadoras y Gobernadores y el Gobierno de México. Las acciones incluyen campañas informativas en español, náhuatl, hñähñu e inglés; capacitación a servidores públicos y al sector turístico, así como protocolos para identificar posibles casos en hoteles, terminales de transporte y otros espacios públicos. La entidad también cuenta con una Comisión Intersecretarial contra la Trata de Personas, encabezada por el secretario de Gobierno, Guillermo Olivares Reyna, mediante la cual se coordinan acciones entre instituciones de seguridad, procuración de justicia y derechos humanos. Herrera Meneses señaló que “las víctimas reciben atención integral por parte de las áreas que el señor gobernador ha dispuesto para este fin, mediante apoyo jurídico, trabajo social, atención médica y atención psicológica, con el propósito de favorecer su recuperación y bienestar”, dijo. La funcionaria hizo llamado a la ciudadanía a no ser indiferente ante posibles casos de explotación, denunciar cualquier situación sospechosa y respetar en todo momento los derechos laborales de las personas trabajadoras.</t>
  </si>
  <si>
    <t>El gobernador a las 12 del día estará en Tlanchinol a donde llevará las Rutas de la Transformación para la Reconstrucción.</t>
  </si>
  <si>
    <t>Vía telefónica Milton Cortés informo que el sector papelero, advirtió que en el próximo regreso a clases podrían estar en riesgo cerca del 70% de sus ingresos, derivado de que ya hay presencia de la informalidad para la venta de productos escolares, situación que le expondrán al alcalde de Pachuca, Jorge Reyes, para que se restrinja la venta de estos artículos en la vía pública.</t>
  </si>
  <si>
    <t>Ambulantaje</t>
  </si>
  <si>
    <t>Fitch Ratings ratifica mejora crediticia de Hidalgo</t>
  </si>
  <si>
    <t>Andrés Torres en respuesta a una radioescucha que dice que qué bueno que El Vocero Huasteco reinicie actividades, comenta que se está unas horas de eso, que ha sido un viacrucis, un asunto muy complicado ; pero lo importante es que la estación funcione para que el sector indígena de la huasteca pueda tener acceso a temas de salud, educación, alertas de emergencia y otros.</t>
  </si>
  <si>
    <t>Andrés Torres en respuesta a la radioescucha Olga islas que opina que los programas que anuncia el gobierno es más publicidad que ayuda. lo ismo pasa con las Rutas de la Transformación, dice que el gobernador abordó este tema en Calnali y sabe que muchas personas no están de acuerdo en que se apoye a la gente a través de estos programas sociales. Es muy respetable, antes se hacía de otra manera y había controversia, pero la gente está recibiendo la ayuda y es un despropósito caer en polémicas cuando la gente necesita tanto. En ese sentido, venga de donde venga o del programa, método o sistema es importante que el recurso llegue a la gene sin importar el nombre del programa.</t>
  </si>
  <si>
    <t>Ruta de la Transformación</t>
  </si>
  <si>
    <t>Radioescucha, Olga Islas: Yo creo que los programas que anuncia el gobierno es más publicidad que ayuda. lo ismo pasa con las Rutas de la Transformación.</t>
  </si>
  <si>
    <t>La mañana de este miércoles cuatro personas resultaron lesionadas ninguna de gravedad tras un accidente sobre la carretera federal Pachuca-Sahagún, a la altura del fraccionamiento Hacienda Margarita, en el que se vieron involucradas una camioneta particular tipo pick up y una unidad del transporte público colectivo. Al parecer la unidad de transporte público impactó a un automóvil que estaba en el acotamiento del lado derecho. Al lugar acudieron Bomberos, Seguridad Pública del Estado, de Zempoala y mineral de la Reforma.</t>
  </si>
  <si>
    <t>Andrés torres comenta que ayer firmaron el contrato para reinstalar la energía eléctrica que abastecerá la estación del 1010 de Amplitud Modulada El vocero Huasteco, es decir, se está apocas horas de retransmitir nuevamente las transmisiones, de volver al aire. Lo anterior, gracias al trabajo de los compañeros de la huasteca que trabajaron coordinados con la CFE y del Oficial Mayor, Orlando Ángeles; el Secretario de Gobierno Olivares y de todas las personas que intervinieron para hacer posible este contrato.</t>
  </si>
  <si>
    <t>La tarde de este miércoles se registró un accidente entre una unidad del transporte público y un automóvil particular sobre la avenida Paseo del Roble, de Ixmiquilpan. Paramédicos de la Cruz Roja Mexicana acudieron de inmediato para valorar a los pasajeros y demás personas involucradas. El percance dejó seis lesionados, quienes recibieron atención en el lugar y no requirieron traslado a un hospital.</t>
  </si>
  <si>
    <t>Para este 30 de julio se pronostican intervalos de chubascos (5 a 25 mm), temperaturas máximas de 30 a 35 °C en las regiones norte y este y rachas de viento de hasta 50 km/h en Hidalgo.</t>
  </si>
  <si>
    <t>En sesión ordinaria, los diputados de la LXVI Legislatura aprobaron acuerdos para designar a titulares de órganos internos de control en varias entidades de Hidalgo por cuatro años. Con 29 votos a favor, se nombró a Evelia Elizabeth Monribot Domínguez como titular de la ASEH, destacando su experiencia en control y fiscalización de recursos públicos. Monribot es licenciada en Administración y trabaja en el ITAIH. Luego, también con 29 votos a favor, se propuso a Héctor Ibarra Chavarría para la CDHEH. Ibarra tiene experiencia en manejo de recursos y ha trabajado en el sector educativo. Asimismo, se aprobó a Jonnathan Pérez Ledezma como titular del TEEH y a Myrna Rocío Moncada Mahuem como titular del IEEH, quien tiene experiencia en Derecho Fiscal. Estas designaciones fortalecerán el control y la rendición de cuentas en Hidalgo.</t>
  </si>
  <si>
    <t>Nombramientos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</si>
</sst>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0" tableType="queryTable" totalsRowShown="0">
  <autoFilter ref="A1:M210"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0"/>
  <sheetViews>
    <sheetView tabSelected="1" topLeftCell="A183" workbookViewId="0">
      <selection activeCell="A218" sqref="A218"/>
    </sheetView>
  </sheetViews>
  <sheetFormatPr baseColWidth="10" defaultRowHeight="15" x14ac:dyDescent="0.25"/>
  <cols>
    <col min="1" max="1" width="8.5703125" bestFit="1" customWidth="1"/>
    <col min="2" max="2" width="11.42578125" bestFit="1" customWidth="1"/>
    <col min="3" max="3" width="28.140625" bestFit="1" customWidth="1"/>
    <col min="4" max="4" width="30.7109375" bestFit="1" customWidth="1"/>
    <col min="5" max="5" width="81.140625" bestFit="1" customWidth="1"/>
    <col min="6" max="6" width="15.28515625" bestFit="1" customWidth="1"/>
    <col min="7" max="7" width="27.140625" bestFit="1" customWidth="1"/>
    <col min="8" max="8" width="11" bestFit="1" customWidth="1"/>
    <col min="9" max="9" width="11.140625" bestFit="1" customWidth="1"/>
    <col min="10" max="10" width="25.7109375" bestFit="1" customWidth="1"/>
    <col min="11" max="11" width="27.57031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46232</v>
      </c>
      <c r="B2" s="1" t="str">
        <f ca="1">IF(Información1[[#This Row],[Fecha]]='Ajuste de fechas'!$A$2,"Día actual","Día anterior")</f>
        <v>Día anterior</v>
      </c>
      <c r="C2" t="s">
        <v>28</v>
      </c>
      <c r="D2" t="s">
        <v>66</v>
      </c>
      <c r="E2" t="s">
        <v>112</v>
      </c>
      <c r="F2" t="s">
        <v>48</v>
      </c>
      <c r="G2" t="s">
        <v>113</v>
      </c>
      <c r="H2" t="s">
        <v>11</v>
      </c>
      <c r="I2" t="s">
        <v>7</v>
      </c>
      <c r="J2" t="s">
        <v>39</v>
      </c>
      <c r="K2" t="s">
        <v>67</v>
      </c>
      <c r="L2" t="s">
        <v>40</v>
      </c>
      <c r="M2">
        <v>1</v>
      </c>
    </row>
    <row r="3" spans="1:13" x14ac:dyDescent="0.25">
      <c r="A3" s="2">
        <v>46232</v>
      </c>
      <c r="B3" s="1" t="str">
        <f ca="1">IF(Información1[[#This Row],[Fecha]]='Ajuste de fechas'!$A$2,"Día actual","Día anterior")</f>
        <v>Día anterior</v>
      </c>
      <c r="C3" t="s">
        <v>78</v>
      </c>
      <c r="D3" t="s">
        <v>70</v>
      </c>
      <c r="E3" t="s">
        <v>114</v>
      </c>
      <c r="F3" t="s">
        <v>115</v>
      </c>
      <c r="G3" t="s">
        <v>116</v>
      </c>
      <c r="H3" t="s">
        <v>11</v>
      </c>
      <c r="I3" t="s">
        <v>7</v>
      </c>
      <c r="J3" t="s">
        <v>39</v>
      </c>
      <c r="K3" t="s">
        <v>71</v>
      </c>
      <c r="L3" t="s">
        <v>42</v>
      </c>
      <c r="M3">
        <v>1</v>
      </c>
    </row>
    <row r="4" spans="1:13" x14ac:dyDescent="0.25">
      <c r="A4" s="2">
        <v>46232</v>
      </c>
      <c r="B4" s="1" t="str">
        <f ca="1">IF(Información1[[#This Row],[Fecha]]='Ajuste de fechas'!$A$2,"Día actual","Día anterior")</f>
        <v>Día anterior</v>
      </c>
      <c r="C4" t="s">
        <v>28</v>
      </c>
      <c r="D4" t="s">
        <v>66</v>
      </c>
      <c r="E4" t="s">
        <v>117</v>
      </c>
      <c r="F4" t="s">
        <v>19</v>
      </c>
      <c r="G4" t="s">
        <v>74</v>
      </c>
      <c r="H4" t="s">
        <v>11</v>
      </c>
      <c r="I4" t="s">
        <v>7</v>
      </c>
      <c r="J4" t="s">
        <v>43</v>
      </c>
      <c r="K4" t="s">
        <v>67</v>
      </c>
      <c r="L4" t="s">
        <v>40</v>
      </c>
      <c r="M4">
        <v>1</v>
      </c>
    </row>
    <row r="5" spans="1:13" x14ac:dyDescent="0.25">
      <c r="A5" s="2">
        <v>46232</v>
      </c>
      <c r="B5" s="1" t="str">
        <f ca="1">IF(Información1[[#This Row],[Fecha]]='Ajuste de fechas'!$A$2,"Día actual","Día anterior")</f>
        <v>Día anterior</v>
      </c>
      <c r="C5" t="s">
        <v>28</v>
      </c>
      <c r="D5" t="s">
        <v>75</v>
      </c>
      <c r="E5" t="s">
        <v>118</v>
      </c>
      <c r="F5" t="s">
        <v>19</v>
      </c>
      <c r="G5" t="s">
        <v>119</v>
      </c>
      <c r="H5" t="s">
        <v>11</v>
      </c>
      <c r="I5" t="s">
        <v>7</v>
      </c>
      <c r="J5" t="s">
        <v>43</v>
      </c>
      <c r="K5" t="s">
        <v>76</v>
      </c>
      <c r="L5" t="s">
        <v>40</v>
      </c>
      <c r="M5">
        <v>1</v>
      </c>
    </row>
    <row r="6" spans="1:13" x14ac:dyDescent="0.25">
      <c r="A6" s="2">
        <v>46232</v>
      </c>
      <c r="B6" s="1" t="str">
        <f ca="1">IF(Información1[[#This Row],[Fecha]]='Ajuste de fechas'!$A$2,"Día actual","Día anterior")</f>
        <v>Día anterior</v>
      </c>
      <c r="C6" t="s">
        <v>28</v>
      </c>
      <c r="D6" t="s">
        <v>75</v>
      </c>
      <c r="E6" t="s">
        <v>120</v>
      </c>
      <c r="F6" t="s">
        <v>19</v>
      </c>
      <c r="G6" t="s">
        <v>121</v>
      </c>
      <c r="H6" t="s">
        <v>11</v>
      </c>
      <c r="I6" t="s">
        <v>7</v>
      </c>
      <c r="J6" t="s">
        <v>43</v>
      </c>
      <c r="K6" t="s">
        <v>76</v>
      </c>
      <c r="L6" t="s">
        <v>40</v>
      </c>
      <c r="M6">
        <v>1</v>
      </c>
    </row>
    <row r="7" spans="1:13" x14ac:dyDescent="0.25">
      <c r="A7" s="2">
        <v>46232</v>
      </c>
      <c r="B7" s="1" t="str">
        <f ca="1">IF(Información1[[#This Row],[Fecha]]='Ajuste de fechas'!$A$2,"Día actual","Día anterior")</f>
        <v>Día anterior</v>
      </c>
      <c r="C7" t="s">
        <v>69</v>
      </c>
      <c r="D7" t="s">
        <v>70</v>
      </c>
      <c r="E7" t="s">
        <v>122</v>
      </c>
      <c r="F7" t="s">
        <v>15</v>
      </c>
      <c r="G7" t="s">
        <v>123</v>
      </c>
      <c r="H7" t="s">
        <v>11</v>
      </c>
      <c r="I7" t="s">
        <v>7</v>
      </c>
      <c r="J7" t="s">
        <v>39</v>
      </c>
      <c r="K7" t="s">
        <v>71</v>
      </c>
      <c r="L7" t="s">
        <v>42</v>
      </c>
      <c r="M7">
        <v>1</v>
      </c>
    </row>
    <row r="8" spans="1:13" x14ac:dyDescent="0.25">
      <c r="A8" s="2">
        <v>46232</v>
      </c>
      <c r="B8" s="1" t="str">
        <f ca="1">IF(Información1[[#This Row],[Fecha]]='Ajuste de fechas'!$A$2,"Día actual","Día anterior")</f>
        <v>Día anterior</v>
      </c>
      <c r="C8" t="s">
        <v>28</v>
      </c>
      <c r="D8" t="s">
        <v>75</v>
      </c>
      <c r="E8" t="s">
        <v>124</v>
      </c>
      <c r="F8" t="s">
        <v>15</v>
      </c>
      <c r="G8" t="s">
        <v>123</v>
      </c>
      <c r="H8" t="s">
        <v>11</v>
      </c>
      <c r="I8" t="s">
        <v>7</v>
      </c>
      <c r="J8" t="s">
        <v>39</v>
      </c>
      <c r="K8" t="s">
        <v>76</v>
      </c>
      <c r="L8" t="s">
        <v>40</v>
      </c>
      <c r="M8">
        <v>1</v>
      </c>
    </row>
    <row r="9" spans="1:13" x14ac:dyDescent="0.25">
      <c r="A9" s="2">
        <v>46232</v>
      </c>
      <c r="B9" s="1" t="str">
        <f ca="1">IF(Información1[[#This Row],[Fecha]]='Ajuste de fechas'!$A$2,"Día actual","Día anterior")</f>
        <v>Día anterior</v>
      </c>
      <c r="C9" t="s">
        <v>8</v>
      </c>
      <c r="D9" t="s">
        <v>10</v>
      </c>
      <c r="E9" t="s">
        <v>125</v>
      </c>
      <c r="F9" t="s">
        <v>15</v>
      </c>
      <c r="G9" t="s">
        <v>123</v>
      </c>
      <c r="H9" t="s">
        <v>11</v>
      </c>
      <c r="I9" t="s">
        <v>7</v>
      </c>
      <c r="J9" t="s">
        <v>39</v>
      </c>
      <c r="K9" t="s">
        <v>14</v>
      </c>
      <c r="L9" t="s">
        <v>42</v>
      </c>
      <c r="M9">
        <v>1</v>
      </c>
    </row>
    <row r="10" spans="1:13" x14ac:dyDescent="0.25">
      <c r="A10" s="2">
        <v>46232</v>
      </c>
      <c r="B10" s="1" t="str">
        <f ca="1">IF(Información1[[#This Row],[Fecha]]='Ajuste de fechas'!$A$2,"Día actual","Día anterior")</f>
        <v>Día anterior</v>
      </c>
      <c r="C10" t="s">
        <v>8</v>
      </c>
      <c r="D10" t="s">
        <v>10</v>
      </c>
      <c r="E10" t="s">
        <v>126</v>
      </c>
      <c r="F10" t="s">
        <v>19</v>
      </c>
      <c r="G10" t="s">
        <v>32</v>
      </c>
      <c r="H10" t="s">
        <v>11</v>
      </c>
      <c r="I10" t="s">
        <v>7</v>
      </c>
      <c r="J10" t="s">
        <v>43</v>
      </c>
      <c r="K10" t="s">
        <v>14</v>
      </c>
      <c r="L10" t="s">
        <v>41</v>
      </c>
      <c r="M10">
        <v>1</v>
      </c>
    </row>
    <row r="11" spans="1:13" x14ac:dyDescent="0.25">
      <c r="A11" s="2">
        <v>46232</v>
      </c>
      <c r="B11" s="1" t="str">
        <f ca="1">IF(Información1[[#This Row],[Fecha]]='Ajuste de fechas'!$A$2,"Día actual","Día anterior")</f>
        <v>Día anterior</v>
      </c>
      <c r="C11" t="s">
        <v>8</v>
      </c>
      <c r="D11" t="s">
        <v>10</v>
      </c>
      <c r="E11" t="s">
        <v>20</v>
      </c>
      <c r="F11" t="s">
        <v>19</v>
      </c>
      <c r="G11" t="s">
        <v>32</v>
      </c>
      <c r="H11" t="s">
        <v>11</v>
      </c>
      <c r="I11" t="s">
        <v>12</v>
      </c>
      <c r="J11" t="s">
        <v>43</v>
      </c>
      <c r="K11" t="s">
        <v>14</v>
      </c>
      <c r="L11" t="s">
        <v>41</v>
      </c>
      <c r="M11">
        <v>1</v>
      </c>
    </row>
    <row r="12" spans="1:13" x14ac:dyDescent="0.25">
      <c r="A12" s="2">
        <v>46232</v>
      </c>
      <c r="B12" s="1" t="str">
        <f ca="1">IF(Información1[[#This Row],[Fecha]]='Ajuste de fechas'!$A$2,"Día actual","Día anterior")</f>
        <v>Día anterior</v>
      </c>
      <c r="C12" t="s">
        <v>8</v>
      </c>
      <c r="D12" t="s">
        <v>10</v>
      </c>
      <c r="E12" t="s">
        <v>18</v>
      </c>
      <c r="F12" t="s">
        <v>19</v>
      </c>
      <c r="G12" t="s">
        <v>32</v>
      </c>
      <c r="H12" t="s">
        <v>11</v>
      </c>
      <c r="I12" t="s">
        <v>12</v>
      </c>
      <c r="J12" t="s">
        <v>43</v>
      </c>
      <c r="K12" t="s">
        <v>14</v>
      </c>
      <c r="L12" t="s">
        <v>41</v>
      </c>
      <c r="M12">
        <v>1</v>
      </c>
    </row>
    <row r="13" spans="1:13" x14ac:dyDescent="0.25">
      <c r="A13" s="2">
        <v>46232</v>
      </c>
      <c r="B13" s="1" t="str">
        <f ca="1">IF(Información1[[#This Row],[Fecha]]='Ajuste de fechas'!$A$2,"Día actual","Día anterior")</f>
        <v>Día anterior</v>
      </c>
      <c r="C13" t="s">
        <v>8</v>
      </c>
      <c r="D13" t="s">
        <v>10</v>
      </c>
      <c r="E13" t="s">
        <v>68</v>
      </c>
      <c r="F13" t="s">
        <v>54</v>
      </c>
      <c r="G13" t="s">
        <v>32</v>
      </c>
      <c r="H13" t="s">
        <v>11</v>
      </c>
      <c r="I13" t="s">
        <v>12</v>
      </c>
      <c r="J13" t="s">
        <v>24</v>
      </c>
      <c r="K13" t="s">
        <v>14</v>
      </c>
      <c r="L13" t="s">
        <v>41</v>
      </c>
      <c r="M13">
        <v>1</v>
      </c>
    </row>
    <row r="14" spans="1:13" x14ac:dyDescent="0.25">
      <c r="A14" s="2">
        <v>46232</v>
      </c>
      <c r="B14" s="1" t="str">
        <f ca="1">IF(Información1[[#This Row],[Fecha]]='Ajuste de fechas'!$A$2,"Día actual","Día anterior")</f>
        <v>Día anterior</v>
      </c>
      <c r="C14" t="s">
        <v>8</v>
      </c>
      <c r="D14" t="s">
        <v>10</v>
      </c>
      <c r="E14" t="s">
        <v>13</v>
      </c>
      <c r="F14" t="s">
        <v>15</v>
      </c>
      <c r="G14" t="s">
        <v>32</v>
      </c>
      <c r="H14" t="s">
        <v>11</v>
      </c>
      <c r="I14" t="s">
        <v>12</v>
      </c>
      <c r="J14" t="s">
        <v>39</v>
      </c>
      <c r="K14" t="s">
        <v>14</v>
      </c>
      <c r="L14" t="s">
        <v>41</v>
      </c>
      <c r="M14">
        <v>1</v>
      </c>
    </row>
    <row r="15" spans="1:13" x14ac:dyDescent="0.25">
      <c r="A15" s="2">
        <v>46232</v>
      </c>
      <c r="B15" s="1" t="str">
        <f ca="1">IF(Información1[[#This Row],[Fecha]]='Ajuste de fechas'!$A$2,"Día actual","Día anterior")</f>
        <v>Día anterior</v>
      </c>
      <c r="C15" t="s">
        <v>8</v>
      </c>
      <c r="D15" t="s">
        <v>10</v>
      </c>
      <c r="E15" t="s">
        <v>16</v>
      </c>
      <c r="F15" t="s">
        <v>17</v>
      </c>
      <c r="G15" t="s">
        <v>32</v>
      </c>
      <c r="H15" t="s">
        <v>11</v>
      </c>
      <c r="I15" t="s">
        <v>12</v>
      </c>
      <c r="J15" t="s">
        <v>39</v>
      </c>
      <c r="K15" t="s">
        <v>14</v>
      </c>
      <c r="L15" t="s">
        <v>41</v>
      </c>
      <c r="M15">
        <v>1</v>
      </c>
    </row>
    <row r="16" spans="1:13" x14ac:dyDescent="0.25">
      <c r="A16" s="2">
        <v>46232</v>
      </c>
      <c r="B16" s="1" t="str">
        <f ca="1">IF(Información1[[#This Row],[Fecha]]='Ajuste de fechas'!$A$2,"Día actual","Día anterior")</f>
        <v>Día anterior</v>
      </c>
      <c r="C16" t="s">
        <v>8</v>
      </c>
      <c r="D16" t="s">
        <v>10</v>
      </c>
      <c r="E16" t="s">
        <v>53</v>
      </c>
      <c r="F16" t="s">
        <v>6</v>
      </c>
      <c r="G16" t="s">
        <v>32</v>
      </c>
      <c r="H16" t="s">
        <v>11</v>
      </c>
      <c r="I16" t="s">
        <v>12</v>
      </c>
      <c r="J16" t="s">
        <v>39</v>
      </c>
      <c r="K16" t="s">
        <v>14</v>
      </c>
      <c r="L16" t="s">
        <v>41</v>
      </c>
      <c r="M16">
        <v>1</v>
      </c>
    </row>
    <row r="17" spans="1:13" x14ac:dyDescent="0.25">
      <c r="A17" s="2">
        <v>46232</v>
      </c>
      <c r="B17" s="1" t="str">
        <f ca="1">IF(Información1[[#This Row],[Fecha]]='Ajuste de fechas'!$A$2,"Día actual","Día anterior")</f>
        <v>Día anterior</v>
      </c>
      <c r="C17" t="s">
        <v>8</v>
      </c>
      <c r="D17" t="s">
        <v>10</v>
      </c>
      <c r="E17" t="s">
        <v>127</v>
      </c>
      <c r="F17" t="s">
        <v>22</v>
      </c>
      <c r="G17" t="s">
        <v>128</v>
      </c>
      <c r="H17" t="s">
        <v>11</v>
      </c>
      <c r="I17" t="s">
        <v>7</v>
      </c>
      <c r="J17" t="s">
        <v>44</v>
      </c>
      <c r="K17" t="s">
        <v>14</v>
      </c>
      <c r="L17" t="s">
        <v>40</v>
      </c>
      <c r="M17">
        <v>1</v>
      </c>
    </row>
    <row r="18" spans="1:13" x14ac:dyDescent="0.25">
      <c r="A18" s="2">
        <v>46232</v>
      </c>
      <c r="B18" s="1" t="str">
        <f ca="1">IF(Información1[[#This Row],[Fecha]]='Ajuste de fechas'!$A$2,"Día actual","Día anterior")</f>
        <v>Día anterior</v>
      </c>
      <c r="C18" t="s">
        <v>28</v>
      </c>
      <c r="D18" t="s">
        <v>75</v>
      </c>
      <c r="E18" t="s">
        <v>129</v>
      </c>
      <c r="F18" t="s">
        <v>19</v>
      </c>
      <c r="G18" t="s">
        <v>130</v>
      </c>
      <c r="H18" t="s">
        <v>11</v>
      </c>
      <c r="I18" t="s">
        <v>25</v>
      </c>
      <c r="J18" t="s">
        <v>43</v>
      </c>
      <c r="K18" t="s">
        <v>76</v>
      </c>
      <c r="L18" t="s">
        <v>40</v>
      </c>
      <c r="M18">
        <v>1</v>
      </c>
    </row>
    <row r="19" spans="1:13" x14ac:dyDescent="0.25">
      <c r="A19" s="2">
        <v>46232</v>
      </c>
      <c r="B19" s="1" t="str">
        <f ca="1">IF(Información1[[#This Row],[Fecha]]='Ajuste de fechas'!$A$2,"Día actual","Día anterior")</f>
        <v>Día anterior</v>
      </c>
      <c r="C19" t="s">
        <v>8</v>
      </c>
      <c r="D19" t="s">
        <v>10</v>
      </c>
      <c r="E19" t="s">
        <v>131</v>
      </c>
      <c r="F19" t="s">
        <v>22</v>
      </c>
      <c r="G19" t="s">
        <v>132</v>
      </c>
      <c r="H19" t="s">
        <v>11</v>
      </c>
      <c r="I19" t="s">
        <v>25</v>
      </c>
      <c r="J19" t="s">
        <v>44</v>
      </c>
      <c r="K19" t="s">
        <v>9</v>
      </c>
      <c r="L19" t="s">
        <v>41</v>
      </c>
      <c r="M19">
        <v>1</v>
      </c>
    </row>
    <row r="20" spans="1:13" x14ac:dyDescent="0.25">
      <c r="A20" s="2">
        <v>46232</v>
      </c>
      <c r="B20" s="1" t="str">
        <f ca="1">IF(Información1[[#This Row],[Fecha]]='Ajuste de fechas'!$A$2,"Día actual","Día anterior")</f>
        <v>Día anterior</v>
      </c>
      <c r="C20" t="s">
        <v>8</v>
      </c>
      <c r="D20" t="s">
        <v>10</v>
      </c>
      <c r="E20" t="s">
        <v>133</v>
      </c>
      <c r="F20" t="s">
        <v>19</v>
      </c>
      <c r="G20" t="s">
        <v>134</v>
      </c>
      <c r="H20" t="s">
        <v>11</v>
      </c>
      <c r="I20" t="s">
        <v>7</v>
      </c>
      <c r="J20" t="s">
        <v>43</v>
      </c>
      <c r="K20" t="s">
        <v>9</v>
      </c>
      <c r="L20" t="s">
        <v>41</v>
      </c>
      <c r="M20">
        <v>1</v>
      </c>
    </row>
    <row r="21" spans="1:13" x14ac:dyDescent="0.25">
      <c r="A21" s="2">
        <v>46232</v>
      </c>
      <c r="B21" s="1" t="str">
        <f ca="1">IF(Información1[[#This Row],[Fecha]]='Ajuste de fechas'!$A$2,"Día actual","Día anterior")</f>
        <v>Día anterior</v>
      </c>
      <c r="C21" t="s">
        <v>28</v>
      </c>
      <c r="D21" t="s">
        <v>75</v>
      </c>
      <c r="E21" t="s">
        <v>135</v>
      </c>
      <c r="F21" t="s">
        <v>82</v>
      </c>
      <c r="G21" t="s">
        <v>100</v>
      </c>
      <c r="H21" t="s">
        <v>11</v>
      </c>
      <c r="I21" t="s">
        <v>7</v>
      </c>
      <c r="J21" t="s">
        <v>39</v>
      </c>
      <c r="K21" t="s">
        <v>76</v>
      </c>
      <c r="L21" t="s">
        <v>40</v>
      </c>
      <c r="M21">
        <v>1</v>
      </c>
    </row>
    <row r="22" spans="1:13" x14ac:dyDescent="0.25">
      <c r="A22" s="2">
        <v>46232</v>
      </c>
      <c r="B22" s="1" t="str">
        <f ca="1">IF(Información1[[#This Row],[Fecha]]='Ajuste de fechas'!$A$2,"Día actual","Día anterior")</f>
        <v>Día anterior</v>
      </c>
      <c r="C22" t="s">
        <v>8</v>
      </c>
      <c r="D22" t="s">
        <v>10</v>
      </c>
      <c r="E22" t="s">
        <v>136</v>
      </c>
      <c r="F22" t="s">
        <v>6</v>
      </c>
      <c r="G22" t="s">
        <v>137</v>
      </c>
      <c r="H22" t="s">
        <v>11</v>
      </c>
      <c r="I22" t="s">
        <v>25</v>
      </c>
      <c r="J22" t="s">
        <v>39</v>
      </c>
      <c r="K22" t="s">
        <v>9</v>
      </c>
      <c r="L22" t="s">
        <v>41</v>
      </c>
      <c r="M22">
        <v>1</v>
      </c>
    </row>
    <row r="23" spans="1:13" x14ac:dyDescent="0.25">
      <c r="A23" s="2">
        <v>46232</v>
      </c>
      <c r="B23" s="1" t="str">
        <f ca="1">IF(Información1[[#This Row],[Fecha]]='Ajuste de fechas'!$A$2,"Día actual","Día anterior")</f>
        <v>Día anterior</v>
      </c>
      <c r="C23" t="s">
        <v>28</v>
      </c>
      <c r="D23" t="s">
        <v>75</v>
      </c>
      <c r="E23" t="s">
        <v>138</v>
      </c>
      <c r="F23" t="s">
        <v>26</v>
      </c>
      <c r="G23" t="s">
        <v>103</v>
      </c>
      <c r="H23" t="s">
        <v>11</v>
      </c>
      <c r="I23" t="s">
        <v>7</v>
      </c>
      <c r="J23" t="s">
        <v>39</v>
      </c>
      <c r="K23" t="s">
        <v>76</v>
      </c>
      <c r="L23" t="s">
        <v>40</v>
      </c>
      <c r="M23">
        <v>1</v>
      </c>
    </row>
    <row r="24" spans="1:13" x14ac:dyDescent="0.25">
      <c r="A24" s="2">
        <v>46232</v>
      </c>
      <c r="B24" s="1" t="str">
        <f ca="1">IF(Información1[[#This Row],[Fecha]]='Ajuste de fechas'!$A$2,"Día actual","Día anterior")</f>
        <v>Día anterior</v>
      </c>
      <c r="C24" t="s">
        <v>28</v>
      </c>
      <c r="D24" t="s">
        <v>66</v>
      </c>
      <c r="E24" t="s">
        <v>139</v>
      </c>
      <c r="F24" t="s">
        <v>79</v>
      </c>
      <c r="G24" t="s">
        <v>140</v>
      </c>
      <c r="H24" t="s">
        <v>11</v>
      </c>
      <c r="I24" t="s">
        <v>7</v>
      </c>
      <c r="J24" t="s">
        <v>24</v>
      </c>
      <c r="K24" t="s">
        <v>67</v>
      </c>
      <c r="L24" t="s">
        <v>40</v>
      </c>
      <c r="M24">
        <v>1</v>
      </c>
    </row>
    <row r="25" spans="1:13" x14ac:dyDescent="0.25">
      <c r="A25" s="2">
        <v>46232</v>
      </c>
      <c r="B25" s="1" t="str">
        <f ca="1">IF(Información1[[#This Row],[Fecha]]='Ajuste de fechas'!$A$2,"Día actual","Día anterior")</f>
        <v>Día anterior</v>
      </c>
      <c r="C25" t="s">
        <v>28</v>
      </c>
      <c r="D25" t="s">
        <v>66</v>
      </c>
      <c r="E25" t="s">
        <v>141</v>
      </c>
      <c r="F25" t="s">
        <v>48</v>
      </c>
      <c r="G25" t="s">
        <v>142</v>
      </c>
      <c r="H25" t="s">
        <v>11</v>
      </c>
      <c r="I25" t="s">
        <v>25</v>
      </c>
      <c r="J25" t="s">
        <v>39</v>
      </c>
      <c r="K25" t="s">
        <v>67</v>
      </c>
      <c r="L25" t="s">
        <v>40</v>
      </c>
      <c r="M25">
        <v>1</v>
      </c>
    </row>
    <row r="26" spans="1:13" x14ac:dyDescent="0.25">
      <c r="A26" s="2">
        <v>46232</v>
      </c>
      <c r="B26" s="1" t="str">
        <f ca="1">IF(Información1[[#This Row],[Fecha]]='Ajuste de fechas'!$A$2,"Día actual","Día anterior")</f>
        <v>Día anterior</v>
      </c>
      <c r="C26" t="s">
        <v>28</v>
      </c>
      <c r="D26" t="s">
        <v>66</v>
      </c>
      <c r="E26" t="s">
        <v>143</v>
      </c>
      <c r="F26" t="s">
        <v>48</v>
      </c>
      <c r="G26" t="s">
        <v>142</v>
      </c>
      <c r="H26" t="s">
        <v>11</v>
      </c>
      <c r="I26" t="s">
        <v>7</v>
      </c>
      <c r="J26" t="s">
        <v>39</v>
      </c>
      <c r="K26" t="s">
        <v>67</v>
      </c>
      <c r="L26" t="s">
        <v>40</v>
      </c>
      <c r="M26">
        <v>1</v>
      </c>
    </row>
    <row r="27" spans="1:13" x14ac:dyDescent="0.25">
      <c r="A27" s="2">
        <v>46232</v>
      </c>
      <c r="B27" s="1" t="str">
        <f ca="1">IF(Información1[[#This Row],[Fecha]]='Ajuste de fechas'!$A$2,"Día actual","Día anterior")</f>
        <v>Día anterior</v>
      </c>
      <c r="C27" t="s">
        <v>28</v>
      </c>
      <c r="D27" t="s">
        <v>66</v>
      </c>
      <c r="E27" t="s">
        <v>144</v>
      </c>
      <c r="F27" t="s">
        <v>101</v>
      </c>
      <c r="G27" t="s">
        <v>145</v>
      </c>
      <c r="H27" t="s">
        <v>11</v>
      </c>
      <c r="I27" t="s">
        <v>7</v>
      </c>
      <c r="J27" t="s">
        <v>39</v>
      </c>
      <c r="K27" t="s">
        <v>67</v>
      </c>
      <c r="L27" t="s">
        <v>40</v>
      </c>
      <c r="M27">
        <v>1</v>
      </c>
    </row>
    <row r="28" spans="1:13" x14ac:dyDescent="0.25">
      <c r="A28" s="2">
        <v>46232</v>
      </c>
      <c r="B28" s="1" t="str">
        <f ca="1">IF(Información1[[#This Row],[Fecha]]='Ajuste de fechas'!$A$2,"Día actual","Día anterior")</f>
        <v>Día anterior</v>
      </c>
      <c r="C28" t="s">
        <v>28</v>
      </c>
      <c r="D28" t="s">
        <v>66</v>
      </c>
      <c r="E28" t="s">
        <v>146</v>
      </c>
      <c r="F28" t="s">
        <v>19</v>
      </c>
      <c r="G28" t="s">
        <v>84</v>
      </c>
      <c r="H28" t="s">
        <v>11</v>
      </c>
      <c r="I28" t="s">
        <v>7</v>
      </c>
      <c r="J28" t="s">
        <v>43</v>
      </c>
      <c r="K28" t="s">
        <v>67</v>
      </c>
      <c r="L28" t="s">
        <v>40</v>
      </c>
      <c r="M28">
        <v>1</v>
      </c>
    </row>
    <row r="29" spans="1:13" x14ac:dyDescent="0.25">
      <c r="A29" s="2">
        <v>46232</v>
      </c>
      <c r="B29" s="1" t="str">
        <f ca="1">IF(Información1[[#This Row],[Fecha]]='Ajuste de fechas'!$A$2,"Día actual","Día anterior")</f>
        <v>Día anterior</v>
      </c>
      <c r="C29" t="s">
        <v>28</v>
      </c>
      <c r="D29" t="s">
        <v>75</v>
      </c>
      <c r="E29" t="s">
        <v>147</v>
      </c>
      <c r="F29" t="s">
        <v>101</v>
      </c>
      <c r="G29" t="s">
        <v>86</v>
      </c>
      <c r="H29" t="s">
        <v>11</v>
      </c>
      <c r="I29" t="s">
        <v>7</v>
      </c>
      <c r="J29" t="s">
        <v>39</v>
      </c>
      <c r="K29" t="s">
        <v>76</v>
      </c>
      <c r="L29" t="s">
        <v>40</v>
      </c>
      <c r="M29">
        <v>1</v>
      </c>
    </row>
    <row r="30" spans="1:13" x14ac:dyDescent="0.25">
      <c r="A30" s="2">
        <v>46232</v>
      </c>
      <c r="B30" s="1" t="str">
        <f ca="1">IF(Información1[[#This Row],[Fecha]]='Ajuste de fechas'!$A$2,"Día actual","Día anterior")</f>
        <v>Día anterior</v>
      </c>
      <c r="C30" t="s">
        <v>8</v>
      </c>
      <c r="D30" t="s">
        <v>10</v>
      </c>
      <c r="E30" t="s">
        <v>148</v>
      </c>
      <c r="F30" t="s">
        <v>6</v>
      </c>
      <c r="G30" t="s">
        <v>149</v>
      </c>
      <c r="H30" t="s">
        <v>11</v>
      </c>
      <c r="I30" t="s">
        <v>25</v>
      </c>
      <c r="J30" t="s">
        <v>39</v>
      </c>
      <c r="K30" t="s">
        <v>9</v>
      </c>
      <c r="L30" t="s">
        <v>41</v>
      </c>
      <c r="M30">
        <v>1</v>
      </c>
    </row>
    <row r="31" spans="1:13" x14ac:dyDescent="0.25">
      <c r="A31" s="2">
        <v>46232</v>
      </c>
      <c r="B31" s="1" t="str">
        <f ca="1">IF(Información1[[#This Row],[Fecha]]='Ajuste de fechas'!$A$2,"Día actual","Día anterior")</f>
        <v>Día anterior</v>
      </c>
      <c r="C31" t="s">
        <v>8</v>
      </c>
      <c r="D31" t="s">
        <v>10</v>
      </c>
      <c r="E31" t="s">
        <v>150</v>
      </c>
      <c r="F31" t="s">
        <v>19</v>
      </c>
      <c r="G31" t="s">
        <v>91</v>
      </c>
      <c r="H31" t="s">
        <v>11</v>
      </c>
      <c r="I31" t="s">
        <v>7</v>
      </c>
      <c r="J31" t="s">
        <v>43</v>
      </c>
      <c r="K31" t="s">
        <v>14</v>
      </c>
      <c r="L31" t="s">
        <v>72</v>
      </c>
      <c r="M31">
        <v>1</v>
      </c>
    </row>
    <row r="32" spans="1:13" x14ac:dyDescent="0.25">
      <c r="A32" s="2">
        <v>46232</v>
      </c>
      <c r="B32" s="1" t="str">
        <f ca="1">IF(Información1[[#This Row],[Fecha]]='Ajuste de fechas'!$A$2,"Día actual","Día anterior")</f>
        <v>Día anterior</v>
      </c>
      <c r="C32" t="s">
        <v>28</v>
      </c>
      <c r="D32" t="s">
        <v>75</v>
      </c>
      <c r="E32" t="s">
        <v>151</v>
      </c>
      <c r="F32" t="s">
        <v>21</v>
      </c>
      <c r="G32" t="s">
        <v>152</v>
      </c>
      <c r="H32" t="s">
        <v>11</v>
      </c>
      <c r="I32" t="s">
        <v>7</v>
      </c>
      <c r="J32" t="s">
        <v>39</v>
      </c>
      <c r="K32" t="s">
        <v>76</v>
      </c>
      <c r="L32" t="s">
        <v>40</v>
      </c>
      <c r="M32">
        <v>1</v>
      </c>
    </row>
    <row r="33" spans="1:13" x14ac:dyDescent="0.25">
      <c r="A33" s="2">
        <v>46232</v>
      </c>
      <c r="B33" s="1" t="str">
        <f ca="1">IF(Información1[[#This Row],[Fecha]]='Ajuste de fechas'!$A$2,"Día actual","Día anterior")</f>
        <v>Día anterior</v>
      </c>
      <c r="C33" t="s">
        <v>8</v>
      </c>
      <c r="D33" t="s">
        <v>10</v>
      </c>
      <c r="E33" t="s">
        <v>153</v>
      </c>
      <c r="F33" t="s">
        <v>21</v>
      </c>
      <c r="G33" t="s">
        <v>152</v>
      </c>
      <c r="H33" t="s">
        <v>11</v>
      </c>
      <c r="I33" t="s">
        <v>7</v>
      </c>
      <c r="J33" t="s">
        <v>39</v>
      </c>
      <c r="K33" t="s">
        <v>14</v>
      </c>
      <c r="L33" t="s">
        <v>42</v>
      </c>
      <c r="M33">
        <v>1</v>
      </c>
    </row>
    <row r="34" spans="1:13" x14ac:dyDescent="0.25">
      <c r="A34" s="2">
        <v>46232</v>
      </c>
      <c r="B34" s="1" t="str">
        <f ca="1">IF(Información1[[#This Row],[Fecha]]='Ajuste de fechas'!$A$2,"Día actual","Día anterior")</f>
        <v>Día anterior</v>
      </c>
      <c r="C34" t="s">
        <v>69</v>
      </c>
      <c r="D34" t="s">
        <v>70</v>
      </c>
      <c r="E34" t="s">
        <v>104</v>
      </c>
      <c r="F34" t="s">
        <v>94</v>
      </c>
      <c r="G34" t="s">
        <v>99</v>
      </c>
      <c r="H34" t="s">
        <v>11</v>
      </c>
      <c r="I34" t="s">
        <v>7</v>
      </c>
      <c r="J34" t="s">
        <v>39</v>
      </c>
      <c r="K34" t="s">
        <v>71</v>
      </c>
      <c r="L34" t="s">
        <v>42</v>
      </c>
      <c r="M34">
        <v>1</v>
      </c>
    </row>
    <row r="35" spans="1:13" x14ac:dyDescent="0.25">
      <c r="A35" s="2">
        <v>46232</v>
      </c>
      <c r="B35" s="1" t="str">
        <f ca="1">IF(Información1[[#This Row],[Fecha]]='Ajuste de fechas'!$A$2,"Día actual","Día anterior")</f>
        <v>Día anterior</v>
      </c>
      <c r="C35" t="s">
        <v>69</v>
      </c>
      <c r="D35" t="s">
        <v>70</v>
      </c>
      <c r="E35" t="s">
        <v>154</v>
      </c>
      <c r="F35" t="s">
        <v>21</v>
      </c>
      <c r="G35" t="s">
        <v>155</v>
      </c>
      <c r="H35" t="s">
        <v>11</v>
      </c>
      <c r="I35" t="s">
        <v>7</v>
      </c>
      <c r="J35" t="s">
        <v>39</v>
      </c>
      <c r="K35" t="s">
        <v>71</v>
      </c>
      <c r="L35" t="s">
        <v>42</v>
      </c>
      <c r="M35">
        <v>1</v>
      </c>
    </row>
    <row r="36" spans="1:13" x14ac:dyDescent="0.25">
      <c r="A36" s="2">
        <v>46232</v>
      </c>
      <c r="B36" s="1" t="str">
        <f ca="1">IF(Información1[[#This Row],[Fecha]]='Ajuste de fechas'!$A$2,"Día actual","Día anterior")</f>
        <v>Día anterior</v>
      </c>
      <c r="C36" t="s">
        <v>28</v>
      </c>
      <c r="D36" t="s">
        <v>75</v>
      </c>
      <c r="E36" t="s">
        <v>156</v>
      </c>
      <c r="F36" t="s">
        <v>21</v>
      </c>
      <c r="G36" t="s">
        <v>155</v>
      </c>
      <c r="H36" t="s">
        <v>11</v>
      </c>
      <c r="I36" t="s">
        <v>7</v>
      </c>
      <c r="J36" t="s">
        <v>39</v>
      </c>
      <c r="K36" t="s">
        <v>76</v>
      </c>
      <c r="L36" t="s">
        <v>40</v>
      </c>
      <c r="M36">
        <v>1</v>
      </c>
    </row>
    <row r="37" spans="1:13" x14ac:dyDescent="0.25">
      <c r="A37" s="2">
        <v>46232</v>
      </c>
      <c r="B37" s="1" t="str">
        <f ca="1">IF(Información1[[#This Row],[Fecha]]='Ajuste de fechas'!$A$2,"Día actual","Día anterior")</f>
        <v>Día anterior</v>
      </c>
      <c r="C37" t="s">
        <v>28</v>
      </c>
      <c r="D37" t="s">
        <v>75</v>
      </c>
      <c r="E37" t="s">
        <v>157</v>
      </c>
      <c r="F37" t="s">
        <v>26</v>
      </c>
      <c r="G37" t="s">
        <v>158</v>
      </c>
      <c r="H37" t="s">
        <v>11</v>
      </c>
      <c r="I37" t="s">
        <v>7</v>
      </c>
      <c r="J37" t="s">
        <v>39</v>
      </c>
      <c r="K37" t="s">
        <v>76</v>
      </c>
      <c r="L37" t="s">
        <v>40</v>
      </c>
      <c r="M37">
        <v>1</v>
      </c>
    </row>
    <row r="38" spans="1:13" x14ac:dyDescent="0.25">
      <c r="A38" s="2">
        <v>46232</v>
      </c>
      <c r="B38" s="1" t="str">
        <f ca="1">IF(Información1[[#This Row],[Fecha]]='Ajuste de fechas'!$A$2,"Día actual","Día anterior")</f>
        <v>Día anterior</v>
      </c>
      <c r="C38" t="s">
        <v>28</v>
      </c>
      <c r="D38" t="s">
        <v>75</v>
      </c>
      <c r="E38" t="s">
        <v>159</v>
      </c>
      <c r="F38" t="s">
        <v>21</v>
      </c>
      <c r="G38" t="s">
        <v>160</v>
      </c>
      <c r="H38" t="s">
        <v>11</v>
      </c>
      <c r="I38" t="s">
        <v>7</v>
      </c>
      <c r="J38" t="s">
        <v>39</v>
      </c>
      <c r="K38" t="s">
        <v>76</v>
      </c>
      <c r="L38" t="s">
        <v>40</v>
      </c>
      <c r="M38">
        <v>1</v>
      </c>
    </row>
    <row r="39" spans="1:13" x14ac:dyDescent="0.25">
      <c r="A39" s="2">
        <v>46232</v>
      </c>
      <c r="B39" s="1" t="str">
        <f ca="1">IF(Información1[[#This Row],[Fecha]]='Ajuste de fechas'!$A$2,"Día actual","Día anterior")</f>
        <v>Día anterior</v>
      </c>
      <c r="C39" t="s">
        <v>28</v>
      </c>
      <c r="D39" t="s">
        <v>66</v>
      </c>
      <c r="E39" t="s">
        <v>161</v>
      </c>
      <c r="F39" t="s">
        <v>31</v>
      </c>
      <c r="G39" t="s">
        <v>87</v>
      </c>
      <c r="H39" t="s">
        <v>11</v>
      </c>
      <c r="I39" t="s">
        <v>7</v>
      </c>
      <c r="J39" t="s">
        <v>39</v>
      </c>
      <c r="K39" t="s">
        <v>67</v>
      </c>
      <c r="L39" t="s">
        <v>42</v>
      </c>
      <c r="M39">
        <v>1</v>
      </c>
    </row>
    <row r="40" spans="1:13" x14ac:dyDescent="0.25">
      <c r="A40" s="2">
        <v>46232</v>
      </c>
      <c r="B40" s="1" t="str">
        <f ca="1">IF(Información1[[#This Row],[Fecha]]='Ajuste de fechas'!$A$2,"Día actual","Día anterior")</f>
        <v>Día anterior</v>
      </c>
      <c r="C40" t="s">
        <v>28</v>
      </c>
      <c r="D40" t="s">
        <v>75</v>
      </c>
      <c r="E40" t="s">
        <v>162</v>
      </c>
      <c r="F40" t="s">
        <v>31</v>
      </c>
      <c r="G40" t="s">
        <v>87</v>
      </c>
      <c r="H40" t="s">
        <v>11</v>
      </c>
      <c r="I40" t="s">
        <v>7</v>
      </c>
      <c r="J40" t="s">
        <v>39</v>
      </c>
      <c r="K40" t="s">
        <v>76</v>
      </c>
      <c r="L40" t="s">
        <v>40</v>
      </c>
      <c r="M40">
        <v>1</v>
      </c>
    </row>
    <row r="41" spans="1:13" x14ac:dyDescent="0.25">
      <c r="A41" s="2">
        <v>46232</v>
      </c>
      <c r="B41" s="1" t="str">
        <f ca="1">IF(Información1[[#This Row],[Fecha]]='Ajuste de fechas'!$A$2,"Día actual","Día anterior")</f>
        <v>Día anterior</v>
      </c>
      <c r="C41" t="s">
        <v>8</v>
      </c>
      <c r="D41" t="s">
        <v>10</v>
      </c>
      <c r="E41" t="s">
        <v>163</v>
      </c>
      <c r="F41" t="s">
        <v>17</v>
      </c>
      <c r="G41" t="s">
        <v>164</v>
      </c>
      <c r="H41" t="s">
        <v>11</v>
      </c>
      <c r="I41" t="s">
        <v>25</v>
      </c>
      <c r="J41" t="s">
        <v>39</v>
      </c>
      <c r="K41" t="s">
        <v>9</v>
      </c>
      <c r="L41" t="s">
        <v>41</v>
      </c>
      <c r="M41">
        <v>1</v>
      </c>
    </row>
    <row r="42" spans="1:13" x14ac:dyDescent="0.25">
      <c r="A42" s="2">
        <v>46232</v>
      </c>
      <c r="B42" s="1" t="str">
        <f ca="1">IF(Información1[[#This Row],[Fecha]]='Ajuste de fechas'!$A$2,"Día actual","Día anterior")</f>
        <v>Día anterior</v>
      </c>
      <c r="C42" t="s">
        <v>8</v>
      </c>
      <c r="D42" t="s">
        <v>10</v>
      </c>
      <c r="E42" t="s">
        <v>165</v>
      </c>
      <c r="F42" t="s">
        <v>22</v>
      </c>
      <c r="G42" t="s">
        <v>166</v>
      </c>
      <c r="H42" t="s">
        <v>11</v>
      </c>
      <c r="I42" t="s">
        <v>7</v>
      </c>
      <c r="J42" t="s">
        <v>44</v>
      </c>
      <c r="K42" t="s">
        <v>14</v>
      </c>
      <c r="L42" t="s">
        <v>40</v>
      </c>
      <c r="M42">
        <v>1</v>
      </c>
    </row>
    <row r="43" spans="1:13" x14ac:dyDescent="0.25">
      <c r="A43" s="2">
        <v>46232</v>
      </c>
      <c r="B43" s="1" t="str">
        <f ca="1">IF(Información1[[#This Row],[Fecha]]='Ajuste de fechas'!$A$2,"Día actual","Día anterior")</f>
        <v>Día anterior</v>
      </c>
      <c r="C43" t="s">
        <v>8</v>
      </c>
      <c r="D43" t="s">
        <v>10</v>
      </c>
      <c r="E43" t="s">
        <v>167</v>
      </c>
      <c r="F43" t="s">
        <v>24</v>
      </c>
      <c r="G43" t="s">
        <v>83</v>
      </c>
      <c r="H43" t="s">
        <v>11</v>
      </c>
      <c r="I43" t="s">
        <v>7</v>
      </c>
      <c r="J43" t="s">
        <v>24</v>
      </c>
      <c r="K43" t="s">
        <v>14</v>
      </c>
      <c r="L43" t="s">
        <v>40</v>
      </c>
      <c r="M43">
        <v>1</v>
      </c>
    </row>
    <row r="44" spans="1:13" x14ac:dyDescent="0.25">
      <c r="A44" s="2">
        <v>46232</v>
      </c>
      <c r="B44" s="1" t="str">
        <f ca="1">IF(Información1[[#This Row],[Fecha]]='Ajuste de fechas'!$A$2,"Día actual","Día anterior")</f>
        <v>Día anterior</v>
      </c>
      <c r="C44" t="s">
        <v>28</v>
      </c>
      <c r="D44" t="s">
        <v>75</v>
      </c>
      <c r="E44" t="s">
        <v>168</v>
      </c>
      <c r="F44" t="s">
        <v>101</v>
      </c>
      <c r="G44" t="s">
        <v>106</v>
      </c>
      <c r="H44" t="s">
        <v>11</v>
      </c>
      <c r="I44" t="s">
        <v>7</v>
      </c>
      <c r="J44" t="s">
        <v>39</v>
      </c>
      <c r="K44" t="s">
        <v>76</v>
      </c>
      <c r="L44" t="s">
        <v>40</v>
      </c>
      <c r="M44">
        <v>1</v>
      </c>
    </row>
    <row r="45" spans="1:13" x14ac:dyDescent="0.25">
      <c r="A45" s="2">
        <v>46232</v>
      </c>
      <c r="B45" s="1" t="str">
        <f ca="1">IF(Información1[[#This Row],[Fecha]]='Ajuste de fechas'!$A$2,"Día actual","Día anterior")</f>
        <v>Día anterior</v>
      </c>
      <c r="C45" t="s">
        <v>28</v>
      </c>
      <c r="D45" t="s">
        <v>66</v>
      </c>
      <c r="E45" t="s">
        <v>169</v>
      </c>
      <c r="F45" t="s">
        <v>26</v>
      </c>
      <c r="G45" t="s">
        <v>170</v>
      </c>
      <c r="H45" t="s">
        <v>11</v>
      </c>
      <c r="I45" t="s">
        <v>7</v>
      </c>
      <c r="J45" t="s">
        <v>39</v>
      </c>
      <c r="K45" t="s">
        <v>67</v>
      </c>
      <c r="L45" t="s">
        <v>42</v>
      </c>
      <c r="M45">
        <v>1</v>
      </c>
    </row>
    <row r="46" spans="1:13" x14ac:dyDescent="0.25">
      <c r="A46" s="2">
        <v>46232</v>
      </c>
      <c r="B46" s="1" t="str">
        <f ca="1">IF(Información1[[#This Row],[Fecha]]='Ajuste de fechas'!$A$2,"Día actual","Día anterior")</f>
        <v>Día anterior</v>
      </c>
      <c r="C46" t="s">
        <v>69</v>
      </c>
      <c r="D46" t="s">
        <v>70</v>
      </c>
      <c r="E46" t="s">
        <v>171</v>
      </c>
      <c r="F46" t="s">
        <v>26</v>
      </c>
      <c r="G46" t="s">
        <v>170</v>
      </c>
      <c r="H46" t="s">
        <v>11</v>
      </c>
      <c r="I46" t="s">
        <v>7</v>
      </c>
      <c r="J46" t="s">
        <v>39</v>
      </c>
      <c r="K46" t="s">
        <v>71</v>
      </c>
      <c r="L46" t="s">
        <v>42</v>
      </c>
      <c r="M46">
        <v>1</v>
      </c>
    </row>
    <row r="47" spans="1:13" x14ac:dyDescent="0.25">
      <c r="A47" s="2">
        <v>46232</v>
      </c>
      <c r="B47" s="1" t="str">
        <f ca="1">IF(Información1[[#This Row],[Fecha]]='Ajuste de fechas'!$A$2,"Día actual","Día anterior")</f>
        <v>Día anterior</v>
      </c>
      <c r="C47" t="s">
        <v>28</v>
      </c>
      <c r="D47" t="s">
        <v>75</v>
      </c>
      <c r="E47" t="s">
        <v>172</v>
      </c>
      <c r="F47" t="s">
        <v>26</v>
      </c>
      <c r="G47" t="s">
        <v>170</v>
      </c>
      <c r="H47" t="s">
        <v>11</v>
      </c>
      <c r="I47" t="s">
        <v>7</v>
      </c>
      <c r="J47" t="s">
        <v>39</v>
      </c>
      <c r="K47" t="s">
        <v>76</v>
      </c>
      <c r="L47" t="s">
        <v>40</v>
      </c>
      <c r="M47">
        <v>1</v>
      </c>
    </row>
    <row r="48" spans="1:13" x14ac:dyDescent="0.25">
      <c r="A48" s="2">
        <v>46232</v>
      </c>
      <c r="B48" s="1" t="str">
        <f ca="1">IF(Información1[[#This Row],[Fecha]]='Ajuste de fechas'!$A$2,"Día actual","Día anterior")</f>
        <v>Día anterior</v>
      </c>
      <c r="C48" t="s">
        <v>8</v>
      </c>
      <c r="D48" t="s">
        <v>10</v>
      </c>
      <c r="E48" t="s">
        <v>171</v>
      </c>
      <c r="F48" t="s">
        <v>26</v>
      </c>
      <c r="G48" t="s">
        <v>170</v>
      </c>
      <c r="H48" t="s">
        <v>11</v>
      </c>
      <c r="I48" t="s">
        <v>7</v>
      </c>
      <c r="J48" t="s">
        <v>39</v>
      </c>
      <c r="K48" t="s">
        <v>14</v>
      </c>
      <c r="L48" t="s">
        <v>42</v>
      </c>
      <c r="M48">
        <v>1</v>
      </c>
    </row>
    <row r="49" spans="1:13" x14ac:dyDescent="0.25">
      <c r="A49" s="2">
        <v>46232</v>
      </c>
      <c r="B49" s="1" t="str">
        <f ca="1">IF(Información1[[#This Row],[Fecha]]='Ajuste de fechas'!$A$2,"Día actual","Día anterior")</f>
        <v>Día anterior</v>
      </c>
      <c r="C49" t="s">
        <v>28</v>
      </c>
      <c r="D49" t="s">
        <v>66</v>
      </c>
      <c r="E49" t="s">
        <v>173</v>
      </c>
      <c r="F49" t="s">
        <v>54</v>
      </c>
      <c r="G49" t="s">
        <v>80</v>
      </c>
      <c r="H49" t="s">
        <v>11</v>
      </c>
      <c r="I49" t="s">
        <v>7</v>
      </c>
      <c r="J49" t="s">
        <v>24</v>
      </c>
      <c r="K49" t="s">
        <v>67</v>
      </c>
      <c r="L49" t="s">
        <v>40</v>
      </c>
      <c r="M49">
        <v>1</v>
      </c>
    </row>
    <row r="50" spans="1:13" x14ac:dyDescent="0.25">
      <c r="A50" s="2">
        <v>46232</v>
      </c>
      <c r="B50" s="1" t="str">
        <f ca="1">IF(Información1[[#This Row],[Fecha]]='Ajuste de fechas'!$A$2,"Día actual","Día anterior")</f>
        <v>Día anterior</v>
      </c>
      <c r="C50" t="s">
        <v>28</v>
      </c>
      <c r="D50" t="s">
        <v>66</v>
      </c>
      <c r="E50" t="s">
        <v>174</v>
      </c>
      <c r="F50" t="s">
        <v>26</v>
      </c>
      <c r="G50" t="s">
        <v>80</v>
      </c>
      <c r="H50" t="s">
        <v>11</v>
      </c>
      <c r="I50" t="s">
        <v>7</v>
      </c>
      <c r="J50" t="s">
        <v>39</v>
      </c>
      <c r="K50" t="s">
        <v>67</v>
      </c>
      <c r="L50" t="s">
        <v>40</v>
      </c>
      <c r="M50">
        <v>1</v>
      </c>
    </row>
    <row r="51" spans="1:13" x14ac:dyDescent="0.25">
      <c r="A51" s="2">
        <v>46232</v>
      </c>
      <c r="B51" s="1" t="str">
        <f ca="1">IF(Información1[[#This Row],[Fecha]]='Ajuste de fechas'!$A$2,"Día actual","Día anterior")</f>
        <v>Día anterior</v>
      </c>
      <c r="C51" t="s">
        <v>28</v>
      </c>
      <c r="D51" t="s">
        <v>75</v>
      </c>
      <c r="E51" t="s">
        <v>175</v>
      </c>
      <c r="F51" t="s">
        <v>19</v>
      </c>
      <c r="G51" t="s">
        <v>176</v>
      </c>
      <c r="H51" t="s">
        <v>11</v>
      </c>
      <c r="I51" t="s">
        <v>7</v>
      </c>
      <c r="J51" t="s">
        <v>43</v>
      </c>
      <c r="K51" t="s">
        <v>76</v>
      </c>
      <c r="L51" t="s">
        <v>40</v>
      </c>
      <c r="M51">
        <v>1</v>
      </c>
    </row>
    <row r="52" spans="1:13" x14ac:dyDescent="0.25">
      <c r="A52" s="2">
        <v>46232</v>
      </c>
      <c r="B52" s="1" t="str">
        <f ca="1">IF(Información1[[#This Row],[Fecha]]='Ajuste de fechas'!$A$2,"Día actual","Día anterior")</f>
        <v>Día anterior</v>
      </c>
      <c r="C52" t="s">
        <v>28</v>
      </c>
      <c r="D52" t="s">
        <v>66</v>
      </c>
      <c r="E52" t="s">
        <v>177</v>
      </c>
      <c r="F52" t="s">
        <v>26</v>
      </c>
      <c r="G52" t="s">
        <v>178</v>
      </c>
      <c r="H52" t="s">
        <v>11</v>
      </c>
      <c r="I52" t="s">
        <v>7</v>
      </c>
      <c r="J52" t="s">
        <v>39</v>
      </c>
      <c r="K52" t="s">
        <v>67</v>
      </c>
      <c r="L52" t="s">
        <v>40</v>
      </c>
      <c r="M52">
        <v>1</v>
      </c>
    </row>
    <row r="53" spans="1:13" x14ac:dyDescent="0.25">
      <c r="A53" s="2">
        <v>46232</v>
      </c>
      <c r="B53" s="1" t="str">
        <f ca="1">IF(Información1[[#This Row],[Fecha]]='Ajuste de fechas'!$A$2,"Día actual","Día anterior")</f>
        <v>Día anterior</v>
      </c>
      <c r="C53" t="s">
        <v>8</v>
      </c>
      <c r="D53" t="s">
        <v>10</v>
      </c>
      <c r="E53" t="s">
        <v>179</v>
      </c>
      <c r="F53" t="s">
        <v>6</v>
      </c>
      <c r="G53" t="s">
        <v>180</v>
      </c>
      <c r="H53" t="s">
        <v>11</v>
      </c>
      <c r="I53" t="s">
        <v>25</v>
      </c>
      <c r="J53" t="s">
        <v>39</v>
      </c>
      <c r="K53" t="s">
        <v>9</v>
      </c>
      <c r="L53" t="s">
        <v>41</v>
      </c>
      <c r="M53">
        <v>1</v>
      </c>
    </row>
    <row r="54" spans="1:13" x14ac:dyDescent="0.25">
      <c r="A54" s="2">
        <v>46232</v>
      </c>
      <c r="B54" s="1" t="str">
        <f ca="1">IF(Información1[[#This Row],[Fecha]]='Ajuste de fechas'!$A$2,"Día actual","Día anterior")</f>
        <v>Día anterior</v>
      </c>
      <c r="C54" t="s">
        <v>28</v>
      </c>
      <c r="D54" t="s">
        <v>66</v>
      </c>
      <c r="E54" t="s">
        <v>181</v>
      </c>
      <c r="F54" t="s">
        <v>26</v>
      </c>
      <c r="G54" t="s">
        <v>81</v>
      </c>
      <c r="H54" t="s">
        <v>11</v>
      </c>
      <c r="I54" t="s">
        <v>7</v>
      </c>
      <c r="J54" t="s">
        <v>39</v>
      </c>
      <c r="K54" t="s">
        <v>67</v>
      </c>
      <c r="L54" t="s">
        <v>40</v>
      </c>
      <c r="M54">
        <v>1</v>
      </c>
    </row>
    <row r="55" spans="1:13" x14ac:dyDescent="0.25">
      <c r="A55" s="2">
        <v>46232</v>
      </c>
      <c r="B55" s="1" t="str">
        <f ca="1">IF(Información1[[#This Row],[Fecha]]='Ajuste de fechas'!$A$2,"Día actual","Día anterior")</f>
        <v>Día anterior</v>
      </c>
      <c r="C55" t="s">
        <v>50</v>
      </c>
      <c r="D55" t="s">
        <v>52</v>
      </c>
      <c r="E55" t="s">
        <v>182</v>
      </c>
      <c r="F55" t="s">
        <v>15</v>
      </c>
      <c r="G55" t="s">
        <v>123</v>
      </c>
      <c r="H55" t="s">
        <v>11</v>
      </c>
      <c r="I55" t="s">
        <v>7</v>
      </c>
      <c r="J55" t="s">
        <v>39</v>
      </c>
      <c r="K55" t="s">
        <v>49</v>
      </c>
      <c r="L55" t="s">
        <v>42</v>
      </c>
      <c r="M55">
        <v>1</v>
      </c>
    </row>
    <row r="56" spans="1:13" x14ac:dyDescent="0.25">
      <c r="A56" s="2">
        <v>46232</v>
      </c>
      <c r="B56" s="1" t="str">
        <f ca="1">IF(Información1[[#This Row],[Fecha]]='Ajuste de fechas'!$A$2,"Día actual","Día anterior")</f>
        <v>Día anterior</v>
      </c>
      <c r="C56" t="s">
        <v>63</v>
      </c>
      <c r="D56" t="s">
        <v>64</v>
      </c>
      <c r="E56" t="s">
        <v>183</v>
      </c>
      <c r="F56" t="s">
        <v>22</v>
      </c>
      <c r="G56" t="s">
        <v>184</v>
      </c>
      <c r="H56" t="s">
        <v>11</v>
      </c>
      <c r="I56" t="s">
        <v>7</v>
      </c>
      <c r="J56" t="s">
        <v>44</v>
      </c>
      <c r="K56" t="s">
        <v>65</v>
      </c>
      <c r="L56" t="s">
        <v>40</v>
      </c>
      <c r="M56">
        <v>1</v>
      </c>
    </row>
    <row r="57" spans="1:13" x14ac:dyDescent="0.25">
      <c r="A57" s="2">
        <v>46232</v>
      </c>
      <c r="B57" s="1" t="str">
        <f ca="1">IF(Información1[[#This Row],[Fecha]]='Ajuste de fechas'!$A$2,"Día actual","Día anterior")</f>
        <v>Día anterior</v>
      </c>
      <c r="C57" t="s">
        <v>50</v>
      </c>
      <c r="D57" t="s">
        <v>52</v>
      </c>
      <c r="E57" t="s">
        <v>185</v>
      </c>
      <c r="F57" t="s">
        <v>19</v>
      </c>
      <c r="G57" t="s">
        <v>107</v>
      </c>
      <c r="H57" t="s">
        <v>11</v>
      </c>
      <c r="I57" t="s">
        <v>7</v>
      </c>
      <c r="J57" t="s">
        <v>43</v>
      </c>
      <c r="K57" t="s">
        <v>49</v>
      </c>
      <c r="L57" t="s">
        <v>40</v>
      </c>
      <c r="M57">
        <v>1</v>
      </c>
    </row>
    <row r="58" spans="1:13" x14ac:dyDescent="0.25">
      <c r="A58" s="2">
        <v>46232</v>
      </c>
      <c r="B58" s="1" t="str">
        <f ca="1">IF(Información1[[#This Row],[Fecha]]='Ajuste de fechas'!$A$2,"Día actual","Día anterior")</f>
        <v>Día anterior</v>
      </c>
      <c r="C58" t="s">
        <v>63</v>
      </c>
      <c r="D58" t="s">
        <v>64</v>
      </c>
      <c r="E58" t="s">
        <v>186</v>
      </c>
      <c r="F58" t="s">
        <v>82</v>
      </c>
      <c r="G58" t="s">
        <v>100</v>
      </c>
      <c r="H58" t="s">
        <v>11</v>
      </c>
      <c r="I58" t="s">
        <v>7</v>
      </c>
      <c r="J58" t="s">
        <v>39</v>
      </c>
      <c r="K58" t="s">
        <v>65</v>
      </c>
      <c r="L58" t="s">
        <v>42</v>
      </c>
      <c r="M58">
        <v>1</v>
      </c>
    </row>
    <row r="59" spans="1:13" x14ac:dyDescent="0.25">
      <c r="A59" s="2">
        <v>46232</v>
      </c>
      <c r="B59" s="1" t="str">
        <f ca="1">IF(Información1[[#This Row],[Fecha]]='Ajuste de fechas'!$A$2,"Día actual","Día anterior")</f>
        <v>Día anterior</v>
      </c>
      <c r="C59" t="s">
        <v>50</v>
      </c>
      <c r="D59" t="s">
        <v>52</v>
      </c>
      <c r="E59" t="s">
        <v>187</v>
      </c>
      <c r="F59" t="s">
        <v>82</v>
      </c>
      <c r="G59" t="s">
        <v>100</v>
      </c>
      <c r="H59" t="s">
        <v>11</v>
      </c>
      <c r="I59" t="s">
        <v>7</v>
      </c>
      <c r="J59" t="s">
        <v>39</v>
      </c>
      <c r="K59" t="s">
        <v>49</v>
      </c>
      <c r="L59" t="s">
        <v>42</v>
      </c>
      <c r="M59">
        <v>1</v>
      </c>
    </row>
    <row r="60" spans="1:13" x14ac:dyDescent="0.25">
      <c r="A60" s="2">
        <v>46232</v>
      </c>
      <c r="B60" s="1" t="str">
        <f ca="1">IF(Información1[[#This Row],[Fecha]]='Ajuste de fechas'!$A$2,"Día actual","Día anterior")</f>
        <v>Día anterior</v>
      </c>
      <c r="C60" t="s">
        <v>50</v>
      </c>
      <c r="D60" t="s">
        <v>52</v>
      </c>
      <c r="E60" t="s">
        <v>188</v>
      </c>
      <c r="F60" t="s">
        <v>19</v>
      </c>
      <c r="G60" t="s">
        <v>100</v>
      </c>
      <c r="H60" t="s">
        <v>11</v>
      </c>
      <c r="I60" t="s">
        <v>7</v>
      </c>
      <c r="J60" t="s">
        <v>43</v>
      </c>
      <c r="K60" t="s">
        <v>51</v>
      </c>
      <c r="L60" t="s">
        <v>40</v>
      </c>
      <c r="M60">
        <v>1</v>
      </c>
    </row>
    <row r="61" spans="1:13" x14ac:dyDescent="0.25">
      <c r="A61" s="2">
        <v>46232</v>
      </c>
      <c r="B61" s="1" t="str">
        <f ca="1">IF(Información1[[#This Row],[Fecha]]='Ajuste de fechas'!$A$2,"Día actual","Día anterior")</f>
        <v>Día anterior</v>
      </c>
      <c r="C61" t="s">
        <v>50</v>
      </c>
      <c r="D61" t="s">
        <v>52</v>
      </c>
      <c r="E61" t="s">
        <v>189</v>
      </c>
      <c r="F61" t="s">
        <v>54</v>
      </c>
      <c r="G61" t="s">
        <v>98</v>
      </c>
      <c r="H61" t="s">
        <v>11</v>
      </c>
      <c r="I61" t="s">
        <v>7</v>
      </c>
      <c r="J61" t="s">
        <v>24</v>
      </c>
      <c r="K61" t="s">
        <v>49</v>
      </c>
      <c r="L61" t="s">
        <v>40</v>
      </c>
      <c r="M61">
        <v>1</v>
      </c>
    </row>
    <row r="62" spans="1:13" x14ac:dyDescent="0.25">
      <c r="A62" s="2">
        <v>46232</v>
      </c>
      <c r="B62" s="1" t="str">
        <f ca="1">IF(Información1[[#This Row],[Fecha]]='Ajuste de fechas'!$A$2,"Día actual","Día anterior")</f>
        <v>Día anterior</v>
      </c>
      <c r="C62" t="s">
        <v>63</v>
      </c>
      <c r="D62" t="s">
        <v>64</v>
      </c>
      <c r="E62" t="s">
        <v>190</v>
      </c>
      <c r="F62" t="s">
        <v>26</v>
      </c>
      <c r="G62" t="s">
        <v>158</v>
      </c>
      <c r="H62" t="s">
        <v>11</v>
      </c>
      <c r="I62" t="s">
        <v>12</v>
      </c>
      <c r="J62" t="s">
        <v>39</v>
      </c>
      <c r="K62" t="s">
        <v>65</v>
      </c>
      <c r="L62" t="s">
        <v>41</v>
      </c>
      <c r="M62">
        <v>1</v>
      </c>
    </row>
    <row r="63" spans="1:13" x14ac:dyDescent="0.25">
      <c r="A63" s="2">
        <v>46232</v>
      </c>
      <c r="B63" s="1" t="str">
        <f ca="1">IF(Información1[[#This Row],[Fecha]]='Ajuste de fechas'!$A$2,"Día actual","Día anterior")</f>
        <v>Día anterior</v>
      </c>
      <c r="C63" t="s">
        <v>63</v>
      </c>
      <c r="D63" t="s">
        <v>64</v>
      </c>
      <c r="E63" t="s">
        <v>191</v>
      </c>
      <c r="F63" t="s">
        <v>26</v>
      </c>
      <c r="G63" t="s">
        <v>158</v>
      </c>
      <c r="H63" t="s">
        <v>11</v>
      </c>
      <c r="I63" t="s">
        <v>7</v>
      </c>
      <c r="J63" t="s">
        <v>39</v>
      </c>
      <c r="K63" t="s">
        <v>65</v>
      </c>
      <c r="L63" t="s">
        <v>42</v>
      </c>
      <c r="M63">
        <v>1</v>
      </c>
    </row>
    <row r="64" spans="1:13" x14ac:dyDescent="0.25">
      <c r="A64" s="2">
        <v>46232</v>
      </c>
      <c r="B64" s="1" t="str">
        <f ca="1">IF(Información1[[#This Row],[Fecha]]='Ajuste de fechas'!$A$2,"Día actual","Día anterior")</f>
        <v>Día anterior</v>
      </c>
      <c r="C64" t="s">
        <v>63</v>
      </c>
      <c r="D64" t="s">
        <v>64</v>
      </c>
      <c r="E64" t="s">
        <v>192</v>
      </c>
      <c r="F64" t="s">
        <v>31</v>
      </c>
      <c r="G64" t="s">
        <v>87</v>
      </c>
      <c r="H64" t="s">
        <v>11</v>
      </c>
      <c r="I64" t="s">
        <v>12</v>
      </c>
      <c r="J64" t="s">
        <v>39</v>
      </c>
      <c r="K64" t="s">
        <v>65</v>
      </c>
      <c r="L64" t="s">
        <v>41</v>
      </c>
      <c r="M64">
        <v>1</v>
      </c>
    </row>
    <row r="65" spans="1:13" x14ac:dyDescent="0.25">
      <c r="A65" s="2">
        <v>46232</v>
      </c>
      <c r="B65" s="1" t="str">
        <f ca="1">IF(Información1[[#This Row],[Fecha]]='Ajuste de fechas'!$A$2,"Día actual","Día anterior")</f>
        <v>Día anterior</v>
      </c>
      <c r="C65" t="s">
        <v>63</v>
      </c>
      <c r="D65" t="s">
        <v>64</v>
      </c>
      <c r="E65" t="s">
        <v>193</v>
      </c>
      <c r="F65" t="s">
        <v>31</v>
      </c>
      <c r="G65" t="s">
        <v>87</v>
      </c>
      <c r="H65" t="s">
        <v>11</v>
      </c>
      <c r="I65" t="s">
        <v>7</v>
      </c>
      <c r="J65" t="s">
        <v>39</v>
      </c>
      <c r="K65" t="s">
        <v>65</v>
      </c>
      <c r="L65" t="s">
        <v>42</v>
      </c>
      <c r="M65">
        <v>1</v>
      </c>
    </row>
    <row r="66" spans="1:13" x14ac:dyDescent="0.25">
      <c r="A66" s="2">
        <v>46232</v>
      </c>
      <c r="B66" s="1" t="str">
        <f ca="1">IF(Información1[[#This Row],[Fecha]]='Ajuste de fechas'!$A$2,"Día actual","Día anterior")</f>
        <v>Día anterior</v>
      </c>
      <c r="C66" t="s">
        <v>63</v>
      </c>
      <c r="D66" t="s">
        <v>64</v>
      </c>
      <c r="E66" t="s">
        <v>194</v>
      </c>
      <c r="F66" t="s">
        <v>22</v>
      </c>
      <c r="G66" t="s">
        <v>166</v>
      </c>
      <c r="H66" t="s">
        <v>11</v>
      </c>
      <c r="I66" t="s">
        <v>7</v>
      </c>
      <c r="J66" t="s">
        <v>44</v>
      </c>
      <c r="K66" t="s">
        <v>65</v>
      </c>
      <c r="L66" t="s">
        <v>40</v>
      </c>
      <c r="M66">
        <v>1</v>
      </c>
    </row>
    <row r="67" spans="1:13" x14ac:dyDescent="0.25">
      <c r="A67" s="2">
        <v>46232</v>
      </c>
      <c r="B67" s="1" t="str">
        <f ca="1">IF(Información1[[#This Row],[Fecha]]='Ajuste de fechas'!$A$2,"Día actual","Día anterior")</f>
        <v>Día anterior</v>
      </c>
      <c r="C67" t="s">
        <v>63</v>
      </c>
      <c r="D67" t="s">
        <v>64</v>
      </c>
      <c r="E67" t="s">
        <v>195</v>
      </c>
      <c r="F67" t="s">
        <v>26</v>
      </c>
      <c r="G67" t="s">
        <v>170</v>
      </c>
      <c r="H67" t="s">
        <v>11</v>
      </c>
      <c r="I67" t="s">
        <v>12</v>
      </c>
      <c r="J67" t="s">
        <v>39</v>
      </c>
      <c r="K67" t="s">
        <v>65</v>
      </c>
      <c r="L67" t="s">
        <v>41</v>
      </c>
      <c r="M67">
        <v>1</v>
      </c>
    </row>
    <row r="68" spans="1:13" x14ac:dyDescent="0.25">
      <c r="A68" s="2">
        <v>46232</v>
      </c>
      <c r="B68" s="1" t="str">
        <f ca="1">IF(Información1[[#This Row],[Fecha]]='Ajuste de fechas'!$A$2,"Día actual","Día anterior")</f>
        <v>Día anterior</v>
      </c>
      <c r="C68" t="s">
        <v>63</v>
      </c>
      <c r="D68" t="s">
        <v>64</v>
      </c>
      <c r="E68" t="s">
        <v>196</v>
      </c>
      <c r="F68" t="s">
        <v>26</v>
      </c>
      <c r="G68" t="s">
        <v>170</v>
      </c>
      <c r="H68" t="s">
        <v>11</v>
      </c>
      <c r="I68" t="s">
        <v>7</v>
      </c>
      <c r="J68" t="s">
        <v>39</v>
      </c>
      <c r="K68" t="s">
        <v>65</v>
      </c>
      <c r="L68" t="s">
        <v>42</v>
      </c>
      <c r="M68">
        <v>1</v>
      </c>
    </row>
    <row r="69" spans="1:13" x14ac:dyDescent="0.25">
      <c r="A69" s="2">
        <v>46232</v>
      </c>
      <c r="B69" s="1" t="str">
        <f ca="1">IF(Información1[[#This Row],[Fecha]]='Ajuste de fechas'!$A$2,"Día actual","Día anterior")</f>
        <v>Día anterior</v>
      </c>
      <c r="C69" t="s">
        <v>50</v>
      </c>
      <c r="D69" t="s">
        <v>52</v>
      </c>
      <c r="E69" t="s">
        <v>197</v>
      </c>
      <c r="F69" t="s">
        <v>26</v>
      </c>
      <c r="G69" t="s">
        <v>170</v>
      </c>
      <c r="H69" t="s">
        <v>11</v>
      </c>
      <c r="I69" t="s">
        <v>12</v>
      </c>
      <c r="J69" t="s">
        <v>39</v>
      </c>
      <c r="K69" t="s">
        <v>49</v>
      </c>
      <c r="L69" t="s">
        <v>41</v>
      </c>
      <c r="M69">
        <v>1</v>
      </c>
    </row>
    <row r="70" spans="1:13" x14ac:dyDescent="0.25">
      <c r="A70" s="2">
        <v>46232</v>
      </c>
      <c r="B70" s="1" t="str">
        <f ca="1">IF(Información1[[#This Row],[Fecha]]='Ajuste de fechas'!$A$2,"Día actual","Día anterior")</f>
        <v>Día anterior</v>
      </c>
      <c r="C70" t="s">
        <v>50</v>
      </c>
      <c r="D70" t="s">
        <v>52</v>
      </c>
      <c r="E70" t="s">
        <v>198</v>
      </c>
      <c r="F70" t="s">
        <v>26</v>
      </c>
      <c r="G70" t="s">
        <v>170</v>
      </c>
      <c r="H70" t="s">
        <v>11</v>
      </c>
      <c r="I70" t="s">
        <v>7</v>
      </c>
      <c r="J70" t="s">
        <v>39</v>
      </c>
      <c r="K70" t="s">
        <v>49</v>
      </c>
      <c r="L70" t="s">
        <v>42</v>
      </c>
      <c r="M70">
        <v>1</v>
      </c>
    </row>
    <row r="71" spans="1:13" x14ac:dyDescent="0.25">
      <c r="A71" s="2">
        <v>46232</v>
      </c>
      <c r="B71" s="1" t="str">
        <f ca="1">IF(Información1[[#This Row],[Fecha]]='Ajuste de fechas'!$A$2,"Día actual","Día anterior")</f>
        <v>Día anterior</v>
      </c>
      <c r="C71" t="s">
        <v>50</v>
      </c>
      <c r="D71" t="s">
        <v>52</v>
      </c>
      <c r="E71" t="s">
        <v>199</v>
      </c>
      <c r="F71" t="s">
        <v>26</v>
      </c>
      <c r="G71" t="s">
        <v>170</v>
      </c>
      <c r="H71" t="s">
        <v>11</v>
      </c>
      <c r="I71" t="s">
        <v>12</v>
      </c>
      <c r="J71" t="s">
        <v>39</v>
      </c>
      <c r="K71" t="s">
        <v>49</v>
      </c>
      <c r="L71" t="s">
        <v>41</v>
      </c>
      <c r="M71">
        <v>1</v>
      </c>
    </row>
    <row r="72" spans="1:13" x14ac:dyDescent="0.25">
      <c r="A72" s="2">
        <v>46232</v>
      </c>
      <c r="B72" s="1" t="str">
        <f ca="1">IF(Información1[[#This Row],[Fecha]]='Ajuste de fechas'!$A$2,"Día actual","Día anterior")</f>
        <v>Día anterior</v>
      </c>
      <c r="C72" t="s">
        <v>50</v>
      </c>
      <c r="D72" t="s">
        <v>55</v>
      </c>
      <c r="E72" t="s">
        <v>200</v>
      </c>
      <c r="F72" t="s">
        <v>19</v>
      </c>
      <c r="G72" t="s">
        <v>201</v>
      </c>
      <c r="H72" t="s">
        <v>11</v>
      </c>
      <c r="I72" t="s">
        <v>7</v>
      </c>
      <c r="J72" t="s">
        <v>43</v>
      </c>
      <c r="K72" t="s">
        <v>51</v>
      </c>
      <c r="L72" t="s">
        <v>40</v>
      </c>
      <c r="M72">
        <v>1</v>
      </c>
    </row>
    <row r="73" spans="1:13" x14ac:dyDescent="0.25">
      <c r="A73" s="2">
        <v>46232</v>
      </c>
      <c r="B73" s="1" t="str">
        <f ca="1">IF(Información1[[#This Row],[Fecha]]='Ajuste de fechas'!$A$2,"Día actual","Día anterior")</f>
        <v>Día anterior</v>
      </c>
      <c r="C73" t="s">
        <v>50</v>
      </c>
      <c r="D73" t="s">
        <v>55</v>
      </c>
      <c r="E73" t="s">
        <v>202</v>
      </c>
      <c r="F73" t="s">
        <v>31</v>
      </c>
      <c r="G73" t="s">
        <v>203</v>
      </c>
      <c r="H73" t="s">
        <v>11</v>
      </c>
      <c r="I73" t="s">
        <v>7</v>
      </c>
      <c r="J73" t="s">
        <v>39</v>
      </c>
      <c r="K73" t="s">
        <v>51</v>
      </c>
      <c r="L73" t="s">
        <v>40</v>
      </c>
      <c r="M73">
        <v>1</v>
      </c>
    </row>
    <row r="74" spans="1:13" x14ac:dyDescent="0.25">
      <c r="A74" s="2">
        <v>46232</v>
      </c>
      <c r="B74" s="1" t="str">
        <f ca="1">IF(Información1[[#This Row],[Fecha]]='Ajuste de fechas'!$A$2,"Día actual","Día anterior")</f>
        <v>Día anterior</v>
      </c>
      <c r="C74" t="s">
        <v>63</v>
      </c>
      <c r="D74" t="s">
        <v>64</v>
      </c>
      <c r="E74" t="s">
        <v>154</v>
      </c>
      <c r="F74" t="s">
        <v>21</v>
      </c>
      <c r="G74" t="s">
        <v>204</v>
      </c>
      <c r="H74" t="s">
        <v>11</v>
      </c>
      <c r="I74" t="s">
        <v>7</v>
      </c>
      <c r="J74" t="s">
        <v>39</v>
      </c>
      <c r="K74" t="s">
        <v>65</v>
      </c>
      <c r="L74" t="s">
        <v>42</v>
      </c>
      <c r="M74">
        <v>1</v>
      </c>
    </row>
    <row r="75" spans="1:13" x14ac:dyDescent="0.25">
      <c r="A75" s="2">
        <v>46232</v>
      </c>
      <c r="B75" s="1" t="str">
        <f ca="1">IF(Información1[[#This Row],[Fecha]]='Ajuste de fechas'!$A$2,"Día actual","Día anterior")</f>
        <v>Día anterior</v>
      </c>
      <c r="C75" t="s">
        <v>50</v>
      </c>
      <c r="D75" t="s">
        <v>52</v>
      </c>
      <c r="E75" t="s">
        <v>205</v>
      </c>
      <c r="F75" t="s">
        <v>19</v>
      </c>
      <c r="G75" t="s">
        <v>206</v>
      </c>
      <c r="H75" t="s">
        <v>11</v>
      </c>
      <c r="I75" t="s">
        <v>7</v>
      </c>
      <c r="J75" t="s">
        <v>43</v>
      </c>
      <c r="K75" t="s">
        <v>51</v>
      </c>
      <c r="L75" t="s">
        <v>40</v>
      </c>
      <c r="M75">
        <v>1</v>
      </c>
    </row>
    <row r="76" spans="1:13" x14ac:dyDescent="0.25">
      <c r="A76" s="2">
        <v>46232</v>
      </c>
      <c r="B76" s="1" t="str">
        <f ca="1">IF(Información1[[#This Row],[Fecha]]='Ajuste de fechas'!$A$2,"Día actual","Día anterior")</f>
        <v>Día anterior</v>
      </c>
      <c r="C76" t="s">
        <v>50</v>
      </c>
      <c r="D76" t="s">
        <v>52</v>
      </c>
      <c r="E76" t="s">
        <v>207</v>
      </c>
      <c r="F76" t="s">
        <v>21</v>
      </c>
      <c r="G76" t="s">
        <v>204</v>
      </c>
      <c r="H76" t="s">
        <v>11</v>
      </c>
      <c r="I76" t="s">
        <v>7</v>
      </c>
      <c r="J76" t="s">
        <v>39</v>
      </c>
      <c r="K76" t="s">
        <v>51</v>
      </c>
      <c r="L76" t="s">
        <v>42</v>
      </c>
      <c r="M76">
        <v>1</v>
      </c>
    </row>
    <row r="77" spans="1:13" x14ac:dyDescent="0.25">
      <c r="A77" s="2">
        <v>46232</v>
      </c>
      <c r="B77" s="1" t="str">
        <f ca="1">IF(Información1[[#This Row],[Fecha]]='Ajuste de fechas'!$A$2,"Día actual","Día anterior")</f>
        <v>Día anterior</v>
      </c>
      <c r="C77" t="s">
        <v>50</v>
      </c>
      <c r="D77" t="s">
        <v>52</v>
      </c>
      <c r="E77" t="s">
        <v>208</v>
      </c>
      <c r="F77" t="s">
        <v>79</v>
      </c>
      <c r="G77" t="s">
        <v>209</v>
      </c>
      <c r="H77" t="s">
        <v>11</v>
      </c>
      <c r="I77" t="s">
        <v>7</v>
      </c>
      <c r="J77" t="s">
        <v>24</v>
      </c>
      <c r="K77" t="s">
        <v>51</v>
      </c>
      <c r="L77" t="s">
        <v>41</v>
      </c>
      <c r="M77">
        <v>1</v>
      </c>
    </row>
    <row r="78" spans="1:13" x14ac:dyDescent="0.25">
      <c r="A78" s="2">
        <v>46232</v>
      </c>
      <c r="B78" s="1" t="str">
        <f ca="1">IF(Información1[[#This Row],[Fecha]]='Ajuste de fechas'!$A$2,"Día actual","Día anterior")</f>
        <v>Día anterior</v>
      </c>
      <c r="C78" t="s">
        <v>50</v>
      </c>
      <c r="D78" t="s">
        <v>52</v>
      </c>
      <c r="E78" t="s">
        <v>154</v>
      </c>
      <c r="F78" t="s">
        <v>21</v>
      </c>
      <c r="G78" t="s">
        <v>204</v>
      </c>
      <c r="H78" t="s">
        <v>11</v>
      </c>
      <c r="I78" t="s">
        <v>7</v>
      </c>
      <c r="J78" t="s">
        <v>39</v>
      </c>
      <c r="K78" t="s">
        <v>49</v>
      </c>
      <c r="L78" t="s">
        <v>42</v>
      </c>
      <c r="M78">
        <v>1</v>
      </c>
    </row>
    <row r="79" spans="1:13" x14ac:dyDescent="0.25">
      <c r="A79" s="2">
        <v>46232</v>
      </c>
      <c r="B79" s="1" t="str">
        <f ca="1">IF(Información1[[#This Row],[Fecha]]='Ajuste de fechas'!$A$2,"Día actual","Día anterior")</f>
        <v>Día anterior</v>
      </c>
      <c r="C79" t="s">
        <v>59</v>
      </c>
      <c r="D79" t="s">
        <v>60</v>
      </c>
      <c r="E79" t="s">
        <v>153</v>
      </c>
      <c r="F79" t="s">
        <v>21</v>
      </c>
      <c r="G79" t="s">
        <v>152</v>
      </c>
      <c r="H79" t="s">
        <v>11</v>
      </c>
      <c r="I79" t="s">
        <v>7</v>
      </c>
      <c r="J79" t="s">
        <v>39</v>
      </c>
      <c r="K79" t="s">
        <v>61</v>
      </c>
      <c r="L79" t="s">
        <v>42</v>
      </c>
      <c r="M79">
        <v>1</v>
      </c>
    </row>
    <row r="80" spans="1:13" x14ac:dyDescent="0.25">
      <c r="A80" s="2">
        <v>46232</v>
      </c>
      <c r="B80" s="1" t="str">
        <f ca="1">IF(Información1[[#This Row],[Fecha]]='Ajuste de fechas'!$A$2,"Día actual","Día anterior")</f>
        <v>Día anterior</v>
      </c>
      <c r="C80" t="s">
        <v>59</v>
      </c>
      <c r="D80" t="s">
        <v>60</v>
      </c>
      <c r="E80" t="s">
        <v>212</v>
      </c>
      <c r="F80" t="s">
        <v>213</v>
      </c>
      <c r="G80" t="s">
        <v>80</v>
      </c>
      <c r="H80" t="s">
        <v>11</v>
      </c>
      <c r="I80" t="s">
        <v>7</v>
      </c>
      <c r="J80" t="s">
        <v>24</v>
      </c>
      <c r="K80" t="s">
        <v>61</v>
      </c>
      <c r="L80" t="s">
        <v>40</v>
      </c>
      <c r="M80">
        <v>1</v>
      </c>
    </row>
    <row r="81" spans="1:13" x14ac:dyDescent="0.25">
      <c r="A81" s="2">
        <v>46232</v>
      </c>
      <c r="B81" s="1" t="str">
        <f ca="1">IF(Información1[[#This Row],[Fecha]]='Ajuste de fechas'!$A$2,"Día actual","Día anterior")</f>
        <v>Día anterior</v>
      </c>
      <c r="C81" t="s">
        <v>59</v>
      </c>
      <c r="D81" t="s">
        <v>60</v>
      </c>
      <c r="E81" t="s">
        <v>214</v>
      </c>
      <c r="F81" t="s">
        <v>24</v>
      </c>
      <c r="G81" t="s">
        <v>215</v>
      </c>
      <c r="H81" t="s">
        <v>11</v>
      </c>
      <c r="I81" t="s">
        <v>7</v>
      </c>
      <c r="J81" t="s">
        <v>24</v>
      </c>
      <c r="K81" t="s">
        <v>61</v>
      </c>
      <c r="L81" t="s">
        <v>40</v>
      </c>
      <c r="M81">
        <v>1</v>
      </c>
    </row>
    <row r="82" spans="1:13" x14ac:dyDescent="0.25">
      <c r="A82" s="2">
        <v>46232</v>
      </c>
      <c r="B82" s="1" t="str">
        <f ca="1">IF(Información1[[#This Row],[Fecha]]='Ajuste de fechas'!$A$2,"Día actual","Día anterior")</f>
        <v>Día anterior</v>
      </c>
      <c r="C82" t="s">
        <v>59</v>
      </c>
      <c r="D82" t="s">
        <v>60</v>
      </c>
      <c r="E82" t="s">
        <v>216</v>
      </c>
      <c r="F82" t="s">
        <v>101</v>
      </c>
      <c r="G82" t="s">
        <v>158</v>
      </c>
      <c r="H82" t="s">
        <v>11</v>
      </c>
      <c r="I82" t="s">
        <v>7</v>
      </c>
      <c r="J82" t="s">
        <v>39</v>
      </c>
      <c r="K82" t="s">
        <v>61</v>
      </c>
      <c r="L82" t="s">
        <v>72</v>
      </c>
      <c r="M82">
        <v>1</v>
      </c>
    </row>
    <row r="83" spans="1:13" x14ac:dyDescent="0.25">
      <c r="A83" s="2">
        <v>46232</v>
      </c>
      <c r="B83" s="1" t="str">
        <f ca="1">IF(Información1[[#This Row],[Fecha]]='Ajuste de fechas'!$A$2,"Día actual","Día anterior")</f>
        <v>Día anterior</v>
      </c>
      <c r="C83" t="s">
        <v>59</v>
      </c>
      <c r="D83" t="s">
        <v>60</v>
      </c>
      <c r="E83" t="s">
        <v>217</v>
      </c>
      <c r="F83" t="s">
        <v>101</v>
      </c>
      <c r="G83" t="s">
        <v>106</v>
      </c>
      <c r="H83" t="s">
        <v>11</v>
      </c>
      <c r="I83" t="s">
        <v>7</v>
      </c>
      <c r="J83" t="s">
        <v>39</v>
      </c>
      <c r="K83" t="s">
        <v>61</v>
      </c>
      <c r="L83" t="s">
        <v>72</v>
      </c>
      <c r="M83">
        <v>1</v>
      </c>
    </row>
    <row r="84" spans="1:13" x14ac:dyDescent="0.25">
      <c r="A84" s="2">
        <v>46232</v>
      </c>
      <c r="B84" s="1" t="str">
        <f ca="1">IF(Información1[[#This Row],[Fecha]]='Ajuste de fechas'!$A$2,"Día actual","Día anterior")</f>
        <v>Día anterior</v>
      </c>
      <c r="C84" t="s">
        <v>29</v>
      </c>
      <c r="D84" t="s">
        <v>30</v>
      </c>
      <c r="E84" t="s">
        <v>211</v>
      </c>
      <c r="F84" t="s">
        <v>19</v>
      </c>
      <c r="G84" t="s">
        <v>56</v>
      </c>
      <c r="H84" t="s">
        <v>57</v>
      </c>
      <c r="I84" t="s">
        <v>7</v>
      </c>
      <c r="J84" t="s">
        <v>43</v>
      </c>
      <c r="K84" t="s">
        <v>27</v>
      </c>
      <c r="L84" t="s">
        <v>40</v>
      </c>
      <c r="M84">
        <v>1</v>
      </c>
    </row>
    <row r="85" spans="1:13" x14ac:dyDescent="0.25">
      <c r="A85" s="2">
        <v>46232</v>
      </c>
      <c r="B85" s="1" t="str">
        <f ca="1">IF(Información1[[#This Row],[Fecha]]='Ajuste de fechas'!$A$2,"Día actual","Día anterior")</f>
        <v>Día anterior</v>
      </c>
      <c r="C85" t="s">
        <v>29</v>
      </c>
      <c r="D85" t="s">
        <v>30</v>
      </c>
      <c r="E85" t="s">
        <v>218</v>
      </c>
      <c r="F85" t="s">
        <v>19</v>
      </c>
      <c r="G85" t="s">
        <v>105</v>
      </c>
      <c r="H85" t="s">
        <v>57</v>
      </c>
      <c r="I85" t="s">
        <v>7</v>
      </c>
      <c r="J85" t="s">
        <v>43</v>
      </c>
      <c r="K85" t="s">
        <v>27</v>
      </c>
      <c r="L85" t="s">
        <v>40</v>
      </c>
      <c r="M85">
        <v>1</v>
      </c>
    </row>
    <row r="86" spans="1:13" x14ac:dyDescent="0.25">
      <c r="A86" s="2">
        <v>46232</v>
      </c>
      <c r="B86" s="1" t="str">
        <f ca="1">IF(Información1[[#This Row],[Fecha]]='Ajuste de fechas'!$A$2,"Día actual","Día anterior")</f>
        <v>Día anterior</v>
      </c>
      <c r="C86" t="s">
        <v>29</v>
      </c>
      <c r="D86" t="s">
        <v>30</v>
      </c>
      <c r="E86" t="s">
        <v>219</v>
      </c>
      <c r="F86" t="s">
        <v>79</v>
      </c>
      <c r="G86" t="s">
        <v>140</v>
      </c>
      <c r="H86" t="s">
        <v>57</v>
      </c>
      <c r="I86" t="s">
        <v>7</v>
      </c>
      <c r="J86" t="s">
        <v>24</v>
      </c>
      <c r="K86" t="s">
        <v>27</v>
      </c>
      <c r="L86" t="s">
        <v>40</v>
      </c>
      <c r="M86">
        <v>1</v>
      </c>
    </row>
    <row r="87" spans="1:13" x14ac:dyDescent="0.25">
      <c r="A87" s="2">
        <v>46232</v>
      </c>
      <c r="B87" s="1" t="str">
        <f ca="1">IF(Información1[[#This Row],[Fecha]]='Ajuste de fechas'!$A$2,"Día actual","Día anterior")</f>
        <v>Día anterior</v>
      </c>
      <c r="C87" t="s">
        <v>29</v>
      </c>
      <c r="D87" t="s">
        <v>30</v>
      </c>
      <c r="E87" t="s">
        <v>220</v>
      </c>
      <c r="F87" t="s">
        <v>48</v>
      </c>
      <c r="G87" t="s">
        <v>221</v>
      </c>
      <c r="H87" t="s">
        <v>57</v>
      </c>
      <c r="I87" t="s">
        <v>7</v>
      </c>
      <c r="J87" t="s">
        <v>39</v>
      </c>
      <c r="K87" t="s">
        <v>27</v>
      </c>
      <c r="L87" t="s">
        <v>40</v>
      </c>
      <c r="M87">
        <v>1</v>
      </c>
    </row>
    <row r="88" spans="1:13" x14ac:dyDescent="0.25">
      <c r="A88" s="2">
        <v>46232</v>
      </c>
      <c r="B88" s="1" t="str">
        <f ca="1">IF(Información1[[#This Row],[Fecha]]='Ajuste de fechas'!$A$2,"Día actual","Día anterior")</f>
        <v>Día anterior</v>
      </c>
      <c r="C88" t="s">
        <v>59</v>
      </c>
      <c r="D88" t="s">
        <v>60</v>
      </c>
      <c r="E88" t="s">
        <v>222</v>
      </c>
      <c r="F88" t="s">
        <v>73</v>
      </c>
      <c r="G88" t="s">
        <v>223</v>
      </c>
      <c r="H88" t="s">
        <v>11</v>
      </c>
      <c r="I88" t="s">
        <v>7</v>
      </c>
      <c r="J88" t="s">
        <v>39</v>
      </c>
      <c r="K88" t="s">
        <v>61</v>
      </c>
      <c r="L88" t="s">
        <v>40</v>
      </c>
      <c r="M88">
        <v>1</v>
      </c>
    </row>
    <row r="89" spans="1:13" x14ac:dyDescent="0.25">
      <c r="A89" s="2">
        <v>46232</v>
      </c>
      <c r="B89" s="1" t="str">
        <f ca="1">IF(Información1[[#This Row],[Fecha]]='Ajuste de fechas'!$A$2,"Día actual","Día anterior")</f>
        <v>Día anterior</v>
      </c>
      <c r="C89" t="s">
        <v>59</v>
      </c>
      <c r="D89" t="s">
        <v>60</v>
      </c>
      <c r="E89" t="s">
        <v>224</v>
      </c>
      <c r="F89" t="s">
        <v>73</v>
      </c>
      <c r="G89" t="s">
        <v>225</v>
      </c>
      <c r="H89" t="s">
        <v>11</v>
      </c>
      <c r="I89" t="s">
        <v>7</v>
      </c>
      <c r="J89" t="s">
        <v>39</v>
      </c>
      <c r="K89" t="s">
        <v>61</v>
      </c>
      <c r="L89" t="s">
        <v>40</v>
      </c>
      <c r="M89">
        <v>1</v>
      </c>
    </row>
    <row r="90" spans="1:13" x14ac:dyDescent="0.25">
      <c r="A90" s="2">
        <v>46232</v>
      </c>
      <c r="B90" s="1" t="str">
        <f ca="1">IF(Información1[[#This Row],[Fecha]]='Ajuste de fechas'!$A$2,"Día actual","Día anterior")</f>
        <v>Día anterior</v>
      </c>
      <c r="C90" t="s">
        <v>59</v>
      </c>
      <c r="D90" t="s">
        <v>60</v>
      </c>
      <c r="E90" t="s">
        <v>226</v>
      </c>
      <c r="F90" t="s">
        <v>115</v>
      </c>
      <c r="G90" t="s">
        <v>227</v>
      </c>
      <c r="H90" t="s">
        <v>11</v>
      </c>
      <c r="I90" t="s">
        <v>7</v>
      </c>
      <c r="J90" t="s">
        <v>39</v>
      </c>
      <c r="K90" t="s">
        <v>61</v>
      </c>
      <c r="L90" t="s">
        <v>40</v>
      </c>
      <c r="M90">
        <v>1</v>
      </c>
    </row>
    <row r="91" spans="1:13" x14ac:dyDescent="0.25">
      <c r="A91" s="2">
        <v>46232</v>
      </c>
      <c r="B91" s="1" t="str">
        <f ca="1">IF(Información1[[#This Row],[Fecha]]='Ajuste de fechas'!$A$2,"Día actual","Día anterior")</f>
        <v>Día anterior</v>
      </c>
      <c r="C91" t="s">
        <v>59</v>
      </c>
      <c r="D91" t="s">
        <v>60</v>
      </c>
      <c r="E91" t="s">
        <v>62</v>
      </c>
      <c r="F91" t="s">
        <v>19</v>
      </c>
      <c r="G91" t="s">
        <v>56</v>
      </c>
      <c r="H91" t="s">
        <v>11</v>
      </c>
      <c r="I91" t="s">
        <v>7</v>
      </c>
      <c r="J91" t="s">
        <v>43</v>
      </c>
      <c r="K91" t="s">
        <v>61</v>
      </c>
      <c r="L91" t="s">
        <v>77</v>
      </c>
      <c r="M91">
        <v>1</v>
      </c>
    </row>
    <row r="92" spans="1:13" x14ac:dyDescent="0.25">
      <c r="A92" s="2">
        <v>46232</v>
      </c>
      <c r="B92" s="1" t="str">
        <f ca="1">IF(Información1[[#This Row],[Fecha]]='Ajuste de fechas'!$A$2,"Día actual","Día anterior")</f>
        <v>Día anterior</v>
      </c>
      <c r="C92" t="s">
        <v>59</v>
      </c>
      <c r="D92" t="s">
        <v>60</v>
      </c>
      <c r="E92" t="s">
        <v>171</v>
      </c>
      <c r="F92" t="s">
        <v>26</v>
      </c>
      <c r="G92" t="s">
        <v>170</v>
      </c>
      <c r="H92" t="s">
        <v>11</v>
      </c>
      <c r="I92" t="s">
        <v>7</v>
      </c>
      <c r="J92" t="s">
        <v>39</v>
      </c>
      <c r="K92" t="s">
        <v>61</v>
      </c>
      <c r="L92" t="s">
        <v>42</v>
      </c>
      <c r="M92">
        <v>1</v>
      </c>
    </row>
    <row r="93" spans="1:13" x14ac:dyDescent="0.25">
      <c r="A93" s="2">
        <v>46232</v>
      </c>
      <c r="B93" s="1" t="str">
        <f ca="1">IF(Información1[[#This Row],[Fecha]]='Ajuste de fechas'!$A$2,"Día actual","Día anterior")</f>
        <v>Día anterior</v>
      </c>
      <c r="C93" t="s">
        <v>59</v>
      </c>
      <c r="D93" t="s">
        <v>60</v>
      </c>
      <c r="E93" t="s">
        <v>228</v>
      </c>
      <c r="F93" t="s">
        <v>19</v>
      </c>
      <c r="G93" t="s">
        <v>84</v>
      </c>
      <c r="H93" t="s">
        <v>11</v>
      </c>
      <c r="I93" t="s">
        <v>7</v>
      </c>
      <c r="J93" t="s">
        <v>43</v>
      </c>
      <c r="K93" t="s">
        <v>61</v>
      </c>
      <c r="L93" t="s">
        <v>40</v>
      </c>
      <c r="M93">
        <v>1</v>
      </c>
    </row>
    <row r="94" spans="1:13" x14ac:dyDescent="0.25">
      <c r="A94" s="2">
        <v>46232</v>
      </c>
      <c r="B94" s="1" t="str">
        <f ca="1">IF(Información1[[#This Row],[Fecha]]='Ajuste de fechas'!$A$2,"Día actual","Día anterior")</f>
        <v>Día anterior</v>
      </c>
      <c r="C94" t="s">
        <v>59</v>
      </c>
      <c r="D94" t="s">
        <v>60</v>
      </c>
      <c r="E94" t="s">
        <v>229</v>
      </c>
      <c r="F94" t="s">
        <v>19</v>
      </c>
      <c r="G94" t="s">
        <v>230</v>
      </c>
      <c r="H94" t="s">
        <v>11</v>
      </c>
      <c r="I94" t="s">
        <v>25</v>
      </c>
      <c r="J94" t="s">
        <v>43</v>
      </c>
      <c r="K94" t="s">
        <v>61</v>
      </c>
      <c r="L94" t="s">
        <v>40</v>
      </c>
      <c r="M94">
        <v>1</v>
      </c>
    </row>
    <row r="95" spans="1:13" x14ac:dyDescent="0.25">
      <c r="A95" s="2">
        <v>46232</v>
      </c>
      <c r="B95" s="1" t="str">
        <f ca="1">IF(Información1[[#This Row],[Fecha]]='Ajuste de fechas'!$A$2,"Día actual","Día anterior")</f>
        <v>Día anterior</v>
      </c>
      <c r="C95" t="s">
        <v>59</v>
      </c>
      <c r="D95" t="s">
        <v>60</v>
      </c>
      <c r="E95" t="s">
        <v>231</v>
      </c>
      <c r="F95" t="s">
        <v>19</v>
      </c>
      <c r="G95" t="s">
        <v>232</v>
      </c>
      <c r="H95" t="s">
        <v>11</v>
      </c>
      <c r="I95" t="s">
        <v>7</v>
      </c>
      <c r="J95" t="s">
        <v>43</v>
      </c>
      <c r="K95" t="s">
        <v>61</v>
      </c>
      <c r="L95" t="s">
        <v>40</v>
      </c>
      <c r="M95">
        <v>1</v>
      </c>
    </row>
    <row r="96" spans="1:13" x14ac:dyDescent="0.25">
      <c r="A96" s="2">
        <v>46232</v>
      </c>
      <c r="B96" s="1" t="str">
        <f ca="1">IF(Información1[[#This Row],[Fecha]]='Ajuste de fechas'!$A$2,"Día actual","Día anterior")</f>
        <v>Día anterior</v>
      </c>
      <c r="C96" t="s">
        <v>29</v>
      </c>
      <c r="D96" t="s">
        <v>30</v>
      </c>
      <c r="E96" t="s">
        <v>233</v>
      </c>
      <c r="F96" t="s">
        <v>31</v>
      </c>
      <c r="G96" t="s">
        <v>87</v>
      </c>
      <c r="H96" t="s">
        <v>57</v>
      </c>
      <c r="I96" t="s">
        <v>7</v>
      </c>
      <c r="J96" t="s">
        <v>39</v>
      </c>
      <c r="K96" t="s">
        <v>27</v>
      </c>
      <c r="L96" t="s">
        <v>42</v>
      </c>
      <c r="M96">
        <v>1</v>
      </c>
    </row>
    <row r="97" spans="1:13" x14ac:dyDescent="0.25">
      <c r="A97" s="2">
        <v>46232</v>
      </c>
      <c r="B97" s="1" t="str">
        <f ca="1">IF(Información1[[#This Row],[Fecha]]='Ajuste de fechas'!$A$2,"Día actual","Día anterior")</f>
        <v>Día anterior</v>
      </c>
      <c r="C97" t="s">
        <v>29</v>
      </c>
      <c r="D97" t="s">
        <v>30</v>
      </c>
      <c r="E97" t="s">
        <v>153</v>
      </c>
      <c r="F97" t="s">
        <v>21</v>
      </c>
      <c r="G97" t="s">
        <v>152</v>
      </c>
      <c r="H97" t="s">
        <v>57</v>
      </c>
      <c r="I97" t="s">
        <v>7</v>
      </c>
      <c r="J97" t="s">
        <v>39</v>
      </c>
      <c r="K97" t="s">
        <v>27</v>
      </c>
      <c r="L97" t="s">
        <v>42</v>
      </c>
      <c r="M97">
        <v>1</v>
      </c>
    </row>
    <row r="98" spans="1:13" x14ac:dyDescent="0.25">
      <c r="A98" s="2">
        <v>46232</v>
      </c>
      <c r="B98" s="1" t="str">
        <f ca="1">IF(Información1[[#This Row],[Fecha]]='Ajuste de fechas'!$A$2,"Día actual","Día anterior")</f>
        <v>Día anterior</v>
      </c>
      <c r="C98" t="s">
        <v>29</v>
      </c>
      <c r="D98" t="s">
        <v>30</v>
      </c>
      <c r="E98" t="s">
        <v>234</v>
      </c>
      <c r="F98" t="s">
        <v>26</v>
      </c>
      <c r="G98" t="s">
        <v>81</v>
      </c>
      <c r="H98" t="s">
        <v>57</v>
      </c>
      <c r="I98" t="s">
        <v>7</v>
      </c>
      <c r="J98" t="s">
        <v>39</v>
      </c>
      <c r="K98" t="s">
        <v>27</v>
      </c>
      <c r="L98" t="s">
        <v>40</v>
      </c>
      <c r="M98">
        <v>1</v>
      </c>
    </row>
    <row r="99" spans="1:13" x14ac:dyDescent="0.25">
      <c r="A99" s="2">
        <v>46232</v>
      </c>
      <c r="B99" s="1" t="str">
        <f ca="1">IF(Información1[[#This Row],[Fecha]]='Ajuste de fechas'!$A$2,"Día actual","Día anterior")</f>
        <v>Día anterior</v>
      </c>
      <c r="C99" t="s">
        <v>29</v>
      </c>
      <c r="D99" t="s">
        <v>30</v>
      </c>
      <c r="E99" t="s">
        <v>125</v>
      </c>
      <c r="F99" t="s">
        <v>15</v>
      </c>
      <c r="G99" t="s">
        <v>123</v>
      </c>
      <c r="H99" t="s">
        <v>57</v>
      </c>
      <c r="I99" t="s">
        <v>7</v>
      </c>
      <c r="J99" t="s">
        <v>39</v>
      </c>
      <c r="K99" t="s">
        <v>27</v>
      </c>
      <c r="L99" t="s">
        <v>42</v>
      </c>
      <c r="M99">
        <v>1</v>
      </c>
    </row>
    <row r="100" spans="1:13" x14ac:dyDescent="0.25">
      <c r="A100" s="2">
        <v>46232</v>
      </c>
      <c r="B100" s="1" t="str">
        <f ca="1">IF(Información1[[#This Row],[Fecha]]='Ajuste de fechas'!$A$2,"Día actual","Día anterior")</f>
        <v>Día anterior</v>
      </c>
      <c r="C100" t="s">
        <v>29</v>
      </c>
      <c r="D100" t="s">
        <v>30</v>
      </c>
      <c r="E100" t="s">
        <v>191</v>
      </c>
      <c r="F100" t="s">
        <v>26</v>
      </c>
      <c r="G100" t="s">
        <v>158</v>
      </c>
      <c r="H100" t="s">
        <v>57</v>
      </c>
      <c r="I100" t="s">
        <v>7</v>
      </c>
      <c r="J100" t="s">
        <v>39</v>
      </c>
      <c r="K100" t="s">
        <v>27</v>
      </c>
      <c r="L100" t="s">
        <v>42</v>
      </c>
      <c r="M100">
        <v>1</v>
      </c>
    </row>
    <row r="101" spans="1:13" x14ac:dyDescent="0.25">
      <c r="A101" s="2">
        <v>46232</v>
      </c>
      <c r="B101" s="1" t="str">
        <f ca="1">IF(Información1[[#This Row],[Fecha]]='Ajuste de fechas'!$A$2,"Día actual","Día anterior")</f>
        <v>Día anterior</v>
      </c>
      <c r="C101" t="s">
        <v>29</v>
      </c>
      <c r="D101" t="s">
        <v>30</v>
      </c>
      <c r="E101" t="s">
        <v>171</v>
      </c>
      <c r="F101" t="s">
        <v>26</v>
      </c>
      <c r="G101" t="s">
        <v>170</v>
      </c>
      <c r="H101" t="s">
        <v>57</v>
      </c>
      <c r="I101" t="s">
        <v>7</v>
      </c>
      <c r="J101" t="s">
        <v>39</v>
      </c>
      <c r="K101" t="s">
        <v>27</v>
      </c>
      <c r="L101" t="s">
        <v>42</v>
      </c>
      <c r="M101">
        <v>1</v>
      </c>
    </row>
    <row r="102" spans="1:13" x14ac:dyDescent="0.25">
      <c r="A102" s="2">
        <v>46232</v>
      </c>
      <c r="B102" s="1" t="str">
        <f ca="1">IF(Información1[[#This Row],[Fecha]]='Ajuste de fechas'!$A$2,"Día actual","Día anterior")</f>
        <v>Día anterior</v>
      </c>
      <c r="C102" t="s">
        <v>29</v>
      </c>
      <c r="D102" t="s">
        <v>30</v>
      </c>
      <c r="E102" t="s">
        <v>235</v>
      </c>
      <c r="F102" t="s">
        <v>15</v>
      </c>
      <c r="G102" t="s">
        <v>92</v>
      </c>
      <c r="H102" t="s">
        <v>57</v>
      </c>
      <c r="I102" t="s">
        <v>7</v>
      </c>
      <c r="J102" t="s">
        <v>39</v>
      </c>
      <c r="K102" t="s">
        <v>27</v>
      </c>
      <c r="L102" t="s">
        <v>40</v>
      </c>
      <c r="M102">
        <v>1</v>
      </c>
    </row>
    <row r="103" spans="1:13" x14ac:dyDescent="0.25">
      <c r="A103" s="2">
        <v>46233</v>
      </c>
      <c r="B103" s="1" t="str">
        <f ca="1">IF(Información1[[#This Row],[Fecha]]='Ajuste de fechas'!$A$2,"Día actual","Día anterior")</f>
        <v>Día actual</v>
      </c>
      <c r="C103" t="s">
        <v>28</v>
      </c>
      <c r="D103" t="s">
        <v>75</v>
      </c>
      <c r="E103" t="s">
        <v>236</v>
      </c>
      <c r="F103" t="s">
        <v>24</v>
      </c>
      <c r="G103" t="s">
        <v>237</v>
      </c>
      <c r="H103" t="s">
        <v>11</v>
      </c>
      <c r="I103" t="s">
        <v>7</v>
      </c>
      <c r="J103" t="s">
        <v>24</v>
      </c>
      <c r="K103" t="s">
        <v>76</v>
      </c>
      <c r="L103" t="s">
        <v>40</v>
      </c>
      <c r="M103">
        <v>1</v>
      </c>
    </row>
    <row r="104" spans="1:13" x14ac:dyDescent="0.25">
      <c r="A104" s="2">
        <v>46233</v>
      </c>
      <c r="B104" s="1" t="str">
        <f ca="1">IF(Información1[[#This Row],[Fecha]]='Ajuste de fechas'!$A$2,"Día actual","Día anterior")</f>
        <v>Día actual</v>
      </c>
      <c r="C104" t="s">
        <v>28</v>
      </c>
      <c r="D104" t="s">
        <v>66</v>
      </c>
      <c r="E104" t="s">
        <v>238</v>
      </c>
      <c r="F104" t="s">
        <v>19</v>
      </c>
      <c r="G104" t="s">
        <v>110</v>
      </c>
      <c r="H104" t="s">
        <v>11</v>
      </c>
      <c r="I104" t="s">
        <v>7</v>
      </c>
      <c r="J104" t="s">
        <v>43</v>
      </c>
      <c r="K104" t="s">
        <v>67</v>
      </c>
      <c r="L104" t="s">
        <v>40</v>
      </c>
      <c r="M104">
        <v>1</v>
      </c>
    </row>
    <row r="105" spans="1:13" x14ac:dyDescent="0.25">
      <c r="A105" s="2">
        <v>46233</v>
      </c>
      <c r="B105" s="1" t="str">
        <f ca="1">IF(Información1[[#This Row],[Fecha]]='Ajuste de fechas'!$A$2,"Día actual","Día anterior")</f>
        <v>Día actual</v>
      </c>
      <c r="C105" t="s">
        <v>28</v>
      </c>
      <c r="D105" t="s">
        <v>75</v>
      </c>
      <c r="E105" t="s">
        <v>239</v>
      </c>
      <c r="F105" t="s">
        <v>48</v>
      </c>
      <c r="G105" t="s">
        <v>85</v>
      </c>
      <c r="H105" t="s">
        <v>11</v>
      </c>
      <c r="I105" t="s">
        <v>7</v>
      </c>
      <c r="J105" t="s">
        <v>39</v>
      </c>
      <c r="K105" t="s">
        <v>76</v>
      </c>
      <c r="L105" t="s">
        <v>40</v>
      </c>
      <c r="M105">
        <v>1</v>
      </c>
    </row>
    <row r="106" spans="1:13" x14ac:dyDescent="0.25">
      <c r="A106" s="2">
        <v>46233</v>
      </c>
      <c r="B106" s="1" t="str">
        <f ca="1">IF(Información1[[#This Row],[Fecha]]='Ajuste de fechas'!$A$2,"Día actual","Día anterior")</f>
        <v>Día actual</v>
      </c>
      <c r="C106" t="s">
        <v>8</v>
      </c>
      <c r="D106" t="s">
        <v>10</v>
      </c>
      <c r="E106" t="s">
        <v>240</v>
      </c>
      <c r="F106" t="s">
        <v>19</v>
      </c>
      <c r="G106" t="s">
        <v>32</v>
      </c>
      <c r="H106" t="s">
        <v>11</v>
      </c>
      <c r="I106" t="s">
        <v>7</v>
      </c>
      <c r="J106" t="s">
        <v>43</v>
      </c>
      <c r="K106" t="s">
        <v>14</v>
      </c>
      <c r="L106" t="s">
        <v>77</v>
      </c>
      <c r="M106">
        <v>1</v>
      </c>
    </row>
    <row r="107" spans="1:13" x14ac:dyDescent="0.25">
      <c r="A107" s="2">
        <v>46233</v>
      </c>
      <c r="B107" s="1" t="str">
        <f ca="1">IF(Información1[[#This Row],[Fecha]]='Ajuste de fechas'!$A$2,"Día actual","Día anterior")</f>
        <v>Día actual</v>
      </c>
      <c r="C107" t="s">
        <v>8</v>
      </c>
      <c r="D107" t="s">
        <v>10</v>
      </c>
      <c r="E107" t="s">
        <v>20</v>
      </c>
      <c r="F107" t="s">
        <v>19</v>
      </c>
      <c r="G107" t="s">
        <v>32</v>
      </c>
      <c r="H107" t="s">
        <v>11</v>
      </c>
      <c r="I107" t="s">
        <v>7</v>
      </c>
      <c r="J107" t="s">
        <v>43</v>
      </c>
      <c r="K107" t="s">
        <v>14</v>
      </c>
      <c r="L107" t="s">
        <v>41</v>
      </c>
      <c r="M107">
        <v>1</v>
      </c>
    </row>
    <row r="108" spans="1:13" x14ac:dyDescent="0.25">
      <c r="A108" s="2">
        <v>46233</v>
      </c>
      <c r="B108" s="1" t="str">
        <f ca="1">IF(Información1[[#This Row],[Fecha]]='Ajuste de fechas'!$A$2,"Día actual","Día anterior")</f>
        <v>Día actual</v>
      </c>
      <c r="C108" t="s">
        <v>8</v>
      </c>
      <c r="D108" t="s">
        <v>10</v>
      </c>
      <c r="E108" t="s">
        <v>18</v>
      </c>
      <c r="F108" t="s">
        <v>19</v>
      </c>
      <c r="G108" t="s">
        <v>32</v>
      </c>
      <c r="H108" t="s">
        <v>11</v>
      </c>
      <c r="I108" t="s">
        <v>7</v>
      </c>
      <c r="J108" t="s">
        <v>43</v>
      </c>
      <c r="K108" t="s">
        <v>14</v>
      </c>
      <c r="L108" t="s">
        <v>41</v>
      </c>
      <c r="M108">
        <v>1</v>
      </c>
    </row>
    <row r="109" spans="1:13" x14ac:dyDescent="0.25">
      <c r="A109" s="2">
        <v>46233</v>
      </c>
      <c r="B109" s="1" t="str">
        <f ca="1">IF(Información1[[#This Row],[Fecha]]='Ajuste de fechas'!$A$2,"Día actual","Día anterior")</f>
        <v>Día actual</v>
      </c>
      <c r="C109" t="s">
        <v>8</v>
      </c>
      <c r="D109" t="s">
        <v>10</v>
      </c>
      <c r="E109" t="s">
        <v>13</v>
      </c>
      <c r="F109" t="s">
        <v>15</v>
      </c>
      <c r="G109" t="s">
        <v>32</v>
      </c>
      <c r="H109" t="s">
        <v>11</v>
      </c>
      <c r="I109" t="s">
        <v>7</v>
      </c>
      <c r="J109" t="s">
        <v>39</v>
      </c>
      <c r="K109" t="s">
        <v>14</v>
      </c>
      <c r="L109" t="s">
        <v>41</v>
      </c>
      <c r="M109">
        <v>1</v>
      </c>
    </row>
    <row r="110" spans="1:13" x14ac:dyDescent="0.25">
      <c r="A110" s="2">
        <v>46233</v>
      </c>
      <c r="B110" s="1" t="str">
        <f ca="1">IF(Información1[[#This Row],[Fecha]]='Ajuste de fechas'!$A$2,"Día actual","Día anterior")</f>
        <v>Día actual</v>
      </c>
      <c r="C110" t="s">
        <v>8</v>
      </c>
      <c r="D110" t="s">
        <v>10</v>
      </c>
      <c r="E110" t="s">
        <v>16</v>
      </c>
      <c r="F110" t="s">
        <v>17</v>
      </c>
      <c r="G110" t="s">
        <v>32</v>
      </c>
      <c r="H110" t="s">
        <v>11</v>
      </c>
      <c r="I110" t="s">
        <v>7</v>
      </c>
      <c r="J110" t="s">
        <v>39</v>
      </c>
      <c r="K110" t="s">
        <v>14</v>
      </c>
      <c r="L110" t="s">
        <v>41</v>
      </c>
      <c r="M110">
        <v>1</v>
      </c>
    </row>
    <row r="111" spans="1:13" x14ac:dyDescent="0.25">
      <c r="A111" s="2">
        <v>46233</v>
      </c>
      <c r="B111" s="1" t="str">
        <f ca="1">IF(Información1[[#This Row],[Fecha]]='Ajuste de fechas'!$A$2,"Día actual","Día anterior")</f>
        <v>Día actual</v>
      </c>
      <c r="C111" t="s">
        <v>8</v>
      </c>
      <c r="D111" t="s">
        <v>10</v>
      </c>
      <c r="E111" t="s">
        <v>53</v>
      </c>
      <c r="F111" t="s">
        <v>6</v>
      </c>
      <c r="G111" t="s">
        <v>32</v>
      </c>
      <c r="H111" t="s">
        <v>11</v>
      </c>
      <c r="I111" t="s">
        <v>7</v>
      </c>
      <c r="J111" t="s">
        <v>39</v>
      </c>
      <c r="K111" t="s">
        <v>14</v>
      </c>
      <c r="L111" t="s">
        <v>41</v>
      </c>
      <c r="M111">
        <v>1</v>
      </c>
    </row>
    <row r="112" spans="1:13" x14ac:dyDescent="0.25">
      <c r="A112" s="2">
        <v>46233</v>
      </c>
      <c r="B112" s="1" t="str">
        <f ca="1">IF(Información1[[#This Row],[Fecha]]='Ajuste de fechas'!$A$2,"Día actual","Día anterior")</f>
        <v>Día actual</v>
      </c>
      <c r="C112" t="s">
        <v>28</v>
      </c>
      <c r="D112" t="s">
        <v>75</v>
      </c>
      <c r="E112" t="s">
        <v>241</v>
      </c>
      <c r="F112" t="s">
        <v>242</v>
      </c>
      <c r="G112" t="s">
        <v>243</v>
      </c>
      <c r="H112" t="s">
        <v>11</v>
      </c>
      <c r="I112" t="s">
        <v>7</v>
      </c>
      <c r="J112" t="s">
        <v>39</v>
      </c>
      <c r="K112" t="s">
        <v>76</v>
      </c>
      <c r="L112" t="s">
        <v>40</v>
      </c>
      <c r="M112">
        <v>1</v>
      </c>
    </row>
    <row r="113" spans="1:13" x14ac:dyDescent="0.25">
      <c r="A113" s="2">
        <v>46233</v>
      </c>
      <c r="B113" s="1" t="str">
        <f ca="1">IF(Información1[[#This Row],[Fecha]]='Ajuste de fechas'!$A$2,"Día actual","Día anterior")</f>
        <v>Día actual</v>
      </c>
      <c r="C113" t="s">
        <v>8</v>
      </c>
      <c r="D113" t="s">
        <v>10</v>
      </c>
      <c r="E113" t="s">
        <v>244</v>
      </c>
      <c r="F113" t="s">
        <v>17</v>
      </c>
      <c r="G113" t="s">
        <v>97</v>
      </c>
      <c r="H113" t="s">
        <v>11</v>
      </c>
      <c r="I113" t="s">
        <v>7</v>
      </c>
      <c r="J113" t="s">
        <v>39</v>
      </c>
      <c r="K113" t="s">
        <v>14</v>
      </c>
      <c r="L113" t="s">
        <v>42</v>
      </c>
      <c r="M113">
        <v>1</v>
      </c>
    </row>
    <row r="114" spans="1:13" x14ac:dyDescent="0.25">
      <c r="A114" s="2">
        <v>46233</v>
      </c>
      <c r="B114" s="1" t="str">
        <f ca="1">IF(Información1[[#This Row],[Fecha]]='Ajuste de fechas'!$A$2,"Día actual","Día anterior")</f>
        <v>Día actual</v>
      </c>
      <c r="C114" t="s">
        <v>8</v>
      </c>
      <c r="D114" t="s">
        <v>10</v>
      </c>
      <c r="E114" t="s">
        <v>245</v>
      </c>
      <c r="F114" t="s">
        <v>21</v>
      </c>
      <c r="G114" t="s">
        <v>246</v>
      </c>
      <c r="H114" t="s">
        <v>11</v>
      </c>
      <c r="I114" t="s">
        <v>7</v>
      </c>
      <c r="J114" t="s">
        <v>39</v>
      </c>
      <c r="K114" t="s">
        <v>14</v>
      </c>
      <c r="L114" t="s">
        <v>42</v>
      </c>
      <c r="M114">
        <v>1</v>
      </c>
    </row>
    <row r="115" spans="1:13" x14ac:dyDescent="0.25">
      <c r="A115" s="2">
        <v>46233</v>
      </c>
      <c r="B115" s="1" t="str">
        <f ca="1">IF(Información1[[#This Row],[Fecha]]='Ajuste de fechas'!$A$2,"Día actual","Día anterior")</f>
        <v>Día actual</v>
      </c>
      <c r="C115" t="s">
        <v>28</v>
      </c>
      <c r="D115" t="s">
        <v>66</v>
      </c>
      <c r="E115" t="s">
        <v>247</v>
      </c>
      <c r="F115" t="s">
        <v>15</v>
      </c>
      <c r="G115" t="s">
        <v>248</v>
      </c>
      <c r="H115" t="s">
        <v>11</v>
      </c>
      <c r="I115" t="s">
        <v>7</v>
      </c>
      <c r="J115" t="s">
        <v>39</v>
      </c>
      <c r="K115" t="s">
        <v>67</v>
      </c>
      <c r="L115" t="s">
        <v>42</v>
      </c>
      <c r="M115">
        <v>1</v>
      </c>
    </row>
    <row r="116" spans="1:13" x14ac:dyDescent="0.25">
      <c r="A116" s="2">
        <v>46233</v>
      </c>
      <c r="B116" s="1" t="str">
        <f ca="1">IF(Información1[[#This Row],[Fecha]]='Ajuste de fechas'!$A$2,"Día actual","Día anterior")</f>
        <v>Día actual</v>
      </c>
      <c r="C116" t="s">
        <v>69</v>
      </c>
      <c r="D116" t="s">
        <v>70</v>
      </c>
      <c r="E116" t="s">
        <v>247</v>
      </c>
      <c r="F116" t="s">
        <v>15</v>
      </c>
      <c r="G116" t="s">
        <v>248</v>
      </c>
      <c r="H116" t="s">
        <v>11</v>
      </c>
      <c r="I116" t="s">
        <v>7</v>
      </c>
      <c r="J116" t="s">
        <v>39</v>
      </c>
      <c r="K116" t="s">
        <v>71</v>
      </c>
      <c r="L116" t="s">
        <v>42</v>
      </c>
      <c r="M116">
        <v>1</v>
      </c>
    </row>
    <row r="117" spans="1:13" x14ac:dyDescent="0.25">
      <c r="A117" s="2">
        <v>46233</v>
      </c>
      <c r="B117" s="1" t="str">
        <f ca="1">IF(Información1[[#This Row],[Fecha]]='Ajuste de fechas'!$A$2,"Día actual","Día anterior")</f>
        <v>Día actual</v>
      </c>
      <c r="C117" t="s">
        <v>28</v>
      </c>
      <c r="D117" t="s">
        <v>75</v>
      </c>
      <c r="E117" t="s">
        <v>249</v>
      </c>
      <c r="F117" t="s">
        <v>15</v>
      </c>
      <c r="G117" t="s">
        <v>248</v>
      </c>
      <c r="H117" t="s">
        <v>11</v>
      </c>
      <c r="I117" t="s">
        <v>7</v>
      </c>
      <c r="J117" t="s">
        <v>39</v>
      </c>
      <c r="K117" t="s">
        <v>76</v>
      </c>
      <c r="L117" t="s">
        <v>40</v>
      </c>
      <c r="M117">
        <v>1</v>
      </c>
    </row>
    <row r="118" spans="1:13" x14ac:dyDescent="0.25">
      <c r="A118" s="2">
        <v>46233</v>
      </c>
      <c r="B118" s="1" t="str">
        <f ca="1">IF(Información1[[#This Row],[Fecha]]='Ajuste de fechas'!$A$2,"Día actual","Día anterior")</f>
        <v>Día actual</v>
      </c>
      <c r="C118" t="s">
        <v>28</v>
      </c>
      <c r="D118" t="s">
        <v>66</v>
      </c>
      <c r="E118" t="s">
        <v>250</v>
      </c>
      <c r="F118" t="s">
        <v>23</v>
      </c>
      <c r="G118" t="s">
        <v>251</v>
      </c>
      <c r="H118" t="s">
        <v>11</v>
      </c>
      <c r="I118" t="s">
        <v>7</v>
      </c>
      <c r="J118" t="s">
        <v>39</v>
      </c>
      <c r="K118" t="s">
        <v>67</v>
      </c>
      <c r="L118" t="s">
        <v>42</v>
      </c>
      <c r="M118">
        <v>1</v>
      </c>
    </row>
    <row r="119" spans="1:13" x14ac:dyDescent="0.25">
      <c r="A119" s="2">
        <v>46233</v>
      </c>
      <c r="B119" s="1" t="str">
        <f ca="1">IF(Información1[[#This Row],[Fecha]]='Ajuste de fechas'!$A$2,"Día actual","Día anterior")</f>
        <v>Día actual</v>
      </c>
      <c r="C119" t="s">
        <v>28</v>
      </c>
      <c r="D119" t="s">
        <v>75</v>
      </c>
      <c r="E119" t="s">
        <v>252</v>
      </c>
      <c r="F119" t="s">
        <v>23</v>
      </c>
      <c r="G119" t="s">
        <v>251</v>
      </c>
      <c r="H119" t="s">
        <v>11</v>
      </c>
      <c r="I119" t="s">
        <v>7</v>
      </c>
      <c r="J119" t="s">
        <v>39</v>
      </c>
      <c r="K119" t="s">
        <v>76</v>
      </c>
      <c r="L119" t="s">
        <v>40</v>
      </c>
      <c r="M119">
        <v>1</v>
      </c>
    </row>
    <row r="120" spans="1:13" x14ac:dyDescent="0.25">
      <c r="A120" s="2">
        <v>46233</v>
      </c>
      <c r="B120" s="1" t="str">
        <f ca="1">IF(Información1[[#This Row],[Fecha]]='Ajuste de fechas'!$A$2,"Día actual","Día anterior")</f>
        <v>Día actual</v>
      </c>
      <c r="C120" t="s">
        <v>8</v>
      </c>
      <c r="D120" t="s">
        <v>10</v>
      </c>
      <c r="E120" t="s">
        <v>253</v>
      </c>
      <c r="F120" t="s">
        <v>24</v>
      </c>
      <c r="G120" t="s">
        <v>93</v>
      </c>
      <c r="H120" t="s">
        <v>11</v>
      </c>
      <c r="I120" t="s">
        <v>7</v>
      </c>
      <c r="J120" t="s">
        <v>24</v>
      </c>
      <c r="K120" t="s">
        <v>14</v>
      </c>
      <c r="L120" t="s">
        <v>72</v>
      </c>
      <c r="M120">
        <v>1</v>
      </c>
    </row>
    <row r="121" spans="1:13" x14ac:dyDescent="0.25">
      <c r="A121" s="2">
        <v>46233</v>
      </c>
      <c r="B121" s="1" t="str">
        <f ca="1">IF(Información1[[#This Row],[Fecha]]='Ajuste de fechas'!$A$2,"Día actual","Día anterior")</f>
        <v>Día actual</v>
      </c>
      <c r="C121" t="s">
        <v>8</v>
      </c>
      <c r="D121" t="s">
        <v>10</v>
      </c>
      <c r="E121" t="s">
        <v>254</v>
      </c>
      <c r="F121" t="s">
        <v>23</v>
      </c>
      <c r="G121" t="s">
        <v>255</v>
      </c>
      <c r="H121" t="s">
        <v>11</v>
      </c>
      <c r="I121" t="s">
        <v>7</v>
      </c>
      <c r="J121" t="s">
        <v>39</v>
      </c>
      <c r="K121" t="s">
        <v>14</v>
      </c>
      <c r="L121" t="s">
        <v>40</v>
      </c>
      <c r="M121">
        <v>1</v>
      </c>
    </row>
    <row r="122" spans="1:13" x14ac:dyDescent="0.25">
      <c r="A122" s="2">
        <v>46233</v>
      </c>
      <c r="B122" s="1" t="str">
        <f ca="1">IF(Información1[[#This Row],[Fecha]]='Ajuste de fechas'!$A$2,"Día actual","Día anterior")</f>
        <v>Día actual</v>
      </c>
      <c r="C122" t="s">
        <v>28</v>
      </c>
      <c r="D122" t="s">
        <v>75</v>
      </c>
      <c r="E122" t="s">
        <v>256</v>
      </c>
      <c r="F122" t="s">
        <v>257</v>
      </c>
      <c r="G122" t="s">
        <v>258</v>
      </c>
      <c r="H122" t="s">
        <v>11</v>
      </c>
      <c r="I122" t="s">
        <v>7</v>
      </c>
      <c r="J122" t="s">
        <v>39</v>
      </c>
      <c r="K122" t="s">
        <v>76</v>
      </c>
      <c r="L122" t="s">
        <v>40</v>
      </c>
      <c r="M122">
        <v>1</v>
      </c>
    </row>
    <row r="123" spans="1:13" x14ac:dyDescent="0.25">
      <c r="A123" s="2">
        <v>46233</v>
      </c>
      <c r="B123" s="1" t="str">
        <f ca="1">IF(Información1[[#This Row],[Fecha]]='Ajuste de fechas'!$A$2,"Día actual","Día anterior")</f>
        <v>Día actual</v>
      </c>
      <c r="C123" t="s">
        <v>8</v>
      </c>
      <c r="D123" t="s">
        <v>10</v>
      </c>
      <c r="E123" t="s">
        <v>259</v>
      </c>
      <c r="F123" t="s">
        <v>257</v>
      </c>
      <c r="G123" t="s">
        <v>258</v>
      </c>
      <c r="H123" t="s">
        <v>11</v>
      </c>
      <c r="I123" t="s">
        <v>7</v>
      </c>
      <c r="J123" t="s">
        <v>39</v>
      </c>
      <c r="K123" t="s">
        <v>14</v>
      </c>
      <c r="L123" t="s">
        <v>40</v>
      </c>
      <c r="M123">
        <v>1</v>
      </c>
    </row>
    <row r="124" spans="1:13" x14ac:dyDescent="0.25">
      <c r="A124" s="2">
        <v>46233</v>
      </c>
      <c r="B124" s="1" t="str">
        <f ca="1">IF(Información1[[#This Row],[Fecha]]='Ajuste de fechas'!$A$2,"Día actual","Día anterior")</f>
        <v>Día actual</v>
      </c>
      <c r="C124" t="s">
        <v>28</v>
      </c>
      <c r="D124" t="s">
        <v>66</v>
      </c>
      <c r="E124" t="s">
        <v>260</v>
      </c>
      <c r="F124" t="s">
        <v>19</v>
      </c>
      <c r="G124" t="s">
        <v>261</v>
      </c>
      <c r="H124" t="s">
        <v>11</v>
      </c>
      <c r="I124" t="s">
        <v>7</v>
      </c>
      <c r="J124" t="s">
        <v>43</v>
      </c>
      <c r="K124" t="s">
        <v>67</v>
      </c>
      <c r="L124" t="s">
        <v>40</v>
      </c>
      <c r="M124">
        <v>1</v>
      </c>
    </row>
    <row r="125" spans="1:13" x14ac:dyDescent="0.25">
      <c r="A125" s="2">
        <v>46233</v>
      </c>
      <c r="B125" s="1" t="str">
        <f ca="1">IF(Información1[[#This Row],[Fecha]]='Ajuste de fechas'!$A$2,"Día actual","Día anterior")</f>
        <v>Día actual</v>
      </c>
      <c r="C125" t="s">
        <v>262</v>
      </c>
      <c r="D125" t="s">
        <v>263</v>
      </c>
      <c r="E125" t="s">
        <v>264</v>
      </c>
      <c r="F125" t="s">
        <v>31</v>
      </c>
      <c r="G125" t="s">
        <v>100</v>
      </c>
      <c r="H125" t="s">
        <v>11</v>
      </c>
      <c r="I125" t="s">
        <v>12</v>
      </c>
      <c r="J125" t="s">
        <v>39</v>
      </c>
      <c r="K125" t="s">
        <v>265</v>
      </c>
      <c r="L125" t="s">
        <v>266</v>
      </c>
      <c r="M125">
        <v>1</v>
      </c>
    </row>
    <row r="126" spans="1:13" x14ac:dyDescent="0.25">
      <c r="A126" s="2">
        <v>46232</v>
      </c>
      <c r="B126" s="1" t="str">
        <f ca="1">IF(Información1[[#This Row],[Fecha]]='Ajuste de fechas'!$A$2,"Día actual","Día anterior")</f>
        <v>Día anterior</v>
      </c>
      <c r="C126" t="s">
        <v>267</v>
      </c>
      <c r="D126" t="s">
        <v>263</v>
      </c>
      <c r="E126" t="s">
        <v>264</v>
      </c>
      <c r="F126" t="s">
        <v>31</v>
      </c>
      <c r="G126" t="s">
        <v>100</v>
      </c>
      <c r="H126" t="s">
        <v>11</v>
      </c>
      <c r="I126" t="s">
        <v>12</v>
      </c>
      <c r="J126" t="s">
        <v>39</v>
      </c>
      <c r="K126" t="s">
        <v>268</v>
      </c>
      <c r="L126" t="s">
        <v>266</v>
      </c>
      <c r="M126">
        <v>1</v>
      </c>
    </row>
    <row r="127" spans="1:13" x14ac:dyDescent="0.25">
      <c r="A127" s="2">
        <v>46232</v>
      </c>
      <c r="B127" s="1" t="str">
        <f ca="1">IF(Información1[[#This Row],[Fecha]]='Ajuste de fechas'!$A$2,"Día actual","Día anterior")</f>
        <v>Día anterior</v>
      </c>
      <c r="C127" t="s">
        <v>269</v>
      </c>
      <c r="D127" t="s">
        <v>263</v>
      </c>
      <c r="E127" t="s">
        <v>264</v>
      </c>
      <c r="F127" t="s">
        <v>31</v>
      </c>
      <c r="G127" t="s">
        <v>100</v>
      </c>
      <c r="H127" t="s">
        <v>11</v>
      </c>
      <c r="I127" t="s">
        <v>12</v>
      </c>
      <c r="J127" t="s">
        <v>39</v>
      </c>
      <c r="K127" t="s">
        <v>270</v>
      </c>
      <c r="L127" t="s">
        <v>266</v>
      </c>
      <c r="M127">
        <v>1</v>
      </c>
    </row>
    <row r="128" spans="1:13" x14ac:dyDescent="0.25">
      <c r="A128" s="2">
        <v>46233</v>
      </c>
      <c r="B128" s="1" t="str">
        <f ca="1">IF(Información1[[#This Row],[Fecha]]='Ajuste de fechas'!$A$2,"Día actual","Día anterior")</f>
        <v>Día actual</v>
      </c>
      <c r="C128" t="s">
        <v>28</v>
      </c>
      <c r="D128" t="s">
        <v>66</v>
      </c>
      <c r="E128" t="s">
        <v>271</v>
      </c>
      <c r="F128" t="s">
        <v>19</v>
      </c>
      <c r="G128" t="s">
        <v>272</v>
      </c>
      <c r="H128" t="s">
        <v>11</v>
      </c>
      <c r="I128" t="s">
        <v>7</v>
      </c>
      <c r="J128" t="s">
        <v>43</v>
      </c>
      <c r="K128" t="s">
        <v>67</v>
      </c>
      <c r="L128" t="s">
        <v>40</v>
      </c>
      <c r="M128">
        <v>1</v>
      </c>
    </row>
    <row r="129" spans="1:13" x14ac:dyDescent="0.25">
      <c r="A129" s="2">
        <v>46233</v>
      </c>
      <c r="B129" s="1" t="str">
        <f ca="1">IF(Información1[[#This Row],[Fecha]]='Ajuste de fechas'!$A$2,"Día actual","Día anterior")</f>
        <v>Día actual</v>
      </c>
      <c r="C129" t="s">
        <v>28</v>
      </c>
      <c r="D129" t="s">
        <v>75</v>
      </c>
      <c r="E129" t="s">
        <v>273</v>
      </c>
      <c r="F129" t="s">
        <v>48</v>
      </c>
      <c r="G129" t="s">
        <v>142</v>
      </c>
      <c r="H129" t="s">
        <v>11</v>
      </c>
      <c r="I129" t="s">
        <v>7</v>
      </c>
      <c r="J129" t="s">
        <v>39</v>
      </c>
      <c r="K129" t="s">
        <v>76</v>
      </c>
      <c r="L129" t="s">
        <v>40</v>
      </c>
      <c r="M129">
        <v>1</v>
      </c>
    </row>
    <row r="130" spans="1:13" x14ac:dyDescent="0.25">
      <c r="A130" s="2">
        <v>46233</v>
      </c>
      <c r="B130" s="1" t="str">
        <f ca="1">IF(Información1[[#This Row],[Fecha]]='Ajuste de fechas'!$A$2,"Día actual","Día anterior")</f>
        <v>Día actual</v>
      </c>
      <c r="C130" t="s">
        <v>28</v>
      </c>
      <c r="D130" t="s">
        <v>75</v>
      </c>
      <c r="E130" t="s">
        <v>274</v>
      </c>
      <c r="F130" t="s">
        <v>115</v>
      </c>
      <c r="G130" t="s">
        <v>275</v>
      </c>
      <c r="H130" t="s">
        <v>11</v>
      </c>
      <c r="I130" t="s">
        <v>7</v>
      </c>
      <c r="J130" t="s">
        <v>39</v>
      </c>
      <c r="K130" t="s">
        <v>76</v>
      </c>
      <c r="L130" t="s">
        <v>40</v>
      </c>
      <c r="M130">
        <v>1</v>
      </c>
    </row>
    <row r="131" spans="1:13" x14ac:dyDescent="0.25">
      <c r="A131" s="2">
        <v>46233</v>
      </c>
      <c r="B131" s="1" t="str">
        <f ca="1">IF(Información1[[#This Row],[Fecha]]='Ajuste de fechas'!$A$2,"Día actual","Día anterior")</f>
        <v>Día actual</v>
      </c>
      <c r="C131" t="s">
        <v>69</v>
      </c>
      <c r="D131" t="s">
        <v>70</v>
      </c>
      <c r="E131" t="s">
        <v>154</v>
      </c>
      <c r="F131" t="s">
        <v>21</v>
      </c>
      <c r="G131" t="s">
        <v>155</v>
      </c>
      <c r="H131" t="s">
        <v>11</v>
      </c>
      <c r="I131" t="s">
        <v>7</v>
      </c>
      <c r="J131" t="s">
        <v>39</v>
      </c>
      <c r="K131" t="s">
        <v>71</v>
      </c>
      <c r="L131" t="s">
        <v>42</v>
      </c>
      <c r="M131">
        <v>1</v>
      </c>
    </row>
    <row r="132" spans="1:13" x14ac:dyDescent="0.25">
      <c r="A132" s="2">
        <v>46233</v>
      </c>
      <c r="B132" s="1" t="str">
        <f ca="1">IF(Información1[[#This Row],[Fecha]]='Ajuste de fechas'!$A$2,"Día actual","Día anterior")</f>
        <v>Día actual</v>
      </c>
      <c r="C132" t="s">
        <v>28</v>
      </c>
      <c r="D132" t="s">
        <v>66</v>
      </c>
      <c r="E132" t="s">
        <v>276</v>
      </c>
      <c r="F132" t="s">
        <v>19</v>
      </c>
      <c r="G132" t="s">
        <v>277</v>
      </c>
      <c r="H132" t="s">
        <v>11</v>
      </c>
      <c r="I132" t="s">
        <v>7</v>
      </c>
      <c r="J132" t="s">
        <v>43</v>
      </c>
      <c r="K132" t="s">
        <v>67</v>
      </c>
      <c r="L132" t="s">
        <v>40</v>
      </c>
      <c r="M132">
        <v>1</v>
      </c>
    </row>
    <row r="133" spans="1:13" x14ac:dyDescent="0.25">
      <c r="A133" s="2">
        <v>46233</v>
      </c>
      <c r="B133" s="1" t="str">
        <f ca="1">IF(Información1[[#This Row],[Fecha]]='Ajuste de fechas'!$A$2,"Día actual","Día anterior")</f>
        <v>Día actual</v>
      </c>
      <c r="C133" t="s">
        <v>28</v>
      </c>
      <c r="D133" t="s">
        <v>66</v>
      </c>
      <c r="E133" t="s">
        <v>278</v>
      </c>
      <c r="F133" t="s">
        <v>19</v>
      </c>
      <c r="G133" t="s">
        <v>279</v>
      </c>
      <c r="H133" t="s">
        <v>11</v>
      </c>
      <c r="I133" t="s">
        <v>7</v>
      </c>
      <c r="J133" t="s">
        <v>43</v>
      </c>
      <c r="K133" t="s">
        <v>67</v>
      </c>
      <c r="L133" t="s">
        <v>72</v>
      </c>
      <c r="M133">
        <v>1</v>
      </c>
    </row>
    <row r="134" spans="1:13" x14ac:dyDescent="0.25">
      <c r="A134" s="2">
        <v>46233</v>
      </c>
      <c r="B134" s="1" t="str">
        <f ca="1">IF(Información1[[#This Row],[Fecha]]='Ajuste de fechas'!$A$2,"Día actual","Día anterior")</f>
        <v>Día actual</v>
      </c>
      <c r="C134" t="s">
        <v>28</v>
      </c>
      <c r="D134" t="s">
        <v>66</v>
      </c>
      <c r="E134" t="s">
        <v>280</v>
      </c>
      <c r="F134" t="s">
        <v>19</v>
      </c>
      <c r="G134" t="s">
        <v>279</v>
      </c>
      <c r="H134" t="s">
        <v>11</v>
      </c>
      <c r="I134" t="s">
        <v>7</v>
      </c>
      <c r="J134" t="s">
        <v>43</v>
      </c>
      <c r="K134" t="s">
        <v>67</v>
      </c>
      <c r="L134" t="s">
        <v>40</v>
      </c>
      <c r="M134">
        <v>1</v>
      </c>
    </row>
    <row r="135" spans="1:13" x14ac:dyDescent="0.25">
      <c r="A135" s="2">
        <v>46233</v>
      </c>
      <c r="B135" s="1" t="str">
        <f ca="1">IF(Información1[[#This Row],[Fecha]]='Ajuste de fechas'!$A$2,"Día actual","Día anterior")</f>
        <v>Día actual</v>
      </c>
      <c r="C135" t="s">
        <v>69</v>
      </c>
      <c r="D135" t="s">
        <v>70</v>
      </c>
      <c r="E135" t="s">
        <v>193</v>
      </c>
      <c r="F135" t="s">
        <v>31</v>
      </c>
      <c r="G135" t="s">
        <v>87</v>
      </c>
      <c r="H135" t="s">
        <v>11</v>
      </c>
      <c r="I135" t="s">
        <v>7</v>
      </c>
      <c r="J135" t="s">
        <v>39</v>
      </c>
      <c r="K135" t="s">
        <v>71</v>
      </c>
      <c r="L135" t="s">
        <v>42</v>
      </c>
      <c r="M135">
        <v>1</v>
      </c>
    </row>
    <row r="136" spans="1:13" x14ac:dyDescent="0.25">
      <c r="A136" s="2">
        <v>46233</v>
      </c>
      <c r="B136" s="1" t="str">
        <f ca="1">IF(Información1[[#This Row],[Fecha]]='Ajuste de fechas'!$A$2,"Día actual","Día anterior")</f>
        <v>Día actual</v>
      </c>
      <c r="C136" t="s">
        <v>28</v>
      </c>
      <c r="D136" t="s">
        <v>75</v>
      </c>
      <c r="E136" t="s">
        <v>281</v>
      </c>
      <c r="F136" t="s">
        <v>31</v>
      </c>
      <c r="G136" t="s">
        <v>87</v>
      </c>
      <c r="H136" t="s">
        <v>11</v>
      </c>
      <c r="I136" t="s">
        <v>7</v>
      </c>
      <c r="J136" t="s">
        <v>39</v>
      </c>
      <c r="K136" t="s">
        <v>76</v>
      </c>
      <c r="L136" t="s">
        <v>40</v>
      </c>
      <c r="M136">
        <v>1</v>
      </c>
    </row>
    <row r="137" spans="1:13" x14ac:dyDescent="0.25">
      <c r="A137" s="2">
        <v>46233</v>
      </c>
      <c r="B137" s="1" t="str">
        <f ca="1">IF(Información1[[#This Row],[Fecha]]='Ajuste de fechas'!$A$2,"Día actual","Día anterior")</f>
        <v>Día actual</v>
      </c>
      <c r="C137" t="s">
        <v>28</v>
      </c>
      <c r="D137" t="s">
        <v>66</v>
      </c>
      <c r="E137" t="s">
        <v>282</v>
      </c>
      <c r="F137" t="s">
        <v>22</v>
      </c>
      <c r="G137" t="s">
        <v>283</v>
      </c>
      <c r="H137" t="s">
        <v>11</v>
      </c>
      <c r="I137" t="s">
        <v>25</v>
      </c>
      <c r="J137" t="s">
        <v>44</v>
      </c>
      <c r="K137" t="s">
        <v>67</v>
      </c>
      <c r="L137" t="s">
        <v>40</v>
      </c>
      <c r="M137">
        <v>1</v>
      </c>
    </row>
    <row r="138" spans="1:13" x14ac:dyDescent="0.25">
      <c r="A138" s="2">
        <v>46233</v>
      </c>
      <c r="B138" s="1" t="str">
        <f ca="1">IF(Información1[[#This Row],[Fecha]]='Ajuste de fechas'!$A$2,"Día actual","Día anterior")</f>
        <v>Día actual</v>
      </c>
      <c r="C138" t="s">
        <v>28</v>
      </c>
      <c r="D138" t="s">
        <v>66</v>
      </c>
      <c r="E138" t="s">
        <v>284</v>
      </c>
      <c r="F138" t="s">
        <v>22</v>
      </c>
      <c r="G138" t="s">
        <v>283</v>
      </c>
      <c r="H138" t="s">
        <v>11</v>
      </c>
      <c r="I138" t="s">
        <v>25</v>
      </c>
      <c r="J138" t="s">
        <v>44</v>
      </c>
      <c r="K138" t="s">
        <v>67</v>
      </c>
      <c r="L138" t="s">
        <v>40</v>
      </c>
      <c r="M138">
        <v>1</v>
      </c>
    </row>
    <row r="139" spans="1:13" x14ac:dyDescent="0.25">
      <c r="A139" s="2">
        <v>46233</v>
      </c>
      <c r="B139" s="1" t="str">
        <f ca="1">IF(Información1[[#This Row],[Fecha]]='Ajuste de fechas'!$A$2,"Día actual","Día anterior")</f>
        <v>Día actual</v>
      </c>
      <c r="C139" t="s">
        <v>8</v>
      </c>
      <c r="D139" t="s">
        <v>10</v>
      </c>
      <c r="E139" t="s">
        <v>285</v>
      </c>
      <c r="F139" t="s">
        <v>54</v>
      </c>
      <c r="G139" t="s">
        <v>109</v>
      </c>
      <c r="H139" t="s">
        <v>11</v>
      </c>
      <c r="I139" t="s">
        <v>7</v>
      </c>
      <c r="J139" t="s">
        <v>24</v>
      </c>
      <c r="K139" t="s">
        <v>14</v>
      </c>
      <c r="L139" t="s">
        <v>72</v>
      </c>
      <c r="M139">
        <v>1</v>
      </c>
    </row>
    <row r="140" spans="1:13" x14ac:dyDescent="0.25">
      <c r="A140" s="2">
        <v>46233</v>
      </c>
      <c r="B140" s="1" t="str">
        <f ca="1">IF(Información1[[#This Row],[Fecha]]='Ajuste de fechas'!$A$2,"Día actual","Día anterior")</f>
        <v>Día actual</v>
      </c>
      <c r="C140" t="s">
        <v>8</v>
      </c>
      <c r="D140" t="s">
        <v>10</v>
      </c>
      <c r="E140" t="s">
        <v>286</v>
      </c>
      <c r="F140" t="s">
        <v>54</v>
      </c>
      <c r="G140" t="s">
        <v>109</v>
      </c>
      <c r="H140" t="s">
        <v>11</v>
      </c>
      <c r="I140" t="s">
        <v>7</v>
      </c>
      <c r="J140" t="s">
        <v>24</v>
      </c>
      <c r="K140" t="s">
        <v>14</v>
      </c>
      <c r="L140" t="s">
        <v>40</v>
      </c>
      <c r="M140">
        <v>1</v>
      </c>
    </row>
    <row r="141" spans="1:13" x14ac:dyDescent="0.25">
      <c r="A141" s="2">
        <v>46233</v>
      </c>
      <c r="B141" s="1" t="str">
        <f ca="1">IF(Información1[[#This Row],[Fecha]]='Ajuste de fechas'!$A$2,"Día actual","Día anterior")</f>
        <v>Día actual</v>
      </c>
      <c r="C141" t="s">
        <v>28</v>
      </c>
      <c r="D141" t="s">
        <v>75</v>
      </c>
      <c r="E141" t="s">
        <v>287</v>
      </c>
      <c r="F141" t="s">
        <v>54</v>
      </c>
      <c r="G141" t="s">
        <v>80</v>
      </c>
      <c r="H141" t="s">
        <v>11</v>
      </c>
      <c r="I141" t="s">
        <v>7</v>
      </c>
      <c r="J141" t="s">
        <v>24</v>
      </c>
      <c r="K141" t="s">
        <v>76</v>
      </c>
      <c r="L141" t="s">
        <v>40</v>
      </c>
      <c r="M141">
        <v>1</v>
      </c>
    </row>
    <row r="142" spans="1:13" x14ac:dyDescent="0.25">
      <c r="A142" s="2">
        <v>46233</v>
      </c>
      <c r="B142" s="1" t="str">
        <f ca="1">IF(Información1[[#This Row],[Fecha]]='Ajuste de fechas'!$A$2,"Día actual","Día anterior")</f>
        <v>Día actual</v>
      </c>
      <c r="C142" t="s">
        <v>28</v>
      </c>
      <c r="D142" t="s">
        <v>66</v>
      </c>
      <c r="E142" t="s">
        <v>288</v>
      </c>
      <c r="F142" t="s">
        <v>22</v>
      </c>
      <c r="G142" t="s">
        <v>96</v>
      </c>
      <c r="H142" t="s">
        <v>11</v>
      </c>
      <c r="I142" t="s">
        <v>7</v>
      </c>
      <c r="J142" t="s">
        <v>44</v>
      </c>
      <c r="K142" t="s">
        <v>67</v>
      </c>
      <c r="L142" t="s">
        <v>40</v>
      </c>
      <c r="M142">
        <v>1</v>
      </c>
    </row>
    <row r="143" spans="1:13" x14ac:dyDescent="0.25">
      <c r="A143" s="2">
        <v>46233</v>
      </c>
      <c r="B143" s="1" t="str">
        <f ca="1">IF(Información1[[#This Row],[Fecha]]='Ajuste de fechas'!$A$2,"Día actual","Día anterior")</f>
        <v>Día actual</v>
      </c>
      <c r="C143" t="s">
        <v>28</v>
      </c>
      <c r="D143" t="s">
        <v>66</v>
      </c>
      <c r="E143" t="s">
        <v>289</v>
      </c>
      <c r="F143" t="s">
        <v>22</v>
      </c>
      <c r="G143" t="s">
        <v>96</v>
      </c>
      <c r="H143" t="s">
        <v>11</v>
      </c>
      <c r="I143" t="s">
        <v>7</v>
      </c>
      <c r="J143" t="s">
        <v>44</v>
      </c>
      <c r="K143" t="s">
        <v>67</v>
      </c>
      <c r="L143" t="s">
        <v>40</v>
      </c>
      <c r="M143">
        <v>1</v>
      </c>
    </row>
    <row r="144" spans="1:13" x14ac:dyDescent="0.25">
      <c r="A144" s="2">
        <v>46233</v>
      </c>
      <c r="B144" s="1" t="str">
        <f ca="1">IF(Información1[[#This Row],[Fecha]]='Ajuste de fechas'!$A$2,"Día actual","Día anterior")</f>
        <v>Día actual</v>
      </c>
      <c r="C144" t="s">
        <v>8</v>
      </c>
      <c r="D144" t="s">
        <v>10</v>
      </c>
      <c r="E144" t="s">
        <v>290</v>
      </c>
      <c r="F144" t="s">
        <v>23</v>
      </c>
      <c r="G144" t="s">
        <v>291</v>
      </c>
      <c r="H144" t="s">
        <v>11</v>
      </c>
      <c r="I144" t="s">
        <v>7</v>
      </c>
      <c r="J144" t="s">
        <v>39</v>
      </c>
      <c r="K144" t="s">
        <v>14</v>
      </c>
      <c r="L144" t="s">
        <v>42</v>
      </c>
      <c r="M144">
        <v>1</v>
      </c>
    </row>
    <row r="145" spans="1:13" x14ac:dyDescent="0.25">
      <c r="A145" s="2">
        <v>46233</v>
      </c>
      <c r="B145" s="1" t="str">
        <f ca="1">IF(Información1[[#This Row],[Fecha]]='Ajuste de fechas'!$A$2,"Día actual","Día anterior")</f>
        <v>Día actual</v>
      </c>
      <c r="C145" t="s">
        <v>28</v>
      </c>
      <c r="D145" t="s">
        <v>66</v>
      </c>
      <c r="E145" t="s">
        <v>292</v>
      </c>
      <c r="F145" t="s">
        <v>26</v>
      </c>
      <c r="G145" t="s">
        <v>81</v>
      </c>
      <c r="H145" t="s">
        <v>11</v>
      </c>
      <c r="I145" t="s">
        <v>7</v>
      </c>
      <c r="J145" t="s">
        <v>39</v>
      </c>
      <c r="K145" t="s">
        <v>67</v>
      </c>
      <c r="L145" t="s">
        <v>42</v>
      </c>
      <c r="M145">
        <v>1</v>
      </c>
    </row>
    <row r="146" spans="1:13" x14ac:dyDescent="0.25">
      <c r="A146" s="2">
        <v>46233</v>
      </c>
      <c r="B146" s="1" t="str">
        <f ca="1">IF(Información1[[#This Row],[Fecha]]='Ajuste de fechas'!$A$2,"Día actual","Día anterior")</f>
        <v>Día actual</v>
      </c>
      <c r="C146" t="s">
        <v>28</v>
      </c>
      <c r="D146" t="s">
        <v>66</v>
      </c>
      <c r="E146" t="s">
        <v>293</v>
      </c>
      <c r="F146" t="s">
        <v>26</v>
      </c>
      <c r="G146" t="s">
        <v>81</v>
      </c>
      <c r="H146" t="s">
        <v>11</v>
      </c>
      <c r="I146" t="s">
        <v>7</v>
      </c>
      <c r="J146" t="s">
        <v>39</v>
      </c>
      <c r="K146" t="s">
        <v>67</v>
      </c>
      <c r="L146" t="s">
        <v>42</v>
      </c>
      <c r="M146">
        <v>1</v>
      </c>
    </row>
    <row r="147" spans="1:13" x14ac:dyDescent="0.25">
      <c r="A147" s="2">
        <v>46233</v>
      </c>
      <c r="B147" s="1" t="str">
        <f ca="1">IF(Información1[[#This Row],[Fecha]]='Ajuste de fechas'!$A$2,"Día actual","Día anterior")</f>
        <v>Día actual</v>
      </c>
      <c r="C147" t="s">
        <v>78</v>
      </c>
      <c r="D147" t="s">
        <v>294</v>
      </c>
      <c r="E147" t="s">
        <v>292</v>
      </c>
      <c r="F147" t="s">
        <v>26</v>
      </c>
      <c r="G147" t="s">
        <v>81</v>
      </c>
      <c r="H147" t="s">
        <v>11</v>
      </c>
      <c r="I147" t="s">
        <v>7</v>
      </c>
      <c r="J147" t="s">
        <v>39</v>
      </c>
      <c r="K147" t="s">
        <v>295</v>
      </c>
      <c r="L147" t="s">
        <v>42</v>
      </c>
      <c r="M147">
        <v>1</v>
      </c>
    </row>
    <row r="148" spans="1:13" x14ac:dyDescent="0.25">
      <c r="A148" s="2">
        <v>46233</v>
      </c>
      <c r="B148" s="1" t="str">
        <f ca="1">IF(Información1[[#This Row],[Fecha]]='Ajuste de fechas'!$A$2,"Día actual","Día anterior")</f>
        <v>Día actual</v>
      </c>
      <c r="C148" t="s">
        <v>28</v>
      </c>
      <c r="D148" t="s">
        <v>75</v>
      </c>
      <c r="E148" t="s">
        <v>296</v>
      </c>
      <c r="F148" t="s">
        <v>26</v>
      </c>
      <c r="G148" t="s">
        <v>81</v>
      </c>
      <c r="H148" t="s">
        <v>11</v>
      </c>
      <c r="I148" t="s">
        <v>7</v>
      </c>
      <c r="J148" t="s">
        <v>39</v>
      </c>
      <c r="K148" t="s">
        <v>76</v>
      </c>
      <c r="L148" t="s">
        <v>40</v>
      </c>
      <c r="M148">
        <v>1</v>
      </c>
    </row>
    <row r="149" spans="1:13" x14ac:dyDescent="0.25">
      <c r="A149" s="2">
        <v>46233</v>
      </c>
      <c r="B149" s="1" t="str">
        <f ca="1">IF(Información1[[#This Row],[Fecha]]='Ajuste de fechas'!$A$2,"Día actual","Día anterior")</f>
        <v>Día actual</v>
      </c>
      <c r="C149" t="s">
        <v>28</v>
      </c>
      <c r="D149" t="s">
        <v>75</v>
      </c>
      <c r="E149" t="s">
        <v>297</v>
      </c>
      <c r="F149" t="s">
        <v>26</v>
      </c>
      <c r="G149" t="s">
        <v>81</v>
      </c>
      <c r="H149" t="s">
        <v>11</v>
      </c>
      <c r="I149" t="s">
        <v>7</v>
      </c>
      <c r="J149" t="s">
        <v>39</v>
      </c>
      <c r="K149" t="s">
        <v>76</v>
      </c>
      <c r="L149" t="s">
        <v>40</v>
      </c>
      <c r="M149">
        <v>1</v>
      </c>
    </row>
    <row r="150" spans="1:13" x14ac:dyDescent="0.25">
      <c r="A150" s="2">
        <v>46233</v>
      </c>
      <c r="B150" s="1" t="str">
        <f ca="1">IF(Información1[[#This Row],[Fecha]]='Ajuste de fechas'!$A$2,"Día actual","Día anterior")</f>
        <v>Día actual</v>
      </c>
      <c r="C150" t="s">
        <v>28</v>
      </c>
      <c r="D150" t="s">
        <v>75</v>
      </c>
      <c r="E150" t="s">
        <v>298</v>
      </c>
      <c r="F150" t="s">
        <v>23</v>
      </c>
      <c r="G150" t="s">
        <v>299</v>
      </c>
      <c r="H150" t="s">
        <v>11</v>
      </c>
      <c r="I150" t="s">
        <v>7</v>
      </c>
      <c r="J150" t="s">
        <v>39</v>
      </c>
      <c r="K150" t="s">
        <v>76</v>
      </c>
      <c r="L150" t="s">
        <v>40</v>
      </c>
      <c r="M150">
        <v>1</v>
      </c>
    </row>
    <row r="151" spans="1:13" x14ac:dyDescent="0.25">
      <c r="A151" s="2">
        <v>46233</v>
      </c>
      <c r="B151" s="1" t="str">
        <f ca="1">IF(Información1[[#This Row],[Fecha]]='Ajuste de fechas'!$A$2,"Día actual","Día anterior")</f>
        <v>Día actual</v>
      </c>
      <c r="C151" t="s">
        <v>28</v>
      </c>
      <c r="D151" t="s">
        <v>75</v>
      </c>
      <c r="E151" t="s">
        <v>300</v>
      </c>
      <c r="F151" t="s">
        <v>22</v>
      </c>
      <c r="G151" t="s">
        <v>301</v>
      </c>
      <c r="H151" t="s">
        <v>11</v>
      </c>
      <c r="I151" t="s">
        <v>7</v>
      </c>
      <c r="J151" t="s">
        <v>44</v>
      </c>
      <c r="K151" t="s">
        <v>76</v>
      </c>
      <c r="L151" t="s">
        <v>40</v>
      </c>
      <c r="M151">
        <v>1</v>
      </c>
    </row>
    <row r="152" spans="1:13" x14ac:dyDescent="0.25">
      <c r="A152" s="2">
        <v>46233</v>
      </c>
      <c r="B152" s="1" t="str">
        <f ca="1">IF(Información1[[#This Row],[Fecha]]='Ajuste de fechas'!$A$2,"Día actual","Día anterior")</f>
        <v>Día actual</v>
      </c>
      <c r="C152" t="s">
        <v>8</v>
      </c>
      <c r="D152" t="s">
        <v>10</v>
      </c>
      <c r="E152" t="s">
        <v>302</v>
      </c>
      <c r="F152" t="s">
        <v>19</v>
      </c>
      <c r="G152" t="s">
        <v>303</v>
      </c>
      <c r="H152" t="s">
        <v>11</v>
      </c>
      <c r="I152" t="s">
        <v>7</v>
      </c>
      <c r="J152" t="s">
        <v>43</v>
      </c>
      <c r="K152" t="s">
        <v>14</v>
      </c>
      <c r="L152" t="s">
        <v>41</v>
      </c>
      <c r="M152">
        <v>1</v>
      </c>
    </row>
    <row r="153" spans="1:13" x14ac:dyDescent="0.25">
      <c r="A153" s="2">
        <v>46233</v>
      </c>
      <c r="B153" s="1" t="str">
        <f ca="1">IF(Información1[[#This Row],[Fecha]]='Ajuste de fechas'!$A$2,"Día actual","Día anterior")</f>
        <v>Día actual</v>
      </c>
      <c r="C153" t="s">
        <v>50</v>
      </c>
      <c r="D153" t="s">
        <v>55</v>
      </c>
      <c r="E153" t="s">
        <v>260</v>
      </c>
      <c r="F153" t="s">
        <v>19</v>
      </c>
      <c r="G153" t="s">
        <v>261</v>
      </c>
      <c r="H153" t="s">
        <v>11</v>
      </c>
      <c r="I153" t="s">
        <v>7</v>
      </c>
      <c r="J153" t="s">
        <v>43</v>
      </c>
      <c r="K153" t="s">
        <v>51</v>
      </c>
      <c r="L153" t="s">
        <v>40</v>
      </c>
      <c r="M153">
        <v>1</v>
      </c>
    </row>
    <row r="154" spans="1:13" x14ac:dyDescent="0.25">
      <c r="A154" s="2">
        <v>46233</v>
      </c>
      <c r="B154" s="1" t="str">
        <f ca="1">IF(Información1[[#This Row],[Fecha]]='Ajuste de fechas'!$A$2,"Día actual","Día anterior")</f>
        <v>Día actual</v>
      </c>
      <c r="C154" t="s">
        <v>50</v>
      </c>
      <c r="D154" t="s">
        <v>55</v>
      </c>
      <c r="E154" t="s">
        <v>304</v>
      </c>
      <c r="F154" t="s">
        <v>19</v>
      </c>
      <c r="G154" t="s">
        <v>305</v>
      </c>
      <c r="H154" t="s">
        <v>11</v>
      </c>
      <c r="I154" t="s">
        <v>7</v>
      </c>
      <c r="J154" t="s">
        <v>43</v>
      </c>
      <c r="K154" t="s">
        <v>51</v>
      </c>
      <c r="L154" t="s">
        <v>40</v>
      </c>
      <c r="M154">
        <v>1</v>
      </c>
    </row>
    <row r="155" spans="1:13" x14ac:dyDescent="0.25">
      <c r="A155" s="2">
        <v>46233</v>
      </c>
      <c r="B155" s="1" t="str">
        <f ca="1">IF(Información1[[#This Row],[Fecha]]='Ajuste de fechas'!$A$2,"Día actual","Día anterior")</f>
        <v>Día actual</v>
      </c>
      <c r="C155" t="s">
        <v>50</v>
      </c>
      <c r="D155" t="s">
        <v>55</v>
      </c>
      <c r="E155" t="s">
        <v>306</v>
      </c>
      <c r="F155" t="s">
        <v>21</v>
      </c>
      <c r="G155" t="s">
        <v>307</v>
      </c>
      <c r="H155" t="s">
        <v>11</v>
      </c>
      <c r="I155" t="s">
        <v>7</v>
      </c>
      <c r="J155" t="s">
        <v>39</v>
      </c>
      <c r="K155" t="s">
        <v>308</v>
      </c>
      <c r="L155" t="s">
        <v>42</v>
      </c>
      <c r="M155">
        <v>1</v>
      </c>
    </row>
    <row r="156" spans="1:13" x14ac:dyDescent="0.25">
      <c r="A156" s="2">
        <v>46233</v>
      </c>
      <c r="B156" s="1" t="str">
        <f ca="1">IF(Información1[[#This Row],[Fecha]]='Ajuste de fechas'!$A$2,"Día actual","Día anterior")</f>
        <v>Día actual</v>
      </c>
      <c r="C156" t="s">
        <v>50</v>
      </c>
      <c r="D156" t="s">
        <v>55</v>
      </c>
      <c r="E156" t="s">
        <v>245</v>
      </c>
      <c r="F156" t="s">
        <v>21</v>
      </c>
      <c r="G156" t="s">
        <v>246</v>
      </c>
      <c r="H156" t="s">
        <v>11</v>
      </c>
      <c r="I156" t="s">
        <v>7</v>
      </c>
      <c r="J156" t="s">
        <v>39</v>
      </c>
      <c r="K156" t="s">
        <v>51</v>
      </c>
      <c r="L156" t="s">
        <v>42</v>
      </c>
      <c r="M156">
        <v>1</v>
      </c>
    </row>
    <row r="157" spans="1:13" x14ac:dyDescent="0.25">
      <c r="A157" s="2">
        <v>46233</v>
      </c>
      <c r="B157" s="1" t="str">
        <f ca="1">IF(Información1[[#This Row],[Fecha]]='Ajuste de fechas'!$A$2,"Día actual","Día anterior")</f>
        <v>Día actual</v>
      </c>
      <c r="C157" t="s">
        <v>63</v>
      </c>
      <c r="D157" t="s">
        <v>64</v>
      </c>
      <c r="E157" t="s">
        <v>309</v>
      </c>
      <c r="F157" t="s">
        <v>19</v>
      </c>
      <c r="G157" t="s">
        <v>310</v>
      </c>
      <c r="H157" t="s">
        <v>11</v>
      </c>
      <c r="I157" t="s">
        <v>7</v>
      </c>
      <c r="J157" t="s">
        <v>43</v>
      </c>
      <c r="K157" t="s">
        <v>65</v>
      </c>
      <c r="L157" t="s">
        <v>40</v>
      </c>
      <c r="M157">
        <v>1</v>
      </c>
    </row>
    <row r="158" spans="1:13" x14ac:dyDescent="0.25">
      <c r="A158" s="2">
        <v>46233</v>
      </c>
      <c r="B158" s="1" t="str">
        <f ca="1">IF(Información1[[#This Row],[Fecha]]='Ajuste de fechas'!$A$2,"Día actual","Día anterior")</f>
        <v>Día actual</v>
      </c>
      <c r="C158" t="s">
        <v>63</v>
      </c>
      <c r="D158" t="s">
        <v>64</v>
      </c>
      <c r="E158" t="s">
        <v>311</v>
      </c>
      <c r="F158" t="s">
        <v>94</v>
      </c>
      <c r="G158" t="s">
        <v>95</v>
      </c>
      <c r="H158" t="s">
        <v>11</v>
      </c>
      <c r="I158" t="s">
        <v>7</v>
      </c>
      <c r="J158" t="s">
        <v>39</v>
      </c>
      <c r="K158" t="s">
        <v>65</v>
      </c>
      <c r="L158" t="s">
        <v>42</v>
      </c>
      <c r="M158">
        <v>1</v>
      </c>
    </row>
    <row r="159" spans="1:13" x14ac:dyDescent="0.25">
      <c r="A159" s="2">
        <v>46233</v>
      </c>
      <c r="B159" s="1" t="str">
        <f ca="1">IF(Información1[[#This Row],[Fecha]]='Ajuste de fechas'!$A$2,"Día actual","Día anterior")</f>
        <v>Día actual</v>
      </c>
      <c r="C159" t="s">
        <v>63</v>
      </c>
      <c r="D159" t="s">
        <v>64</v>
      </c>
      <c r="E159" t="s">
        <v>250</v>
      </c>
      <c r="F159" t="s">
        <v>23</v>
      </c>
      <c r="G159" t="s">
        <v>251</v>
      </c>
      <c r="H159" t="s">
        <v>11</v>
      </c>
      <c r="I159" t="s">
        <v>7</v>
      </c>
      <c r="J159" t="s">
        <v>39</v>
      </c>
      <c r="K159" t="s">
        <v>65</v>
      </c>
      <c r="L159" t="s">
        <v>42</v>
      </c>
      <c r="M159">
        <v>1</v>
      </c>
    </row>
    <row r="160" spans="1:13" x14ac:dyDescent="0.25">
      <c r="A160" s="2">
        <v>46233</v>
      </c>
      <c r="B160" s="1" t="str">
        <f ca="1">IF(Información1[[#This Row],[Fecha]]='Ajuste de fechas'!$A$2,"Día actual","Día anterior")</f>
        <v>Día actual</v>
      </c>
      <c r="C160" t="s">
        <v>63</v>
      </c>
      <c r="D160" t="s">
        <v>64</v>
      </c>
      <c r="E160" t="s">
        <v>312</v>
      </c>
      <c r="F160" t="s">
        <v>23</v>
      </c>
      <c r="G160" t="s">
        <v>299</v>
      </c>
      <c r="H160" t="s">
        <v>11</v>
      </c>
      <c r="I160" t="s">
        <v>7</v>
      </c>
      <c r="J160" t="s">
        <v>39</v>
      </c>
      <c r="K160" t="s">
        <v>65</v>
      </c>
      <c r="L160" t="s">
        <v>42</v>
      </c>
      <c r="M160">
        <v>1</v>
      </c>
    </row>
    <row r="161" spans="1:13" x14ac:dyDescent="0.25">
      <c r="A161" s="2">
        <v>46233</v>
      </c>
      <c r="B161" s="1" t="str">
        <f ca="1">IF(Información1[[#This Row],[Fecha]]='Ajuste de fechas'!$A$2,"Día actual","Día anterior")</f>
        <v>Día actual</v>
      </c>
      <c r="C161" t="s">
        <v>63</v>
      </c>
      <c r="D161" t="s">
        <v>64</v>
      </c>
      <c r="E161" t="s">
        <v>245</v>
      </c>
      <c r="F161" t="s">
        <v>21</v>
      </c>
      <c r="G161" t="s">
        <v>246</v>
      </c>
      <c r="H161" t="s">
        <v>11</v>
      </c>
      <c r="I161" t="s">
        <v>7</v>
      </c>
      <c r="J161" t="s">
        <v>39</v>
      </c>
      <c r="K161" t="s">
        <v>65</v>
      </c>
      <c r="L161" t="s">
        <v>42</v>
      </c>
      <c r="M161">
        <v>1</v>
      </c>
    </row>
    <row r="162" spans="1:13" x14ac:dyDescent="0.25">
      <c r="A162" s="2">
        <v>46233</v>
      </c>
      <c r="B162" s="1" t="str">
        <f ca="1">IF(Información1[[#This Row],[Fecha]]='Ajuste de fechas'!$A$2,"Día actual","Día anterior")</f>
        <v>Día actual</v>
      </c>
      <c r="C162" t="s">
        <v>63</v>
      </c>
      <c r="D162" t="s">
        <v>64</v>
      </c>
      <c r="E162" t="s">
        <v>313</v>
      </c>
      <c r="F162" t="s">
        <v>17</v>
      </c>
      <c r="G162" t="s">
        <v>97</v>
      </c>
      <c r="H162" t="s">
        <v>11</v>
      </c>
      <c r="I162" t="s">
        <v>7</v>
      </c>
      <c r="J162" t="s">
        <v>39</v>
      </c>
      <c r="K162" t="s">
        <v>65</v>
      </c>
      <c r="L162" t="s">
        <v>42</v>
      </c>
      <c r="M162">
        <v>1</v>
      </c>
    </row>
    <row r="163" spans="1:13" x14ac:dyDescent="0.25">
      <c r="A163" s="2">
        <v>46233</v>
      </c>
      <c r="B163" s="1" t="str">
        <f ca="1">IF(Información1[[#This Row],[Fecha]]='Ajuste de fechas'!$A$2,"Día actual","Día anterior")</f>
        <v>Día actual</v>
      </c>
      <c r="C163" t="s">
        <v>63</v>
      </c>
      <c r="D163" t="s">
        <v>64</v>
      </c>
      <c r="E163" t="s">
        <v>314</v>
      </c>
      <c r="F163" t="s">
        <v>257</v>
      </c>
      <c r="G163" t="s">
        <v>243</v>
      </c>
      <c r="H163" t="s">
        <v>11</v>
      </c>
      <c r="I163" t="s">
        <v>7</v>
      </c>
      <c r="J163" t="s">
        <v>39</v>
      </c>
      <c r="K163" t="s">
        <v>65</v>
      </c>
      <c r="L163" t="s">
        <v>42</v>
      </c>
      <c r="M163">
        <v>1</v>
      </c>
    </row>
    <row r="164" spans="1:13" x14ac:dyDescent="0.25">
      <c r="A164" s="2">
        <v>46233</v>
      </c>
      <c r="B164" s="1" t="str">
        <f ca="1">IF(Información1[[#This Row],[Fecha]]='Ajuste de fechas'!$A$2,"Día actual","Día anterior")</f>
        <v>Día actual</v>
      </c>
      <c r="C164" t="s">
        <v>63</v>
      </c>
      <c r="D164" t="s">
        <v>64</v>
      </c>
      <c r="E164" t="s">
        <v>315</v>
      </c>
      <c r="F164" t="s">
        <v>115</v>
      </c>
      <c r="G164" t="s">
        <v>275</v>
      </c>
      <c r="H164" t="s">
        <v>11</v>
      </c>
      <c r="I164" t="s">
        <v>7</v>
      </c>
      <c r="J164" t="s">
        <v>39</v>
      </c>
      <c r="K164" t="s">
        <v>65</v>
      </c>
      <c r="L164" t="s">
        <v>42</v>
      </c>
      <c r="M164">
        <v>1</v>
      </c>
    </row>
    <row r="165" spans="1:13" x14ac:dyDescent="0.25">
      <c r="A165" s="2">
        <v>46233</v>
      </c>
      <c r="B165" s="1" t="str">
        <f ca="1">IF(Información1[[#This Row],[Fecha]]='Ajuste de fechas'!$A$2,"Día actual","Día anterior")</f>
        <v>Día actual</v>
      </c>
      <c r="C165" t="s">
        <v>63</v>
      </c>
      <c r="D165" t="s">
        <v>64</v>
      </c>
      <c r="E165" t="s">
        <v>316</v>
      </c>
      <c r="F165" t="s">
        <v>31</v>
      </c>
      <c r="G165" t="s">
        <v>87</v>
      </c>
      <c r="H165" t="s">
        <v>11</v>
      </c>
      <c r="I165" t="s">
        <v>7</v>
      </c>
      <c r="J165" t="s">
        <v>39</v>
      </c>
      <c r="K165" t="s">
        <v>65</v>
      </c>
      <c r="L165" t="s">
        <v>42</v>
      </c>
      <c r="M165">
        <v>1</v>
      </c>
    </row>
    <row r="166" spans="1:13" x14ac:dyDescent="0.25">
      <c r="A166" s="2">
        <v>46233</v>
      </c>
      <c r="B166" s="1" t="str">
        <f ca="1">IF(Información1[[#This Row],[Fecha]]='Ajuste de fechas'!$A$2,"Día actual","Día anterior")</f>
        <v>Día actual</v>
      </c>
      <c r="C166" t="s">
        <v>63</v>
      </c>
      <c r="D166" t="s">
        <v>64</v>
      </c>
      <c r="E166" t="s">
        <v>293</v>
      </c>
      <c r="F166" t="s">
        <v>26</v>
      </c>
      <c r="G166" t="s">
        <v>81</v>
      </c>
      <c r="H166" t="s">
        <v>11</v>
      </c>
      <c r="I166" t="s">
        <v>7</v>
      </c>
      <c r="J166" t="s">
        <v>39</v>
      </c>
      <c r="K166" t="s">
        <v>65</v>
      </c>
      <c r="L166" t="s">
        <v>42</v>
      </c>
      <c r="M166">
        <v>1</v>
      </c>
    </row>
    <row r="167" spans="1:13" x14ac:dyDescent="0.25">
      <c r="A167" s="2">
        <v>46233</v>
      </c>
      <c r="B167" s="1" t="str">
        <f ca="1">IF(Información1[[#This Row],[Fecha]]='Ajuste de fechas'!$A$2,"Día actual","Día anterior")</f>
        <v>Día actual</v>
      </c>
      <c r="C167" t="s">
        <v>63</v>
      </c>
      <c r="D167" t="s">
        <v>64</v>
      </c>
      <c r="E167" t="s">
        <v>292</v>
      </c>
      <c r="F167" t="s">
        <v>26</v>
      </c>
      <c r="G167" t="s">
        <v>81</v>
      </c>
      <c r="H167" t="s">
        <v>11</v>
      </c>
      <c r="I167" t="s">
        <v>7</v>
      </c>
      <c r="J167" t="s">
        <v>39</v>
      </c>
      <c r="K167" t="s">
        <v>65</v>
      </c>
      <c r="L167" t="s">
        <v>42</v>
      </c>
      <c r="M167">
        <v>1</v>
      </c>
    </row>
    <row r="168" spans="1:13" x14ac:dyDescent="0.25">
      <c r="A168" s="2">
        <v>46233</v>
      </c>
      <c r="B168" s="1" t="str">
        <f ca="1">IF(Información1[[#This Row],[Fecha]]='Ajuste de fechas'!$A$2,"Día actual","Día anterior")</f>
        <v>Día actual</v>
      </c>
      <c r="C168" t="s">
        <v>50</v>
      </c>
      <c r="D168" t="s">
        <v>52</v>
      </c>
      <c r="E168" t="s">
        <v>317</v>
      </c>
      <c r="F168" t="s">
        <v>19</v>
      </c>
      <c r="G168" t="s">
        <v>305</v>
      </c>
      <c r="H168" t="s">
        <v>11</v>
      </c>
      <c r="I168" t="s">
        <v>7</v>
      </c>
      <c r="J168" t="s">
        <v>43</v>
      </c>
      <c r="K168" t="s">
        <v>51</v>
      </c>
      <c r="L168" t="s">
        <v>40</v>
      </c>
      <c r="M168">
        <v>1</v>
      </c>
    </row>
    <row r="169" spans="1:13" x14ac:dyDescent="0.25">
      <c r="A169" s="2">
        <v>46233</v>
      </c>
      <c r="B169" s="1" t="str">
        <f ca="1">IF(Información1[[#This Row],[Fecha]]='Ajuste de fechas'!$A$2,"Día actual","Día anterior")</f>
        <v>Día actual</v>
      </c>
      <c r="C169" t="s">
        <v>50</v>
      </c>
      <c r="D169" t="s">
        <v>52</v>
      </c>
      <c r="E169" t="s">
        <v>318</v>
      </c>
      <c r="F169" t="s">
        <v>19</v>
      </c>
      <c r="G169" t="s">
        <v>86</v>
      </c>
      <c r="H169" t="s">
        <v>11</v>
      </c>
      <c r="I169" t="s">
        <v>7</v>
      </c>
      <c r="J169" t="s">
        <v>43</v>
      </c>
      <c r="K169" t="s">
        <v>51</v>
      </c>
      <c r="L169" t="s">
        <v>40</v>
      </c>
      <c r="M169">
        <v>1</v>
      </c>
    </row>
    <row r="170" spans="1:13" x14ac:dyDescent="0.25">
      <c r="A170" s="2">
        <v>46233</v>
      </c>
      <c r="B170" s="1" t="str">
        <f ca="1">IF(Información1[[#This Row],[Fecha]]='Ajuste de fechas'!$A$2,"Día actual","Día anterior")</f>
        <v>Día actual</v>
      </c>
      <c r="C170" t="s">
        <v>50</v>
      </c>
      <c r="D170" t="s">
        <v>52</v>
      </c>
      <c r="E170" t="s">
        <v>260</v>
      </c>
      <c r="F170" t="s">
        <v>19</v>
      </c>
      <c r="G170" t="s">
        <v>261</v>
      </c>
      <c r="H170" t="s">
        <v>11</v>
      </c>
      <c r="I170" t="s">
        <v>7</v>
      </c>
      <c r="J170" t="s">
        <v>43</v>
      </c>
      <c r="K170" t="s">
        <v>51</v>
      </c>
      <c r="L170" t="s">
        <v>40</v>
      </c>
      <c r="M170">
        <v>1</v>
      </c>
    </row>
    <row r="171" spans="1:13" x14ac:dyDescent="0.25">
      <c r="A171" s="2">
        <v>46233</v>
      </c>
      <c r="B171" s="1" t="str">
        <f ca="1">IF(Información1[[#This Row],[Fecha]]='Ajuste de fechas'!$A$2,"Día actual","Día anterior")</f>
        <v>Día actual</v>
      </c>
      <c r="C171" t="s">
        <v>50</v>
      </c>
      <c r="D171" t="s">
        <v>52</v>
      </c>
      <c r="E171" t="s">
        <v>319</v>
      </c>
      <c r="F171" t="s">
        <v>19</v>
      </c>
      <c r="G171" t="s">
        <v>320</v>
      </c>
      <c r="H171" t="s">
        <v>11</v>
      </c>
      <c r="I171" t="s">
        <v>7</v>
      </c>
      <c r="J171" t="s">
        <v>43</v>
      </c>
      <c r="K171" t="s">
        <v>51</v>
      </c>
      <c r="L171" t="s">
        <v>72</v>
      </c>
      <c r="M171">
        <v>1</v>
      </c>
    </row>
    <row r="172" spans="1:13" x14ac:dyDescent="0.25">
      <c r="A172" s="2">
        <v>46233</v>
      </c>
      <c r="B172" s="1" t="str">
        <f ca="1">IF(Información1[[#This Row],[Fecha]]='Ajuste de fechas'!$A$2,"Día actual","Día anterior")</f>
        <v>Día actual</v>
      </c>
      <c r="C172" t="s">
        <v>50</v>
      </c>
      <c r="D172" t="s">
        <v>52</v>
      </c>
      <c r="E172" t="s">
        <v>321</v>
      </c>
      <c r="F172" t="s">
        <v>19</v>
      </c>
      <c r="G172" t="s">
        <v>87</v>
      </c>
      <c r="H172" t="s">
        <v>11</v>
      </c>
      <c r="I172" t="s">
        <v>7</v>
      </c>
      <c r="J172" t="s">
        <v>43</v>
      </c>
      <c r="K172" t="s">
        <v>51</v>
      </c>
      <c r="L172" t="s">
        <v>40</v>
      </c>
      <c r="M172">
        <v>1</v>
      </c>
    </row>
    <row r="173" spans="1:13" x14ac:dyDescent="0.25">
      <c r="A173" s="2">
        <v>46233</v>
      </c>
      <c r="B173" s="1" t="str">
        <f ca="1">IF(Información1[[#This Row],[Fecha]]='Ajuste de fechas'!$A$2,"Día actual","Día anterior")</f>
        <v>Día actual</v>
      </c>
      <c r="C173" t="s">
        <v>50</v>
      </c>
      <c r="D173" t="s">
        <v>52</v>
      </c>
      <c r="E173" t="s">
        <v>322</v>
      </c>
      <c r="F173" t="s">
        <v>79</v>
      </c>
      <c r="G173" t="s">
        <v>88</v>
      </c>
      <c r="H173" t="s">
        <v>11</v>
      </c>
      <c r="I173" t="s">
        <v>7</v>
      </c>
      <c r="J173" t="s">
        <v>24</v>
      </c>
      <c r="K173" t="s">
        <v>51</v>
      </c>
      <c r="L173" t="s">
        <v>40</v>
      </c>
      <c r="M173">
        <v>1</v>
      </c>
    </row>
    <row r="174" spans="1:13" x14ac:dyDescent="0.25">
      <c r="A174" s="2">
        <v>46233</v>
      </c>
      <c r="B174" s="1" t="str">
        <f ca="1">IF(Información1[[#This Row],[Fecha]]='Ajuste de fechas'!$A$2,"Día actual","Día anterior")</f>
        <v>Día actual</v>
      </c>
      <c r="C174" t="s">
        <v>50</v>
      </c>
      <c r="D174" t="s">
        <v>52</v>
      </c>
      <c r="E174" t="s">
        <v>323</v>
      </c>
      <c r="F174" t="s">
        <v>94</v>
      </c>
      <c r="G174" t="s">
        <v>95</v>
      </c>
      <c r="H174" t="s">
        <v>11</v>
      </c>
      <c r="I174" t="s">
        <v>7</v>
      </c>
      <c r="J174" t="s">
        <v>39</v>
      </c>
      <c r="K174" t="s">
        <v>49</v>
      </c>
      <c r="L174" t="s">
        <v>42</v>
      </c>
      <c r="M174">
        <v>1</v>
      </c>
    </row>
    <row r="175" spans="1:13" x14ac:dyDescent="0.25">
      <c r="A175" s="2">
        <v>46233</v>
      </c>
      <c r="B175" s="1" t="str">
        <f ca="1">IF(Información1[[#This Row],[Fecha]]='Ajuste de fechas'!$A$2,"Día actual","Día anterior")</f>
        <v>Día actual</v>
      </c>
      <c r="C175" t="s">
        <v>50</v>
      </c>
      <c r="D175" t="s">
        <v>52</v>
      </c>
      <c r="E175" t="s">
        <v>324</v>
      </c>
      <c r="F175" t="s">
        <v>17</v>
      </c>
      <c r="G175" t="s">
        <v>97</v>
      </c>
      <c r="H175" t="s">
        <v>11</v>
      </c>
      <c r="I175" t="s">
        <v>7</v>
      </c>
      <c r="J175" t="s">
        <v>39</v>
      </c>
      <c r="K175" t="s">
        <v>49</v>
      </c>
      <c r="L175" t="s">
        <v>42</v>
      </c>
      <c r="M175">
        <v>1</v>
      </c>
    </row>
    <row r="176" spans="1:13" x14ac:dyDescent="0.25">
      <c r="A176" s="2">
        <v>46233</v>
      </c>
      <c r="B176" s="1" t="str">
        <f ca="1">IF(Información1[[#This Row],[Fecha]]='Ajuste de fechas'!$A$2,"Día actual","Día anterior")</f>
        <v>Día actual</v>
      </c>
      <c r="C176" t="s">
        <v>50</v>
      </c>
      <c r="D176" t="s">
        <v>52</v>
      </c>
      <c r="E176" t="s">
        <v>325</v>
      </c>
      <c r="F176" t="s">
        <v>26</v>
      </c>
      <c r="G176" t="s">
        <v>81</v>
      </c>
      <c r="H176" t="s">
        <v>11</v>
      </c>
      <c r="I176" t="s">
        <v>7</v>
      </c>
      <c r="J176" t="s">
        <v>39</v>
      </c>
      <c r="K176" t="s">
        <v>49</v>
      </c>
      <c r="L176" t="s">
        <v>42</v>
      </c>
      <c r="M176">
        <v>1</v>
      </c>
    </row>
    <row r="177" spans="1:13" x14ac:dyDescent="0.25">
      <c r="A177" s="2">
        <v>46233</v>
      </c>
      <c r="B177" s="1" t="str">
        <f ca="1">IF(Información1[[#This Row],[Fecha]]='Ajuste de fechas'!$A$2,"Día actual","Día anterior")</f>
        <v>Día actual</v>
      </c>
      <c r="C177" t="s">
        <v>50</v>
      </c>
      <c r="D177" t="s">
        <v>52</v>
      </c>
      <c r="E177" t="s">
        <v>326</v>
      </c>
      <c r="F177" t="s">
        <v>26</v>
      </c>
      <c r="G177" t="s">
        <v>81</v>
      </c>
      <c r="H177" t="s">
        <v>11</v>
      </c>
      <c r="I177" t="s">
        <v>7</v>
      </c>
      <c r="J177" t="s">
        <v>39</v>
      </c>
      <c r="K177" t="s">
        <v>49</v>
      </c>
      <c r="L177" t="s">
        <v>42</v>
      </c>
      <c r="M177">
        <v>1</v>
      </c>
    </row>
    <row r="178" spans="1:13" x14ac:dyDescent="0.25">
      <c r="A178" s="2">
        <v>46233</v>
      </c>
      <c r="B178" s="1" t="str">
        <f ca="1">IF(Información1[[#This Row],[Fecha]]='Ajuste de fechas'!$A$2,"Día actual","Día anterior")</f>
        <v>Día actual</v>
      </c>
      <c r="C178" t="s">
        <v>50</v>
      </c>
      <c r="D178" t="s">
        <v>52</v>
      </c>
      <c r="E178" t="s">
        <v>314</v>
      </c>
      <c r="F178" t="s">
        <v>257</v>
      </c>
      <c r="G178" t="s">
        <v>243</v>
      </c>
      <c r="H178" t="s">
        <v>11</v>
      </c>
      <c r="I178" t="s">
        <v>7</v>
      </c>
      <c r="J178" t="s">
        <v>39</v>
      </c>
      <c r="K178" t="s">
        <v>49</v>
      </c>
      <c r="L178" t="s">
        <v>42</v>
      </c>
      <c r="M178">
        <v>1</v>
      </c>
    </row>
    <row r="179" spans="1:13" x14ac:dyDescent="0.25">
      <c r="A179" s="2">
        <v>46233</v>
      </c>
      <c r="B179" s="1" t="str">
        <f ca="1">IF(Información1[[#This Row],[Fecha]]='Ajuste de fechas'!$A$2,"Día actual","Día anterior")</f>
        <v>Día actual</v>
      </c>
      <c r="C179" t="s">
        <v>50</v>
      </c>
      <c r="D179" t="s">
        <v>52</v>
      </c>
      <c r="E179" t="s">
        <v>327</v>
      </c>
      <c r="F179" t="s">
        <v>23</v>
      </c>
      <c r="G179" t="s">
        <v>251</v>
      </c>
      <c r="H179" t="s">
        <v>11</v>
      </c>
      <c r="I179" t="s">
        <v>7</v>
      </c>
      <c r="J179" t="s">
        <v>39</v>
      </c>
      <c r="K179" t="s">
        <v>49</v>
      </c>
      <c r="L179" t="s">
        <v>42</v>
      </c>
      <c r="M179">
        <v>1</v>
      </c>
    </row>
    <row r="180" spans="1:13" x14ac:dyDescent="0.25">
      <c r="A180" s="2">
        <v>46232</v>
      </c>
      <c r="B180" s="1" t="str">
        <f ca="1">IF(Información1[[#This Row],[Fecha]]='Ajuste de fechas'!$A$2,"Día actual","Día anterior")</f>
        <v>Día anterior</v>
      </c>
      <c r="C180" t="s">
        <v>89</v>
      </c>
      <c r="D180" t="s">
        <v>90</v>
      </c>
      <c r="E180" t="s">
        <v>328</v>
      </c>
      <c r="F180" t="s">
        <v>26</v>
      </c>
      <c r="G180" t="s">
        <v>81</v>
      </c>
      <c r="H180" t="s">
        <v>57</v>
      </c>
      <c r="I180" t="s">
        <v>7</v>
      </c>
      <c r="J180" t="s">
        <v>39</v>
      </c>
      <c r="K180" t="s">
        <v>49</v>
      </c>
      <c r="L180" t="s">
        <v>40</v>
      </c>
      <c r="M180">
        <v>1</v>
      </c>
    </row>
    <row r="181" spans="1:13" x14ac:dyDescent="0.25">
      <c r="A181" s="2">
        <v>46232</v>
      </c>
      <c r="B181" s="1" t="str">
        <f ca="1">IF(Información1[[#This Row],[Fecha]]='Ajuste de fechas'!$A$2,"Día actual","Día anterior")</f>
        <v>Día anterior</v>
      </c>
      <c r="C181" t="s">
        <v>89</v>
      </c>
      <c r="D181" t="s">
        <v>90</v>
      </c>
      <c r="E181" t="s">
        <v>185</v>
      </c>
      <c r="F181" t="s">
        <v>19</v>
      </c>
      <c r="G181" t="s">
        <v>107</v>
      </c>
      <c r="H181" t="s">
        <v>57</v>
      </c>
      <c r="I181" t="s">
        <v>7</v>
      </c>
      <c r="J181" t="s">
        <v>43</v>
      </c>
      <c r="K181" t="s">
        <v>49</v>
      </c>
      <c r="L181" t="s">
        <v>40</v>
      </c>
      <c r="M181">
        <v>1</v>
      </c>
    </row>
    <row r="182" spans="1:13" x14ac:dyDescent="0.25">
      <c r="A182" s="2">
        <v>46232</v>
      </c>
      <c r="B182" s="1" t="str">
        <f ca="1">IF(Información1[[#This Row],[Fecha]]='Ajuste de fechas'!$A$2,"Día actual","Día anterior")</f>
        <v>Día anterior</v>
      </c>
      <c r="C182" t="s">
        <v>89</v>
      </c>
      <c r="D182" t="s">
        <v>90</v>
      </c>
      <c r="E182" t="s">
        <v>193</v>
      </c>
      <c r="F182" t="s">
        <v>31</v>
      </c>
      <c r="G182" t="s">
        <v>87</v>
      </c>
      <c r="H182" t="s">
        <v>57</v>
      </c>
      <c r="I182" t="s">
        <v>7</v>
      </c>
      <c r="J182" t="s">
        <v>39</v>
      </c>
      <c r="K182" t="s">
        <v>49</v>
      </c>
      <c r="L182" t="s">
        <v>42</v>
      </c>
      <c r="M182">
        <v>1</v>
      </c>
    </row>
    <row r="183" spans="1:13" x14ac:dyDescent="0.25">
      <c r="A183" s="2">
        <v>46232</v>
      </c>
      <c r="B183" s="1" t="str">
        <f ca="1">IF(Información1[[#This Row],[Fecha]]='Ajuste de fechas'!$A$2,"Día actual","Día anterior")</f>
        <v>Día anterior</v>
      </c>
      <c r="C183" t="s">
        <v>89</v>
      </c>
      <c r="D183" t="s">
        <v>90</v>
      </c>
      <c r="E183" t="s">
        <v>125</v>
      </c>
      <c r="F183" t="s">
        <v>15</v>
      </c>
      <c r="G183" t="s">
        <v>123</v>
      </c>
      <c r="H183" t="s">
        <v>57</v>
      </c>
      <c r="I183" t="s">
        <v>7</v>
      </c>
      <c r="J183" t="s">
        <v>39</v>
      </c>
      <c r="K183" t="s">
        <v>49</v>
      </c>
      <c r="L183" t="s">
        <v>42</v>
      </c>
      <c r="M183">
        <v>1</v>
      </c>
    </row>
    <row r="184" spans="1:13" x14ac:dyDescent="0.25">
      <c r="A184" s="2">
        <v>46232</v>
      </c>
      <c r="B184" s="1" t="str">
        <f ca="1">IF(Información1[[#This Row],[Fecha]]='Ajuste de fechas'!$A$2,"Día actual","Día anterior")</f>
        <v>Día anterior</v>
      </c>
      <c r="C184" t="s">
        <v>89</v>
      </c>
      <c r="D184" t="s">
        <v>90</v>
      </c>
      <c r="E184" t="s">
        <v>189</v>
      </c>
      <c r="F184" t="s">
        <v>54</v>
      </c>
      <c r="G184" t="s">
        <v>98</v>
      </c>
      <c r="H184" t="s">
        <v>57</v>
      </c>
      <c r="I184" t="s">
        <v>7</v>
      </c>
      <c r="J184" t="s">
        <v>24</v>
      </c>
      <c r="K184" t="s">
        <v>49</v>
      </c>
      <c r="L184" t="s">
        <v>40</v>
      </c>
      <c r="M184">
        <v>1</v>
      </c>
    </row>
    <row r="185" spans="1:13" x14ac:dyDescent="0.25">
      <c r="A185" s="2">
        <v>46232</v>
      </c>
      <c r="B185" s="1" t="str">
        <f ca="1">IF(Información1[[#This Row],[Fecha]]='Ajuste de fechas'!$A$2,"Día actual","Día anterior")</f>
        <v>Día anterior</v>
      </c>
      <c r="C185" t="s">
        <v>89</v>
      </c>
      <c r="D185" t="s">
        <v>90</v>
      </c>
      <c r="E185" t="s">
        <v>329</v>
      </c>
      <c r="F185" t="s">
        <v>101</v>
      </c>
      <c r="G185" t="s">
        <v>330</v>
      </c>
      <c r="H185" t="s">
        <v>57</v>
      </c>
      <c r="I185" t="s">
        <v>7</v>
      </c>
      <c r="J185" t="s">
        <v>39</v>
      </c>
      <c r="K185" t="s">
        <v>49</v>
      </c>
      <c r="L185" t="s">
        <v>40</v>
      </c>
      <c r="M185">
        <v>1</v>
      </c>
    </row>
    <row r="186" spans="1:13" x14ac:dyDescent="0.25">
      <c r="A186" s="2">
        <v>46232</v>
      </c>
      <c r="B186" s="1" t="str">
        <f ca="1">IF(Información1[[#This Row],[Fecha]]='Ajuste de fechas'!$A$2,"Día actual","Día anterior")</f>
        <v>Día anterior</v>
      </c>
      <c r="C186" t="s">
        <v>89</v>
      </c>
      <c r="D186" t="s">
        <v>90</v>
      </c>
      <c r="E186" t="s">
        <v>191</v>
      </c>
      <c r="F186" t="s">
        <v>26</v>
      </c>
      <c r="G186" t="s">
        <v>158</v>
      </c>
      <c r="H186" t="s">
        <v>57</v>
      </c>
      <c r="I186" t="s">
        <v>7</v>
      </c>
      <c r="J186" t="s">
        <v>39</v>
      </c>
      <c r="K186" t="s">
        <v>49</v>
      </c>
      <c r="L186" t="s">
        <v>42</v>
      </c>
      <c r="M186">
        <v>1</v>
      </c>
    </row>
    <row r="187" spans="1:13" x14ac:dyDescent="0.25">
      <c r="A187" s="2">
        <v>46232</v>
      </c>
      <c r="B187" s="1" t="str">
        <f ca="1">IF(Información1[[#This Row],[Fecha]]='Ajuste de fechas'!$A$2,"Día actual","Día anterior")</f>
        <v>Día anterior</v>
      </c>
      <c r="C187" t="s">
        <v>89</v>
      </c>
      <c r="D187" t="s">
        <v>90</v>
      </c>
      <c r="E187" t="s">
        <v>331</v>
      </c>
      <c r="F187" t="s">
        <v>26</v>
      </c>
      <c r="G187" t="s">
        <v>81</v>
      </c>
      <c r="H187" t="s">
        <v>57</v>
      </c>
      <c r="I187" t="s">
        <v>7</v>
      </c>
      <c r="J187" t="s">
        <v>39</v>
      </c>
      <c r="K187" t="s">
        <v>49</v>
      </c>
      <c r="L187" t="s">
        <v>40</v>
      </c>
      <c r="M187">
        <v>1</v>
      </c>
    </row>
    <row r="188" spans="1:13" x14ac:dyDescent="0.25">
      <c r="A188" s="2">
        <v>46232</v>
      </c>
      <c r="B188" s="1" t="str">
        <f ca="1">IF(Información1[[#This Row],[Fecha]]='Ajuste de fechas'!$A$2,"Día actual","Día anterior")</f>
        <v>Día anterior</v>
      </c>
      <c r="C188" t="s">
        <v>89</v>
      </c>
      <c r="D188" t="s">
        <v>90</v>
      </c>
      <c r="E188" t="s">
        <v>332</v>
      </c>
      <c r="F188" t="s">
        <v>26</v>
      </c>
      <c r="G188" t="s">
        <v>170</v>
      </c>
      <c r="H188" t="s">
        <v>57</v>
      </c>
      <c r="I188" t="s">
        <v>7</v>
      </c>
      <c r="J188" t="s">
        <v>39</v>
      </c>
      <c r="K188" t="s">
        <v>49</v>
      </c>
      <c r="L188" t="s">
        <v>40</v>
      </c>
      <c r="M188">
        <v>1</v>
      </c>
    </row>
    <row r="189" spans="1:13" x14ac:dyDescent="0.25">
      <c r="A189" s="2">
        <v>46233</v>
      </c>
      <c r="B189" s="1" t="str">
        <f ca="1">IF(Información1[[#This Row],[Fecha]]='Ajuste de fechas'!$A$2,"Día actual","Día anterior")</f>
        <v>Día actual</v>
      </c>
      <c r="C189" t="s">
        <v>59</v>
      </c>
      <c r="D189" t="s">
        <v>60</v>
      </c>
      <c r="E189" t="s">
        <v>333</v>
      </c>
      <c r="F189" t="s">
        <v>23</v>
      </c>
      <c r="G189" t="s">
        <v>299</v>
      </c>
      <c r="H189" t="s">
        <v>11</v>
      </c>
      <c r="I189" t="s">
        <v>7</v>
      </c>
      <c r="J189" t="s">
        <v>39</v>
      </c>
      <c r="K189" t="s">
        <v>61</v>
      </c>
      <c r="L189" t="s">
        <v>42</v>
      </c>
      <c r="M189">
        <v>1</v>
      </c>
    </row>
    <row r="190" spans="1:13" x14ac:dyDescent="0.25">
      <c r="A190" s="2">
        <v>46233</v>
      </c>
      <c r="B190" s="1" t="str">
        <f ca="1">IF(Información1[[#This Row],[Fecha]]='Ajuste de fechas'!$A$2,"Día actual","Día anterior")</f>
        <v>Día actual</v>
      </c>
      <c r="C190" t="s">
        <v>59</v>
      </c>
      <c r="D190" t="s">
        <v>60</v>
      </c>
      <c r="E190" t="s">
        <v>334</v>
      </c>
      <c r="F190" t="s">
        <v>19</v>
      </c>
      <c r="G190" t="s">
        <v>320</v>
      </c>
      <c r="H190" t="s">
        <v>11</v>
      </c>
      <c r="I190" t="s">
        <v>7</v>
      </c>
      <c r="J190" t="s">
        <v>43</v>
      </c>
      <c r="K190" t="s">
        <v>61</v>
      </c>
      <c r="L190" t="s">
        <v>72</v>
      </c>
      <c r="M190">
        <v>1</v>
      </c>
    </row>
    <row r="191" spans="1:13" x14ac:dyDescent="0.25">
      <c r="A191" s="2">
        <v>46233</v>
      </c>
      <c r="B191" s="1" t="str">
        <f ca="1">IF(Información1[[#This Row],[Fecha]]='Ajuste de fechas'!$A$2,"Día actual","Día anterior")</f>
        <v>Día actual</v>
      </c>
      <c r="C191" t="s">
        <v>59</v>
      </c>
      <c r="D191" t="s">
        <v>60</v>
      </c>
      <c r="E191" t="s">
        <v>335</v>
      </c>
      <c r="F191" t="s">
        <v>26</v>
      </c>
      <c r="G191" t="s">
        <v>81</v>
      </c>
      <c r="H191" t="s">
        <v>11</v>
      </c>
      <c r="I191" t="s">
        <v>7</v>
      </c>
      <c r="J191" t="s">
        <v>39</v>
      </c>
      <c r="K191" t="s">
        <v>61</v>
      </c>
      <c r="L191" t="s">
        <v>42</v>
      </c>
      <c r="M191">
        <v>1</v>
      </c>
    </row>
    <row r="192" spans="1:13" x14ac:dyDescent="0.25">
      <c r="A192" s="2">
        <v>46233</v>
      </c>
      <c r="B192" s="1" t="str">
        <f ca="1">IF(Información1[[#This Row],[Fecha]]='Ajuste de fechas'!$A$2,"Día actual","Día anterior")</f>
        <v>Día actual</v>
      </c>
      <c r="C192" t="s">
        <v>59</v>
      </c>
      <c r="D192" t="s">
        <v>60</v>
      </c>
      <c r="E192" t="s">
        <v>336</v>
      </c>
      <c r="F192" t="s">
        <v>19</v>
      </c>
      <c r="G192" t="s">
        <v>102</v>
      </c>
      <c r="H192" t="s">
        <v>11</v>
      </c>
      <c r="I192" t="s">
        <v>7</v>
      </c>
      <c r="J192" t="s">
        <v>43</v>
      </c>
      <c r="K192" t="s">
        <v>61</v>
      </c>
      <c r="L192" t="s">
        <v>40</v>
      </c>
      <c r="M192">
        <v>1</v>
      </c>
    </row>
    <row r="193" spans="1:13" x14ac:dyDescent="0.25">
      <c r="A193" s="2">
        <v>46233</v>
      </c>
      <c r="B193" s="1" t="str">
        <f ca="1">IF(Información1[[#This Row],[Fecha]]='Ajuste de fechas'!$A$2,"Día actual","Día anterior")</f>
        <v>Día actual</v>
      </c>
      <c r="C193" t="s">
        <v>59</v>
      </c>
      <c r="D193" t="s">
        <v>60</v>
      </c>
      <c r="E193" t="s">
        <v>337</v>
      </c>
      <c r="F193" t="s">
        <v>19</v>
      </c>
      <c r="G193" t="s">
        <v>338</v>
      </c>
      <c r="H193" t="s">
        <v>11</v>
      </c>
      <c r="I193" t="s">
        <v>7</v>
      </c>
      <c r="J193" t="s">
        <v>43</v>
      </c>
      <c r="K193" t="s">
        <v>61</v>
      </c>
      <c r="L193" t="s">
        <v>40</v>
      </c>
      <c r="M193">
        <v>1</v>
      </c>
    </row>
    <row r="194" spans="1:13" x14ac:dyDescent="0.25">
      <c r="A194" s="2">
        <v>46233</v>
      </c>
      <c r="B194" s="1" t="str">
        <f ca="1">IF(Información1[[#This Row],[Fecha]]='Ajuste de fechas'!$A$2,"Día actual","Día anterior")</f>
        <v>Día actual</v>
      </c>
      <c r="C194" t="s">
        <v>59</v>
      </c>
      <c r="D194" t="s">
        <v>60</v>
      </c>
      <c r="E194" t="s">
        <v>339</v>
      </c>
      <c r="F194" t="s">
        <v>19</v>
      </c>
      <c r="G194" t="s">
        <v>84</v>
      </c>
      <c r="H194" t="s">
        <v>11</v>
      </c>
      <c r="I194" t="s">
        <v>7</v>
      </c>
      <c r="J194" t="s">
        <v>43</v>
      </c>
      <c r="K194" t="s">
        <v>61</v>
      </c>
      <c r="L194" t="s">
        <v>40</v>
      </c>
      <c r="M194">
        <v>1</v>
      </c>
    </row>
    <row r="195" spans="1:13" x14ac:dyDescent="0.25">
      <c r="A195" s="2">
        <v>46233</v>
      </c>
      <c r="B195" s="1" t="str">
        <f ca="1">IF(Información1[[#This Row],[Fecha]]='Ajuste de fechas'!$A$2,"Día actual","Día anterior")</f>
        <v>Día actual</v>
      </c>
      <c r="C195" t="s">
        <v>59</v>
      </c>
      <c r="D195" t="s">
        <v>60</v>
      </c>
      <c r="E195" t="s">
        <v>245</v>
      </c>
      <c r="F195" t="s">
        <v>21</v>
      </c>
      <c r="G195" t="s">
        <v>246</v>
      </c>
      <c r="H195" t="s">
        <v>11</v>
      </c>
      <c r="I195" t="s">
        <v>7</v>
      </c>
      <c r="J195" t="s">
        <v>39</v>
      </c>
      <c r="K195" t="s">
        <v>61</v>
      </c>
      <c r="L195" t="s">
        <v>42</v>
      </c>
      <c r="M195">
        <v>1</v>
      </c>
    </row>
    <row r="196" spans="1:13" x14ac:dyDescent="0.25">
      <c r="A196" s="2">
        <v>46233</v>
      </c>
      <c r="B196" s="1" t="str">
        <f ca="1">IF(Información1[[#This Row],[Fecha]]='Ajuste de fechas'!$A$2,"Día actual","Día anterior")</f>
        <v>Día actual</v>
      </c>
      <c r="C196" t="s">
        <v>59</v>
      </c>
      <c r="D196" t="s">
        <v>60</v>
      </c>
      <c r="E196" t="s">
        <v>340</v>
      </c>
      <c r="F196" t="s">
        <v>19</v>
      </c>
      <c r="G196" t="s">
        <v>341</v>
      </c>
      <c r="H196" t="s">
        <v>11</v>
      </c>
      <c r="I196" t="s">
        <v>7</v>
      </c>
      <c r="J196" t="s">
        <v>43</v>
      </c>
      <c r="K196" t="s">
        <v>61</v>
      </c>
      <c r="L196" t="s">
        <v>40</v>
      </c>
      <c r="M196">
        <v>1</v>
      </c>
    </row>
    <row r="197" spans="1:13" x14ac:dyDescent="0.25">
      <c r="A197" s="2">
        <v>46233</v>
      </c>
      <c r="B197" s="1" t="str">
        <f ca="1">IF(Información1[[#This Row],[Fecha]]='Ajuste de fechas'!$A$2,"Día actual","Día anterior")</f>
        <v>Día actual</v>
      </c>
      <c r="C197" t="s">
        <v>59</v>
      </c>
      <c r="D197" t="s">
        <v>60</v>
      </c>
      <c r="E197" t="s">
        <v>342</v>
      </c>
      <c r="F197" t="s">
        <v>48</v>
      </c>
      <c r="G197" t="s">
        <v>108</v>
      </c>
      <c r="H197" t="s">
        <v>11</v>
      </c>
      <c r="I197" t="s">
        <v>7</v>
      </c>
      <c r="J197" t="s">
        <v>39</v>
      </c>
      <c r="K197" t="s">
        <v>61</v>
      </c>
      <c r="L197" t="s">
        <v>40</v>
      </c>
      <c r="M197">
        <v>1</v>
      </c>
    </row>
    <row r="198" spans="1:13" x14ac:dyDescent="0.25">
      <c r="A198" s="2">
        <v>46233</v>
      </c>
      <c r="B198" s="1" t="str">
        <f ca="1">IF(Información1[[#This Row],[Fecha]]='Ajuste de fechas'!$A$2,"Día actual","Día anterior")</f>
        <v>Día actual</v>
      </c>
      <c r="C198" t="s">
        <v>29</v>
      </c>
      <c r="D198" t="s">
        <v>30</v>
      </c>
      <c r="E198" t="s">
        <v>343</v>
      </c>
      <c r="F198" t="s">
        <v>26</v>
      </c>
      <c r="G198" t="s">
        <v>81</v>
      </c>
      <c r="H198" t="s">
        <v>57</v>
      </c>
      <c r="I198" t="s">
        <v>7</v>
      </c>
      <c r="J198" t="s">
        <v>39</v>
      </c>
      <c r="K198" t="s">
        <v>27</v>
      </c>
      <c r="L198" t="s">
        <v>40</v>
      </c>
      <c r="M198">
        <v>1</v>
      </c>
    </row>
    <row r="199" spans="1:13" x14ac:dyDescent="0.25">
      <c r="A199" s="2">
        <v>46233</v>
      </c>
      <c r="B199" s="1" t="str">
        <f ca="1">IF(Información1[[#This Row],[Fecha]]='Ajuste de fechas'!$A$2,"Día actual","Día anterior")</f>
        <v>Día actual</v>
      </c>
      <c r="C199" t="s">
        <v>29</v>
      </c>
      <c r="D199" t="s">
        <v>30</v>
      </c>
      <c r="E199" t="s">
        <v>344</v>
      </c>
      <c r="F199" t="s">
        <v>19</v>
      </c>
      <c r="G199" t="s">
        <v>345</v>
      </c>
      <c r="H199" t="s">
        <v>57</v>
      </c>
      <c r="I199" t="s">
        <v>7</v>
      </c>
      <c r="J199" t="s">
        <v>43</v>
      </c>
      <c r="K199" t="s">
        <v>111</v>
      </c>
      <c r="L199" t="s">
        <v>77</v>
      </c>
      <c r="M199">
        <v>1</v>
      </c>
    </row>
    <row r="200" spans="1:13" x14ac:dyDescent="0.25">
      <c r="A200" s="2">
        <v>46233</v>
      </c>
      <c r="B200" s="1" t="str">
        <f ca="1">IF(Información1[[#This Row],[Fecha]]='Ajuste de fechas'!$A$2,"Día actual","Día anterior")</f>
        <v>Día actual</v>
      </c>
      <c r="C200" t="s">
        <v>29</v>
      </c>
      <c r="D200" t="s">
        <v>30</v>
      </c>
      <c r="E200" t="s">
        <v>335</v>
      </c>
      <c r="F200" t="s">
        <v>26</v>
      </c>
      <c r="G200" t="s">
        <v>81</v>
      </c>
      <c r="H200" t="s">
        <v>57</v>
      </c>
      <c r="I200" t="s">
        <v>7</v>
      </c>
      <c r="J200" t="s">
        <v>39</v>
      </c>
      <c r="K200" t="s">
        <v>27</v>
      </c>
      <c r="L200" t="s">
        <v>42</v>
      </c>
      <c r="M200">
        <v>1</v>
      </c>
    </row>
    <row r="201" spans="1:13" x14ac:dyDescent="0.25">
      <c r="A201" s="2">
        <v>46233</v>
      </c>
      <c r="B201" s="1" t="str">
        <f ca="1">IF(Información1[[#This Row],[Fecha]]='Ajuste de fechas'!$A$2,"Día actual","Día anterior")</f>
        <v>Día actual</v>
      </c>
      <c r="C201" t="s">
        <v>29</v>
      </c>
      <c r="D201" t="s">
        <v>30</v>
      </c>
      <c r="E201" t="s">
        <v>346</v>
      </c>
      <c r="F201" t="s">
        <v>242</v>
      </c>
      <c r="G201" t="s">
        <v>243</v>
      </c>
      <c r="H201" t="s">
        <v>57</v>
      </c>
      <c r="I201" t="s">
        <v>7</v>
      </c>
      <c r="J201" t="s">
        <v>39</v>
      </c>
      <c r="K201" t="s">
        <v>27</v>
      </c>
      <c r="L201" t="s">
        <v>42</v>
      </c>
      <c r="M201">
        <v>1</v>
      </c>
    </row>
    <row r="202" spans="1:13" x14ac:dyDescent="0.25">
      <c r="A202" s="2">
        <v>46233</v>
      </c>
      <c r="B202" s="1" t="str">
        <f ca="1">IF(Información1[[#This Row],[Fecha]]='Ajuste de fechas'!$A$2,"Día actual","Día anterior")</f>
        <v>Día actual</v>
      </c>
      <c r="C202" t="s">
        <v>29</v>
      </c>
      <c r="D202" t="s">
        <v>30</v>
      </c>
      <c r="E202" t="s">
        <v>347</v>
      </c>
      <c r="F202" t="s">
        <v>15</v>
      </c>
      <c r="G202" t="s">
        <v>58</v>
      </c>
      <c r="H202" t="s">
        <v>57</v>
      </c>
      <c r="I202" t="s">
        <v>7</v>
      </c>
      <c r="J202" t="s">
        <v>39</v>
      </c>
      <c r="K202" t="s">
        <v>27</v>
      </c>
      <c r="L202" t="s">
        <v>41</v>
      </c>
      <c r="M202">
        <v>1</v>
      </c>
    </row>
    <row r="203" spans="1:13" x14ac:dyDescent="0.25">
      <c r="A203" s="2">
        <v>46233</v>
      </c>
      <c r="B203" s="1" t="str">
        <f ca="1">IF(Información1[[#This Row],[Fecha]]='Ajuste de fechas'!$A$2,"Día actual","Día anterior")</f>
        <v>Día actual</v>
      </c>
      <c r="C203" t="s">
        <v>29</v>
      </c>
      <c r="D203" t="s">
        <v>30</v>
      </c>
      <c r="E203" t="s">
        <v>348</v>
      </c>
      <c r="F203" t="s">
        <v>26</v>
      </c>
      <c r="G203" t="s">
        <v>349</v>
      </c>
      <c r="H203" t="s">
        <v>57</v>
      </c>
      <c r="I203" t="s">
        <v>12</v>
      </c>
      <c r="J203" t="s">
        <v>39</v>
      </c>
      <c r="K203" t="s">
        <v>27</v>
      </c>
      <c r="L203" t="s">
        <v>41</v>
      </c>
      <c r="M203">
        <v>1</v>
      </c>
    </row>
    <row r="204" spans="1:13" x14ac:dyDescent="0.25">
      <c r="A204" s="2">
        <v>46233</v>
      </c>
      <c r="B204" s="1" t="str">
        <f ca="1">IF(Información1[[#This Row],[Fecha]]='Ajuste de fechas'!$A$2,"Día actual","Día anterior")</f>
        <v>Día actual</v>
      </c>
      <c r="C204" t="s">
        <v>29</v>
      </c>
      <c r="D204" t="s">
        <v>30</v>
      </c>
      <c r="E204" t="s">
        <v>350</v>
      </c>
      <c r="F204" t="s">
        <v>26</v>
      </c>
      <c r="G204" t="s">
        <v>349</v>
      </c>
      <c r="H204" t="s">
        <v>57</v>
      </c>
      <c r="I204" t="s">
        <v>25</v>
      </c>
      <c r="J204" t="s">
        <v>39</v>
      </c>
      <c r="K204" t="s">
        <v>9</v>
      </c>
      <c r="L204" t="s">
        <v>41</v>
      </c>
      <c r="M204">
        <v>1</v>
      </c>
    </row>
    <row r="205" spans="1:13" x14ac:dyDescent="0.25">
      <c r="A205" s="2">
        <v>46233</v>
      </c>
      <c r="B205" s="1" t="str">
        <f ca="1">IF(Información1[[#This Row],[Fecha]]='Ajuste de fechas'!$A$2,"Día actual","Día anterior")</f>
        <v>Día actual</v>
      </c>
      <c r="C205" t="s">
        <v>29</v>
      </c>
      <c r="D205" t="s">
        <v>30</v>
      </c>
      <c r="E205" t="s">
        <v>351</v>
      </c>
      <c r="F205" t="s">
        <v>17</v>
      </c>
      <c r="G205" t="s">
        <v>210</v>
      </c>
      <c r="H205" t="s">
        <v>57</v>
      </c>
      <c r="I205" t="s">
        <v>7</v>
      </c>
      <c r="J205" t="s">
        <v>39</v>
      </c>
      <c r="K205" t="s">
        <v>27</v>
      </c>
      <c r="L205" t="s">
        <v>40</v>
      </c>
      <c r="M205">
        <v>1</v>
      </c>
    </row>
    <row r="206" spans="1:13" x14ac:dyDescent="0.25">
      <c r="A206" s="2">
        <v>46233</v>
      </c>
      <c r="B206" s="1" t="str">
        <f ca="1">IF(Información1[[#This Row],[Fecha]]='Ajuste de fechas'!$A$2,"Día actual","Día anterior")</f>
        <v>Día actual</v>
      </c>
      <c r="C206" t="s">
        <v>29</v>
      </c>
      <c r="D206" t="s">
        <v>30</v>
      </c>
      <c r="E206" t="s">
        <v>352</v>
      </c>
      <c r="F206" t="s">
        <v>15</v>
      </c>
      <c r="G206" t="s">
        <v>58</v>
      </c>
      <c r="H206" t="s">
        <v>57</v>
      </c>
      <c r="I206" t="s">
        <v>7</v>
      </c>
      <c r="J206" t="s">
        <v>39</v>
      </c>
      <c r="K206" t="s">
        <v>27</v>
      </c>
      <c r="L206" t="s">
        <v>40</v>
      </c>
      <c r="M206">
        <v>1</v>
      </c>
    </row>
    <row r="207" spans="1:13" x14ac:dyDescent="0.25">
      <c r="A207" s="2">
        <v>46233</v>
      </c>
      <c r="B207" s="1" t="str">
        <f ca="1">IF(Información1[[#This Row],[Fecha]]='Ajuste de fechas'!$A$2,"Día actual","Día anterior")</f>
        <v>Día actual</v>
      </c>
      <c r="C207" t="s">
        <v>29</v>
      </c>
      <c r="D207" t="s">
        <v>30</v>
      </c>
      <c r="E207" t="s">
        <v>353</v>
      </c>
      <c r="F207" t="s">
        <v>17</v>
      </c>
      <c r="G207" t="s">
        <v>210</v>
      </c>
      <c r="H207" t="s">
        <v>57</v>
      </c>
      <c r="I207" t="s">
        <v>7</v>
      </c>
      <c r="J207" t="s">
        <v>39</v>
      </c>
      <c r="K207" t="s">
        <v>27</v>
      </c>
      <c r="L207" t="s">
        <v>40</v>
      </c>
      <c r="M207">
        <v>1</v>
      </c>
    </row>
    <row r="208" spans="1:13" x14ac:dyDescent="0.25">
      <c r="A208" s="2">
        <v>46233</v>
      </c>
      <c r="B208" s="1" t="str">
        <f ca="1">IF(Información1[[#This Row],[Fecha]]='Ajuste de fechas'!$A$2,"Día actual","Día anterior")</f>
        <v>Día actual</v>
      </c>
      <c r="C208" t="s">
        <v>29</v>
      </c>
      <c r="D208" t="s">
        <v>30</v>
      </c>
      <c r="E208" t="s">
        <v>354</v>
      </c>
      <c r="F208" t="s">
        <v>15</v>
      </c>
      <c r="G208" t="s">
        <v>92</v>
      </c>
      <c r="H208" t="s">
        <v>57</v>
      </c>
      <c r="I208" t="s">
        <v>7</v>
      </c>
      <c r="J208" t="s">
        <v>39</v>
      </c>
      <c r="K208" t="s">
        <v>27</v>
      </c>
      <c r="L208" t="s">
        <v>40</v>
      </c>
      <c r="M208">
        <v>1</v>
      </c>
    </row>
    <row r="209" spans="1:13" x14ac:dyDescent="0.25">
      <c r="A209" s="2">
        <v>46233</v>
      </c>
      <c r="B209" s="1" t="str">
        <f ca="1">IF(Información1[[#This Row],[Fecha]]='Ajuste de fechas'!$A$2,"Día actual","Día anterior")</f>
        <v>Día actual</v>
      </c>
      <c r="C209" t="s">
        <v>29</v>
      </c>
      <c r="D209" t="s">
        <v>30</v>
      </c>
      <c r="E209" t="s">
        <v>355</v>
      </c>
      <c r="F209" t="s">
        <v>54</v>
      </c>
      <c r="G209" t="s">
        <v>356</v>
      </c>
      <c r="H209" t="s">
        <v>57</v>
      </c>
      <c r="I209" t="s">
        <v>7</v>
      </c>
      <c r="J209" t="s">
        <v>24</v>
      </c>
      <c r="K209" t="s">
        <v>27</v>
      </c>
      <c r="L209" t="s">
        <v>40</v>
      </c>
      <c r="M209">
        <v>1</v>
      </c>
    </row>
    <row r="210" spans="1:13" x14ac:dyDescent="0.25">
      <c r="A210" s="2">
        <v>46233</v>
      </c>
      <c r="B210" s="1" t="str">
        <f ca="1">IF(Información1[[#This Row],[Fecha]]='Ajuste de fechas'!$A$2,"Día actual","Día anterior")</f>
        <v>Día actual</v>
      </c>
      <c r="C210" t="s">
        <v>29</v>
      </c>
      <c r="D210" t="s">
        <v>30</v>
      </c>
      <c r="E210" t="s">
        <v>325</v>
      </c>
      <c r="F210" t="s">
        <v>26</v>
      </c>
      <c r="G210" t="s">
        <v>81</v>
      </c>
      <c r="H210" t="s">
        <v>57</v>
      </c>
      <c r="I210" t="s">
        <v>7</v>
      </c>
      <c r="J210" t="s">
        <v>39</v>
      </c>
      <c r="K210" t="s">
        <v>27</v>
      </c>
      <c r="L210" t="s">
        <v>42</v>
      </c>
      <c r="M21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46233</v>
      </c>
      <c r="B2" s="2">
        <f ca="1">A2-1</f>
        <v>46232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2026-07-30T22:20:13Z</dcterms:modified>
</cp:coreProperties>
</file>