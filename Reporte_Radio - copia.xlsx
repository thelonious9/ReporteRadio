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3E518395-B005-4735-A9EF-5F71D9D72E91}"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92" i="2"/>
  <c r="B94" i="2"/>
  <c r="B97" i="2"/>
  <c r="B99" i="2"/>
  <c r="B101" i="2"/>
  <c r="B103" i="2"/>
  <c r="B104" i="2"/>
  <c r="B106" i="2"/>
  <c r="B108" i="2"/>
  <c r="B111" i="2"/>
  <c r="B113" i="2"/>
  <c r="B115" i="2"/>
  <c r="B117" i="2"/>
  <c r="B119" i="2"/>
  <c r="B121" i="2"/>
  <c r="B123" i="2"/>
  <c r="B125" i="2"/>
  <c r="B127" i="2"/>
  <c r="B129" i="2"/>
  <c r="B131" i="2"/>
  <c r="B134" i="2"/>
  <c r="B136" i="2"/>
  <c r="B138" i="2"/>
  <c r="B141" i="2"/>
  <c r="B142" i="2"/>
  <c r="B145" i="2"/>
  <c r="B147" i="2"/>
  <c r="B149" i="2"/>
  <c r="B151" i="2"/>
  <c r="B153" i="2"/>
  <c r="B155" i="2"/>
  <c r="B158" i="2"/>
  <c r="B160" i="2"/>
  <c r="B162" i="2"/>
  <c r="B164" i="2"/>
  <c r="B165" i="2"/>
  <c r="B167" i="2"/>
  <c r="B168" i="2"/>
  <c r="B169" i="2"/>
  <c r="B170" i="2"/>
  <c r="B171" i="2"/>
  <c r="B172"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3" i="2"/>
  <c r="B95" i="2"/>
  <c r="B96" i="2"/>
  <c r="B98" i="2"/>
  <c r="B100" i="2"/>
  <c r="B102" i="2"/>
  <c r="B105" i="2"/>
  <c r="B107" i="2"/>
  <c r="B109" i="2"/>
  <c r="B110" i="2"/>
  <c r="B112" i="2"/>
  <c r="B114" i="2"/>
  <c r="B116" i="2"/>
  <c r="B118" i="2"/>
  <c r="B120" i="2"/>
  <c r="B122" i="2"/>
  <c r="B124" i="2"/>
  <c r="B126" i="2"/>
  <c r="B128" i="2"/>
  <c r="B130" i="2"/>
  <c r="B132" i="2"/>
  <c r="B133" i="2"/>
  <c r="B135" i="2"/>
  <c r="B137" i="2"/>
  <c r="B139" i="2"/>
  <c r="B140" i="2"/>
  <c r="B143" i="2"/>
  <c r="B144" i="2"/>
  <c r="B146" i="2"/>
  <c r="B148" i="2"/>
  <c r="B150" i="2"/>
  <c r="B152" i="2"/>
  <c r="B154" i="2"/>
  <c r="B156" i="2"/>
  <c r="B157" i="2"/>
  <c r="B159" i="2"/>
  <c r="B161" i="2"/>
  <c r="B163" i="2"/>
  <c r="B166"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<sst xmlns="http://schemas.openxmlformats.org/spreadsheetml/2006/main" count="1725" uniqueCount="336">
  <si>
    <t>Fecha</t>
  </si>
  <si>
    <t>Titular</t>
  </si>
  <si>
    <t>Dependencia</t>
  </si>
  <si>
    <t>Canal</t>
  </si>
  <si>
    <t>Tema</t>
  </si>
  <si>
    <t>Estatus</t>
  </si>
  <si>
    <t>Sipdus</t>
  </si>
  <si>
    <t>Informativa</t>
  </si>
  <si>
    <t>Acir 92.5 FM</t>
  </si>
  <si>
    <t>Panorama Informativo Pachuca</t>
  </si>
  <si>
    <t>Positiva</t>
  </si>
  <si>
    <t>Eulalio Larrieta</t>
  </si>
  <si>
    <t>Semot</t>
  </si>
  <si>
    <t>Ayuntamiento</t>
  </si>
  <si>
    <t>SEPH</t>
  </si>
  <si>
    <t>Presidencia</t>
  </si>
  <si>
    <t>Otros</t>
  </si>
  <si>
    <t>Negativa</t>
  </si>
  <si>
    <t>Gobernador</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</si>
  <si>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</si>
  <si>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</si>
  <si>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</si>
  <si>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</si>
  <si>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</si>
  <si>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</si>
  <si>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</si>
  <si>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</si>
  <si>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</si>
  <si>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</si>
  <si>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</si>
  <si>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</si>
  <si>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</si>
  <si>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</si>
  <si>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</si>
  <si>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</si>
  <si>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</si>
  <si>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Segobh</t>
  </si>
  <si>
    <t>SSH</t>
  </si>
  <si>
    <t>RADIO LOCAL</t>
  </si>
  <si>
    <t>NQ 90.1 FM</t>
  </si>
  <si>
    <t>Enlace Hidalgo1</t>
  </si>
  <si>
    <t>Jesús Riveros</t>
  </si>
  <si>
    <t>Juan Carlos Santamaría</t>
  </si>
  <si>
    <t>Súper Stéreo 100.5 FM</t>
  </si>
  <si>
    <t>Enfoque Regional Matutino</t>
  </si>
  <si>
    <t>Rodolfo López</t>
  </si>
  <si>
    <t>PGJEH</t>
  </si>
  <si>
    <t>Enlace Hidalgo2</t>
  </si>
  <si>
    <t>Turismo</t>
  </si>
  <si>
    <t>Radioescucha</t>
  </si>
  <si>
    <t>Bienestar</t>
  </si>
  <si>
    <t>Planeación</t>
  </si>
  <si>
    <t>Tarifario de taxis</t>
  </si>
  <si>
    <t>Feria Pachuca</t>
  </si>
  <si>
    <t>Comparecencias</t>
  </si>
  <si>
    <t>Ke Buena 106.7 FM</t>
  </si>
  <si>
    <t>Noticias 106.7</t>
  </si>
  <si>
    <t>Cultura</t>
  </si>
  <si>
    <t>David Cárdenas</t>
  </si>
  <si>
    <t>Detención</t>
  </si>
  <si>
    <t>Dinámica demográfica</t>
  </si>
  <si>
    <t>Ley De Ingresos</t>
  </si>
  <si>
    <t>Canal del Pueblo</t>
  </si>
  <si>
    <t>Vocales Radio</t>
  </si>
  <si>
    <t>Morena</t>
  </si>
  <si>
    <t>TV LOCAL</t>
  </si>
  <si>
    <t>Partidos</t>
  </si>
  <si>
    <t>Aldo Falcón</t>
  </si>
  <si>
    <t>Andrés Torres</t>
  </si>
  <si>
    <t>Candidaturas</t>
  </si>
  <si>
    <t>Ultra 102.9 FM</t>
  </si>
  <si>
    <t>Ultra Noticias1</t>
  </si>
  <si>
    <t>Daniel Martínez</t>
  </si>
  <si>
    <t>Auxilio a la ciudadanía</t>
  </si>
  <si>
    <t>Izza Hernández</t>
  </si>
  <si>
    <t>Radio Lobo 96.7 FM</t>
  </si>
  <si>
    <t>Enlace Noticias</t>
  </si>
  <si>
    <t>Gina Lorenzo</t>
  </si>
  <si>
    <t>Abner Yáñez</t>
  </si>
  <si>
    <t>Participación</t>
  </si>
  <si>
    <t>Alumno Armado</t>
  </si>
  <si>
    <t>Agenda gobernador</t>
  </si>
  <si>
    <t>Policía Metropolitana</t>
  </si>
  <si>
    <t>Recuperación De Vehículos Robados</t>
  </si>
  <si>
    <t>Cuautepec de Hinojosa realizará este domingo 4 de octubre una jornada de senderismo hacia Los Ermitaños, con un recorrido de cinco kilómetros que partirá a las 8:00 de la mañana desde las letras de Cuautepec, ubicadas en el jardín Felipe Ángeles. La actividad es organizada por la Dirección General de Desarrollo Social y Humano y el Consejo Municipal del Deporte con el objetivo de fomentar la activación física y la convivencia, además de acercar a la población a los espacios naturales del municipio. Para participar se recomienda llevar ropa y calzado adecuados para la caminata, así como dos litros de agua, mochila, bastón de senderismo y snacks. Los organizadores también dispondrán de transporte gratuito para facilitar la participación de las familias. El recorrido contará con el acompañamiento de Protección Civil para brindar apoyo durante la jornada. El presidente municipal, Jorge Hernández Araus, señaló que este tipo de actividades buscan generar espacios para la convivencia y el bienestar de las familias, además de promover el conocimiento y disfrute de los paisajes naturales que forman parte de Cuautepec.</t>
  </si>
  <si>
    <t>Combate Al Narcomenudeo</t>
  </si>
  <si>
    <t>Afectaciones Por Lluvias</t>
  </si>
  <si>
    <t>Apoyo A Migrantes</t>
  </si>
  <si>
    <t>Xantolo</t>
  </si>
  <si>
    <t>Trasplante de órganos</t>
  </si>
  <si>
    <t>Enfoque Regional Meridiano</t>
  </si>
  <si>
    <t>Jesús González</t>
  </si>
  <si>
    <t>Informe Legislativo</t>
  </si>
  <si>
    <t>DIFH</t>
  </si>
  <si>
    <t>Procuraduría municipal del menor</t>
  </si>
  <si>
    <t>Proyectos Federales</t>
  </si>
  <si>
    <t>Queja transporte público</t>
  </si>
  <si>
    <t>Milton Cortés</t>
  </si>
  <si>
    <t>Vialidad En Mal Estado</t>
  </si>
  <si>
    <t>Está fuera del a re la estación de Jacala, debido a problemas técnicos, en los que se trabaja ya.</t>
  </si>
  <si>
    <t>Radiodifusoras</t>
  </si>
  <si>
    <t>Conductor Jesús Gonzalez realiza opinión sobre el tema de medio ambiente federal y los trabajos de saneamiento de la Presa Endho. Y hace unos minutos yo le decía que la secretaria del Medio Ambiente, Alicia Bárcena, habló de los trabajos de la Presa Endhó. Escuche usted y haga usted su mejor juicio.ha dotado a los mexicanos y a las mexicanas del derecho humano al agua. Esa es la base de la política y se están haciendo estas acciones. Simply el saneamiento de los tres grandes ríos: el Lerma, el Atoyac y el Tula —ya y que que contiene a la Presa Endhó, por cierto, que tenemos que restaurarla—, estamos hablando de 20,000 millones de pesos que se están invirtiendo ahora y que está beneficiando a 25 millones de personas. Es un gran trabajo que hemos hecho todo el sector junto. Y la Presa Endhó, que es otro gran tema de justicia ambiental, ahí eh la inversión es de 75 millones de pesos. Se han retirado 140,000 metros cúbicos de lirio acuático, que era un tema, y se ha reducido al 47% el mosquito Culex, que era una molestia enorme para más de 27,000 personas que rodean la Presa Endhó.Alguien le está diciendo mentiras...</t>
  </si>
  <si>
    <t>Restauración Ecológica</t>
  </si>
  <si>
    <t>Y otra información que ha llamado mucho la atención y que ha sido agenda durante mucho tiempo es la Presa Endhó. Ayer, durante la conferencia matutina de la presidenta Claudia Sheinbaum, autoridades federales informaron avances del programa de restauración ambiental del río Tula, considerado uno de los tres cuerpos de agua más contaminados del país, con acciones que incluyen saneamiento, retiro de lirio acuático, construcción de infraestructura hidráulica y monitoreo permanente de la calidad del agua. La secretaria del Medio Ambiente y Recursos Naturales, Alicia Bárcena, destacó que en la Presa Endhó se realiza una intervención como parte de las acciones de justicia ambiental con una inversión de 75 millones de pesos. Vamos a retomar el audio de la secretaria del medio ambiente, vamos a checar el audio. Lo que sí tenemos es lo que dice la ciudadanía, lo que dice la población sobre este tema, que es importante que usted conozca, que vale la pena que usted escuche. Vamos a escuchar si podemos el audio 12, por favor, para que usted tome en cuenta lo que está diciendo la población sobre el tema de la Presa Endhó, para que escuche a la ciudadanía, por favor. Muy lamentable, la verdad ayer cuando las escuchábamos, la verdad hasta el estómago se revuelve, porque pues aquí justamente lo que está sucediendo es que hay una desatención a estos problemas. Quiero poner en antecedente algo: el decreto de zona de restauración que sacó el presidente López Obrador, justamente lo que hace previo a su emisión es un estudio técnico justificativo que reconoce los problemas de aquí. Entonces, justo cuando sale el decreto, lo que se reconoce es que hay una devastación ambiental, porque hay una batalla permanente siempre por la verdad. Por eso es trascendental el que se reconozca que hay una zona devastada ecológicamente, que es una zona de sacrificio. Y pues bueno, ¿qué ha pasado a partir de la emisión? Pues primera, que las personas que han estado a cargo, tanto que incluso nosotros para que este decreto saliera platicamos con el presidente López Obrador y lo que López Obrador nos dijo: «va a haber justicia». A partir de ahí es que se han estado dando la lucha de que nosotros lo que pedimos es que haya justicia. ¿Qué es lo que ha pasado desde aquel momento, desde que ya no está López Obrador y qué es lo que tendría que estar haciéndose? Pues el acto de justicia, eso implica un programa de restauración, una atención integral de los problemas con un enfoque de salud ambiental, un enfoque de justicia. ¿Y qué es lo que pasa ahorita en este momento justamente con las cifras que veíamos ayer? Pues que son falsas y es entonces pues está mal informada la presidenta.</t>
  </si>
  <si>
    <t>Hay buenas noticias para la cooperativa La Cruz Azul, ya que tras años de litigio y defensa jurídica, la cooperativa La Cruz Azul S.C.L. cerró definitivamente el proceso legal que amenazaba una parte substancial de su patrimonio, luego de que la Suprema Corte de Justicia de la Nación fallara de manera inapelable a su favor. La disputa legal surgió a raíz de un reclamo millonario derivado de una antigua relación contractual para la prestación de servicios jurídicos. La contraparte llevó el asunto hasta la última instancia procesal con la pretensión de obtener beneficios económicos a costa de la organización de la cooperativa. Sin embargo, en el desahogo del amparo directo, la Suprema Corte de Justicia de la Nación resolvió negar el amparo solicitado por la contraparte.</t>
  </si>
  <si>
    <t>Cruz Azul</t>
  </si>
  <si>
    <t>Y otra información que ha llamado mucho la atención y que ha sido agenda durante mucho tiempo es la Presa Endhó. Ayer, durante la conferencia matutina de la presidenta Claudia Sheinbaum, autoridades federales informaron avances del programa de restauración ambiental del río Tula, considerado uno de los tres cuerpos de agua más contaminados del país, con acciones que incluyen saneamiento, retiro de lirio acuático, construcción de infraestructura hidráulica y monitoreo permanente de la calidad del agua. La secretaria del Medio Ambiente y Recursos Naturales, Alicia Bárcena, destacó que en la Presa Endhó se realiza una intervención como parte de las acciones de justicia ambiental con una inversión de 75 millones de pesos. Vamos a retomar el audio de la secretaria del medio ambiente, vamos a checar el audio. Lo que sí tenemos es lo que dice la ciudadanía, lo que dice la población sobre este tema, que es importante que usted conozca, que vale la pena que usted escuche. Vamos a escuchar si podemos el audio 12, por favor, para que usted tome en cuenta lo que está diciendo la población sobre el tema de la Presa Endhó, para que escuche a la ciudadanía, por favor. Muy lamentable, la verdad ayer cuando las escuchábamos, la verdad hasta el estómago se revuelve, porque pues aquí justamente lo que está sucediendo es que hay una desatención a estos problemas. Quiero poner en antecedente algo: el decreto de zona de restauración que sacó el presidente López Obrador, justamente lo que hace previo a su emisión es un estudio técnico justificativo que reconoce los problemas de aquí. Entonces, justo cuando sale el decreto, lo que se reconoce es que hay una devastación ambiental, porque hay una batalla permanente siempre por la verdad.</t>
  </si>
  <si>
    <t>Huejutla prepara cuatro días de fiesta para Xantolo 2026</t>
  </si>
  <si>
    <t>El Instituto para la Atención de las y los Adultos Mayores del Estado de Hidalgo (IAAMEH) mantiene abiertas las inscripciones para el curso gratuito «Formación integral para las personas cuidadoras», dirigido a quienes atienden a personas mayores.</t>
  </si>
  <si>
    <t>Cuidadores De Adultos Mayores</t>
  </si>
  <si>
    <t>Y en el Centro Libre de Mineral de la Reforma, vecinas participaron en una clase de dulces mexicanos como parte de las actividades para promover la convivencia y el desarrollo de las mujeres. La directora del Instituto Hidalguense de las Mujeres, Katia Hernández Pérez, explicó que los 41 Centros Libres de Hidalgo ofrecen, además de atención a mujeres víctimas de violencia, talleres, orientación sobre derechos y herramientas para fortalecer habilidades productivas y de emprendimiento.</t>
  </si>
  <si>
    <t>Centros LIBRE</t>
  </si>
  <si>
    <t>La Secretaría de Cultura de Hidalgo anunció a las 22 obras ganadoras del programa «Capturando Hidalgo 2026», que distribuirá 132 mil pesos en incentivos. El primer lugar, con 30 mil pesos, fue para La danza del espíritu y la resistencia de Tlanalapa. El segundo, que se lleva 25 mil pesos, fue para El viejo del golpe en Pie del Cerro en Tenango de Doria. Y el tercero, con 20 mil, para Entre hilos y milpa de Tulancingo. También se otorgaron 19 menciones honoríficas. Las imágenes retratan tradiciones y culturas vivas de Hidalgo, principalmente carnavales, danzas, oficios y labores agrícolas. La convocatoria recibió 153 fotografías de participantes de 25 municipios.</t>
  </si>
  <si>
    <t>Concurso de fotografía</t>
  </si>
  <si>
    <t>El DIF Hidalgo entregó equipamiento a comedores escolares y comunitarios de 26 municipios con una inversión de más de 2 millones 293 mil pesos. La acción beneficiará a 28 mil 90 personas en situación de vulnerabilidad. Cada kit incluye refrigerador, ollas, licuadora, tanque estacionario y una despensa para fortalecer la preparación de raciones calientes y nutritivas a bajo costo. El estado cuenta con 492 Espacios de Alimentación, Encuentro y Desarrollo (EAED) activo en 77 municipios.</t>
  </si>
  <si>
    <t>Comedores escolares</t>
  </si>
  <si>
    <t>Dos hombres fueron detenidos en el fraccionamiento Los Atlantes, en Atitalaquia, por agentes de la Procuraduría de Justicia de Hidalgo. Según la dependencia, estaban en posesión de hierba verde y una sustancia cristalina con características de droga.</t>
  </si>
  <si>
    <t>El secretario de Educación Pública de Hidalgo, Natividad Castrejón, entregó apoyos escolares para más de 25 mil estudiantes de educación básica durante una gira por San Felipe Orizatlán. Además, puso en marcha obras en planteles del municipio, entre ellas techados para canchas de usos múltiples, un andador y un muro de contención en el COBAEH de Aguatitla.</t>
  </si>
  <si>
    <t>Entrega de infraestructura escolar</t>
  </si>
  <si>
    <t>Vámonos a la región del Valle de Tulancingo, y es que la falta de lluvias suficientes afectó los cultivos de temporal en Tulancingo, principalmente el maíz, informó la Secretaría del Campo Municipal tras recorrer varios núcleos agrarios en zonas como La Lagunilla, Huapalcalco, Santa María Asunción y Ojo de Agua. La humedad no alcanzó para lograr los rendimientos esperados; aunque se estimaba éxito en el 80 por ciento de las más de 7 mil hectáreas sembradas, las condiciones redujeron las expectativas de cosecha. Parte del maíz se aprovechará como forraje para el ganado; sin embargo, no son muy buenas noticias para esta región. En cambio, reportaron mejores resultados en maíz híbrido de doble propósito, alfalfa y pradera mixta. Los productores comenzarán a retirar el forraje y esperan más lluvias para el próximo ciclo agrícola.</t>
  </si>
  <si>
    <t>En otros temas, el Senado aprobó casi por unanimidad la nueva Ley General de Bienestar, Cuidado y Protección de los Animales que prohíbe el maltrato y abandono, y establece obligaciones para garantizar condiciones adecuadas de vida. La norma contempla crear un registro nacional de animales de compañía y un padrón de personas infractoras; también regula su trato en espectáculos, zoológicos, actividades deportivas, comercio e investigación. Durante la discusión se incorporaron las cabalgatas entre las actividades que deberán regular las entidades. La senadora priista Carolina Viggiano advirtió que la aplicación podría enfrentar falta de recursos, incluida la esterilización gratuita. La minuta fue turnada a la Cámara de Diputados para su análisis.</t>
  </si>
  <si>
    <t>Protección Animal</t>
  </si>
  <si>
    <t>Nosotros... el sabor de Hidalgo llegará a California este 11 de octubre: se va a realizar en Santa Rosa la quinta edición del Festival Internacional de la Barbacoa y el Chimbó con concurso gastronómico, artesanías, danza y música tradicional. La Secretaría de Bienestar e Inclusión Social aportó 100 mil pesos para el encuentro que espera reunir a unas 11 mil personas y contará con nueve expositores de barbacoa. Organiza a través de esta organización que encabeza Nelly Damián, y es importante la participación porque parte de los datos que me da la misma dirección es que California es uno de los estados donde más hidalguenses radican al nivel exterior. «</t>
  </si>
  <si>
    <t>Y hablando de otra fiesta muy importante, o al menos en otra región del estado donde pues hay una expresión cultural de tradiciones, de costumbres en torno al Día de Muertos, pues es en la Huasteca. El Xantolo es una manifestación sin duda viva de nuestras raíces en los colores, en la música, en los sabores, en olores que se expresa una herencia cultural que sigue fortaleciéndose gracias al compromiso de cada una de las comunidades que la preservan, pero sobre todo que la transmiten de generación en generación. El Xantolo en la Huasteca hidalguense se llevará a cabo del 30 de octubre al 2 de noviembre.</t>
  </si>
  <si>
    <t>El Congreso del Estado de Hidalgo fijó del 12 al 22 de octubre las comparecencias del gabinete estatal, pero Orlando Ángeles Pérez, oficial mayor, no asistirá pese a que se había planteado que acudiera a explicar compras y licitaciones.</t>
  </si>
  <si>
    <t>En otra información, trabajadores del IMSS se manifestaron afuera de la Clínica 1 en Pachuca para denunciar presuntas violaciones a sus derechos laborales y falta de insumos. Personal médico, de enfermería, administrativo, jubilados y pensionados exigieron respeto al contrato colectivo y atención a sus demandas. «Como es bien sabido, desde la pandemia pues fuimos héroes, ¿no?, y ahorita ya nos hemos convertido... o sea, se ha normalizado el trabajo dentro de la precariedad que estamos viviendo en el sistema del Seguro Social. Nosotros lo que exigimos es un aumento salarial real y acorde a nuestras necesidades como trabajadores. Nuestro secretario... el aumento ponderado nos deja por debajo de la inflación, nuestro poder adquisitivo está perdiendo aproximadamente, o en mi categoría está perdiendo un punto porcentual aproximadamente de poder adquisitivo, y pues para nosotros es importante que tengamos esos aumentos reales porque muchas veces de nuestra bolsa sale algo de material, no siempre hay los materiales suficientes. Entonces sí es real que lo hemos llegado a solventar.»</t>
  </si>
  <si>
    <t>Protesta sindical</t>
  </si>
  <si>
    <t>Oiga usted, ¿ya se dio una vuelta por la comunidad de Doxey en estos días? Es hermoso cómo a la entrada de esta comunidad pues se ven los terrenos de cultivo con las flores tradicionales de Día de Muertos y que sin duda pues es un deleite, sobre todo también si usted quiere sacar una fotografía, no sé, conocer a los productores, a los campesinos que se dedican en esta temporada a la venta de flores, conocer sus historias y pues ya empaparse de toda esta fiesta, de esta tradición de nuestro país en honor a los fieles difuntos. Hay un tema allá en Doxey y es que, pues mire, lamentablemente continúa la controversia por la organización del Festival de las Flores de Doxey y Enaxhuapan, un festival que nació hace algunos años y que sin duda ha ido creciendo, ha tenido buena participación de la gente de la región de Tula y también de otros municipios, de otras regiones del estado de Hidalgo. Ahora, pobladores y ejidatarios señalan una presunta falta de transparencia y aseguran que la actividad no deja beneficio para el ejido ni para la comunidad, aunque se realiza cada año en tierras ejidales. Durante una reunión con la directora de Gobernación en la región de Tula, Lazuri Mota Licona, los integrantes del ejido reclamaron que desde hace cuatro años el comité organizador, ajeno al núcleo agrario, no ha presentado cuentas claras sobre los ingresos del festival; por ello solicitaron que la organización quede a cargo del ejido y no de particulares. «Como dijo el señor que comentó, estoy de acuerdo. La situación en la cual se están enfrascando los mismos ejidatarios, los mismos ciudadanos, y eso no debe ocurrir. Yo creo que lo más prudente es... yo quiero que se haga el festival, pero que no lo manejen ellos. Yo creo que la comisaría... y hay muchos ejidatarios de los cuales se han ofrecido para apoyar a la comisaría, y yo fui uno de ellos. Los señores a mí me fueron a ver que yo le... siempre y cuando los beneficios se queden...» A pesar de eso, seguramente usted va a poder ir a comprar sus flores ahí justamente a pie de terreno, con los productores directamente, sin ningún intermediario, y va a tener muy buenos precios, eso es seguro.</t>
  </si>
  <si>
    <t>Conflicto agrario</t>
  </si>
  <si>
    <t>En mi llamado de todo corazón que volteen a ver a todas estas personas que estamos olvidados, la palabra es la palabra correcta: olvidados.» Olvidados son las palabras, el sentir de miles de habitantes que se ubican sobre la Presa Endó, que tienen sus casas en inmediaciones de la Presa Endó, no necesariamente al ladito, hay comunidades que están un tanto retiradas a varios kilómetros de la presa y que viven afectaciones importantes. Mira, desde el olor, desde la afectación del lirio, la presencia del mosco que tienen que encerrarse en su casa desde las cuatro de la tarde para pues evitar ser molestados o picados por el mosco Culex, pero que sus animales, los que tienen animales, pues ellos no pueden hacer nada, y hay imágenes impactantes. Porque se lo digo, a dos años del decreto de restauración ecológica para la Presa Endó, delegados de comunidades ribereñas aseguran que continúan los problemas por la proliferación del mosco Culex y el lirio acuático; de hecho, los pobladores afirman que las acciones realizadas no han resuelto nada, no han resuelto la situación.</t>
  </si>
  <si>
    <t>Y hablando de este tema del Tren AIFA-Pachuca, Zapotlán vive una etapa clave de desarrollo con la llegada del Polo de Desarrollo Económico para el Bienestar, señaló el titular de la Unidad de Planeación y Prospectiva de Hidalgo, Miguel Ángel Tello Vargas, que tiene que ver mucho con este proyecto del Tren México-Pachuca / AIFA-Pachuca. El funcionario estatal destacó que la conectividad será fundamental: este Tren México-Pachuca tendrá una parada en PLATAH y se prevé ampliar la carretera México-Pachuca para conectarla con el Arco Norte.</t>
  </si>
  <si>
    <t>Polos del Bienestar</t>
  </si>
  <si>
    <t>7 de la mañana con cuatro minutos. Vamos a otro tema y es que el Gobierno Federal decretó la expropiación de 98 inmuebles privados en Hidalgo y el Estado de México para construir el Tren Interurbano AIFA-Pachuca y ordenó su ocupación inmediata.</t>
  </si>
  <si>
    <t>Tren AIFA</t>
  </si>
  <si>
    <t>Vaya declaraciones contundentes las que hizo el gobernador de Hidalgo, Julio Menchaca Salazar, quien señaló que la expansión del robo de hidrocarburos en la entidad, el huachicol, pudo avanzar durante años ante la apatía e incluso la posible complicidad de autoridades municipales, estatales y federales. Al referirse a las construcciones levantadas sobre ductos de Petróleos Mexicanos, el mandatario dijo que éstas se hicieron con el paso del tiempo sin que fueran impedidas.</t>
  </si>
  <si>
    <t>Robo de hidrocarburo</t>
  </si>
  <si>
    <t>Radioescucha reporta semáforo no funciona en CEUNI UAEH y Av. Universidad.</t>
  </si>
  <si>
    <t>Semaforización</t>
  </si>
  <si>
    <t>Radioescucha 4259, dice «Muy buenos días. Saludos. Con mi comentario sobre las colectiva la colectiva que atropelló a la señora en el centro: ¿cómo es posible que tan temprano ya anden causando afectaciones a las familias? Que ya los pongan en cintura, cómo manejan es el colmo. Por su atención, gracias. Bendiciones</t>
  </si>
  <si>
    <t>Radioescucha dice: Buen día, licenciado Larrieta, nuevamente para compartir la situación de la colonia Villa Aquiles Serdán, seguimos sin agua, ya son 5 semanas sin el servicio. Con mucho gusto lo pasamos de una vez. Atentamente, José Meneses.</t>
  </si>
  <si>
    <t>Abasto de agua</t>
  </si>
  <si>
    <t>Radioescucha 8253, Superman. ¿Qué pasó, Superman? ¿Cómo estás? Dice «Buenos días, licenciado. Solo para comentar y pedir al gobernador que apoye al chofer de taxi. No tenemos prestaciones de nada, ni seguro médico, ni finiquito si nos quitan el carro. El seguro de vida es de $100,000 pesos, es muy poco. Ojalá se pueda apoyar con un programa para el chofer de taxi. Saludos». Saludos</t>
  </si>
  <si>
    <t>Petición gobernador</t>
  </si>
  <si>
    <t>Radioescucha comenta : Licenciado, te mando una imagen para que sea como lo... la que tendría que poner el transporte en cada base de taxis, un letrero grandote donde se vean las tarifas.</t>
  </si>
  <si>
    <t>Vía telefónica diputada Orquídea Larragoiti Osorio: La legisladora destaca el compromiso de mantenerse cercana a la población de la Sierra y la Huasteca para llevar sus necesidades reales al Congreso del Estado y transformarlas en iniciativas tangibles. Asimismo, señala que al corte de su segundo informe ya sumaba 100 iniciativas presentadas y que inicia su tercer año de gestión reforzando su labor legislativa en beneficio de las y los hidalguenses.</t>
  </si>
  <si>
    <t>Con el propósito de acercar servicios veterinarios gratuitos a familias de Pachuca, el gobierno municipal que encabeza el presidente Jorge Reyes mantiene jornadas de esterilización y vacunación antirrábica, que llegaron a la comunidad de Santa Gertrudis.</t>
  </si>
  <si>
    <t>Campaña de esterilización</t>
  </si>
  <si>
    <t>Bajo la consigna «No te vayas a enfermar, no tenemos material», trabajadores y personal jubilado del Instituto Mexicano del Seguro Social en Hidalgo se manifestaron en calles del centro de Pachuca en demanda de mejores condiciones de trabajo, aumento salarial y un retiro justo. Además, denunciaron la falta de medicamentos e insumos en los hospitales y la escasez de personal, lo que ha generado repercusión en la atención a los derechohabientes, pues incluso el personal médico ha tenido que comprar material de su propio dinero. Así lo señaló Lucila, una de las trabajadoras afectadas, quien detalló que aunque hubo incremento salarial del 2.8%, no es suficiente.</t>
  </si>
  <si>
    <t>La Dirección Canina K9 de Mineral de la Reforma avanza en la preparación de una segunda camada de ejemplares que se integrarán a esta agrupación, bajo un modelo que combina formación especializada, servicio a la comunidad y protocolos enfocados en el bienestar animal.Con el respaldo del presidente municipal, Eduardo Medécigo Rubio, la corporación trabaja bajo el principio de respeto a la vida y trato digno de los animales. Los procesos de crianza, evaluación y entrenamiento se desarrollan conforme a protocolos de bienestar animal y a la legislación vigente en materia de protección.</t>
  </si>
  <si>
    <t>Unidad canina</t>
  </si>
  <si>
    <t>Entregaron los municipios las iniciativas de Leyes de Ingresos 2027 en el Congreso del Estado de Hidalgo.El Poder Legislativo albergó la entrega de iniciativas de leyes e ingresos municipales 2027, encuentro que tuvo como propósito visibilizar el trabajo coordinado e interinstitucional entre el Congreso del Estado de Hidalgo y los municipios. En este acto, los municipios realizaron de manera simbólica la entrega de sus iniciativas de Leyes de Ingresos para el Ejercicio Fiscal 2027, lo cual fortalece la colaboración institucional para el análisis, la discusión y, en su caso, la aprobación de las propuestas correspondientes. El diputado Andrés Velázquez Vázquez, presidente de la Junta de Gobierno del Congreso de Hidalgo, reconoció el esfuerzo de las y los ediles para presentar sus iniciativas presupuestales y reiteró el respaldo del Congreso y de la Auditoría Superior, aunque enfatizó que este acompañamiento debe ir acompañado de responsabilidad y transparencia. El legislador exhortó a las autoridades municipales a ejercer los recursos con austeridad, responsabilidad y apego a la normatividad, evitando gastos excesivos y procurando mantener sus cuentas en orden, especialmente quienes tengan aspiraciones politicas futuras.</t>
  </si>
  <si>
    <t>Presupuesto De Egresos</t>
  </si>
  <si>
    <t>El próximo 12 de octubre iniciarán las comparecencias en el Congreso del Estado de Hidalgo. Iniciará el Secretario de Gobierno, Guillermo Olivares Reyna. La Junta de Gobierno del Congreso del Estado de Hidalgo, encabezada por el diputado Andrés Velázquez Vázquez, aprobó el acuerdo que establece el calendario y procedimiento para las comparecencias relativas al Cuarto Informe sobre el estado que guardan los diversos ramos de la administración pública estatal. De acuerdo con el resolutivo, las comparecencias se desarrollarán en sesiones ordinarias ante el pleno del Congreso, en las que se abordará exclusivamente la participación de la persona servidora pública correspondiente, conforme a la normatividad aplicable y a las disposiciones establecidas en el acuerdo. Iniciarán el lunes 12 de octubre a las 10 horas con Guillermo Olivares Reyna, Secretario de Gobierno, y concluirán el jueves 22 de octubre con Miguel Ángel Tello Vargas, titular de la Unidad de Planeación y Prospectiva.</t>
  </si>
  <si>
    <t>Les comento que en Atitalaquia dos hombres fueron detenidos en posesión de drogas y un arma de fuego. Elementos de la Agencia de Investigación Criminal de la Procuraduría General de Justicia del Estado de Hidalgo, adscritos a la División de Investigación, detuvieron en Atitalaquia a dos hombres en posesión de hierba verde con características de marihuana y sustancia cristalina con apariencia de estupefaciente conocido como cristal. Los hechos ocurrieron en el fraccionamiento Los Atlantes, donde los agentes investigadores realizaban indagatorias derivadas de denuncias recibidas ante la Procuraduría.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</si>
  <si>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</si>
  <si>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</si>
  <si>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</si>
  <si>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Carlos Gamiño por estar al pendiente de temas.</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</si>
  <si>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</si>
  <si>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</si>
  <si>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</si>
  <si>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La Dirección de Sanidad Municipal de Tulancingo mantiene activa su Campaña de Bienestar Animal durante octubre de 2026, ofreciendo jornadas móviles itinerantes orientadas al cuidado de perros y gatos.</t>
  </si>
  <si>
    <t>Bienestar Animal</t>
  </si>
  <si>
    <t>El DIF Municipal de Cuautepec de Hinojosa, a través del Centro PILARES, abrió la convocatoria para los Talleres Psicoeducativos y de Apoyo Académico, dirigidos a niñas, niños y adolescentes de 6 a 17 años. El programa contempla actividades sobre inteligencia emocional, cuidado en el entorno tecnológico, educación en sexualidad, medio ambiente, prevención de adicciones y acoso escolar, además de apoyo en tareas y talleres de lectoescritura. Las actividades se realizarán de lunes a viernes, de 14:00 a 16:00 horas: lunes, martes y miércoles para apoyo académico, y jueves y viernes para talleres psicoeducativos. Para inscribirse se requiere CURP actualizada del menor y copia de la identificación oficial vigente del padre, madre o tutor.</t>
  </si>
  <si>
    <t>Pilares</t>
  </si>
  <si>
    <t>Activación física</t>
  </si>
  <si>
    <t>El expresidente municipal de Omitlán, Jorge Martín B.C., fue vinculado a proceso por su presunta participación en la venta irregular de un terreno que formaba parte del patrimonio municipal y que, de acuerdo con la investigación del Ministerio Público, había sido donado al Ayuntamiento bajo condiciones que impedían su enajenación. La determinación fue emitida este miércoles por la jueza de Control Karina Vértiz Marín, durante la continuación de la audiencia inicial correspondiente a la causa penal 1179/2026, en los juzgados de oralidad de Pachuca. De acuerdo con lo expuesto durante la audiencia, el Ministerio Público presentó datos de prueba con los que busca acreditar la probable participación del exalcalde en hechos que podrían constituir el delito de peculado, relacionados con la operación mediante la cual el predio fue vendido durante la administración anterior por 21 millones de pesos. El inmueble, sin embargo, contaba con avalúos que establecían un valor superior. Según la información presentada por el actual Ayuntamiento, uno de los dictámenes lo valuó en aproximadamente 49 millones de pesos, mientras que otro estableció un valor de 64 millones de pesos. A este elemento se suma que el terreno había sido entregado al municipio mediante una donación realizada por el Gobierno del Estado de Hidalgo, con la condición de que conservara un destino recreativo para beneficio de la población. Por ello, uno de los puntos centrales de la investigación es determinar si el Ayuntamiento tenía facultades legales para venderlo. La actual presidenta municipal, Marta Belén Oliver González, ha sostenido que la operación no sólo representa una posible afectación económica por la diferencia entre el precio de venta y el valor del inmueble, sino también una posible transgresión a las condiciones bajo las cuales el terreno fue incorporado al patrimonio municipal.</t>
  </si>
  <si>
    <t>Vinculación exalcalde</t>
  </si>
  <si>
    <t>Inicia curso “Formación integral para las personas cuidadoras”</t>
  </si>
  <si>
    <t>Beneficia SEPH con apoyos e infraestructura a estudiantes de San Felipe Orizatlán</t>
  </si>
  <si>
    <t>El legado de Morelos vive en los ideales de libertad, justicia y soberanía</t>
  </si>
  <si>
    <t>Aniversario natalicio</t>
  </si>
  <si>
    <t>El gobernador del estado, Julio Menchaca Salazar, encabezó la ceremonia de entrega del Premio Estatal de la Juventud, destacando la importancia de reconocer, estimular y visibilizar el talento y la participación de las y los jóvenes hidalguenses. Durante su mensaje, el mandatario resaltó que el presupuesto público se destina de forma transparente a más de 100 programas sociales —los cuales se han incrementado en un 360% en su administración— para generar mejores condiciones de vida y bienestar en la entidad. Asimismo, subrayó la relevancia de la sinergia entre los poderes del estado y los municipios para apoyar el desarrollo de la juventud.</t>
  </si>
  <si>
    <t>Premio Estatal De La Juventud</t>
  </si>
  <si>
    <t>Podecobi Reserva Zapotlán representa inversión, empleo y nuevas oportunidades para Hidalgo</t>
  </si>
  <si>
    <t>El gobernador del estado, Julio Menchaca Salazar, encabezará la ceremonia de entrega del Premio Estatal de la Juventud 2026. El evento está programado para llevarse a cabo a las 10:45 de la mañana en la Sala del Pueblo, ubicada en la sede del gobierno estatal. Durante este acto se otorgarán los galardones y los incentivos económicos correspondientes a las y los jóvenes ganadores de esta convocatoria.</t>
  </si>
  <si>
    <t>Capturando Hidalgo 2026 premia, con 132 mil pesos, trabajo fotográfico de culturas vivas</t>
  </si>
  <si>
    <t>Centros LIBRE son un puente de acceso a programas públicos.</t>
  </si>
  <si>
    <t>El Congreso del Estado de Hidalgo aprobó el calendario y el procedimiento para las comparecencias correspondientes al cuarto informe de gobierno de la administración estatal. Estas sesiones se llevarán a cabo del 12 al 22 de octubre, divididas en horarios matutinos (10:00 horas) y vespertinos (16:00 horas), con la participación de las distintas secretarías y dependencias. Las comparecencias serán transmitidas en tiempo real por los medios digitales del Congreso y seguirán un formato estructurado que incluye una exposición inicial de hasta 30 minutos por parte de las personas servidoras públicas, rondas de preguntas por parte de las diputadas y los diputados con tiempos definidos para réplicas y respuestas, y un mensaje final de cierre.</t>
  </si>
  <si>
    <t>Un camión de pasajeros que transportaba trabajadores del Frente 4 de la obra del tren México-Querétaro cayó a un canal de aguas negras en la comunidad de San José Acoculco, a la altura de la escuela primaria de la localidad perteneciente al municipio de Atotonilco de Tula. El accidente se registró alrededor de las 7:00 horas de este jueves, cuando la unidad trasladaba a personal que labora en el tramo comprendido entre el ejido de Melchor Ocampo, en Tepeji del Río, y Tula de Allende. De acuerdo con los primeros reportes, no se registraron trabajadores lesionados; sin embargo, algunos de los pasajeros presentaron crisis nerviosa a consecuencia del percance. Testigos de la zona señalaron que, tras el accidente, se esperaba el arribo de elementos de Bomberos para iniciar las labores de rescate y atención de los ocupantes; no obstante, según las propias versiones, los rescatistas aún no llegan.</t>
  </si>
  <si>
    <t>Accidente en obra</t>
  </si>
  <si>
    <t>El Gobierno Municipal de Tulancingo de Bravo informó que recibió el escrito mediante el cual Miguel Ángel Romero Mejía presentó su renuncia voluntaria al cargo de titular del Órgano Interno de Control. De acuerdo con el comunicado, la renuncia obedece a motivos personales y tendrá efectos a partir del 6 de octubre de 2026. El documento será turnado a las instancias competentes para realizar el procedimiento correspondiente, conforme a las atribuciones del Ayuntamiento y del propio Órgano Interno de Control.</t>
  </si>
  <si>
    <t>Renuncia</t>
  </si>
  <si>
    <t>Gustavo Rosales detalló la celebración de la edición número 39 de la Carrera Panamericana 2026, considerada la competencia de automovilismo deportivo más importante de México. El recorrido nacional pasará por múltiples entidades como Chiapas, Veracruz, Ciudad de México, Puebla, Querétaro, Guanajuato, San Luis Potosí y Zacatecas. En el estado de Hidalgo, la ruta contemplará el paso de los vehículos de competencia por municipios como Huichapan, Alfajayucan, Ixmiquilpan, Tasquillo, Zimapán, Nopala, Tula, Tepeji del Río, Tolcayuca y Tepeapulco, durante la etapa programada para el 19 de octubre dentro del periodo del 16 al 22 de octubre de este año. En total, el evento visitará más de 170 municipios a lo largo de su ruta.</t>
  </si>
  <si>
    <t>Justa Deportiva</t>
  </si>
  <si>
    <t>En el reporte deportivo por parte de Gustavo Rosales, se dio a conocer el avance del medallero de los Juegos Paranacionales Conade 2025 con corte al 28 de septiembre. El estado de Hidalgo se encuentra ubicado en la posición número 22 de 30 participantes, acumulando un total de 12 preseas: 3 de oro, 5 de plata y 4 de bronce. Los primeros puestos de la competencia los ocupan Jalisco en el primer lugar (261 metales), Nuevo León en el segundo (180 metales) y Querétaro en el tercero (138 preseas). Se espera que la delegación hidalguense logre subir posiciones en los días restantes antes de que concluyan las hostilidades del evento. Negativas:</t>
  </si>
  <si>
    <t>Paranacionales Conade</t>
  </si>
  <si>
    <t>Andrés Torres y Aldo Falcón discuten sobre los registros de Morena y la posibilidad de confirmar detalles entre hoy y mañana, o el lunes a más tardar. Se mencionan ajustes que podrían hacerse si algún miembro del gabinete del gobernador Julio Menchaca se postula como aspirante a coordinador electoral distrital federal. Andrés señala que, aunque no se espera que estos ajustes sean inmediatos, es probable que ocurran en respuesta a los movimientos dentro del gabinete. Se mencionan nombres de secretarios que podrían estar involucrados, como Napoleón González, el secretario de Agricultura, y Miguel Tello, el titular de Planeación y Prospectiva.</t>
  </si>
  <si>
    <t>Un hombre de aproximadamente 30 años resultó lesionado por impacto de arma de fuego, luego de que presuntamente fuera sorprendido mientras intentaba cometer un robo en un domicilio. La situación se registró en el barrio Guadalupe, en la comunidad de San Pedro Tlachichilco, municipio de Acaxochitlán. Vecinos señalaron que el lesionado podría relacionado con otros hechos delictivos registrados en la región, lo cual quedó bajo investigación por parte de las autoridades. Por lo que el sujeto habría quedado en calidad de detenido mientras se realizan las investigaciones correspondientes. De acuerdo con testimonios y reportes preliminares, vecinos escucharon varias detonaciones y posteriormente se percataron de que el hombre se encontraba herido. Elementos de seguridad y servicios de emergencia acudieron al lugar para brindarle atención y posteriormente trasladarlo a una clínica para recibir atención médica.</t>
  </si>
  <si>
    <t>Personal y directivos de la Junta Federal 4 del Instituto Nacional Electoral (INE) con cabecera en Tulancingo, buscan reforzar la difusión del actual proceso electoral concurrente 2026-2027 entre la población, que inició durante el presente mes de septiembre. Blanca Estela Tolentino Soto, vocal del Distrito 4 federal del INE, señaló que se busca que sobre todo en las comunidades más alejadas dentro del Distrito Electoral Federal se ofrezca información sobre el proceso electoral, así como los trámites y servicios que ofrece el organismo electoral. Para ello, se cuenta con un módulo fijo ubicado en Avenida del Maestro número 202, en la colonia Los Pinos, además de módulos itinerantes que recorren distintos municipios y comunidades. Los módulos itinerantes atienden a municipios como Acatlán, Acaxochitlán, Santiago Tulantepec, Cuautepec y Tulancingo, mientras que otro cubre municipios de la Sierra, entre ellos Agua Blanca, Metepec, Tenango de Doria, Huehuetla y San Bartolo Tutotepec. Respecto a la seguridad durante la jornada electoral, la funcionaria explicó que el INE mantiene identificados algunos puntos que podrían representar riesgos, aunque aclaró que las condiciones pueden cambiar de un proceso a otro. “Recordemos que venimos de una elección extraordinaria de Cuautepec de Hinojosa, entonces este es el punto donde más tenemos especial atención, pero eso no significa que en la próxima elección vaya a ser lo mismo”. Hasta el momento, se tiene considerada la instalación de 571 casillas electorales en los diez municipios que conforman el Distrito Electoral Federal 4, con cabecera en Tulancingo. La funcionaria electoral aclaró que la cantidad final de casillas dependerá de los cortes del padrón electoral y la lista nominal, actualmente en actualización. Tolentino Soto señaló que a nivel estatal se contempla la instalación de aproximadamente 4 mil 410 casillas, pero del mismo modo, dicha cantidad dependerá de los cortes señalados tanto al padrón electoral y la lista nominal.</t>
  </si>
  <si>
    <t>Proceso electoral</t>
  </si>
  <si>
    <t>Con el objetivo de fortalecer la profesionalización, innovación y competitividad del sector turístico, se inició la capacitación “Inteligencia Artificial aplicada a Restaurantes”, la número 16 impulsada por el Gobierno de Tulancingo como parte de las acciones de formación dirigidas a prestadores de servicios turísticos. La capacitación tendrá una duración de 15 horas. La capacitación fue promovida por la Secretaría de Fomento Económico, ante la Secretaría de Turismo del Gobierno del Estado de Hidalgo, por lo que se ofrece de manera gratuita y contempla la entrega de constancia. Durante las sesiones se abordan herramientas y alternativas para incorporar la Inteligencia Artificial en la promoción, difusión y posicionamiento de los establecimientos, con el propósito de ampliar su alcance y generar nuevas oportunidades para el sector gastronómico. Esta actividad forma parte del Programa de Excelencia Turística, iniciado en 2025, mediante el cual se ha dado continuidad a la capacitación y profesionalización de quienes participan en esta actividad económica. Durante la actual administración también se han impartido cursos relacionados con primeros auxilios, atención al cliente, calidad en el servicio y marketing digital, entre otros temas orientados a mejorar la preparación de los prestadores de servicios turísticos y la experiencia de los visitantes. Para la recta final del año se contemplan dos capacitaciones adicionales. Una de ellas, programada para noviembre, estará relacionada con el desarrollo de productos turísticos accesibles, mientras que la segunda se encuentra en proceso de definición. El Gobierno de Tulancingo se acerca a los 100 establecimientos dedicados a la prestación de servicios gastronómicos, entre cocinas económicas, restaurantes, taquerías, pizzerías, cafeterías y otros negocios.</t>
  </si>
  <si>
    <t>Capacitación turística</t>
  </si>
  <si>
    <t>Proponen funcionamiento de Policía Metropolitana: operaría en entidades del centro del país La jefa de Gobierno de la Ciudad de México, Clara Brugada Molina, propuso la creación y operación de una Policía Metropolitana, que opere en la capital del país, así como en los estados de México, Tlaxcala, Querétaro, Puebla, Guerrero e Hidalgo. Julio Menchaca Salazar, Gobernador de la última entidad federal nombrada, dio a conocer la propuesta, presentada en el marco de la séptima Reunión Interestatal de Coordinación por la Paz y Seguridad, en la que participó junto con sus homólogos de las demarcaciones citadas. El mandatario estatal explicó que la propuesta busca fortalecer la coordinación en las zonas limítrofes, particularmente entre el Estado de México y la Ciudad de México, donde la división territorial en ocasiones dificulta la actuación. “Muchas veces, particularmente entre el Estado de México y la Ciudad de México, atraviesan una calle, una avenida y ya es otra jurisdicción”, señaló. La conformación de esta corporación incluiría a elementos de la Guardia Nacional y de las policías estatales. Menchaca Salazar aclaró que por el momento, se trata únicamente de una propuesta, por lo que será analizada durante la próxima reunión interestatal, programada para noviembre en el estado de Guerrero. Por lo que en este momento no hay fecha para el inicio de operaciones, debido a que primero deberán definirse las características del modelo de la eventual corporación de seguridad pública. En esa misma reunión, la jefa de Gobierno de la Ciudad de México, Clara Brugada Molina, respaldó la coordinación entre entidades para atender delitos que no se limitan a una frontera estatal. Por su parte, el gobernador Menchaca Salazar señaló que durante el actual periodo del Gobierno del Estado de Hidalgo, corporaciones de seguridad pública han localizado e inhabilitado 19 túneles clandestinos, usados para el robo de hidrocarburo. Agregó que en su periodo de gobierno se han asegurado más de 7 millones de litros de hidrocarburo, los cuales fueron recuperados y entregados a la Federación. “Eso es histórico. En toda la historia del estado, en estos más de 900 kilómetros y en 22 municipios que atraviesan los ductos, no se había hecho una acción similar. Esto es una lucha frontal contra el robo de combustible”. Agregó que de las 65 personas detenidas en Hidalgo por este ilícito, al menos 40 serían generadores de violencia y objetivos prioritarios del gobierno federal, además de que pertenecerían a redes criminales dedicadas a la extorsión. Acusó de apatía e incluso de posibles actos de complicidad a autoridades de los distintos niveles de gobierno en relación con la vigilancia de los ductos, al señalar que se han localizado túneles clandestinos debajo de espacios públicos y privados.</t>
  </si>
  <si>
    <t>La semana pasada, se divulgó en redes sociales un caso relacionado con Horacio Islas Díaz, un regidor del municipio de Santiago Tulantepec, quien defendió al director de Obras Públicas. Este funcionario está acusado de presunto abuso hacia un joven que prestaba servicio social en el municipio. Aunque no se menciona el nombre del funcionario, el tema ha ganado atención y ha sido reportado por medios nacionales como Azteca Noticias y es leonardo Herrera quien hace la narrativa de este hecho. Daniel MArtínes señala que el texto que comparte es de Azteca Noticias y redactado por Daniel Rivera Guzmán, quien informa que la situación ha sido investigada, y se alega que un regidor intentó persuadir a la madre del joven para que no presentara la denuncia. De acuerdo con el texto, los supuestos abusos ocurrieron en las oficinas de la Presidencia Municipal durante una reunión en la que también participó la alcaldesa morenista Yanet Fernández. La madre del joven sostiene que el caso necesita ser investigado y expresó su preocupación de que su hijo quedara vulnerable si no se toman las acciones necesarias. En reuniones posteriores, se mencionó que Islas Díaz intentó convencer a la madre de no llevar el caso a las autoridades, planteando que sus comentarios minimizaban la gravedad de la situación. En un audio del encuentro entre la madre y el regidor, Islas Díaz admitió que los hechos sobrepasaron límites, pero la madre mantuvo su solicitud de sanción para el funcionario. Ella expresó que no se puede permitir que alguien señalado por un caso grave permanezca en su puesto sin consecuencias. La alcaldesa Fernández, según el testimonio, argumentó que retirar al funcionario podría afectar trabajos y contratos del Ayuntamiento. Esto sugiere que para ella es más importante mantener a su colaborador que investigar el presunto abuso. Hasta ahora, tanto la alcaldesa como el regidor no han dado una respuesta pública sobre las acusaciones o el contenido del audio de la reunión. Mientras tanto, la Procuraduría General de Justicia del Estado de Hidalgo está llevando a cabo una investigación para aclarar los hechos y determinar responsabilidades. La situación ha sido considerada muy grave, no solo por las implicaciones legales, sino también por el impacto en la dignidad de la persona afectada. Desde que se conoció el caso, han pasado aproximadamente una semana y aún no ha habido ninguna reacción por parte del Gobierno Municipal de Santiago Tulantepec, lo que destaca la seriedad de la situación y la necesidad de abordar el asunto con urgencia.</t>
  </si>
  <si>
    <t>Abuso Sexual</t>
  </si>
  <si>
    <t>Como resultado de las acciones implementadas en materia de seguridad durante la última quincena, elementos de la Policía Municipal de Tulancingo recuperaron tres motocicletas con reporte de robo vigente y un vehículo con orden de aseguramiento. Los hechos se registraron en cuatro acciones distintas, como parte de los recorridos y labores de prevención y vigilancia realizados por los agentes municipales. Tras verificar el estatus de las unidades en las plataformas correspondientes, se confirmó que las tres motocicletas contaban con reporte de robo vigente, por lo que fueron aseguradas y quedaron a disposición de la Procuraduría General de Justicia del Estado de Hidalgo (PGJEH), autoridad encargada de realizar las investigaciones y diligencias correspondientes. En tanto, el vehículo fue asegurado debido a que contaba con una orden ministerial de aseguramiento, por lo que también quedó a disposición de la autoridad competente para continuar con el procedimiento legal correspondiente. La Secretaría de Seguridad Ciudadana de Tulancingo reiteró que estas acciones forman parte de las labores permanentes para prevenir y combatir el robo de vehículos y motocicletas en el municipio. En caso de que alguna persona reconozca como de su propiedad alguna de las motocicletas recuperadas, deberá acudir ante la Procuraduría General de Justicia del Estado de Hidalgo para acreditar la propiedad y realizar las diligencias necesarias para su posible recuperación. Las autoridades exhortaron a la ciudadanía a reportar cualquier situación relacionada con el robo de vehículos y motocicletas, así como a proporcionar información que pueda contribuir al desarrollo de las investigaciones correspondientes.</t>
  </si>
  <si>
    <t>Congreso de Hidalgo fija calendario para comparecencias del gabinete estatal escrita por Izza Hernández El Congreso de Hidalgo definió el calendario para la comparecencia de integrantes del gabinete estatal y titulares de organismos públicos, como parte del análisis del Cuarto Informe de Gobierno. Las sesiones se desarrollarán del 12 al 22 de octubre y permitirán a las diputadas y diputados cuestionar a los funcionarios sobre los resultados y situación de las áreas que encabezan. El acuerdo fue presentado ante el Pleno durante la sesión ordinaria de este miércoles, donde también se estableció la dinámica que deberán seguir las comparecencias. Cada funcionario tendrá hasta 30 minutos para exponer los principales resultados de su dependencia y posteriormente responderá a una ronda de preguntas de las y los legisladores. La primera jornada será el lunes 12 de octubre, con Guillermo Olivares Reyna, secretario de Gobierno, a las 10:00 horas, seguido por Neyda Naranjo Baltazar, secretaria de Cultura, a las 16:00 horas. El martes 13 corresponderá a María Esther Ramírez Vargas, titular de Hacienda, y Elizabeth Quintanar Gómez, secretaria de Turismo. Un día después acudirán Carlos Henkel Escorza, de Desarrollo Económico, y Álvaro Bardales Ramírez, de Contraloría. El jueves 15 será el turno de Salvador Cruz Neri, secretario de Seguridad Pública, y Napoleón González Pérez, de Agricultura y Desarrollo Rural. Para el viernes 16 están programadas las comparecencias de Vanesa Escalante Arroyo, de Salud, y Óscar Javier González Hernández, de Trabajo y Previsión Social. La segunda etapa comenzará el lunes 19 con Alejandro Sánchez García, de Infraestructura y Desarrollo Urbano Sostenible, y Mónica Patricia Mixtega Trejo, de Medio Ambiente y Recursos Naturales. El martes 20 comparecerá Natividad Castrejón Valdez, titular del Instituto Hidalguense de Educación. El miércoles 21 participarán Lyzbeth Robles Gutiérrez, de Movilidad y Transporte, y Ricardo Gómez Moreno, de Bienestar e Inclusión Social. El proceso concluirá el jueves 22 de octubre con Francisco Ángel Fernández Hasbun, encargado de la Procuraduría General de Justicia, a las 10:00 horas, y Miguel Ángel Tello Vargas, titular de la Unidad de Planeación y Prospectiva, a las 16:00 horas. De acuerdo con el formato aprobado, después de la exposición inicial habrá una ronda de preguntas de las diputadas y diputados, quienes dispondrán de hasta tres minutos para intervenir. Los funcionarios tendrán el mismo tiempo para responder, además de una réplica y una segunda respuesta con límites de tres minutos. Finalmente, cada compareciente contará con cinco minutos para un mensaje de cierre. Las sesiones serán transmitidas en tiempo real mediante las plataformas digitales del Congreso de Hidalgo. El calendario podrá ajustarse en caso de cambios de agenda, situaciones de fuerza mayor o circunstancias extraordinarias.</t>
  </si>
  <si>
    <t>Daniel Martínez: acerca del lanzamiento que ya hizo Morena de su... eh... de su este... convocatoria, le dicen para los... A ver, ahí le voy para que... para que sea el nombre casi exacto. Coordinadores distritales federales de Defensa de la Transformación y la Soberanía Nacional. Ya no más les faltó poner anexas y conexas, que no es otra cosa que el asunto de la convocatoria para quienes buscan ser candidatas y/o candidatos a diputaciones federales. Recordamos que son 300 en todo el país, siete específicamente en el estado de Hidalgo. Y se abrió la convocatoria justamente el día de hoy, entiendo que a la medianoche se abre un portal eh que se llama registro.morena.app, en donde hasta el próximo domingo, 4 de octubre, las interesadas e interesados, los que se sientan los chicos más populares de la colonia, podrán presentar su documentación, requisitos varios que está pidiendo Morena a nivel nacional para que sean considerados. Yo no sé si van a hacer una evaluación, si van a echar un volado, si van a aventar los papelitos a este al cielo y el que caiga en la mesa va a ser la coordinadora o coordinador distrital, este... porque, déjame ver... No, ya estoy viendo que en la convocatoria de que no están estableciendo cómo van a designar quiénes sean los... ¿Para qué le hacemos? Pues es que están buscando que sean candidatos a a diputados federales, ¿no? Ahí hay un asunto bien interesante, ¿eh? ¿Quiénes son los que van a registrarse buscando la reelección directa en el proceso electoral que que llevará a la elección del primer domingo de junio del próximo año? ¿Quiénes son? Ahora sí que, ¡por el morbo, ¿no?! ¿Quiénes...? Ahora sí, ya son etapas de... éticamente hablando, a lo mejor no no legalmente, ¿no?, todavía no son los tiempos legales, pero éticamente hablando, ahora sí son los tiempos de definición de quién va a renunciar a sus cargos o a pedir licencia, éticamente hablando, para buscar ser candidata o candidato a diputado o diputada federal. No me inventen, o sea... Le ponen un nombresote que es kilométrico: "Coordinadores distritales federales de Defensa de la Transformación y la Soberanía Nacional" para decir "Pues es que son... Vamos a determinar quiénes son los candidatos a diputados federales", en fin. Ahora sí que por acá le digo, no no están diciendo si van a echar un volado, si van a hacer guerras en el lodo, que va a haber muchísimas más adelantito y desde ya, si van a aventar papelitos y el que caiga o tómbola, porque la vida es una tómbola para Morena a veces, o cómo carambas le van a hacer para determinar quiénes van a ser sus... ¿Para qué le hacemos?, sus candidatos a este... a diputados federales. Le digo: 300 en todo el país, siete en el estado de Hidalgo, y habrá que ver quiénes de esos chicos que se sienten más populares en la en la cuadra este estarán buscando la la reelección y quiénes se van a hacer a un ladito, porque ahora sí que a sus órdenes lo que diga el partido y a sus órdenes lo que diga el sistema...</t>
  </si>
  <si>
    <t>Candidatas y candidatos a puestos de elección popular en el proceso electoral local 2026-2027 en el Estado de Hidalgo, así como partidos políticos, tendrán la obligación de presentar datos que permitan conocer sus perfiles profesionales. Lo anterior a partir de la aprobación por parte del Consejo General del Instituto Estatal Electoral de Hidalgo (IEEH) del sistema digital “Candidatas y Candidatos, Conóceles”. En el portal digital que será de carácter público, la ciudadanía podrá consultar directamente el historial académico, trayectoria profesional e identidad de cada persona que busque un cargo de elección popular en Hidalgo. Se reiteró que la presentación de los datos será obligatoria para todos los partidos políticos, coaliciones y candidaturas independientes; quienes omitan la información enfrentarán sanciones oficiales. En anteriores procesos electorales, el organismo autónomo estatal ha presentado plataformas semejantes, pero sin la participación del total de candidatas y candidatos. Se confía que a partir de las normativas que le hacen obligatoria la presentación de datos, se tenga respuesta por parte de los eventuales equipos de campaña para presentar la información. Además, para blindar el proceso democrático, el IEEH firmará un convenio con la Procuraduría General de Justicia del Estado y la Fiscalía Especializada en Delitos Electorales con tres objetivos centrales. Estos son la estrategia Cero coacción, para combatir la compra de votos y el uso indebido de programas sociales y Cultura de la denuncia, para capacitar a la ciudadanía para detectar e informar sobre conductas ilícitas. Así como los topes de gasto, para lo cual se integró la Comisión Temporal de Precampañas, presidida por el consejero Alfredo Alcalá Montaño, encargada de vigilar los recursos que utilicen los partidos en sus procesos internos. También se aprobó el plan de trabajo para el Programa de Resultados Electorales Preliminares, buscando que la difusión de los primeros conteos en la jornada electoral sea ágil, transparente y auditable. Podría interesarte...</t>
  </si>
  <si>
    <t>IEEH</t>
  </si>
  <si>
    <t>Plataforma candidatos</t>
  </si>
  <si>
    <t>El Consejo local en el Estado de Hidalgo del Instituto Nacional Electoral (INE), prevé la instalación de aproximadamente 4 mil 400 casillas para votar en la jornada electoral federal a realizarse el primer domingo del mes de junio del 2027. Lo anterior fue informado por la titular del INE en Hidalgo, Ma. del Refugio García López, durante la instalación formal del Consejo Local del Proceso Electoral Federal 2026-2027. En el total de casillas proyectadas, podrán ejercer su derecho y obligación al voto más de dos millones y medio de ciudadanos en Hidalgo, quienes podrán elegir a siete diputadas o diputados federales correspondientes a los distritos federales del estado. El corte para determinar el número definitivo de casillas para votar se realizará en abril de 2027, a partir de conocerse el total de electores en la lista nominal estatal. Durante la sesión, García López tomó protesta a las y los integrantes del Consejo Local, conformado por consejeros y representantes de los partidos políticos, con lo que el órgano electoral inició formalmente los trabajos para la próxima jornada. Ante el inicio de los trabajos electorales, la presidenta del organismo autónomo llamó a los integrantes del Consejo Local y a quienes participen en la contienda a contribuir a garantizar un sufragio universal, libre, secreto, directo, personal e intransferible. Exhortó a quienes aspiren a ocupar un cargo público a respetar las leyes y las reglas electorales para contribuir al desarrollo de la jornada y a la convivencia democrática. García López destacó que Hidalgo registró niveles de participación electoral por encima de la media nacional en las últimas jornadas, por lo que expresó su expectativa de que esa tendencia se mantenga o incluso aumente durante los comicios de 2027. Por otra parte, el INE Hidalgo continúa con el análisis de las condiciones para implementar la votación anticipada en los 13 Centros de Reinserción Social ubicados dentro del Estado de Hidalgo. La autoridad electoral todavía evalúa si las personas participantes emitirán su voto mediante boleta, urna electrónica o, incluso, a través de internet; la modalidad dependerá de las condiciones de cada espacio de este tipo. De acuerdo con García López, alrededor de 6 mil personas podrían participar mediante este esquema de votación anticipada.</t>
  </si>
  <si>
    <t>Elecciones</t>
  </si>
  <si>
    <t>Retiro de lirio en la Presa Endhó reduce 47% la proliferación de mosquitos Las acciones de saneamiento en la Presa Endhó, en la región de Tula, Hidalgo, han permitido retirar hasta ahora 140 mil metros cúbicos de lirio acuático, intervención que, de acuerdo con la Secretaría de Medio Ambiente y Recursos Naturales (Semarnat), contribuyó a disminuir en 47 por ciento la proliferación del mosquito Culex. Durante la conferencia matutina de la presidenta Claudia Sheinbaum, la titular de Semarnat, Alicia Bárcena, informó que para estas labores se han destinado 75 millones de pesos. La reducción en la presencia del mosquito representa un beneficio para más de 27 mil habitantes de las comunidades ubicadas en los alrededores de la presa. Además del impacto en materia de salud pública, el retiro de la planta acuática busca recuperar las condiciones ambientales del cuerpo de agua, ya que la presencia excesiva de lirio puede cubrir la superficie, afectar los ecosistemas y alterar las condiciones de la presa. Estas acciones forman parte del programa federal de saneamiento y restauración de la cuenca del río Tula, considerada una de las zonas prioritarias para la recuperación ambiental. El proyecto contempla también trabajos de limpieza del río, rehabilitación y construcción de plantas de tratamiento de aguas residuales, recuperación de márgenes y reforestación. La estrategia incluye un paquete de 93 proyectos en la cuenca, entre los que se encuentran la instalación de colectores marginales, obras de tratamiento de aguas residuales y la inspección de descargas contaminantes provenientes de actividades domésticas e industriales. Bárcena señaló que el saneamiento del río Tula es uno de los tres grandes proyectos ambientales que actualmente impulsa el Gobierno federal, junto con los correspondientes a los ríos Lerma y Atoyac, con el objetivo de mejorar las condiciones ambientales y del agua en las regiones donde se ubican.</t>
  </si>
  <si>
    <t>Control lirio acuático</t>
  </si>
  <si>
    <t>Nota hospital de ISSSTE Ixmiquilpan</t>
  </si>
  <si>
    <t>Vía telefónica el reporte de Bombero y Protección Civil con Abner Yáñez informa de las diversas emergencias reportadas por la ciudadanía y que fueron atendidas. Asimismo, señala que las fiestas patrias dejaron saldo blanco en el municipio.</t>
  </si>
  <si>
    <t>Trabajadores activos y jubilados del Instituto Mexicano del Seguro Social (IMSS) realizaron este miércoles una movilización por calles de Pachuca para exigir mejores condiciones laborales, un salario que consideren justo y mayores garantías para su retiro, además de denunciar carencias de insumos y personal en las unidades médicas. El contingente se concentró alrededor del mediodía en Plaza Juárez y poco antes de las 13:00 horas inició su recorrido hacia avenida Madero. Más de un centenar de empleados de distintas unidades del IMSS en Hidalgo participaron en la protesta, que posteriormente avanzó hacia instalaciones de la institución y concluyó en la sede de la Sección XXII del Sindicato Nacional de Trabajadores del Seguro Social (SNTSS). Entre las principales exigencias se encuentra el rechazo al incremento salarial de 2.9 por ciento acordado a nivel nacional, porcentaje que los trabajadores consideran insuficiente. También solicitaron mayor contratación de personal, abasto de medicamentos y materiales, así como condiciones que permitan garantizar una jubilación digna. Durante la marcha, los manifestantes señalaron que las deficiencias en insumos y recursos repercuten directamente en las labores del personal y en la atención que reciben los derechohabientes. También expresaron inconformidad con decisiones de la representación sindical y con modificaciones a los estatutos que, según los participantes, afectan sus derechos laborales y libertad de expresión. La protesta en Pachuca forma parte de una serie de movilizaciones que trabajadores activos y jubilados del IMSS han realizado en distintos puntos del país durante los últimos días, con demandas relacionadas con salarios, abasto de insumos, condiciones laborales y jubilaciones.</t>
  </si>
  <si>
    <t>Señalando motivos personales, Miguel Ángel Romero Mejía presentó su renuncia al cargo de titular del Órgano Interno de Control del Gobierno Municipal de Tulancingo. En un documento fechado el 30 de septiembre dirigido a la alcaldesa Lorena García Cázares, y con atención a Catalina Lemus Salinas en su calidad de Regidora Secretaria del Ayuntamiento, Romero Mejía da a conocer su decisión. A su vez, señala que la renuncia presentada tendrá efectos a partir del próximo 6 de octubre de este año. Miguel Ángel Romero Mejía rindió protesta al cargo ante la Asamblea Municipal en sesión del 17 de octubre del 2024, luego de participar en un proceso de selección, donde compitió por el cargo junto con otros seis aspirantes. La Ley Orgánica Municipal establece en el artículo 105 Quinquies que “El Ayuntamiento […] nombrará a la persona titular de Órgano Interno de Control por mayoría de votos…” “La persona designada solo podrá ser removida por mayoría de votos y por causas graves determinadas en la ley, debidamente justificadas.” Al ser dirigida la renuncia con atención a Catalina Lemus Salinas en su calidad de Regidora Secretaria del Ayuntamiento, se da por enterado al cuerpo edilicio del municipio de Tulancingo. Por lo que de acuerdo a las normativas legales vigentes, los integrantes de la Asamblea Municipal deberán analizar el documento de renuncia y las causas que se ofrecen para ello. Posteriormente, se establecerá una nueva elección de titular del Órgano Interno de Control de una terna que deberá presentarse para su respectivo análisis. De dicha terna se determinará a la persona que sustituya a Romero Mejía en el cargo, lo que deberá ocurrir por mayoría de votos del cuerpo edilicio del municipio de Tulancingo.</t>
  </si>
  <si>
    <t>Saderh</t>
  </si>
  <si>
    <t>En Pachuca se reporta un accidente entre un vehículo particular contra un taxi, esto en la calle de Ramírez Ulloa. No se reportan personas lesionadas. En Mineral de la Reforma, dentro del fraccionamiento Chavarría, un carro quedó dentro del canal. Se cayó prácticamente. Tampoco se reportan personas lesionadas,</t>
  </si>
  <si>
    <t>Accidente Vial</t>
  </si>
  <si>
    <t>El gobernador Julio Menchaca Salazar encabezará la entrega del Premio Estatal de la Juventud 2026. Esto se realizará en la Sala del Pueblo allá en el edificio de Gobierno a las 11:00 de la mañana.</t>
  </si>
  <si>
    <t>Hoy se cumple una semana desde que comenzaron los festejos de la Feria San Francisco Pachuca 2026, un evento que ha tenido buena aceptación entre la gente, tanto de la ciudad como de visitantes de otras partes. Aunque ha habido un festejo relacionado con la tauromaquia, la respuesta del público no ha sido tan favorable como se esperaba. Esto ha generado polémica, especialmente por el tema del maltrato animal. Inmediatamente, los taurinos de la región están organizándose para apoyar la continuidad de la tauromaquia. Hoy los defensores de la fiesta brava se presentarán en el Senado para esperar que se respete su derecho a realizar estas actividades. Por otro lado, los grupos que defienden a los animales continúan su lucha en contra de las corridas de toros, no solo en el contexto de la feria, sino de manera general en el estado de Hidalgo. No se han visto manifestaciones masivas como se esperaba, pero no se descartan que puedan ocurrir en las próximas semanas. La feria sigue adelante y hay eventos programados en la cartelera, lo que hace que todos estén atentos a cómo se desarrollan las actividades y a la situación en el Senado.</t>
  </si>
  <si>
    <t>Tauromaquia</t>
  </si>
  <si>
    <t>Vía telefónica Milton Cortés Milton Cortés informa sobre el inicio de la Feria Tradicional San Francisco de Pachuca, que comenzará esta tarde en el centro de la ciudad. La feria no tendrá cambios respecto a las ediciones anteriores y mantendrá su temática, centrada en el atrio del exconvento de San Francisco. La inauguración se llevará a cabo en la Plaza Aniceto Ortega. Las autoridades municipales han señalado que en esta feria se promoverá el talento local con presentaciones de artistas y grupos de música y danza folclórica, además de funciones de magia y conciertos en las noches. El presidente municipal, Jorge Alberto Reyes, menciona que la intención es mantener las tradiciones y el arraigo de la feria, a pesar de algunas quejas sobre la manera en que se organiza, como la eliminación de juegos mecánicos. Asegura que el objetivo sigue siendo el mismo y que la feria mantendrá su esencia en el centro de la ciudad. Milton destaca que el perímetro del Parque Hidalgo se mantendrá libre y que algunas avenidas, como la Avenida Hidalgo (sic) y Avenida Madero, tendrán circulación parcial. Asegura que se priorizará la movilidad en el primer cuadro de la ciudad durante la feria. Quienes deseen asistir desde esta tarde hasta el domingo podrán hacerlo con la seguridad de que la circulación será fluida. Habrá personal de la Secretaría de Seguridad Pública y Tránsito para supervisar el área. Andrés Torres resalta la necesidad de una buena planificación de la estrategia de tráfico para evitar contratiempos adicionales por el cierre de calles debido a la feria, especialmente con las lluvias.</t>
  </si>
  <si>
    <t>Feria Patronal</t>
  </si>
  <si>
    <t>El día de ayer en la zona centro, ahí en la calle de Julián Villagrán, muy cerca del mercado Benito Juárez, donde una combi brincó prácticamente la banqueta e impactó a una mujer dejándola lesionada. Esta Urvan de la ruta Amarrillas, su conductor fue puesto a disposición de las autoridades para los trámites correspondientes, pero sí llamó muchísimo la atención. Esta banqueta pues prácticamente es muy alta, venía distraído, no sabemos los factores: el exceso de velocidad, la distracción o venir completamente en el teléfono, e impactó a esta persona dejándola lesionada.</t>
  </si>
  <si>
    <t>Accidente transporte público</t>
  </si>
  <si>
    <t>A partir de hoy las calles aledañas a la iglesia de San Francisco de Pachua se encuentran cerradas, con motivo de la celebración de la Feria patronal de San Francisco.</t>
  </si>
  <si>
    <t>Andrés Torres da lectura a un mensaje que le envían desde San Agustín Tlaxiaca, donde denuncian el acoso y los cobros arbitrarios a arrendadores de vivienda estudiantil. Este problema surge poco antes de que termine la administración del alcalde Mario David Medina Hernández. Los vecinos y propietarios de estas viviendas señalan que están llevando a cabo operativos encubiertos para recaudar dinero y amenazan con multas a través de la Dirección de Reglamentos. Los afectados opinan que se está llevando a cabo una campaña actual de acoso administrativo por parte del gobierno municipal. Se menciona un documento firmado por Aldair Hinojosa Olvera, director de Reglamentos y Espectáculos, que se basa en artículos de la Constitución. Este documento informa sobre visitas a establecimientos y la necesidad de actualizar la normativa que regula la vida institucional del municipio. Se notifica a los arrendadores que deben presentarse en las oficinas del Ayuntamiento en un plazo de 24 horas desde la recepción de la notificación. Se menciona que su presencia es necesaria para tramitar la apertura y la obtención de la licencia de funcionamiento de su establecimiento, en este caso, el alquiler de habitaciones. En caso de no acudir, se les advierte que su establecimiento podría ser clausurado. Este mensaje implica que para aquellos que ofrecen servicios de alquiler de habitaciones a estudiantes, es necesario cumplir con las obligaciones fiscales correspondientes. Se reconoce que si están ofreciendo un servicio, deben pagar impuestos según la ley.</t>
  </si>
  <si>
    <t>Licencia de Funcionamiento</t>
  </si>
  <si>
    <t>Nos escribe la terminación 0903, dice: "Muy buenos días. Un reporte aquí en el puente que está en Portezuelo, está en muy malas condiciones y debajo del puente muchos baches, parece campo de golf. Saludos desde Tasquillo".</t>
  </si>
  <si>
    <t>Andrés Torres informa que Morena sacó ya la convocatoria para registrarse como coordinadores electorales federales de Morena. Este registro estará abierto del 1 al 4 de octubre. Las elecciones se llevarán a cabo en el 2027, donde se renovará el Congreso Federal compuesto por 500 diputados: 300 elegidos por mayoría y 200 por representación proporcional. El registro de los coordinadores, aunque se les llama así para cumplir con la ley electoral, de facto se considera que son candidatos. Resalta que la función de estos coordinadores es fortalecer la organización territorial del partido y ayudar a alcanzar los objetivos establecidos. Se ha especulado mucho sobre quiénes podrían ser estos coordinadores en los diferentes distritos. A lo largo de los días, diversos medios han publicado listas de posibles candidatos y se espera con interés quiénes se registrarán. En este sentido, señal a que hay el rumor de que Alfredo San Román Duval, actual presidente municipal de Huejutla, será coordinador en el distrito 1. En el distrito 7, se habla de que Susana Ángeles, expresidenta municipal de Tizayuca, también podría tener una posición asegurada. Adicionalmente, en el distrito 6 de Pachuca, se considera probable que Rebeca Aladro sea la coordinadora electoral. Después del 4 de octubre, se anticipa otra convocatoria para los coordinadores municipales. Se espera que tras esta convocatoria, algunos que no logren ser seleccionados como coordinadores distritales puedan cambiarse a otras fuerzas políticas, como por ejemplo al PT.</t>
  </si>
  <si>
    <t>El presidente municipal de Huejutla, Alfredo San Román Duval, viajó a Pachuca para presentar el programa de actividades del Xantolo en el Centro Cultural del Ferrocarril. La conferencia de prensa fue muy concurrida, pero no se vio ninguna nota sobre el evento. Sin embargo, se informó que todo estaba listo para los festejos del Xantolo que se celebrarán a fin de mes en Huejutla.</t>
  </si>
  <si>
    <t>El Sistema Estatal de Protección civil la Subsecretaria de Protección Civil del Gobierno del Estado y da lo dependiente de la Secretaría de Gobierno se mantiene en alerta ante esta situación climática ante el pronóstico de lluvias intensas para la mayor parte del estado.</t>
  </si>
  <si>
    <t>Prevención De Riesgos</t>
  </si>
  <si>
    <t>Música, pan y buñuelos, dulces y comida, además del trabajo de los artesanos y comerciantes dan vida a la Feria Tradicional San Francisco 2026 en Pachuca, cuyas actividades se llevarán a cabo en el Centro Histórico de esa ciudad a partir de ayer jueves hasta el próximo domingo. La secretaria de Turismo, Liz Quintanar, invitó a la población a visitar la feria y ser parte de esta fiesta.</t>
  </si>
  <si>
    <t>En lo que va de la actual administración, 61 familias adoptivas han cruzado el Puente de Amor para brindar un nuevo comienzo y un hogar lleno de cariño, respeto y oportunidades a niñas, niños y adolescentes que se encontraban bajo el cuidado de los Centros de Asistencia Social del Sistema DIF Hidalgo. Acompañada por integrantes del Consejo Técnico de Adopciones, la presidenta del Patronato destacó que hasta ahora se han concretado 61 integraciones familiares, entre ellas las de tres adolescentes y tres niños con discapacidad.</t>
  </si>
  <si>
    <t>Adopción De Menores</t>
  </si>
  <si>
    <t>Como un reconocimiento y respaldo a las y los jóvenes hidalguenses, el gobernador Julio Menchaca Salazar encabezó la entrega del Premio Estatal de la Juventud 2026 y programas sociales para 667 beneficiarios, gracias a la inversión de 6,200,000 pesos.</t>
  </si>
  <si>
    <t>También en esta información sobre las convocatorias de Morena para ser los próximos goberna- eh... coordinadores distritales, tanto a nivel federal como local, así como municipal, el gobernador señaló que lo más importante es el movimiento al que pertenece. Pues que eh... primero tengamos enfocado que el movimiento es lo más importante, que los puestos son de alguna manera coyunturales y que espero que tengamos y deseo, de verdad, las mejores representaciones en todos los ámbitos: en los municipios, en los distritos locales y en los distritos federales, porque es un trabajo conjunto el respaldar este gran movimiento que de... que encabeza la presidenta Claudia Sheinbaum.</t>
  </si>
  <si>
    <t>Aspirantes</t>
  </si>
  <si>
    <t>Y vamos a otra información, porque la construcción de las Casas del Bienestar en municipios de Hidalgo van avanzando, señaló el gobernador Julio Menchaca Salazar. Julio Menchaca Salazar (Gobernador del Estado de Hidalgo): Van avanzando mucho en la construcción. Van avanzando mucho en la construcción... en la en la construcción, eh... y yo creo que va a haber un evento pronto con la presidenta de la República.Reportera: Y respecto de los servicios, drenaje...Julio Menchaca Salazar</t>
  </si>
  <si>
    <t>Plan Nacional De Vivienda</t>
  </si>
  <si>
    <t>Yo agradezco mucho a la secretaria de Salud, Vanessa Escalante, quien hoy estuvo en Tula, quien nos saludó, pudimos platicar con ella, ella estuvo con las brigadas de Salud. Vemos que lo que es el día de hoy es lo que el gobernador ha indicado, ¿no?, estar con la gente, con el pueblo. ¿Cómo le va aquí en Tula?. Vanessa Escalante Arroyo (Secretaria de Salud de Hidalgo) dijo: Nos va muy bien, estamos muy agradecidos. Una de las instrucciones del gobernador Julio Menchaca es poder entregar los servicios directamente a la población.</t>
  </si>
  <si>
    <t>Brigadas De Salud</t>
  </si>
  <si>
    <t>Hoy el centro de Tula ofreció servicios de salud para todos los integrantes de la familia: para niños, para señoras, para señores, adultos mayores, para toda la familia. Había carpas en donde usted podía llegar y le daban atención en distintas ramas de la medicina.</t>
  </si>
  <si>
    <t>Y en más información que se ha venido suscitando tenemos información desde el estado de Hidalgo, Menchaca Salazar respalda la transformación de la juventud hidalguense, el gobernador entregó Premio Estatal de la Juventud 2026, a través de tres programas 649 jóvenes fueron beneficiaros beneficiados con una inversión de 6 millones de pesos, como un reconocimiento y respaldo a las y los jóvenes hidalguenses, el gobernador Julio Menchaca Salazar encabezó la entrega del Premio Estatal de la Juventud 2026 y programas sociales para 667 beneficiarios, gracias a la inversión de 6 millones 200 mil pesos, pero vamos a escuchar parte de lo que dijo el gobernador de allá de Hidalgo en torno a estos apoyos y a estos premios.</t>
  </si>
  <si>
    <t>Aseguramiento de arma de fuego en secundaria de Huasca de Ocampo. Una situación que preocupa y que nos debe de ocupar también, pero que también hay que señalarlo, no hay que alarmarse. Es un caso aislado, pero sí que debe llamarnos la atención. Y es que tras una revisión a mochilas de estudiantes, autoridades aseguraron un arma de fuego a un alumno de una secundaria en Huasca de Ocampo.En un operativo en la secundaria Teodomiro Manzano, personal de la institución detectó un arma calibre 22, presuntamente cargada en las pertenencias de un alumno de 13 años.</t>
  </si>
  <si>
    <t>Y esta semana pudimos conocer la donación de un corazón de un joven de 16 años a un adulto ya de 50 años. Fue aquí en Hidalgo donde se hizo esta donación.El corazón fue trasladado a la Ciudad de México, a la raza. Respecto a esto, el director general del Centro Estatal de Transplantes, Carlos Ávila Zúñiga, reiteró la importancia de donar órganos para que muchas personas tengan otra oportunidad de vivir.</t>
  </si>
  <si>
    <t>El próximo sábado 10 de octubre, Teletón llevará a cabo su edición 29 de Recaudación Nacional con el LEMA. Por eso te quiero Teletón, con la cual contempla superar la meta de 426.978.716 más un peso para ayudar a niñas y niños con discapacidad, cáncer, autismo. Así lo informó Kalev Estrada, promotor de recaudación CRIC y en Hidalgo.Se espera que en Hidalgo, por tercer año consecutivo, supere la meta de recaudación de 7 millones de pesos.</t>
  </si>
  <si>
    <t>Teletón</t>
  </si>
  <si>
    <t>Y el sistema Dif Hidalgo informó que todavía faltan 49 municipios por instalar sus Procuradurías Municipales de Protección de Niñas, Niños y Adolescentes para cubrir todo el estado.Solo faltan detalles operativos. La meta es que los 84 municipios deben contar con esta instancia especializada dentro de su sistema municipal. Destacó Edda Vite Ramos, presidenta del Patronato del Dif Hidalgo.Estuvimos en cuatro municipios y llegamos a la número 35, pues nos faltan 49 por formalizar y esperemos que poco a poco se vayan haciendo. Muchos son el personal que debe estar integrado por profesionales de la psicología, del área jurídica y del área de trabajo social. Muchos es porque no tienen el espacio adecuado, porque eso es importante, contar con las oficinas adecuadas para poder atender a la gente.</t>
  </si>
  <si>
    <t>Un camión que trasladaba a trabajadores del Tren México-Querétaro terminó dentro de un canal de aguas negras en Atotonilco de Tula.Algunos pasajeros tuvieron que subir al toldo de la unidad mientras llegaban los cuerpos de emergencia. Pese a lo aparatoso de este accidente, los reportes señalan que no hubo personas lesionadas.</t>
  </si>
  <si>
    <t>Accidente Carretero</t>
  </si>
  <si>
    <t>: En buenas noticias, un estudiante de Conalep Hidalgo desarrolló Agrofly.Es un proyecto que utiliza drones para apoyar la reforestación en zonas de difícil acceso. José de Jesús Rivas Ángeles es alumno de electromecánica industrial y adaptó al drone un sistema para dispersar esferas de vida, estas cápsulas de arcilla con semillas endémicas. La propuesta es incorporar tecnología de mapeo para planear y controlar la dispersión aérea.El proyecto busca ofrecer una alternativa más práctica a operativos que antes requerían helicópteros ante problemas como la tala clandestina, los incendios y las plagas</t>
  </si>
  <si>
    <t>Innovación tecnológica</t>
  </si>
  <si>
    <t>La Secretaría de Salud de Hidalgo informó que durante la próxima temporada invernal se aplicarán un millón ocho mil veinte dosis contra influenza y quinientos dieciséis mil seiscientas veinte vacunas contra COVID-19 como parte de la estrategia para proteger a la población hidalguense.</t>
  </si>
  <si>
    <t>Vacunación</t>
  </si>
  <si>
    <t>Y la Secretaría de Salud de Hidalgo encabezó la cuarta sesión extraordinaria del Consejo Estatal de Salud con la participación de instituciones como el IMSS, IMSS-Bienestar, ISSSTE y Cruz Roja. Durante la reunión analizaron indicadores de mortalidad asociados a COVID-19, mortalidad materna y enfermedades crónicas no transmisibles con el objetivo de coordinar acciones de prevención y atención</t>
  </si>
  <si>
    <t>Coordinación Interinstitucional</t>
  </si>
  <si>
    <t>Y la caravana cultural llegará este domingo 4 de octubre a Tlahuelilpan con siete presentaciones gratuitas de música y danza desde las 13.30 horas. La actividad se realiza en coordinación con el ayuntamiento y busca acercar las artes a las familias del municipio y comunidades cercanas. La cartelera puede consultarse en las redes sociales de la Secretaría de Cultura de Hidalgo.</t>
  </si>
  <si>
    <t>Caravanas Culturales</t>
  </si>
  <si>
    <t>Huejutla invita a vivir al Xantolo del 30 de octubre al 2 de noviembre. La secretaria de Cultura, Neida Naranjo, destacó que la festividad busca preservar las tradiciones de la Huasteca y atraer visitantes a Huejutla.Xantolo 2016, una de las expresiones culturales más importantes del Estado de Hidalgo y un símbolo de la identidad, la memoria y la riqueza comunitaria de esta región también, la Huasteca.</t>
  </si>
  <si>
    <t>Los 84 municipios de Hidalgo deberán presentar sus propuestas de ley de ingresos para 2027. El Congreso Estatal revisará los documentos para evitar tarifas excesivas y errores que puedan generar observaciones.Durante la entrega de las iniciativas, el presidente de la Junta de Gobierno, Andrés Velázquez Vázquez, pidió a los alcaldes mantener sus finanzas en orden y no llegar al cierre de sus administraciones con auditorías, recursos pendientes o problemas financieros, especialmente a quienes tengan aspiraciones políticas. El legislador señaló que el Congreso y la Auditoría Superior del Estado brindarán acompañamiento a los ayuntamientos, aunque subrayó que cada auditoría municipal es responsable del manejo de los recursos públicos.</t>
  </si>
  <si>
    <t>La Suprema Corte de Justicia de la Nación negó el amparo promovido por abogados, que reclamaban pagos derivados de un contrato de servicios jurídicos con la cooperativa La Cruz Azul, declarado nulo al resolver el Amparo Directo 57 Diagonal 2025. El máximo tribunal confirmó la nulidad absoluta del acuerdo y la improcedencia de exigir pagos con base en ese contrato. Con ello, queda firme la sentencia favorable a la cooperativa y se cierra el litigio por esas mismas pretensiones.Víctor Velázquez, presidente del Consejo de Administración, señaló que el fallo pone fin a una contingencia que afirmó amenazaba el patrimonio de la organización.</t>
  </si>
  <si>
    <t>En otra información, el gobierno de México mantiene 19 proyectos activos en la región de Tula, enfocados en mejorar la calidad de vida y fortalecer la movilidad, informó Miguel Ángel Tello Vargas, titular de la Unidad de Planeación y Prospectiva.Entre las acciones destacan el saneamiento del río Tula, la modernización de la termoeléctrica con gas natural, y mejoras a la planta de tratamiento de aguas residuales de Atotonilco. También se contempla construir una estación del Tren México-Querétaro. Tello Vargas señaló que los proyectos forman parte de una visión de largo plazo, con beneficios que llegarán de manera gradual hacia 2030.</t>
  </si>
  <si>
    <t>En otra información con inteligencia artificial, 355 cámaras, 22 torres rosas y coordinación con el C5, el municipio fortalece su capacidad de prevención, vigilancia y respuesta. Después de años en los que la seguridad representó uno de los principales retos para Tula de Allende, hoy el municipio abre una nueva etapa con la inauguración de su centro de control y comando, su C2, una infraestructura tecnológica que coloca la seguridad como una prioridad de inversión y atención pública.El nuevo C2 integra tecnología, videovigilancia, inteligencia artificial y capacidad de respuesta para fortalecer las labores de prevención, monitoreo y atención de emergencias en distintos puntos del municipio. Durante su intervención, el presidente municipal, Cristian Martínez, destacó que este proyecto representa un cambio en la manera de atender uno de los principales desafíos de las familias tulenses.</t>
  </si>
  <si>
    <t>Videovigilancia</t>
  </si>
  <si>
    <t>En Hidalgo 61 niñas, niños y adolescentes han encontrado un hogar adoptivo durante la actual administración.La presidenta del patronato del DIF estatal Edda Vite Ramos informó que entre las integraciones familiares hay 3 adolescentes y 3 menores con discapacidad. También destacó la reciente adopción de un niño con acrondoplasia. Edda Vite Ramos señaló que la adopción busca brindar a cada menor un entorno seguro, afectuoso y respetuoso donde pueda desarrollar sus capacidades y cumplir sus sueños.</t>
  </si>
  <si>
    <t>Y el gobernador Julio Menchaca encabezó la entrega del premio estatal de la juventud 2026 y de programas sociales que beneficiaron a 667 jóvenes con una inversión total de 6 millones 200 mil pesos. 18 jóvenes recibieron el premio estatal con una bolsa de 200 mil pesos. Además 237 fueron apoyados con el programa jóvene</t>
  </si>
  <si>
    <t>Y rumbo al proceso electoral 2026-2027 el gobierno de Hidalgo abrió una mesa de diálogo con las dirigencias de los partidos políticos para mantener comunicación directa y establecer acuerdos dentro del marco legal. El encuentro encabezado por el secretario de gobierno Guillermo Olivares Reina busca evitar confrontaciones y mantener condiciones de civilidad durante el proceso electoral.</t>
  </si>
  <si>
    <t>Reunión con partidos</t>
  </si>
  <si>
    <t>El gobernador Julio Menchaca confirmó que un integrante de su gabinete analiza participar en el proceso político rumbo a las elecciones 2027, aunque aclaró que todavía no hay una decisión definitiva sin revelar su identidad. El nombre hay algunos rumores por ahí que de qué secretario se está se está barajeando dentro de las próximas elecciones pero el mandatario dijo que si el secretario decide competir tendría que separarse del cargo y adelantar su comparecencia ante el congreso estatal como parte de la glosa de su informe.</t>
  </si>
  <si>
    <t>Radioescucha 18003. Dicen: «Buenos días para todos, señor Larrieta. Un gusto saludarle. Le pido de su gentil ayuda para reportar una fuga de agua</t>
  </si>
  <si>
    <t>Fuga De Agua</t>
  </si>
  <si>
    <t>Participación semanal de Mtro. Julio Valera con el tema: Paridad de género para gubernaturas. La Suprema Corte de Justicia de la Nación resolvió dos acciones de inconstitucionalidad en materia de paridad de género para gubernaturas correspondientes a los estados de San Luis Potosí y Durango. En ambas entidades, los congresos locales legislaron y reformaron sus constituciones y leyes electorales para establecer la alternancia obligatoria de género en las candidaturas a la gubernatura, haciendo uso de la libertad de configuración normativa que posee cada legislatura local. En otras entidades donde se reformaron las leyes para contemplar la alternancia de género en la postulación a la gubernatura, la normativa se mantiene firme, tal es el caso del estado de Hidalgo. Es importante recordar que Hidalgo legisló la alternancia de género en la gubernatura desde 2021, cumpliendo cabalmente con los parámetros constitucionales. Dicha reforma nunca fue impugnada por ninguna vía legal, por lo que se encuentra firme e incluso ya ha sido aplicada. Así lo habla y establece el artículo 62 de la Constitución Política del Estado de Hidalgo: «La elección de gobernador será directa, secreta, uninominal y por mayoría en todo el territorio del estado en los términos de la ley de la materia. Los partidos políticos deberán alternar el género en la candidatura para cada período electivo». El Tribunal determinó que únicamente el Congreso de la Unión, el del estado de Hidalgo y de México cumplieron con la obligación de legislar en materia de paridad de género para la postulación de gubernaturas. Por ello se vinculó al resto de las legislaturas locales a cumplir con dicha obligación antes del inicio de los comicios de 2024. Para armonizar esta disposición constitucional, el Código Electoral del Estado de Hidalgo reguló la postulación paritaria en su artículo 21 estableciendo: «Para el caso de elección a la gubernatura del estado, los partidos políticos deberán alternar el género en la candidatura por cada período electivo».</t>
  </si>
  <si>
    <t>Paridad de género</t>
  </si>
  <si>
    <t>Vía telefónica Francisco Javier Licona Durán Vocal Ejecutivo de la 06 Junta Distrital del INE con en Pachuca con el tema: Proceso electoral y todo el trabajo del INE . El INE emitió la convocatoria para integrar los consejos distritales de cara a las elecciones del próximo 6 de junio, en las que se renovarán los 84 ayuntamientos de Hidalgo, el Congreso del Estado y la Cámara de Diputados del Congreso de la Unión; la invitación está abierta a cualquier persona interesada mayor de 18 años, sin importar su perfil.</t>
  </si>
  <si>
    <t>Vía telefónica Psicólogo Samuel Nava, del Programa de Educación Socioemocional de la SEPH , temas socioemocionales Y situaciones que pasaron en escuelas de otras entidades, en Ciudad de México , en Nuevo León pues finalmente ayer Coahuila.</t>
  </si>
  <si>
    <t>Convivencia Escolar</t>
  </si>
  <si>
    <t>El Gobierno Municipal de Mineral de la Reforma reforzará la vigilancia en La Reta 1, ubicada en el fraccionamiento Paseos de Chavarría, ante los actos de vandalismo registrados de manera constante en este espacio público.La administración municipal llamó a la ciudadanía, especialmente a las personas usuarias de este espacio, a utilizarlo de manera responsable y cuidar las instalaciones.</t>
  </si>
  <si>
    <t>Vandalismo</t>
  </si>
  <si>
    <t>DIF Pachuca abre jornada gratuita de mastografías para mujeres de 40 a 69 años.Pachuca refuerza la prevención del cáncer de mama con estudios gratuitos y cupo limitado. En el marco del mes de concientización sobre el cáncer de mama, el Sistema DIF Pachuca, encabezado por Mariana Mayén, abrió el registro para una Jornada de Mastografías gratuitas, dirigida a mujeres de 40 a 69 años. Las interesadas podrán registrarse del 1 al 16 de octubre, de lunes a viernes, de 8:30 a 17:00 horas, en el Centro de Atención Médica y Diagnóstico (CAMyD), ubicado en Parque Hidalgo No. 30, colonia Centro. Deberán presentar copia de INE vigente y CURP.Los estudios se realizarán el 26 de octubre en las instalaciones del DIF Pachuca, en Parque Hidalgo No. 120. El cupo es limitado.</t>
  </si>
  <si>
    <t>Cáncer De Mama</t>
  </si>
  <si>
    <t>Autoridades educativas localizaron un arma de fuego entre las pertenencias de un estudiante de la Escuela Secundaria General Teodomiro Manzano en el municipio de Huasca. Durante una revisión acordada entre padres de familia y autoridades educativas, se localizó un arma de fuego entre las pertenencias de un estudiante de la Escuela Secundaria General Teodomiro Manzano, ubicada en el municipio de Huasca.</t>
  </si>
  <si>
    <t>Con el propósito de analizar de manera directa los principales indicadores de salud en la entidad y establecer acciones inmediatas y coordinadas que permitan fortalecer su prevención y atención, se llevó a cabo la Cuarta Sesión Extraordinaria del Consejo Estatal de Salud de Hidalgo, presidida por la Secretaria de Salud, Vanesa Escalante Arroyo.</t>
  </si>
  <si>
    <t>El titular de la Unidad de Planeación y Prospectiva (Uplaph), Miguel Ángel Tello Vargas, destacó que el Gobierno de México mantiene 19 proyectos activos en la región de Tula, orientados a mejorar las condiciones de vida de las y los hidalguenses.</t>
  </si>
  <si>
    <t>El Xantolo, la fiesta grande de la Huasteca, volverá a Huejutla de Reyes del 30 de octubre al 2 de noviembre, con altares, cuadrillas, danzas y ofrendas en el centro del municipio. La Secretaria de Cultura, Neyda Naranjo, explicó que el escenario de este año lleva por lema «Legado que da identidad» y su entrada reproduce el puente de piedra del barrio de Tecoluco, inaugurado en julio de 1889, que durante un siglo sirvió como paso peatonal y de arriería.</t>
  </si>
  <si>
    <t>Los municipios de Cardonal y Ajacuba incumplieron con la entrega de sus respectivas leyes de ingresos para el ejercicio fiscal 2027 al Congreso de Hidalgo, cuyo plazo venció el 1 de octubre. Debido a esta omisión, ambas demarcaciones no podrán actualizar sus tarifas y cuotas, por lo que aplicarán las vigentes en años anteriores. En contraste, los 82 municipios restantes entregaron en tiempo y forma sus documentos, los cuales serán analizados por la Comisión de Hacienda y Presupuesto del Congreso local. En Cardonal la propuesta fue rechazada por un incremento del 3.5% en impuestos municipales, mientras que en Ajacuba regidores solicitaron frenar aumentos catastrales, aunque la alcaldesa optó por mantener los cobros.</t>
  </si>
  <si>
    <t>Susana Ángeles Quesada, exalcaldesa de Tizayuca y exdiputada local, renunció a la Dirección General de Relaciones Interinstitucionales, Participación Política y Social de la Secretaría de las Mujeres del Gobierno Federal, cargo que ocupó por casi dos años. A través de sus redes sociales, la militante de Morena anunció su regreso al trabajo territorial en Hidalgo, enmarcado en los reacomodos políticos rumbo a las elecciones de 2027. Aunque no especificó aspiraciones políticas inmediatas, señaló que continuará su labor cercana a las comunidades.</t>
  </si>
  <si>
    <t>El gobernador de Hidalgo, Julio Menchaca Salazar, informó que funcionarios de su administración evalúan dejar sus cargos para postularse en el proceso electoral de 2027. Recordó que con antelación invitó a quienes tienen aspiraciones políticas a separarse de la administración estatal para competir por la renovación de los 84 ayuntamientos y las 30 diputaciones locales en Hidalgo, así como las siete diputaciones federales. Menchaca señaló que este proceso de definición ocurre también a nivel nacional dentro del movimiento y recalcó que los interesados deben seguir los procedimientos establecidos para evitar ventajas indebidas.</t>
  </si>
  <si>
    <t>En entrevista, José Francisco García Reyes, titular de la Comisión de Búsqueda de Personas del Estado de Hidalgo, informó sobre los avances y estadísticas en la localización de personas desaparecidas durante los primeros nueve meses de 2026. Destacó una disminución de entre 40% y 45% en el número de fichas de búsqueda en comparación con el año anterior, pasando de más de 600 registros a cerca de 380, con una efectividad superior al 90% en las localizaciones. Actualmente, las autoridades de Hidalgo, Estado de México y Ciudad de México colaboran en un operativo conjunto para dar con el paradero de una familia de cuatro integrantes —una mujer y sus tres menores hijos— vista por última vez el pasado 27 de agosto en Tizayuca. Asimismo, enfatizó la importancia de reportar de manera inmediata cualquier desaparición y solicitó la colaboración ciudadana para aportar indicios útiles a las investigaciones coordinadas con fiscalías estatales y federales.</t>
  </si>
  <si>
    <t>Búsqueda de personas</t>
  </si>
  <si>
    <t>Se informa sobre un fuerte operativo de seguridad desplegado en la comunidad de Xocopa, municipio de Cuautepec, con la participación de la Secretaría de la Defensa Nacional, la Guardia Nacional y la Policía Estatal, presuntamente vinculado al combate al robo de hidrocarburo. Trascendió de manera extraoficial la confiscación de camionetas adaptadas con bidones para el almacenamiento y transporte de combustible robado, así como la presunta intervención en un predio utilizado para el resguardo ilícito. Sin embargo, las autoridades federales y estatales aún no han emitido una confirmación oficial de estos hechos. Cuautepec encabeza los municipios del país con mayor incidencia de tomas clandestinas de hidrocarburo durante el primer semestre de 2026, registrando un incremento respecto al periodo anterior. Mientras que el gobierno local sostiene que el combate a este ilícito es de competencia federal, la Fiscalía General de la República y Petróleos Mexicanos se encargan de las investigaciones correspondientes, contando con el apoyo operativo de las fuerzas federales y estatales.</t>
  </si>
  <si>
    <t>Combate Al Huachicol</t>
  </si>
  <si>
    <t>Se detalla el hallazgo de dos cuerpos sin vida en el kilómetro 138 de la autopista México-Tuxpan, cerca de la antigua caseta de cobro El Tejocotal, en Huauchinango, Puebla. En el sitio se desplegó un operativo de rescate y seguridad con la participación de la Marina, la Secretaría de Seguridad Pública, la Defensa Nacional, la Guardia Nacional, la fiscalía general de la República y la Comisión de Búsqueda de Personas. De manera extraoficial se investiga si los restos corresponden a dos trabajadores de la Comisión Federal de Electricidad desaparecidos desde junio pasado, quienes habrían sido privados de su libertad y despojados de sus unidades tras salir de Huauchinango e ingresar a la zona de Acaxochitlán, cerca de la presa del Tejocotal. Las autoridades continúan trabajando en las labores de rescate y se espera información oficial para confirmar la identidad de las víctimas.</t>
  </si>
  <si>
    <t>Localización de cuerpo</t>
  </si>
  <si>
    <t>Gobierno de México mantiene 19 proyectos activos en la región de Tula</t>
  </si>
  <si>
    <t>Un techado para la cancha de usos múltiples del Cobaeh Ahuatitla tendrá una inversión de 2.1 millones de pesos y beneficiará directamente a 361 estudiantes como parte de las obras de infraestructura educativa que comenzaron en San Felipe Orizatlán. Durante una gira de trabajo por el municipio, el secretario de Educación Pública del Estado, Natividad Castrejón Valdez, también dio el banderazo para construir un andador y un muro de contención en la primaria Melchor Ocampo de Tultitlán, así como otro techado en la primaria indígena Cuauhtémoc, mientras que en la Secundaria Técnica número 7 se entregaron uniformes, útiles escolares, libros de texto y zapatos. En total, los apoyos escolares entregados durante la gira están dirigidos a más de 25,000 estudiantes de educación básica del municipio, de acuerdo con la Secretaría de Educación Pública del Estado. Castrejón Valdez señaló que las acciones buscan respaldar a las comunidades educativas y mejorar las condiciones en las que estudian niñas, niños y adolescentes. El recorrido incluyó planteles de distintas localidades y contó con la participación de autoridades educativas y municipales</t>
  </si>
  <si>
    <t>Entrevista vía telefónica Laura Silvia González Quintos, coordinadora Estatal del Inegi en Hidalgo - Habló sobre los resultados demográficos, sociales y de infraestructura que reflejan la evolución de la entidad entre los años 2020 y 2025. Entre los puntos clave se destacó el incremento poblacional del estado, alcanzando los 3,245,595 habitantes. Asimismo, se abordó la transición demográfica caracterizada por una disminución en la tasa global de fecundidad (pasando de 1.8 a 1.1 hijos por mujer) y un envejecimiento progresivo de la población, donde los adultos mayores de 60 años pasaron del 12.5% al 15.6%. En cuanto a servicios públicos y equipamiento en los hogares, se reportaron mejoras importantes en la disponibilidad de tinacos, regaderas y calentadores solares. Respecto a la población indígena, se registró una disminución tanto en su número total como en su proporción. Finalmente, en materia de migración se destacó un saldo neto positivo impulsado principalmente por motivos familiares, mientras que en educación se observa una mayor asistencia escolar, menor analfabetismo y un incremento en los años promedio de escolaridad.</t>
  </si>
  <si>
    <t>OCSAD</t>
  </si>
  <si>
    <t>Entrevista pautada</t>
  </si>
  <si>
    <t>Julio Menchaca respalda transformación de juventud hidalguense</t>
  </si>
  <si>
    <t>Pachuca, sede del XXV Congreso Nacional de Bibliotecas Públicas</t>
  </si>
  <si>
    <t>Congreso nacional</t>
  </si>
  <si>
    <t>Durante septiembre, el gobierno municipal de Cuautepec de Hinojosa, encabezado por el presidente Jorge Hernández Araus, realizó la entrega de apoyos correspondientes a los programas “Láminas Zintro para tu Hogar” y “Transformando tu Hogar”. Como parte del primer esquema, se entregaron 414 láminas zintro en distintas medidas, beneficiando a 34 familias. En tanto, mediante “Transformando tu Hogar” se distribuyeron 34 toneladas de cemento gris y 2 toneladas de cemento mortero, en apoyo de 15 familias. Las convocatorias para ambos programas permanecen abiertas: “Láminas Zintro para tu Hogar” hasta el 30 de octubre, y “Transformando tu Hogar” hasta el 9 de octubre, con insumos subsidiados como cemento, pintura, impermeabilizante, calentadores solares y tinacos. Las solicitudes se reciben en la Jefatura de Vivienda, ubicada en calle Juárez número 101, colonia Centro, tercera planta. Para consultar requisitos y procedimientos está disponible el teléfono 556 734 1216.</t>
  </si>
  <si>
    <t>Mejora de vivienda</t>
  </si>
  <si>
    <t>El Congreso del Estado de Hidalgo organizó un evento para enaltecer la riqueza cultural del municipio Acaxochitlán, haciendo énfasis en la trascendencia histórica y la voz de las comunidades indígenas, así como el papel fundamental que desempeñan las mujeres, a través de sus saberes, arte y trabajo diario, además de reconocer su trayectoria. El diputado Andrés Velázquez Vázquez, presidente de la Junta de Gobierno, celebró la riqueza cultural, histórica y natural del municipio, reconocido como Pueblo Mágico. Señaló la importancia de preservar y promover sus tradiciones, entre ellas la medicina tradicional, la partería, música, folclor, textiles, gastronomía y cuidado del medio ambiente, resaltando el valor de los saberes heredados de generación en generación. Asimismo, reconoció al ayuntamiento, a las instituciones vinculadas con la cultura y el desarrollo indígena, así como a las y los artesanos que participaron en el encuentro, y extendió una invitación a conocer Acaxochitlán, disfrutar de sus paisajes y acercarse a la calidez de sus comunidades. La diputada Yarabi González Martínez, presidenta de la directiva de septiembre y de la primera Comisión Permanente para el Desarrollo Integral de Pueblos y Comunidades Indígenas y Afromexicanas, resaltó el papel de artesanas, artesanos, cocineras tradicionales, productores, médicos tradicionales y parteras en la preservación de la identidad y la memoria colectiva, así como la importancia de valorar su trabajo y contribuir a que estos conocimientos se mantengan vivos.</t>
  </si>
  <si>
    <t>Patrimonio cultural</t>
  </si>
  <si>
    <t>61 familias hidalguenses cruzaron el Puente de Amor para brindar un hogar a niñas, niños y adolescentes en Hidalgo.</t>
  </si>
  <si>
    <t>Estudiante de Conalep Hidalgo desarrolla dron para apoyar la reforestación.</t>
  </si>
  <si>
    <t>En una escuela secundaria general de Huasca de Ocampo, la Secretaría de Educación Pública de Hidalgo (SEPH) activó protocolos de actuación institucional tras el decomiso de un arma de fuego y cartuchos útiles en la mochila de un alumno de 13 años. Las autoridades escolares y directivos aplicaron los protocolos correspondientes, notificando a los padres del menor y dando parte a las instancias de investigación para esclarecer la procedencia del arma. Ante este reporte de ingreso de objetos de riesgo, la dependencia reafirmó su coordinación con autoridades y padres de familia para salvaguardar la integridad de la comunidad escolar y reforzar entornos seguros, exhortando además a utilizar responsablemente los canales institucionales y evitar la difusión de información no verificada.</t>
  </si>
  <si>
    <t>Andrés Torres, en respuesta del radioescucha Fidel Ortiz, que dice: "Entonces, ¿el señor que los quiere correr es como Donald Trump?" [risas]; contesta: El señor que nos quiere correr es este... pues no sabe uno si es niño o niña, ¿no? Que un día es periodista, otro día es transversalidad, otro día escribe propaganda política estilo los años 30, otro día este le dice a la gente: "Yo no sé nada de administración", otro día es acosador... Así, así todos los días, tiene una faceta distinta, ¿no? Todos los días este hay que este... pues ah tenemos que tener cuidado a ver de qué lado amaneció su humor y este pues un día te corre del estacionamiento, otro día te da un lugar en el estacionamiento, un día te quiere quitar el programa, un día te lo devuelve... este, en fin. Así. ¿Sabes qué es lo más triste de todo?, lo más, lo más triste de todo es que en 13 años que llevamos con este programa al aire, es la misma fórmula todos los días. Lo mismo hizo Sergio Islas, que hoy está en la cárcel; lo mismo hizo Cristian Guerrero, que hoy está este en proceso de regresar a la cárcel; lo mismo hizo este Alan Austria, ¿no?, que hoy está quién sabe... ¡ahí está, a saber dónde! Y el director actual, lo mismo, digo. Yo no sé... yo empiezo a pensar que el del problema soy yo, ¿no? [risas]; porque pues hay una constante ahí en esa ecuación. Hay una constante. Pero bueno, pues el el asunto es que... ¿Saben que no conoce las estaciones, que nunca las ha visitado? ¿Saben que nunca ha entrado a mi oficina, que nunca ha venido al área de radios, que nunca ha hecho una junta para presentar a su equipo? ¿No? Por ejemplo, son los... son las cosas a las que yo me tengo que enfrentar todos los días, todos los días. ¿No? Tengo tres... ¿somos qué, 30 y tantos?... ¿30 personas en el área de radio, no? De las cuales 10 están en las antenas, es decir, son veladores, son gente que solamente se dedica a cuidar los equipos. No tienen nada que ver con temas de producción, no tienen que ver nada con temas de eh... ningún sistema de producción radiofónica, ¿no?, absolutamente nada. Eso nos reduce a 20 personas, ¿no?, que trabajamos los 365 días del año. Yo no estoy de ninguna manera diciendo que sea imposible, yo estoy diciendo que nosotros hacemos lo que nos toca. No, cuando nos dicen: "Oye, compra Fabuloso para el baño porque no hay", ¡lo compramos! Cuando nos dicen: "No, oigan, ayúdenos porque se está metiendo el agua, porque se cuela el agua cuando llueve por todos lados", ¡los ayudamos! Cuando nos dicen: "Oye, llévanos, tráenos en tu carro porque no tenemos carro para ir y venir", ¡me los traigo de la Huasteca en mi carro! En fin... este, les repito, eso es lo triste, que se acostumbra uno a e so [risas]...</t>
  </si>
  <si>
    <t>Mal Desempeño</t>
  </si>
  <si>
    <t>Ayer se activaron alertas en Huasca de Ocampo cuando un menor ingresó a una escuela con un arma de fuego. La Secretaría de Seguridad Pública recibió un aviso sobre esta situación en la Escuela Secundaria General Teodomiro Manzano. Al llegar, los oficiales encontraron el arma en las pertenencias del menor, que fue asegurada para investigaciones posteriores. Además, la Secretaría de Educación Pública emitió un comunicado sobre lo que los alumnos llevan en sus mochilas a la escuela. Esta semana hubo otro incidente en un Centro de Bachillerato en la colonia Juan C. Doria, donde se reportó un joven con un arma. La escuela fue evacuada y se revisaron las instalaciones, pero no se encontró ninguna arma. A pesar de esto, los maestros y directivos decidieron tomar precauciones y emitir una alerta. La Secretaría de Educación Pública pidió a los padres y a la comunidad escolar que presten más atención y concienticen a los jóvenes sobre los peligros de llevar armas a la escuela. En resumen, esta semana hubo dos eventos relacionados, uno fue falsa alarma y el otro confirmó la presencia de un menor con una pistola en Huasca de Ocampo.</t>
  </si>
  <si>
    <t>En cabina integrantes del Foro Arlequín informan que en conmemoración de si 30 aniversario realizarán funciones de teatro gratuitas y tendrán otras actividades.</t>
  </si>
  <si>
    <t>Aniversario</t>
  </si>
  <si>
    <t>Daniel Martínez menciona que Marco Antonio Rico, dirigente de Morena en Hidalgo, será muy solicitado en esta época. Rico ha realizado ruedas de prensa semanales como estrategia de comunicación para discutir temas relevantes relacionados con su partido. Se ha abordado la revisión de candidaturas y Rico afirmó que no se permitirán candidaturas de deudores alimentarios ni de personas sentenciadas por violencia de género y otros delitos graves. Este requisito está en las normativas legales. Recientemente se abrió la inscripción para quienes deseen ser coordinadores distritales o aspirantes a una diputación federal. Rico hizo un llamado a los candidatos a seguir las reglas y a priorizar el trabajo en el territorio, haciendo actividades casa por casa. También pidió que se eviten prácticas como la entrega de despensas y regalos durante las internas. Las restricciones aplican a quienes tengan sentencias por delitos graves o sean deudores alimentarios. Sobre la decisión de que diputados y presidentes municipales no tengan que dejar sus cargos para participar en estas elecciones, Rico explicó que esto busca que cumplan con sus responsabilidades. Este será un tema de gran discusión en el proceso electoral federal y municipal que se iniciará el 15 de diciembre. Se cuestiona qué tanto puede favorecer a un presidente municipal o a un legislador en funciones hacer campaña mientras ocupa su cargo. Rico advirtió sobre la complejidad de las elecciones tanto federales como locales en esta ocasión. También señaló que varios jóvenes han comenzado sus pre-campañas desde hace tiempo. El Instituto Estatal Electoral ha comenzado a anunciar los límites de gastos para precampaña, aunque no se sabe si esto es simbólico.</t>
  </si>
  <si>
    <t>Un arma de fuego fue asegurada al interior de las instalaciones de la Escuela Secundaria General Teodomiro Manzano, ubicada en el municipio de Huasca de Ocampo. Elementos policiacos acudieron al plantel educativo tras recibir un reporte respecto al arma; durante una revisión, la encontraron, tras lo cual fue asegurada. Además, se activaron los protocolos correspondientes tras detectar la presencia del arma durante la revisión. De inmediato, se notificó a los padres del menor y se dio parte a las instancias correspondientes, entre ellas el Ministerio Público y el DIF municipal, para realizar las investigaciones relacionadas con la procedencia del arma y determinar las circunstancias por las que el estudiante la portaba. Hasta el momento no se conocen mayores detalles sobre cómo fue introducida el arma de fuego al plantel educativo.</t>
  </si>
  <si>
    <t>Como parte de las acciones para fortalecer y profesionalizar al gremio artesanal de Tulancingo, el próximo 6 de octubre se llevará a cabo la segunda de cinco capacitaciones gratuitas dirigidas a artesanas y artesanos del municipio. El propósito es brindarles herramientas que les permitan mejorar sus procesos de organización, producción y comercialización, de acuerdo con las nuevas exigencias del mercado. La capacitación se realizará a partir de las 11:00 horas, en el céntrico Hotel Mediterráneo, ubicado sobre la avenida 21 de Marzo, y tendrá como tema “Acción conjunta y organización productiva”. Esta actividad forma parte del programa de fomento al arte popular, cuya finalidad es generar mejores condiciones para que las y los artesanos fortalezcan sus productos y estén en posibilidades de participar en espacios de comercialización como el Paseo Artesanal, próximo a iniciar actividades, así como en la tienda Hidarte, recientemente inaugurada. En atención al compromiso de la presidenta municipal Lorena García Cázares con el desarrollo de quienes encuentran en la actividad artesanal una forma de vida y una fuente de ingresos, la Secretaría de Fomento Económico cuenta con un padrón de artesanas y artesanos que serán acompañados y respaldados mediante distintas acciones de capacitación y promoción. La sesión “Acción conjunta y organización productiva” será impartida por el asesor especializado Mario López Espinoza, quien cuenta con experiencia en proyectos dirigidos a mujeres y al sector artesanal, mediante metodologías orientadas a fortalecer sus capacidades y contribuir a mejorar sus condiciones económicas. Adicionalmente a la capacitación presencial, la Secretaría de Fomento Económico proporcionará también material complementario que podrá ser utilizado por las y los artesanos como herramienta de consulta para impulsar el desarrollo de micro y pequeñas empresas. De acuerdo con estimaciones referidas en torno al sector, alrededor del 10 por ciento de la población en México, equivalente a más de 12 millones de personas, participa de manera activa en la cadena de valor o en el consumo cultural relacionado con las artesanías, lo que refleja la relevancia económica y cultural de esta actividad. La secretaria de Fomento Económico, Minerva Rosales Gayosso, dijo que existe plena convicción de que las artesanías representan mucho más que un producto cultural: son una expresión de identidad, una fuente de ingresos para numerosas familias y una oportunidad para fortalecer la economía local.</t>
  </si>
  <si>
    <t>Capacitación a artesanos</t>
  </si>
  <si>
    <t>Hidalgo registró 7,058 expedientes iniciados, esto mediante mecanismos alternativos de solución de controversias durante 2025, lo cual colocó a la entidad en el noveno sitio nacional, de acuerdo con los datos del Instituto Nacional de Estadística y Geografía. El informe señala que la mayoría de registros respondió a asuntos eh penales de personas adultas con 6,944 expedientes, mientras que los 114 restantes estuvieron relacionados con el sistema de justicia para adolescentes. Estas vías buscan pues resolver determinados conflictos penales mediante procedimientos como la mediación, la conciliación y las juntas restaurativas también, con la posibilidad de alcanzar acuerdos entre las partes sin recurrir a un proceso judicial tradicional cuando la legislación lo permite. Y bien, en el comparativo nacional, Guanajuato encabezó la lista de 24,499 expedientes, seguido de Veracruz con 12,811 y Baja California con 11,052. Hidalgo de hecho se ubicó por debajo de Puebla, que contabilizó 7,269 casos, y por encima de Querétaro con 6,580. Las cifras forman parte del Censo Nacional de Procuración de Justicia Federal y Estatal 2026 elaborado por el INEGI, que contabiliza los expedientes en los que inició alguno de estos mecanismos durante el año —bueno, como tal—, incluidos asuntos eh pues que ya se encontraban abiertos y cuyo procedimiento alternativo comenzó posteriormente. Sin embargo, el número de registros no representa necesariamente la cantidad de conflictos resueltos, ya que el indicador no permite pues como tal determinar cuántos expedientes concluyeron con acuerdos ante pues bueno, entre las partes, ni evaluar tampoco la efectividad de estos procedimientos en Hidalgo. Entonces, como ya lo adelantabas, Daniel, pues sí, ahora sí que son eh expedientes por mecanismos alternativos de justicia y pues esos son los números que se dan a conocer.</t>
  </si>
  <si>
    <t>Justicia alterna</t>
  </si>
  <si>
    <t>El sector salud de Hidalgo alista acciones preventivas ante el periodo del año en el que suelen incrementarse las enfermedades respiratorias. Entre las medidas preventivas, de hecho se encuentra la permanencia de filtros sanitarios y una vigilancia epidemiológica más estrecha para poder detectar posibles brotes y también atender oportunamente casos de COVID-19. Los acuerdos fueron establecidos durante una reunión extraordinaria del Consejo Estatal de Salud, en la que participaron autoridades de la Secretaría de Salud estatal —hablamos de IMSS, IMSS-Bienestar, ISSSTE, Cruz Roja y entre otras instituciones—. Además también de mantener los filtros, se planteó mejorar la comunicación eh pues de posibles brotes entre instituciones públicas, privadas también. Eh obviamente estamos hablando que se va a reforzar la eh preparación de médicos particulares para poder reconocer y atender eh pues padecimientos respiratorios, recientemente aquellos relacionados con COVID-19. Y también le platicamos eh que dentro de las estrategias dirigidas a adolescentes y jóvenes, se contempla ampliar la información sobre planificación familiar, prevención también de embarazo en adolescentes y aborto seguro. En otro apartado también, las autoridades analizaron el comportamiento de enfermedades eh como diabetes, hipertensión, obesidad, síndrome metabólico también, y pues el acuerdo fue continuar preparando el personal de los centros de salud para poder detectar de manera temprana estos padecimientos y brindar atención oportuna. Finalmente, y también se van a realizar revisiones de en unidades médicas para poder verificar pues que operen conforme a la normatividad y que cuenten también con información preventiva relacionada pues con la temporada invernal. Pues la Secretaría de Salud de Hidalgo, eh obviamente con su titular Vanesa Escalante Arroyo, ha señalado que el seguimiento a los indicadores epidemiológicos va a permitir pues orientar las acciones de prevención y atención, que también ya nos las sabemos de memoria después de la pandemia que hubo por COVID-19...</t>
  </si>
  <si>
    <t>Ante el incremento de casos de suicidio en Hidalgo, el Congreso local presentó cuatro iniciativas relacionadas con salud mental y atención al suicidio, donde buscan instaurar un mes de la prevención, atención psicológica a trabajadores de salud mental, brindar primeros auxilios psicológicos y dar acompañamiento a quienes intentaron quitarse la vida. De acuerdo con cifras del Instituto Nacional de Estadística y Geografía (Inegi), durante 2025 se registraron 159 suicidios en Hidalgo, donde las personas jóvenes de 15 a 19 y de 20 a 24 años fueron el grupo de mayor incidencia. Incidencia que incrementó en comparación con las 146 muertes por suicidio reportadas en 2024. Ante ese panorama, integrantes de la 66 Legislatura subieron a tribuna cuatro iniciativas de atención a esa problemática, la primera propuesta busca declarar el mes de septiembre de cada año como "Mes estatal de prevención del suicidio". Con ello, se instituirá un periodo de actuación institucional sostenida, donde las autoridades estatales y municipales estarán convocadas por decreto del Congreso a ejecutar acciones de difusión, sensibilización y canalización a los servicios de salud mental. La segunda iniciativa pretende adicionar diversas disposiciones a la Ley de Salud Mental y Prevención del Suicidio para Hidalgo, en materia de personas prestadoras de servicios de salud mental, donde se establece aplicar acciones de evaluación psicológica preventiva obligatoria, por lo menos dos veces al año al prestador de servicios de salud mental expuesto a condiciones de riesgo psicosocial. En tanto, la tercera iniciativa plantea adicionar y reformar diversas disposiciones a la ley antes mencionada, en materia de primeros auxilios psicológicos, con el propósito que éstos se brinden para fortalecer la prevención, la intervención temprana y la atención inmediata ante una crisis. Los primeros auxilios psicológicos tienen como propósito brindar apoyo inmediato y contención emocional a una persona que atraviesa una situación crítica, contribuir a recuperar su estabilidad, y cuando sea necesario facilitar su canalización hacia los servicios especializados correspondientes. Finalmente, la cuarta iniciativa plantea reformar la misma ley, pero en materia de seguimiento clínico y social post-intento de suicidio, para mantener la atención a personas que hayan intentado quitarse la vida. La propuesta busca que después de un intento de suicidio exista un seguimiento de cuando menos 12 meses, que haya contacto por parte del personal de salud mental dentro de las primeras 72 horas posteriores al egreso, y que durante los primeros meses existan consultas periódicas- Además, cuando se trate de niñas, niños o adolescentes, la propuesta es que exista coordinación con la Secretaría de Educación Pública para acompañarlos a su regreso a la escuela, siempre respetando su privacidad y confidencialidad.</t>
  </si>
  <si>
    <t>Prevención del suicidio</t>
  </si>
  <si>
    <t>48 de las 84 consejerías electorales de los siete consejos distritales del Instituto Nacional Electoral (INE) en Hidalgo se encuentran vacantes, informó María del Refugio García López, vocal ejecutiva de la Junta local del INE en la entidad. Explicó que la mayoría de las vacantes se debe a que las personas que ocupaban estos cargos ya cumplieron con los tres procesos electorales que permite la normativa: dos procesos de participación y uno adicional mediante ratificación. El resto de las vacantes se originó porque algunas personas decidieron no continuar en el cargo, principalmente por falta de tiempo o por haber cambiado de residencia; también existen dos casos de personas que no han podido ser localizadas, pese a que el INE realizó llamadas telefónicas y visitas presenciales. Ante esta situación, se levantaron las actas correspondientes para dejar constancia de las acciones realizadas y determinar las vacantes que deberán ser cubiertas..El distrito 01, con cabecera en Huejutla de Reyes, tiene seis vacantes; el distrito 02, con cabecera en Ixmiquilpan, registra nueve; el distrito 03, con cabecera en Actopan, tiene tres; el distrito 04, con cabecera en Tulancingo de Bravo, cuenta con ocho. Mientras que el distrito 05, con cabecera en Tula de Allende, tiene ocho; el distrito 06, con cabecera en Pachuca de Soto, registra cinco, mientras que el distrito 07, con cabecera en Tepeapulco, tiene nueve. Para cubrir las 48 vacantes, el INE publicó este jueves 1 de octubre la convocatoria para que la ciudadanía interesada pueda participar en el procedimiento de selección. La recepción de solicitudes, integración y revisión de expedientes será del 16 al 31 de octubre. En ese mismo periodo se notificará a las personas aspirantes si se detectan inconsistencias en su documentación, con el objetivo de que puedan subsanarlas. Del 31 de octubre al 3 de noviembre, la junta local ejecutiva recibirá los expedientes para realizar las verificaciones correspondientes. El 4 de noviembre se entregarán los listados de las personas aspirantes para iniciar la revisión y elaborar las propuestas de quienes podrían integrar los órganos colegiados. Posteriormente, las representaciones de los partidos políticos recibirán los listados el 9 de noviembre y tendrán del 10 al 17 de noviembre para presentar observaciones. Del 14 al 17 de noviembre se realizarán reuniones para definir las propuestas finales y, finalmente, el 20 de noviembre se prevé aprobar la designación de las nuevas consejerías electorales. García López destacó que la integración de los consejos deberá concretarse debido a que estos órganos tendrán que sesionar el 30 de noviembre. En caso de que la primera convocatoria no permita cubrir la totalidad de los espacios, el INE tendría que emitir una nueva para completar la integración de los consejos distritales.</t>
  </si>
  <si>
    <t>El Instituto Estatal Electoral de Hidalgo (IEEH) aprobó los topes de gastos de precampaña que podrán ejercer quienes participen en el proceso electoral local 2026-2027 para la renovación del Congreso del estado y los 84 ayuntamientos. Para la elección de diputaciones locales, el tope de precampaña será de 890 mil 936 pesos para cada uno de los 18 distritos electorales. La secretaria ejecutiva del IEEH, Dulce Fosado Martínez explicó que esta cantidad corresponde al 30 por ciento del tope de gastos de campaña establecido para el proceso electoral anterior. En el caso de los ayuntamientos, los montos son diferentes para cada municipio y el mayor corresponde a Pachuca, donde cada precandidato podrá gastar hasta un millón 432 mil pesos. Seguido de Mixquiahuala de Juárez, con un millón 240 mil pesos; Huichapan, con 642 mil; Tulancingo de Bravo, con 629 mil; y Tepeji del Río de Ocampo, con 527 mil pesos. En contraste, los cinco municipios con los topes de precampaña más bajos son Emiliano Zapata, con 13 mil pesos; Lolotla, con 14 mil; Progreso de Obregón, con 27 mil; Zacualtipán, con 35 mil; y Tlanchinol, con 45 mil pesos. La presidenta del IEEH, María Magdalena González Escalona, explicó que los topes fueron aprobados como parte de las actividades que debe realizar el organismo antes del inicio de las precampañas y tenían hasta el 30 de septiembre. Agregó que el Instituto Nacional Electoral se hará cargo de la fiscalización de los gastos. González Escalona informó que las precampañas para diputaciones locales comenzarán el 4 de enero y concluirán el 12 de febrero de 2027; Para los ayuntamientos, las precampañas darán serán del 18 de enero al 12 de febrero de 2027. De acuerdo con el organismo electoral, en 2027 se podrían registrar hasta 10 mil 450 candidaturas a diferentes cargos locales de ayuntamientos y diputaciones para la renovación del Congreso del estado. En una entrevista previa, el consejero electoral Alfredo Alcalá Montaño afirmó que tras la reforma al Código Electoral del estado, el próximo año los hidalguenses podrán elegir hasta 920 integrantes de ayuntamientos, entre presidentes municipales, sindicaturas y regidurías, además de 30 legisladores locales, es decir, un total de 950 cargos.</t>
  </si>
  <si>
    <t>Analiza integrante del gabinete del gobierno de Hidalgo, contender en proceso electoral Un integrante del gabinete estatal analiza participar en el proceso electoral de 2027, confirmó el gobernador de Hidalgo, Julio Menchaca Salazar, anticipando sólo que se trata del titular de una secretaría estatal. “Me dice que lo está pensando”, señaló el titular del Poder Ejecutivo del Estado de Hidalgo, respecto a la posible participación del actual funcionario estatal en el próximo proceso electoral. Indicó que, si decide participar en el proceso electoral, deberá adelantar su comparecencia ante el Congreso local, a fin de rendir cuentas sobre el trabajo realizado al frente de su dependencia. Cuestionado sobre la posibilidad de que el funcionario regrese al gabinete en caso de no obtener la candidatura, el gobernador sólo señaló que “en la vida hay que tomar riesgos”. “Yo creo que hay muy buenos elementos en toda la estructura de gobierno como para tener una aspiración. El primer paso es seguir todo un procedimiento, después ser candidato, porque tampoco hay una garantía, y después ganar una elección”. Menchaca Salazar recordó que, desde hace meses atrás, invitó a los integrantes de su gabinete a analizar la posibilidad de contender por un cargo de elección popular. Por ello, señaló que quienes consideren tener posibilidades de ocupar estos espacios deberán tomar una decisión y dejar su cargo actual para participar en el proceso. Ante la posibilidad de que la definición de candidaturas genere divisiones, el gobernador del Estado de Hidalgo llamó a privilegiar al movimiento por encima de las aspiraciones individuales y a entender que las posiciones políticas son temporales. Subrayó que el movimiento político está por encima de los cargos, pues estos son coyunturales; agregó que se espera contar con las mejores representaciones en los municipios de la entidad. Se trataría del primer anuncio sobre la posible participación de un funcionario estatal, buscando participar en el proceso electoral, sea el local o el federal.</t>
  </si>
  <si>
    <t>Menchaca Salazar respalda transformación de juventud hidalguense</t>
  </si>
  <si>
    <t>Durante a lectura de la nota y al final de ella, Daniel Martínez comenta: Me queda claro que traen un revoltijo de aquellos que ha sido complicado hacer la revisión correspondiente porque en declaraciones que dio recientemente en visita al Valle de Tulancingo señaló que al final del día pues no es tan malo el asunto de que exista una duplicidad de entrega de apoyos a quien así lo requiere porque finalmente se está beneficiando a las personas como cambió el discurso de principios del año vamos a revisar que no haya duplicidad ahora sí que tres doritos después pues que se quede así. Al final de cuentas no es tan malo que haya duplicidad. A mí me parece que lo que se quiere decir es, Está tan revuelto los padrones Que es muy complicado poderlos depurar " y hasta luego mi sombrero". Duplicidad en entrega de programas sociales, no es mala, señala titular de Sebisoh Es posible que existan aún casos de duplicidad en entrega de apoyos a beneficiarios de programas sociales federales y estatales, reconoció Ricardo Gómez Moreno, titular de la Secretaría de Bienestar e Inclusión Social del Estado de Hidalgo (Sebisoh). En reciente visita de trabajo a Tulancingo, en entrevista señaló que la duplicidad se registra sobre todo por la edad de los beneficiarios, por lo cual pueden recibir apoyos tanto de la federación como del gobierno del Estado de Hidalgo. Como ejemplo, citó que algunas personas adultas mayores que son artesanas pueden estar recibiendo la Pensión para el Bienestar, que otorga el Gobierno Federal, y de forma simultánea, apoyo por la actividad de creación que desarrollan. “Sabemos que con los programas federales sigue existiendo duplicidad, en algunos, esa duplicidad no es mala, porque a final de cuentas se les apoya a las familias”, matizó. Gómez Moreno ha señalado previamente que otros de los programas donde puede existir duplicidad en beneficiarios, son Jóvenes Construyendo el Futuro y los destinados al campo. A principios del presente año, el funcionario estatal anunció que se realizaría una depuración del padrón de beneficiarios de programas a cargo del Gobierno del Estado de Hidalgo, precisamente para evitar que existiera duplicidad en las entregas de apoyos. Hasta el momento no se conocen de avances en dicha depuración, señalando el funcionario estatal que no hay prohibición alguna en las reglas de operación para participar en dichos programas sociales, tanto estatales como federales. “Pero lo ideal es que con la combinación de recursos, lleguemos a más familias, porque a final de cuentas todavía nos falta mucha población por apoyar”, señaló Gómez Moreno. De acuerdo a lo declarado por la Presidenta de México, Claudia Sheinbaum Pardo, en su reciente visita al Estado de Hidalgo, más de un millón de habitantes de la entidad son beneficiarios de algún programa social del Gobierno de México. El padrón estatal de beneficiarios de programas sociales a cargo del Gobierno del Estado de Hidalgo, oscila entre 42 mil a 43 mil beneficiarios, de acuerdo a declaraciones del titular de la Sebisoh, ofrecidas en septiembre del año pasado.</t>
  </si>
  <si>
    <t>Programas Del Pueblo</t>
  </si>
  <si>
    <t>Antes de finalizar este año, el mercado municipal de Singuilucan, cuya construcción inició hace casi diez años, estará funcionando, aseguró en entrevista la alcaldesa Yazmín Dávila López. Señaló que en base a un censo realizado a comercios que funcionan dentro del municipio, se determinó que dicho espacio tenga vocación gastronómica y turística, pero sin descartar la participación de otro tipo de negocios. “Un mercado debe tener de todos los sectores, abarrotes, mercancía seca, etcétera, obviamente alimentos; tiene que ser un mercado que tenga vida y que no sea un elefante blanco”, señaló. La construcción del mercado, ubicado en la cabecera municipal, inició durante el año 2017, con una inversión por un millón 481 mil pesos, provenientes de recursos propios. En 2019 inició la construcción de la segunda etapa, a cargo de la entonces Secretaría de Obras Públicas y Ordenamiento Territorial del Gobierno del Estado de Hidalgo, aplicando en ese momento una inversión por 2 millones 59 mil 424 pesos provenientes del Fondo General de Participaciones. Dávila López señaló que durante la anterior administración municipal se aplicaron recursos extraordinarios por 1.2 millones de pesos para seguir con la construcción del mercado, pero durante el actual periodo de gobierno, encontraron que prácticamente no hubo avance alguno. Por lo que con recursos utilizados en el actual periodo de gobierno, junto con apoyo económico obtenido del programa de mejoramiento de mercados, a cargo de la Secretaría de Desarrollo Económico del Estado de Hidalgo, se prevé la entrega y funcionamiento del mercado municipal. La entrega de los locales, donde se prevé beneficiar a más de 45 comerciantes, será a partir de lo que se establezca en una convocatoria que será lanzada en no más de un mes. Dicha convocatoria se sustentará en el reglamento municipal de comercio, enfatizando la alcaldesa que la asignación de locales se realizará en forma totalmente transparente. La alcaldesa de Singuilucan señaló que la entrada en operación del mercado municipal a su vez permitirá la activación del comercio en general del municipio, a partir de otros servicios que utilicen habitantes y visitantes.</t>
  </si>
  <si>
    <t>Rehabilitación De Mercados</t>
  </si>
  <si>
    <t>Debido a que los gobiernos municipales sólo pueden establecer convenios sólo por el plazo de sus administraciones, en el caso de Tulancingo no se puede realizar colaboración con algún particular para la creación de un centro de reciclaje de residuos sólidos. La explicación fue ofrecida por Juan Alberto Santuario Elías, titular de la Secretaría de Servicios Municipales, al ser cuestionado sobre alguna empresa privada que haya ofrecido la instalación de un centro para el reaprovechamiento de los desechos reciclables. “Hemos recibido incluso proyectos por parte de empresas privadas para el servicio de recolección de basura, pero en ambos casos hemos rechazado las propuestas, pues las leyes actuales señalan que los municipios sólo pueden realizar convenios de colaboración o contratos sólo por el periodo de gobierno que les corresponde”, señaló. En anteriores administraciones municipales se ha conocido de proyectos presentados por parte de empresas privadas para la instalación y funcionamiento de centros de transferencia y reciclaje de desechos sólidos. En esos momentos, se explicó que los costos de coinversión que solicitaban las empresas, de varios millones de pesos, con los que no cuenta el gobierno municipal de Tulancingo, impedía concretar dichos proyectos. En dichas administraciones municipales se reconoció que podrían generarse ganancias económicas importantes, pero la limitante era contar con los montos de inversión para concretar los proyectos. Santuario Elías enfatizó que las empresas requieren contratos entre los 15 a 20 años, tanto para recuperar su inversión como para generar ganancias, y con ello instalar una planta de reciclaje en Tulancingo. Al estar limitados los tiempos por los periodos gubernamentales municipales, actualmente de tres años, los particulares desisten sobre dichos proyectos. Por lo que no existe la posibilidad de instalar en el corto plazo una planta de transferencia y reciclaje de residuos sólidos en Tulancingo. Durante todo el año 2024, en Tulancingo se recolectaron y dispusieron en tratamiento y depósito final en total 47 mil 96.73 toneladas de basura. Mientras que el año pasado la cantidad fue 50 mil 466.35 toneladas de residuos sólidos, lo que significa un incremento entre ambas anualidades referidas fue de ocho por ciento. Ello significó un pago para su tratamiento y disposición final en el relleno sanitario a cargo de Veolia 13 millones 597 mil 567 pesos con 56 centavos en el año 2024. El año pasado, el pago fue de 15 millones 50 mil 111.53 pesos, lo que representa un incremento por un millón 452 mil 544 pesos entre el 2024 y 2025.</t>
  </si>
  <si>
    <t>Disposición de basura</t>
  </si>
  <si>
    <t>Andrés Torres menciona que Eduardo Medécigo está preparando su entrega-recepción y se espera que presente su dimisión como presidente municipal de Mineral de la Reforma entre hoy y mañana. Se informa que Medécigo tiene la intención de registrarse para ser coordinador electoral distrital por Morena. Ha solicitado apoyo y ha recibido asesoría, incluso del Congreso, para adelantar su acta de entrega-recepción. Torres bromea sobre dejar un cargo para tomar otro rápidamente. Se espera que Medécigo haga una declaración para confirmar o desmentir su registro, y el tiempo dirá si efectivamente se inscribe.</t>
  </si>
  <si>
    <t>Andrés Torres comenta que ayer se llevó a cabo una conferencia de prensa con Marco Antonio Rico, presidente de Morena en Hidalgo. Durante la conferencia, le preguntaron nuevamente sobre Israel Félix y Shadia Martínez. Según un artículo de La Silla Rota, se había informado que todas las opciones para ellos en Morena estaban cerradas. Sin embargo, Marco Rico aclaró que nunca hizo esa afirmación, diciendo que esas eran palabras atribuidas erróneamente. Confirmó que tanto Shadia como Israel son bienvenidos a apoyar la 4T . Marco Rico también instó a Israel Félix a que se defina sobre su situación. Aclaró que cualquier persona interesada en participar en el proceso de selección de coordinadores electorales distritales puede registrarse, y el registro se realizará en línea hasta el domingo 4. Una vez cerrado el registro, se revisarán los candidatos que se hayan registrado. Destacó que no se puede negar el derecho a participar, siempre y cuando cumplan con los requisitos establecidos en la convocatoria. En la conferencia, se mencionó que se estaban evaluando diferentes perfiles, y el plazo para el registro es el domingo a las 6 de la tarde. El registro también se llevará a cabo a través de internet, donde los participantes deben proporcionar sus datos. Después de que se cierre el registro, se analizarán los perfiles para decidir quiénes serán elegidos como coordinadores electorales. Se habla de posibles candidatos y perfiles que podrían ser considerados para estos roles: Said Vargas, secretario general de la Sección 15 del SNTE, que podría estar incluido en el Distrito 1. Otros nombres que surgieron incluyen a Napoleón González, actual secretario de Agricultura; Susana Ángeles, ex presidenta municipal de Tizayuca; y Natividad Castrejón, secretario de Educación. Además, se hizo mención de Jorge Reyes, quien parece estar interesado en la reelección como presidente municipal y no participará en el registro de coordinadores electorales. Reiteró que Marco Rico enfatizó que no dijo lo que algunos medios publicaron y que tanto Shadia Martínez como Israel Félix son bienvenidos a Morena si contribuyen al movimiento.</t>
  </si>
  <si>
    <t>Andrés Torres in off, en respuesta a la radioescucha Ana Lalara dice que si otro día también baila; contesta: No, ahorita trae un problema porque están cambiando de proveedores para el tema de... están haciendo adecuaciones para los temas del presupuesto y todo, y obviamente pues ya le renunció un director, ¿no?, porque dijo que no se prestaba a los chanchullos. No... Hoy... hoy... ayer, anteayer hubo un escándalo aquí en Radio y Televisión de Hidalgo porque le renunció un director muy enojado porque dijo: "Yo no me presto a esos chanchullos", ¿no? Que yo sepa les voy a contar, por ejemplo, que este... un tal Beto... estaban haciendo el proyecto de inversión para el año mmm y según lo que se iban a gastar y de repente dijeron que pues las cotizaciones cambiando de nombre a los proveedores... ¿no? Y y bueno pues ya van dos personas que renuncian, una eh compañera que se llama Cynthia también se fue y dijo que ella no se pres- no se prestaba para eso y se fue, ¿no? * Ayer Omar Efrén también... o ayer anteayer se fue Omar Efrén porque dijo que no se prestaba a esas cosas, ¿no? También renunció. Entonces yo no estoy hablando nada más por quejarme, yo estoy hablando porque... ¡o sea, Radio y Televisión de Hidalgo se está cayendo a pedazos, ¿no?! Este... ¿y todavía quieren hacer chanchullos y todavía quieren robarse lo poco que hay? ¿Quieren que les platique el escándalo que hizo en una mesa cuando estábamos viendo lo del diésel y se puso a gritar que jamás iba a... a qué... a hacer algo en contra del gobernador cuando estábamos hablando de un número de litros, ¿no?, estábamos haciendo sumas, ¿no?, de los litros de diésel. Empezó a gritar como loco... Bueno, como lo que es, ¿no?, un enfermo, ¿no? Todo el mundo lo sabe, ¿no? Me preguntaban este: "Oye, pero es que hay denuncias...". Yo tengo hasta los números de averiguación, no más no me los preguntan porque no quieren, ¿no?. Pero pues yo personalmente estuve en la agencia del Ministerio Público el día que se le denunció, ¿no? Yo asistí a la agencia del Ministerio...¿no? Y no estoy hablando del 2026 de... estoy hablando del 2026, de agosto del 2026. Para mayores datos, búsquenle.</t>
  </si>
  <si>
    <t>Andrés Torres: ...me dicen "¡ya suéltalo, no lo dejas!". [risas] Bueno, pues ¿cómo lo voy a dejar? Problemas con las juntas de gobierno. Firmas falsificadas. Demandas en la Procuraduría, en Derechos Humanos, en la Secretaría del Trabajo, en las eh órganos internos de control. ¿Qué más? La Unidad de Pla- Planificación Prospectiva nos trae pero hm este amolados porque no cumplimos. Han sido 8 meses de nada, de problemas, de demandas, de situaciones gravísimas. Pues ¿cómo no lo voy a denunciar? ¡Es un funcionario público! Tiene que responder por corrupto. ¿Por qué? Pues porque no sabía y no tenía... no estaba preparado para el cargo que aceptó, ¿no? Sus propias palabras: "Yo de administración no sé nada". Son sus palabras, tengo testigos, ¿no? ¿Cómo aceptas un cargo para el que no estás preparado, no? Y luego quieres decir... vienes y quieres engañar... engañabobos, ¿no?, a la gente diciendo que has trabajado en los medios de comunicación. ¡Es una mentira, por Dios!, ¿no? Y aquí todos los días nos trata de correr. Por eso lo digo. Todos los días, un día sí y el otro también "¡corran los, corran los, corran los!". El problema es que él no manda [risas]. El problema es que no manda y no lo... todavía no lo sabe, yo creo. Tan torpes están así. En fin...</t>
  </si>
  <si>
    <t>Puente de Amor permite a 61 familias brindar un hogar a menores de edad</t>
  </si>
  <si>
    <t>Andrés Torres: los Hijos del Pueblo, desde mi perspectiva —ustedes tendrán una mejor opinión— pues encontraron una fórmula muy eficiente, muy eficiente, muy eficaz de tomar temas a veces muy delicados con humor, con eh pues mucha sátira, ¿no?, con muchas veces hasta con humor negro. Y bueno, pues son para unos amados, para otros odiados, pero lo cierto es que todos cabemos en este... en esto de los medios de comunicación. Digo, si hay gente que me ha dicho "yo cambié el periodismo" en un pasquín que tiene 2 años circulando y que cuando no se equivoca un día, se equivoca al otro día, como ayer que el... que el señor Rico, ¿no?, presidente de Morena, corrigió a este pasquín y dijo "pues yo no dije lo que publicaron en este...", ¿cuál es?, ¿El Effeta, no? -"Yo no dije eso", ¿no? Y le dijeron "ponen palabras en mi boca"-. Imagínense, ¿así cambiaron el periodismo? Pues sí lo cambió, pero para echarlo a la basura, ¿no? [risas] Y bueno, hoy inventan un concepto que ya Hitler... ¿no? Ayer... ahorita estaba escuchando, por cierto, a Aristegui; ya Hitler hablaba de la propaganda, ¿no?, allá en los años 30 con este libro previo con... que escribió por cierto en la cárcel, ¿no?, *Mi lucha*. Y luego dices "oye, ¡qué contradicción!, ¿no? Miren quién retoma los conceptos de un tirano, de un tipo pues dislocado de la realidad y los quiere aplicar en Radio y Televisión de Hidalgo". Pues dices "¡cómo crees, hermano!, ¿no?". 80 años después... ¿no?, 90... casi 100 años después. Estás aplicando la propaganda política, ¿no? Lo que es de veras estar dislocado de la realidad...</t>
  </si>
  <si>
    <t>Andrés Torres gradece a los compañeros de la estación de radio La voz del Pueblo Hñähñu por su trabajo en la transmisión de programas únicos. Se menciona que el director de Radio y Televisión de Hidalgo no estaba al tanto de que tienen programación propia y original, con más de 110 programas producidos por personas de distintas regiones de Hidalgo. Destaca que los trabajadores realizan su labor sin pretextos y están orgullosos de su responsabilidad y compromiso, operando todos los días del año. " Trabajamos desde las 6 de la mañana, ¡sin pretextos! Nosotros no que... no tenemos días de reposición, ni nos estamos quejando porque no nos dan viáticos, o porque no tenemos vehículo, o llanta de reacción", dijo. Andrés Torres comparte que han hecho un esfuerzo considerable para mantener una programación educativa que promueva las tradiciones y cultura, y que cubre temas sociales en diversas áreas como la Sierra Alta, Sierra Gorda, Valle del Mezquital y Huasteca. Agradece el apoyo del gobernador y del secretario de Gobierno, Guillermo Olivares Reyna, y de otros como el Oficial Mayor, el Edgar Orlando Ángeles, reconociendo que el éxito se debe al trabajo en equipo, no solo a su esfuerzo personal. Torres resalta la importancia del periodismo y de los medios de comunicación, que son propiedad de los hidalguenses. Con un tono de orgullo y camaradería, el equipo se prepara para seguir trabajando y expandiendo su alcance en otras regiones.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</si>
</sst>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2" tableType="queryTable" totalsRowShown="0">
  <autoFilter ref="A1:M172"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2"/>
  <sheetViews>
    <sheetView tabSelected="1" topLeftCell="A137" workbookViewId="0">
      <selection activeCell="D154" sqref="D154"/>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3.85546875" bestFit="1" customWidth="1"/>
    <col min="8" max="8" width="12.42578125"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19</v>
      </c>
      <c r="C1" t="s">
        <v>20</v>
      </c>
      <c r="D1" t="s">
        <v>21</v>
      </c>
      <c r="E1" t="s">
        <v>1</v>
      </c>
      <c r="F1" t="s">
        <v>2</v>
      </c>
      <c r="G1" t="s">
        <v>4</v>
      </c>
      <c r="H1" t="s">
        <v>3</v>
      </c>
      <c r="I1" t="s">
        <v>5</v>
      </c>
      <c r="J1" t="s">
        <v>22</v>
      </c>
      <c r="K1" t="s">
        <v>23</v>
      </c>
      <c r="L1" t="s">
        <v>24</v>
      </c>
      <c r="M1" t="s">
        <v>31</v>
      </c>
    </row>
    <row r="2" spans="1:13" x14ac:dyDescent="0.25">
      <c r="A2" s="2">
        <v>46296</v>
      </c>
      <c r="B2" s="1" t="str">
        <f ca="1">IF(Información1[[#This Row],[Fecha]]='Ajuste de fechas'!$A$2,"Día actual","Día anterior")</f>
        <v>Día anterior</v>
      </c>
      <c r="C2" s="3" t="s">
        <v>43</v>
      </c>
      <c r="D2" t="s">
        <v>44</v>
      </c>
      <c r="E2" s="3" t="s">
        <v>101</v>
      </c>
      <c r="F2" s="3" t="s">
        <v>15</v>
      </c>
      <c r="G2" s="3" t="s">
        <v>102</v>
      </c>
      <c r="H2" s="3" t="s">
        <v>38</v>
      </c>
      <c r="I2" s="3" t="s">
        <v>7</v>
      </c>
      <c r="J2" s="3" t="s">
        <v>30</v>
      </c>
      <c r="K2" s="3" t="s">
        <v>45</v>
      </c>
      <c r="L2" s="3" t="s">
        <v>27</v>
      </c>
      <c r="M2">
        <v>1</v>
      </c>
    </row>
    <row r="3" spans="1:13" x14ac:dyDescent="0.25">
      <c r="A3" s="2">
        <v>46296</v>
      </c>
      <c r="B3" s="1" t="str">
        <f ca="1">IF(Información1[[#This Row],[Fecha]]='Ajuste de fechas'!$A$2,"Día actual","Día anterior")</f>
        <v>Día anterior</v>
      </c>
      <c r="C3" s="3" t="s">
        <v>43</v>
      </c>
      <c r="D3" t="s">
        <v>44</v>
      </c>
      <c r="E3" s="3" t="s">
        <v>103</v>
      </c>
      <c r="F3" s="3" t="s">
        <v>15</v>
      </c>
      <c r="G3" s="3" t="s">
        <v>102</v>
      </c>
      <c r="H3" s="3" t="s">
        <v>38</v>
      </c>
      <c r="I3" s="3" t="s">
        <v>7</v>
      </c>
      <c r="J3" s="3" t="s">
        <v>30</v>
      </c>
      <c r="K3" s="3" t="s">
        <v>45</v>
      </c>
      <c r="L3" s="3" t="s">
        <v>26</v>
      </c>
      <c r="M3">
        <v>1</v>
      </c>
    </row>
    <row r="4" spans="1:13" x14ac:dyDescent="0.25">
      <c r="A4" s="2">
        <v>46296</v>
      </c>
      <c r="B4" s="1" t="str">
        <f ca="1">IF(Información1[[#This Row],[Fecha]]='Ajuste de fechas'!$A$2,"Día actual","Día anterior")</f>
        <v>Día anterior</v>
      </c>
      <c r="C4" s="3" t="s">
        <v>43</v>
      </c>
      <c r="D4" t="s">
        <v>44</v>
      </c>
      <c r="E4" s="3" t="s">
        <v>104</v>
      </c>
      <c r="F4" s="3" t="s">
        <v>16</v>
      </c>
      <c r="G4" s="3" t="s">
        <v>105</v>
      </c>
      <c r="H4" s="3" t="s">
        <v>38</v>
      </c>
      <c r="I4" s="3" t="s">
        <v>7</v>
      </c>
      <c r="J4" s="3" t="s">
        <v>16</v>
      </c>
      <c r="K4" s="3" t="s">
        <v>45</v>
      </c>
      <c r="L4" s="3" t="s">
        <v>26</v>
      </c>
      <c r="M4">
        <v>1</v>
      </c>
    </row>
    <row r="5" spans="1:13" x14ac:dyDescent="0.25">
      <c r="A5" s="2">
        <v>46296</v>
      </c>
      <c r="B5" s="1" t="str">
        <f ca="1">IF(Información1[[#This Row],[Fecha]]='Ajuste de fechas'!$A$2,"Día actual","Día anterior")</f>
        <v>Día anterior</v>
      </c>
      <c r="C5" s="3" t="s">
        <v>43</v>
      </c>
      <c r="D5" t="s">
        <v>90</v>
      </c>
      <c r="E5" s="3" t="s">
        <v>106</v>
      </c>
      <c r="F5" s="3" t="s">
        <v>15</v>
      </c>
      <c r="G5" s="3" t="s">
        <v>102</v>
      </c>
      <c r="H5" s="3" t="s">
        <v>38</v>
      </c>
      <c r="I5" s="3" t="s">
        <v>7</v>
      </c>
      <c r="J5" s="3" t="s">
        <v>30</v>
      </c>
      <c r="K5" s="3" t="s">
        <v>91</v>
      </c>
      <c r="L5" s="3" t="s">
        <v>26</v>
      </c>
      <c r="M5">
        <v>1</v>
      </c>
    </row>
    <row r="6" spans="1:13" x14ac:dyDescent="0.25">
      <c r="A6" s="2">
        <v>46296</v>
      </c>
      <c r="B6" s="1" t="str">
        <f ca="1">IF(Información1[[#This Row],[Fecha]]='Ajuste de fechas'!$A$2,"Día actual","Día anterior")</f>
        <v>Día anterior</v>
      </c>
      <c r="C6" s="3" t="s">
        <v>43</v>
      </c>
      <c r="D6" t="s">
        <v>90</v>
      </c>
      <c r="E6" s="3" t="s">
        <v>104</v>
      </c>
      <c r="F6" s="3" t="s">
        <v>16</v>
      </c>
      <c r="G6" s="3" t="s">
        <v>105</v>
      </c>
      <c r="H6" s="3" t="s">
        <v>38</v>
      </c>
      <c r="I6" s="3" t="s">
        <v>7</v>
      </c>
      <c r="J6" s="3" t="s">
        <v>16</v>
      </c>
      <c r="K6" s="3" t="s">
        <v>91</v>
      </c>
      <c r="L6" s="3" t="s">
        <v>26</v>
      </c>
      <c r="M6">
        <v>1</v>
      </c>
    </row>
    <row r="7" spans="1:13" x14ac:dyDescent="0.25">
      <c r="A7" s="2">
        <v>46296</v>
      </c>
      <c r="B7" s="1" t="str">
        <f ca="1">IF(Información1[[#This Row],[Fecha]]='Ajuste de fechas'!$A$2,"Día actual","Día anterior")</f>
        <v>Día anterior</v>
      </c>
      <c r="C7" s="3" t="s">
        <v>75</v>
      </c>
      <c r="D7" t="s">
        <v>76</v>
      </c>
      <c r="E7" s="3" t="s">
        <v>107</v>
      </c>
      <c r="F7" s="3" t="s">
        <v>57</v>
      </c>
      <c r="G7" s="3" t="s">
        <v>88</v>
      </c>
      <c r="H7" s="3" t="s">
        <v>38</v>
      </c>
      <c r="I7" s="3" t="s">
        <v>7</v>
      </c>
      <c r="J7" s="3" t="s">
        <v>25</v>
      </c>
      <c r="K7" s="3" t="s">
        <v>77</v>
      </c>
      <c r="L7" s="3" t="s">
        <v>28</v>
      </c>
      <c r="M7">
        <v>1</v>
      </c>
    </row>
    <row r="8" spans="1:13" x14ac:dyDescent="0.25">
      <c r="A8" s="2">
        <v>46296</v>
      </c>
      <c r="B8" s="1" t="str">
        <f ca="1">IF(Información1[[#This Row],[Fecha]]='Ajuste de fechas'!$A$2,"Día actual","Día anterior")</f>
        <v>Día anterior</v>
      </c>
      <c r="C8" s="3" t="s">
        <v>43</v>
      </c>
      <c r="D8" t="s">
        <v>44</v>
      </c>
      <c r="E8" s="3" t="s">
        <v>108</v>
      </c>
      <c r="F8" s="3" t="s">
        <v>50</v>
      </c>
      <c r="G8" s="3" t="s">
        <v>109</v>
      </c>
      <c r="H8" s="3" t="s">
        <v>38</v>
      </c>
      <c r="I8" s="3" t="s">
        <v>7</v>
      </c>
      <c r="J8" s="3" t="s">
        <v>25</v>
      </c>
      <c r="K8" s="3" t="s">
        <v>45</v>
      </c>
      <c r="L8" s="3" t="s">
        <v>26</v>
      </c>
      <c r="M8">
        <v>1</v>
      </c>
    </row>
    <row r="9" spans="1:13" x14ac:dyDescent="0.25">
      <c r="A9" s="2">
        <v>46296</v>
      </c>
      <c r="B9" s="1" t="str">
        <f ca="1">IF(Información1[[#This Row],[Fecha]]='Ajuste de fechas'!$A$2,"Día actual","Día anterior")</f>
        <v>Día anterior</v>
      </c>
      <c r="C9" s="3" t="s">
        <v>43</v>
      </c>
      <c r="D9" t="s">
        <v>44</v>
      </c>
      <c r="E9" s="3" t="s">
        <v>110</v>
      </c>
      <c r="F9" s="3" t="s">
        <v>36</v>
      </c>
      <c r="G9" s="3" t="s">
        <v>111</v>
      </c>
      <c r="H9" s="3" t="s">
        <v>38</v>
      </c>
      <c r="I9" s="3" t="s">
        <v>7</v>
      </c>
      <c r="J9" s="3" t="s">
        <v>25</v>
      </c>
      <c r="K9" s="3" t="s">
        <v>45</v>
      </c>
      <c r="L9" s="3" t="s">
        <v>26</v>
      </c>
      <c r="M9">
        <v>1</v>
      </c>
    </row>
    <row r="10" spans="1:13" x14ac:dyDescent="0.25">
      <c r="A10" s="2">
        <v>46296</v>
      </c>
      <c r="B10" s="1" t="str">
        <f ca="1">IF(Información1[[#This Row],[Fecha]]='Ajuste de fechas'!$A$2,"Día actual","Día anterior")</f>
        <v>Día anterior</v>
      </c>
      <c r="C10" s="3" t="s">
        <v>43</v>
      </c>
      <c r="D10" t="s">
        <v>44</v>
      </c>
      <c r="E10" s="3" t="s">
        <v>112</v>
      </c>
      <c r="F10" s="3" t="s">
        <v>57</v>
      </c>
      <c r="G10" s="3" t="s">
        <v>113</v>
      </c>
      <c r="H10" s="3" t="s">
        <v>38</v>
      </c>
      <c r="I10" s="3" t="s">
        <v>7</v>
      </c>
      <c r="J10" s="3" t="s">
        <v>25</v>
      </c>
      <c r="K10" s="3" t="s">
        <v>45</v>
      </c>
      <c r="L10" s="3" t="s">
        <v>26</v>
      </c>
      <c r="M10">
        <v>1</v>
      </c>
    </row>
    <row r="11" spans="1:13" x14ac:dyDescent="0.25">
      <c r="A11" s="2">
        <v>46296</v>
      </c>
      <c r="B11" s="1" t="str">
        <f ca="1">IF(Información1[[#This Row],[Fecha]]='Ajuste de fechas'!$A$2,"Día actual","Día anterior")</f>
        <v>Día anterior</v>
      </c>
      <c r="C11" s="3" t="s">
        <v>43</v>
      </c>
      <c r="D11" t="s">
        <v>44</v>
      </c>
      <c r="E11" s="3" t="s">
        <v>114</v>
      </c>
      <c r="F11" s="3" t="s">
        <v>93</v>
      </c>
      <c r="G11" s="3" t="s">
        <v>115</v>
      </c>
      <c r="H11" s="3" t="s">
        <v>38</v>
      </c>
      <c r="I11" s="3" t="s">
        <v>7</v>
      </c>
      <c r="J11" s="3" t="s">
        <v>25</v>
      </c>
      <c r="K11" s="3" t="s">
        <v>45</v>
      </c>
      <c r="L11" s="3" t="s">
        <v>26</v>
      </c>
      <c r="M11">
        <v>1</v>
      </c>
    </row>
    <row r="12" spans="1:13" x14ac:dyDescent="0.25">
      <c r="A12" s="2">
        <v>46296</v>
      </c>
      <c r="B12" s="1" t="str">
        <f ca="1">IF(Información1[[#This Row],[Fecha]]='Ajuste de fechas'!$A$2,"Día actual","Día anterior")</f>
        <v>Día anterior</v>
      </c>
      <c r="C12" s="3" t="s">
        <v>43</v>
      </c>
      <c r="D12" t="s">
        <v>44</v>
      </c>
      <c r="E12" s="3" t="s">
        <v>116</v>
      </c>
      <c r="F12" s="3" t="s">
        <v>46</v>
      </c>
      <c r="G12" s="3" t="s">
        <v>85</v>
      </c>
      <c r="H12" s="3" t="s">
        <v>38</v>
      </c>
      <c r="I12" s="3" t="s">
        <v>7</v>
      </c>
      <c r="J12" s="3" t="s">
        <v>25</v>
      </c>
      <c r="K12" s="3" t="s">
        <v>45</v>
      </c>
      <c r="L12" s="3" t="s">
        <v>26</v>
      </c>
      <c r="M12">
        <v>1</v>
      </c>
    </row>
    <row r="13" spans="1:13" x14ac:dyDescent="0.25">
      <c r="A13" s="2">
        <v>46296</v>
      </c>
      <c r="B13" s="1" t="str">
        <f ca="1">IF(Información1[[#This Row],[Fecha]]='Ajuste de fechas'!$A$2,"Día actual","Día anterior")</f>
        <v>Día anterior</v>
      </c>
      <c r="C13" s="3" t="s">
        <v>43</v>
      </c>
      <c r="D13" t="s">
        <v>44</v>
      </c>
      <c r="E13" s="3" t="s">
        <v>117</v>
      </c>
      <c r="F13" s="3" t="s">
        <v>14</v>
      </c>
      <c r="G13" s="3" t="s">
        <v>118</v>
      </c>
      <c r="H13" s="3" t="s">
        <v>38</v>
      </c>
      <c r="I13" s="3" t="s">
        <v>7</v>
      </c>
      <c r="J13" s="3" t="s">
        <v>25</v>
      </c>
      <c r="K13" s="3" t="s">
        <v>45</v>
      </c>
      <c r="L13" s="3" t="s">
        <v>26</v>
      </c>
      <c r="M13">
        <v>1</v>
      </c>
    </row>
    <row r="14" spans="1:13" x14ac:dyDescent="0.25">
      <c r="A14" s="2">
        <v>46296</v>
      </c>
      <c r="B14" s="1" t="str">
        <f ca="1">IF(Información1[[#This Row],[Fecha]]='Ajuste de fechas'!$A$2,"Día actual","Día anterior")</f>
        <v>Día anterior</v>
      </c>
      <c r="C14" s="3" t="s">
        <v>43</v>
      </c>
      <c r="D14" t="s">
        <v>44</v>
      </c>
      <c r="E14" s="3" t="s">
        <v>119</v>
      </c>
      <c r="F14" s="3" t="s">
        <v>13</v>
      </c>
      <c r="G14" s="3" t="s">
        <v>86</v>
      </c>
      <c r="H14" s="3" t="s">
        <v>38</v>
      </c>
      <c r="I14" s="3" t="s">
        <v>7</v>
      </c>
      <c r="J14" s="3" t="s">
        <v>29</v>
      </c>
      <c r="K14" s="3" t="s">
        <v>45</v>
      </c>
      <c r="L14" s="3" t="s">
        <v>26</v>
      </c>
      <c r="M14">
        <v>1</v>
      </c>
    </row>
    <row r="15" spans="1:13" x14ac:dyDescent="0.25">
      <c r="A15" s="2">
        <v>46296</v>
      </c>
      <c r="B15" s="1" t="str">
        <f ca="1">IF(Información1[[#This Row],[Fecha]]='Ajuste de fechas'!$A$2,"Día actual","Día anterior")</f>
        <v>Día anterior</v>
      </c>
      <c r="C15" s="3" t="s">
        <v>43</v>
      </c>
      <c r="D15" t="s">
        <v>44</v>
      </c>
      <c r="E15" s="3" t="s">
        <v>120</v>
      </c>
      <c r="F15" s="3" t="s">
        <v>16</v>
      </c>
      <c r="G15" s="3" t="s">
        <v>121</v>
      </c>
      <c r="H15" s="3" t="s">
        <v>38</v>
      </c>
      <c r="I15" s="3" t="s">
        <v>7</v>
      </c>
      <c r="J15" s="3" t="s">
        <v>16</v>
      </c>
      <c r="K15" s="3" t="s">
        <v>45</v>
      </c>
      <c r="L15" s="3" t="s">
        <v>26</v>
      </c>
      <c r="M15">
        <v>1</v>
      </c>
    </row>
    <row r="16" spans="1:13" x14ac:dyDescent="0.25">
      <c r="A16" s="2">
        <v>46296</v>
      </c>
      <c r="B16" s="1" t="str">
        <f ca="1">IF(Información1[[#This Row],[Fecha]]='Ajuste de fechas'!$A$2,"Día actual","Día anterior")</f>
        <v>Día anterior</v>
      </c>
      <c r="C16" s="3" t="s">
        <v>43</v>
      </c>
      <c r="D16" t="s">
        <v>44</v>
      </c>
      <c r="E16" s="3" t="s">
        <v>122</v>
      </c>
      <c r="F16" s="3" t="s">
        <v>50</v>
      </c>
      <c r="G16" s="3" t="s">
        <v>87</v>
      </c>
      <c r="H16" s="3" t="s">
        <v>38</v>
      </c>
      <c r="I16" s="3" t="s">
        <v>7</v>
      </c>
      <c r="J16" s="3" t="s">
        <v>25</v>
      </c>
      <c r="K16" s="3" t="s">
        <v>45</v>
      </c>
      <c r="L16" s="3" t="s">
        <v>26</v>
      </c>
      <c r="M16">
        <v>1</v>
      </c>
    </row>
    <row r="17" spans="1:13" x14ac:dyDescent="0.25">
      <c r="A17" s="2">
        <v>46296</v>
      </c>
      <c r="B17" s="1" t="str">
        <f ca="1">IF(Información1[[#This Row],[Fecha]]='Ajuste de fechas'!$A$2,"Día actual","Día anterior")</f>
        <v>Día anterior</v>
      </c>
      <c r="C17" s="3" t="s">
        <v>43</v>
      </c>
      <c r="D17" t="s">
        <v>44</v>
      </c>
      <c r="E17" s="3" t="s">
        <v>123</v>
      </c>
      <c r="F17" s="3" t="s">
        <v>57</v>
      </c>
      <c r="G17" s="3" t="s">
        <v>88</v>
      </c>
      <c r="H17" s="3" t="s">
        <v>38</v>
      </c>
      <c r="I17" s="3" t="s">
        <v>7</v>
      </c>
      <c r="J17" s="3" t="s">
        <v>25</v>
      </c>
      <c r="K17" s="3" t="s">
        <v>45</v>
      </c>
      <c r="L17" s="3" t="s">
        <v>26</v>
      </c>
      <c r="M17">
        <v>1</v>
      </c>
    </row>
    <row r="18" spans="1:13" x14ac:dyDescent="0.25">
      <c r="A18" s="2">
        <v>46296</v>
      </c>
      <c r="B18" s="1" t="str">
        <f ca="1">IF(Información1[[#This Row],[Fecha]]='Ajuste de fechas'!$A$2,"Día actual","Día anterior")</f>
        <v>Día anterior</v>
      </c>
      <c r="C18" s="3" t="s">
        <v>43</v>
      </c>
      <c r="D18" t="s">
        <v>44</v>
      </c>
      <c r="E18" s="3" t="s">
        <v>124</v>
      </c>
      <c r="F18" s="3" t="s">
        <v>34</v>
      </c>
      <c r="G18" s="3" t="s">
        <v>54</v>
      </c>
      <c r="H18" s="3" t="s">
        <v>38</v>
      </c>
      <c r="I18" s="3" t="s">
        <v>7</v>
      </c>
      <c r="J18" s="3" t="s">
        <v>16</v>
      </c>
      <c r="K18" s="3" t="s">
        <v>45</v>
      </c>
      <c r="L18" s="3" t="s">
        <v>26</v>
      </c>
      <c r="M18">
        <v>1</v>
      </c>
    </row>
    <row r="19" spans="1:13" x14ac:dyDescent="0.25">
      <c r="A19" s="2">
        <v>46296</v>
      </c>
      <c r="B19" s="1" t="str">
        <f ca="1">IF(Información1[[#This Row],[Fecha]]='Ajuste de fechas'!$A$2,"Día actual","Día anterior")</f>
        <v>Día anterior</v>
      </c>
      <c r="C19" s="3" t="s">
        <v>43</v>
      </c>
      <c r="D19" t="s">
        <v>44</v>
      </c>
      <c r="E19" s="3" t="s">
        <v>125</v>
      </c>
      <c r="F19" s="3" t="s">
        <v>15</v>
      </c>
      <c r="G19" s="3" t="s">
        <v>126</v>
      </c>
      <c r="H19" s="3" t="s">
        <v>38</v>
      </c>
      <c r="I19" s="3" t="s">
        <v>7</v>
      </c>
      <c r="J19" s="3" t="s">
        <v>30</v>
      </c>
      <c r="K19" s="3" t="s">
        <v>45</v>
      </c>
      <c r="L19" s="3" t="s">
        <v>26</v>
      </c>
      <c r="M19">
        <v>1</v>
      </c>
    </row>
    <row r="20" spans="1:13" x14ac:dyDescent="0.25">
      <c r="A20" s="2">
        <v>46296</v>
      </c>
      <c r="B20" s="1" t="str">
        <f ca="1">IF(Información1[[#This Row],[Fecha]]='Ajuste de fechas'!$A$2,"Día actual","Día anterior")</f>
        <v>Día anterior</v>
      </c>
      <c r="C20" s="3" t="s">
        <v>43</v>
      </c>
      <c r="D20" t="s">
        <v>44</v>
      </c>
      <c r="E20" s="3" t="s">
        <v>127</v>
      </c>
      <c r="F20" s="3" t="s">
        <v>13</v>
      </c>
      <c r="G20" s="3" t="s">
        <v>128</v>
      </c>
      <c r="H20" s="3" t="s">
        <v>38</v>
      </c>
      <c r="I20" s="3" t="s">
        <v>7</v>
      </c>
      <c r="J20" s="3" t="s">
        <v>29</v>
      </c>
      <c r="K20" s="3" t="s">
        <v>45</v>
      </c>
      <c r="L20" s="3" t="s">
        <v>26</v>
      </c>
      <c r="M20">
        <v>1</v>
      </c>
    </row>
    <row r="21" spans="1:13" x14ac:dyDescent="0.25">
      <c r="A21" s="2">
        <v>46296</v>
      </c>
      <c r="B21" s="1" t="str">
        <f ca="1">IF(Información1[[#This Row],[Fecha]]='Ajuste de fechas'!$A$2,"Día actual","Día anterior")</f>
        <v>Día anterior</v>
      </c>
      <c r="C21" s="3" t="s">
        <v>43</v>
      </c>
      <c r="D21" t="s">
        <v>44</v>
      </c>
      <c r="E21" s="3" t="s">
        <v>129</v>
      </c>
      <c r="F21" s="3" t="s">
        <v>15</v>
      </c>
      <c r="G21" s="3" t="s">
        <v>102</v>
      </c>
      <c r="H21" s="3" t="s">
        <v>38</v>
      </c>
      <c r="I21" s="3" t="s">
        <v>7</v>
      </c>
      <c r="J21" s="3" t="s">
        <v>30</v>
      </c>
      <c r="K21" s="3" t="s">
        <v>45</v>
      </c>
      <c r="L21" s="3" t="s">
        <v>26</v>
      </c>
      <c r="M21">
        <v>1</v>
      </c>
    </row>
    <row r="22" spans="1:13" x14ac:dyDescent="0.25">
      <c r="A22" s="2">
        <v>46296</v>
      </c>
      <c r="B22" s="1" t="str">
        <f ca="1">IF(Información1[[#This Row],[Fecha]]='Ajuste de fechas'!$A$2,"Día actual","Día anterior")</f>
        <v>Día anterior</v>
      </c>
      <c r="C22" s="3" t="s">
        <v>43</v>
      </c>
      <c r="D22" t="s">
        <v>44</v>
      </c>
      <c r="E22" s="3" t="s">
        <v>130</v>
      </c>
      <c r="F22" s="3" t="s">
        <v>51</v>
      </c>
      <c r="G22" s="3" t="s">
        <v>131</v>
      </c>
      <c r="H22" s="3" t="s">
        <v>38</v>
      </c>
      <c r="I22" s="3" t="s">
        <v>7</v>
      </c>
      <c r="J22" s="3" t="s">
        <v>25</v>
      </c>
      <c r="K22" s="3" t="s">
        <v>45</v>
      </c>
      <c r="L22" s="3" t="s">
        <v>26</v>
      </c>
      <c r="M22">
        <v>1</v>
      </c>
    </row>
    <row r="23" spans="1:13" x14ac:dyDescent="0.25">
      <c r="A23" s="2">
        <v>46296</v>
      </c>
      <c r="B23" s="1" t="str">
        <f ca="1">IF(Información1[[#This Row],[Fecha]]='Ajuste de fechas'!$A$2,"Día actual","Día anterior")</f>
        <v>Día anterior</v>
      </c>
      <c r="C23" s="3" t="s">
        <v>43</v>
      </c>
      <c r="D23" t="s">
        <v>44</v>
      </c>
      <c r="E23" s="3" t="s">
        <v>132</v>
      </c>
      <c r="F23" s="3" t="s">
        <v>15</v>
      </c>
      <c r="G23" s="3" t="s">
        <v>133</v>
      </c>
      <c r="H23" s="3" t="s">
        <v>38</v>
      </c>
      <c r="I23" s="3" t="s">
        <v>7</v>
      </c>
      <c r="J23" s="3" t="s">
        <v>30</v>
      </c>
      <c r="K23" s="3" t="s">
        <v>45</v>
      </c>
      <c r="L23" s="3" t="s">
        <v>26</v>
      </c>
      <c r="M23">
        <v>1</v>
      </c>
    </row>
    <row r="24" spans="1:13" x14ac:dyDescent="0.25">
      <c r="A24" s="2">
        <v>46296</v>
      </c>
      <c r="B24" s="1" t="str">
        <f ca="1">IF(Información1[[#This Row],[Fecha]]='Ajuste de fechas'!$A$2,"Día actual","Día anterior")</f>
        <v>Día anterior</v>
      </c>
      <c r="C24" s="3" t="s">
        <v>43</v>
      </c>
      <c r="D24" t="s">
        <v>44</v>
      </c>
      <c r="E24" s="3" t="s">
        <v>134</v>
      </c>
      <c r="F24" s="3" t="s">
        <v>18</v>
      </c>
      <c r="G24" s="3" t="s">
        <v>135</v>
      </c>
      <c r="H24" s="3" t="s">
        <v>38</v>
      </c>
      <c r="I24" s="3" t="s">
        <v>7</v>
      </c>
      <c r="J24" s="3" t="s">
        <v>25</v>
      </c>
      <c r="K24" s="3" t="s">
        <v>45</v>
      </c>
      <c r="L24" s="3" t="s">
        <v>26</v>
      </c>
      <c r="M24">
        <v>1</v>
      </c>
    </row>
    <row r="25" spans="1:13" x14ac:dyDescent="0.25">
      <c r="A25" s="2">
        <v>46296</v>
      </c>
      <c r="B25" s="1" t="str">
        <f ca="1">IF(Información1[[#This Row],[Fecha]]='Ajuste de fechas'!$A$2,"Día actual","Día anterior")</f>
        <v>Día anterior</v>
      </c>
      <c r="C25" s="3" t="s">
        <v>8</v>
      </c>
      <c r="D25" t="s">
        <v>9</v>
      </c>
      <c r="E25" s="3" t="s">
        <v>136</v>
      </c>
      <c r="F25" s="3" t="s">
        <v>13</v>
      </c>
      <c r="G25" s="3" t="s">
        <v>137</v>
      </c>
      <c r="H25" s="3" t="s">
        <v>38</v>
      </c>
      <c r="I25" s="3" t="s">
        <v>17</v>
      </c>
      <c r="J25" s="3" t="s">
        <v>29</v>
      </c>
      <c r="K25" s="3" t="s">
        <v>49</v>
      </c>
      <c r="L25" s="3" t="s">
        <v>27</v>
      </c>
      <c r="M25">
        <v>1</v>
      </c>
    </row>
    <row r="26" spans="1:13" x14ac:dyDescent="0.25">
      <c r="A26" s="2">
        <v>46296</v>
      </c>
      <c r="B26" s="1" t="str">
        <f ca="1">IF(Información1[[#This Row],[Fecha]]='Ajuste de fechas'!$A$2,"Día actual","Día anterior")</f>
        <v>Día anterior</v>
      </c>
      <c r="C26" s="3" t="s">
        <v>8</v>
      </c>
      <c r="D26" t="s">
        <v>9</v>
      </c>
      <c r="E26" s="3" t="s">
        <v>138</v>
      </c>
      <c r="F26" s="3" t="s">
        <v>12</v>
      </c>
      <c r="G26" s="3" t="s">
        <v>96</v>
      </c>
      <c r="H26" s="3" t="s">
        <v>38</v>
      </c>
      <c r="I26" s="3" t="s">
        <v>17</v>
      </c>
      <c r="J26" s="3" t="s">
        <v>25</v>
      </c>
      <c r="K26" s="3" t="s">
        <v>49</v>
      </c>
      <c r="L26" s="3" t="s">
        <v>27</v>
      </c>
      <c r="M26">
        <v>1</v>
      </c>
    </row>
    <row r="27" spans="1:13" x14ac:dyDescent="0.25">
      <c r="A27" s="2">
        <v>46296</v>
      </c>
      <c r="B27" s="1" t="str">
        <f ca="1">IF(Información1[[#This Row],[Fecha]]='Ajuste de fechas'!$A$2,"Día actual","Día anterior")</f>
        <v>Día anterior</v>
      </c>
      <c r="C27" s="3" t="s">
        <v>8</v>
      </c>
      <c r="D27" t="s">
        <v>9</v>
      </c>
      <c r="E27" s="3" t="s">
        <v>139</v>
      </c>
      <c r="F27" s="3" t="s">
        <v>6</v>
      </c>
      <c r="G27" s="3" t="s">
        <v>140</v>
      </c>
      <c r="H27" s="3" t="s">
        <v>38</v>
      </c>
      <c r="I27" s="3" t="s">
        <v>17</v>
      </c>
      <c r="J27" s="3" t="s">
        <v>25</v>
      </c>
      <c r="K27" s="3" t="s">
        <v>49</v>
      </c>
      <c r="L27" s="3" t="s">
        <v>27</v>
      </c>
      <c r="M27">
        <v>1</v>
      </c>
    </row>
    <row r="28" spans="1:13" x14ac:dyDescent="0.25">
      <c r="A28" s="2">
        <v>46296</v>
      </c>
      <c r="B28" s="1" t="str">
        <f ca="1">IF(Información1[[#This Row],[Fecha]]='Ajuste de fechas'!$A$2,"Día actual","Día anterior")</f>
        <v>Día anterior</v>
      </c>
      <c r="C28" s="3" t="s">
        <v>8</v>
      </c>
      <c r="D28" t="s">
        <v>9</v>
      </c>
      <c r="E28" s="3" t="s">
        <v>141</v>
      </c>
      <c r="F28" s="3" t="s">
        <v>18</v>
      </c>
      <c r="G28" s="3" t="s">
        <v>142</v>
      </c>
      <c r="H28" s="3" t="s">
        <v>38</v>
      </c>
      <c r="I28" s="3" t="s">
        <v>7</v>
      </c>
      <c r="J28" s="3" t="s">
        <v>25</v>
      </c>
      <c r="K28" s="3" t="s">
        <v>49</v>
      </c>
      <c r="L28" s="3" t="s">
        <v>27</v>
      </c>
      <c r="M28">
        <v>1</v>
      </c>
    </row>
    <row r="29" spans="1:13" x14ac:dyDescent="0.25">
      <c r="A29" s="2">
        <v>46296</v>
      </c>
      <c r="B29" s="1" t="str">
        <f ca="1">IF(Información1[[#This Row],[Fecha]]='Ajuste de fechas'!$A$2,"Día actual","Día anterior")</f>
        <v>Día anterior</v>
      </c>
      <c r="C29" s="3" t="s">
        <v>8</v>
      </c>
      <c r="D29" t="s">
        <v>9</v>
      </c>
      <c r="E29" s="3" t="s">
        <v>143</v>
      </c>
      <c r="F29" s="3" t="s">
        <v>12</v>
      </c>
      <c r="G29" s="3" t="s">
        <v>52</v>
      </c>
      <c r="H29" s="3" t="s">
        <v>38</v>
      </c>
      <c r="I29" s="3" t="s">
        <v>7</v>
      </c>
      <c r="J29" s="3" t="s">
        <v>25</v>
      </c>
      <c r="K29" s="3" t="s">
        <v>49</v>
      </c>
      <c r="L29" s="3" t="s">
        <v>27</v>
      </c>
      <c r="M29">
        <v>1</v>
      </c>
    </row>
    <row r="30" spans="1:13" x14ac:dyDescent="0.25">
      <c r="A30" s="2">
        <v>46296</v>
      </c>
      <c r="B30" s="1" t="str">
        <f ca="1">IF(Información1[[#This Row],[Fecha]]='Ajuste de fechas'!$A$2,"Día actual","Día anterior")</f>
        <v>Día anterior</v>
      </c>
      <c r="C30" s="3" t="s">
        <v>8</v>
      </c>
      <c r="D30" t="s">
        <v>9</v>
      </c>
      <c r="E30" s="3" t="s">
        <v>144</v>
      </c>
      <c r="F30" s="3" t="s">
        <v>34</v>
      </c>
      <c r="G30" s="3" t="s">
        <v>92</v>
      </c>
      <c r="H30" s="3" t="s">
        <v>38</v>
      </c>
      <c r="I30" s="3" t="s">
        <v>7</v>
      </c>
      <c r="J30" s="3" t="s">
        <v>16</v>
      </c>
      <c r="K30" s="3" t="s">
        <v>11</v>
      </c>
      <c r="L30" s="3" t="s">
        <v>35</v>
      </c>
      <c r="M30">
        <v>1</v>
      </c>
    </row>
    <row r="31" spans="1:13" x14ac:dyDescent="0.25">
      <c r="A31" s="2">
        <v>46296</v>
      </c>
      <c r="B31" s="1" t="str">
        <f ca="1">IF(Información1[[#This Row],[Fecha]]='Ajuste de fechas'!$A$2,"Día actual","Día anterior")</f>
        <v>Día anterior</v>
      </c>
      <c r="C31" s="3" t="s">
        <v>8</v>
      </c>
      <c r="D31" t="s">
        <v>9</v>
      </c>
      <c r="E31" s="3" t="s">
        <v>145</v>
      </c>
      <c r="F31" s="3" t="s">
        <v>13</v>
      </c>
      <c r="G31" s="3" t="s">
        <v>146</v>
      </c>
      <c r="H31" s="3" t="s">
        <v>38</v>
      </c>
      <c r="I31" s="3" t="s">
        <v>7</v>
      </c>
      <c r="J31" s="3" t="s">
        <v>29</v>
      </c>
      <c r="K31" s="3" t="s">
        <v>11</v>
      </c>
      <c r="L31" s="3" t="s">
        <v>26</v>
      </c>
      <c r="M31">
        <v>1</v>
      </c>
    </row>
    <row r="32" spans="1:13" x14ac:dyDescent="0.25">
      <c r="A32" s="2">
        <v>46296</v>
      </c>
      <c r="B32" s="1" t="str">
        <f ca="1">IF(Información1[[#This Row],[Fecha]]='Ajuste de fechas'!$A$2,"Día actual","Día anterior")</f>
        <v>Día anterior</v>
      </c>
      <c r="C32" s="3" t="s">
        <v>8</v>
      </c>
      <c r="D32" t="s">
        <v>9</v>
      </c>
      <c r="E32" s="3" t="s">
        <v>147</v>
      </c>
      <c r="F32" s="3" t="s">
        <v>15</v>
      </c>
      <c r="G32" s="3" t="s">
        <v>126</v>
      </c>
      <c r="H32" s="3" t="s">
        <v>38</v>
      </c>
      <c r="I32" s="3" t="s">
        <v>7</v>
      </c>
      <c r="J32" s="3" t="s">
        <v>30</v>
      </c>
      <c r="K32" s="3" t="s">
        <v>11</v>
      </c>
      <c r="L32" s="3" t="s">
        <v>26</v>
      </c>
      <c r="M32">
        <v>1</v>
      </c>
    </row>
    <row r="33" spans="1:13" x14ac:dyDescent="0.25">
      <c r="A33" s="2">
        <v>46296</v>
      </c>
      <c r="B33" s="1" t="str">
        <f ca="1">IF(Información1[[#This Row],[Fecha]]='Ajuste de fechas'!$A$2,"Día actual","Día anterior")</f>
        <v>Día anterior</v>
      </c>
      <c r="C33" s="3" t="s">
        <v>8</v>
      </c>
      <c r="D33" t="s">
        <v>9</v>
      </c>
      <c r="E33" s="3" t="s">
        <v>148</v>
      </c>
      <c r="F33" s="3" t="s">
        <v>13</v>
      </c>
      <c r="G33" s="3" t="s">
        <v>149</v>
      </c>
      <c r="H33" s="3" t="s">
        <v>38</v>
      </c>
      <c r="I33" s="3" t="s">
        <v>7</v>
      </c>
      <c r="J33" s="3" t="s">
        <v>29</v>
      </c>
      <c r="K33" s="3" t="s">
        <v>11</v>
      </c>
      <c r="L33" s="3" t="s">
        <v>26</v>
      </c>
      <c r="M33">
        <v>1</v>
      </c>
    </row>
    <row r="34" spans="1:13" x14ac:dyDescent="0.25">
      <c r="A34" s="2">
        <v>46296</v>
      </c>
      <c r="B34" s="1" t="str">
        <f ca="1">IF(Información1[[#This Row],[Fecha]]='Ajuste de fechas'!$A$2,"Día actual","Día anterior")</f>
        <v>Día anterior</v>
      </c>
      <c r="C34" s="3" t="s">
        <v>8</v>
      </c>
      <c r="D34" t="s">
        <v>9</v>
      </c>
      <c r="E34" s="3" t="s">
        <v>150</v>
      </c>
      <c r="F34" s="3" t="s">
        <v>34</v>
      </c>
      <c r="G34" s="3" t="s">
        <v>151</v>
      </c>
      <c r="H34" s="3" t="s">
        <v>38</v>
      </c>
      <c r="I34" s="3" t="s">
        <v>7</v>
      </c>
      <c r="J34" s="3" t="s">
        <v>16</v>
      </c>
      <c r="K34" s="3" t="s">
        <v>11</v>
      </c>
      <c r="L34" s="3" t="s">
        <v>26</v>
      </c>
      <c r="M34">
        <v>1</v>
      </c>
    </row>
    <row r="35" spans="1:13" x14ac:dyDescent="0.25">
      <c r="A35" s="2">
        <v>46296</v>
      </c>
      <c r="B35" s="1" t="str">
        <f ca="1">IF(Información1[[#This Row],[Fecha]]='Ajuste de fechas'!$A$2,"Día actual","Día anterior")</f>
        <v>Día anterior</v>
      </c>
      <c r="C35" s="3" t="s">
        <v>8</v>
      </c>
      <c r="D35" t="s">
        <v>9</v>
      </c>
      <c r="E35" s="3" t="s">
        <v>152</v>
      </c>
      <c r="F35" s="3" t="s">
        <v>34</v>
      </c>
      <c r="G35" s="3" t="s">
        <v>54</v>
      </c>
      <c r="H35" s="3" t="s">
        <v>38</v>
      </c>
      <c r="I35" s="3" t="s">
        <v>7</v>
      </c>
      <c r="J35" s="3" t="s">
        <v>16</v>
      </c>
      <c r="K35" s="3" t="s">
        <v>11</v>
      </c>
      <c r="L35" s="3" t="s">
        <v>26</v>
      </c>
      <c r="M35">
        <v>1</v>
      </c>
    </row>
    <row r="36" spans="1:13" x14ac:dyDescent="0.25">
      <c r="A36" s="2">
        <v>46296</v>
      </c>
      <c r="B36" s="1" t="str">
        <f ca="1">IF(Información1[[#This Row],[Fecha]]='Ajuste de fechas'!$A$2,"Día actual","Día anterior")</f>
        <v>Día anterior</v>
      </c>
      <c r="C36" s="3" t="s">
        <v>8</v>
      </c>
      <c r="D36" t="s">
        <v>9</v>
      </c>
      <c r="E36" s="3" t="s">
        <v>153</v>
      </c>
      <c r="F36" s="3" t="s">
        <v>46</v>
      </c>
      <c r="G36" s="3" t="s">
        <v>85</v>
      </c>
      <c r="H36" s="3" t="s">
        <v>38</v>
      </c>
      <c r="I36" s="3" t="s">
        <v>10</v>
      </c>
      <c r="J36" s="3" t="s">
        <v>25</v>
      </c>
      <c r="K36" s="3" t="s">
        <v>11</v>
      </c>
      <c r="L36" s="3" t="s">
        <v>28</v>
      </c>
      <c r="M36">
        <v>1</v>
      </c>
    </row>
    <row r="37" spans="1:13" x14ac:dyDescent="0.25">
      <c r="A37" s="2">
        <v>46296</v>
      </c>
      <c r="B37" s="1" t="str">
        <f ca="1">IF(Información1[[#This Row],[Fecha]]='Ajuste de fechas'!$A$2,"Día actual","Día anterior")</f>
        <v>Día anterior</v>
      </c>
      <c r="C37" s="3" t="s">
        <v>8</v>
      </c>
      <c r="D37" t="s">
        <v>9</v>
      </c>
      <c r="E37" s="3" t="s">
        <v>154</v>
      </c>
      <c r="F37" s="3" t="s">
        <v>13</v>
      </c>
      <c r="G37" s="3" t="s">
        <v>155</v>
      </c>
      <c r="H37" s="3" t="s">
        <v>38</v>
      </c>
      <c r="I37" s="3" t="s">
        <v>10</v>
      </c>
      <c r="J37" s="3" t="s">
        <v>29</v>
      </c>
      <c r="K37" s="3" t="s">
        <v>11</v>
      </c>
      <c r="L37" s="3" t="s">
        <v>27</v>
      </c>
      <c r="M37">
        <v>1</v>
      </c>
    </row>
    <row r="38" spans="1:13" x14ac:dyDescent="0.25">
      <c r="A38" s="2">
        <v>46296</v>
      </c>
      <c r="B38" s="1" t="str">
        <f ca="1">IF(Información1[[#This Row],[Fecha]]='Ajuste de fechas'!$A$2,"Día actual","Día anterior")</f>
        <v>Día anterior</v>
      </c>
      <c r="C38" s="3" t="s">
        <v>8</v>
      </c>
      <c r="D38" t="s">
        <v>9</v>
      </c>
      <c r="E38" s="3" t="s">
        <v>156</v>
      </c>
      <c r="F38" s="3" t="s">
        <v>13</v>
      </c>
      <c r="G38" s="3" t="s">
        <v>155</v>
      </c>
      <c r="H38" s="3" t="s">
        <v>38</v>
      </c>
      <c r="I38" s="3" t="s">
        <v>10</v>
      </c>
      <c r="J38" s="3" t="s">
        <v>29</v>
      </c>
      <c r="K38" s="3" t="s">
        <v>11</v>
      </c>
      <c r="L38" s="3" t="s">
        <v>27</v>
      </c>
      <c r="M38">
        <v>1</v>
      </c>
    </row>
    <row r="39" spans="1:13" x14ac:dyDescent="0.25">
      <c r="A39" s="2">
        <v>46296</v>
      </c>
      <c r="B39" s="1" t="str">
        <f ca="1">IF(Información1[[#This Row],[Fecha]]='Ajuste de fechas'!$A$2,"Día actual","Día anterior")</f>
        <v>Día anterior</v>
      </c>
      <c r="C39" s="3" t="s">
        <v>8</v>
      </c>
      <c r="D39" t="s">
        <v>9</v>
      </c>
      <c r="E39" s="3" t="s">
        <v>157</v>
      </c>
      <c r="F39" s="3" t="s">
        <v>34</v>
      </c>
      <c r="G39" s="3" t="s">
        <v>155</v>
      </c>
      <c r="H39" s="3" t="s">
        <v>38</v>
      </c>
      <c r="I39" s="3" t="s">
        <v>10</v>
      </c>
      <c r="J39" s="3" t="s">
        <v>16</v>
      </c>
      <c r="K39" s="3" t="s">
        <v>11</v>
      </c>
      <c r="L39" s="3" t="s">
        <v>27</v>
      </c>
      <c r="M39">
        <v>1</v>
      </c>
    </row>
    <row r="40" spans="1:13" x14ac:dyDescent="0.25">
      <c r="A40" s="2">
        <v>46296</v>
      </c>
      <c r="B40" s="1" t="str">
        <f ca="1">IF(Información1[[#This Row],[Fecha]]='Ajuste de fechas'!$A$2,"Día actual","Día anterior")</f>
        <v>Día anterior</v>
      </c>
      <c r="C40" s="3" t="s">
        <v>8</v>
      </c>
      <c r="D40" t="s">
        <v>9</v>
      </c>
      <c r="E40" s="3" t="s">
        <v>158</v>
      </c>
      <c r="F40" s="3" t="s">
        <v>36</v>
      </c>
      <c r="G40" s="3" t="s">
        <v>155</v>
      </c>
      <c r="H40" s="3" t="s">
        <v>38</v>
      </c>
      <c r="I40" s="3" t="s">
        <v>10</v>
      </c>
      <c r="J40" s="3" t="s">
        <v>25</v>
      </c>
      <c r="K40" s="3" t="s">
        <v>11</v>
      </c>
      <c r="L40" s="3" t="s">
        <v>27</v>
      </c>
      <c r="M40">
        <v>1</v>
      </c>
    </row>
    <row r="41" spans="1:13" x14ac:dyDescent="0.25">
      <c r="A41" s="2">
        <v>46296</v>
      </c>
      <c r="B41" s="1" t="str">
        <f ca="1">IF(Información1[[#This Row],[Fecha]]='Ajuste de fechas'!$A$2,"Día actual","Día anterior")</f>
        <v>Día anterior</v>
      </c>
      <c r="C41" s="3" t="s">
        <v>8</v>
      </c>
      <c r="D41" t="s">
        <v>9</v>
      </c>
      <c r="E41" s="3" t="s">
        <v>159</v>
      </c>
      <c r="F41" s="3" t="s">
        <v>12</v>
      </c>
      <c r="G41" s="3" t="s">
        <v>155</v>
      </c>
      <c r="H41" s="3" t="s">
        <v>38</v>
      </c>
      <c r="I41" s="3" t="s">
        <v>10</v>
      </c>
      <c r="J41" s="3" t="s">
        <v>25</v>
      </c>
      <c r="K41" s="3" t="s">
        <v>11</v>
      </c>
      <c r="L41" s="3" t="s">
        <v>27</v>
      </c>
      <c r="M41">
        <v>1</v>
      </c>
    </row>
    <row r="42" spans="1:13" x14ac:dyDescent="0.25">
      <c r="A42" s="2">
        <v>46296</v>
      </c>
      <c r="B42" s="1" t="str">
        <f ca="1">IF(Información1[[#This Row],[Fecha]]='Ajuste de fechas'!$A$2,"Día actual","Día anterior")</f>
        <v>Día anterior</v>
      </c>
      <c r="C42" s="3" t="s">
        <v>8</v>
      </c>
      <c r="D42" t="s">
        <v>9</v>
      </c>
      <c r="E42" s="3" t="s">
        <v>160</v>
      </c>
      <c r="F42" s="3" t="s">
        <v>6</v>
      </c>
      <c r="G42" s="3" t="s">
        <v>155</v>
      </c>
      <c r="H42" s="3" t="s">
        <v>38</v>
      </c>
      <c r="I42" s="3" t="s">
        <v>10</v>
      </c>
      <c r="J42" s="3" t="s">
        <v>25</v>
      </c>
      <c r="K42" s="3" t="s">
        <v>11</v>
      </c>
      <c r="L42" s="3" t="s">
        <v>27</v>
      </c>
      <c r="M42">
        <v>1</v>
      </c>
    </row>
    <row r="43" spans="1:13" x14ac:dyDescent="0.25">
      <c r="A43" s="2">
        <v>46296</v>
      </c>
      <c r="B43" s="1" t="str">
        <f ca="1">IF(Información1[[#This Row],[Fecha]]='Ajuste de fechas'!$A$2,"Día actual","Día anterior")</f>
        <v>Día anterior</v>
      </c>
      <c r="C43" s="3" t="s">
        <v>39</v>
      </c>
      <c r="D43" t="s">
        <v>47</v>
      </c>
      <c r="E43" s="3" t="s">
        <v>161</v>
      </c>
      <c r="F43" s="3" t="s">
        <v>13</v>
      </c>
      <c r="G43" s="3" t="s">
        <v>162</v>
      </c>
      <c r="H43" s="3" t="s">
        <v>38</v>
      </c>
      <c r="I43" s="3" t="s">
        <v>7</v>
      </c>
      <c r="J43" s="3" t="s">
        <v>29</v>
      </c>
      <c r="K43" s="3" t="s">
        <v>41</v>
      </c>
      <c r="L43" s="3" t="s">
        <v>26</v>
      </c>
      <c r="M43">
        <v>1</v>
      </c>
    </row>
    <row r="44" spans="1:13" x14ac:dyDescent="0.25">
      <c r="A44" s="2">
        <v>46296</v>
      </c>
      <c r="B44" s="1" t="str">
        <f ca="1">IF(Información1[[#This Row],[Fecha]]='Ajuste de fechas'!$A$2,"Día actual","Día anterior")</f>
        <v>Día anterior</v>
      </c>
      <c r="C44" s="3" t="s">
        <v>39</v>
      </c>
      <c r="D44" t="s">
        <v>47</v>
      </c>
      <c r="E44" s="3" t="s">
        <v>163</v>
      </c>
      <c r="F44" s="3" t="s">
        <v>13</v>
      </c>
      <c r="G44" s="3" t="s">
        <v>164</v>
      </c>
      <c r="H44" s="3" t="s">
        <v>38</v>
      </c>
      <c r="I44" s="3" t="s">
        <v>7</v>
      </c>
      <c r="J44" s="3" t="s">
        <v>29</v>
      </c>
      <c r="K44" s="3" t="s">
        <v>41</v>
      </c>
      <c r="L44" s="3" t="s">
        <v>26</v>
      </c>
      <c r="M44">
        <v>1</v>
      </c>
    </row>
    <row r="45" spans="1:13" x14ac:dyDescent="0.25">
      <c r="A45" s="2">
        <v>46296</v>
      </c>
      <c r="B45" s="1" t="str">
        <f ca="1">IF(Información1[[#This Row],[Fecha]]='Ajuste de fechas'!$A$2,"Día actual","Día anterior")</f>
        <v>Día anterior</v>
      </c>
      <c r="C45" s="3" t="s">
        <v>39</v>
      </c>
      <c r="D45" t="s">
        <v>47</v>
      </c>
      <c r="E45" s="3" t="s">
        <v>84</v>
      </c>
      <c r="F45" s="3" t="s">
        <v>13</v>
      </c>
      <c r="G45" s="3" t="s">
        <v>165</v>
      </c>
      <c r="H45" s="3" t="s">
        <v>38</v>
      </c>
      <c r="I45" s="3" t="s">
        <v>7</v>
      </c>
      <c r="J45" s="3" t="s">
        <v>29</v>
      </c>
      <c r="K45" s="3" t="s">
        <v>41</v>
      </c>
      <c r="L45" s="3" t="s">
        <v>26</v>
      </c>
      <c r="M45">
        <v>1</v>
      </c>
    </row>
    <row r="46" spans="1:13" x14ac:dyDescent="0.25">
      <c r="A46" s="2">
        <v>46296</v>
      </c>
      <c r="B46" s="1" t="str">
        <f ca="1">IF(Información1[[#This Row],[Fecha]]='Ajuste de fechas'!$A$2,"Día actual","Día anterior")</f>
        <v>Día anterior</v>
      </c>
      <c r="C46" s="3" t="s">
        <v>39</v>
      </c>
      <c r="D46" t="s">
        <v>47</v>
      </c>
      <c r="E46" s="3" t="s">
        <v>166</v>
      </c>
      <c r="F46" s="3" t="s">
        <v>46</v>
      </c>
      <c r="G46" s="3" t="s">
        <v>167</v>
      </c>
      <c r="H46" s="3" t="s">
        <v>38</v>
      </c>
      <c r="I46" s="3" t="s">
        <v>7</v>
      </c>
      <c r="J46" s="3" t="s">
        <v>25</v>
      </c>
      <c r="K46" s="3" t="s">
        <v>41</v>
      </c>
      <c r="L46" s="3" t="s">
        <v>26</v>
      </c>
      <c r="M46">
        <v>1</v>
      </c>
    </row>
    <row r="47" spans="1:13" x14ac:dyDescent="0.25">
      <c r="A47" s="2">
        <v>46296</v>
      </c>
      <c r="B47" s="1" t="str">
        <f ca="1">IF(Información1[[#This Row],[Fecha]]='Ajuste de fechas'!$A$2,"Día actual","Día anterior")</f>
        <v>Día anterior</v>
      </c>
      <c r="C47" s="3" t="s">
        <v>55</v>
      </c>
      <c r="D47" t="s">
        <v>56</v>
      </c>
      <c r="E47" s="3" t="s">
        <v>168</v>
      </c>
      <c r="F47" s="3" t="s">
        <v>50</v>
      </c>
      <c r="G47" s="3" t="s">
        <v>109</v>
      </c>
      <c r="H47" s="3" t="s">
        <v>38</v>
      </c>
      <c r="I47" s="3" t="s">
        <v>7</v>
      </c>
      <c r="J47" s="3" t="s">
        <v>25</v>
      </c>
      <c r="K47" s="3" t="s">
        <v>58</v>
      </c>
      <c r="L47" s="3" t="s">
        <v>28</v>
      </c>
      <c r="M47">
        <v>1</v>
      </c>
    </row>
    <row r="48" spans="1:13" x14ac:dyDescent="0.25">
      <c r="A48" s="2">
        <v>46296</v>
      </c>
      <c r="B48" s="1" t="str">
        <f ca="1">IF(Información1[[#This Row],[Fecha]]='Ajuste de fechas'!$A$2,"Día actual","Día anterior")</f>
        <v>Día anterior</v>
      </c>
      <c r="C48" s="3" t="s">
        <v>55</v>
      </c>
      <c r="D48" t="s">
        <v>56</v>
      </c>
      <c r="E48" s="3" t="s">
        <v>169</v>
      </c>
      <c r="F48" s="3" t="s">
        <v>14</v>
      </c>
      <c r="G48" s="3" t="s">
        <v>118</v>
      </c>
      <c r="H48" s="3" t="s">
        <v>38</v>
      </c>
      <c r="I48" s="3" t="s">
        <v>7</v>
      </c>
      <c r="J48" s="3" t="s">
        <v>25</v>
      </c>
      <c r="K48" s="3" t="s">
        <v>58</v>
      </c>
      <c r="L48" s="3" t="s">
        <v>28</v>
      </c>
      <c r="M48">
        <v>1</v>
      </c>
    </row>
    <row r="49" spans="1:13" x14ac:dyDescent="0.25">
      <c r="A49" s="2">
        <v>46296</v>
      </c>
      <c r="B49" s="1" t="str">
        <f ca="1">IF(Información1[[#This Row],[Fecha]]='Ajuste de fechas'!$A$2,"Día actual","Día anterior")</f>
        <v>Día anterior</v>
      </c>
      <c r="C49" s="3" t="s">
        <v>55</v>
      </c>
      <c r="D49" t="s">
        <v>56</v>
      </c>
      <c r="E49" s="3" t="s">
        <v>170</v>
      </c>
      <c r="F49" s="3" t="s">
        <v>50</v>
      </c>
      <c r="G49" s="3" t="s">
        <v>171</v>
      </c>
      <c r="H49" s="3" t="s">
        <v>38</v>
      </c>
      <c r="I49" s="3" t="s">
        <v>7</v>
      </c>
      <c r="J49" s="3" t="s">
        <v>25</v>
      </c>
      <c r="K49" s="3" t="s">
        <v>58</v>
      </c>
      <c r="L49" s="3" t="s">
        <v>28</v>
      </c>
      <c r="M49">
        <v>1</v>
      </c>
    </row>
    <row r="50" spans="1:13" x14ac:dyDescent="0.25">
      <c r="A50" s="2">
        <v>46296</v>
      </c>
      <c r="B50" s="1" t="str">
        <f ca="1">IF(Información1[[#This Row],[Fecha]]='Ajuste de fechas'!$A$2,"Día actual","Día anterior")</f>
        <v>Día anterior</v>
      </c>
      <c r="C50" s="3" t="s">
        <v>55</v>
      </c>
      <c r="D50" t="s">
        <v>56</v>
      </c>
      <c r="E50" s="3" t="s">
        <v>172</v>
      </c>
      <c r="F50" s="3" t="s">
        <v>18</v>
      </c>
      <c r="G50" s="3" t="s">
        <v>173</v>
      </c>
      <c r="H50" s="3" t="s">
        <v>38</v>
      </c>
      <c r="I50" s="3" t="s">
        <v>7</v>
      </c>
      <c r="J50" s="3" t="s">
        <v>25</v>
      </c>
      <c r="K50" s="3" t="s">
        <v>58</v>
      </c>
      <c r="L50" s="3" t="s">
        <v>26</v>
      </c>
      <c r="M50">
        <v>1</v>
      </c>
    </row>
    <row r="51" spans="1:13" x14ac:dyDescent="0.25">
      <c r="A51" s="2">
        <v>46296</v>
      </c>
      <c r="B51" s="1" t="str">
        <f ca="1">IF(Información1[[#This Row],[Fecha]]='Ajuste de fechas'!$A$2,"Día actual","Día anterior")</f>
        <v>Día anterior</v>
      </c>
      <c r="C51" s="3" t="s">
        <v>39</v>
      </c>
      <c r="D51" t="s">
        <v>40</v>
      </c>
      <c r="E51" s="3" t="s">
        <v>174</v>
      </c>
      <c r="F51" s="3" t="s">
        <v>51</v>
      </c>
      <c r="G51" s="3" t="s">
        <v>131</v>
      </c>
      <c r="H51" s="3" t="s">
        <v>38</v>
      </c>
      <c r="I51" s="3" t="s">
        <v>7</v>
      </c>
      <c r="J51" s="3" t="s">
        <v>25</v>
      </c>
      <c r="K51" s="3" t="s">
        <v>42</v>
      </c>
      <c r="L51" s="3" t="s">
        <v>28</v>
      </c>
      <c r="M51">
        <v>1</v>
      </c>
    </row>
    <row r="52" spans="1:13" x14ac:dyDescent="0.25">
      <c r="A52" s="2">
        <v>46296</v>
      </c>
      <c r="B52" s="1" t="str">
        <f ca="1">IF(Información1[[#This Row],[Fecha]]='Ajuste de fechas'!$A$2,"Día actual","Día anterior")</f>
        <v>Día anterior</v>
      </c>
      <c r="C52" s="3" t="s">
        <v>39</v>
      </c>
      <c r="D52" t="s">
        <v>40</v>
      </c>
      <c r="E52" s="3" t="s">
        <v>175</v>
      </c>
      <c r="F52" s="3" t="s">
        <v>18</v>
      </c>
      <c r="G52" s="3" t="s">
        <v>81</v>
      </c>
      <c r="H52" s="3" t="s">
        <v>38</v>
      </c>
      <c r="I52" s="3" t="s">
        <v>7</v>
      </c>
      <c r="J52" s="3" t="s">
        <v>25</v>
      </c>
      <c r="K52" s="3" t="s">
        <v>42</v>
      </c>
      <c r="L52" s="3" t="s">
        <v>26</v>
      </c>
      <c r="M52">
        <v>1</v>
      </c>
    </row>
    <row r="53" spans="1:13" x14ac:dyDescent="0.25">
      <c r="A53" s="2">
        <v>46296</v>
      </c>
      <c r="B53" s="1" t="str">
        <f ca="1">IF(Información1[[#This Row],[Fecha]]='Ajuste de fechas'!$A$2,"Día actual","Día anterior")</f>
        <v>Día anterior</v>
      </c>
      <c r="C53" s="3" t="s">
        <v>39</v>
      </c>
      <c r="D53" t="s">
        <v>40</v>
      </c>
      <c r="E53" s="3" t="s">
        <v>176</v>
      </c>
      <c r="F53" s="3" t="s">
        <v>57</v>
      </c>
      <c r="G53" s="3" t="s">
        <v>113</v>
      </c>
      <c r="H53" s="3" t="s">
        <v>38</v>
      </c>
      <c r="I53" s="3" t="s">
        <v>7</v>
      </c>
      <c r="J53" s="3" t="s">
        <v>25</v>
      </c>
      <c r="K53" s="3" t="s">
        <v>42</v>
      </c>
      <c r="L53" s="3" t="s">
        <v>28</v>
      </c>
      <c r="M53">
        <v>1</v>
      </c>
    </row>
    <row r="54" spans="1:13" x14ac:dyDescent="0.25">
      <c r="A54" s="2">
        <v>46296</v>
      </c>
      <c r="B54" s="1" t="str">
        <f ca="1">IF(Información1[[#This Row],[Fecha]]='Ajuste de fechas'!$A$2,"Día actual","Día anterior")</f>
        <v>Día anterior</v>
      </c>
      <c r="C54" s="3" t="s">
        <v>39</v>
      </c>
      <c r="D54" t="s">
        <v>40</v>
      </c>
      <c r="E54" s="3" t="s">
        <v>177</v>
      </c>
      <c r="F54" s="3" t="s">
        <v>36</v>
      </c>
      <c r="G54" s="3" t="s">
        <v>111</v>
      </c>
      <c r="H54" s="3" t="s">
        <v>38</v>
      </c>
      <c r="I54" s="3" t="s">
        <v>7</v>
      </c>
      <c r="J54" s="3" t="s">
        <v>25</v>
      </c>
      <c r="K54" s="3" t="s">
        <v>42</v>
      </c>
      <c r="L54" s="3" t="s">
        <v>28</v>
      </c>
      <c r="M54">
        <v>1</v>
      </c>
    </row>
    <row r="55" spans="1:13" x14ac:dyDescent="0.25">
      <c r="A55" s="2">
        <v>46296</v>
      </c>
      <c r="B55" s="1" t="str">
        <f ca="1">IF(Información1[[#This Row],[Fecha]]='Ajuste de fechas'!$A$2,"Día actual","Día anterior")</f>
        <v>Día anterior</v>
      </c>
      <c r="C55" s="3" t="s">
        <v>39</v>
      </c>
      <c r="D55" t="s">
        <v>40</v>
      </c>
      <c r="E55" s="3" t="s">
        <v>178</v>
      </c>
      <c r="F55" s="3" t="s">
        <v>34</v>
      </c>
      <c r="G55" s="3" t="s">
        <v>54</v>
      </c>
      <c r="H55" s="3" t="s">
        <v>38</v>
      </c>
      <c r="I55" s="3" t="s">
        <v>7</v>
      </c>
      <c r="J55" s="3" t="s">
        <v>16</v>
      </c>
      <c r="K55" s="3" t="s">
        <v>42</v>
      </c>
      <c r="L55" s="3" t="s">
        <v>26</v>
      </c>
      <c r="M55">
        <v>1</v>
      </c>
    </row>
    <row r="56" spans="1:13" x14ac:dyDescent="0.25">
      <c r="A56" s="2">
        <v>46296</v>
      </c>
      <c r="B56" s="1" t="str">
        <f ca="1">IF(Información1[[#This Row],[Fecha]]='Ajuste de fechas'!$A$2,"Día actual","Día anterior")</f>
        <v>Día anterior</v>
      </c>
      <c r="C56" s="3" t="s">
        <v>39</v>
      </c>
      <c r="D56" t="s">
        <v>40</v>
      </c>
      <c r="E56" s="3" t="s">
        <v>179</v>
      </c>
      <c r="F56" s="3" t="s">
        <v>15</v>
      </c>
      <c r="G56" s="3" t="s">
        <v>180</v>
      </c>
      <c r="H56" s="3" t="s">
        <v>38</v>
      </c>
      <c r="I56" s="3" t="s">
        <v>7</v>
      </c>
      <c r="J56" s="3" t="s">
        <v>30</v>
      </c>
      <c r="K56" s="3" t="s">
        <v>41</v>
      </c>
      <c r="L56" s="3" t="s">
        <v>26</v>
      </c>
      <c r="M56">
        <v>1</v>
      </c>
    </row>
    <row r="57" spans="1:13" x14ac:dyDescent="0.25">
      <c r="A57" s="2">
        <v>46296</v>
      </c>
      <c r="B57" s="1" t="str">
        <f ca="1">IF(Información1[[#This Row],[Fecha]]='Ajuste de fechas'!$A$2,"Día actual","Día anterior")</f>
        <v>Día anterior</v>
      </c>
      <c r="C57" s="3" t="s">
        <v>39</v>
      </c>
      <c r="D57" t="s">
        <v>40</v>
      </c>
      <c r="E57" s="3" t="s">
        <v>181</v>
      </c>
      <c r="F57" s="3" t="s">
        <v>13</v>
      </c>
      <c r="G57" s="3" t="s">
        <v>182</v>
      </c>
      <c r="H57" s="3" t="s">
        <v>38</v>
      </c>
      <c r="I57" s="3" t="s">
        <v>7</v>
      </c>
      <c r="J57" s="3" t="s">
        <v>29</v>
      </c>
      <c r="K57" s="3" t="s">
        <v>41</v>
      </c>
      <c r="L57" s="3" t="s">
        <v>26</v>
      </c>
      <c r="M57">
        <v>1</v>
      </c>
    </row>
    <row r="58" spans="1:13" x14ac:dyDescent="0.25">
      <c r="A58" s="2">
        <v>46296</v>
      </c>
      <c r="B58" s="1" t="str">
        <f ca="1">IF(Información1[[#This Row],[Fecha]]='Ajuste de fechas'!$A$2,"Día actual","Día anterior")</f>
        <v>Día anterior</v>
      </c>
      <c r="C58" s="3" t="s">
        <v>39</v>
      </c>
      <c r="D58" t="s">
        <v>40</v>
      </c>
      <c r="E58" s="3" t="s">
        <v>183</v>
      </c>
      <c r="F58" s="3" t="s">
        <v>16</v>
      </c>
      <c r="G58" s="3" t="s">
        <v>184</v>
      </c>
      <c r="H58" s="3" t="s">
        <v>38</v>
      </c>
      <c r="I58" s="3" t="s">
        <v>10</v>
      </c>
      <c r="J58" s="3" t="s">
        <v>16</v>
      </c>
      <c r="K58" s="3" t="s">
        <v>42</v>
      </c>
      <c r="L58" s="3" t="s">
        <v>26</v>
      </c>
      <c r="M58">
        <v>1</v>
      </c>
    </row>
    <row r="59" spans="1:13" x14ac:dyDescent="0.25">
      <c r="A59" s="2">
        <v>46296</v>
      </c>
      <c r="B59" s="1" t="str">
        <f ca="1">IF(Información1[[#This Row],[Fecha]]='Ajuste de fechas'!$A$2,"Día actual","Día anterior")</f>
        <v>Día anterior</v>
      </c>
      <c r="C59" s="3" t="s">
        <v>39</v>
      </c>
      <c r="D59" t="s">
        <v>40</v>
      </c>
      <c r="E59" s="3" t="s">
        <v>185</v>
      </c>
      <c r="F59" s="3" t="s">
        <v>14</v>
      </c>
      <c r="G59" s="3" t="s">
        <v>186</v>
      </c>
      <c r="H59" s="3" t="s">
        <v>38</v>
      </c>
      <c r="I59" s="3" t="s">
        <v>7</v>
      </c>
      <c r="J59" s="3" t="s">
        <v>25</v>
      </c>
      <c r="K59" s="3" t="s">
        <v>42</v>
      </c>
      <c r="L59" s="3" t="s">
        <v>26</v>
      </c>
      <c r="M59">
        <v>1</v>
      </c>
    </row>
    <row r="60" spans="1:13" x14ac:dyDescent="0.25">
      <c r="A60" s="2">
        <v>46296</v>
      </c>
      <c r="B60" s="1" t="str">
        <f ca="1">IF(Información1[[#This Row],[Fecha]]='Ajuste de fechas'!$A$2,"Día actual","Día anterior")</f>
        <v>Día anterior</v>
      </c>
      <c r="C60" s="3" t="s">
        <v>62</v>
      </c>
      <c r="D60" t="s">
        <v>63</v>
      </c>
      <c r="E60" s="3" t="s">
        <v>187</v>
      </c>
      <c r="F60" s="3" t="s">
        <v>51</v>
      </c>
      <c r="G60" s="3" t="s">
        <v>69</v>
      </c>
      <c r="H60" s="3" t="s">
        <v>65</v>
      </c>
      <c r="I60" s="3" t="s">
        <v>7</v>
      </c>
      <c r="J60" s="3" t="s">
        <v>25</v>
      </c>
      <c r="K60" s="3" t="s">
        <v>68</v>
      </c>
      <c r="L60" s="3" t="s">
        <v>26</v>
      </c>
      <c r="M60">
        <v>1</v>
      </c>
    </row>
    <row r="61" spans="1:13" x14ac:dyDescent="0.25">
      <c r="A61" s="2">
        <v>46296</v>
      </c>
      <c r="B61" s="1" t="str">
        <f ca="1">IF(Información1[[#This Row],[Fecha]]='Ajuste de fechas'!$A$2,"Día actual","Día anterior")</f>
        <v>Día anterior</v>
      </c>
      <c r="C61" s="3" t="s">
        <v>70</v>
      </c>
      <c r="D61" t="s">
        <v>71</v>
      </c>
      <c r="E61" s="3" t="s">
        <v>188</v>
      </c>
      <c r="F61" s="3" t="s">
        <v>13</v>
      </c>
      <c r="G61" s="3" t="s">
        <v>59</v>
      </c>
      <c r="H61" s="3" t="s">
        <v>38</v>
      </c>
      <c r="I61" s="3" t="s">
        <v>7</v>
      </c>
      <c r="J61" s="3" t="s">
        <v>29</v>
      </c>
      <c r="K61" s="3" t="s">
        <v>74</v>
      </c>
      <c r="L61" s="3" t="s">
        <v>26</v>
      </c>
      <c r="M61">
        <v>1</v>
      </c>
    </row>
    <row r="62" spans="1:13" x14ac:dyDescent="0.25">
      <c r="A62" s="2">
        <v>46296</v>
      </c>
      <c r="B62" s="1" t="str">
        <f ca="1">IF(Información1[[#This Row],[Fecha]]='Ajuste de fechas'!$A$2,"Día actual","Día anterior")</f>
        <v>Día anterior</v>
      </c>
      <c r="C62" s="3" t="s">
        <v>70</v>
      </c>
      <c r="D62" t="s">
        <v>71</v>
      </c>
      <c r="E62" s="3" t="s">
        <v>189</v>
      </c>
      <c r="F62" s="3" t="s">
        <v>15</v>
      </c>
      <c r="G62" s="3" t="s">
        <v>190</v>
      </c>
      <c r="H62" s="3" t="s">
        <v>38</v>
      </c>
      <c r="I62" s="3" t="s">
        <v>7</v>
      </c>
      <c r="J62" s="3" t="s">
        <v>30</v>
      </c>
      <c r="K62" s="3" t="s">
        <v>74</v>
      </c>
      <c r="L62" s="3" t="s">
        <v>26</v>
      </c>
      <c r="M62">
        <v>1</v>
      </c>
    </row>
    <row r="63" spans="1:13" x14ac:dyDescent="0.25">
      <c r="A63" s="2">
        <v>46296</v>
      </c>
      <c r="B63" s="1" t="str">
        <f ca="1">IF(Información1[[#This Row],[Fecha]]='Ajuste de fechas'!$A$2,"Día actual","Día anterior")</f>
        <v>Día anterior</v>
      </c>
      <c r="C63" s="3" t="s">
        <v>70</v>
      </c>
      <c r="D63" t="s">
        <v>71</v>
      </c>
      <c r="E63" s="3" t="s">
        <v>191</v>
      </c>
      <c r="F63" s="3" t="s">
        <v>13</v>
      </c>
      <c r="G63" s="3" t="s">
        <v>192</v>
      </c>
      <c r="H63" s="3" t="s">
        <v>38</v>
      </c>
      <c r="I63" s="3" t="s">
        <v>7</v>
      </c>
      <c r="J63" s="3" t="s">
        <v>29</v>
      </c>
      <c r="K63" s="3" t="s">
        <v>72</v>
      </c>
      <c r="L63" s="3" t="s">
        <v>26</v>
      </c>
      <c r="M63">
        <v>1</v>
      </c>
    </row>
    <row r="64" spans="1:13" x14ac:dyDescent="0.25">
      <c r="A64" s="2">
        <v>46296</v>
      </c>
      <c r="B64" s="1" t="str">
        <f ca="1">IF(Información1[[#This Row],[Fecha]]='Ajuste de fechas'!$A$2,"Día actual","Día anterior")</f>
        <v>Día anterior</v>
      </c>
      <c r="C64" s="3" t="s">
        <v>70</v>
      </c>
      <c r="D64" t="s">
        <v>71</v>
      </c>
      <c r="E64" s="3" t="s">
        <v>193</v>
      </c>
      <c r="F64" s="3" t="s">
        <v>18</v>
      </c>
      <c r="G64" s="3" t="s">
        <v>82</v>
      </c>
      <c r="H64" s="3" t="s">
        <v>38</v>
      </c>
      <c r="I64" s="3" t="s">
        <v>7</v>
      </c>
      <c r="J64" s="3" t="s">
        <v>25</v>
      </c>
      <c r="K64" s="3" t="s">
        <v>72</v>
      </c>
      <c r="L64" s="3" t="s">
        <v>26</v>
      </c>
      <c r="M64">
        <v>1</v>
      </c>
    </row>
    <row r="65" spans="1:13" x14ac:dyDescent="0.25">
      <c r="A65" s="2">
        <v>46296</v>
      </c>
      <c r="B65" s="1" t="str">
        <f ca="1">IF(Información1[[#This Row],[Fecha]]='Ajuste de fechas'!$A$2,"Día actual","Día anterior")</f>
        <v>Día anterior</v>
      </c>
      <c r="C65" s="3" t="s">
        <v>70</v>
      </c>
      <c r="D65" t="s">
        <v>71</v>
      </c>
      <c r="E65" s="3" t="s">
        <v>194</v>
      </c>
      <c r="F65" s="3" t="s">
        <v>46</v>
      </c>
      <c r="G65" s="3" t="s">
        <v>195</v>
      </c>
      <c r="H65" s="3" t="s">
        <v>38</v>
      </c>
      <c r="I65" s="3" t="s">
        <v>17</v>
      </c>
      <c r="J65" s="3" t="s">
        <v>25</v>
      </c>
      <c r="K65" s="3" t="s">
        <v>72</v>
      </c>
      <c r="L65" s="3" t="s">
        <v>26</v>
      </c>
      <c r="M65">
        <v>1</v>
      </c>
    </row>
    <row r="66" spans="1:13" x14ac:dyDescent="0.25">
      <c r="A66" s="2">
        <v>46296</v>
      </c>
      <c r="B66" s="1" t="str">
        <f ca="1">IF(Información1[[#This Row],[Fecha]]='Ajuste de fechas'!$A$2,"Día actual","Día anterior")</f>
        <v>Día anterior</v>
      </c>
      <c r="C66" s="3" t="s">
        <v>70</v>
      </c>
      <c r="D66" t="s">
        <v>71</v>
      </c>
      <c r="E66" s="3" t="s">
        <v>196</v>
      </c>
      <c r="F66" s="3" t="s">
        <v>13</v>
      </c>
      <c r="G66" s="3" t="s">
        <v>83</v>
      </c>
      <c r="H66" s="3" t="s">
        <v>38</v>
      </c>
      <c r="I66" s="3" t="s">
        <v>7</v>
      </c>
      <c r="J66" s="3" t="s">
        <v>29</v>
      </c>
      <c r="K66" s="3" t="s">
        <v>72</v>
      </c>
      <c r="L66" s="3" t="s">
        <v>26</v>
      </c>
      <c r="M66">
        <v>1</v>
      </c>
    </row>
    <row r="67" spans="1:13" x14ac:dyDescent="0.25">
      <c r="A67" s="2">
        <v>46296</v>
      </c>
      <c r="B67" s="1" t="str">
        <f ca="1">IF(Información1[[#This Row],[Fecha]]='Ajuste de fechas'!$A$2,"Día actual","Día anterior")</f>
        <v>Día anterior</v>
      </c>
      <c r="C67" s="3" t="s">
        <v>70</v>
      </c>
      <c r="D67" t="s">
        <v>71</v>
      </c>
      <c r="E67" s="3" t="s">
        <v>176</v>
      </c>
      <c r="F67" s="3" t="s">
        <v>57</v>
      </c>
      <c r="G67" s="3" t="s">
        <v>113</v>
      </c>
      <c r="H67" s="3" t="s">
        <v>38</v>
      </c>
      <c r="I67" s="3" t="s">
        <v>7</v>
      </c>
      <c r="J67" s="3" t="s">
        <v>25</v>
      </c>
      <c r="K67" s="3" t="s">
        <v>74</v>
      </c>
      <c r="L67" s="3" t="s">
        <v>28</v>
      </c>
      <c r="M67">
        <v>1</v>
      </c>
    </row>
    <row r="68" spans="1:13" x14ac:dyDescent="0.25">
      <c r="A68" s="2">
        <v>46296</v>
      </c>
      <c r="B68" s="1" t="str">
        <f ca="1">IF(Información1[[#This Row],[Fecha]]='Ajuste de fechas'!$A$2,"Día actual","Día anterior")</f>
        <v>Día anterior</v>
      </c>
      <c r="C68" s="3" t="s">
        <v>70</v>
      </c>
      <c r="D68" t="s">
        <v>71</v>
      </c>
      <c r="E68" s="3" t="s">
        <v>197</v>
      </c>
      <c r="F68" s="3" t="s">
        <v>34</v>
      </c>
      <c r="G68" s="3" t="s">
        <v>54</v>
      </c>
      <c r="H68" s="3" t="s">
        <v>38</v>
      </c>
      <c r="I68" s="3" t="s">
        <v>7</v>
      </c>
      <c r="J68" s="3" t="s">
        <v>16</v>
      </c>
      <c r="K68" s="3" t="s">
        <v>74</v>
      </c>
      <c r="L68" s="3" t="s">
        <v>26</v>
      </c>
      <c r="M68">
        <v>1</v>
      </c>
    </row>
    <row r="69" spans="1:13" x14ac:dyDescent="0.25">
      <c r="A69" s="2">
        <v>46296</v>
      </c>
      <c r="B69" s="1" t="str">
        <f ca="1">IF(Información1[[#This Row],[Fecha]]='Ajuste de fechas'!$A$2,"Día actual","Día anterior")</f>
        <v>Día anterior</v>
      </c>
      <c r="C69" s="3" t="s">
        <v>70</v>
      </c>
      <c r="D69" t="s">
        <v>71</v>
      </c>
      <c r="E69" s="3" t="s">
        <v>198</v>
      </c>
      <c r="F69" s="3" t="s">
        <v>64</v>
      </c>
      <c r="G69" s="3" t="s">
        <v>69</v>
      </c>
      <c r="H69" s="3" t="s">
        <v>38</v>
      </c>
      <c r="I69" s="3" t="s">
        <v>7</v>
      </c>
      <c r="J69" s="3" t="s">
        <v>66</v>
      </c>
      <c r="K69" s="3" t="s">
        <v>72</v>
      </c>
      <c r="L69" s="3" t="s">
        <v>26</v>
      </c>
      <c r="M69">
        <v>1</v>
      </c>
    </row>
    <row r="70" spans="1:13" x14ac:dyDescent="0.25">
      <c r="A70" s="2">
        <v>46296</v>
      </c>
      <c r="B70" s="1" t="str">
        <f ca="1">IF(Información1[[#This Row],[Fecha]]='Ajuste de fechas'!$A$2,"Día actual","Día anterior")</f>
        <v>Día anterior</v>
      </c>
      <c r="C70" s="3" t="s">
        <v>70</v>
      </c>
      <c r="D70" t="s">
        <v>71</v>
      </c>
      <c r="E70" s="3" t="s">
        <v>169</v>
      </c>
      <c r="F70" s="3" t="s">
        <v>14</v>
      </c>
      <c r="G70" s="3" t="s">
        <v>118</v>
      </c>
      <c r="H70" s="3" t="s">
        <v>38</v>
      </c>
      <c r="I70" s="3" t="s">
        <v>7</v>
      </c>
      <c r="J70" s="3" t="s">
        <v>25</v>
      </c>
      <c r="K70" s="3" t="s">
        <v>74</v>
      </c>
      <c r="L70" s="3" t="s">
        <v>28</v>
      </c>
      <c r="M70">
        <v>1</v>
      </c>
    </row>
    <row r="71" spans="1:13" x14ac:dyDescent="0.25">
      <c r="A71" s="2">
        <v>46296</v>
      </c>
      <c r="B71" s="1" t="str">
        <f ca="1">IF(Información1[[#This Row],[Fecha]]='Ajuste de fechas'!$A$2,"Día actual","Día anterior")</f>
        <v>Día anterior</v>
      </c>
      <c r="C71" s="3" t="s">
        <v>70</v>
      </c>
      <c r="D71" t="s">
        <v>71</v>
      </c>
      <c r="E71" s="3" t="s">
        <v>199</v>
      </c>
      <c r="F71" s="3" t="s">
        <v>200</v>
      </c>
      <c r="G71" s="3" t="s">
        <v>201</v>
      </c>
      <c r="H71" s="3" t="s">
        <v>38</v>
      </c>
      <c r="I71" s="3" t="s">
        <v>7</v>
      </c>
      <c r="J71" s="3" t="s">
        <v>16</v>
      </c>
      <c r="K71" s="3" t="s">
        <v>74</v>
      </c>
      <c r="L71" s="3" t="s">
        <v>26</v>
      </c>
      <c r="M71">
        <v>1</v>
      </c>
    </row>
    <row r="72" spans="1:13" x14ac:dyDescent="0.25">
      <c r="A72" s="2">
        <v>46296</v>
      </c>
      <c r="B72" s="1" t="str">
        <f ca="1">IF(Información1[[#This Row],[Fecha]]='Ajuste de fechas'!$A$2,"Día actual","Día anterior")</f>
        <v>Día anterior</v>
      </c>
      <c r="C72" s="3" t="s">
        <v>70</v>
      </c>
      <c r="D72" t="s">
        <v>71</v>
      </c>
      <c r="E72" s="3" t="s">
        <v>189</v>
      </c>
      <c r="F72" s="3" t="s">
        <v>15</v>
      </c>
      <c r="G72" s="3" t="s">
        <v>190</v>
      </c>
      <c r="H72" s="3" t="s">
        <v>38</v>
      </c>
      <c r="I72" s="3" t="s">
        <v>7</v>
      </c>
      <c r="J72" s="3" t="s">
        <v>30</v>
      </c>
      <c r="K72" s="3" t="s">
        <v>72</v>
      </c>
      <c r="L72" s="3" t="s">
        <v>26</v>
      </c>
      <c r="M72">
        <v>1</v>
      </c>
    </row>
    <row r="73" spans="1:13" x14ac:dyDescent="0.25">
      <c r="A73" s="2">
        <v>46296</v>
      </c>
      <c r="B73" s="1" t="str">
        <f ca="1">IF(Información1[[#This Row],[Fecha]]='Ajuste de fechas'!$A$2,"Día actual","Día anterior")</f>
        <v>Día anterior</v>
      </c>
      <c r="C73" s="3" t="s">
        <v>70</v>
      </c>
      <c r="D73" t="s">
        <v>71</v>
      </c>
      <c r="E73" s="3" t="s">
        <v>202</v>
      </c>
      <c r="F73" s="3" t="s">
        <v>15</v>
      </c>
      <c r="G73" s="3" t="s">
        <v>203</v>
      </c>
      <c r="H73" s="3" t="s">
        <v>38</v>
      </c>
      <c r="I73" s="3" t="s">
        <v>7</v>
      </c>
      <c r="J73" s="3" t="s">
        <v>30</v>
      </c>
      <c r="K73" s="3" t="s">
        <v>74</v>
      </c>
      <c r="L73" s="3" t="s">
        <v>26</v>
      </c>
      <c r="M73">
        <v>1</v>
      </c>
    </row>
    <row r="74" spans="1:13" x14ac:dyDescent="0.25">
      <c r="A74" s="2">
        <v>46296</v>
      </c>
      <c r="B74" s="1" t="str">
        <f ca="1">IF(Información1[[#This Row],[Fecha]]='Ajuste de fechas'!$A$2,"Día actual","Día anterior")</f>
        <v>Día anterior</v>
      </c>
      <c r="C74" s="3" t="s">
        <v>70</v>
      </c>
      <c r="D74" t="s">
        <v>71</v>
      </c>
      <c r="E74" s="3" t="s">
        <v>204</v>
      </c>
      <c r="F74" s="3" t="s">
        <v>15</v>
      </c>
      <c r="G74" s="3" t="s">
        <v>205</v>
      </c>
      <c r="H74" s="3" t="s">
        <v>38</v>
      </c>
      <c r="I74" s="3" t="s">
        <v>7</v>
      </c>
      <c r="J74" s="3" t="s">
        <v>30</v>
      </c>
      <c r="K74" s="3" t="s">
        <v>72</v>
      </c>
      <c r="L74" s="3" t="s">
        <v>26</v>
      </c>
      <c r="M74">
        <v>1</v>
      </c>
    </row>
    <row r="75" spans="1:13" x14ac:dyDescent="0.25">
      <c r="A75" s="2">
        <v>46296</v>
      </c>
      <c r="B75" s="1" t="str">
        <f ca="1">IF(Información1[[#This Row],[Fecha]]='Ajuste de fechas'!$A$2,"Día actual","Día anterior")</f>
        <v>Día anterior</v>
      </c>
      <c r="C75" s="3" t="s">
        <v>70</v>
      </c>
      <c r="D75" t="s">
        <v>71</v>
      </c>
      <c r="E75" s="3" t="s">
        <v>206</v>
      </c>
      <c r="F75" s="3" t="s">
        <v>13</v>
      </c>
      <c r="G75" s="3" t="s">
        <v>86</v>
      </c>
      <c r="H75" s="3" t="s">
        <v>38</v>
      </c>
      <c r="I75" s="3" t="s">
        <v>7</v>
      </c>
      <c r="J75" s="3" t="s">
        <v>29</v>
      </c>
      <c r="K75" s="3" t="s">
        <v>74</v>
      </c>
      <c r="L75" s="3" t="s">
        <v>26</v>
      </c>
      <c r="M75">
        <v>1</v>
      </c>
    </row>
    <row r="76" spans="1:13" x14ac:dyDescent="0.25">
      <c r="A76" s="2">
        <v>46296</v>
      </c>
      <c r="B76" s="1" t="str">
        <f ca="1">IF(Información1[[#This Row],[Fecha]]='Ajuste de fechas'!$A$2,"Día actual","Día anterior")</f>
        <v>Día anterior</v>
      </c>
      <c r="C76" s="3" t="s">
        <v>70</v>
      </c>
      <c r="D76" t="s">
        <v>71</v>
      </c>
      <c r="E76" s="3" t="s">
        <v>207</v>
      </c>
      <c r="F76" s="3" t="s">
        <v>13</v>
      </c>
      <c r="G76" s="3" t="s">
        <v>73</v>
      </c>
      <c r="H76" s="3" t="s">
        <v>38</v>
      </c>
      <c r="I76" s="3" t="s">
        <v>7</v>
      </c>
      <c r="J76" s="3" t="s">
        <v>29</v>
      </c>
      <c r="K76" s="3" t="s">
        <v>78</v>
      </c>
      <c r="L76" s="3" t="s">
        <v>79</v>
      </c>
      <c r="M76">
        <v>1</v>
      </c>
    </row>
    <row r="77" spans="1:13" x14ac:dyDescent="0.25">
      <c r="A77" s="2">
        <v>46296</v>
      </c>
      <c r="B77" s="1" t="str">
        <f ca="1">IF(Información1[[#This Row],[Fecha]]='Ajuste de fechas'!$A$2,"Día actual","Día anterior")</f>
        <v>Día anterior</v>
      </c>
      <c r="C77" s="3" t="s">
        <v>70</v>
      </c>
      <c r="D77" t="s">
        <v>71</v>
      </c>
      <c r="E77" s="3" t="s">
        <v>208</v>
      </c>
      <c r="F77" s="3" t="s">
        <v>15</v>
      </c>
      <c r="G77" s="3" t="s">
        <v>126</v>
      </c>
      <c r="H77" s="3" t="s">
        <v>38</v>
      </c>
      <c r="I77" s="3" t="s">
        <v>7</v>
      </c>
      <c r="J77" s="3" t="s">
        <v>30</v>
      </c>
      <c r="K77" s="3" t="s">
        <v>74</v>
      </c>
      <c r="L77" s="3" t="s">
        <v>26</v>
      </c>
      <c r="M77">
        <v>1</v>
      </c>
    </row>
    <row r="78" spans="1:13" x14ac:dyDescent="0.25">
      <c r="A78" s="2">
        <v>46296</v>
      </c>
      <c r="B78" s="1" t="str">
        <f ca="1">IF(Información1[[#This Row],[Fecha]]='Ajuste de fechas'!$A$2,"Día actual","Día anterior")</f>
        <v>Día anterior</v>
      </c>
      <c r="C78" s="3" t="s">
        <v>70</v>
      </c>
      <c r="D78" t="s">
        <v>71</v>
      </c>
      <c r="E78" s="3" t="s">
        <v>209</v>
      </c>
      <c r="F78" s="3" t="s">
        <v>13</v>
      </c>
      <c r="G78" s="3" t="s">
        <v>182</v>
      </c>
      <c r="H78" s="3" t="s">
        <v>38</v>
      </c>
      <c r="I78" s="3" t="s">
        <v>7</v>
      </c>
      <c r="J78" s="3" t="s">
        <v>29</v>
      </c>
      <c r="K78" s="3" t="s">
        <v>72</v>
      </c>
      <c r="L78" s="3" t="s">
        <v>26</v>
      </c>
      <c r="M78">
        <v>1</v>
      </c>
    </row>
    <row r="79" spans="1:13" x14ac:dyDescent="0.25">
      <c r="A79" s="2">
        <v>46296</v>
      </c>
      <c r="B79" s="1" t="str">
        <f ca="1">IF(Información1[[#This Row],[Fecha]]='Ajuste de fechas'!$A$2,"Día actual","Día anterior")</f>
        <v>Día anterior</v>
      </c>
      <c r="C79" s="3" t="s">
        <v>70</v>
      </c>
      <c r="D79" t="s">
        <v>71</v>
      </c>
      <c r="E79" s="3" t="s">
        <v>194</v>
      </c>
      <c r="F79" s="3" t="s">
        <v>13</v>
      </c>
      <c r="G79" s="3" t="s">
        <v>195</v>
      </c>
      <c r="H79" s="3" t="s">
        <v>38</v>
      </c>
      <c r="I79" s="3" t="s">
        <v>17</v>
      </c>
      <c r="J79" s="3" t="s">
        <v>29</v>
      </c>
      <c r="K79" s="3" t="s">
        <v>72</v>
      </c>
      <c r="L79" s="3" t="s">
        <v>26</v>
      </c>
      <c r="M79">
        <v>1</v>
      </c>
    </row>
    <row r="80" spans="1:13" x14ac:dyDescent="0.25">
      <c r="A80" s="2">
        <v>46296</v>
      </c>
      <c r="B80" s="1" t="str">
        <f ca="1">IF(Información1[[#This Row],[Fecha]]='Ajuste de fechas'!$A$2,"Día actual","Día anterior")</f>
        <v>Día anterior</v>
      </c>
      <c r="C80" s="3" t="s">
        <v>62</v>
      </c>
      <c r="D80" t="s">
        <v>63</v>
      </c>
      <c r="E80" s="3" t="s">
        <v>187</v>
      </c>
      <c r="F80" s="3" t="s">
        <v>210</v>
      </c>
      <c r="G80" s="3" t="s">
        <v>69</v>
      </c>
      <c r="H80" s="3" t="s">
        <v>65</v>
      </c>
      <c r="I80" s="3" t="s">
        <v>7</v>
      </c>
      <c r="J80" s="3" t="s">
        <v>25</v>
      </c>
      <c r="K80" s="3" t="s">
        <v>68</v>
      </c>
      <c r="L80" s="3" t="s">
        <v>26</v>
      </c>
      <c r="M80">
        <v>1</v>
      </c>
    </row>
    <row r="81" spans="1:13" x14ac:dyDescent="0.25">
      <c r="A81" s="2">
        <v>46296</v>
      </c>
      <c r="B81" s="1" t="str">
        <f ca="1">IF(Información1[[#This Row],[Fecha]]='Ajuste de fechas'!$A$2,"Día actual","Día anterior")</f>
        <v>Día anterior</v>
      </c>
      <c r="C81" s="3" t="s">
        <v>62</v>
      </c>
      <c r="D81" t="s">
        <v>63</v>
      </c>
      <c r="E81" s="3" t="s">
        <v>211</v>
      </c>
      <c r="F81" s="3" t="s">
        <v>16</v>
      </c>
      <c r="G81" s="3" t="s">
        <v>212</v>
      </c>
      <c r="H81" s="3" t="s">
        <v>65</v>
      </c>
      <c r="I81" s="3" t="s">
        <v>7</v>
      </c>
      <c r="J81" s="3" t="s">
        <v>16</v>
      </c>
      <c r="K81" s="3" t="s">
        <v>67</v>
      </c>
      <c r="L81" s="3" t="s">
        <v>26</v>
      </c>
      <c r="M81">
        <v>1</v>
      </c>
    </row>
    <row r="82" spans="1:13" x14ac:dyDescent="0.25">
      <c r="A82" s="2">
        <v>46296</v>
      </c>
      <c r="B82" s="1" t="str">
        <f ca="1">IF(Información1[[#This Row],[Fecha]]='Ajuste de fechas'!$A$2,"Día actual","Día anterior")</f>
        <v>Día anterior</v>
      </c>
      <c r="C82" s="3" t="s">
        <v>62</v>
      </c>
      <c r="D82" t="s">
        <v>63</v>
      </c>
      <c r="E82" s="3" t="s">
        <v>213</v>
      </c>
      <c r="F82" s="3" t="s">
        <v>18</v>
      </c>
      <c r="G82" s="3" t="s">
        <v>173</v>
      </c>
      <c r="H82" s="3" t="s">
        <v>65</v>
      </c>
      <c r="I82" s="3" t="s">
        <v>7</v>
      </c>
      <c r="J82" s="3" t="s">
        <v>25</v>
      </c>
      <c r="K82" s="3" t="s">
        <v>67</v>
      </c>
      <c r="L82" s="3" t="s">
        <v>26</v>
      </c>
      <c r="M82">
        <v>1</v>
      </c>
    </row>
    <row r="83" spans="1:13" x14ac:dyDescent="0.25">
      <c r="A83" s="2">
        <v>46296</v>
      </c>
      <c r="B83" s="1" t="str">
        <f ca="1">IF(Información1[[#This Row],[Fecha]]='Ajuste de fechas'!$A$2,"Día actual","Día anterior")</f>
        <v>Día anterior</v>
      </c>
      <c r="C83" s="3" t="s">
        <v>62</v>
      </c>
      <c r="D83" t="s">
        <v>63</v>
      </c>
      <c r="E83" s="3" t="s">
        <v>214</v>
      </c>
      <c r="F83" s="3" t="s">
        <v>48</v>
      </c>
      <c r="G83" s="3" t="s">
        <v>215</v>
      </c>
      <c r="H83" s="3" t="s">
        <v>65</v>
      </c>
      <c r="I83" s="3" t="s">
        <v>7</v>
      </c>
      <c r="J83" s="3" t="s">
        <v>25</v>
      </c>
      <c r="K83" s="3" t="s">
        <v>97</v>
      </c>
      <c r="L83" s="3" t="s">
        <v>79</v>
      </c>
      <c r="M83">
        <v>1</v>
      </c>
    </row>
    <row r="84" spans="1:13" x14ac:dyDescent="0.25">
      <c r="A84" s="2">
        <v>46296</v>
      </c>
      <c r="B84" s="1" t="str">
        <f ca="1">IF(Información1[[#This Row],[Fecha]]='Ajuste de fechas'!$A$2,"Día actual","Día anterior")</f>
        <v>Día anterior</v>
      </c>
      <c r="C84" s="3" t="s">
        <v>62</v>
      </c>
      <c r="D84" t="s">
        <v>63</v>
      </c>
      <c r="E84" s="3" t="s">
        <v>216</v>
      </c>
      <c r="F84" s="3" t="s">
        <v>13</v>
      </c>
      <c r="G84" s="3" t="s">
        <v>217</v>
      </c>
      <c r="H84" s="3" t="s">
        <v>65</v>
      </c>
      <c r="I84" s="3" t="s">
        <v>7</v>
      </c>
      <c r="J84" s="3" t="s">
        <v>29</v>
      </c>
      <c r="K84" s="3" t="s">
        <v>97</v>
      </c>
      <c r="L84" s="3" t="s">
        <v>79</v>
      </c>
      <c r="M84">
        <v>1</v>
      </c>
    </row>
    <row r="85" spans="1:13" x14ac:dyDescent="0.25">
      <c r="A85" s="2">
        <v>46296</v>
      </c>
      <c r="B85" s="1" t="str">
        <f ca="1">IF(Información1[[#This Row],[Fecha]]='Ajuste de fechas'!$A$2,"Día actual","Día anterior")</f>
        <v>Día anterior</v>
      </c>
      <c r="C85" s="3" t="s">
        <v>62</v>
      </c>
      <c r="D85" t="s">
        <v>63</v>
      </c>
      <c r="E85" s="3" t="s">
        <v>218</v>
      </c>
      <c r="F85" s="3" t="s">
        <v>12</v>
      </c>
      <c r="G85" s="3" t="s">
        <v>219</v>
      </c>
      <c r="H85" s="3" t="s">
        <v>65</v>
      </c>
      <c r="I85" s="3" t="s">
        <v>7</v>
      </c>
      <c r="J85" s="3" t="s">
        <v>25</v>
      </c>
      <c r="K85" s="3" t="s">
        <v>67</v>
      </c>
      <c r="L85" s="3" t="s">
        <v>26</v>
      </c>
      <c r="M85">
        <v>1</v>
      </c>
    </row>
    <row r="86" spans="1:13" x14ac:dyDescent="0.25">
      <c r="A86" s="2">
        <v>46296</v>
      </c>
      <c r="B86" s="1" t="str">
        <f ca="1">IF(Información1[[#This Row],[Fecha]]='Ajuste de fechas'!$A$2,"Día actual","Día anterior")</f>
        <v>Día anterior</v>
      </c>
      <c r="C86" s="3" t="s">
        <v>62</v>
      </c>
      <c r="D86" t="s">
        <v>63</v>
      </c>
      <c r="E86" s="3" t="s">
        <v>220</v>
      </c>
      <c r="F86" s="3" t="s">
        <v>13</v>
      </c>
      <c r="G86" s="3" t="s">
        <v>217</v>
      </c>
      <c r="H86" s="3" t="s">
        <v>65</v>
      </c>
      <c r="I86" s="3" t="s">
        <v>7</v>
      </c>
      <c r="J86" s="3" t="s">
        <v>29</v>
      </c>
      <c r="K86" s="3" t="s">
        <v>68</v>
      </c>
      <c r="L86" s="3" t="s">
        <v>26</v>
      </c>
      <c r="M86">
        <v>1</v>
      </c>
    </row>
    <row r="87" spans="1:13" x14ac:dyDescent="0.25">
      <c r="A87" s="2">
        <v>46296</v>
      </c>
      <c r="B87" s="1" t="str">
        <f ca="1">IF(Información1[[#This Row],[Fecha]]='Ajuste de fechas'!$A$2,"Día actual","Día anterior")</f>
        <v>Día anterior</v>
      </c>
      <c r="C87" s="3" t="s">
        <v>62</v>
      </c>
      <c r="D87" t="s">
        <v>63</v>
      </c>
      <c r="E87" s="3" t="s">
        <v>221</v>
      </c>
      <c r="F87" s="3" t="s">
        <v>13</v>
      </c>
      <c r="G87" s="3" t="s">
        <v>222</v>
      </c>
      <c r="H87" s="3" t="s">
        <v>65</v>
      </c>
      <c r="I87" s="3" t="s">
        <v>17</v>
      </c>
      <c r="J87" s="3" t="s">
        <v>29</v>
      </c>
      <c r="K87" s="3" t="s">
        <v>68</v>
      </c>
      <c r="L87" s="3" t="s">
        <v>26</v>
      </c>
      <c r="M87">
        <v>1</v>
      </c>
    </row>
    <row r="88" spans="1:13" x14ac:dyDescent="0.25">
      <c r="A88" s="2">
        <v>46296</v>
      </c>
      <c r="B88" s="1" t="str">
        <f ca="1">IF(Información1[[#This Row],[Fecha]]='Ajuste de fechas'!$A$2,"Día actual","Día anterior")</f>
        <v>Día anterior</v>
      </c>
      <c r="C88" s="3" t="s">
        <v>62</v>
      </c>
      <c r="D88" t="s">
        <v>63</v>
      </c>
      <c r="E88" s="3" t="s">
        <v>169</v>
      </c>
      <c r="F88" s="3" t="s">
        <v>14</v>
      </c>
      <c r="G88" s="3" t="s">
        <v>118</v>
      </c>
      <c r="H88" s="3" t="s">
        <v>65</v>
      </c>
      <c r="I88" s="3" t="s">
        <v>7</v>
      </c>
      <c r="J88" s="3" t="s">
        <v>25</v>
      </c>
      <c r="K88" s="3" t="s">
        <v>68</v>
      </c>
      <c r="L88" s="3" t="s">
        <v>28</v>
      </c>
      <c r="M88">
        <v>1</v>
      </c>
    </row>
    <row r="89" spans="1:13" x14ac:dyDescent="0.25">
      <c r="A89" s="2">
        <v>46296</v>
      </c>
      <c r="B89" s="1" t="str">
        <f ca="1">IF(Información1[[#This Row],[Fecha]]='Ajuste de fechas'!$A$2,"Día actual","Día anterior")</f>
        <v>Día anterior</v>
      </c>
      <c r="C89" s="3" t="s">
        <v>62</v>
      </c>
      <c r="D89" t="s">
        <v>63</v>
      </c>
      <c r="E89" s="3" t="s">
        <v>223</v>
      </c>
      <c r="F89" s="3" t="s">
        <v>13</v>
      </c>
      <c r="G89" s="3" t="s">
        <v>98</v>
      </c>
      <c r="H89" s="3" t="s">
        <v>65</v>
      </c>
      <c r="I89" s="3" t="s">
        <v>17</v>
      </c>
      <c r="J89" s="3" t="s">
        <v>29</v>
      </c>
      <c r="K89" s="3" t="s">
        <v>49</v>
      </c>
      <c r="L89" s="3" t="s">
        <v>27</v>
      </c>
      <c r="M89">
        <v>1</v>
      </c>
    </row>
    <row r="90" spans="1:13" x14ac:dyDescent="0.25">
      <c r="A90" s="2">
        <v>46296</v>
      </c>
      <c r="B90" s="1" t="str">
        <f ca="1">IF(Información1[[#This Row],[Fecha]]='Ajuste de fechas'!$A$2,"Día actual","Día anterior")</f>
        <v>Día anterior</v>
      </c>
      <c r="C90" s="3" t="s">
        <v>62</v>
      </c>
      <c r="D90" t="s">
        <v>63</v>
      </c>
      <c r="E90" s="3" t="s">
        <v>224</v>
      </c>
      <c r="F90" s="3" t="s">
        <v>64</v>
      </c>
      <c r="G90" s="3" t="s">
        <v>69</v>
      </c>
      <c r="H90" s="3" t="s">
        <v>65</v>
      </c>
      <c r="I90" s="3" t="s">
        <v>7</v>
      </c>
      <c r="J90" s="3" t="s">
        <v>66</v>
      </c>
      <c r="K90" s="3" t="s">
        <v>68</v>
      </c>
      <c r="L90" s="3" t="s">
        <v>26</v>
      </c>
      <c r="M90">
        <v>1</v>
      </c>
    </row>
    <row r="91" spans="1:13" x14ac:dyDescent="0.25">
      <c r="A91" s="2">
        <v>46296</v>
      </c>
      <c r="B91" s="1" t="str">
        <f ca="1">IF(Información1[[#This Row],[Fecha]]='Ajuste de fechas'!$A$2,"Día actual","Día anterior")</f>
        <v>Día anterior</v>
      </c>
      <c r="C91" s="3" t="s">
        <v>62</v>
      </c>
      <c r="D91" t="s">
        <v>63</v>
      </c>
      <c r="E91" s="3" t="s">
        <v>225</v>
      </c>
      <c r="F91" s="3" t="s">
        <v>13</v>
      </c>
      <c r="G91" s="3" t="s">
        <v>88</v>
      </c>
      <c r="H91" s="3" t="s">
        <v>65</v>
      </c>
      <c r="I91" s="3" t="s">
        <v>7</v>
      </c>
      <c r="J91" s="3" t="s">
        <v>29</v>
      </c>
      <c r="K91" s="3" t="s">
        <v>68</v>
      </c>
      <c r="L91" s="3" t="s">
        <v>26</v>
      </c>
      <c r="M91">
        <v>1</v>
      </c>
    </row>
    <row r="92" spans="1:13" x14ac:dyDescent="0.25">
      <c r="A92" s="2">
        <v>46296</v>
      </c>
      <c r="B92" s="1" t="str">
        <f ca="1">IF(Información1[[#This Row],[Fecha]]='Ajuste de fechas'!$A$2,"Día actual","Día anterior")</f>
        <v>Día anterior</v>
      </c>
      <c r="C92" s="3" t="s">
        <v>62</v>
      </c>
      <c r="D92" t="s">
        <v>63</v>
      </c>
      <c r="E92" s="3" t="s">
        <v>226</v>
      </c>
      <c r="F92" s="3" t="s">
        <v>36</v>
      </c>
      <c r="G92" s="3" t="s">
        <v>227</v>
      </c>
      <c r="H92" s="3" t="s">
        <v>65</v>
      </c>
      <c r="I92" s="3" t="s">
        <v>7</v>
      </c>
      <c r="J92" s="3" t="s">
        <v>25</v>
      </c>
      <c r="K92" s="3" t="s">
        <v>68</v>
      </c>
      <c r="L92" s="3" t="s">
        <v>26</v>
      </c>
      <c r="M92">
        <v>1</v>
      </c>
    </row>
    <row r="93" spans="1:13" x14ac:dyDescent="0.25">
      <c r="A93" s="2">
        <v>46297</v>
      </c>
      <c r="B93" s="1" t="str">
        <f ca="1">IF(Información1[[#This Row],[Fecha]]='Ajuste de fechas'!$A$2,"Día actual","Día anterior")</f>
        <v>Día actual</v>
      </c>
      <c r="C93" s="3" t="s">
        <v>43</v>
      </c>
      <c r="D93" t="s">
        <v>90</v>
      </c>
      <c r="E93" s="3" t="s">
        <v>228</v>
      </c>
      <c r="F93" s="3" t="s">
        <v>48</v>
      </c>
      <c r="G93" s="3" t="s">
        <v>53</v>
      </c>
      <c r="H93" s="3" t="s">
        <v>38</v>
      </c>
      <c r="I93" s="3" t="s">
        <v>7</v>
      </c>
      <c r="J93" s="3" t="s">
        <v>25</v>
      </c>
      <c r="K93" s="3" t="s">
        <v>91</v>
      </c>
      <c r="L93" s="3" t="s">
        <v>26</v>
      </c>
      <c r="M93">
        <v>1</v>
      </c>
    </row>
    <row r="94" spans="1:13" x14ac:dyDescent="0.25">
      <c r="A94" s="2">
        <v>46297</v>
      </c>
      <c r="B94" s="1" t="str">
        <f ca="1">IF(Información1[[#This Row],[Fecha]]='Ajuste de fechas'!$A$2,"Día actual","Día anterior")</f>
        <v>Día actual</v>
      </c>
      <c r="C94" s="3" t="s">
        <v>43</v>
      </c>
      <c r="D94" t="s">
        <v>90</v>
      </c>
      <c r="E94" s="3" t="s">
        <v>229</v>
      </c>
      <c r="F94" s="3" t="s">
        <v>93</v>
      </c>
      <c r="G94" s="3" t="s">
        <v>230</v>
      </c>
      <c r="H94" s="3" t="s">
        <v>38</v>
      </c>
      <c r="I94" s="3" t="s">
        <v>7</v>
      </c>
      <c r="J94" s="3" t="s">
        <v>25</v>
      </c>
      <c r="K94" s="3" t="s">
        <v>91</v>
      </c>
      <c r="L94" s="3" t="s">
        <v>26</v>
      </c>
      <c r="M94">
        <v>1</v>
      </c>
    </row>
    <row r="95" spans="1:13" x14ac:dyDescent="0.25">
      <c r="A95" s="2">
        <v>46297</v>
      </c>
      <c r="B95" s="1" t="str">
        <f ca="1">IF(Información1[[#This Row],[Fecha]]='Ajuste de fechas'!$A$2,"Día actual","Día anterior")</f>
        <v>Día actual</v>
      </c>
      <c r="C95" s="3" t="s">
        <v>43</v>
      </c>
      <c r="D95" t="s">
        <v>90</v>
      </c>
      <c r="E95" s="3" t="s">
        <v>231</v>
      </c>
      <c r="F95" s="3" t="s">
        <v>18</v>
      </c>
      <c r="G95" s="3" t="s">
        <v>173</v>
      </c>
      <c r="H95" s="3" t="s">
        <v>38</v>
      </c>
      <c r="I95" s="3" t="s">
        <v>7</v>
      </c>
      <c r="J95" s="3" t="s">
        <v>25</v>
      </c>
      <c r="K95" s="3" t="s">
        <v>91</v>
      </c>
      <c r="L95" s="3" t="s">
        <v>26</v>
      </c>
      <c r="M95">
        <v>1</v>
      </c>
    </row>
    <row r="96" spans="1:13" x14ac:dyDescent="0.25">
      <c r="A96" s="2">
        <v>46297</v>
      </c>
      <c r="B96" s="1" t="str">
        <f ca="1">IF(Información1[[#This Row],[Fecha]]='Ajuste de fechas'!$A$2,"Día actual","Día anterior")</f>
        <v>Día actual</v>
      </c>
      <c r="C96" s="3" t="s">
        <v>43</v>
      </c>
      <c r="D96" t="s">
        <v>90</v>
      </c>
      <c r="E96" s="3" t="s">
        <v>232</v>
      </c>
      <c r="F96" s="3" t="s">
        <v>18</v>
      </c>
      <c r="G96" s="3" t="s">
        <v>233</v>
      </c>
      <c r="H96" s="3" t="s">
        <v>38</v>
      </c>
      <c r="I96" s="3" t="s">
        <v>7</v>
      </c>
      <c r="J96" s="3" t="s">
        <v>25</v>
      </c>
      <c r="K96" s="3" t="s">
        <v>91</v>
      </c>
      <c r="L96" s="3" t="s">
        <v>26</v>
      </c>
      <c r="M96">
        <v>1</v>
      </c>
    </row>
    <row r="97" spans="1:13" x14ac:dyDescent="0.25">
      <c r="A97" s="2">
        <v>46297</v>
      </c>
      <c r="B97" s="1" t="str">
        <f ca="1">IF(Información1[[#This Row],[Fecha]]='Ajuste de fechas'!$A$2,"Día actual","Día anterior")</f>
        <v>Día actual</v>
      </c>
      <c r="C97" s="3" t="s">
        <v>43</v>
      </c>
      <c r="D97" t="s">
        <v>90</v>
      </c>
      <c r="E97" s="3" t="s">
        <v>234</v>
      </c>
      <c r="F97" s="3" t="s">
        <v>18</v>
      </c>
      <c r="G97" s="3" t="s">
        <v>235</v>
      </c>
      <c r="H97" s="3" t="s">
        <v>38</v>
      </c>
      <c r="I97" s="3" t="s">
        <v>7</v>
      </c>
      <c r="J97" s="3" t="s">
        <v>25</v>
      </c>
      <c r="K97" s="3" t="s">
        <v>91</v>
      </c>
      <c r="L97" s="3" t="s">
        <v>26</v>
      </c>
      <c r="M97">
        <v>1</v>
      </c>
    </row>
    <row r="98" spans="1:13" x14ac:dyDescent="0.25">
      <c r="A98" s="2">
        <v>46297</v>
      </c>
      <c r="B98" s="1" t="str">
        <f ca="1">IF(Información1[[#This Row],[Fecha]]='Ajuste de fechas'!$A$2,"Día actual","Día anterior")</f>
        <v>Día actual</v>
      </c>
      <c r="C98" s="3" t="s">
        <v>43</v>
      </c>
      <c r="D98" t="s">
        <v>90</v>
      </c>
      <c r="E98" s="3" t="s">
        <v>236</v>
      </c>
      <c r="F98" s="3" t="s">
        <v>37</v>
      </c>
      <c r="G98" s="3" t="s">
        <v>237</v>
      </c>
      <c r="H98" s="3" t="s">
        <v>38</v>
      </c>
      <c r="I98" s="3" t="s">
        <v>7</v>
      </c>
      <c r="J98" s="3" t="s">
        <v>25</v>
      </c>
      <c r="K98" s="3" t="s">
        <v>91</v>
      </c>
      <c r="L98" s="3" t="s">
        <v>35</v>
      </c>
      <c r="M98">
        <v>1</v>
      </c>
    </row>
    <row r="99" spans="1:13" x14ac:dyDescent="0.25">
      <c r="A99" s="2">
        <v>46297</v>
      </c>
      <c r="B99" s="1" t="str">
        <f ca="1">IF(Información1[[#This Row],[Fecha]]='Ajuste de fechas'!$A$2,"Día actual","Día anterior")</f>
        <v>Día actual</v>
      </c>
      <c r="C99" s="3" t="s">
        <v>43</v>
      </c>
      <c r="D99" t="s">
        <v>90</v>
      </c>
      <c r="E99" s="3" t="s">
        <v>238</v>
      </c>
      <c r="F99" s="3" t="s">
        <v>37</v>
      </c>
      <c r="G99" s="3" t="s">
        <v>237</v>
      </c>
      <c r="H99" s="3" t="s">
        <v>38</v>
      </c>
      <c r="I99" s="3" t="s">
        <v>7</v>
      </c>
      <c r="J99" s="3" t="s">
        <v>25</v>
      </c>
      <c r="K99" s="3" t="s">
        <v>91</v>
      </c>
      <c r="L99" s="3" t="s">
        <v>26</v>
      </c>
      <c r="M99">
        <v>1</v>
      </c>
    </row>
    <row r="100" spans="1:13" x14ac:dyDescent="0.25">
      <c r="A100" s="2">
        <v>46297</v>
      </c>
      <c r="B100" s="1" t="str">
        <f ca="1">IF(Información1[[#This Row],[Fecha]]='Ajuste de fechas'!$A$2,"Día actual","Día anterior")</f>
        <v>Día actual</v>
      </c>
      <c r="C100" s="3" t="s">
        <v>75</v>
      </c>
      <c r="D100" t="s">
        <v>76</v>
      </c>
      <c r="E100" s="3" t="s">
        <v>239</v>
      </c>
      <c r="F100" s="3" t="s">
        <v>18</v>
      </c>
      <c r="G100" s="3" t="s">
        <v>173</v>
      </c>
      <c r="H100" s="3" t="s">
        <v>38</v>
      </c>
      <c r="I100" s="3" t="s">
        <v>7</v>
      </c>
      <c r="J100" s="3" t="s">
        <v>25</v>
      </c>
      <c r="K100" s="3" t="s">
        <v>77</v>
      </c>
      <c r="L100" s="3" t="s">
        <v>26</v>
      </c>
      <c r="M100">
        <v>1</v>
      </c>
    </row>
    <row r="101" spans="1:13" x14ac:dyDescent="0.25">
      <c r="A101" s="2">
        <v>46297</v>
      </c>
      <c r="B101" s="1" t="str">
        <f ca="1">IF(Información1[[#This Row],[Fecha]]='Ajuste de fechas'!$A$2,"Día actual","Día anterior")</f>
        <v>Día actual</v>
      </c>
      <c r="C101" s="3" t="s">
        <v>43</v>
      </c>
      <c r="D101" t="s">
        <v>44</v>
      </c>
      <c r="E101" s="3" t="s">
        <v>240</v>
      </c>
      <c r="F101" s="3" t="s">
        <v>14</v>
      </c>
      <c r="G101" s="3" t="s">
        <v>80</v>
      </c>
      <c r="H101" s="3" t="s">
        <v>38</v>
      </c>
      <c r="I101" s="3" t="s">
        <v>7</v>
      </c>
      <c r="J101" s="3" t="s">
        <v>25</v>
      </c>
      <c r="K101" s="3" t="s">
        <v>45</v>
      </c>
      <c r="L101" s="3" t="s">
        <v>26</v>
      </c>
      <c r="M101">
        <v>1</v>
      </c>
    </row>
    <row r="102" spans="1:13" x14ac:dyDescent="0.25">
      <c r="A102" s="2">
        <v>46297</v>
      </c>
      <c r="B102" s="1" t="str">
        <f ca="1">IF(Información1[[#This Row],[Fecha]]='Ajuste de fechas'!$A$2,"Día actual","Día anterior")</f>
        <v>Día actual</v>
      </c>
      <c r="C102" s="3" t="s">
        <v>43</v>
      </c>
      <c r="D102" t="s">
        <v>44</v>
      </c>
      <c r="E102" s="3" t="s">
        <v>241</v>
      </c>
      <c r="F102" s="3" t="s">
        <v>37</v>
      </c>
      <c r="G102" s="3" t="s">
        <v>89</v>
      </c>
      <c r="H102" s="3" t="s">
        <v>38</v>
      </c>
      <c r="I102" s="3" t="s">
        <v>7</v>
      </c>
      <c r="J102" s="3" t="s">
        <v>25</v>
      </c>
      <c r="K102" s="3" t="s">
        <v>45</v>
      </c>
      <c r="L102" s="3" t="s">
        <v>26</v>
      </c>
      <c r="M102">
        <v>1</v>
      </c>
    </row>
    <row r="103" spans="1:13" x14ac:dyDescent="0.25">
      <c r="A103" s="2">
        <v>46297</v>
      </c>
      <c r="B103" s="1" t="str">
        <f ca="1">IF(Información1[[#This Row],[Fecha]]='Ajuste de fechas'!$A$2,"Día actual","Día anterior")</f>
        <v>Día actual</v>
      </c>
      <c r="C103" s="3" t="s">
        <v>43</v>
      </c>
      <c r="D103" t="s">
        <v>44</v>
      </c>
      <c r="E103" s="3" t="s">
        <v>242</v>
      </c>
      <c r="F103" s="3" t="s">
        <v>16</v>
      </c>
      <c r="G103" s="3" t="s">
        <v>243</v>
      </c>
      <c r="H103" s="3" t="s">
        <v>38</v>
      </c>
      <c r="I103" s="3" t="s">
        <v>7</v>
      </c>
      <c r="J103" s="3" t="s">
        <v>16</v>
      </c>
      <c r="K103" s="3" t="s">
        <v>45</v>
      </c>
      <c r="L103" s="3" t="s">
        <v>26</v>
      </c>
      <c r="M103">
        <v>1</v>
      </c>
    </row>
    <row r="104" spans="1:13" x14ac:dyDescent="0.25">
      <c r="A104" s="2">
        <v>46297</v>
      </c>
      <c r="B104" s="1" t="str">
        <f ca="1">IF(Información1[[#This Row],[Fecha]]='Ajuste de fechas'!$A$2,"Día actual","Día anterior")</f>
        <v>Día actual</v>
      </c>
      <c r="C104" s="3" t="s">
        <v>43</v>
      </c>
      <c r="D104" t="s">
        <v>44</v>
      </c>
      <c r="E104" s="3" t="s">
        <v>244</v>
      </c>
      <c r="F104" s="3" t="s">
        <v>93</v>
      </c>
      <c r="G104" s="3" t="s">
        <v>94</v>
      </c>
      <c r="H104" s="3" t="s">
        <v>38</v>
      </c>
      <c r="I104" s="3" t="s">
        <v>7</v>
      </c>
      <c r="J104" s="3" t="s">
        <v>25</v>
      </c>
      <c r="K104" s="3" t="s">
        <v>45</v>
      </c>
      <c r="L104" s="3" t="s">
        <v>26</v>
      </c>
      <c r="M104">
        <v>1</v>
      </c>
    </row>
    <row r="105" spans="1:13" x14ac:dyDescent="0.25">
      <c r="A105" s="2">
        <v>46297</v>
      </c>
      <c r="B105" s="1" t="str">
        <f ca="1">IF(Información1[[#This Row],[Fecha]]='Ajuste de fechas'!$A$2,"Día actual","Día anterior")</f>
        <v>Día actual</v>
      </c>
      <c r="C105" s="3" t="s">
        <v>43</v>
      </c>
      <c r="D105" t="s">
        <v>44</v>
      </c>
      <c r="E105" s="3" t="s">
        <v>245</v>
      </c>
      <c r="F105" s="3" t="s">
        <v>16</v>
      </c>
      <c r="G105" s="3" t="s">
        <v>246</v>
      </c>
      <c r="H105" s="3" t="s">
        <v>38</v>
      </c>
      <c r="I105" s="3" t="s">
        <v>7</v>
      </c>
      <c r="J105" s="3" t="s">
        <v>16</v>
      </c>
      <c r="K105" s="3" t="s">
        <v>45</v>
      </c>
      <c r="L105" s="3" t="s">
        <v>26</v>
      </c>
      <c r="M105">
        <v>1</v>
      </c>
    </row>
    <row r="106" spans="1:13" x14ac:dyDescent="0.25">
      <c r="A106" s="2">
        <v>46297</v>
      </c>
      <c r="B106" s="1" t="str">
        <f ca="1">IF(Información1[[#This Row],[Fecha]]='Ajuste de fechas'!$A$2,"Día actual","Día anterior")</f>
        <v>Día actual</v>
      </c>
      <c r="C106" s="3" t="s">
        <v>43</v>
      </c>
      <c r="D106" t="s">
        <v>44</v>
      </c>
      <c r="E106" s="3" t="s">
        <v>247</v>
      </c>
      <c r="F106" s="3" t="s">
        <v>14</v>
      </c>
      <c r="G106" s="3" t="s">
        <v>248</v>
      </c>
      <c r="H106" s="3" t="s">
        <v>38</v>
      </c>
      <c r="I106" s="3" t="s">
        <v>7</v>
      </c>
      <c r="J106" s="3" t="s">
        <v>25</v>
      </c>
      <c r="K106" s="3" t="s">
        <v>45</v>
      </c>
      <c r="L106" s="3" t="s">
        <v>26</v>
      </c>
      <c r="M106">
        <v>1</v>
      </c>
    </row>
    <row r="107" spans="1:13" x14ac:dyDescent="0.25">
      <c r="A107" s="2">
        <v>46297</v>
      </c>
      <c r="B107" s="1" t="str">
        <f ca="1">IF(Información1[[#This Row],[Fecha]]='Ajuste de fechas'!$A$2,"Día actual","Día anterior")</f>
        <v>Día actual</v>
      </c>
      <c r="C107" s="3" t="s">
        <v>43</v>
      </c>
      <c r="D107" t="s">
        <v>44</v>
      </c>
      <c r="E107" s="3" t="s">
        <v>249</v>
      </c>
      <c r="F107" s="3" t="s">
        <v>37</v>
      </c>
      <c r="G107" s="3" t="s">
        <v>250</v>
      </c>
      <c r="H107" s="3" t="s">
        <v>38</v>
      </c>
      <c r="I107" s="3" t="s">
        <v>7</v>
      </c>
      <c r="J107" s="3" t="s">
        <v>25</v>
      </c>
      <c r="K107" s="3" t="s">
        <v>45</v>
      </c>
      <c r="L107" s="3" t="s">
        <v>26</v>
      </c>
      <c r="M107">
        <v>1</v>
      </c>
    </row>
    <row r="108" spans="1:13" x14ac:dyDescent="0.25">
      <c r="A108" s="2">
        <v>46297</v>
      </c>
      <c r="B108" s="1" t="str">
        <f ca="1">IF(Información1[[#This Row],[Fecha]]='Ajuste de fechas'!$A$2,"Día actual","Día anterior")</f>
        <v>Día actual</v>
      </c>
      <c r="C108" s="3" t="s">
        <v>43</v>
      </c>
      <c r="D108" t="s">
        <v>44</v>
      </c>
      <c r="E108" s="3" t="s">
        <v>251</v>
      </c>
      <c r="F108" s="3" t="s">
        <v>37</v>
      </c>
      <c r="G108" s="3" t="s">
        <v>252</v>
      </c>
      <c r="H108" s="3" t="s">
        <v>38</v>
      </c>
      <c r="I108" s="3" t="s">
        <v>7</v>
      </c>
      <c r="J108" s="3" t="s">
        <v>25</v>
      </c>
      <c r="K108" s="3" t="s">
        <v>45</v>
      </c>
      <c r="L108" s="3" t="s">
        <v>26</v>
      </c>
      <c r="M108">
        <v>1</v>
      </c>
    </row>
    <row r="109" spans="1:13" x14ac:dyDescent="0.25">
      <c r="A109" s="2">
        <v>46297</v>
      </c>
      <c r="B109" s="1" t="str">
        <f ca="1">IF(Información1[[#This Row],[Fecha]]='Ajuste de fechas'!$A$2,"Día actual","Día anterior")</f>
        <v>Día actual</v>
      </c>
      <c r="C109" s="3" t="s">
        <v>43</v>
      </c>
      <c r="D109" t="s">
        <v>44</v>
      </c>
      <c r="E109" s="3" t="s">
        <v>253</v>
      </c>
      <c r="F109" s="3" t="s">
        <v>57</v>
      </c>
      <c r="G109" s="3" t="s">
        <v>254</v>
      </c>
      <c r="H109" s="3" t="s">
        <v>38</v>
      </c>
      <c r="I109" s="3" t="s">
        <v>7</v>
      </c>
      <c r="J109" s="3" t="s">
        <v>25</v>
      </c>
      <c r="K109" s="3" t="s">
        <v>45</v>
      </c>
      <c r="L109" s="3" t="s">
        <v>26</v>
      </c>
      <c r="M109">
        <v>1</v>
      </c>
    </row>
    <row r="110" spans="1:13" x14ac:dyDescent="0.25">
      <c r="A110" s="2">
        <v>46297</v>
      </c>
      <c r="B110" s="1" t="str">
        <f ca="1">IF(Información1[[#This Row],[Fecha]]='Ajuste de fechas'!$A$2,"Día actual","Día anterior")</f>
        <v>Día actual</v>
      </c>
      <c r="C110" s="3" t="s">
        <v>43</v>
      </c>
      <c r="D110" t="s">
        <v>44</v>
      </c>
      <c r="E110" s="3" t="s">
        <v>255</v>
      </c>
      <c r="F110" s="3" t="s">
        <v>57</v>
      </c>
      <c r="G110" s="3" t="s">
        <v>88</v>
      </c>
      <c r="H110" s="3" t="s">
        <v>38</v>
      </c>
      <c r="I110" s="3" t="s">
        <v>7</v>
      </c>
      <c r="J110" s="3" t="s">
        <v>25</v>
      </c>
      <c r="K110" s="3" t="s">
        <v>45</v>
      </c>
      <c r="L110" s="3" t="s">
        <v>26</v>
      </c>
      <c r="M110">
        <v>1</v>
      </c>
    </row>
    <row r="111" spans="1:13" x14ac:dyDescent="0.25">
      <c r="A111" s="2">
        <v>46297</v>
      </c>
      <c r="B111" s="1" t="str">
        <f ca="1">IF(Información1[[#This Row],[Fecha]]='Ajuste de fechas'!$A$2,"Día actual","Día anterior")</f>
        <v>Día actual</v>
      </c>
      <c r="C111" s="3" t="s">
        <v>43</v>
      </c>
      <c r="D111" t="s">
        <v>44</v>
      </c>
      <c r="E111" s="3" t="s">
        <v>256</v>
      </c>
      <c r="F111" s="3" t="s">
        <v>34</v>
      </c>
      <c r="G111" s="3" t="s">
        <v>61</v>
      </c>
      <c r="H111" s="3" t="s">
        <v>38</v>
      </c>
      <c r="I111" s="3" t="s">
        <v>7</v>
      </c>
      <c r="J111" s="3" t="s">
        <v>16</v>
      </c>
      <c r="K111" s="3" t="s">
        <v>45</v>
      </c>
      <c r="L111" s="3" t="s">
        <v>26</v>
      </c>
      <c r="M111">
        <v>1</v>
      </c>
    </row>
    <row r="112" spans="1:13" x14ac:dyDescent="0.25">
      <c r="A112" s="2">
        <v>46297</v>
      </c>
      <c r="B112" s="1" t="str">
        <f ca="1">IF(Información1[[#This Row],[Fecha]]='Ajuste de fechas'!$A$2,"Día actual","Día anterior")</f>
        <v>Día actual</v>
      </c>
      <c r="C112" s="3" t="s">
        <v>43</v>
      </c>
      <c r="D112" t="s">
        <v>44</v>
      </c>
      <c r="E112" s="3" t="s">
        <v>257</v>
      </c>
      <c r="F112" s="3" t="s">
        <v>16</v>
      </c>
      <c r="G112" s="3" t="s">
        <v>105</v>
      </c>
      <c r="H112" s="3" t="s">
        <v>38</v>
      </c>
      <c r="I112" s="3" t="s">
        <v>7</v>
      </c>
      <c r="J112" s="3" t="s">
        <v>16</v>
      </c>
      <c r="K112" s="3" t="s">
        <v>45</v>
      </c>
      <c r="L112" s="3" t="s">
        <v>26</v>
      </c>
      <c r="M112">
        <v>1</v>
      </c>
    </row>
    <row r="113" spans="1:13" x14ac:dyDescent="0.25">
      <c r="A113" s="2">
        <v>46297</v>
      </c>
      <c r="B113" s="1" t="str">
        <f ca="1">IF(Información1[[#This Row],[Fecha]]='Ajuste de fechas'!$A$2,"Día actual","Día anterior")</f>
        <v>Día actual</v>
      </c>
      <c r="C113" s="3" t="s">
        <v>43</v>
      </c>
      <c r="D113" t="s">
        <v>44</v>
      </c>
      <c r="E113" s="3" t="s">
        <v>258</v>
      </c>
      <c r="F113" s="3" t="s">
        <v>51</v>
      </c>
      <c r="G113" s="3" t="s">
        <v>95</v>
      </c>
      <c r="H113" s="3" t="s">
        <v>38</v>
      </c>
      <c r="I113" s="3" t="s">
        <v>7</v>
      </c>
      <c r="J113" s="3" t="s">
        <v>25</v>
      </c>
      <c r="K113" s="3" t="s">
        <v>45</v>
      </c>
      <c r="L113" s="3" t="s">
        <v>26</v>
      </c>
      <c r="M113">
        <v>1</v>
      </c>
    </row>
    <row r="114" spans="1:13" x14ac:dyDescent="0.25">
      <c r="A114" s="2">
        <v>46297</v>
      </c>
      <c r="B114" s="1" t="str">
        <f ca="1">IF(Información1[[#This Row],[Fecha]]='Ajuste de fechas'!$A$2,"Día actual","Día anterior")</f>
        <v>Día actual</v>
      </c>
      <c r="C114" s="3" t="s">
        <v>43</v>
      </c>
      <c r="D114" t="s">
        <v>44</v>
      </c>
      <c r="E114" s="3" t="s">
        <v>259</v>
      </c>
      <c r="F114" s="3" t="s">
        <v>13</v>
      </c>
      <c r="G114" s="3" t="s">
        <v>260</v>
      </c>
      <c r="H114" s="3" t="s">
        <v>38</v>
      </c>
      <c r="I114" s="3" t="s">
        <v>7</v>
      </c>
      <c r="J114" s="3" t="s">
        <v>29</v>
      </c>
      <c r="K114" s="3" t="s">
        <v>45</v>
      </c>
      <c r="L114" s="3" t="s">
        <v>26</v>
      </c>
      <c r="M114">
        <v>1</v>
      </c>
    </row>
    <row r="115" spans="1:13" x14ac:dyDescent="0.25">
      <c r="A115" s="2">
        <v>46297</v>
      </c>
      <c r="B115" s="1" t="str">
        <f ca="1">IF(Información1[[#This Row],[Fecha]]='Ajuste de fechas'!$A$2,"Día actual","Día anterior")</f>
        <v>Día actual</v>
      </c>
      <c r="C115" s="3" t="s">
        <v>43</v>
      </c>
      <c r="D115" t="s">
        <v>44</v>
      </c>
      <c r="E115" s="3" t="s">
        <v>261</v>
      </c>
      <c r="F115" s="3" t="s">
        <v>93</v>
      </c>
      <c r="G115" s="3" t="s">
        <v>230</v>
      </c>
      <c r="H115" s="3" t="s">
        <v>38</v>
      </c>
      <c r="I115" s="3" t="s">
        <v>7</v>
      </c>
      <c r="J115" s="3" t="s">
        <v>25</v>
      </c>
      <c r="K115" s="3" t="s">
        <v>45</v>
      </c>
      <c r="L115" s="3" t="s">
        <v>26</v>
      </c>
      <c r="M115">
        <v>1</v>
      </c>
    </row>
    <row r="116" spans="1:13" x14ac:dyDescent="0.25">
      <c r="A116" s="2">
        <v>46297</v>
      </c>
      <c r="B116" s="1" t="str">
        <f ca="1">IF(Información1[[#This Row],[Fecha]]='Ajuste de fechas'!$A$2,"Día actual","Día anterior")</f>
        <v>Día actual</v>
      </c>
      <c r="C116" s="3" t="s">
        <v>43</v>
      </c>
      <c r="D116" t="s">
        <v>44</v>
      </c>
      <c r="E116" s="3" t="s">
        <v>262</v>
      </c>
      <c r="F116" s="3" t="s">
        <v>18</v>
      </c>
      <c r="G116" s="3" t="s">
        <v>173</v>
      </c>
      <c r="H116" s="3" t="s">
        <v>38</v>
      </c>
      <c r="I116" s="3" t="s">
        <v>7</v>
      </c>
      <c r="J116" s="3" t="s">
        <v>25</v>
      </c>
      <c r="K116" s="3" t="s">
        <v>45</v>
      </c>
      <c r="L116" s="3" t="s">
        <v>26</v>
      </c>
      <c r="M116">
        <v>1</v>
      </c>
    </row>
    <row r="117" spans="1:13" x14ac:dyDescent="0.25">
      <c r="A117" s="2">
        <v>46297</v>
      </c>
      <c r="B117" s="1" t="str">
        <f ca="1">IF(Información1[[#This Row],[Fecha]]='Ajuste de fechas'!$A$2,"Día actual","Día anterior")</f>
        <v>Día actual</v>
      </c>
      <c r="C117" s="3" t="s">
        <v>43</v>
      </c>
      <c r="D117" t="s">
        <v>44</v>
      </c>
      <c r="E117" s="3" t="s">
        <v>263</v>
      </c>
      <c r="F117" s="3" t="s">
        <v>36</v>
      </c>
      <c r="G117" s="3" t="s">
        <v>264</v>
      </c>
      <c r="H117" s="3" t="s">
        <v>38</v>
      </c>
      <c r="I117" s="3" t="s">
        <v>7</v>
      </c>
      <c r="J117" s="3" t="s">
        <v>25</v>
      </c>
      <c r="K117" s="3" t="s">
        <v>45</v>
      </c>
      <c r="L117" s="3" t="s">
        <v>26</v>
      </c>
      <c r="M117">
        <v>1</v>
      </c>
    </row>
    <row r="118" spans="1:13" x14ac:dyDescent="0.25">
      <c r="A118" s="2">
        <v>46297</v>
      </c>
      <c r="B118" s="1" t="str">
        <f ca="1">IF(Información1[[#This Row],[Fecha]]='Ajuste de fechas'!$A$2,"Día actual","Día anterior")</f>
        <v>Día actual</v>
      </c>
      <c r="C118" s="3" t="s">
        <v>43</v>
      </c>
      <c r="D118" t="s">
        <v>44</v>
      </c>
      <c r="E118" s="3" t="s">
        <v>265</v>
      </c>
      <c r="F118" s="3" t="s">
        <v>18</v>
      </c>
      <c r="G118" s="3" t="s">
        <v>233</v>
      </c>
      <c r="H118" s="3" t="s">
        <v>38</v>
      </c>
      <c r="I118" s="3" t="s">
        <v>7</v>
      </c>
      <c r="J118" s="3" t="s">
        <v>25</v>
      </c>
      <c r="K118" s="3" t="s">
        <v>45</v>
      </c>
      <c r="L118" s="3" t="s">
        <v>26</v>
      </c>
      <c r="M118">
        <v>1</v>
      </c>
    </row>
    <row r="119" spans="1:13" x14ac:dyDescent="0.25">
      <c r="A119" s="2">
        <v>46297</v>
      </c>
      <c r="B119" s="1" t="str">
        <f ca="1">IF(Información1[[#This Row],[Fecha]]='Ajuste de fechas'!$A$2,"Día actual","Día anterior")</f>
        <v>Día actual</v>
      </c>
      <c r="C119" s="3" t="s">
        <v>8</v>
      </c>
      <c r="D119" t="s">
        <v>9</v>
      </c>
      <c r="E119" s="3" t="s">
        <v>266</v>
      </c>
      <c r="F119" s="3" t="s">
        <v>6</v>
      </c>
      <c r="G119" s="3" t="s">
        <v>267</v>
      </c>
      <c r="H119" s="3" t="s">
        <v>38</v>
      </c>
      <c r="I119" s="3" t="s">
        <v>17</v>
      </c>
      <c r="J119" s="3" t="s">
        <v>25</v>
      </c>
      <c r="K119" s="3" t="s">
        <v>49</v>
      </c>
      <c r="L119" s="3" t="s">
        <v>27</v>
      </c>
      <c r="M119">
        <v>1</v>
      </c>
    </row>
    <row r="120" spans="1:13" x14ac:dyDescent="0.25">
      <c r="A120" s="2">
        <v>46297</v>
      </c>
      <c r="B120" s="1" t="str">
        <f ca="1">IF(Información1[[#This Row],[Fecha]]='Ajuste de fechas'!$A$2,"Día actual","Día anterior")</f>
        <v>Día actual</v>
      </c>
      <c r="C120" s="3" t="s">
        <v>8</v>
      </c>
      <c r="D120" t="s">
        <v>9</v>
      </c>
      <c r="E120" s="3" t="s">
        <v>268</v>
      </c>
      <c r="F120" s="3" t="s">
        <v>16</v>
      </c>
      <c r="G120" s="3" t="s">
        <v>269</v>
      </c>
      <c r="H120" s="3" t="s">
        <v>38</v>
      </c>
      <c r="I120" s="3" t="s">
        <v>7</v>
      </c>
      <c r="J120" s="3" t="s">
        <v>16</v>
      </c>
      <c r="K120" s="3" t="s">
        <v>11</v>
      </c>
      <c r="L120" s="3" t="s">
        <v>27</v>
      </c>
      <c r="M120">
        <v>1</v>
      </c>
    </row>
    <row r="121" spans="1:13" x14ac:dyDescent="0.25">
      <c r="A121" s="2">
        <v>46297</v>
      </c>
      <c r="B121" s="1" t="str">
        <f ca="1">IF(Información1[[#This Row],[Fecha]]='Ajuste de fechas'!$A$2,"Día actual","Día anterior")</f>
        <v>Día actual</v>
      </c>
      <c r="C121" s="3" t="s">
        <v>8</v>
      </c>
      <c r="D121" t="s">
        <v>9</v>
      </c>
      <c r="E121" s="3" t="s">
        <v>270</v>
      </c>
      <c r="F121" s="3" t="s">
        <v>16</v>
      </c>
      <c r="G121" s="3" t="s">
        <v>190</v>
      </c>
      <c r="H121" s="3" t="s">
        <v>38</v>
      </c>
      <c r="I121" s="3" t="s">
        <v>7</v>
      </c>
      <c r="J121" s="3" t="s">
        <v>16</v>
      </c>
      <c r="K121" s="3" t="s">
        <v>11</v>
      </c>
      <c r="L121" s="3" t="s">
        <v>35</v>
      </c>
      <c r="M121">
        <v>1</v>
      </c>
    </row>
    <row r="122" spans="1:13" x14ac:dyDescent="0.25">
      <c r="A122" s="2">
        <v>46297</v>
      </c>
      <c r="B122" s="1" t="str">
        <f ca="1">IF(Información1[[#This Row],[Fecha]]='Ajuste de fechas'!$A$2,"Día actual","Día anterior")</f>
        <v>Día actual</v>
      </c>
      <c r="C122" s="3" t="s">
        <v>8</v>
      </c>
      <c r="D122" t="s">
        <v>9</v>
      </c>
      <c r="E122" s="3" t="s">
        <v>271</v>
      </c>
      <c r="F122" s="3" t="s">
        <v>14</v>
      </c>
      <c r="G122" s="3" t="s">
        <v>272</v>
      </c>
      <c r="H122" s="3" t="s">
        <v>38</v>
      </c>
      <c r="I122" s="3" t="s">
        <v>7</v>
      </c>
      <c r="J122" s="3" t="s">
        <v>25</v>
      </c>
      <c r="K122" s="3" t="s">
        <v>11</v>
      </c>
      <c r="L122" s="3" t="s">
        <v>35</v>
      </c>
      <c r="M122">
        <v>1</v>
      </c>
    </row>
    <row r="123" spans="1:13" x14ac:dyDescent="0.25">
      <c r="A123" s="2">
        <v>46297</v>
      </c>
      <c r="B123" s="1" t="str">
        <f ca="1">IF(Información1[[#This Row],[Fecha]]='Ajuste de fechas'!$A$2,"Día actual","Día anterior")</f>
        <v>Día actual</v>
      </c>
      <c r="C123" s="3" t="s">
        <v>8</v>
      </c>
      <c r="D123" t="s">
        <v>9</v>
      </c>
      <c r="E123" s="3" t="s">
        <v>273</v>
      </c>
      <c r="F123" s="3" t="s">
        <v>13</v>
      </c>
      <c r="G123" s="3" t="s">
        <v>274</v>
      </c>
      <c r="H123" s="3" t="s">
        <v>38</v>
      </c>
      <c r="I123" s="3" t="s">
        <v>7</v>
      </c>
      <c r="J123" s="3" t="s">
        <v>29</v>
      </c>
      <c r="K123" s="3" t="s">
        <v>11</v>
      </c>
      <c r="L123" s="3" t="s">
        <v>26</v>
      </c>
      <c r="M123">
        <v>1</v>
      </c>
    </row>
    <row r="124" spans="1:13" x14ac:dyDescent="0.25">
      <c r="A124" s="2">
        <v>46297</v>
      </c>
      <c r="B124" s="1" t="str">
        <f ca="1">IF(Información1[[#This Row],[Fecha]]='Ajuste de fechas'!$A$2,"Día actual","Día anterior")</f>
        <v>Día actual</v>
      </c>
      <c r="C124" s="3" t="s">
        <v>8</v>
      </c>
      <c r="D124" t="s">
        <v>9</v>
      </c>
      <c r="E124" s="3" t="s">
        <v>275</v>
      </c>
      <c r="F124" s="3" t="s">
        <v>13</v>
      </c>
      <c r="G124" s="3" t="s">
        <v>276</v>
      </c>
      <c r="H124" s="3" t="s">
        <v>38</v>
      </c>
      <c r="I124" s="3" t="s">
        <v>7</v>
      </c>
      <c r="J124" s="3" t="s">
        <v>29</v>
      </c>
      <c r="K124" s="3" t="s">
        <v>11</v>
      </c>
      <c r="L124" s="3" t="s">
        <v>26</v>
      </c>
      <c r="M124">
        <v>1</v>
      </c>
    </row>
    <row r="125" spans="1:13" x14ac:dyDescent="0.25">
      <c r="A125" s="2">
        <v>46297</v>
      </c>
      <c r="B125" s="1" t="str">
        <f ca="1">IF(Información1[[#This Row],[Fecha]]='Ajuste de fechas'!$A$2,"Día actual","Día anterior")</f>
        <v>Día actual</v>
      </c>
      <c r="C125" s="3" t="s">
        <v>8</v>
      </c>
      <c r="D125" t="s">
        <v>9</v>
      </c>
      <c r="E125" s="3" t="s">
        <v>277</v>
      </c>
      <c r="F125" s="3" t="s">
        <v>14</v>
      </c>
      <c r="G125" s="3" t="s">
        <v>80</v>
      </c>
      <c r="H125" s="3" t="s">
        <v>38</v>
      </c>
      <c r="I125" s="3" t="s">
        <v>7</v>
      </c>
      <c r="J125" s="3" t="s">
        <v>25</v>
      </c>
      <c r="K125" s="3" t="s">
        <v>11</v>
      </c>
      <c r="L125" s="3" t="s">
        <v>26</v>
      </c>
      <c r="M125">
        <v>1</v>
      </c>
    </row>
    <row r="126" spans="1:13" x14ac:dyDescent="0.25">
      <c r="A126" s="2">
        <v>46297</v>
      </c>
      <c r="B126" s="1" t="str">
        <f ca="1">IF(Información1[[#This Row],[Fecha]]='Ajuste de fechas'!$A$2,"Día actual","Día anterior")</f>
        <v>Día actual</v>
      </c>
      <c r="C126" s="3" t="s">
        <v>8</v>
      </c>
      <c r="D126" t="s">
        <v>9</v>
      </c>
      <c r="E126" s="3" t="s">
        <v>278</v>
      </c>
      <c r="F126" s="3" t="s">
        <v>37</v>
      </c>
      <c r="G126" s="3" t="s">
        <v>252</v>
      </c>
      <c r="H126" s="3" t="s">
        <v>38</v>
      </c>
      <c r="I126" s="3" t="s">
        <v>7</v>
      </c>
      <c r="J126" s="3" t="s">
        <v>25</v>
      </c>
      <c r="K126" s="3" t="s">
        <v>11</v>
      </c>
      <c r="L126" s="3" t="s">
        <v>28</v>
      </c>
      <c r="M126">
        <v>1</v>
      </c>
    </row>
    <row r="127" spans="1:13" x14ac:dyDescent="0.25">
      <c r="A127" s="2">
        <v>46297</v>
      </c>
      <c r="B127" s="1" t="str">
        <f ca="1">IF(Información1[[#This Row],[Fecha]]='Ajuste de fechas'!$A$2,"Día actual","Día anterior")</f>
        <v>Día actual</v>
      </c>
      <c r="C127" s="3" t="s">
        <v>8</v>
      </c>
      <c r="D127" t="s">
        <v>9</v>
      </c>
      <c r="E127" s="3" t="s">
        <v>279</v>
      </c>
      <c r="F127" s="3" t="s">
        <v>51</v>
      </c>
      <c r="G127" s="3" t="s">
        <v>95</v>
      </c>
      <c r="H127" s="3" t="s">
        <v>38</v>
      </c>
      <c r="I127" s="3" t="s">
        <v>7</v>
      </c>
      <c r="J127" s="3" t="s">
        <v>25</v>
      </c>
      <c r="K127" s="3" t="s">
        <v>11</v>
      </c>
      <c r="L127" s="3" t="s">
        <v>28</v>
      </c>
      <c r="M127">
        <v>1</v>
      </c>
    </row>
    <row r="128" spans="1:13" x14ac:dyDescent="0.25">
      <c r="A128" s="2">
        <v>46297</v>
      </c>
      <c r="B128" s="1" t="str">
        <f ca="1">IF(Información1[[#This Row],[Fecha]]='Ajuste de fechas'!$A$2,"Día actual","Día anterior")</f>
        <v>Día actual</v>
      </c>
      <c r="C128" s="3" t="s">
        <v>8</v>
      </c>
      <c r="D128" t="s">
        <v>9</v>
      </c>
      <c r="E128" s="3" t="s">
        <v>280</v>
      </c>
      <c r="F128" s="3" t="s">
        <v>57</v>
      </c>
      <c r="G128" s="3" t="s">
        <v>88</v>
      </c>
      <c r="H128" s="3" t="s">
        <v>38</v>
      </c>
      <c r="I128" s="3" t="s">
        <v>7</v>
      </c>
      <c r="J128" s="3" t="s">
        <v>25</v>
      </c>
      <c r="K128" s="3" t="s">
        <v>11</v>
      </c>
      <c r="L128" s="3" t="s">
        <v>28</v>
      </c>
      <c r="M128">
        <v>1</v>
      </c>
    </row>
    <row r="129" spans="1:13" x14ac:dyDescent="0.25">
      <c r="A129" s="2">
        <v>46297</v>
      </c>
      <c r="B129" s="1" t="str">
        <f ca="1">IF(Información1[[#This Row],[Fecha]]='Ajuste de fechas'!$A$2,"Día actual","Día anterior")</f>
        <v>Día actual</v>
      </c>
      <c r="C129" s="3" t="s">
        <v>39</v>
      </c>
      <c r="D129" t="s">
        <v>47</v>
      </c>
      <c r="E129" s="3" t="s">
        <v>281</v>
      </c>
      <c r="F129" s="3" t="s">
        <v>34</v>
      </c>
      <c r="G129" s="3" t="s">
        <v>61</v>
      </c>
      <c r="H129" s="3" t="s">
        <v>38</v>
      </c>
      <c r="I129" s="3" t="s">
        <v>7</v>
      </c>
      <c r="J129" s="3" t="s">
        <v>16</v>
      </c>
      <c r="K129" s="3" t="s">
        <v>41</v>
      </c>
      <c r="L129" s="3" t="s">
        <v>26</v>
      </c>
      <c r="M129">
        <v>1</v>
      </c>
    </row>
    <row r="130" spans="1:13" x14ac:dyDescent="0.25">
      <c r="A130" s="2">
        <v>46297</v>
      </c>
      <c r="B130" s="1" t="str">
        <f ca="1">IF(Información1[[#This Row],[Fecha]]='Ajuste de fechas'!$A$2,"Día actual","Día anterior")</f>
        <v>Día actual</v>
      </c>
      <c r="C130" s="3" t="s">
        <v>39</v>
      </c>
      <c r="D130" t="s">
        <v>47</v>
      </c>
      <c r="E130" s="3" t="s">
        <v>282</v>
      </c>
      <c r="F130" s="3" t="s">
        <v>15</v>
      </c>
      <c r="G130" s="3" t="s">
        <v>182</v>
      </c>
      <c r="H130" s="3" t="s">
        <v>38</v>
      </c>
      <c r="I130" s="3" t="s">
        <v>7</v>
      </c>
      <c r="J130" s="3" t="s">
        <v>30</v>
      </c>
      <c r="K130" s="3" t="s">
        <v>41</v>
      </c>
      <c r="L130" s="3" t="s">
        <v>26</v>
      </c>
      <c r="M130">
        <v>1</v>
      </c>
    </row>
    <row r="131" spans="1:13" x14ac:dyDescent="0.25">
      <c r="A131" s="2">
        <v>46297</v>
      </c>
      <c r="B131" s="1" t="str">
        <f ca="1">IF(Información1[[#This Row],[Fecha]]='Ajuste de fechas'!$A$2,"Día actual","Día anterior")</f>
        <v>Día actual</v>
      </c>
      <c r="C131" s="3" t="s">
        <v>39</v>
      </c>
      <c r="D131" t="s">
        <v>47</v>
      </c>
      <c r="E131" s="3" t="s">
        <v>283</v>
      </c>
      <c r="F131" s="3" t="s">
        <v>18</v>
      </c>
      <c r="G131" s="3" t="s">
        <v>233</v>
      </c>
      <c r="H131" s="3" t="s">
        <v>38</v>
      </c>
      <c r="I131" s="3" t="s">
        <v>7</v>
      </c>
      <c r="J131" s="3" t="s">
        <v>25</v>
      </c>
      <c r="K131" s="3" t="s">
        <v>41</v>
      </c>
      <c r="L131" s="3" t="s">
        <v>26</v>
      </c>
      <c r="M131">
        <v>1</v>
      </c>
    </row>
    <row r="132" spans="1:13" x14ac:dyDescent="0.25">
      <c r="A132" s="2">
        <v>46297</v>
      </c>
      <c r="B132" s="1" t="str">
        <f ca="1">IF(Información1[[#This Row],[Fecha]]='Ajuste de fechas'!$A$2,"Día actual","Día anterior")</f>
        <v>Día actual</v>
      </c>
      <c r="C132" s="3" t="s">
        <v>39</v>
      </c>
      <c r="D132" t="s">
        <v>47</v>
      </c>
      <c r="E132" s="3" t="s">
        <v>284</v>
      </c>
      <c r="F132" s="3" t="s">
        <v>36</v>
      </c>
      <c r="G132" s="3" t="s">
        <v>285</v>
      </c>
      <c r="H132" s="3" t="s">
        <v>38</v>
      </c>
      <c r="I132" s="3" t="s">
        <v>7</v>
      </c>
      <c r="J132" s="3" t="s">
        <v>25</v>
      </c>
      <c r="K132" s="3" t="s">
        <v>41</v>
      </c>
      <c r="L132" s="3" t="s">
        <v>35</v>
      </c>
      <c r="M132">
        <v>1</v>
      </c>
    </row>
    <row r="133" spans="1:13" x14ac:dyDescent="0.25">
      <c r="A133" s="2">
        <v>46297</v>
      </c>
      <c r="B133" s="1" t="str">
        <f ca="1">IF(Información1[[#This Row],[Fecha]]='Ajuste de fechas'!$A$2,"Día actual","Día anterior")</f>
        <v>Día actual</v>
      </c>
      <c r="C133" s="3" t="s">
        <v>39</v>
      </c>
      <c r="D133" t="s">
        <v>47</v>
      </c>
      <c r="E133" s="3" t="s">
        <v>286</v>
      </c>
      <c r="F133" s="3" t="s">
        <v>15</v>
      </c>
      <c r="G133" s="3" t="s">
        <v>287</v>
      </c>
      <c r="H133" s="3" t="s">
        <v>38</v>
      </c>
      <c r="I133" s="3" t="s">
        <v>7</v>
      </c>
      <c r="J133" s="3" t="s">
        <v>30</v>
      </c>
      <c r="K133" s="3" t="s">
        <v>41</v>
      </c>
      <c r="L133" s="3" t="s">
        <v>26</v>
      </c>
      <c r="M133">
        <v>1</v>
      </c>
    </row>
    <row r="134" spans="1:13" x14ac:dyDescent="0.25">
      <c r="A134" s="2">
        <v>46297</v>
      </c>
      <c r="B134" s="1" t="str">
        <f ca="1">IF(Información1[[#This Row],[Fecha]]='Ajuste de fechas'!$A$2,"Día actual","Día anterior")</f>
        <v>Día actual</v>
      </c>
      <c r="C134" s="3" t="s">
        <v>39</v>
      </c>
      <c r="D134" t="s">
        <v>47</v>
      </c>
      <c r="E134" s="3" t="s">
        <v>288</v>
      </c>
      <c r="F134" s="3" t="s">
        <v>15</v>
      </c>
      <c r="G134" s="3" t="s">
        <v>289</v>
      </c>
      <c r="H134" s="3" t="s">
        <v>38</v>
      </c>
      <c r="I134" s="3" t="s">
        <v>7</v>
      </c>
      <c r="J134" s="3" t="s">
        <v>30</v>
      </c>
      <c r="K134" s="3" t="s">
        <v>41</v>
      </c>
      <c r="L134" s="3" t="s">
        <v>28</v>
      </c>
      <c r="M134">
        <v>1</v>
      </c>
    </row>
    <row r="135" spans="1:13" x14ac:dyDescent="0.25">
      <c r="A135" s="2">
        <v>46297</v>
      </c>
      <c r="B135" s="1" t="str">
        <f ca="1">IF(Información1[[#This Row],[Fecha]]='Ajuste de fechas'!$A$2,"Día actual","Día anterior")</f>
        <v>Día actual</v>
      </c>
      <c r="C135" s="3" t="s">
        <v>55</v>
      </c>
      <c r="D135" t="s">
        <v>56</v>
      </c>
      <c r="E135" s="3" t="s">
        <v>290</v>
      </c>
      <c r="F135" s="3" t="s">
        <v>51</v>
      </c>
      <c r="G135" s="3" t="s">
        <v>95</v>
      </c>
      <c r="H135" s="3" t="s">
        <v>38</v>
      </c>
      <c r="I135" s="3" t="s">
        <v>7</v>
      </c>
      <c r="J135" s="3" t="s">
        <v>25</v>
      </c>
      <c r="K135" s="3" t="s">
        <v>58</v>
      </c>
      <c r="L135" s="3" t="s">
        <v>28</v>
      </c>
      <c r="M135">
        <v>1</v>
      </c>
    </row>
    <row r="136" spans="1:13" x14ac:dyDescent="0.25">
      <c r="A136" s="2">
        <v>46297</v>
      </c>
      <c r="B136" s="1" t="str">
        <f ca="1">IF(Información1[[#This Row],[Fecha]]='Ajuste de fechas'!$A$2,"Día actual","Día anterior")</f>
        <v>Día actual</v>
      </c>
      <c r="C136" s="3" t="s">
        <v>55</v>
      </c>
      <c r="D136" t="s">
        <v>56</v>
      </c>
      <c r="E136" s="3" t="s">
        <v>291</v>
      </c>
      <c r="F136" s="3" t="s">
        <v>14</v>
      </c>
      <c r="G136" s="3" t="s">
        <v>118</v>
      </c>
      <c r="H136" s="3" t="s">
        <v>38</v>
      </c>
      <c r="I136" s="3" t="s">
        <v>7</v>
      </c>
      <c r="J136" s="3" t="s">
        <v>25</v>
      </c>
      <c r="K136" s="3" t="s">
        <v>58</v>
      </c>
      <c r="L136" s="3" t="s">
        <v>26</v>
      </c>
      <c r="M136">
        <v>1</v>
      </c>
    </row>
    <row r="137" spans="1:13" x14ac:dyDescent="0.25">
      <c r="A137" s="2">
        <v>46297</v>
      </c>
      <c r="B137" s="1" t="str">
        <f ca="1">IF(Información1[[#This Row],[Fecha]]='Ajuste de fechas'!$A$2,"Día actual","Día anterior")</f>
        <v>Día actual</v>
      </c>
      <c r="C137" s="3" t="s">
        <v>55</v>
      </c>
      <c r="D137" t="s">
        <v>56</v>
      </c>
      <c r="E137" s="3" t="s">
        <v>292</v>
      </c>
      <c r="F137" s="3" t="s">
        <v>293</v>
      </c>
      <c r="G137" s="3" t="s">
        <v>60</v>
      </c>
      <c r="H137" s="3" t="s">
        <v>38</v>
      </c>
      <c r="I137" s="3" t="s">
        <v>10</v>
      </c>
      <c r="J137" s="3" t="s">
        <v>25</v>
      </c>
      <c r="K137" s="3" t="s">
        <v>58</v>
      </c>
      <c r="L137" s="3" t="s">
        <v>294</v>
      </c>
      <c r="M137">
        <v>1</v>
      </c>
    </row>
    <row r="138" spans="1:13" x14ac:dyDescent="0.25">
      <c r="A138" s="2">
        <v>46297</v>
      </c>
      <c r="B138" s="1" t="str">
        <f ca="1">IF(Información1[[#This Row],[Fecha]]='Ajuste de fechas'!$A$2,"Día actual","Día anterior")</f>
        <v>Día actual</v>
      </c>
      <c r="C138" s="3" t="s">
        <v>55</v>
      </c>
      <c r="D138" t="s">
        <v>56</v>
      </c>
      <c r="E138" s="3" t="s">
        <v>295</v>
      </c>
      <c r="F138" s="3" t="s">
        <v>18</v>
      </c>
      <c r="G138" s="3" t="s">
        <v>173</v>
      </c>
      <c r="H138" s="3" t="s">
        <v>38</v>
      </c>
      <c r="I138" s="3" t="s">
        <v>10</v>
      </c>
      <c r="J138" s="3" t="s">
        <v>25</v>
      </c>
      <c r="K138" s="3" t="s">
        <v>58</v>
      </c>
      <c r="L138" s="3" t="s">
        <v>28</v>
      </c>
      <c r="M138">
        <v>1</v>
      </c>
    </row>
    <row r="139" spans="1:13" x14ac:dyDescent="0.25">
      <c r="A139" s="2">
        <v>46297</v>
      </c>
      <c r="B139" s="1" t="str">
        <f ca="1">IF(Información1[[#This Row],[Fecha]]='Ajuste de fechas'!$A$2,"Día actual","Día anterior")</f>
        <v>Día actual</v>
      </c>
      <c r="C139" s="3" t="s">
        <v>39</v>
      </c>
      <c r="D139" t="s">
        <v>40</v>
      </c>
      <c r="E139" s="3" t="s">
        <v>296</v>
      </c>
      <c r="F139" s="3" t="s">
        <v>57</v>
      </c>
      <c r="G139" s="3" t="s">
        <v>297</v>
      </c>
      <c r="H139" s="3" t="s">
        <v>38</v>
      </c>
      <c r="I139" s="3" t="s">
        <v>7</v>
      </c>
      <c r="J139" s="3" t="s">
        <v>25</v>
      </c>
      <c r="K139" s="3" t="s">
        <v>42</v>
      </c>
      <c r="L139" s="3" t="s">
        <v>28</v>
      </c>
      <c r="M139">
        <v>1</v>
      </c>
    </row>
    <row r="140" spans="1:13" x14ac:dyDescent="0.25">
      <c r="A140" s="2">
        <v>46297</v>
      </c>
      <c r="B140" s="1" t="str">
        <f ca="1">IF(Información1[[#This Row],[Fecha]]='Ajuste de fechas'!$A$2,"Día actual","Día anterior")</f>
        <v>Día actual</v>
      </c>
      <c r="C140" s="3" t="s">
        <v>39</v>
      </c>
      <c r="D140" t="s">
        <v>40</v>
      </c>
      <c r="E140" s="3" t="s">
        <v>298</v>
      </c>
      <c r="F140" s="3" t="s">
        <v>13</v>
      </c>
      <c r="G140" s="3" t="s">
        <v>299</v>
      </c>
      <c r="H140" s="3" t="s">
        <v>38</v>
      </c>
      <c r="I140" s="3" t="s">
        <v>7</v>
      </c>
      <c r="J140" s="3" t="s">
        <v>29</v>
      </c>
      <c r="K140" s="3" t="s">
        <v>41</v>
      </c>
      <c r="L140" s="3" t="s">
        <v>26</v>
      </c>
      <c r="M140">
        <v>1</v>
      </c>
    </row>
    <row r="141" spans="1:13" x14ac:dyDescent="0.25">
      <c r="A141" s="2">
        <v>46297</v>
      </c>
      <c r="B141" s="1" t="str">
        <f ca="1">IF(Información1[[#This Row],[Fecha]]='Ajuste de fechas'!$A$2,"Día actual","Día anterior")</f>
        <v>Día actual</v>
      </c>
      <c r="C141" s="3" t="s">
        <v>39</v>
      </c>
      <c r="D141" t="s">
        <v>40</v>
      </c>
      <c r="E141" s="3" t="s">
        <v>300</v>
      </c>
      <c r="F141" s="3" t="s">
        <v>34</v>
      </c>
      <c r="G141" s="3" t="s">
        <v>301</v>
      </c>
      <c r="H141" s="3" t="s">
        <v>38</v>
      </c>
      <c r="I141" s="3" t="s">
        <v>7</v>
      </c>
      <c r="J141" s="3" t="s">
        <v>16</v>
      </c>
      <c r="K141" s="3" t="s">
        <v>41</v>
      </c>
      <c r="L141" s="3" t="s">
        <v>26</v>
      </c>
      <c r="M141">
        <v>1</v>
      </c>
    </row>
    <row r="142" spans="1:13" x14ac:dyDescent="0.25">
      <c r="A142" s="2">
        <v>46297</v>
      </c>
      <c r="B142" s="1" t="str">
        <f ca="1">IF(Información1[[#This Row],[Fecha]]='Ajuste de fechas'!$A$2,"Día actual","Día anterior")</f>
        <v>Día actual</v>
      </c>
      <c r="C142" s="3" t="s">
        <v>39</v>
      </c>
      <c r="D142" t="s">
        <v>40</v>
      </c>
      <c r="E142" s="3" t="s">
        <v>302</v>
      </c>
      <c r="F142" s="3" t="s">
        <v>93</v>
      </c>
      <c r="G142" s="3" t="s">
        <v>230</v>
      </c>
      <c r="H142" s="3" t="s">
        <v>38</v>
      </c>
      <c r="I142" s="3" t="s">
        <v>7</v>
      </c>
      <c r="J142" s="3" t="s">
        <v>25</v>
      </c>
      <c r="K142" s="3" t="s">
        <v>42</v>
      </c>
      <c r="L142" s="3" t="s">
        <v>28</v>
      </c>
      <c r="M142">
        <v>1</v>
      </c>
    </row>
    <row r="143" spans="1:13" x14ac:dyDescent="0.25">
      <c r="A143" s="2">
        <v>46297</v>
      </c>
      <c r="B143" s="1" t="str">
        <f ca="1">IF(Información1[[#This Row],[Fecha]]='Ajuste de fechas'!$A$2,"Día actual","Día anterior")</f>
        <v>Día actual</v>
      </c>
      <c r="C143" s="3" t="s">
        <v>39</v>
      </c>
      <c r="D143" t="s">
        <v>40</v>
      </c>
      <c r="E143" s="3" t="s">
        <v>295</v>
      </c>
      <c r="F143" s="3" t="s">
        <v>18</v>
      </c>
      <c r="G143" s="3" t="s">
        <v>173</v>
      </c>
      <c r="H143" s="3" t="s">
        <v>38</v>
      </c>
      <c r="I143" s="3" t="s">
        <v>10</v>
      </c>
      <c r="J143" s="3" t="s">
        <v>25</v>
      </c>
      <c r="K143" s="3" t="s">
        <v>42</v>
      </c>
      <c r="L143" s="3" t="s">
        <v>28</v>
      </c>
      <c r="M143">
        <v>1</v>
      </c>
    </row>
    <row r="144" spans="1:13" x14ac:dyDescent="0.25">
      <c r="A144" s="2">
        <v>46297</v>
      </c>
      <c r="B144" s="1" t="str">
        <f ca="1">IF(Información1[[#This Row],[Fecha]]='Ajuste de fechas'!$A$2,"Día actual","Día anterior")</f>
        <v>Día actual</v>
      </c>
      <c r="C144" s="3" t="s">
        <v>39</v>
      </c>
      <c r="D144" t="s">
        <v>40</v>
      </c>
      <c r="E144" s="3" t="s">
        <v>303</v>
      </c>
      <c r="F144" s="3" t="s">
        <v>14</v>
      </c>
      <c r="G144" s="3" t="s">
        <v>248</v>
      </c>
      <c r="H144" s="3" t="s">
        <v>38</v>
      </c>
      <c r="I144" s="3" t="s">
        <v>7</v>
      </c>
      <c r="J144" s="3" t="s">
        <v>25</v>
      </c>
      <c r="K144" s="3" t="s">
        <v>41</v>
      </c>
      <c r="L144" s="3" t="s">
        <v>28</v>
      </c>
      <c r="M144">
        <v>1</v>
      </c>
    </row>
    <row r="145" spans="1:13" x14ac:dyDescent="0.25">
      <c r="A145" s="2">
        <v>46297</v>
      </c>
      <c r="B145" s="1" t="str">
        <f ca="1">IF(Información1[[#This Row],[Fecha]]='Ajuste de fechas'!$A$2,"Día actual","Día anterior")</f>
        <v>Día actual</v>
      </c>
      <c r="C145" s="3" t="s">
        <v>39</v>
      </c>
      <c r="D145" t="s">
        <v>40</v>
      </c>
      <c r="E145" s="3" t="s">
        <v>304</v>
      </c>
      <c r="F145" s="3" t="s">
        <v>14</v>
      </c>
      <c r="G145" s="3" t="s">
        <v>80</v>
      </c>
      <c r="H145" s="3" t="s">
        <v>38</v>
      </c>
      <c r="I145" s="3" t="s">
        <v>7</v>
      </c>
      <c r="J145" s="3" t="s">
        <v>25</v>
      </c>
      <c r="K145" s="3" t="s">
        <v>41</v>
      </c>
      <c r="L145" s="3" t="s">
        <v>26</v>
      </c>
      <c r="M145">
        <v>1</v>
      </c>
    </row>
    <row r="146" spans="1:13" x14ac:dyDescent="0.25">
      <c r="A146" s="2">
        <v>46297</v>
      </c>
      <c r="B146" s="1" t="str">
        <f ca="1">IF(Información1[[#This Row],[Fecha]]='Ajuste de fechas'!$A$2,"Día actual","Día anterior")</f>
        <v>Día actual</v>
      </c>
      <c r="C146" s="3" t="s">
        <v>62</v>
      </c>
      <c r="D146" t="s">
        <v>63</v>
      </c>
      <c r="E146" s="3" t="s">
        <v>305</v>
      </c>
      <c r="F146" s="3" t="s">
        <v>36</v>
      </c>
      <c r="G146" s="3" t="s">
        <v>306</v>
      </c>
      <c r="H146" s="3" t="s">
        <v>65</v>
      </c>
      <c r="I146" s="3" t="s">
        <v>17</v>
      </c>
      <c r="J146" s="3" t="s">
        <v>25</v>
      </c>
      <c r="K146" s="3" t="s">
        <v>68</v>
      </c>
      <c r="L146" s="3" t="s">
        <v>27</v>
      </c>
      <c r="M146">
        <v>1</v>
      </c>
    </row>
    <row r="147" spans="1:13" x14ac:dyDescent="0.25">
      <c r="A147" s="2">
        <v>46297</v>
      </c>
      <c r="B147" s="1" t="str">
        <f ca="1">IF(Información1[[#This Row],[Fecha]]='Ajuste de fechas'!$A$2,"Día actual","Día anterior")</f>
        <v>Día actual</v>
      </c>
      <c r="C147" s="3" t="s">
        <v>62</v>
      </c>
      <c r="D147" t="s">
        <v>63</v>
      </c>
      <c r="E147" s="3" t="s">
        <v>307</v>
      </c>
      <c r="F147" s="3" t="s">
        <v>14</v>
      </c>
      <c r="G147" s="3" t="s">
        <v>80</v>
      </c>
      <c r="H147" s="3" t="s">
        <v>65</v>
      </c>
      <c r="I147" s="3" t="s">
        <v>7</v>
      </c>
      <c r="J147" s="3" t="s">
        <v>25</v>
      </c>
      <c r="K147" s="3" t="s">
        <v>68</v>
      </c>
      <c r="L147" s="3" t="s">
        <v>26</v>
      </c>
      <c r="M147">
        <v>1</v>
      </c>
    </row>
    <row r="148" spans="1:13" x14ac:dyDescent="0.25">
      <c r="A148" s="2">
        <v>46297</v>
      </c>
      <c r="B148" s="1" t="str">
        <f ca="1">IF(Información1[[#This Row],[Fecha]]='Ajuste de fechas'!$A$2,"Día actual","Día anterior")</f>
        <v>Día actual</v>
      </c>
      <c r="C148" s="3" t="s">
        <v>70</v>
      </c>
      <c r="D148" t="s">
        <v>71</v>
      </c>
      <c r="E148" s="3" t="s">
        <v>308</v>
      </c>
      <c r="F148" s="3" t="s">
        <v>16</v>
      </c>
      <c r="G148" s="3" t="s">
        <v>309</v>
      </c>
      <c r="H148" s="3" t="s">
        <v>38</v>
      </c>
      <c r="I148" s="3" t="s">
        <v>7</v>
      </c>
      <c r="J148" s="3" t="s">
        <v>16</v>
      </c>
      <c r="K148" s="3" t="s">
        <v>72</v>
      </c>
      <c r="L148" s="3" t="s">
        <v>35</v>
      </c>
      <c r="M148">
        <v>1</v>
      </c>
    </row>
    <row r="149" spans="1:13" x14ac:dyDescent="0.25">
      <c r="A149" s="2">
        <v>46297</v>
      </c>
      <c r="B149" s="1" t="str">
        <f ca="1">IF(Información1[[#This Row],[Fecha]]='Ajuste de fechas'!$A$2,"Día actual","Día anterior")</f>
        <v>Día actual</v>
      </c>
      <c r="C149" s="3" t="s">
        <v>70</v>
      </c>
      <c r="D149" t="s">
        <v>71</v>
      </c>
      <c r="E149" s="3" t="s">
        <v>310</v>
      </c>
      <c r="F149" s="3" t="s">
        <v>64</v>
      </c>
      <c r="G149" s="3" t="s">
        <v>69</v>
      </c>
      <c r="H149" s="3" t="s">
        <v>38</v>
      </c>
      <c r="I149" s="3" t="s">
        <v>7</v>
      </c>
      <c r="J149" s="3" t="s">
        <v>66</v>
      </c>
      <c r="K149" s="3" t="s">
        <v>72</v>
      </c>
      <c r="L149" s="3" t="s">
        <v>26</v>
      </c>
      <c r="M149">
        <v>1</v>
      </c>
    </row>
    <row r="150" spans="1:13" x14ac:dyDescent="0.25">
      <c r="A150" s="2">
        <v>46297</v>
      </c>
      <c r="B150" s="1" t="str">
        <f ca="1">IF(Información1[[#This Row],[Fecha]]='Ajuste de fechas'!$A$2,"Día actual","Día anterior")</f>
        <v>Día actual</v>
      </c>
      <c r="C150" s="3" t="s">
        <v>70</v>
      </c>
      <c r="D150" t="s">
        <v>71</v>
      </c>
      <c r="E150" s="3" t="s">
        <v>311</v>
      </c>
      <c r="F150" s="3" t="s">
        <v>13</v>
      </c>
      <c r="G150" s="3" t="s">
        <v>80</v>
      </c>
      <c r="H150" s="3" t="s">
        <v>38</v>
      </c>
      <c r="I150" s="3" t="s">
        <v>7</v>
      </c>
      <c r="J150" s="3" t="s">
        <v>29</v>
      </c>
      <c r="K150" s="3" t="s">
        <v>74</v>
      </c>
      <c r="L150" s="3" t="s">
        <v>26</v>
      </c>
      <c r="M150">
        <v>1</v>
      </c>
    </row>
    <row r="151" spans="1:13" x14ac:dyDescent="0.25">
      <c r="A151" s="2">
        <v>46297</v>
      </c>
      <c r="B151" s="1" t="str">
        <f ca="1">IF(Información1[[#This Row],[Fecha]]='Ajuste de fechas'!$A$2,"Día actual","Día anterior")</f>
        <v>Día actual</v>
      </c>
      <c r="C151" s="3" t="s">
        <v>70</v>
      </c>
      <c r="D151" t="s">
        <v>71</v>
      </c>
      <c r="E151" s="3" t="s">
        <v>312</v>
      </c>
      <c r="F151" s="3" t="s">
        <v>13</v>
      </c>
      <c r="G151" s="3" t="s">
        <v>313</v>
      </c>
      <c r="H151" s="3" t="s">
        <v>38</v>
      </c>
      <c r="I151" s="3" t="s">
        <v>7</v>
      </c>
      <c r="J151" s="3" t="s">
        <v>29</v>
      </c>
      <c r="K151" s="3" t="s">
        <v>72</v>
      </c>
      <c r="L151" s="3" t="s">
        <v>26</v>
      </c>
      <c r="M151">
        <v>1</v>
      </c>
    </row>
    <row r="152" spans="1:13" x14ac:dyDescent="0.25">
      <c r="A152" s="2">
        <v>46297</v>
      </c>
      <c r="B152" s="1" t="str">
        <f ca="1">IF(Información1[[#This Row],[Fecha]]='Ajuste de fechas'!$A$2,"Día actual","Día anterior")</f>
        <v>Día actual</v>
      </c>
      <c r="C152" s="3" t="s">
        <v>70</v>
      </c>
      <c r="D152" t="s">
        <v>71</v>
      </c>
      <c r="E152" s="3" t="s">
        <v>314</v>
      </c>
      <c r="F152" s="3" t="s">
        <v>46</v>
      </c>
      <c r="G152" s="3" t="s">
        <v>315</v>
      </c>
      <c r="H152" s="3" t="s">
        <v>38</v>
      </c>
      <c r="I152" s="3" t="s">
        <v>7</v>
      </c>
      <c r="J152" s="3" t="s">
        <v>25</v>
      </c>
      <c r="K152" s="3" t="s">
        <v>74</v>
      </c>
      <c r="L152" s="3" t="s">
        <v>26</v>
      </c>
      <c r="M152">
        <v>1</v>
      </c>
    </row>
    <row r="153" spans="1:13" x14ac:dyDescent="0.25">
      <c r="A153" s="2">
        <v>46297</v>
      </c>
      <c r="B153" s="1" t="str">
        <f ca="1">IF(Información1[[#This Row],[Fecha]]='Ajuste de fechas'!$A$2,"Día actual","Día anterior")</f>
        <v>Día actual</v>
      </c>
      <c r="C153" s="3" t="s">
        <v>70</v>
      </c>
      <c r="D153" t="s">
        <v>71</v>
      </c>
      <c r="E153" s="3" t="s">
        <v>316</v>
      </c>
      <c r="F153" s="3" t="s">
        <v>37</v>
      </c>
      <c r="G153" s="3" t="s">
        <v>252</v>
      </c>
      <c r="H153" s="3" t="s">
        <v>38</v>
      </c>
      <c r="I153" s="3" t="s">
        <v>7</v>
      </c>
      <c r="J153" s="3" t="s">
        <v>25</v>
      </c>
      <c r="K153" s="3" t="s">
        <v>74</v>
      </c>
      <c r="L153" s="3" t="s">
        <v>26</v>
      </c>
      <c r="M153">
        <v>1</v>
      </c>
    </row>
    <row r="154" spans="1:13" x14ac:dyDescent="0.25">
      <c r="A154" s="2">
        <v>46297</v>
      </c>
      <c r="B154" s="1" t="str">
        <f ca="1">IF(Información1[[#This Row],[Fecha]]='Ajuste de fechas'!$A$2,"Día actual","Día anterior")</f>
        <v>Día actual</v>
      </c>
      <c r="C154" s="3" t="s">
        <v>70</v>
      </c>
      <c r="D154" t="s">
        <v>71</v>
      </c>
      <c r="E154" s="3" t="s">
        <v>317</v>
      </c>
      <c r="F154" s="3" t="s">
        <v>34</v>
      </c>
      <c r="G154" s="3" t="s">
        <v>318</v>
      </c>
      <c r="H154" s="3" t="s">
        <v>38</v>
      </c>
      <c r="I154" s="3" t="s">
        <v>7</v>
      </c>
      <c r="J154" s="3" t="s">
        <v>16</v>
      </c>
      <c r="K154" s="3" t="s">
        <v>74</v>
      </c>
      <c r="L154" s="3" t="s">
        <v>26</v>
      </c>
      <c r="M154">
        <v>1</v>
      </c>
    </row>
    <row r="155" spans="1:13" x14ac:dyDescent="0.25">
      <c r="A155" s="2">
        <v>46297</v>
      </c>
      <c r="B155" s="1" t="str">
        <f ca="1">IF(Información1[[#This Row],[Fecha]]='Ajuste de fechas'!$A$2,"Día actual","Día anterior")</f>
        <v>Día actual</v>
      </c>
      <c r="C155" s="3" t="s">
        <v>70</v>
      </c>
      <c r="D155" t="s">
        <v>71</v>
      </c>
      <c r="E155" s="3" t="s">
        <v>319</v>
      </c>
      <c r="F155" s="3" t="s">
        <v>16</v>
      </c>
      <c r="G155" s="3" t="s">
        <v>190</v>
      </c>
      <c r="H155" s="3" t="s">
        <v>38</v>
      </c>
      <c r="I155" s="3" t="s">
        <v>7</v>
      </c>
      <c r="J155" s="3" t="s">
        <v>16</v>
      </c>
      <c r="K155" s="3" t="s">
        <v>74</v>
      </c>
      <c r="L155" s="3" t="s">
        <v>26</v>
      </c>
      <c r="M155">
        <v>1</v>
      </c>
    </row>
    <row r="156" spans="1:13" x14ac:dyDescent="0.25">
      <c r="A156" s="2">
        <v>46297</v>
      </c>
      <c r="B156" s="1" t="str">
        <f ca="1">IF(Información1[[#This Row],[Fecha]]='Ajuste de fechas'!$A$2,"Día actual","Día anterior")</f>
        <v>Día actual</v>
      </c>
      <c r="C156" s="3" t="s">
        <v>70</v>
      </c>
      <c r="D156" t="s">
        <v>71</v>
      </c>
      <c r="E156" s="3" t="s">
        <v>320</v>
      </c>
      <c r="F156" s="3" t="s">
        <v>200</v>
      </c>
      <c r="G156" s="3" t="s">
        <v>190</v>
      </c>
      <c r="H156" s="3" t="s">
        <v>38</v>
      </c>
      <c r="I156" s="3" t="s">
        <v>7</v>
      </c>
      <c r="J156" s="3" t="s">
        <v>16</v>
      </c>
      <c r="K156" s="3" t="s">
        <v>74</v>
      </c>
      <c r="L156" s="3" t="s">
        <v>26</v>
      </c>
      <c r="M156">
        <v>1</v>
      </c>
    </row>
    <row r="157" spans="1:13" x14ac:dyDescent="0.25">
      <c r="A157" s="2">
        <v>46297</v>
      </c>
      <c r="B157" s="1" t="str">
        <f ca="1">IF(Información1[[#This Row],[Fecha]]='Ajuste de fechas'!$A$2,"Día actual","Día anterior")</f>
        <v>Día actual</v>
      </c>
      <c r="C157" s="3" t="s">
        <v>70</v>
      </c>
      <c r="D157" t="s">
        <v>71</v>
      </c>
      <c r="E157" s="3" t="s">
        <v>321</v>
      </c>
      <c r="F157" s="3" t="s">
        <v>18</v>
      </c>
      <c r="G157" s="3" t="s">
        <v>233</v>
      </c>
      <c r="H157" s="3" t="s">
        <v>38</v>
      </c>
      <c r="I157" s="3" t="s">
        <v>7</v>
      </c>
      <c r="J157" s="3" t="s">
        <v>25</v>
      </c>
      <c r="K157" s="3" t="s">
        <v>74</v>
      </c>
      <c r="L157" s="3" t="s">
        <v>26</v>
      </c>
      <c r="M157">
        <v>1</v>
      </c>
    </row>
    <row r="158" spans="1:13" x14ac:dyDescent="0.25">
      <c r="A158" s="2">
        <v>46297</v>
      </c>
      <c r="B158" s="1" t="str">
        <f ca="1">IF(Información1[[#This Row],[Fecha]]='Ajuste de fechas'!$A$2,"Día actual","Día anterior")</f>
        <v>Día actual</v>
      </c>
      <c r="C158" s="3" t="s">
        <v>70</v>
      </c>
      <c r="D158" t="s">
        <v>71</v>
      </c>
      <c r="E158" s="3" t="s">
        <v>207</v>
      </c>
      <c r="F158" s="3" t="s">
        <v>13</v>
      </c>
      <c r="G158" s="3" t="s">
        <v>73</v>
      </c>
      <c r="H158" s="3" t="s">
        <v>38</v>
      </c>
      <c r="I158" s="3" t="s">
        <v>7</v>
      </c>
      <c r="J158" s="3" t="s">
        <v>29</v>
      </c>
      <c r="K158" s="3" t="s">
        <v>78</v>
      </c>
      <c r="L158" s="3" t="s">
        <v>79</v>
      </c>
      <c r="M158">
        <v>1</v>
      </c>
    </row>
    <row r="159" spans="1:13" x14ac:dyDescent="0.25">
      <c r="A159" s="2">
        <v>46297</v>
      </c>
      <c r="B159" s="1" t="str">
        <f ca="1">IF(Información1[[#This Row],[Fecha]]='Ajuste de fechas'!$A$2,"Día actual","Día anterior")</f>
        <v>Día actual</v>
      </c>
      <c r="C159" s="3" t="s">
        <v>70</v>
      </c>
      <c r="D159" t="s">
        <v>71</v>
      </c>
      <c r="E159" s="3" t="s">
        <v>322</v>
      </c>
      <c r="F159" s="3" t="s">
        <v>18</v>
      </c>
      <c r="G159" s="3" t="s">
        <v>173</v>
      </c>
      <c r="H159" s="3" t="s">
        <v>38</v>
      </c>
      <c r="I159" s="3" t="s">
        <v>7</v>
      </c>
      <c r="J159" s="3" t="s">
        <v>25</v>
      </c>
      <c r="K159" s="3" t="s">
        <v>74</v>
      </c>
      <c r="L159" s="3" t="s">
        <v>28</v>
      </c>
      <c r="M159">
        <v>1</v>
      </c>
    </row>
    <row r="160" spans="1:13" x14ac:dyDescent="0.25">
      <c r="A160" s="2">
        <v>46297</v>
      </c>
      <c r="B160" s="1" t="str">
        <f ca="1">IF(Información1[[#This Row],[Fecha]]='Ajuste de fechas'!$A$2,"Día actual","Día anterior")</f>
        <v>Día actual</v>
      </c>
      <c r="C160" s="3" t="s">
        <v>70</v>
      </c>
      <c r="D160" t="s">
        <v>71</v>
      </c>
      <c r="E160" s="3" t="s">
        <v>323</v>
      </c>
      <c r="F160" s="3" t="s">
        <v>50</v>
      </c>
      <c r="G160" s="3" t="s">
        <v>324</v>
      </c>
      <c r="H160" s="3" t="s">
        <v>38</v>
      </c>
      <c r="I160" s="3" t="s">
        <v>17</v>
      </c>
      <c r="J160" s="3" t="s">
        <v>25</v>
      </c>
      <c r="K160" s="3" t="s">
        <v>72</v>
      </c>
      <c r="L160" s="3" t="s">
        <v>26</v>
      </c>
      <c r="M160">
        <v>1</v>
      </c>
    </row>
    <row r="161" spans="1:13" x14ac:dyDescent="0.25">
      <c r="A161" s="2">
        <v>46297</v>
      </c>
      <c r="B161" s="1" t="str">
        <f ca="1">IF(Información1[[#This Row],[Fecha]]='Ajuste de fechas'!$A$2,"Día actual","Día anterior")</f>
        <v>Día actual</v>
      </c>
      <c r="C161" s="3" t="s">
        <v>70</v>
      </c>
      <c r="D161" t="s">
        <v>71</v>
      </c>
      <c r="E161" s="3" t="s">
        <v>325</v>
      </c>
      <c r="F161" s="3" t="s">
        <v>13</v>
      </c>
      <c r="G161" s="3" t="s">
        <v>326</v>
      </c>
      <c r="H161" s="3" t="s">
        <v>38</v>
      </c>
      <c r="I161" s="3" t="s">
        <v>7</v>
      </c>
      <c r="J161" s="3" t="s">
        <v>29</v>
      </c>
      <c r="K161" s="3" t="s">
        <v>74</v>
      </c>
      <c r="L161" s="3" t="s">
        <v>26</v>
      </c>
      <c r="M161">
        <v>1</v>
      </c>
    </row>
    <row r="162" spans="1:13" x14ac:dyDescent="0.25">
      <c r="A162" s="2">
        <v>46297</v>
      </c>
      <c r="B162" s="1" t="str">
        <f ca="1">IF(Información1[[#This Row],[Fecha]]='Ajuste de fechas'!$A$2,"Día actual","Día anterior")</f>
        <v>Día actual</v>
      </c>
      <c r="C162" s="3" t="s">
        <v>70</v>
      </c>
      <c r="D162" t="s">
        <v>71</v>
      </c>
      <c r="E162" s="3" t="s">
        <v>327</v>
      </c>
      <c r="F162" s="3" t="s">
        <v>13</v>
      </c>
      <c r="G162" s="3" t="s">
        <v>328</v>
      </c>
      <c r="H162" s="3" t="s">
        <v>38</v>
      </c>
      <c r="I162" s="3" t="s">
        <v>7</v>
      </c>
      <c r="J162" s="3" t="s">
        <v>29</v>
      </c>
      <c r="K162" s="3" t="s">
        <v>74</v>
      </c>
      <c r="L162" s="3" t="s">
        <v>26</v>
      </c>
      <c r="M162">
        <v>1</v>
      </c>
    </row>
    <row r="163" spans="1:13" x14ac:dyDescent="0.25">
      <c r="A163" s="2">
        <v>46297</v>
      </c>
      <c r="B163" s="1" t="str">
        <f ca="1">IF(Información1[[#This Row],[Fecha]]='Ajuste de fechas'!$A$2,"Día actual","Día anterior")</f>
        <v>Día actual</v>
      </c>
      <c r="C163" s="3" t="s">
        <v>62</v>
      </c>
      <c r="D163" t="s">
        <v>63</v>
      </c>
      <c r="E163" s="3" t="s">
        <v>329</v>
      </c>
      <c r="F163" s="3" t="s">
        <v>13</v>
      </c>
      <c r="G163" s="3" t="s">
        <v>69</v>
      </c>
      <c r="H163" s="3" t="s">
        <v>65</v>
      </c>
      <c r="I163" s="3" t="s">
        <v>7</v>
      </c>
      <c r="J163" s="3" t="s">
        <v>29</v>
      </c>
      <c r="K163" s="3" t="s">
        <v>68</v>
      </c>
      <c r="L163" s="3" t="s">
        <v>26</v>
      </c>
      <c r="M163">
        <v>1</v>
      </c>
    </row>
    <row r="164" spans="1:13" x14ac:dyDescent="0.25">
      <c r="A164" s="2">
        <v>46297</v>
      </c>
      <c r="B164" s="1" t="str">
        <f ca="1">IF(Información1[[#This Row],[Fecha]]='Ajuste de fechas'!$A$2,"Día actual","Día anterior")</f>
        <v>Día actual</v>
      </c>
      <c r="C164" s="3" t="s">
        <v>62</v>
      </c>
      <c r="D164" t="s">
        <v>63</v>
      </c>
      <c r="E164" s="3" t="s">
        <v>330</v>
      </c>
      <c r="F164" s="3" t="s">
        <v>64</v>
      </c>
      <c r="G164" s="3" t="s">
        <v>69</v>
      </c>
      <c r="H164" s="3" t="s">
        <v>65</v>
      </c>
      <c r="I164" s="3" t="s">
        <v>7</v>
      </c>
      <c r="J164" s="3" t="s">
        <v>66</v>
      </c>
      <c r="K164" s="3" t="s">
        <v>68</v>
      </c>
      <c r="L164" s="3" t="s">
        <v>26</v>
      </c>
      <c r="M164">
        <v>1</v>
      </c>
    </row>
    <row r="165" spans="1:13" x14ac:dyDescent="0.25">
      <c r="A165" s="2">
        <v>46297</v>
      </c>
      <c r="B165" s="1" t="str">
        <f ca="1">IF(Información1[[#This Row],[Fecha]]='Ajuste de fechas'!$A$2,"Día actual","Día anterior")</f>
        <v>Día actual</v>
      </c>
      <c r="C165" s="3" t="s">
        <v>62</v>
      </c>
      <c r="D165" t="s">
        <v>63</v>
      </c>
      <c r="E165" s="3" t="s">
        <v>331</v>
      </c>
      <c r="F165" s="3" t="s">
        <v>36</v>
      </c>
      <c r="G165" s="3" t="s">
        <v>306</v>
      </c>
      <c r="H165" s="3" t="s">
        <v>65</v>
      </c>
      <c r="I165" s="3" t="s">
        <v>17</v>
      </c>
      <c r="J165" s="3" t="s">
        <v>25</v>
      </c>
      <c r="K165" s="3" t="s">
        <v>68</v>
      </c>
      <c r="L165" s="3" t="s">
        <v>27</v>
      </c>
      <c r="M165">
        <v>1</v>
      </c>
    </row>
    <row r="166" spans="1:13" x14ac:dyDescent="0.25">
      <c r="A166" s="2">
        <v>46297</v>
      </c>
      <c r="B166" s="1" t="str">
        <f ca="1">IF(Información1[[#This Row],[Fecha]]='Ajuste de fechas'!$A$2,"Día actual","Día anterior")</f>
        <v>Día actual</v>
      </c>
      <c r="C166" s="3" t="s">
        <v>62</v>
      </c>
      <c r="D166" t="s">
        <v>63</v>
      </c>
      <c r="E166" s="3" t="s">
        <v>332</v>
      </c>
      <c r="F166" s="3" t="s">
        <v>36</v>
      </c>
      <c r="G166" s="3" t="s">
        <v>306</v>
      </c>
      <c r="H166" s="3" t="s">
        <v>65</v>
      </c>
      <c r="I166" s="3" t="s">
        <v>17</v>
      </c>
      <c r="J166" s="3" t="s">
        <v>25</v>
      </c>
      <c r="K166" s="3" t="s">
        <v>68</v>
      </c>
      <c r="L166" s="3" t="s">
        <v>27</v>
      </c>
      <c r="M166">
        <v>1</v>
      </c>
    </row>
    <row r="167" spans="1:13" x14ac:dyDescent="0.25">
      <c r="A167" s="2">
        <v>46297</v>
      </c>
      <c r="B167" s="1" t="str">
        <f ca="1">IF(Información1[[#This Row],[Fecha]]='Ajuste de fechas'!$A$2,"Día actual","Día anterior")</f>
        <v>Día actual</v>
      </c>
      <c r="C167" s="3" t="s">
        <v>62</v>
      </c>
      <c r="D167" t="s">
        <v>63</v>
      </c>
      <c r="E167" s="3" t="s">
        <v>333</v>
      </c>
      <c r="F167" s="3" t="s">
        <v>93</v>
      </c>
      <c r="G167" s="3" t="s">
        <v>230</v>
      </c>
      <c r="H167" s="3" t="s">
        <v>65</v>
      </c>
      <c r="I167" s="3" t="s">
        <v>7</v>
      </c>
      <c r="J167" s="3" t="s">
        <v>25</v>
      </c>
      <c r="K167" s="3" t="s">
        <v>68</v>
      </c>
      <c r="L167" s="3" t="s">
        <v>28</v>
      </c>
      <c r="M167">
        <v>1</v>
      </c>
    </row>
    <row r="168" spans="1:13" x14ac:dyDescent="0.25">
      <c r="A168" s="2">
        <v>46297</v>
      </c>
      <c r="B168" s="1" t="str">
        <f ca="1">IF(Información1[[#This Row],[Fecha]]='Ajuste de fechas'!$A$2,"Día actual","Día anterior")</f>
        <v>Día actual</v>
      </c>
      <c r="C168" s="3" t="s">
        <v>62</v>
      </c>
      <c r="D168" t="s">
        <v>63</v>
      </c>
      <c r="E168" s="3" t="s">
        <v>334</v>
      </c>
      <c r="F168" s="3" t="s">
        <v>36</v>
      </c>
      <c r="G168" s="3" t="s">
        <v>306</v>
      </c>
      <c r="H168" s="3" t="s">
        <v>65</v>
      </c>
      <c r="I168" s="3" t="s">
        <v>17</v>
      </c>
      <c r="J168" s="3" t="s">
        <v>25</v>
      </c>
      <c r="K168" s="3" t="s">
        <v>68</v>
      </c>
      <c r="L168" s="3" t="s">
        <v>26</v>
      </c>
      <c r="M168">
        <v>1</v>
      </c>
    </row>
    <row r="169" spans="1:13" x14ac:dyDescent="0.25">
      <c r="A169" s="2">
        <v>46297</v>
      </c>
      <c r="B169" s="1" t="str">
        <f ca="1">IF(Información1[[#This Row],[Fecha]]='Ajuste de fechas'!$A$2,"Día actual","Día anterior")</f>
        <v>Día actual</v>
      </c>
      <c r="C169" s="3" t="s">
        <v>62</v>
      </c>
      <c r="D169" t="s">
        <v>63</v>
      </c>
      <c r="E169" s="3" t="s">
        <v>322</v>
      </c>
      <c r="F169" s="3" t="s">
        <v>18</v>
      </c>
      <c r="G169" s="3" t="s">
        <v>173</v>
      </c>
      <c r="H169" s="3" t="s">
        <v>65</v>
      </c>
      <c r="I169" s="3" t="s">
        <v>7</v>
      </c>
      <c r="J169" s="3" t="s">
        <v>25</v>
      </c>
      <c r="K169" s="3" t="s">
        <v>68</v>
      </c>
      <c r="L169" s="3" t="s">
        <v>28</v>
      </c>
      <c r="M169">
        <v>1</v>
      </c>
    </row>
    <row r="170" spans="1:13" x14ac:dyDescent="0.25">
      <c r="A170" s="2">
        <v>46297</v>
      </c>
      <c r="B170" s="1" t="str">
        <f ca="1">IF(Información1[[#This Row],[Fecha]]='Ajuste de fechas'!$A$2,"Día actual","Día anterior")</f>
        <v>Día actual</v>
      </c>
      <c r="C170" s="3" t="s">
        <v>62</v>
      </c>
      <c r="D170" t="s">
        <v>63</v>
      </c>
      <c r="E170" s="3" t="s">
        <v>99</v>
      </c>
      <c r="F170" s="3" t="s">
        <v>36</v>
      </c>
      <c r="G170" s="3" t="s">
        <v>100</v>
      </c>
      <c r="H170" s="3" t="s">
        <v>65</v>
      </c>
      <c r="I170" s="3" t="s">
        <v>7</v>
      </c>
      <c r="J170" s="3" t="s">
        <v>25</v>
      </c>
      <c r="K170" s="3" t="s">
        <v>68</v>
      </c>
      <c r="L170" s="3" t="s">
        <v>26</v>
      </c>
      <c r="M170">
        <v>1</v>
      </c>
    </row>
    <row r="171" spans="1:13" x14ac:dyDescent="0.25">
      <c r="A171" s="2">
        <v>46297</v>
      </c>
      <c r="B171" s="1" t="str">
        <f ca="1">IF(Información1[[#This Row],[Fecha]]='Ajuste de fechas'!$A$2,"Día actual","Día anterior")</f>
        <v>Día actual</v>
      </c>
      <c r="C171" s="3" t="s">
        <v>62</v>
      </c>
      <c r="D171" t="s">
        <v>63</v>
      </c>
      <c r="E171" s="3" t="s">
        <v>335</v>
      </c>
      <c r="F171" s="3" t="s">
        <v>36</v>
      </c>
      <c r="G171" s="3" t="s">
        <v>306</v>
      </c>
      <c r="H171" s="3" t="s">
        <v>65</v>
      </c>
      <c r="I171" s="3" t="s">
        <v>17</v>
      </c>
      <c r="J171" s="3" t="s">
        <v>25</v>
      </c>
      <c r="K171" s="3" t="s">
        <v>68</v>
      </c>
      <c r="L171" s="3" t="s">
        <v>27</v>
      </c>
      <c r="M171">
        <v>1</v>
      </c>
    </row>
    <row r="172" spans="1:13" x14ac:dyDescent="0.25">
      <c r="A172" s="2">
        <v>46297</v>
      </c>
      <c r="B172" s="1" t="str">
        <f ca="1">IF(Información1[[#This Row],[Fecha]]='Ajuste de fechas'!$A$2,"Día actual","Día anterior")</f>
        <v>Día actual</v>
      </c>
      <c r="C172" s="3" t="s">
        <v>62</v>
      </c>
      <c r="D172" t="s">
        <v>63</v>
      </c>
      <c r="E172" s="3" t="s">
        <v>307</v>
      </c>
      <c r="F172" s="3" t="s">
        <v>13</v>
      </c>
      <c r="G172" s="3" t="s">
        <v>80</v>
      </c>
      <c r="H172" s="3" t="s">
        <v>65</v>
      </c>
      <c r="I172" s="3" t="s">
        <v>7</v>
      </c>
      <c r="J172" s="3" t="s">
        <v>29</v>
      </c>
      <c r="K172" s="3" t="s">
        <v>68</v>
      </c>
      <c r="L172" s="3" t="s">
        <v>26</v>
      </c>
      <c r="M172">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32</v>
      </c>
      <c r="B1" t="s">
        <v>33</v>
      </c>
    </row>
    <row r="2" spans="1:2" x14ac:dyDescent="0.25">
      <c r="A2" s="2">
        <f ca="1">TODAY()</f>
        <v>46297</v>
      </c>
      <c r="B2" s="2">
        <f ca="1">A2-1</f>
        <v>46296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2026-10-02T23:20:28Z</dcterms:modified>
</cp:coreProperties>
</file>