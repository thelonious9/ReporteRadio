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CD884462-430F-4C1C-8689-4F9C8130E0C4}"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21" i="2" l="1"/>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73" i="2"/>
  <c r="B78" i="2"/>
  <c r="B80" i="2"/>
  <c r="B83" i="2"/>
  <c r="B86" i="2"/>
  <c r="B88" i="2"/>
  <c r="B91" i="2"/>
  <c r="B93" i="2"/>
  <c r="B96" i="2"/>
  <c r="B99" i="2"/>
  <c r="B101" i="2"/>
  <c r="B104" i="2"/>
  <c r="B106" i="2"/>
  <c r="B109" i="2"/>
  <c r="B112" i="2"/>
  <c r="B186" i="2"/>
  <c r="B116" i="2"/>
  <c r="B118" i="2"/>
  <c r="B167" i="2"/>
  <c r="B168" i="2"/>
  <c r="B169" i="2"/>
  <c r="B170" i="2"/>
  <c r="B171" i="2"/>
  <c r="B172" i="2"/>
  <c r="B173" i="2"/>
  <c r="B174" i="2"/>
  <c r="B175" i="2"/>
  <c r="B176" i="2"/>
  <c r="B177" i="2"/>
  <c r="B178" i="2"/>
  <c r="B179" i="2"/>
  <c r="B180" i="2"/>
  <c r="B181" i="2"/>
  <c r="B182" i="2"/>
  <c r="B183" i="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74" i="2"/>
  <c r="B76" i="2"/>
  <c r="B79" i="2"/>
  <c r="B82" i="2"/>
  <c r="B84" i="2"/>
  <c r="B87" i="2"/>
  <c r="B90" i="2"/>
  <c r="B92" i="2"/>
  <c r="B95" i="2"/>
  <c r="B98" i="2"/>
  <c r="B184" i="2"/>
  <c r="B103" i="2"/>
  <c r="B105" i="2"/>
  <c r="B110" i="2"/>
  <c r="B113" i="2"/>
  <c r="B115" i="2"/>
  <c r="B187" i="2"/>
  <c r="B120"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5" i="2"/>
  <c r="B77" i="2"/>
  <c r="B81" i="2"/>
  <c r="B85" i="2"/>
  <c r="B89" i="2"/>
  <c r="B94" i="2"/>
  <c r="B97" i="2"/>
  <c r="B100" i="2"/>
  <c r="B102" i="2"/>
  <c r="B185" i="2"/>
  <c r="B107" i="2"/>
  <c r="B108" i="2"/>
  <c r="B111" i="2"/>
  <c r="B114" i="2"/>
  <c r="B117" i="2"/>
  <c r="B11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<sst xmlns="http://schemas.openxmlformats.org/spreadsheetml/2006/main" count="1873" uniqueCount="327">
  <si>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</si>
  <si>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</si>
  <si>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</si>
  <si>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</si>
  <si>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</si>
  <si>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</si>
  <si>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</si>
  <si>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</si>
  <si>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</si>
  <si>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</si>
  <si>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</si>
  <si>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</si>
  <si>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</si>
  <si>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</si>
  <si>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</si>
  <si>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</si>
  <si>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</si>
  <si>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</si>
  <si>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</si>
  <si>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</si>
  <si>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</si>
  <si>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</si>
  <si>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</si>
  <si>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</si>
  <si>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SSH</t>
  </si>
  <si>
    <t>Otros</t>
  </si>
  <si>
    <t>Negativa</t>
  </si>
  <si>
    <t>Gobernador</t>
  </si>
  <si>
    <t>Andrés Torres</t>
  </si>
  <si>
    <t>Ke Buena 106.7 FM</t>
  </si>
  <si>
    <t>David Cárdenas</t>
  </si>
  <si>
    <t>Noticias 106.7</t>
  </si>
  <si>
    <t>Súper Stéreo 100.5 FM</t>
  </si>
  <si>
    <t>Rodolfo López</t>
  </si>
  <si>
    <t>Enfoque Regional Meridiano</t>
  </si>
  <si>
    <t>Enfoque Regional Matutino</t>
  </si>
  <si>
    <t>Juan Carlos Santamaria</t>
  </si>
  <si>
    <t>TV local</t>
  </si>
  <si>
    <t>Auxilio a la ciudadanía</t>
  </si>
  <si>
    <t>Canal del Pueblo</t>
  </si>
  <si>
    <t>Vocales Radio</t>
  </si>
  <si>
    <t>NQ 90.1 FM</t>
  </si>
  <si>
    <t>Jesús Riveros</t>
  </si>
  <si>
    <t>Enlace Hidalgo1</t>
  </si>
  <si>
    <t>Enlace Hidalgo2</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</si>
  <si>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</si>
  <si>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</si>
  <si>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</si>
  <si>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</si>
  <si>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</si>
  <si>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</si>
  <si>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</si>
  <si>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</si>
  <si>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</si>
  <si>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</si>
  <si>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</si>
  <si>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</si>
  <si>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</si>
  <si>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</si>
  <si>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</si>
  <si>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</si>
  <si>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</si>
  <si>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</si>
  <si>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</si>
  <si>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</si>
  <si>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</si>
  <si>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</si>
  <si>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</si>
  <si>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Fuga De Agua</t>
  </si>
  <si>
    <t>DIFH</t>
  </si>
  <si>
    <t>Saderh</t>
  </si>
  <si>
    <t>Eulalio Larrieta agradece a Edith Balderas de la Secretaria de Educación Pública.</t>
  </si>
  <si>
    <t>Bienestar</t>
  </si>
  <si>
    <t>Oficialía Mayor</t>
  </si>
  <si>
    <t>Radiodifusoras</t>
  </si>
  <si>
    <t>Mañanera de Hidalgo</t>
  </si>
  <si>
    <t>Alerta Meteorológica</t>
  </si>
  <si>
    <t>La Poderosa Tuxpan 93.1 FM</t>
  </si>
  <si>
    <t>Combate a la delincuencia</t>
  </si>
  <si>
    <t>Contraloría</t>
  </si>
  <si>
    <t>Coordinación interestatal</t>
  </si>
  <si>
    <t>Turismo</t>
  </si>
  <si>
    <t>Delegación</t>
  </si>
  <si>
    <t>Iniciativa</t>
  </si>
  <si>
    <t>Modernización Tuzobús</t>
  </si>
  <si>
    <t>Rehabilitación Vial</t>
  </si>
  <si>
    <t>Mosco Culex</t>
  </si>
  <si>
    <t>Radio Lobo 96.7 FM</t>
  </si>
  <si>
    <t>Vestigios Arqueológicos</t>
  </si>
  <si>
    <t>Hidalgo en Los Pinos</t>
  </si>
  <si>
    <t>Cultura</t>
  </si>
  <si>
    <t>NN Nuestras Noticias Zona Norte</t>
  </si>
  <si>
    <t>Liz Argüelles</t>
  </si>
  <si>
    <t>Aumento Tarifa De Transporte</t>
  </si>
  <si>
    <t>Declaración patrimonial</t>
  </si>
  <si>
    <t>Entrevista 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</si>
  <si>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Entrevista pautada</t>
  </si>
  <si>
    <t>Huracán Priscilla</t>
  </si>
  <si>
    <t>Programas Del Pueblo</t>
  </si>
  <si>
    <t>Control lirio acuático</t>
  </si>
  <si>
    <t>Gobierno</t>
  </si>
  <si>
    <t>Abasto De Agua</t>
  </si>
  <si>
    <t>Protección del menor</t>
  </si>
  <si>
    <t>Rubén Rocha</t>
  </si>
  <si>
    <t>Cambios En El Gabinete</t>
  </si>
  <si>
    <t>OCSAD</t>
  </si>
  <si>
    <t>Con una inversión total de 2 millones de pesos, el gobierno municipal pondrá en marcha la primera entrega de apoyos económicos de los programas “Transforma Tulancingo” y “Mujer Emprende y Transforma”, beneficiando a 151 personas emprendedoras el próximo 3 de junio. La Secretaría de Fomento Económico, a través de la Dirección de Desarrollo Comercial, informó que los apoyos están dirigidos a personas de entre 18 y 60 años, quienes previamente participaron en procesos de capacitación para fortalecer sus proyectos productivos. El programa “Mujer Emprende y Transforma” destacó por su alta participación en esta primera convocatoria de 2026, con 110 mujeres inscritas. Las beneficiarias recibieron herramientas para consolidar sus negocios, principalmente en giros como venta de alimentos, comercialización de ropa y servicios de belleza. Por su parte, “Transforma Tulancingo” apoyará a diversos comercios locales como misceláneas, ferreterías, pastelerías y boutiques, con el objetivo de impulsar su crecimiento y permanencia en el mercado.</t>
  </si>
  <si>
    <t>Apoyo a emprendedores</t>
  </si>
  <si>
    <t>Ministerio Público obtuvo la vinculación a proceso para probable responsable de homicidio doloso agravado.</t>
  </si>
  <si>
    <t>PGJEH</t>
  </si>
  <si>
    <t>Vinculación A Proceso</t>
  </si>
  <si>
    <t>Respecto al boletín del fortalecimiento policiaco que encabezó el gobernador Julio Menchaca, locutor David cárdenas comentó que, además de los elementos de apoyo que requiere un elemento policial, la movilidad es importante, por lo que, el oficial mayor, Edgar Orlando Ángeles Pérez explicó, el día de ayer, que 200 unidades serán arrendados por 299 mdp, incluyendo mantenimiento preventivo y correctivo, refracciones. Hace años, uno caminaba en un municipio y veía en baldíos o corralones las unidades descompuestas porque se había descompuesto, porque no había recurso y hoy, se le ha dado una prioridad a la administración para que todo el equipo esté funcionando al cien”, expresó David. Cárdenas.</t>
  </si>
  <si>
    <t>Fortalecimiento Policiaco</t>
  </si>
  <si>
    <t>Con exigencia de mejora en el servicio, se determina incremento responsable del 20 % al transporte colectivo.</t>
  </si>
  <si>
    <t>SEPH fortalece atención interinstitucional para el bienestar integral de estudiantes.</t>
  </si>
  <si>
    <t>Educación para la salud</t>
  </si>
  <si>
    <t>UTVM destaca en encuentro nacional con medallas y primer lugar en arte.</t>
  </si>
  <si>
    <t>Justa Académica</t>
  </si>
  <si>
    <t>Julio Menchaca fortalece estrategia de seguridad y dota a cuerpos policiales de nuevas unidades y equipo. (AUDIO JMS)</t>
  </si>
  <si>
    <t>Gabinete de Seguridad de Hidalgo recupera 50 toneladas de frijol robado en el Arco Norte.</t>
  </si>
  <si>
    <t>Reunión Gabinete De Seguridad</t>
  </si>
  <si>
    <t>El Instituto Nacional de Antropología e Historia (INAH) confirmó el hallazgo de 10 cráneos óseos humanos en la zona arqueológica de Huapalcalco, los cuales fueron localizados en el relleno de una antigua estructura prehispánica, como parte de trabajos de conservación que actualmente se realizan en el sitio. En entrevista para El Sol de Tulancingo, el director del INAH, Manuel Villarruel, detalló que el descubrimiento se originó durante labores de restauración, cuando hace un par de semanas se detectó un primer cráneo al interior de un basamento. A partir de este hallazgo, los arqueólogos decidieron ampliar la exploración en el área circundante, lo que permitió identificar más restos. “Al retirar el primer cráneo, se dieron cuenta de que probablemente habría otros más alrededor”, explicó. En total, se han recuperado 10 cráneos humanos, los cuales se encontraban relativamente juntos, sin corresponder a un entierro formal. Esta disposición ha llevado a los especialistas a deducir que podría tratarse de una ofrenda ritual. “El hecho de que estuvieran concentrados en un mismo punto permite suponer que fueron colocados como parte de una ofrenda”, señaló el funcionario. Villarruel aclaró que los cráneos hallados son precisamente de humanos, sin embargo no pudo detallar más porque se encuentran en investigación y en resguardo por el INAH. Pese a ello, destacó que el hallazgo es de gran relevancia, ya que no se había registrado uno de este tipo en la zona desde hace mucho tiempo. No obstante, enfatizó que aún se trata de información preliminar. “El hallazgo está en proceso de análisis, no podemos dar una conclusión definitiva (…) ni un fechamiento, ni detalles sobre el ritual o sobre los restos óseos”, indicó. El director explicó que mediante estudios posteriores será posible obtener datos más precisos, como el sexo, la edad al momento de la muerte, posibles enfermedades e incluso aspectos de la dieta de los individuos, a través de análisis dentales y de desgaste óseo. Asimismo, informó que los restos se encuentran bajo resguardo del INAH y que, una vez concluidos los estudios, se iniciará una fase de restauración. Posteriormente, no se descarta que los resultados sean difundidos públicamente o incluso que los restos puedan ser exhibidos. Villarruel reiteró que será necesario esperar a que concluyan las investigaciones para conocer con mayor precisión el contexto histórico del descubrimiento, el periodo al que pertenece y su posible relación con prácticas ceremoniales. No obstante, adelantó que este tipo de hallazgos permite comprender mejor la importancia de Huapalcalco y su vínculo con otras poblaciones del Valle de Tulancingo, así como aportar información relevante sobre las civilizaciones que habitaron la región. “Es un hallazgo importante; debemos esperar los resultados finales de los investigadores”, puntualizó. Explicó que este hallazgo deriva de los trabajos de rehabilitación y conservación que se realizan en la zona arqueológica como parte de un programa nacional de mejoramiento de sitios, el cual contempla intervenciones en diversas zonas del país con el objetivo de fortalecer su preservación y su potencial turístico. En el caso de Huapalcalco, detalló que se llevan a cabo acciones como la consolidación de basamentos, limpieza de estructuras, restauración de pisos de estuco y mejoramiento de infraestructura para visitantes. En este sentido, mencionó que también se han realizado trabajos para el retiro de grafitis que afectan la imagen y lectura del sitio arqueológico. El director señaló que se han eliminado al menos 25 grupos de pintas mediante distintos procedimientos, priorizando aquellos que generan mayor impacto visual.</t>
  </si>
  <si>
    <t>Entrevista Mtra. Esperanza Barrera Pérez, titular de la División de Ingeniería en Gestión Empresarial - Habló sobre “La Expo Emprende 2026” que se realizará en el Instituto Tecnológico Superior del Oriente y que tiene como objetivo fortalecer las competencias profesionales de todos los estudiantes. Entre los proyectos que se presentará, destacan las categorías de innovación en productos y servicios; desarrollo tecnológico, impacto social; procesos y logística; emprendimiento social y sustentable, por mencionar algunos.</t>
  </si>
  <si>
    <t>Evento académico</t>
  </si>
  <si>
    <t>Entrevista vía telefónica Lizbeth Robles, secretaria de Movilidad y Transporte - Habló sobre el reciente anuncio a la tarifa de transporte público que se anunció el día de ayer en la conferencia mañanera del Gobierno de Hidalgo, explicó que este aumento aplicará en los 84 municipios, pero únicamente en colectivas, es decir, dicho aumento no aplica para servicio de taxis, ni para el Tuzobús. Comentó que dicho aumento, es con el compromiso de que concesionarios mejores las unidades y el servicio que se brindará a los usuarios, asimismo, señaló que habrá revisiones periódicas con la finalidad de constatar que se de cumplimento a los acuerdos establecidos. Cabe señalar, que dicho aumento entrará en vigor a partir de su publicación en el Periódico Oficial del Estado.</t>
  </si>
  <si>
    <t>Boletín 38: CEDSPI continúa con macrojornadas para fortalecer la salud visual de quienes más lo necesitan</t>
  </si>
  <si>
    <t>Salud Visual</t>
  </si>
  <si>
    <t>SEPH fortalece atención interinstitucional para el bienestar integral de estudiantes</t>
  </si>
  <si>
    <t>UTVM destaca en encuentro nacional con medallas y primer lugar en arte</t>
  </si>
  <si>
    <t>Participa Contraloría de Hidalgo en Encuentro Nacional de Autoridades Resolutoras</t>
  </si>
  <si>
    <t>Comisión de Contralorías</t>
  </si>
  <si>
    <t>Destaca Hidalgo con turismo comunitario en el Tianguis de Acapulco</t>
  </si>
  <si>
    <t>Tianguis Turístico</t>
  </si>
  <si>
    <t>Julio Menchaca fortalece estrategia de seguridad y dota a cuerpos policiales de nuevas unidades y equipo</t>
  </si>
  <si>
    <t>Reunión Gabinete de Seguridad- Gabinete de Seguridad de Hidalgo recupera 50 toneladas de frijol robado en el Arco Norte:</t>
  </si>
  <si>
    <t>En cabina, Jesús Ávila García Coordinador de zona 1301 Pachuca Norte del Instituto Hidalguense de Educación para Adultos sobre el tema de jornada para regularizar a adultos mayores que querían terminar sus estudios de primaria, secundaria y bachillerato.</t>
  </si>
  <si>
    <t>Alfabetización</t>
  </si>
  <si>
    <t>Sobre la denucia de la regidora Aranza Ramírez de Morena comento conductor lo siguiente : “Hasta dónde lo público puede rebasar lo privado, hasta dónde lo político se puede convertir en personal, estamos de acuerdo que se denuncien las faltas graves de algún funcionario, estamos de acuerdo que se denuncie la corrupción, que se denuncie si hay faltantes, que se denuncie todo lo que está en contra de la ley. Pero ya brincar a un tema personal, ya brincar a un tema hasta de violencia en contra de una mujer que es madre de familia, ojalá la regidora se atreva a denunciarlo también de manera penal para que se investigue “.</t>
  </si>
  <si>
    <t>Amenazas</t>
  </si>
  <si>
    <t>La regidora Aranza Ramírez de Morena del municipio de Tula hizo responsable a otro regidor de la fracción independiente si algo le llegara a pasar a ella o a su familia, AUDIO APOYO</t>
  </si>
  <si>
    <t>La tarifa al transporte público de pasajeros en modalidad colectiva aumentará 20% respecto al cobro actual. Esto lo confirmó la mañana de lunes, 4 de mayo, la titular de la Secretaría de Movilidad y Transporte de Hidalgo, Lisbeth Robles Gutiérrez, por lo que la tarifa mínima en dicho servicio pasará de 10 a 12 pesos, en otras tarifas deberá realizarse el cálculo del aumento en el porcentaje señalado.La funcionaria estatal señaló que se determinó el porcentaje de aumento con base en estudios técnicos, donde se tomó en cuenta tanto las necesidades de los concesionarios como de los usuarios. Debo anunciar que el incremento que se ha analizado, realizando los estudios correspondientes para tener un equilibrio entre los costos de operación y la exigencia de considerar al sector del público usuario, hemos llegado a la decisión de que debemos incrementar la tarifa en el transporte público colectivo en un 20%, es decir, 20 puntos porcentuales. Estos 20 puntos porcentuales están obligados, insisto, a mejorar unidades y a mejorar las condiciones de la prestación. AUDIO DE APOYO</t>
  </si>
  <si>
    <t>Radioescucha comenta que cómo es posible que aumenten el transporte sin darse cuenta de cómo vienen las combis. Esperemos que se suban los funcionarios y chequen cómo es y vean cómo viene uno como usuario.</t>
  </si>
  <si>
    <t>Vía telefónica, Lyzbeth Robles Gutiérrez, secretaria de Movilidad y Transporte, con el tema: Aumento tarifa de transporte: Comento que el día de ayer se dio el anuncio del incremento al transporte público; en este caso solo se dará el incremento en las colectivas en este momento. Para el incremento se buscó un equilibrio entre las necesidades del sector transportista, costos de insumos y costo de operación; no se tiene por el momento un incremento en taxis ni de Tuzobús; este incremento solo es para el transporte público colectivo y aclarando que el incremento se dará una vez publicado en Periódico Oficial del Estado de Hidalgo el acuerdo correspondiente. Se tienen obligaciones para el transporte, mejora de prestación del servicio, dar mantenimiento correctivo, mejorar las condiciones físico/mecánicas, tarifario visible y muchas más obligaciones establecidas; se trabaja con otras instancias para el operativo Transporte Seguro. Hoy se tienen ya las 38 unidades nuevas en el paradero de Tellez, solo en espera de poder iniciar sus operaciones, y faltan por llegar las unidades de 80 pasajeros; ya se encuentran en proceso de las aduanas.</t>
  </si>
  <si>
    <t>Boletín 1066: Gobierno de Hidalgo impulsa la salud comunitaria y preservación cultural</t>
  </si>
  <si>
    <t>Casa de la Mujer Indígena</t>
  </si>
  <si>
    <t>Con múltiple detención, la SSPH combate al delito de préstamos “gota a gota” Actopan</t>
  </si>
  <si>
    <t>La Unidad de Rehabilitación de Fauna Silvestre Pachuca informó que, en coordinación con la PROFEPA y la Reserva de la Biósfera de la Barranca de Metztitlán, se llevó a cabo la liberación de 12 animales silvestres que fueron reintegrados a su medio natural.En esta acción fueron liberadas 3 lechuzas, 1 gavilán, 2 zorras grises, 2 ardillas, 2 tlacuaches y 1 cacomixtle, luego de recibir atención y rehabilitación para favorecer su retorno a la vida silvestre.De acuerdo con la dependencia, esta es la segunda liberación del año, con la cual suman 27 ejemplares reinsertados durante 2026 en espacios adecuados para su conservación.</t>
  </si>
  <si>
    <t>Conservación de especies</t>
  </si>
  <si>
    <t>Se comenzó a observar un incremento parcial de extorsión y secuestros en diez carreteras al transporte de carga. Esto es como la México Querétaro y Arco Norte, de acuerdo con Noé Paredes, titular en Hidalgo de la Cámara Nacional del Autotransporte de Carga. Unos datos muy relevantes de las diez carreteras donde más camiones nos roban en el paísDesgraciadamente de estas diez, cinco están relacionadas con el Arco Norte, con Hidalgo, con México, con Tlaxcala. Es la México Querétaro con 66%, la México Puebla con 22%, la México Paquita con 18%, al libramiento Norte con 16% y la México de Catete con 16%. De las diez carreteras donde más camiones nos roban en el país, han subido del 20 de febrero al 20 de marzo cinco robos Arco Norte, del 20 de marzo al 20 de abril 16 robos, de los cuales sólo recuperamos tres camiones.Ahora el titular de la Secretaría de Seguridad Pública de Hidalgo, Salvador Cruz Neri, lanzó un llamado directo a las autoridades del Arco Norte, urge mejorar las condiciones de seguridad en esta vía.Cruz Neri también exigió mayor claridad y mejoras en el sistema de videovigilancia, al advertir que las cámaras actuales son de baja calidad, especialmente de noche, lo que limita su utilidad en tareas de seguridad e inteligencia.</t>
  </si>
  <si>
    <t>La basura en las calles en la región Tula-Tepeji provoca el 50% de los encharcamientos en temporada de lluvia. De acuerdo con la Secretaría del Medio Ambiente y Recursos Naturales de Hidalgo, en la entidad se generan más de dos mil seiscientas veintinueve toneladas de basura al día, de la cual el 13% está en las calles y el 87% restante en los basureros.Cuando los desperdicios se tiran de manera desordenada, obstruyen la corriente de agua de lluvia, propiciando su estancamiento, lo que genera un foco de infección y, a su vez, un peligro para la salud. Y vienen, además, los reclamos de la ciudadanía de las constantes inundaciones cuando llueve en principales calles. Pero también hay ciudadanos conscientes que evitan tirar basura en las calles.</t>
  </si>
  <si>
    <t>Semarnath</t>
  </si>
  <si>
    <t>Disposición de basura</t>
  </si>
  <si>
    <t>Julio Menchaca fortalece estrategia de seguridad y dota a cuerpos policiales de nuevas unidades y equipo, AUDIO APOYO</t>
  </si>
  <si>
    <t>Con una inversión superior a los trescientos treinta y seis millones de pesos, el gobernador Julio Menchaca Salazar encabezó la entrega de doscientas treinta y dos patrullas y equipamiento táctico para fortalecer a los cuerpos de seguridad en la entidad. El mandatario destacó que esta estrategia busca reducir tiempos de respuesta, mantener operativas las unidades y garantizar mejores condiciones para las y los policías con capacitación constante y armamento actualizado. De las unidades entregadas, treinta y dos serán para corporaciones municipales y el resto operado por la Secretaría de Seguridad Pública de Hidalgo.Su titular, Salvador Cruz Neri, informó que la Policía Estatal avanza ya un noventa y ocho punto siete por ciento de certificación, además de reportar más de cinco mil detenidos, cinco mil seiscientos vehículos recuperados, el aseguramiento de más de seis punto cinco millones de litros de hidrocarburo y más de un millón de dosis de droga. Las doscientas unidades serán arrendadas por doscientos noventa y nueve millones de pesos, esquema que va a permitir ahorro de hasta ciento noventa millones frente a una compra directa. Autoridades estatales aseguraron que este equipamiento reforzará la estrategia de seguridad y el combate a la delincuencia en Hidalgo. AUDIO APOYO</t>
  </si>
  <si>
    <t>Radioescucha reporta falta de agua en Lomas Residencial Pachuca, desde el 1ero de mayo</t>
  </si>
  <si>
    <t>Radioescucha comenta que reportó una fuga desde hace 2 meses y sigue, esto en Río de las Avenidas, antes de llegar a Anfora.</t>
  </si>
  <si>
    <t>Colaboradora de Acir Joss reporta fuga de agua muy fuerte en el Río de las Avenidas , en la lateral de Everardo Marquez</t>
  </si>
  <si>
    <t>Radioescucha reporta fuga de agua en el C. Doria</t>
  </si>
  <si>
    <t>Radioescucha reporta fuga de agua (Conductor manda directamente información de ubicación a personal de Caasim)</t>
  </si>
  <si>
    <t>Las comunidades ribereñas de la presa Endó, a pesar de que ya iniciaron las fumigaciones en estas colonias y comunidades, el problema de los moscos continúa, informo Noel Olguín, vecino de la comunidad de Michimaloya en Tula, comentó que siguen en pie las movilizaciones del dias de mañana en el municipio, aun no se confirma abloqueo de alguna vialidad, AUDIO APOYO</t>
  </si>
  <si>
    <t>Fumigación mosco Culex</t>
  </si>
  <si>
    <t>Canal 12 Huejutla</t>
  </si>
  <si>
    <t>Contacto Informativo M</t>
  </si>
  <si>
    <t>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</si>
  <si>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María Antonieta Islas</t>
  </si>
  <si>
    <t>El presidente del Colegio de Notarios del Estado de Hidalgo, Pedro Luis Noble, dio a conocer los detalles de la Iniciativa de Ley de Notariado para el Estado de Hidalgo, la cual ya fue enviada al Congreso del Estado para su análisis y discusión.De ser aprobada, la nueva legislación podría entrar en vigor en un plazo de seis meses, con el objetivo de actualizar el marco jurídico y fortalecer la función notarial en la entidad. Se presentó ante el Congreso del Estado, ante la mesa directiva, la iniciativa con proyecto de decreto que contiene la nueva ley de notario para el Estado de Hidalgo. AUDIOS DE APOYO</t>
  </si>
  <si>
    <t>Despacho</t>
  </si>
  <si>
    <t>El gobernador de Hidalgo, Julio Menchaca Salazar, impulsa la transformación de la función notarial en Hidalgo. La información con mi compañera Joselyn Sánchez. El gobernador Julio Menchaca Salazar envió al Congreso local la iniciativa de una nueva ley notarial con la que se pretende fortalecer la certeza jurídica y actualizar esta función en nuestra entidad. La propuesta incluye el acceso a notarías mediante exámenes de oposición, priorizando el mérito y la igualdad de oportunidades, además de la incorporación de herramientas digitales y el uso de firma electrónica avanzada para prevenir fraudes y suplantación de identidad. También contempla la creación de un instituto de investigaciones jurídicas y profesionalización notarial enfocado en la capacitación continua del gremio, así como la figura de notario mérito para reconocer la trayectoria de quienes se retiren.Autoridades y notarios destacaron que esta reforma busca ofrecer servicios más eficientes, seguros y confiables para la ciudadanía y posicionar a Hidalgo como referente nacional en materia notarial.</t>
  </si>
  <si>
    <t>La Comisión Nacional del Agua (Conagua), a través de su Dirección Local Hidalgo, informa que, las presas en la región del Valle de México, cuentan con un porcentaje de almacenamiento global de 89 por ciento (%).La presa Taxhimay se encuentra a 99.7% de su capacidad con 39.799 millones de metros cúbicos (Mm3); la Requenase encuentra a 99.6% con 51.351 Mm3.Mientras que la Endhó se encuentra a 95.4% con 174.398 Mm3; la presa Rojo Gómez a 58.9% de su capacidad con 23.555 Mm3; finalmente, la Vicente Aguirre se encuentra a 36.7% de su capacidad con 6.524 Mm3.</t>
  </si>
  <si>
    <t>Monitoreo De Presas</t>
  </si>
  <si>
    <t>En otro tema bastante importante, que aquí en las diferentes ediciones de Enfoque Regional, le hemos dado foco, atención, y es que la persistente presencia del Mosco-Culex en comunidades cercanas a la Presa Endó, ha llevado al gobierno municipal de Tepetitlán a tomar medidas propias, ante la respuesta tardía e insuficiente por parte de las autoridades federales encargadas del control de la plaga. De acuerdo con el secretario general Asael Villera Chávez, el ayuntamiento comenzó desde hace dos semanas un programa local de fumigación, con el propósito de contener la crisis sanitaria que ha limitado las actividades diarias de la población.</t>
  </si>
  <si>
    <t>La presidenta del patronato del sistema DIF Hidalgo, Edda Vite Ramos, informó que ya se encuentra en marcha el proceso de conformación de las Procuradurías municipales de protección de niñas, niños y adolescentes en la entidad. Esto como parte de una estrategia para fortalecer la atención a este sector de la población y evitar la revictimización en casos de violencia. Vite Ramos explicó que los ayuntamientos cuentan con un plazo de 180 días a partir del pasado 13 de abril para formalizar estas instancias, y varios municipios compartió ya han comenzado con el proceso y que desde el DIF estatal se les brinda acompañamiento técnico y jurídico para concretar su instalación. De hecho, ya muchas de las presidencias municipales tienen 180 días a partir del 13 de abril. AUDIO DE APOYO</t>
  </si>
  <si>
    <t>Radioescucha Teresa Pérez, deberían checar el volumen de las combis y los vidrios polarizados</t>
  </si>
  <si>
    <t>Queja transporte público</t>
  </si>
  <si>
    <t>Radioescucha comentó que no está bien el aumento; primero deberían checar cómo están las unidades en mal estado</t>
  </si>
  <si>
    <t>Entrevista grabada de Yazareth Aguilar, directora de Obras Públicas municipal de Tula, con el tema: Inicia rehabilitación de la calle Heroico Colegio Militar, la calle que está a un costado del tianguis municipal de Tula , Audio apoyo.</t>
  </si>
  <si>
    <t>Con la visión de continuar con la mejora de la infraestructura vial del municipio, el alcalde Mineral de la Reforma, Eduardo Medécigo Rubio, encabezó el banderazo de inicio para la construcción de pavimento hidráulico en la calle principal de La Joya, en el Fraccionamiento San Fernando.Acompañado de la presidenta del Patronato del Sistema Municipal DIF, Samantha Esparza Hernández, el alcalde de la Ciudad de la Comunidad aseveró que esta obra representa un avance en la atención a las demandas de los vecinos y un compromiso de su administración para atender sus peticiones, reconociendo que “la atención de las calles son necesidades urgentes”.</t>
  </si>
  <si>
    <t>Continuando en materia de seguridad, el Gabinete de Seguridad de Hidalgo recuperó en el Arco Norte un tractocamión y dos cajas con cincuenta toneladas de frijol, valuadas en cerca de un millón novecientos mil pesos. Esto había sido robado minutos antes.El gobernador Julio Menchaca Salazar informó que en operativos de la última semana también fueron detenidas seis personas en Actopan, presuntamente vinculadas a fraude y extorsión mediante préstamos gota a gota. En Tizayuca, tras el robo a un comercio, fue asegurado el probable responsable sobre la México Pachuca junto con un arma artesanal, vehículo y efectivo, mientras que en la capital del estado un hombre fue detenido al interior de una vivienda recuperándose equipo de cómputo y objetos personales. Además, en acciones, en ocho municipios se aseguraron quince personas, un arma de fuego y más de tres mil dosis de droga, así como la localización de catorce personas con ficha de búsqueda.</t>
  </si>
  <si>
    <t>Gabinete de Seguridad de Hidalgo recupera 50 toneladas de frijol robado en el Arco Norte</t>
  </si>
  <si>
    <t>Luego de que el gobernador de Sinaloa, Rubén Rocha Moya, fuera acusado por vínculos delictivos por el Departamento de Justicia de Estados Unidos, el gobernador del Estado de Hidalgo, Julio Menchaca Salazar, se pronunció al respecto. AUDIO DE APOYO ENTREVISTA</t>
  </si>
  <si>
    <t>La Secretaría de Turismo de Hidalgo, la Secretaría Elizabeth Quintanar Gómez, informó que el 80% de la participación del Estado en el Tianguis Turístico México 2026 se centró en experiencias de turismo comunitario llevando la riqueza cultural, natural y cotidiana de las localidades a este escaparate nacional.Durante la conferencia destacó que la presencia de operadoras turísticas permitió impulsar la promoción, venta de servicios y generación de alianzas estratégicas en línea con la política turística del gobernador Julio Menchaca Salazar.En esta edición participaron ocho municipios y diez operadoras quienes sostuvieron encuentros con compradores nacionales e internacionales logrando la comercialización de paquetes turísticos y fortaleciendo la cadena de valor en distintas regiones.</t>
  </si>
  <si>
    <t>Autoridades de los tres niveles de gobierno realizaron un recorrido en la comunidad de San Andrés Daboxtha en el municipio del Cardonal con el objetivo de valorar la viabilidad para la construcción de una universidad del bienestar Benito Juárez. Durante la visita se realizó la revisión de las condiciones del terreno donde se contempla edificar esta institución de educación superior orientada a jóvenes que concluyen el nivel medio superior.</t>
  </si>
  <si>
    <t>Universidad del Bienestar</t>
  </si>
  <si>
    <t>Ministerio Público obtuvo la vinculación a proceso para probable responsable de homicidio doloso agravado</t>
  </si>
  <si>
    <t>Milton Cortés: El día de ayer, la Subsecretaría de Protección Civil y Gestión de Riesgos del Estado advirtió por las lluvias y ráfagas de viento. En Acayuca, Zapotlán de Juárez los fuertes vientos ocasionaron que el techo de una bodega textil resultara afectado, situación que fue atendida oportunamente por Protección Civil el lugar, sin que se reporten personas afectadas. Asimismo, en Progreso de Obregón se presentaron afectaciones por las lluvias como caídas de postes y bardas, situaciones que se atendieron.</t>
  </si>
  <si>
    <t>Atención Afectaciones Por Lluvias</t>
  </si>
  <si>
    <t>Andrés Torres en respuesta a un radioescucha que comenta: felicidades por las nuevas unidades del Tuzobús, esperemos que mejore el servicio y no solamente sea un parche temporal. En las redes sociales circula el rumor de que no son unidades nuevas, que solamente las pintaron; señala que son unidades nuevas y que el retraso de su llegada se derivó por temas en la aduana.</t>
  </si>
  <si>
    <t>Andrés Torres comenta que antes las concesiones para las notarías eran otorgadas de manera discrecional y que con esta iniciativa presentada por el gobernador ahora se busca que se haga dentro de un marco legal. Una iniciativa muy buena para evitar que se otorguen a las amistades.</t>
  </si>
  <si>
    <t>Menchaca impulsa la transformación de la función notarial en Hidalgo</t>
  </si>
  <si>
    <t>El día de hoy habrá sesión en el Congreso en donde se analizarán diversas iniciativas.</t>
  </si>
  <si>
    <t>Congreso</t>
  </si>
  <si>
    <t>Trabajo legislativo</t>
  </si>
  <si>
    <t>Andrés Torres destaca que las unidades nuevas del Tuzobús son de la marca Mercedes Benz y se ha elegido esta marca por su durabilidad y buena operación. Las unidades cuentan con nueva cromática y su entrega se retrasó un poco por temas de la aduana.</t>
  </si>
  <si>
    <t>El gobernador postea en sus redes sociales: ¡38 NUEVAS UNIDADES ALIMENTADORAS! Están listas para ampliar la cobertura y mejorar el servicio de transporte por el mismo costo del pasaje. Seguimos avanzando con estas nuevas unidades por la transformación y la movilidad.</t>
  </si>
  <si>
    <t>Se llevó a cabo la Reunión del Gabinete de Seguridad y en sus redes sociales el gobernador posteó: El gobernador Julio Menchaca encabezó la reunión mensual de gabinete, donde junto al secretario Alejandro Velázquez y el secretario técnico Enrique López, se abordaron temas prioritarios y se dio seguimiento a las acciones en favor de la ciudadanía. Trabajo coordinado para avanzar con resultados para avanzar con resultados. Esta reunión semanal es organizada por la Secretaría del Despacho del gobernador Julio Menchaca. También el gobernador posteó: Definimos acciones para el fortalecimiento y ampliar sus beneficios en favor de las familias hidalguenses.</t>
  </si>
  <si>
    <t>Andrés Torres informa que se quemó el transformador y no tienen electricidad, por lo que la señal del 1010 AM de El Vocero Huasteco está fuera del aire, pero sí se escuchan en 92.7 FM. Se está trabajando para resolver la situación a más de tres semanas de sucedido esto..</t>
  </si>
  <si>
    <t>Andrés Torres hace un reconocimiento a la Secretaría de Obras Públicas por la buena logística que se tiene en la obra del bulevar Santa Catarían, pues contra todos los pronósticos, el tráfico ha fluido muy bien en este lugar.</t>
  </si>
  <si>
    <t>Durante un recorrido por la terminal Téllez del Tuzobús, la titular de la Secretaría de Movilidad y Transporte (Semoth), Lyzbeth Robles Gutiérrez, informó que ya se cuenta con 38 nuevas unidades destinadas a fortalecer las rutas alimentadoras del sistema, cada una con capacidad para 50 personas usuarias. Las unidades incorporadas cuentan con tecnología de monitoreo en tiempo real y sistemas de videovigilancia conectados al centro de control, lo que permitirá mejorar la seguridad y eficiencia en los traslados. La funcionaria destacó que, como parte de la estrategia para fortalecer este sistema de transporte , se llevará a cabo un rediseño de rutas con el objetivo de ampliar la cobertura hacia colonias y fraccionamientos que actualmente no cuentan con acceso al servicio, atendiendo así una de las principales demandas de la población. La renovación de la flota no implicará un incremento en la tarifa, la cual se mantendrá en 10 pesos como costo general y en cinco pesos para personas con discapacidad y adultas mayores con tarjeta preferente. Las nuevas unidades cumplen con la nrmativa ambiental Euro 6, lo que permite reducir significativamente las emisiones contaminantes y avanzar hacia un sistema de transporte más sustentable.</t>
  </si>
  <si>
    <t>La presidenta Claudia Sheinbaum informó que la Secretaría de Relaciones Exteriores (SRE) mandó una nota diplomática a Estados Unidos para indicar que lo enviado para sustentar la solicitud de detenciones provisionales con fines de extradición contra 10 personas, entre ellos el gobernador con licencia, Rubén Rocha, no constituyen una prueba.</t>
  </si>
  <si>
    <t>La titular de Cultura, Neyda Naranjo dijo que la creación del Museo de la Ciudad aún se encuentra en etapa preliminar y sin un monto de inversión definido, debido a que a que el proyecto depende de un diagnóstico técnico y legal que se realiza. Señaló que se requiere una evaluación profunda de las condiciones físicas del edificio y la regularización legal del mismo, para lo cual se trabaja en coordinación con el INAH.</t>
  </si>
  <si>
    <t>Museo de la Ciudad</t>
  </si>
  <si>
    <t>Fue publicado en el Periódico Oficial del Estado de Hidalgo, en su edición del 5 de mayo, el acuerdo con el que se autoriza el incremento en 20 por ciento a las tarifas de transporte público colectivo de pasajeros en la entidad. Sin embargo, los concesionarios deberán hacer la solicitud ante la Secretaría de Movilidad y Transporte del Estado de Hidalgo (Semoth), la solicitud para aplicar el ajuste a su respectiva tarifa. El numeral quinto del acuerdo señala que: “Las personas concesionarias del servicio de transporte público, en la modalidad de colectivo, deberán iniciar el trámite correspondiente ante las unidades administrativas competentes del Sistema de Transporte Convencional de Hidalgo, a efecto de obtener el tarifario actualizado, de acuerdo con el municipio y la ruta autorizada, de conformidad con los respectivos montos determinados en el Anexo del dictamen técnico, siendo ambos parte integrante del presente Acuerdo”.</t>
  </si>
  <si>
    <t>En México se realizará hoy a las 11 de mañana el Primer Simulacro Nacional.</t>
  </si>
  <si>
    <t>Simulacro Sismo</t>
  </si>
  <si>
    <t>SSPH detiene a dos distribuidores de sustancias ilícitas en Actopan</t>
  </si>
  <si>
    <t>Combate Al Narcomenudeo</t>
  </si>
  <si>
    <t>Durante la noche de este lunes se registró una pelea múltiple en el fraccionamiento El Mio Cid, del municipio de Tizayuca, según reportes de las autoridades participaron al menos 15 personas. Los hechos se registraron sobre circuito pirules en inmediaciones de un depósito de cervezas, los involucrados se encontraban ingiriendo bebidas alcohólicas y tras una acalorada discusión comenzaron a agredirse a golpes y hasta con machetes. Tras recibir el reporte mediante el Cecopaz oficiales de seguridad ciudadana se trasladaron hasta el lugar de los hechos en coordinación con paramédicos de Protección Civil y Bomberos quienes trasladaron a uno de los afectados al HGZ Número 33 para su atención médica.</t>
  </si>
  <si>
    <t>Durante cateo por narcomenudeo, PGJEH detuvo a siete personas en posesión de narcóticos, armas de fuego y equipo táctico</t>
  </si>
  <si>
    <t>Agentes de la División de Investigación de la Procuraduría General de Justicia del Estado de Hidalgo (PGJEH), ejecutaron orden de aprehensión contra una persona identificada como A. F. A. G., a quien se le investiga por homicidio calificado en agravio de cuatro personas y homicidio calificado en grado de tentativa en agravio de una. Los hechos que se le imputan al probable responsable ocurrieron en mayo de 2022, cuando el ahora aprehendido en compañía de otra persona, dispararon armas de fuego contra las víctimas, en las inmediaciones del mercado 1 de mayo, de Pachuca. Personal de la PGJEH, inició las indagatorias y se allegó de datos de prueba con los que solicitó la orden de aprehensión contra A. F. A. G., misma que fue concedida y ejecutada este 4 de mayo por elementos de la Agencia de Investigación Criminal.</t>
  </si>
  <si>
    <t>Aprehensión</t>
  </si>
  <si>
    <t>El titular de la Secretaría de Infraestructura, Comunicaciones y Transportes (SICT) en Hidalgo, Pablo Olvera Sánchez, informó en conferencia de prensa que se destinarán 200 millones de pesos para concluir los trabajos de la nueva carretera Real del Monte-Huasca, como parte del programa de Construcción y Modernización de Carreteras Federales. En este presupuesto se considera la iluminación de dos túneles que quedaron en penumbras tras el robo de cable (El Mineral y Vicente Guerrero), este último considerado el segundo de mayor extensión en el país, con 700 metros lineales. En tanto, señaló que hace dos semanas fue repuesto el cable sustraído en el túnel Omitlán que cuenta con 435 metros lineales. Entre otras acciones, explicó, se incluyen trabajos de estabilización de taludes y medidas para la mitigación de impactos ambientales.</t>
  </si>
  <si>
    <t>Carretera Huasca</t>
  </si>
  <si>
    <t>El gobernador de Hidalgo, Julio Menchaca Salazar, informó que el proyecto del Centro Administrativo de Atención para el Pueblo (CASP), que se construye sobre en el bulevar Felipe Ángeles, presenta un avance superior al 50 por ciento, por lo que se prevé que la obra quede concluida en diciembre de este año y comience a operar en el primer trimestre de 2027. El gobernador adelantó que próximamente se anunciarán modificaciones en la zona del bulevar Felipe Ángeles para mejorar la movilidad y accesos al complejo administrativo. Indicó que ya se han sostenido acercamientos con el Tecnológico de Monterrey y que se recuperó un espacio detrás del Teletón para habilitar nuevas vialidades.</t>
  </si>
  <si>
    <t>Complejo Gubernamental</t>
  </si>
  <si>
    <t>Daniel Martínez comenta que el proyecto denominado Centro Administrativo y de Servicios para el Pueblo (CASP), con una inversión de 2, 771, 385, 214 pesos; poco menos de la tercera parte de lo que se destinó en principio para la rehabilitación de infraestructura social dañada por la vaguada monzónica, así como la reubicación de las casas afectadas. En este sentido, comenta que han existido críticas de que es un monto muy alto para la construcción de edificios y es un presupuesto que se pudo aplicar en obras y acciones. En su opinión, dice, que solo espera que la construcción de este edificio se rentable y se debe fortalecer el tema de la atención en los Centros Regionales Administrativos del estado, porque se tiene la sensación de que la inversión se está centralizando e Hidalgo también es la Huasteca, Valle del Mezquital, Valle de Tulancingo; etc. hace flat inversión también en los espacios descentralizados para atención de la población.</t>
  </si>
  <si>
    <t>El gobierno de Hidalgo aportará recursos para obras complementarias de vivienda, mientras que la federación se encargará de la reubicación de familias afectadas por la vaguada monzónica, informó María Esther Ramírez Vargas, secretaria de Hacienda estatal. La funcionaria indicó que hay una bolsa de 4 mil millones de pesos, aunque el monto específico para dicha infraestructura se definirá conforme a los expedientes técnicos. La proyección inicial para la reconstrucción de 28 municipios afectados fue por 8 mil 115 millones 506 mil 952 pesos; del total, el 71 por ciento lo aportará el Gobierno de México y el 29 por ciento restante la entidad hidalguense. Play Video La edificación de casas estará a cargo de la Secretaría de Desarrollo Agrario, Territorial y Urbano (Sedatu); sin embargo, Ramírez Vargas señaló que “aun cuando se trabaja de la mano con el gobierno federal”, también se invertirá dinero estatal. Del total estatal, 2 mil millones son economías que corresponden al año pasado y los 2 mil millones de pesos restantes fueron presupuestados para este ejercicio fiscal, explicó.</t>
  </si>
  <si>
    <t>Hacienda</t>
  </si>
  <si>
    <t>86 familias provenientes de diez localidades del municipio de San Bartolo Tutotepec, están identificadas para ser reubicadas, debido a los daños registradas en sus viviendas derivado de las torrenciales lluvias registradas en octubre del año pasado. Lo anterior fue informado por el alcalde Ubaldo González Vargas, señalando que ya se tienen identificados tres predios donde podrían construirse las nuevas viviendas, los cuales están siendo revisados por instancias federales y estatales para determinar su viabilidad. En las revisiones participan la Secretaría de Desarrollo Agrario, Territorial y Urbano y la Secretaría de Vivienda, entre otras dependencias, cuyos representantes ya realizaron recorridos y censos familia por familia para verificar daños, recabar documentación y confirmar quiénes están dispuestos a ser reubicados. El alcalde reconoció que, al tratarse de un proyecto con financiamiento federal y estatal, aún no se tiene precisión sobre los montos de inversión ni sobre los tiempos exactos de ejecución. Sin embargo, existe la posibilidad de que la construcción de las viviendas inicie en el transcurso de este año, una vez que se concluyan los estudios de viabilidad de los predios.</t>
  </si>
  <si>
    <t>Reubicación de viviendas</t>
  </si>
  <si>
    <t>La Secretaría del Bienestar federal seleccionó para este año a mil 438 comunidades indígenas de Hidalgo que serán beneficiarias del programa FAISPIAM, cantidad que redujo ligeramente en comparación con las mil 441 localidades que recibieron recursos de ese fondo federal durante 2025. Recientemente la dependencia federal publicó el acuerdo para dar a conocer las variables y fuentes de información disponibles para la aplicación de la fórmula de distribución del Fondo de Aportaciones para la Infraestructura Social de los Pueblos y Comunidades Indígenas y Afromexicanas (FAISPIAM) del ejercicio 2026. En todo el país el monto total asignado al componente FAISPIAM para las comunidades indígenas asciende a 13 mil 506 millones 70 mil 241 pesos; sin embargo la dependencia federal no precisó el recurso que le corresponde a cada estado. Al respecto, el delegado de Programas para el Bienestar en Hidalgo, Abraham Mendoza Zenteno indicó que próximamente darán a conocer la cantidad total que llegará a la entidad derivado de ese fondo federal y el nombre de las comunidades beneficiadas. Mientras tanto, están terminando de planear la programación de las asambleas en las comunidades indígenas las cuales se llevarán a cabo durante mayo y parte de la primera semana de junio, dijo.</t>
  </si>
  <si>
    <t>Programas Del Bienestar</t>
  </si>
  <si>
    <t>En Cabina Verónica Domínguez relata que el 10 de mayo se cumple un año sin ver a su hija derivado de que su ex pareja se llevó a la niña a Nuevo León y ha obstruido el vínculo parental. Acusa que en Pachuca su ex pareja trabajaba como servidor público y esto le facilitó hacer uso de influencias y lo sigue haciendo ahora en Escobedo, Nuevo León. Asevera que en Hidalgo las autoridades se lavaron las manos. "La jueza del Primero de los Familiar Beatriz Nieto Beltrán Velázquez, se lavó las manos y por solicitud del padre de su hija remitió el expediente a Nuevo León aún viendo muchas inconsistencias en el caso." asegura seguirá luchando por su hija.</t>
  </si>
  <si>
    <t>ITESA impulsa economía social con participación en red estatal NODESS</t>
  </si>
  <si>
    <t>Economía social</t>
  </si>
  <si>
    <t>Radioescucha: dos semanas que no sube el agua a los tinacos en la zona de Caltengo.</t>
  </si>
  <si>
    <t>Vía telefónica el reporte de Bombero y Protección Civil con Abner Yáñez informa que se atendieron incendios de pasto seco y basura, entre otras emergencias reportadas por la ciudadanía. Asimismo se atendieron dos incendios forestales.</t>
  </si>
  <si>
    <t>Limpieza de afluentes y mantenimiento de vasos de agua, sobre todo represas ubicadas en la zona alta de Santiago Tulantepec, son las recomendaciones realizadas por personal de la Comisión Nacional del Agua (Conagua) delegación Hidalgo. Edmundo Hernández Chimal, director municipal de Bomberos y Protección Civil, acompañó a los representantes de la instancia federal en el recorrido realizado hace unos días en distintos puntos del municipio. En la zona de Altepemila, se recomendó hacer deshierbe en las dos represas así como en los canales para riego agrícola con objetivo de evitar posibles anegamientos e incluso inundaciones durante la temporada de lluvias. Para la represa ubicada en Las Marianas, ubicada en los límites con el municipio de Singuilucan, se recomendó desenzolvar y también deshierbar el dren, pues no tiene vertedor, sólo un tubo por el cual se desfoga el agua. En la localidad de Sangre de Cristo, durante la anterior administración municipal se colocó una costalera para prevenir anegamientos por desborde de las aguas de las dos represas existentes, además de trazar el cauce de ambos vaso de agua.</t>
  </si>
  <si>
    <t>Desazolve</t>
  </si>
  <si>
    <t>Durante la primera quincena de verificaciones en tianguis, plazas y puestos con manejo de alimentos, el Gobierno Municipal de Tulancingo reporta un balance positivo, reflejo de avances significativos en la aplicación de medidas obligatorias en materia de seguridad y protección civil. Actualmente, los tianguis del PST, del jueves, Solidaridad, Paraíso, Napateco y Vicente Guerrero cuentan con extintores y aplican la colocación de barreras físicas alrededor de cocinas, estufas y comales; además, en cumplimiento de la normativa vigente, únicamente utilizan tanques de gas de 10 kilogramos. En materia de capacitación, los tianguistas del PST y del tradicional tianguis del jueves recibieron formación teórico-práctica por parte de la Dirección de Protección Civil, enfocada en el manejo adecuado de extintores. En espacios como el tianguis Solidaridad, se ha contado con la presencia de personal de Protección Civil del Estado de Hidalgo, lo que ha permitido ampliar los alcances de las inspecciones y fortalecer los resultados obtenidos.</t>
  </si>
  <si>
    <t>Prevención De Riesgos</t>
  </si>
  <si>
    <t>Debido a las altas temperaturas, en lo que va del año en Hidalgo ya se reportó el primer caso de golpe de calor y correspondió a un paciente de 75 años. En el corte de la semana 15 se tienen identificados 44 casos de deshidratación. La Secretaría de Salud de Hidalgo (SSH) dio a conocer que en abril se registró un caso de golpe de calor en un hombre originario del municipio de Emiliano de Zapata, ya que los días 9 y 11 del mes pasado la temperatura máxima fue de 37 grados. Detalló que es el único caso en este 2026. Por otra parte, la Dirección General de Epidemiología (DGE) de la Secretaría de Salud federal reveló que de enero hasta la primera quincena de abril en Hidalgo se registraron 44 casos de deshidratación, cifra que incrementó en comparación con 13 pacientes reportados el mismo periodo del 2025. Del total de casos de deshidratación en el estado, 22 son de pacientes mujeres y 22 de hombres, además la dependencia federal reportó dos casos de quemaduras solares, una mujer y un hombre.</t>
  </si>
  <si>
    <t>Golpe de calor</t>
  </si>
  <si>
    <t>El 85 por ciento de agresores sexuales hacia infancias y adolescencias se encuentran en el entorno familiar o son personas de confianza, señalan estudios realizados sobre seguridad a dicho grupo de población. El dato fue otorgado por Abigail de la Cruz, presidenta de Fundación Naho, que se encarga de la prevención y atención a la violencia sexual. Por lo cual señaló que es importante fortalecer la comunicación y con ello la confianza entre los integrantes de la familia y con ello disminuir la posibilidad de que se registren casos de agresiones sexuales. Para ello, entre otras acciones, la fundación ha realizado entre octubre del año pasado y marzo de este, 15 talleres y conversatorios para dar a conocer las señales de alerta sobre dichas agresiones. En total se ha impactado a 12 mil 970 personas, entre estudiantes, madres, padres de familia y tutores, así como a educadores, administrativos y personal de apoyo de las comunidades educativas atendidas. De la Cruz señaló que en dichas actividades se han tocado temas como la prevención del abuso sexual infantil, educación sexual y el conocimiento, así como las señales de alerta para atender el tema. También se tocan temas como el grooming y los riesgos digitales, así como el uso seguro de la internet y las redes sociales.</t>
  </si>
  <si>
    <t>Abuso Sexual</t>
  </si>
  <si>
    <t>TV Cable hidalguense Canal 6</t>
  </si>
  <si>
    <t>Contigo Noticias</t>
  </si>
  <si>
    <t>En el medallero general de la olimpiada nacional CONADE 2026 con corte al 2 de mayo, donde el estado de Jalisco se mantiene en primer lugar con un total de 361 medallas, seguido de Nuevo León en segundo con 191, Aguascalientes se posiciona en tercer lugar con 62 medallas en total, Baja California Sur con 61 y Yucatán en quinto con 41, encima del estado de México, porque tiene más medallas de oro y plata, mientras que el estado de Hidalgo ocupa el lugar número 13.</t>
  </si>
  <si>
    <t>Nacionales Conade</t>
  </si>
  <si>
    <t>El Servicio Meteorológico nacional informa de una ola de calor en tod el país, por lo que pide a la población tomar precauciones.</t>
  </si>
  <si>
    <t>Hidalgo avanza a la final del Mundialito de Conocimientos sobre los Derechos de Niñas, Niños y Adolescentes</t>
  </si>
  <si>
    <t>Mundial De Futbol</t>
  </si>
  <si>
    <t>CEDSPI continúa con macrojornadas para fortalecer la salud visual de quienes más lo necesitan</t>
  </si>
  <si>
    <t>La riqueza de Hidalgo alegrará la CDMX</t>
  </si>
  <si>
    <t>Sebiso atiende comunidades de difícil acceso</t>
  </si>
  <si>
    <t>el gobernador Julio Menchaca publicó en sus redes sociales: Me reuní con las y los titulares de las secretarías para revisar y dar seguimiento a los avances de los proyectos que están transformando Hidalgo. Definimos acciones para fortalecerlos y ampliar sus beneficios en favor de las familias hidalguenses. Juan Carlos Santamaría: Se trata de esta reunión que mensualmente el mandatario estatal sostiene con su gabinete para evaluar las acciones desarrolladas hasta el momento y por supuesto hacer planteamientos hacia adelante.</t>
  </si>
  <si>
    <t>Con plataforma única, en Hidalgo arrancan declaraciones patrimoniales 2026</t>
  </si>
  <si>
    <t>Refuerza Secretaría de Salud coordinación interinstitucional para mejorar atención médica en Hidalgo</t>
  </si>
  <si>
    <t>Coordinación Interinstitucional</t>
  </si>
  <si>
    <t>El Oficial Mayor del Gobierno de Hidalgo, Edgar Orlando Ángeles, informó que el Club Pachuca cubre una renta a la actual administración por los espacios que ocupan el Parque Cultural Hidalguense, como lo son el Museo del Mundo Fútbol, el Salón de la Fama y una pantalla, así como el Estadio Miguel Hidalgo, el cual cubre una renta de entre 140 mil y 160 mil pesos mensuales, lo que representa casi 2000000 de pesos al año.</t>
  </si>
  <si>
    <t>Club Pachuca</t>
  </si>
  <si>
    <t>TSJEH</t>
  </si>
  <si>
    <t>Influyentismo</t>
  </si>
  <si>
    <t>Más de 37 millones de personas participaron en el Primer Simulacro Nacional 2026 en México el 6 de mayo, marcando una participación histórica en el 40 aniversario de Protección Civil. El ejercicio, realizado a las 11:00 horas, involucró 167 mil 810 inmuebles en 2,421 municipios bajo diversas hipótesis de riesgo, incluyendo un sismo de magnitud 8.2.</t>
  </si>
  <si>
    <t>Tener un terreno “en regla” sigue siendo un pendiente para muchas familias, y en Tulancingo ya se están moviendo para cambiar esa realidad. A través de la Dirección de Ordenamiento Territorial y Agrario (DOTA), el gobierno municipal ha puesto en marcha un trabajo que combina asesoría gratuita, coordinación con otras dependencias y prevención de conflictos, con el objetivo de reducir la informalidad en asentamientos. En lo que va de la actual administración, decenas de familias han recibido apoyo para regularizar sus predios en zonas como El Paraíso, Zapotlán de Allende y Mimila. Los resultados ya se empiezan a notar: se han entregado 127 títulos de propiedad y 37 escrituras en colonias como El Paraíso, Paraíso Norte, Ahuehuetitla e Industrial. La estrategia no va sola. De acuerdo con la alcaldesa, se trabaja de la mano con instancias estatales y federales para ampliar el alcance. Por ejemplo, se proyecta la entrega de cerca de 400 escrituras en el Ejido El Paraíso, además de avances en la regularización de nueve polígonos más en coordinación con autoridades federales. Esto abriría la puerta para que colonias como Lomas del Pedregal, Las Américas y Ahuehuetitla accedan por primera vez a la certeza jurídica de su patrimonio, un paso clave para poder heredar, vender o invertir sin riesgos legales. Al mismo tiempo, el municipio ha reforzado campañas para alertar sobre fraudes en la venta de terrenos irregulares, un problema que suele afectar a quienes buscan comprar patrimonio a bajo costo. La apuesta, aseguran autoridades, es clara: que más familias pasen de la incertidumbre a tener documentos en regla y tranquilidad sobre su patrimonio.</t>
  </si>
  <si>
    <t>Certeza jurídica</t>
  </si>
  <si>
    <t>Respecto a la nota del aumento tarifa de transporte, Jesús Riveros e Irving Sánchez hacen llamado a los operadores del transporte ya que, en ocasiones son groseros, no manejan con responsabilidad, conducen con música todo volumen, además de que no respetan el pago a personas de la tercera edad, sobre todo en las rutas de Tulancingo-Cuautepec, aunado a lo anterior, la mayoría de las unidades están en mal estado. Derivado de los anterior comparten los números de teléfono para que las y los ciudadanos puedan emitir sus quejas correspondientes.</t>
  </si>
  <si>
    <t>A partir de este miércoles, entra en vigor la actualización de las tarifas para la prestación del servicio público de transporte de pasajeros en su modalidad colectiva en Hidalgo. La medida cobró validez tras ser publicado el acuerdo correspondiente ayer 5 de mayo de 2026 en el Periódico Oficial del Estado de Hidalgo. Entre las obligaciones previstas en los artículos los concesionarios del transporte público en Hidalgo están obligados a tener sus tarifarios actualizados y visibles en las unidades, conforme a las disposiciones de la Secretaría de Movilidad y Transporte de Hidalgo (Semoth) y el Sistema de Transporte Convencional de Hidalgo.</t>
  </si>
  <si>
    <t>Este 5 de mayo, cerca de 350 jóvenes hidalguenses, residentes de la zona metropolitana de Pachuca, se incorporaron al Servicio Militar Nacional y rindieron protesta en la 18 Zona Militar. Se les informó de las acciones que llevarán a cabo durante el año de servicio que prestarán al país. En el día en que se rememora la Batalla de Puebla, los nacidos entre 2007 y 2008 presentaron su documentación para el inicio de la prestación del servicio y adiestramiento básico que deben realizar de manera obligatoria los varones; mientras que para las mujeres es opcional.</t>
  </si>
  <si>
    <t>Servicio militar</t>
  </si>
  <si>
    <t>Gobierno de Hidalgo participa en el Primer Simulacro Nacional 2026</t>
  </si>
  <si>
    <t>Economía Creativa</t>
  </si>
  <si>
    <t>El más reciente reporte del Servicio Nacional de Sanidad, Inocuidad y Calidad Agroalimentaria sobre el gusano barrenador, encendió alertas en el Valle del Mezquital al ubicar casos en los municipios de Cardonal e Ixmiquilpan, en cada unas de las demarcaciones se registra un caso. El gobierno municipal en Cardonal emitió un comunicado en el que menciona la existencia de posibles casos en la demarcación, por lo que llamó a la implementación de estrategias y medidas sanitarias en mascotas y ganado. Mientras que, en Ixmiquilpan, las autoridades locales no han emitido postura alguna ni han proporcionado datos sobre el caso referido en el reporte, manteniendo en incertidumbre a la ciudadanía La plaga del gusano barrenador puede generar afectaciones graves, principalmente en el ganado, si no se atiende de manera oportuna y con protocolos adecuados.</t>
  </si>
  <si>
    <t>Gusano barrenador</t>
  </si>
  <si>
    <t>Durante cateo por narcomenudeo, PGJEH detuvo a siete personas en posesión de narcóticos, armas de fuego y equipo táctico.</t>
  </si>
  <si>
    <t>Policía Estatal detiene a responsables de asalto a comercio en Tizayuca.</t>
  </si>
  <si>
    <t>El Congreso del Estado de Hidalgo participa activamente en los Simulacros Nacionales, incluyendo la edición del 6 de mayo de 2026, con hipótesis de sismo de magnitud 8.2. Estas acciones fortalecen la cultura de protección civil, evacuando ordenadamente a personal y visitantes para prevenir riesgos, con la activación de brigadas internas y alerta sísmica. (AUDIO AVV).</t>
  </si>
  <si>
    <t>Respecto al boletín de Contraloría sobre el “Buzón Digital” locutor David Cárdenas comentó que es una medida muy buena, porque si bien es cierto que, cuando uno no está de acuerdo con el servicio que recibe, hay que hacer una llamada, hay que hacer la observación, pero, cuando nos brindan el servicio que estamos esperando y consideramos que se está realizando adecuadamente, también es justo hacer el reconocimiento a la labor que se realiza. Muchas veces se señala (es su trabajo) pero siempre habrá un gran estímulo cuando reconocemos el trabajo que están haciendo los demás en nuestro favor, es bueno saber que ha un teléfono de ida, pero también de regreso.</t>
  </si>
  <si>
    <t>Buzón digital</t>
  </si>
  <si>
    <t>Buzón digital fortalece la participación social y la transparencia</t>
  </si>
  <si>
    <t>Más cobertura y mejor servicio: Tuzobús se fortalece sin afectar el bolsillo de las familias.</t>
  </si>
  <si>
    <t>Locutor Jesús Riveros da lectura a comentario de radioescuchas que se pronuncian sobre el aumento de tarifa al transporte público, piden que ojalá con este aumento, se mejoren las condiciones de las unidades, el trato de los choferes y se contraten choferes responsables y educados.</t>
  </si>
  <si>
    <t>Entrevista vía telefónica Apolinar Ávila González, representante y dirigente de la Unión de Transportistas Metropolitanos del Estado de Hidalgo - Habló sobre el aumento a la tarifa de transporte público, mismo que ya fue publicado en el POEH, por lo que, será responsabilidad de los concesionarios realizar el trámite de las nuevas tarifas, además de que trabajarán en los compromisos establecidos con la Semot.</t>
  </si>
  <si>
    <t>Columna a media semana “El hombre es su palabra” decía el maestro de la oratoria, José Muñoz Cota; Y si alguien supo hacer de la palabra el instrumento para destacar su figura, fue el hidalguense Augusto Ponce Coronado, abogado y doctor en Ciencia Política; sus amigos y conocidos más cercanos lo llamaban cariñosamente “El socio”, pero la mayoría de quienes lo conocieron se referían a él como maestro, por sus destacadísimas virtudes como orador, cualidad que le mereció reconocimiento y respeto durante su vida que lamentablemente se apagó este martes, no así, su ejemplo y recuerdo como sobresaliente servidor público. Descanse en Paz don Augusto.</t>
  </si>
  <si>
    <t>Condolencias</t>
  </si>
  <si>
    <t>Joel Sánchez</t>
  </si>
  <si>
    <t>Columna a media semana - Aunque pasó casi inadvertida, en la Comision de Derechos Humanos del Estado de Hidalgo, se suscitó la destitución de Briseida Eugenia Martínez Rosales como titular de la Visitaduría General del organismo, designándose en su lugar a Enrique de Jesús Pérez Garnica; pero no es un movimiento cualquiera, sino que surge a dos semanas de que la activista Pamela Alvasanto, denunció por medio de redes sociales, el haber recibido amenazas por parte de la ahora ex-funcionaria, persona que además fue señalada en diversas ocasiones por los trabajadores de la CDHEH, por el maltrato hacia a ellos, práctica que también se le atribuye a su presidenta Ana Karen Parra Bonilla. Qué descaro, que en vez de proteger los DDHH, terminen amenazando a quienes buscan su apoyo.</t>
  </si>
  <si>
    <t>CDHEH</t>
  </si>
  <si>
    <t>Destitución</t>
  </si>
  <si>
    <t>Columna a media semana - Quien no parece atinarle a la selección de los funcionarios que integran su equipo de trabajo, es el presidente municipal de Mineral de la Reforma, Eduardo Medécigo Rubio, pues hace unos días se dieron a conocer 5 movimientos y enroques en diversas dependencias de la administración pública; sobresale la designación de Pablo Jaramillo Alvarez como nuevo secretario general, pero no por su perfil, sino por ser el tercero en ocupar dicho cargo y eso que apenas va la mitad del periodo de gobierno; sustituye a Jesús Escamilla Baños que antes reemplazó a Abdón Suárez Alvarado. Con esto suman más de 12 cambios en el gabinete municipal, lo que es visto ya como signo de mucha inestabilidad interna.</t>
  </si>
  <si>
    <t>Columna a media semana - El gobierno municipal de Pachuca que preside el alcalde Jorge Alberto Reyes, descalificó las afirmaciones de un medio de comunicación de la CDMX, que divulgó un presunto desvío millonario en contratos de obra pública y servicios con recursos federales durante el 2024; de acuerdo al ayuntamiento, no hay ninguna observación o daño al erario en dicho ejercicio fiscal. De ser cierto es muy buena noticia para los pachuqueños, pero en especial para Jorge Reyes y su antecesor Sergio Baños Rubio que gobernó los primeros 8 meses de ese año, por lo que la aclaración llega en muy buen momento para frenar todo tipo de especulaciones.</t>
  </si>
  <si>
    <t>Desvío de recursos</t>
  </si>
  <si>
    <t>Columna a media semana - Durante la puesta en operación de 232 modernas patrullas y la entrega de equipamiento táctico para servicio de los hidalguenses, el secretario de Seguridad Pública del estado, Salvador Cruz Neri, rindió un breve informe de labores de su gestión, como si se estuviese despidiendo. Según él se han recuperado 6 millones 548 mil 364 litros de combustible robado y detenido a 347 personas relacionadas; también habló de la recuperación de cientos de vehículos y- el decomiso de miles de dosis de drogas; Y aunque todo suena bien, presumió que en coordinación con otras instancias de los 3 órdenes de gobierno, han asegurado a 5 mil 465 individuos vinculados a diversos ilícitos, lo cual suena extraño y a cuentas alegres, porque si fuera cierto, la población penitenciaria estaría casi al doble.</t>
  </si>
  <si>
    <t>Transforma SIPDUS camino rural en vialidad pavimentada en localidad de Francisco I. Madero</t>
  </si>
  <si>
    <t>Pavimentación</t>
  </si>
  <si>
    <t>Narcolaboratorio</t>
  </si>
  <si>
    <t>Entrevista 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diferentes regiones del Estado. Dicho evento, contará con la participación de representantes de 50 municipios. “Hidalgo llegará a Los Pinos para compartir lo que somos, nuestra cultura viva, diversa y orgullosa que transforma desde nuestras raíces”, expresó.</t>
  </si>
  <si>
    <t>A partir de este miércoles, entra en vigor la actualización de las tarifas para la prestación del servicio público de transporte de pasajeros en su modalidad colectiva en Hidalgo. La medida cobró validez tras ser publicado el acuerdo correspondiente ayer 5 de mayo de 2026 en el Periódico Oficial del Estado de Hidalgo. El acuerdo publicado en el POEH señala a las personas concesionarias y conductoras del servicio de transporte público en la modalidad de colectivo que deberán cumplir estrictamente con las obligaciones establecidas en la Ley de Movilidad y Transporte para el Estado de Hidalgo y su Reglamento, así como en los términos y condiciones bajo los cuales les fueron otorgadas las concesiones. Entre las obligaciones previstas en los artículos 151 y 152 de la citada ley, destaca la exigencia de realizar mantenimiento preventivo y correctivo a los vehículos para garantizar condiciones físico-mecánicas óptimas que aseguren la integridad de los usuarios. Asimismo, tanto concesionarios como conductores están obligados a asistir a programas de capacitación y profesionalización para brindar un trato digno y respetuoso a la ciudadanía.</t>
  </si>
  <si>
    <t>Senado de la República autorizó el ingreso temporal de personal militar de Estados Unidos para participar en labores de adiestramiento en territorio mexicano, incluyendo el estado de Hidalgo. La aprobación solicitada por la presidenta Claudia Sheinbaum fue respaldada por mayoría legislativa con 105 votos a favor y 3 en contra. El despliegue se va a desarrollar durante un periodo de 77 días, entre agosto y octubre, y va a abarcar actividades en Hidalgo, así como en los estados de Campeche y Estado de México.</t>
  </si>
  <si>
    <t>Adiestramiento militar</t>
  </si>
  <si>
    <t>Entrevista grabada subsecretario de Protección Civil en el Estado de Hidalgo, Román Bernal Díaz, quien habló sobre las temperaturas de hasta 40 y 45 grados em la Huasteca, hizo hincapié en las recomendaciones para evitar sufrir de un golpe de calor o de deshidratación, AUDIO APOYO</t>
  </si>
  <si>
    <t>Entrevista grabada subsecretario de Protección Civil en el Estado de Hidalgo, Román Bernal Díaz, quien habló sobre las temperaturas de hasta 40 y 45 grados. ¿Cuál es el nivel de riesgo actual para la población? Bueno, en relación a las temperaturas, el nivel de riesgos, estar expuestos durante largos periodos de tiempo a los rayos del sol. Esto nos puede provocar afectaciones en la salud directamente. Podría ser un golpe de calor, una deshidratación o quemaduras en la piel. ¿Qué zonas del Estado están en mayor alerta por justamente golpe de calor? Sí, miren, las temperaturas máximas que se van a registrar el día de hoy es en la zona de la Huasteca. Vamos a tener temperaturas que van a oscilar de 35, 40, incluso hasta 45 grados en algunos puntos.</t>
  </si>
  <si>
    <t>Radioescucha reporta que ayer tomó un taxi a las 9 de la noche y le cobró $80.00 pesos de Plaza Bella a la Aquiles; no son ni 2 kilómetros.</t>
  </si>
  <si>
    <t>Alteración tarifa de transporte</t>
  </si>
  <si>
    <t>Eulalio Larrieta agradece a Carlos Gamiño por estar al pendiente de temas</t>
  </si>
  <si>
    <t>A partir de este 6 de mayo, entró en vigor el ajuste a las tarifas del transporte público en Hidalgo, luego de su publicación oficial en el periódico oficial del estado de Hidalgo. La medida, anunciada previamente por la Secretaría de Movilidad y Transporte, aplica para las mil doscientas setenta y dos rutas que operan en la entidad bajo la modalidad de servicio colectivo.De acuerdo con el decreto, el incremento en el costo del pasaje varía según el tipo de recorrido y servicio, con ajustes que van desde los dos hasta los veinticuatro pesos. La actualización tarifaria se implementa apenas dos días después de su anuncio, formalizando así un cambio que impacta directamente en la movilidad diaria de miles de usuarios en el estado, AUDIO APOYO</t>
  </si>
  <si>
    <t>Hablando del aumento a la tarifa del transporte público, ya se hizo el ajuste, Aún no se ha publicado en el periódico oficial del estado y no ha entrado en vigor; de hecho, usted se enteró, aquí, en Enfoque Regional, de este ajuste, ya está definido, vienen dos cambios importantes, el aumento del veinte por ciento, y un esquema de tarifas escalonadas. Aún no se ha publicado en el periódico oficial del estado y no ha entrado en vigor. Esto significa que el costo del pasaje ya no será igual para todos, sino que dependerá de la distancia recorrida, principalmente en rutas colectivas que operan en Pachuca, Mineral de la Reforma, Zempoala, y municipios cercanos, también estamos hablando, por ejemplo, municipios como Tecozautla, Cardonal, también de la Sierra Baja, que de la Sierra Alta, que tienen diferentes tarifas de acuerdo a los recorridos que se realizan, por eso, este esquema de tarifas escalonadas. El aumento busca, dijo el gobernador Julio Menchaca Salazar, mejorar la calidad del servicio. Se buscó el equilibrio, había, ya fueron varios años que no había un aumento, este, se analizaron las solicitudes de los transportistas, pero también la economía de los usuarios.Ya se anunció, pero aún no ha sido publicado en el periódico oficial del gobierno del estado. Es decir, aún no se puede aplicar este aumento hasta que sea publicado en el periódico. Porque ya algunos choferes, algunos concesionarios, ya se adelantaron desde ayer.</t>
  </si>
  <si>
    <t>Policía Estatal detiene a responsables de asalto a comercio en Tizayuca</t>
  </si>
  <si>
    <t>En Atitalaquia, personal de la Agencia de Investigación Criminal de la Procuraduría General de Justicia del estado de Hidalgo, mediante cateo por narcomenudeo, detuvo a siete personas en posesión de armas de fuego, cartuchos útiles, equipo táctico, y sustancias con apariencia de estupefacientes. En las acciones ministeriales que se llevaron a cabo en la colonia Dendhóse aseguraron chalecos balísticos, vehículos, dos armas largas y dos armas cortas, las cuatro con cargadores abastecidos, además de chalecos balísticos y cartuchos útiles.Las personas detenidas y un adolescente de identidad reservada, pues ya fueron puestos a disposición de las autoridades correspondientes.</t>
  </si>
  <si>
    <t>En Atitalaquia, personal de la Agencia de Investigación Criminal de la Procuraduría General de Justicia del estado de Hidalgo, mediante cateo por narcomenudeo, detuvo a siete personas en posesión de armas de fuego, cartuchos útiles, equipo táctico, y sustancias con apariencia de estupefacientes. En las acciones ministeriales que se llevaron a cabo en la colonia Dendhóse aseguraron chalecos balísticos, vehículos, dos armas largas y dos armas cortas, las cuatro con cargadores abastecidos, además de chalecos balísticos y cartuchos útiles.Las personas detenidas y un adolescente de identidad reservada, pues ya fueron puestos a disposición de las autoridades correspondientes. Los indicios asegurados quedaron también a disposición del Ministerio Público. Las personas detenidas serán presentadas ante un juez de control para que, pues, se dicte una fecha de audiencia inicial y que se pueda dar la vinculación a proceso en cuanto continúen las investigaciones / PGJEH/Bol.034/2026</t>
  </si>
  <si>
    <t>Durante un evento encabezado por el gobernador Julio Menchaca Salazar, enfocado en el fortalecimiento de los servicios públicos, en coordinación con Pemex, se dio a conocer este importante anuncio. El representante de Pemex, Raúl Ojeda, informó que se contempla la entrega de maquinaria destinada a en la presa Endhó, una de las principales demandas en materia ambiental.</t>
  </si>
  <si>
    <t>"NN Nuestras Noticias ""El Resumen"""</t>
  </si>
  <si>
    <t>Tomás Sosa</t>
  </si>
  <si>
    <t>Radioescucha en Avenida de la Palma, la que inicia por la casa de la tercera edad; están varias coladeras del drenaje profundo; ya están en muy malas condiciones.</t>
  </si>
  <si>
    <t>Drenaje</t>
  </si>
  <si>
    <t>Familiares de Roberto N. se manifestaron en la Procuraduría de Hidalgo. Exigen justicia y la detención del presunto responsable de su muerte. La protesta surge ante la nula captura del presunto homicida, plenamente identificado como Alexis, quien el pasado 28 de febrero terminó con la vida de José Roberto tras una disputa en un bar en Tlanalapa. AUDIO APOYO.Jonathan Valdez, titular de la Unidad Especializada en Investigación de Homicidios, confirma la existencia de una orden de aprehensión vigente. En la práctica, el presunto asesino continúa evadiendo la acción de la ley</t>
  </si>
  <si>
    <t>Exigen esclarecer homicidio</t>
  </si>
  <si>
    <t>Presidentas y presidentes municipales de Hidalgo expresaron su agradecimiento al gobierno estatal por la entrega de patrullas y equipo táctico destinados a reforzar las labores de seguridad pública en sus demarcaciones. Señalaron que estos recursos permitirán mejorar la capacidad de respuesta de las corporaciones policiales, así como fortalecer la vigilancia y prevención del delito en colonias y comunidades.Los ediles coincidieron en que el trabajo coordinado entre los tres órdenes de gobierno es clave para garantizar la tranquilidad de la población, por lo que destacaron la importancia de continuar impulsando acciones conjuntas en materia de seguridad. Es de verdad que muy fortalecido, agradezco mucho a nuestro amigo el gobernador Julio Menchaca por todo el apoyo que les tengo. La verdad que ha sido una situación compleja, pero no difícil. AUDIO DE APOYO</t>
  </si>
  <si>
    <t>El Gobierno Municipal de Mineral de la Reforma precisó que la intervención en un domicilio particular derivó de una denuncia ante la Unidad Especializada en la Investigación de Delitos Contra los Animales de la Procuraduría General de Justicia del Estado de Hidalgo. El operativo, realizado en apoyo a la autoridad ministerial, contó con la participación de la Secretaría de Seguridad Ciudadana, la Dirección K9 y especialistas del Hospital con Garra para verificar el bienestar animal.Durante la inspección, el personal fue atendido por Juan “N”, quien se identificó como tutor de los caninos; en el sitio se detectó el hacinamiento de aproximadamente 20 animales en un área de apenas 15 a 20 metros cuadrados. Ante el hallazgo de estas condiciones de resguardo y salud, se notificó al responsable que sería citado para dar seguimiento al procedimiento legal correspondiente en la carpeta de investigación.</t>
  </si>
  <si>
    <t>Maltrato animal</t>
  </si>
  <si>
    <t>Más cobertura y mejor servicio: Tuzobús se fortalece sin afectar el bolsillo de las familias, AUDIO APOYO</t>
  </si>
  <si>
    <t>Gina Lorenzo</t>
  </si>
  <si>
    <t>Habitantes de comunidades cercanas a la presa Endhó detuvieron los trabajos del tren México - Querétaro en el tramo correspondiente a Nopala de Villagrán. Alrededor de 250 pobladores se concentraron en la zona de San Sebastián para exigir una respuesta inmediata de autoridades federales, estatales y municipales ante las condiciones que aseguran afectan su salud y calidad de vida. El reclamo central gira en torno a la proliferación del mosco cúlex y la expansión de lirio acuático, AUDIO APOYO</t>
  </si>
  <si>
    <t>ENLACE CON RAQUEL LINARES DESDE MICHIMALOYA. Da cuenta que se reúnen los pobladores en el centro de la comunidad para manifestarse en el tema de la plaga mosco cúlex en presa Endhó-.Desde el centro de Michimaloya, Tula de Allende se dirigen a San Sebastián para bloquear los accesos a la construcción del Tren México-Querétaro. Es una manifestación de tiempo indefinido. Buscan que autoridades federales (Semarnat o Conagua) se presenten para cumplir las minutas de trabajo ya firmadas. Enfatizaron que no habrá bloqueos carreteros. En caso de ir al Arco Norte, la acción consistiría únicamente en el levantamiento de plumas en las casetas para permitir el paso libre.Alrededor de 40 personas de diversos municipios como Tula y Tepetitlán. Se espera que el contingente aumente conforme avance el día.</t>
  </si>
  <si>
    <t>Es entendible la situación que están viviendo estos pobladores, eh, platicando con ellos, comentan que ya a las cinco de la tarde, pues tienen que cerrar ventanas, puertas, eh, para evitar que los mosquitos entren a sus domicilios, y así tienen que estar adentro de sus casas, sin poder salir, pero también ya hay una respuesta por parte del gobierno federal, Félix Brambilla, de Conagua, anunció que se iba a iniciar ya con las fumigaciones, eh, ya se tiene un calendario, de hecho, de fumigación para estas comunidades, vamos a, o estamos ya, intentando tener comunicación con, por parte del gobierno federal, para que explique cómo será este plan de fumigación, y así combatir la presencia del mosco cúlex</t>
  </si>
  <si>
    <t>Hoy, pobladores de las comunidades que abarcan la presa Endhó, saldrán a manifestarse tras su hartazgo por la presencia del mosco cúlex, el aumento de este mosquito a causa del lirio acuático del embalse. No permitirán que sigan los trabajos del tren México – Querétaro. Además aducen que abrirán las casetas del Arco norte; que su manifestación es Pacífica pero que lamentan tener que hacerlo pues ya es insoportable la situación. Los pobladores se mantienen firmes en la convocatoria (7:00 a.m.) y advierten que no se detendrán hasta que el impacto de la plaga disminuya notablemente mediante acciones reales y no solo promesas en papel.AUDIO DE APOYO MANIFESTANTES</t>
  </si>
  <si>
    <t>La compañera Claudia Alcántara, tuvo oportunidad de conversar con el presidente municipal de Tula de Allende, Cristhian Martínez, acerca de la gira de trabajo que se está realizando en esta administración para hacer entrega de las obras públicas, también conocer las necesidades de los habitantes y eventos por motivo del 10 de Mayo, AUDIO APOYO</t>
  </si>
  <si>
    <t>Obras De Infraestructura</t>
  </si>
  <si>
    <t>Enlace Noticias</t>
  </si>
  <si>
    <t>Transforma SIPDUS camino rural en vialidad pavimentada en localidad de Francisco I. Madero.</t>
  </si>
  <si>
    <t>Radioescucha reporta a las urban que van para Pachuquilla - Piracantos pasan manejando a gran velocidad por Avenida Magisterio.</t>
  </si>
  <si>
    <t>En Hidalgo, el simulacro fue encabezado desde Palacio de Gobierno en Pachuca por el gobernador Julio Menchaca Salazar y coordinado por el subsecretario de protección civil Román Bernal Díaz, como parte de las acciones para fortalecer la cultura de prevención ante emergencias.AUDIO APOYO</t>
  </si>
  <si>
    <t>Este miércoles seis de mayo se llevó a cabo el primer simulacro nacional 2026 en todo el país bajo la hipótesis de un sismo de magnitud 8.2 con epicentro en la costa de Guerrero. El ejercicio incluyó la activación de alertas a través de altavoces y registró una amplia participación de la ciudadanía.</t>
  </si>
  <si>
    <t>Comento conductor Eulalio Larrieta que hoy miércoles 6 de mayo, a las 11:00 horas, el primer simulacro nacional del año</t>
  </si>
  <si>
    <t>Boletín 55: Destaca Hidalgo con turismo comunitario en el Tianguis de Acapulco</t>
  </si>
  <si>
    <t>Radioescucha reporta que el verificentro de Actopan no tenía caso de hacer la cita porque tardas más de 3 horas en el sol; me dijeron que la copia que llevaba no pasaba, y si las llevas, de todos modos te cobran; fue un caos.</t>
  </si>
  <si>
    <t>Verificentros</t>
  </si>
  <si>
    <t>La Procuraduría General de Justicia del Estado de Hidalgo informó que a través de la unidad especializada para la investigación de homicidios dolosos y narcomenudeo, se obtuvo la vinculación a proceso de una persona identificada con iniciales GVE por su probable responsabilidad en el delito de homicidio doloso agravado. Los hechos ocurrieron el pasado trece de abril de dos mil veintiséis, al interior de un domicilio ubicado en la colonia Antorchas, en el municipio de Tizayuca, donde una menor de un año de edad perdió la vida tras ser agredida. Derivado de las investigaciones, el Ministerio Público reunió los datos de pruebas necesarios para solicitar una orden de aprehensión, la cual fue cumplimentada por agentes de la División de Investigación. Ya en audiencia, la autoridad judicial determinó la vinculación a proceso de la imputada y dictó como medida cautelar la prisión preventiva oficiosa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</si>
</sst>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7" tableType="queryTable" totalsRowShown="0">
  <autoFilter ref="A1:M187"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7"/>
  <sheetViews>
    <sheetView tabSelected="1" topLeftCell="A157" workbookViewId="0">
      <selection activeCell="C187" sqref="C187"/>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52</v>
      </c>
      <c r="C1" t="s">
        <v>53</v>
      </c>
      <c r="D1" t="s">
        <v>54</v>
      </c>
      <c r="E1" t="s">
        <v>1</v>
      </c>
      <c r="F1" t="s">
        <v>2</v>
      </c>
      <c r="G1" t="s">
        <v>4</v>
      </c>
      <c r="H1" t="s">
        <v>3</v>
      </c>
      <c r="I1" t="s">
        <v>5</v>
      </c>
      <c r="J1" t="s">
        <v>55</v>
      </c>
      <c r="K1" t="s">
        <v>56</v>
      </c>
      <c r="L1" t="s">
        <v>57</v>
      </c>
      <c r="M1" t="s">
        <v>65</v>
      </c>
    </row>
    <row r="2" spans="1:13" x14ac:dyDescent="0.25">
      <c r="A2" s="1">
        <v>46148</v>
      </c>
      <c r="B2" s="1" t="str">
        <f ca="1">IF(Información1[[#This Row],[Fecha]]='Ajuste de fechas'!$A$2,"Día actual","Día anterior")</f>
        <v>Día actual</v>
      </c>
      <c r="C2" s="3" t="s">
        <v>39</v>
      </c>
      <c r="D2" t="s">
        <v>40</v>
      </c>
      <c r="E2" s="3" t="s">
        <v>184</v>
      </c>
      <c r="F2" s="3" t="s">
        <v>19</v>
      </c>
      <c r="G2" s="3" t="s">
        <v>185</v>
      </c>
      <c r="H2" s="3" t="s">
        <v>37</v>
      </c>
      <c r="I2" s="3" t="s">
        <v>7</v>
      </c>
      <c r="J2" s="3" t="s">
        <v>62</v>
      </c>
      <c r="K2" s="3" t="s">
        <v>28</v>
      </c>
      <c r="L2" s="3" t="s">
        <v>59</v>
      </c>
      <c r="M2">
        <v>6</v>
      </c>
    </row>
    <row r="3" spans="1:13" x14ac:dyDescent="0.25">
      <c r="A3" s="1">
        <v>46148</v>
      </c>
      <c r="B3" s="1" t="str">
        <f ca="1">IF(Información1[[#This Row],[Fecha]]='Ajuste de fechas'!$A$2,"Día actual","Día anterior")</f>
        <v>Día actual</v>
      </c>
      <c r="C3" s="3" t="s">
        <v>39</v>
      </c>
      <c r="D3" t="s">
        <v>40</v>
      </c>
      <c r="E3" s="3" t="s">
        <v>184</v>
      </c>
      <c r="F3" s="3" t="s">
        <v>15</v>
      </c>
      <c r="G3" s="3" t="s">
        <v>76</v>
      </c>
      <c r="H3" s="3" t="s">
        <v>37</v>
      </c>
      <c r="I3" s="3" t="s">
        <v>7</v>
      </c>
      <c r="J3" s="3" t="s">
        <v>58</v>
      </c>
      <c r="K3" s="3" t="s">
        <v>28</v>
      </c>
      <c r="L3" s="3" t="s">
        <v>59</v>
      </c>
      <c r="M3">
        <v>3</v>
      </c>
    </row>
    <row r="4" spans="1:13" x14ac:dyDescent="0.25">
      <c r="A4" s="1">
        <v>46148</v>
      </c>
      <c r="B4" s="1" t="str">
        <f ca="1">IF(Información1[[#This Row],[Fecha]]='Ajuste de fechas'!$A$2,"Día actual","Día anterior")</f>
        <v>Día actual</v>
      </c>
      <c r="C4" s="3" t="s">
        <v>39</v>
      </c>
      <c r="D4" t="s">
        <v>40</v>
      </c>
      <c r="E4" s="3" t="s">
        <v>186</v>
      </c>
      <c r="F4" s="3" t="s">
        <v>17</v>
      </c>
      <c r="G4" s="3" t="s">
        <v>84</v>
      </c>
      <c r="H4" s="3" t="s">
        <v>37</v>
      </c>
      <c r="I4" s="3" t="s">
        <v>12</v>
      </c>
      <c r="J4" s="3" t="s">
        <v>58</v>
      </c>
      <c r="K4" s="3" t="s">
        <v>28</v>
      </c>
      <c r="L4" s="3" t="s">
        <v>60</v>
      </c>
      <c r="M4">
        <v>3</v>
      </c>
    </row>
    <row r="5" spans="1:13" x14ac:dyDescent="0.25">
      <c r="A5" s="1">
        <v>46148</v>
      </c>
      <c r="B5" s="1" t="str">
        <f ca="1">IF(Información1[[#This Row],[Fecha]]='Ajuste de fechas'!$A$2,"Día actual","Día anterior")</f>
        <v>Día actual</v>
      </c>
      <c r="C5" s="3" t="s">
        <v>39</v>
      </c>
      <c r="D5" t="s">
        <v>40</v>
      </c>
      <c r="E5" s="3" t="s">
        <v>187</v>
      </c>
      <c r="F5" s="3" t="s">
        <v>166</v>
      </c>
      <c r="G5" s="3" t="s">
        <v>83</v>
      </c>
      <c r="H5" s="3" t="s">
        <v>37</v>
      </c>
      <c r="I5" s="3" t="s">
        <v>12</v>
      </c>
      <c r="J5" s="3" t="s">
        <v>58</v>
      </c>
      <c r="K5" s="3" t="s">
        <v>28</v>
      </c>
      <c r="L5" s="3" t="s">
        <v>60</v>
      </c>
      <c r="M5">
        <v>3</v>
      </c>
    </row>
    <row r="6" spans="1:13" x14ac:dyDescent="0.25">
      <c r="A6" s="1">
        <v>46148</v>
      </c>
      <c r="B6" s="1" t="str">
        <f ca="1">IF(Información1[[#This Row],[Fecha]]='Ajuste de fechas'!$A$2,"Día actual","Día anterior")</f>
        <v>Día actual</v>
      </c>
      <c r="C6" s="3" t="s">
        <v>39</v>
      </c>
      <c r="D6" t="s">
        <v>40</v>
      </c>
      <c r="E6" s="3" t="s">
        <v>188</v>
      </c>
      <c r="F6" s="3" t="s">
        <v>166</v>
      </c>
      <c r="G6" s="3" t="s">
        <v>83</v>
      </c>
      <c r="H6" s="3" t="s">
        <v>37</v>
      </c>
      <c r="I6" s="3" t="s">
        <v>7</v>
      </c>
      <c r="J6" s="3" t="s">
        <v>58</v>
      </c>
      <c r="K6" s="3" t="s">
        <v>28</v>
      </c>
      <c r="L6" s="3" t="s">
        <v>61</v>
      </c>
      <c r="M6">
        <v>3</v>
      </c>
    </row>
    <row r="7" spans="1:13" x14ac:dyDescent="0.25">
      <c r="A7" s="1">
        <v>46148</v>
      </c>
      <c r="B7" s="1" t="str">
        <f ca="1">IF(Información1[[#This Row],[Fecha]]='Ajuste de fechas'!$A$2,"Día actual","Día anterior")</f>
        <v>Día actual</v>
      </c>
      <c r="C7" s="3" t="s">
        <v>39</v>
      </c>
      <c r="D7" t="s">
        <v>40</v>
      </c>
      <c r="E7" s="3" t="s">
        <v>189</v>
      </c>
      <c r="F7" s="3" t="s">
        <v>190</v>
      </c>
      <c r="G7" s="3" t="s">
        <v>191</v>
      </c>
      <c r="H7" s="3" t="s">
        <v>37</v>
      </c>
      <c r="I7" s="3" t="s">
        <v>7</v>
      </c>
      <c r="J7" s="3" t="s">
        <v>25</v>
      </c>
      <c r="K7" s="3" t="s">
        <v>28</v>
      </c>
      <c r="L7" s="3" t="s">
        <v>59</v>
      </c>
      <c r="M7">
        <v>3</v>
      </c>
    </row>
    <row r="8" spans="1:13" x14ac:dyDescent="0.25">
      <c r="A8" s="1">
        <v>46148</v>
      </c>
      <c r="B8" s="1" t="str">
        <f ca="1">IF(Información1[[#This Row],[Fecha]]='Ajuste de fechas'!$A$2,"Día actual","Día anterior")</f>
        <v>Día actual</v>
      </c>
      <c r="C8" s="3" t="s">
        <v>39</v>
      </c>
      <c r="D8" t="s">
        <v>40</v>
      </c>
      <c r="E8" s="3" t="s">
        <v>192</v>
      </c>
      <c r="F8" s="3" t="s">
        <v>17</v>
      </c>
      <c r="G8" s="3" t="s">
        <v>84</v>
      </c>
      <c r="H8" s="3" t="s">
        <v>37</v>
      </c>
      <c r="I8" s="3" t="s">
        <v>7</v>
      </c>
      <c r="J8" s="3" t="s">
        <v>58</v>
      </c>
      <c r="K8" s="3" t="s">
        <v>28</v>
      </c>
      <c r="L8" s="3" t="s">
        <v>60</v>
      </c>
      <c r="M8">
        <v>3</v>
      </c>
    </row>
    <row r="9" spans="1:13" x14ac:dyDescent="0.25">
      <c r="A9" s="1">
        <v>46148</v>
      </c>
      <c r="B9" s="1" t="str">
        <f ca="1">IF(Información1[[#This Row],[Fecha]]='Ajuste de fechas'!$A$2,"Día actual","Día anterior")</f>
        <v>Día actual</v>
      </c>
      <c r="C9" s="3" t="s">
        <v>39</v>
      </c>
      <c r="D9" t="s">
        <v>40</v>
      </c>
      <c r="E9" s="3" t="s">
        <v>193</v>
      </c>
      <c r="F9" s="3" t="s">
        <v>27</v>
      </c>
      <c r="G9" s="3" t="s">
        <v>84</v>
      </c>
      <c r="H9" s="3" t="s">
        <v>37</v>
      </c>
      <c r="I9" s="3" t="s">
        <v>7</v>
      </c>
      <c r="J9" s="3" t="s">
        <v>58</v>
      </c>
      <c r="K9" s="3" t="s">
        <v>28</v>
      </c>
      <c r="L9" s="3" t="s">
        <v>59</v>
      </c>
      <c r="M9">
        <v>3</v>
      </c>
    </row>
    <row r="10" spans="1:13" x14ac:dyDescent="0.25">
      <c r="A10" s="1">
        <v>46148</v>
      </c>
      <c r="B10" s="1" t="str">
        <f ca="1">IF(Información1[[#This Row],[Fecha]]='Ajuste de fechas'!$A$2,"Día actual","Día anterior")</f>
        <v>Día actual</v>
      </c>
      <c r="C10" s="3" t="s">
        <v>39</v>
      </c>
      <c r="D10" t="s">
        <v>40</v>
      </c>
      <c r="E10" s="3" t="s">
        <v>194</v>
      </c>
      <c r="F10" s="3" t="s">
        <v>27</v>
      </c>
      <c r="G10" s="3" t="s">
        <v>120</v>
      </c>
      <c r="H10" s="3" t="s">
        <v>37</v>
      </c>
      <c r="I10" s="3" t="s">
        <v>7</v>
      </c>
      <c r="J10" s="3" t="s">
        <v>58</v>
      </c>
      <c r="K10" s="3" t="s">
        <v>28</v>
      </c>
      <c r="L10" s="3" t="s">
        <v>59</v>
      </c>
      <c r="M10">
        <v>3</v>
      </c>
    </row>
    <row r="11" spans="1:13" x14ac:dyDescent="0.25">
      <c r="A11" s="1">
        <v>46148</v>
      </c>
      <c r="B11" s="1" t="str">
        <f ca="1">IF(Información1[[#This Row],[Fecha]]='Ajuste de fechas'!$A$2,"Día actual","Día anterior")</f>
        <v>Día actual</v>
      </c>
      <c r="C11" s="3" t="s">
        <v>39</v>
      </c>
      <c r="D11" t="s">
        <v>40</v>
      </c>
      <c r="E11" s="3" t="s">
        <v>195</v>
      </c>
      <c r="F11" s="3" t="s">
        <v>15</v>
      </c>
      <c r="G11" s="3" t="s">
        <v>74</v>
      </c>
      <c r="H11" s="3" t="s">
        <v>37</v>
      </c>
      <c r="I11" s="3" t="s">
        <v>7</v>
      </c>
      <c r="J11" s="3" t="s">
        <v>58</v>
      </c>
      <c r="K11" s="3" t="s">
        <v>28</v>
      </c>
      <c r="L11" s="3" t="s">
        <v>59</v>
      </c>
      <c r="M11">
        <v>3</v>
      </c>
    </row>
    <row r="12" spans="1:13" x14ac:dyDescent="0.25">
      <c r="A12" s="1">
        <v>46148</v>
      </c>
      <c r="B12" s="1" t="str">
        <f ca="1">IF(Información1[[#This Row],[Fecha]]='Ajuste de fechas'!$A$2,"Día actual","Día anterior")</f>
        <v>Día actual</v>
      </c>
      <c r="C12" s="3" t="s">
        <v>39</v>
      </c>
      <c r="D12" t="s">
        <v>40</v>
      </c>
      <c r="E12" s="3" t="s">
        <v>196</v>
      </c>
      <c r="F12" s="3" t="s">
        <v>6</v>
      </c>
      <c r="G12" s="3" t="s">
        <v>85</v>
      </c>
      <c r="H12" s="3" t="s">
        <v>37</v>
      </c>
      <c r="I12" s="3" t="s">
        <v>12</v>
      </c>
      <c r="J12" s="3" t="s">
        <v>58</v>
      </c>
      <c r="K12" s="3" t="s">
        <v>28</v>
      </c>
      <c r="L12" s="3" t="s">
        <v>60</v>
      </c>
      <c r="M12">
        <v>3</v>
      </c>
    </row>
    <row r="13" spans="1:13" x14ac:dyDescent="0.25">
      <c r="A13" s="1">
        <v>46148</v>
      </c>
      <c r="B13" s="1" t="str">
        <f ca="1">IF(Información1[[#This Row],[Fecha]]='Ajuste de fechas'!$A$2,"Día actual","Día anterior")</f>
        <v>Día actual</v>
      </c>
      <c r="C13" s="3" t="s">
        <v>46</v>
      </c>
      <c r="D13" t="s">
        <v>47</v>
      </c>
      <c r="E13" s="3" t="s">
        <v>197</v>
      </c>
      <c r="F13" s="3" t="s">
        <v>17</v>
      </c>
      <c r="G13" s="3" t="s">
        <v>84</v>
      </c>
      <c r="H13" s="3" t="s">
        <v>11</v>
      </c>
      <c r="I13" s="3" t="s">
        <v>7</v>
      </c>
      <c r="J13" s="3" t="s">
        <v>58</v>
      </c>
      <c r="K13" s="3" t="s">
        <v>48</v>
      </c>
      <c r="L13" s="3" t="s">
        <v>59</v>
      </c>
      <c r="M13">
        <v>2</v>
      </c>
    </row>
    <row r="14" spans="1:13" x14ac:dyDescent="0.25">
      <c r="A14" s="1">
        <v>46148</v>
      </c>
      <c r="B14" s="1" t="str">
        <f ca="1">IF(Información1[[#This Row],[Fecha]]='Ajuste de fechas'!$A$2,"Día actual","Día anterior")</f>
        <v>Día actual</v>
      </c>
      <c r="C14" s="3" t="s">
        <v>46</v>
      </c>
      <c r="D14" t="s">
        <v>47</v>
      </c>
      <c r="E14" s="3" t="s">
        <v>198</v>
      </c>
      <c r="F14" s="3" t="s">
        <v>22</v>
      </c>
      <c r="G14" s="3" t="s">
        <v>103</v>
      </c>
      <c r="H14" s="3" t="s">
        <v>11</v>
      </c>
      <c r="I14" s="3" t="s">
        <v>7</v>
      </c>
      <c r="J14" s="3" t="s">
        <v>63</v>
      </c>
      <c r="K14" s="3" t="s">
        <v>48</v>
      </c>
      <c r="L14" s="3" t="s">
        <v>59</v>
      </c>
      <c r="M14">
        <v>2</v>
      </c>
    </row>
    <row r="15" spans="1:13" x14ac:dyDescent="0.25">
      <c r="A15" s="1">
        <v>46148</v>
      </c>
      <c r="B15" s="1" t="str">
        <f ca="1">IF(Información1[[#This Row],[Fecha]]='Ajuste de fechas'!$A$2,"Día actual","Día anterior")</f>
        <v>Día actual</v>
      </c>
      <c r="C15" s="3" t="s">
        <v>46</v>
      </c>
      <c r="D15" t="s">
        <v>47</v>
      </c>
      <c r="E15" s="3" t="s">
        <v>199</v>
      </c>
      <c r="F15" s="3" t="s">
        <v>90</v>
      </c>
      <c r="G15" s="3" t="s">
        <v>200</v>
      </c>
      <c r="H15" s="3" t="s">
        <v>11</v>
      </c>
      <c r="I15" s="3" t="s">
        <v>7</v>
      </c>
      <c r="J15" s="3" t="s">
        <v>58</v>
      </c>
      <c r="K15" s="3" t="s">
        <v>48</v>
      </c>
      <c r="L15" s="3" t="s">
        <v>59</v>
      </c>
      <c r="M15">
        <v>2</v>
      </c>
    </row>
    <row r="16" spans="1:13" x14ac:dyDescent="0.25">
      <c r="A16" s="1">
        <v>46148</v>
      </c>
      <c r="B16" s="1" t="str">
        <f ca="1">IF(Información1[[#This Row],[Fecha]]='Ajuste de fechas'!$A$2,"Día actual","Día anterior")</f>
        <v>Día actual</v>
      </c>
      <c r="C16" s="3" t="s">
        <v>46</v>
      </c>
      <c r="D16" t="s">
        <v>47</v>
      </c>
      <c r="E16" s="3" t="s">
        <v>201</v>
      </c>
      <c r="F16" s="3" t="s">
        <v>17</v>
      </c>
      <c r="G16" s="3" t="s">
        <v>93</v>
      </c>
      <c r="H16" s="3" t="s">
        <v>11</v>
      </c>
      <c r="I16" s="3" t="s">
        <v>7</v>
      </c>
      <c r="J16" s="3" t="s">
        <v>58</v>
      </c>
      <c r="K16" s="3" t="s">
        <v>48</v>
      </c>
      <c r="L16" s="3" t="s">
        <v>59</v>
      </c>
      <c r="M16">
        <v>2</v>
      </c>
    </row>
    <row r="17" spans="1:13" x14ac:dyDescent="0.25">
      <c r="A17" s="1">
        <v>46148</v>
      </c>
      <c r="B17" s="1" t="str">
        <f ca="1">IF(Información1[[#This Row],[Fecha]]='Ajuste de fechas'!$A$2,"Día actual","Día anterior")</f>
        <v>Día actual</v>
      </c>
      <c r="C17" s="3" t="s">
        <v>46</v>
      </c>
      <c r="D17" t="s">
        <v>47</v>
      </c>
      <c r="E17" s="3" t="s">
        <v>202</v>
      </c>
      <c r="F17" s="3" t="s">
        <v>22</v>
      </c>
      <c r="G17" s="3" t="s">
        <v>203</v>
      </c>
      <c r="H17" s="3" t="s">
        <v>11</v>
      </c>
      <c r="I17" s="3" t="s">
        <v>7</v>
      </c>
      <c r="J17" s="3" t="s">
        <v>63</v>
      </c>
      <c r="K17" s="3" t="s">
        <v>48</v>
      </c>
      <c r="L17" s="3" t="s">
        <v>59</v>
      </c>
      <c r="M17">
        <v>2</v>
      </c>
    </row>
    <row r="18" spans="1:13" x14ac:dyDescent="0.25">
      <c r="A18" s="1">
        <v>46148</v>
      </c>
      <c r="B18" s="1" t="str">
        <f ca="1">IF(Información1[[#This Row],[Fecha]]='Ajuste de fechas'!$A$2,"Día actual","Día anterior")</f>
        <v>Día actual</v>
      </c>
      <c r="C18" s="3" t="s">
        <v>46</v>
      </c>
      <c r="D18" t="s">
        <v>47</v>
      </c>
      <c r="E18" s="3" t="s">
        <v>204</v>
      </c>
      <c r="F18" s="3" t="s">
        <v>23</v>
      </c>
      <c r="G18" s="3" t="s">
        <v>205</v>
      </c>
      <c r="H18" s="3" t="s">
        <v>11</v>
      </c>
      <c r="I18" s="3" t="s">
        <v>7</v>
      </c>
      <c r="J18" s="3" t="s">
        <v>58</v>
      </c>
      <c r="K18" s="3" t="s">
        <v>48</v>
      </c>
      <c r="L18" s="3" t="s">
        <v>61</v>
      </c>
      <c r="M18">
        <v>2</v>
      </c>
    </row>
    <row r="19" spans="1:13" x14ac:dyDescent="0.25">
      <c r="A19" s="1">
        <v>46148</v>
      </c>
      <c r="B19" s="1" t="str">
        <f ca="1">IF(Información1[[#This Row],[Fecha]]='Ajuste de fechas'!$A$2,"Día actual","Día anterior")</f>
        <v>Día actual</v>
      </c>
      <c r="C19" s="3" t="s">
        <v>46</v>
      </c>
      <c r="D19" t="s">
        <v>47</v>
      </c>
      <c r="E19" s="3" t="s">
        <v>206</v>
      </c>
      <c r="F19" s="3" t="s">
        <v>19</v>
      </c>
      <c r="G19" s="3" t="s">
        <v>38</v>
      </c>
      <c r="H19" s="3" t="s">
        <v>11</v>
      </c>
      <c r="I19" s="3" t="s">
        <v>7</v>
      </c>
      <c r="J19" s="3" t="s">
        <v>62</v>
      </c>
      <c r="K19" s="3" t="s">
        <v>48</v>
      </c>
      <c r="L19" s="3" t="s">
        <v>59</v>
      </c>
      <c r="M19">
        <v>2</v>
      </c>
    </row>
    <row r="20" spans="1:13" x14ac:dyDescent="0.25">
      <c r="A20" s="1">
        <v>46148</v>
      </c>
      <c r="B20" s="1" t="str">
        <f ca="1">IF(Información1[[#This Row],[Fecha]]='Ajuste de fechas'!$A$2,"Día actual","Día anterior")</f>
        <v>Día actual</v>
      </c>
      <c r="C20" s="3" t="s">
        <v>46</v>
      </c>
      <c r="D20" t="s">
        <v>47</v>
      </c>
      <c r="E20" s="3" t="s">
        <v>207</v>
      </c>
      <c r="F20" s="3" t="s">
        <v>109</v>
      </c>
      <c r="G20" s="3" t="s">
        <v>205</v>
      </c>
      <c r="H20" s="3" t="s">
        <v>11</v>
      </c>
      <c r="I20" s="3" t="s">
        <v>7</v>
      </c>
      <c r="J20" s="3" t="s">
        <v>58</v>
      </c>
      <c r="K20" s="3" t="s">
        <v>48</v>
      </c>
      <c r="L20" s="3" t="s">
        <v>61</v>
      </c>
      <c r="M20">
        <v>2</v>
      </c>
    </row>
    <row r="21" spans="1:13" x14ac:dyDescent="0.25">
      <c r="A21" s="1">
        <v>46148</v>
      </c>
      <c r="B21" s="1" t="str">
        <f ca="1">IF(Información1[[#This Row],[Fecha]]='Ajuste de fechas'!$A$2,"Día actual","Día anterior")</f>
        <v>Día actual</v>
      </c>
      <c r="C21" s="3" t="s">
        <v>46</v>
      </c>
      <c r="D21" t="s">
        <v>47</v>
      </c>
      <c r="E21" s="3" t="s">
        <v>208</v>
      </c>
      <c r="F21" s="3" t="s">
        <v>109</v>
      </c>
      <c r="G21" s="3" t="s">
        <v>209</v>
      </c>
      <c r="H21" s="3" t="s">
        <v>11</v>
      </c>
      <c r="I21" s="3" t="s">
        <v>7</v>
      </c>
      <c r="J21" s="3" t="s">
        <v>58</v>
      </c>
      <c r="K21" s="3" t="s">
        <v>48</v>
      </c>
      <c r="L21" s="3" t="s">
        <v>59</v>
      </c>
      <c r="M21">
        <v>2</v>
      </c>
    </row>
    <row r="22" spans="1:13" x14ac:dyDescent="0.25">
      <c r="A22" s="1">
        <v>46148</v>
      </c>
      <c r="B22" s="1" t="str">
        <f ca="1">IF(Información1[[#This Row],[Fecha]]='Ajuste de fechas'!$A$2,"Día actual","Día anterior")</f>
        <v>Día actual</v>
      </c>
      <c r="C22" s="3" t="s">
        <v>46</v>
      </c>
      <c r="D22" t="s">
        <v>47</v>
      </c>
      <c r="E22" s="3" t="s">
        <v>108</v>
      </c>
      <c r="F22" s="3" t="s">
        <v>109</v>
      </c>
      <c r="G22" s="3" t="s">
        <v>110</v>
      </c>
      <c r="H22" s="3" t="s">
        <v>11</v>
      </c>
      <c r="I22" s="3" t="s">
        <v>7</v>
      </c>
      <c r="J22" s="3" t="s">
        <v>58</v>
      </c>
      <c r="K22" s="3" t="s">
        <v>48</v>
      </c>
      <c r="L22" s="3" t="s">
        <v>61</v>
      </c>
      <c r="M22">
        <v>2</v>
      </c>
    </row>
    <row r="23" spans="1:13" x14ac:dyDescent="0.25">
      <c r="A23" s="1">
        <v>46148</v>
      </c>
      <c r="B23" s="1" t="str">
        <f ca="1">IF(Información1[[#This Row],[Fecha]]='Ajuste de fechas'!$A$2,"Día actual","Día anterior")</f>
        <v>Día actual</v>
      </c>
      <c r="C23" s="3" t="s">
        <v>46</v>
      </c>
      <c r="D23" t="s">
        <v>47</v>
      </c>
      <c r="E23" s="3" t="s">
        <v>210</v>
      </c>
      <c r="F23" s="3" t="s">
        <v>22</v>
      </c>
      <c r="G23" s="3" t="s">
        <v>211</v>
      </c>
      <c r="H23" s="3" t="s">
        <v>11</v>
      </c>
      <c r="I23" s="3" t="s">
        <v>26</v>
      </c>
      <c r="J23" s="3" t="s">
        <v>63</v>
      </c>
      <c r="K23" s="3" t="s">
        <v>48</v>
      </c>
      <c r="L23" s="3" t="s">
        <v>59</v>
      </c>
      <c r="M23">
        <v>1</v>
      </c>
    </row>
    <row r="24" spans="1:13" x14ac:dyDescent="0.25">
      <c r="A24" s="1">
        <v>46148</v>
      </c>
      <c r="B24" s="1" t="str">
        <f ca="1">IF(Información1[[#This Row],[Fecha]]='Ajuste de fechas'!$A$2,"Día actual","Día anterior")</f>
        <v>Día actual</v>
      </c>
      <c r="C24" s="3" t="s">
        <v>46</v>
      </c>
      <c r="D24" t="s">
        <v>47</v>
      </c>
      <c r="E24" s="3" t="s">
        <v>212</v>
      </c>
      <c r="F24" s="3" t="s">
        <v>27</v>
      </c>
      <c r="G24" s="3" t="s">
        <v>213</v>
      </c>
      <c r="H24" s="3" t="s">
        <v>11</v>
      </c>
      <c r="I24" s="3" t="s">
        <v>26</v>
      </c>
      <c r="J24" s="3" t="s">
        <v>58</v>
      </c>
      <c r="K24" s="3" t="s">
        <v>48</v>
      </c>
      <c r="L24" s="3" t="s">
        <v>59</v>
      </c>
      <c r="M24">
        <v>1</v>
      </c>
    </row>
    <row r="25" spans="1:13" x14ac:dyDescent="0.25">
      <c r="A25" s="1">
        <v>46148</v>
      </c>
      <c r="B25" s="1" t="str">
        <f ca="1">IF(Información1[[#This Row],[Fecha]]='Ajuste de fechas'!$A$2,"Día actual","Día anterior")</f>
        <v>Día actual</v>
      </c>
      <c r="C25" s="3" t="s">
        <v>46</v>
      </c>
      <c r="D25" t="s">
        <v>47</v>
      </c>
      <c r="E25" s="3" t="s">
        <v>214</v>
      </c>
      <c r="F25" s="3" t="s">
        <v>100</v>
      </c>
      <c r="G25" s="3"/>
      <c r="H25" s="3" t="s">
        <v>11</v>
      </c>
      <c r="I25" s="3" t="s">
        <v>26</v>
      </c>
      <c r="J25" s="3" t="s">
        <v>58</v>
      </c>
      <c r="K25" s="3" t="s">
        <v>48</v>
      </c>
      <c r="L25" s="3" t="s">
        <v>60</v>
      </c>
      <c r="M25">
        <v>1</v>
      </c>
    </row>
    <row r="26" spans="1:13" x14ac:dyDescent="0.25">
      <c r="A26" s="1">
        <v>46148</v>
      </c>
      <c r="B26" s="1" t="str">
        <f ca="1">IF(Información1[[#This Row],[Fecha]]='Ajuste de fechas'!$A$2,"Día actual","Día anterior")</f>
        <v>Día actual</v>
      </c>
      <c r="C26" s="3" t="s">
        <v>46</v>
      </c>
      <c r="D26" t="s">
        <v>47</v>
      </c>
      <c r="E26" s="3" t="s">
        <v>215</v>
      </c>
      <c r="F26" s="3" t="s">
        <v>216</v>
      </c>
      <c r="G26" s="3" t="s">
        <v>97</v>
      </c>
      <c r="H26" s="3" t="s">
        <v>11</v>
      </c>
      <c r="I26" s="3" t="s">
        <v>7</v>
      </c>
      <c r="J26" s="3" t="s">
        <v>58</v>
      </c>
      <c r="K26" s="3" t="s">
        <v>48</v>
      </c>
      <c r="L26" s="3" t="s">
        <v>59</v>
      </c>
      <c r="M26">
        <v>2</v>
      </c>
    </row>
    <row r="27" spans="1:13" x14ac:dyDescent="0.25">
      <c r="A27" s="1">
        <v>46148</v>
      </c>
      <c r="B27" s="1" t="str">
        <f ca="1">IF(Información1[[#This Row],[Fecha]]='Ajuste de fechas'!$A$2,"Día actual","Día anterior")</f>
        <v>Día actual</v>
      </c>
      <c r="C27" s="3" t="s">
        <v>46</v>
      </c>
      <c r="D27" t="s">
        <v>47</v>
      </c>
      <c r="E27" s="3" t="s">
        <v>217</v>
      </c>
      <c r="F27" s="3" t="s">
        <v>19</v>
      </c>
      <c r="G27" s="3" t="s">
        <v>218</v>
      </c>
      <c r="H27" s="3" t="s">
        <v>11</v>
      </c>
      <c r="I27" s="3" t="s">
        <v>7</v>
      </c>
      <c r="J27" s="3" t="s">
        <v>62</v>
      </c>
      <c r="K27" s="3" t="s">
        <v>48</v>
      </c>
      <c r="L27" s="3" t="s">
        <v>59</v>
      </c>
      <c r="M27">
        <v>2</v>
      </c>
    </row>
    <row r="28" spans="1:13" x14ac:dyDescent="0.25">
      <c r="A28" s="1">
        <v>46148</v>
      </c>
      <c r="B28" s="1" t="str">
        <f ca="1">IF(Información1[[#This Row],[Fecha]]='Ajuste de fechas'!$A$2,"Día actual","Día anterior")</f>
        <v>Día actual</v>
      </c>
      <c r="C28" s="3" t="s">
        <v>46</v>
      </c>
      <c r="D28" t="s">
        <v>47</v>
      </c>
      <c r="E28" s="3" t="s">
        <v>219</v>
      </c>
      <c r="F28" s="3" t="s">
        <v>82</v>
      </c>
      <c r="G28" s="3" t="s">
        <v>220</v>
      </c>
      <c r="H28" s="3" t="s">
        <v>11</v>
      </c>
      <c r="I28" s="3" t="s">
        <v>7</v>
      </c>
      <c r="J28" s="3" t="s">
        <v>25</v>
      </c>
      <c r="K28" s="3" t="s">
        <v>48</v>
      </c>
      <c r="L28" s="3" t="s">
        <v>59</v>
      </c>
      <c r="M28">
        <v>2</v>
      </c>
    </row>
    <row r="29" spans="1:13" x14ac:dyDescent="0.25">
      <c r="A29" s="1">
        <v>46148</v>
      </c>
      <c r="B29" s="1" t="str">
        <f ca="1">IF(Información1[[#This Row],[Fecha]]='Ajuste de fechas'!$A$2,"Día actual","Día anterior")</f>
        <v>Día actual</v>
      </c>
      <c r="C29" s="3" t="s">
        <v>46</v>
      </c>
      <c r="D29" t="s">
        <v>47</v>
      </c>
      <c r="E29" s="3" t="s">
        <v>221</v>
      </c>
      <c r="F29" s="3" t="s">
        <v>109</v>
      </c>
      <c r="G29" s="3"/>
      <c r="H29" s="3" t="s">
        <v>11</v>
      </c>
      <c r="I29" s="3" t="s">
        <v>26</v>
      </c>
      <c r="J29" s="3" t="s">
        <v>58</v>
      </c>
      <c r="K29" s="3" t="s">
        <v>48</v>
      </c>
      <c r="L29" s="3" t="s">
        <v>64</v>
      </c>
      <c r="M29">
        <v>1</v>
      </c>
    </row>
    <row r="30" spans="1:13" x14ac:dyDescent="0.25">
      <c r="A30" s="1">
        <v>46148</v>
      </c>
      <c r="B30" s="1" t="str">
        <f ca="1">IF(Información1[[#This Row],[Fecha]]='Ajuste de fechas'!$A$2,"Día actual","Día anterior")</f>
        <v>Día actual</v>
      </c>
      <c r="C30" s="3" t="s">
        <v>46</v>
      </c>
      <c r="D30" t="s">
        <v>47</v>
      </c>
      <c r="E30" s="3" t="s">
        <v>222</v>
      </c>
      <c r="F30" s="3" t="s">
        <v>21</v>
      </c>
      <c r="G30" s="3" t="s">
        <v>223</v>
      </c>
      <c r="H30" s="3" t="s">
        <v>11</v>
      </c>
      <c r="I30" s="3" t="s">
        <v>7</v>
      </c>
      <c r="J30" s="3" t="s">
        <v>58</v>
      </c>
      <c r="K30" s="3" t="s">
        <v>48</v>
      </c>
      <c r="L30" s="3" t="s">
        <v>61</v>
      </c>
      <c r="M30">
        <v>2</v>
      </c>
    </row>
    <row r="31" spans="1:13" x14ac:dyDescent="0.25">
      <c r="A31" s="1">
        <v>46148</v>
      </c>
      <c r="B31" s="1" t="str">
        <f ca="1">IF(Información1[[#This Row],[Fecha]]='Ajuste de fechas'!$A$2,"Día actual","Día anterior")</f>
        <v>Día actual</v>
      </c>
      <c r="C31" s="3" t="s">
        <v>46</v>
      </c>
      <c r="D31" t="s">
        <v>47</v>
      </c>
      <c r="E31" s="3" t="s">
        <v>224</v>
      </c>
      <c r="F31" s="3" t="s">
        <v>19</v>
      </c>
      <c r="G31" s="3" t="s">
        <v>101</v>
      </c>
      <c r="H31" s="3" t="s">
        <v>11</v>
      </c>
      <c r="I31" s="3" t="s">
        <v>26</v>
      </c>
      <c r="J31" s="3" t="s">
        <v>62</v>
      </c>
      <c r="K31" s="3" t="s">
        <v>9</v>
      </c>
      <c r="L31" s="3" t="s">
        <v>60</v>
      </c>
      <c r="M31">
        <v>2</v>
      </c>
    </row>
    <row r="32" spans="1:13" x14ac:dyDescent="0.25">
      <c r="A32" s="1">
        <v>46148</v>
      </c>
      <c r="B32" s="1" t="str">
        <f ca="1">IF(Información1[[#This Row],[Fecha]]='Ajuste de fechas'!$A$2,"Día actual","Día anterior")</f>
        <v>Día actual</v>
      </c>
      <c r="C32" s="3" t="s">
        <v>46</v>
      </c>
      <c r="D32" t="s">
        <v>47</v>
      </c>
      <c r="E32" s="3" t="s">
        <v>225</v>
      </c>
      <c r="F32" s="3" t="s">
        <v>19</v>
      </c>
      <c r="G32" s="3" t="s">
        <v>38</v>
      </c>
      <c r="H32" s="3" t="s">
        <v>11</v>
      </c>
      <c r="I32" s="3" t="s">
        <v>7</v>
      </c>
      <c r="J32" s="3" t="s">
        <v>62</v>
      </c>
      <c r="K32" s="3" t="s">
        <v>48</v>
      </c>
      <c r="L32" s="3" t="s">
        <v>59</v>
      </c>
      <c r="M32">
        <v>2</v>
      </c>
    </row>
    <row r="33" spans="1:13" x14ac:dyDescent="0.25">
      <c r="A33" s="1">
        <v>46148</v>
      </c>
      <c r="B33" s="1" t="str">
        <f ca="1">IF(Información1[[#This Row],[Fecha]]='Ajuste de fechas'!$A$2,"Día actual","Día anterior")</f>
        <v>Día actual</v>
      </c>
      <c r="C33" s="3" t="s">
        <v>46</v>
      </c>
      <c r="D33" t="s">
        <v>47</v>
      </c>
      <c r="E33" s="3" t="s">
        <v>226</v>
      </c>
      <c r="F33" s="3" t="s">
        <v>19</v>
      </c>
      <c r="G33" s="3" t="s">
        <v>227</v>
      </c>
      <c r="H33" s="3" t="s">
        <v>11</v>
      </c>
      <c r="I33" s="3" t="s">
        <v>7</v>
      </c>
      <c r="J33" s="3" t="s">
        <v>62</v>
      </c>
      <c r="K33" s="3" t="s">
        <v>48</v>
      </c>
      <c r="L33" s="3" t="s">
        <v>59</v>
      </c>
      <c r="M33">
        <v>2</v>
      </c>
    </row>
    <row r="34" spans="1:13" x14ac:dyDescent="0.25">
      <c r="A34" s="1">
        <v>46148</v>
      </c>
      <c r="B34" s="1" t="str">
        <f ca="1">IF(Información1[[#This Row],[Fecha]]='Ajuste de fechas'!$A$2,"Día actual","Día anterior")</f>
        <v>Día actual</v>
      </c>
      <c r="C34" s="3" t="s">
        <v>46</v>
      </c>
      <c r="D34" t="s">
        <v>47</v>
      </c>
      <c r="E34" s="3" t="s">
        <v>228</v>
      </c>
      <c r="F34" s="3" t="s">
        <v>19</v>
      </c>
      <c r="G34" s="3" t="s">
        <v>229</v>
      </c>
      <c r="H34" s="3" t="s">
        <v>11</v>
      </c>
      <c r="I34" s="3" t="s">
        <v>7</v>
      </c>
      <c r="J34" s="3" t="s">
        <v>62</v>
      </c>
      <c r="K34" s="3" t="s">
        <v>48</v>
      </c>
      <c r="L34" s="3" t="s">
        <v>59</v>
      </c>
      <c r="M34">
        <v>2</v>
      </c>
    </row>
    <row r="35" spans="1:13" x14ac:dyDescent="0.25">
      <c r="A35" s="1">
        <v>46148</v>
      </c>
      <c r="B35" s="1" t="str">
        <f ca="1">IF(Información1[[#This Row],[Fecha]]='Ajuste de fechas'!$A$2,"Día actual","Día anterior")</f>
        <v>Día actual</v>
      </c>
      <c r="C35" s="3" t="s">
        <v>46</v>
      </c>
      <c r="D35" t="s">
        <v>47</v>
      </c>
      <c r="E35" s="3" t="s">
        <v>230</v>
      </c>
      <c r="F35" s="3" t="s">
        <v>24</v>
      </c>
      <c r="G35" s="3" t="s">
        <v>231</v>
      </c>
      <c r="H35" s="3" t="s">
        <v>11</v>
      </c>
      <c r="I35" s="3" t="s">
        <v>7</v>
      </c>
      <c r="J35" s="3" t="s">
        <v>58</v>
      </c>
      <c r="K35" s="3" t="s">
        <v>48</v>
      </c>
      <c r="L35" s="3" t="s">
        <v>59</v>
      </c>
      <c r="M35">
        <v>2</v>
      </c>
    </row>
    <row r="36" spans="1:13" x14ac:dyDescent="0.25">
      <c r="A36" s="1">
        <v>46148</v>
      </c>
      <c r="B36" s="1" t="str">
        <f ca="1">IF(Información1[[#This Row],[Fecha]]='Ajuste de fechas'!$A$2,"Día actual","Día anterior")</f>
        <v>Día actual</v>
      </c>
      <c r="C36" s="3" t="s">
        <v>46</v>
      </c>
      <c r="D36" t="s">
        <v>47</v>
      </c>
      <c r="E36" s="3" t="s">
        <v>232</v>
      </c>
      <c r="F36" s="3" t="s">
        <v>25</v>
      </c>
      <c r="G36" s="3" t="s">
        <v>233</v>
      </c>
      <c r="H36" s="3" t="s">
        <v>11</v>
      </c>
      <c r="I36" s="3" t="s">
        <v>7</v>
      </c>
      <c r="J36" s="3" t="s">
        <v>25</v>
      </c>
      <c r="K36" s="3" t="s">
        <v>48</v>
      </c>
      <c r="L36" s="3" t="s">
        <v>59</v>
      </c>
      <c r="M36">
        <v>2</v>
      </c>
    </row>
    <row r="37" spans="1:13" x14ac:dyDescent="0.25">
      <c r="A37" s="1">
        <v>46148</v>
      </c>
      <c r="B37" s="1" t="str">
        <f ca="1">IF(Información1[[#This Row],[Fecha]]='Ajuste de fechas'!$A$2,"Día actual","Día anterior")</f>
        <v>Día actual</v>
      </c>
      <c r="C37" s="3" t="s">
        <v>234</v>
      </c>
      <c r="D37" t="s">
        <v>235</v>
      </c>
      <c r="E37" s="3" t="s">
        <v>236</v>
      </c>
      <c r="F37" s="3" t="s">
        <v>21</v>
      </c>
      <c r="G37" s="3" t="s">
        <v>237</v>
      </c>
      <c r="H37" s="3" t="s">
        <v>37</v>
      </c>
      <c r="I37" s="3" t="s">
        <v>7</v>
      </c>
      <c r="J37" s="3" t="s">
        <v>58</v>
      </c>
      <c r="K37" s="3" t="s">
        <v>36</v>
      </c>
      <c r="L37" s="3" t="s">
        <v>59</v>
      </c>
      <c r="M37">
        <v>1</v>
      </c>
    </row>
    <row r="38" spans="1:13" x14ac:dyDescent="0.25">
      <c r="A38" s="1">
        <v>46148</v>
      </c>
      <c r="B38" s="1" t="str">
        <f ca="1">IF(Información1[[#This Row],[Fecha]]='Ajuste de fechas'!$A$2,"Día actual","Día anterior")</f>
        <v>Día actual</v>
      </c>
      <c r="C38" s="3" t="s">
        <v>234</v>
      </c>
      <c r="D38" t="s">
        <v>235</v>
      </c>
      <c r="E38" s="3" t="s">
        <v>238</v>
      </c>
      <c r="F38" s="3" t="s">
        <v>22</v>
      </c>
      <c r="G38" s="3" t="s">
        <v>76</v>
      </c>
      <c r="H38" s="3" t="s">
        <v>37</v>
      </c>
      <c r="I38" s="3" t="s">
        <v>7</v>
      </c>
      <c r="J38" s="3" t="s">
        <v>63</v>
      </c>
      <c r="K38" s="3" t="s">
        <v>36</v>
      </c>
      <c r="L38" s="3" t="s">
        <v>59</v>
      </c>
      <c r="M38">
        <v>1</v>
      </c>
    </row>
    <row r="39" spans="1:13" x14ac:dyDescent="0.25">
      <c r="A39" s="1">
        <v>46148</v>
      </c>
      <c r="B39" s="1" t="str">
        <f ca="1">IF(Información1[[#This Row],[Fecha]]='Ajuste de fechas'!$A$2,"Día actual","Día anterior")</f>
        <v>Día actual</v>
      </c>
      <c r="C39" s="3" t="s">
        <v>234</v>
      </c>
      <c r="D39" t="s">
        <v>235</v>
      </c>
      <c r="E39" s="3" t="s">
        <v>178</v>
      </c>
      <c r="F39" s="3" t="s">
        <v>27</v>
      </c>
      <c r="G39" s="3" t="s">
        <v>120</v>
      </c>
      <c r="H39" s="3" t="s">
        <v>37</v>
      </c>
      <c r="I39" s="3" t="s">
        <v>7</v>
      </c>
      <c r="J39" s="3" t="s">
        <v>58</v>
      </c>
      <c r="K39" s="3" t="s">
        <v>36</v>
      </c>
      <c r="L39" s="3" t="s">
        <v>61</v>
      </c>
      <c r="M39">
        <v>1</v>
      </c>
    </row>
    <row r="40" spans="1:13" x14ac:dyDescent="0.25">
      <c r="A40" s="1">
        <v>46148</v>
      </c>
      <c r="B40" s="1" t="str">
        <f ca="1">IF(Información1[[#This Row],[Fecha]]='Ajuste de fechas'!$A$2,"Día actual","Día anterior")</f>
        <v>Día actual</v>
      </c>
      <c r="C40" s="3" t="s">
        <v>234</v>
      </c>
      <c r="D40" t="s">
        <v>235</v>
      </c>
      <c r="E40" s="3" t="s">
        <v>239</v>
      </c>
      <c r="F40" s="3" t="s">
        <v>69</v>
      </c>
      <c r="G40" s="3" t="s">
        <v>240</v>
      </c>
      <c r="H40" s="3" t="s">
        <v>37</v>
      </c>
      <c r="I40" s="3" t="s">
        <v>7</v>
      </c>
      <c r="J40" s="3" t="s">
        <v>58</v>
      </c>
      <c r="K40" s="3" t="s">
        <v>36</v>
      </c>
      <c r="L40" s="3" t="s">
        <v>61</v>
      </c>
      <c r="M40">
        <v>1</v>
      </c>
    </row>
    <row r="41" spans="1:13" x14ac:dyDescent="0.25">
      <c r="A41" s="1">
        <v>46148</v>
      </c>
      <c r="B41" s="1" t="str">
        <f ca="1">IF(Información1[[#This Row],[Fecha]]='Ajuste de fechas'!$A$2,"Día actual","Día anterior")</f>
        <v>Día actual</v>
      </c>
      <c r="C41" s="3" t="s">
        <v>234</v>
      </c>
      <c r="D41" t="s">
        <v>235</v>
      </c>
      <c r="E41" s="3" t="s">
        <v>241</v>
      </c>
      <c r="F41" s="3" t="s">
        <v>45</v>
      </c>
      <c r="G41" s="3" t="s">
        <v>126</v>
      </c>
      <c r="H41" s="3" t="s">
        <v>37</v>
      </c>
      <c r="I41" s="3" t="s">
        <v>7</v>
      </c>
      <c r="J41" s="3" t="s">
        <v>58</v>
      </c>
      <c r="K41" s="3" t="s">
        <v>36</v>
      </c>
      <c r="L41" s="3" t="s">
        <v>61</v>
      </c>
      <c r="M41">
        <v>1</v>
      </c>
    </row>
    <row r="42" spans="1:13" x14ac:dyDescent="0.25">
      <c r="A42" s="1">
        <v>46148</v>
      </c>
      <c r="B42" s="1" t="str">
        <f ca="1">IF(Información1[[#This Row],[Fecha]]='Ajuste de fechas'!$A$2,"Día actual","Día anterior")</f>
        <v>Día actual</v>
      </c>
      <c r="C42" s="3" t="s">
        <v>234</v>
      </c>
      <c r="D42" t="s">
        <v>235</v>
      </c>
      <c r="E42" s="3" t="s">
        <v>242</v>
      </c>
      <c r="F42" s="3" t="s">
        <v>105</v>
      </c>
      <c r="G42" s="3" t="s">
        <v>89</v>
      </c>
      <c r="H42" s="3" t="s">
        <v>37</v>
      </c>
      <c r="I42" s="3" t="s">
        <v>7</v>
      </c>
      <c r="J42" s="3" t="s">
        <v>58</v>
      </c>
      <c r="K42" s="3" t="s">
        <v>36</v>
      </c>
      <c r="L42" s="3" t="s">
        <v>61</v>
      </c>
      <c r="M42">
        <v>1</v>
      </c>
    </row>
    <row r="43" spans="1:13" x14ac:dyDescent="0.25">
      <c r="A43" s="1">
        <v>46148</v>
      </c>
      <c r="B43" s="1" t="str">
        <f ca="1">IF(Información1[[#This Row],[Fecha]]='Ajuste de fechas'!$A$2,"Día actual","Día anterior")</f>
        <v>Día actual</v>
      </c>
      <c r="C43" s="3" t="s">
        <v>234</v>
      </c>
      <c r="D43" t="s">
        <v>235</v>
      </c>
      <c r="E43" s="3" t="s">
        <v>129</v>
      </c>
      <c r="F43" s="3" t="s">
        <v>79</v>
      </c>
      <c r="G43" s="3" t="s">
        <v>130</v>
      </c>
      <c r="H43" s="3" t="s">
        <v>37</v>
      </c>
      <c r="I43" s="3" t="s">
        <v>7</v>
      </c>
      <c r="J43" s="3" t="s">
        <v>58</v>
      </c>
      <c r="K43" s="3" t="s">
        <v>36</v>
      </c>
      <c r="L43" s="3" t="s">
        <v>61</v>
      </c>
      <c r="M43">
        <v>1</v>
      </c>
    </row>
    <row r="44" spans="1:13" x14ac:dyDescent="0.25">
      <c r="A44" s="1">
        <v>46148</v>
      </c>
      <c r="B44" s="1" t="str">
        <f ca="1">IF(Información1[[#This Row],[Fecha]]='Ajuste de fechas'!$A$2,"Día actual","Día anterior")</f>
        <v>Día actual</v>
      </c>
      <c r="C44" s="3" t="s">
        <v>234</v>
      </c>
      <c r="D44" t="s">
        <v>235</v>
      </c>
      <c r="E44" s="3" t="s">
        <v>243</v>
      </c>
      <c r="F44" s="3" t="s">
        <v>72</v>
      </c>
      <c r="G44" s="3" t="s">
        <v>98</v>
      </c>
      <c r="H44" s="3" t="s">
        <v>37</v>
      </c>
      <c r="I44" s="3" t="s">
        <v>7</v>
      </c>
      <c r="J44" s="3" t="s">
        <v>58</v>
      </c>
      <c r="K44" s="3" t="s">
        <v>36</v>
      </c>
      <c r="L44" s="3" t="s">
        <v>61</v>
      </c>
      <c r="M44">
        <v>1</v>
      </c>
    </row>
    <row r="45" spans="1:13" x14ac:dyDescent="0.25">
      <c r="A45" s="1">
        <v>46148</v>
      </c>
      <c r="B45" s="1" t="str">
        <f ca="1">IF(Información1[[#This Row],[Fecha]]='Ajuste de fechas'!$A$2,"Día actual","Día anterior")</f>
        <v>Día actual</v>
      </c>
      <c r="C45" s="3" t="s">
        <v>234</v>
      </c>
      <c r="D45" t="s">
        <v>235</v>
      </c>
      <c r="E45" s="3" t="s">
        <v>244</v>
      </c>
      <c r="F45" s="3" t="s">
        <v>27</v>
      </c>
      <c r="G45" s="3" t="s">
        <v>120</v>
      </c>
      <c r="H45" s="3" t="s">
        <v>37</v>
      </c>
      <c r="I45" s="3" t="s">
        <v>7</v>
      </c>
      <c r="J45" s="3" t="s">
        <v>58</v>
      </c>
      <c r="K45" s="3" t="s">
        <v>36</v>
      </c>
      <c r="L45" s="3" t="s">
        <v>59</v>
      </c>
      <c r="M45">
        <v>1</v>
      </c>
    </row>
    <row r="46" spans="1:13" x14ac:dyDescent="0.25">
      <c r="A46" s="1">
        <v>46148</v>
      </c>
      <c r="B46" s="1" t="str">
        <f ca="1">IF(Información1[[#This Row],[Fecha]]='Ajuste de fechas'!$A$2,"Día actual","Día anterior")</f>
        <v>Día actual</v>
      </c>
      <c r="C46" s="3" t="s">
        <v>234</v>
      </c>
      <c r="D46" t="s">
        <v>235</v>
      </c>
      <c r="E46" s="3" t="s">
        <v>127</v>
      </c>
      <c r="F46" s="3" t="s">
        <v>21</v>
      </c>
      <c r="G46" s="3" t="s">
        <v>115</v>
      </c>
      <c r="H46" s="3" t="s">
        <v>37</v>
      </c>
      <c r="I46" s="3" t="s">
        <v>7</v>
      </c>
      <c r="J46" s="3" t="s">
        <v>58</v>
      </c>
      <c r="K46" s="3" t="s">
        <v>36</v>
      </c>
      <c r="L46" s="3" t="s">
        <v>61</v>
      </c>
      <c r="M46">
        <v>1</v>
      </c>
    </row>
    <row r="47" spans="1:13" x14ac:dyDescent="0.25">
      <c r="A47" s="1">
        <v>46148</v>
      </c>
      <c r="B47" s="1" t="str">
        <f ca="1">IF(Información1[[#This Row],[Fecha]]='Ajuste de fechas'!$A$2,"Día actual","Día anterior")</f>
        <v>Día actual</v>
      </c>
      <c r="C47" s="3" t="s">
        <v>234</v>
      </c>
      <c r="D47" t="s">
        <v>235</v>
      </c>
      <c r="E47" s="3" t="s">
        <v>245</v>
      </c>
      <c r="F47" s="3" t="s">
        <v>79</v>
      </c>
      <c r="G47" s="3" t="s">
        <v>94</v>
      </c>
      <c r="H47" s="3" t="s">
        <v>37</v>
      </c>
      <c r="I47" s="3" t="s">
        <v>7</v>
      </c>
      <c r="J47" s="3" t="s">
        <v>58</v>
      </c>
      <c r="K47" s="3" t="s">
        <v>36</v>
      </c>
      <c r="L47" s="3" t="s">
        <v>61</v>
      </c>
      <c r="M47">
        <v>1</v>
      </c>
    </row>
    <row r="48" spans="1:13" x14ac:dyDescent="0.25">
      <c r="A48" s="1">
        <v>46148</v>
      </c>
      <c r="B48" s="1" t="str">
        <f ca="1">IF(Información1[[#This Row],[Fecha]]='Ajuste de fechas'!$A$2,"Día actual","Día anterior")</f>
        <v>Día actual</v>
      </c>
      <c r="C48" s="3" t="s">
        <v>234</v>
      </c>
      <c r="D48" t="s">
        <v>235</v>
      </c>
      <c r="E48" s="3" t="s">
        <v>246</v>
      </c>
      <c r="F48" s="3" t="s">
        <v>24</v>
      </c>
      <c r="G48" s="3" t="s">
        <v>247</v>
      </c>
      <c r="H48" s="3" t="s">
        <v>37</v>
      </c>
      <c r="I48" s="3" t="s">
        <v>7</v>
      </c>
      <c r="J48" s="3" t="s">
        <v>58</v>
      </c>
      <c r="K48" s="3" t="s">
        <v>36</v>
      </c>
      <c r="L48" s="3" t="s">
        <v>61</v>
      </c>
      <c r="M48">
        <v>1</v>
      </c>
    </row>
    <row r="49" spans="1:13" x14ac:dyDescent="0.25">
      <c r="A49" s="1">
        <v>46148</v>
      </c>
      <c r="B49" s="1" t="str">
        <f ca="1">IF(Información1[[#This Row],[Fecha]]='Ajuste de fechas'!$A$2,"Día actual","Día anterior")</f>
        <v>Día actual</v>
      </c>
      <c r="C49" s="3" t="s">
        <v>234</v>
      </c>
      <c r="D49" t="s">
        <v>235</v>
      </c>
      <c r="E49" s="3" t="s">
        <v>248</v>
      </c>
      <c r="F49" s="3" t="s">
        <v>73</v>
      </c>
      <c r="G49" s="3" t="s">
        <v>249</v>
      </c>
      <c r="H49" s="3" t="s">
        <v>37</v>
      </c>
      <c r="I49" s="3" t="s">
        <v>7</v>
      </c>
      <c r="J49" s="3" t="s">
        <v>58</v>
      </c>
      <c r="K49" s="3" t="s">
        <v>36</v>
      </c>
      <c r="L49" s="3" t="s">
        <v>59</v>
      </c>
      <c r="M49">
        <v>1</v>
      </c>
    </row>
    <row r="50" spans="1:13" x14ac:dyDescent="0.25">
      <c r="A50" s="1">
        <v>46148</v>
      </c>
      <c r="B50" s="1" t="str">
        <f ca="1">IF(Información1[[#This Row],[Fecha]]='Ajuste de fechas'!$A$2,"Día actual","Día anterior")</f>
        <v>Día actual</v>
      </c>
      <c r="C50" s="3" t="s">
        <v>234</v>
      </c>
      <c r="D50" t="s">
        <v>235</v>
      </c>
      <c r="E50" s="3" t="s">
        <v>188</v>
      </c>
      <c r="F50" s="3" t="s">
        <v>166</v>
      </c>
      <c r="G50" s="3" t="s">
        <v>83</v>
      </c>
      <c r="H50" s="3" t="s">
        <v>37</v>
      </c>
      <c r="I50" s="3" t="s">
        <v>7</v>
      </c>
      <c r="J50" s="3" t="s">
        <v>58</v>
      </c>
      <c r="K50" s="3" t="s">
        <v>36</v>
      </c>
      <c r="L50" s="3" t="s">
        <v>61</v>
      </c>
      <c r="M50">
        <v>1</v>
      </c>
    </row>
    <row r="51" spans="1:13" x14ac:dyDescent="0.25">
      <c r="A51" s="1">
        <v>46148</v>
      </c>
      <c r="B51" s="1" t="str">
        <f ca="1">IF(Información1[[#This Row],[Fecha]]='Ajuste de fechas'!$A$2,"Día actual","Día anterior")</f>
        <v>Día actual</v>
      </c>
      <c r="C51" s="3" t="s">
        <v>46</v>
      </c>
      <c r="D51" t="s">
        <v>47</v>
      </c>
      <c r="E51" s="3" t="s">
        <v>210</v>
      </c>
      <c r="F51" s="3" t="s">
        <v>22</v>
      </c>
      <c r="G51" s="3" t="s">
        <v>211</v>
      </c>
      <c r="H51" s="3" t="s">
        <v>11</v>
      </c>
      <c r="I51" s="3" t="s">
        <v>7</v>
      </c>
      <c r="J51" s="3" t="s">
        <v>63</v>
      </c>
      <c r="K51" s="3" t="s">
        <v>48</v>
      </c>
      <c r="L51" s="3" t="s">
        <v>59</v>
      </c>
      <c r="M51">
        <v>1</v>
      </c>
    </row>
    <row r="52" spans="1:13" x14ac:dyDescent="0.25">
      <c r="A52" s="1">
        <v>46148</v>
      </c>
      <c r="B52" s="1" t="str">
        <f ca="1">IF(Información1[[#This Row],[Fecha]]='Ajuste de fechas'!$A$2,"Día actual","Día anterior")</f>
        <v>Día actual</v>
      </c>
      <c r="C52" s="3" t="s">
        <v>46</v>
      </c>
      <c r="D52" t="s">
        <v>47</v>
      </c>
      <c r="E52" s="3" t="s">
        <v>212</v>
      </c>
      <c r="F52" s="3" t="s">
        <v>27</v>
      </c>
      <c r="G52" s="3" t="s">
        <v>213</v>
      </c>
      <c r="H52" s="3" t="s">
        <v>11</v>
      </c>
      <c r="I52" s="3" t="s">
        <v>7</v>
      </c>
      <c r="J52" s="3" t="s">
        <v>58</v>
      </c>
      <c r="K52" s="3" t="s">
        <v>48</v>
      </c>
      <c r="L52" s="3" t="s">
        <v>59</v>
      </c>
      <c r="M52">
        <v>1</v>
      </c>
    </row>
    <row r="53" spans="1:13" x14ac:dyDescent="0.25">
      <c r="A53" s="1">
        <v>46148</v>
      </c>
      <c r="B53" s="1" t="str">
        <f ca="1">IF(Información1[[#This Row],[Fecha]]='Ajuste de fechas'!$A$2,"Día actual","Día anterior")</f>
        <v>Día actual</v>
      </c>
      <c r="C53" s="3" t="s">
        <v>46</v>
      </c>
      <c r="D53" t="s">
        <v>47</v>
      </c>
      <c r="E53" s="3" t="s">
        <v>214</v>
      </c>
      <c r="F53" s="3" t="s">
        <v>100</v>
      </c>
      <c r="G53" s="3" t="s">
        <v>213</v>
      </c>
      <c r="H53" s="3" t="s">
        <v>11</v>
      </c>
      <c r="I53" s="3" t="s">
        <v>26</v>
      </c>
      <c r="J53" s="3" t="s">
        <v>58</v>
      </c>
      <c r="K53" s="3" t="s">
        <v>48</v>
      </c>
      <c r="L53" s="3" t="s">
        <v>60</v>
      </c>
      <c r="M53">
        <v>1</v>
      </c>
    </row>
    <row r="54" spans="1:13" x14ac:dyDescent="0.25">
      <c r="A54" s="1">
        <v>46148</v>
      </c>
      <c r="B54" s="1" t="str">
        <f ca="1">IF(Información1[[#This Row],[Fecha]]='Ajuste de fechas'!$A$2,"Día actual","Día anterior")</f>
        <v>Día actual</v>
      </c>
      <c r="C54" s="3" t="s">
        <v>46</v>
      </c>
      <c r="D54" t="s">
        <v>47</v>
      </c>
      <c r="E54" s="3" t="s">
        <v>221</v>
      </c>
      <c r="F54" s="3" t="s">
        <v>250</v>
      </c>
      <c r="G54" s="3" t="s">
        <v>251</v>
      </c>
      <c r="H54" s="3" t="s">
        <v>11</v>
      </c>
      <c r="I54" s="3" t="s">
        <v>26</v>
      </c>
      <c r="J54" s="3" t="s">
        <v>25</v>
      </c>
      <c r="K54" s="3" t="s">
        <v>48</v>
      </c>
      <c r="L54" s="3" t="s">
        <v>64</v>
      </c>
      <c r="M54">
        <v>1</v>
      </c>
    </row>
    <row r="55" spans="1:13" x14ac:dyDescent="0.25">
      <c r="A55" s="1">
        <v>46148</v>
      </c>
      <c r="B55" s="1" t="str">
        <f ca="1">IF(Información1[[#This Row],[Fecha]]='Ajuste de fechas'!$A$2,"Día actual","Día anterior")</f>
        <v>Día actual</v>
      </c>
      <c r="C55" s="3" t="s">
        <v>41</v>
      </c>
      <c r="D55" t="s">
        <v>44</v>
      </c>
      <c r="E55" s="3" t="s">
        <v>252</v>
      </c>
      <c r="F55" s="3" t="s">
        <v>22</v>
      </c>
      <c r="G55" s="3" t="s">
        <v>203</v>
      </c>
      <c r="H55" s="3" t="s">
        <v>11</v>
      </c>
      <c r="I55" s="3" t="s">
        <v>7</v>
      </c>
      <c r="J55" s="3" t="s">
        <v>63</v>
      </c>
      <c r="K55" s="3" t="s">
        <v>42</v>
      </c>
      <c r="L55" s="3" t="s">
        <v>59</v>
      </c>
      <c r="M55">
        <v>1</v>
      </c>
    </row>
    <row r="56" spans="1:13" x14ac:dyDescent="0.25">
      <c r="A56" s="1">
        <v>46148</v>
      </c>
      <c r="B56" s="1" t="str">
        <f ca="1">IF(Información1[[#This Row],[Fecha]]='Ajuste de fechas'!$A$2,"Día actual","Día anterior")</f>
        <v>Día actual</v>
      </c>
      <c r="C56" s="3" t="s">
        <v>41</v>
      </c>
      <c r="D56" t="s">
        <v>44</v>
      </c>
      <c r="E56" s="3" t="s">
        <v>253</v>
      </c>
      <c r="F56" s="3" t="s">
        <v>19</v>
      </c>
      <c r="G56" s="3" t="s">
        <v>254</v>
      </c>
      <c r="H56" s="3" t="s">
        <v>11</v>
      </c>
      <c r="I56" s="3" t="s">
        <v>7</v>
      </c>
      <c r="J56" s="3" t="s">
        <v>62</v>
      </c>
      <c r="K56" s="3" t="s">
        <v>42</v>
      </c>
      <c r="L56" s="3" t="s">
        <v>59</v>
      </c>
      <c r="M56">
        <v>1</v>
      </c>
    </row>
    <row r="57" spans="1:13" x14ac:dyDescent="0.25">
      <c r="A57" s="1">
        <v>46148</v>
      </c>
      <c r="B57" s="1" t="str">
        <f ca="1">IF(Información1[[#This Row],[Fecha]]='Ajuste de fechas'!$A$2,"Día actual","Día anterior")</f>
        <v>Día actual</v>
      </c>
      <c r="C57" s="3" t="s">
        <v>41</v>
      </c>
      <c r="D57" t="s">
        <v>44</v>
      </c>
      <c r="E57" s="3" t="s">
        <v>255</v>
      </c>
      <c r="F57" s="3" t="s">
        <v>17</v>
      </c>
      <c r="G57" s="3" t="s">
        <v>93</v>
      </c>
      <c r="H57" s="3" t="s">
        <v>11</v>
      </c>
      <c r="I57" s="3" t="s">
        <v>7</v>
      </c>
      <c r="J57" s="3" t="s">
        <v>58</v>
      </c>
      <c r="K57" s="3" t="s">
        <v>42</v>
      </c>
      <c r="L57" s="3" t="s">
        <v>60</v>
      </c>
      <c r="M57">
        <v>1</v>
      </c>
    </row>
    <row r="58" spans="1:13" x14ac:dyDescent="0.25">
      <c r="A58" s="1">
        <v>46148</v>
      </c>
      <c r="B58" s="1" t="str">
        <f ca="1">IF(Información1[[#This Row],[Fecha]]='Ajuste de fechas'!$A$2,"Día actual","Día anterior")</f>
        <v>Día actual</v>
      </c>
      <c r="C58" s="3" t="s">
        <v>41</v>
      </c>
      <c r="D58" t="s">
        <v>44</v>
      </c>
      <c r="E58" s="3" t="s">
        <v>256</v>
      </c>
      <c r="F58" s="3" t="s">
        <v>17</v>
      </c>
      <c r="G58" s="3" t="s">
        <v>93</v>
      </c>
      <c r="H58" s="3" t="s">
        <v>11</v>
      </c>
      <c r="I58" s="3" t="s">
        <v>7</v>
      </c>
      <c r="J58" s="3" t="s">
        <v>58</v>
      </c>
      <c r="K58" s="3" t="s">
        <v>42</v>
      </c>
      <c r="L58" s="3" t="s">
        <v>59</v>
      </c>
      <c r="M58">
        <v>1</v>
      </c>
    </row>
    <row r="59" spans="1:13" x14ac:dyDescent="0.25">
      <c r="A59" s="1">
        <v>46148</v>
      </c>
      <c r="B59" s="1" t="str">
        <f ca="1">IF(Información1[[#This Row],[Fecha]]='Ajuste de fechas'!$A$2,"Día actual","Día anterior")</f>
        <v>Día actual</v>
      </c>
      <c r="C59" s="3" t="s">
        <v>29</v>
      </c>
      <c r="D59" t="s">
        <v>31</v>
      </c>
      <c r="E59" s="3" t="s">
        <v>257</v>
      </c>
      <c r="F59" s="3" t="s">
        <v>22</v>
      </c>
      <c r="G59" s="3" t="s">
        <v>258</v>
      </c>
      <c r="H59" s="3" t="s">
        <v>11</v>
      </c>
      <c r="I59" s="3" t="s">
        <v>7</v>
      </c>
      <c r="J59" s="3" t="s">
        <v>63</v>
      </c>
      <c r="K59" s="3" t="s">
        <v>30</v>
      </c>
      <c r="L59" s="3" t="s">
        <v>59</v>
      </c>
      <c r="M59">
        <v>1</v>
      </c>
    </row>
    <row r="60" spans="1:13" x14ac:dyDescent="0.25">
      <c r="A60" s="1">
        <v>46148</v>
      </c>
      <c r="B60" s="1" t="str">
        <f ca="1">IF(Información1[[#This Row],[Fecha]]='Ajuste de fechas'!$A$2,"Día actual","Día anterior")</f>
        <v>Día actual</v>
      </c>
      <c r="C60" s="3" t="s">
        <v>29</v>
      </c>
      <c r="D60" t="s">
        <v>31</v>
      </c>
      <c r="E60" s="3" t="s">
        <v>259</v>
      </c>
      <c r="F60" s="3" t="s">
        <v>27</v>
      </c>
      <c r="G60" s="3" t="s">
        <v>203</v>
      </c>
      <c r="H60" s="3" t="s">
        <v>11</v>
      </c>
      <c r="I60" s="3" t="s">
        <v>7</v>
      </c>
      <c r="J60" s="3" t="s">
        <v>58</v>
      </c>
      <c r="K60" s="3" t="s">
        <v>30</v>
      </c>
      <c r="L60" s="3" t="s">
        <v>61</v>
      </c>
      <c r="M60">
        <v>1</v>
      </c>
    </row>
    <row r="61" spans="1:13" x14ac:dyDescent="0.25">
      <c r="A61" s="1">
        <v>46148</v>
      </c>
      <c r="B61" s="1" t="str">
        <f ca="1">IF(Información1[[#This Row],[Fecha]]='Ajuste de fechas'!$A$2,"Día actual","Día anterior")</f>
        <v>Día actual</v>
      </c>
      <c r="C61" s="3" t="s">
        <v>29</v>
      </c>
      <c r="D61" t="s">
        <v>31</v>
      </c>
      <c r="E61" s="3" t="s">
        <v>204</v>
      </c>
      <c r="F61" s="3" t="s">
        <v>23</v>
      </c>
      <c r="G61" s="3" t="s">
        <v>205</v>
      </c>
      <c r="H61" s="3" t="s">
        <v>11</v>
      </c>
      <c r="I61" s="3" t="s">
        <v>7</v>
      </c>
      <c r="J61" s="3" t="s">
        <v>58</v>
      </c>
      <c r="K61" s="3" t="s">
        <v>30</v>
      </c>
      <c r="L61" s="3" t="s">
        <v>61</v>
      </c>
      <c r="M61">
        <v>1</v>
      </c>
    </row>
    <row r="62" spans="1:13" x14ac:dyDescent="0.25">
      <c r="A62" s="1">
        <v>46148</v>
      </c>
      <c r="B62" s="1" t="str">
        <f ca="1">IF(Información1[[#This Row],[Fecha]]='Ajuste de fechas'!$A$2,"Día actual","Día anterior")</f>
        <v>Día actual</v>
      </c>
      <c r="C62" s="3" t="s">
        <v>29</v>
      </c>
      <c r="D62" t="s">
        <v>31</v>
      </c>
      <c r="E62" s="3" t="s">
        <v>222</v>
      </c>
      <c r="F62" s="3" t="s">
        <v>21</v>
      </c>
      <c r="G62" s="3" t="s">
        <v>260</v>
      </c>
      <c r="H62" s="3" t="s">
        <v>11</v>
      </c>
      <c r="I62" s="3" t="s">
        <v>7</v>
      </c>
      <c r="J62" s="3" t="s">
        <v>58</v>
      </c>
      <c r="K62" s="3" t="s">
        <v>30</v>
      </c>
      <c r="L62" s="3" t="s">
        <v>61</v>
      </c>
      <c r="M62">
        <v>1</v>
      </c>
    </row>
    <row r="63" spans="1:13" x14ac:dyDescent="0.25">
      <c r="A63" s="1">
        <v>46148</v>
      </c>
      <c r="B63" s="1" t="str">
        <f ca="1">IF(Información1[[#This Row],[Fecha]]='Ajuste de fechas'!$A$2,"Día actual","Día anterior")</f>
        <v>Día actual</v>
      </c>
      <c r="C63" s="3" t="s">
        <v>29</v>
      </c>
      <c r="D63" t="s">
        <v>31</v>
      </c>
      <c r="E63" s="3" t="s">
        <v>261</v>
      </c>
      <c r="F63" s="3" t="s">
        <v>70</v>
      </c>
      <c r="G63" s="3" t="s">
        <v>262</v>
      </c>
      <c r="H63" s="3" t="s">
        <v>11</v>
      </c>
      <c r="I63" s="3" t="s">
        <v>7</v>
      </c>
      <c r="J63" s="3" t="s">
        <v>58</v>
      </c>
      <c r="K63" s="3" t="s">
        <v>30</v>
      </c>
      <c r="L63" s="3" t="s">
        <v>59</v>
      </c>
      <c r="M63">
        <v>1</v>
      </c>
    </row>
    <row r="64" spans="1:13" x14ac:dyDescent="0.25">
      <c r="A64" s="1">
        <v>46148</v>
      </c>
      <c r="B64" s="1" t="str">
        <f ca="1">IF(Información1[[#This Row],[Fecha]]='Ajuste de fechas'!$A$2,"Día actual","Día anterior")</f>
        <v>Día actual</v>
      </c>
      <c r="C64" s="3" t="s">
        <v>29</v>
      </c>
      <c r="D64" t="s">
        <v>31</v>
      </c>
      <c r="E64" s="3" t="s">
        <v>263</v>
      </c>
      <c r="F64" s="3" t="s">
        <v>109</v>
      </c>
      <c r="G64" s="3" t="s">
        <v>205</v>
      </c>
      <c r="H64" s="3" t="s">
        <v>11</v>
      </c>
      <c r="I64" s="3" t="s">
        <v>7</v>
      </c>
      <c r="J64" s="3" t="s">
        <v>58</v>
      </c>
      <c r="K64" s="3" t="s">
        <v>30</v>
      </c>
      <c r="L64" s="3" t="s">
        <v>61</v>
      </c>
      <c r="M64">
        <v>1</v>
      </c>
    </row>
    <row r="65" spans="1:13" x14ac:dyDescent="0.25">
      <c r="A65" s="1">
        <v>46148</v>
      </c>
      <c r="B65" s="1" t="str">
        <f ca="1">IF(Información1[[#This Row],[Fecha]]='Ajuste de fechas'!$A$2,"Día actual","Día anterior")</f>
        <v>Día actual</v>
      </c>
      <c r="C65" s="3" t="s">
        <v>29</v>
      </c>
      <c r="D65" t="s">
        <v>31</v>
      </c>
      <c r="E65" s="3" t="s">
        <v>264</v>
      </c>
      <c r="F65" s="3" t="s">
        <v>23</v>
      </c>
      <c r="G65" s="3" t="s">
        <v>78</v>
      </c>
      <c r="H65" s="3" t="s">
        <v>11</v>
      </c>
      <c r="I65" s="3" t="s">
        <v>7</v>
      </c>
      <c r="J65" s="3" t="s">
        <v>58</v>
      </c>
      <c r="K65" s="3" t="s">
        <v>30</v>
      </c>
      <c r="L65" s="3" t="s">
        <v>61</v>
      </c>
      <c r="M65">
        <v>1</v>
      </c>
    </row>
    <row r="66" spans="1:13" x14ac:dyDescent="0.25">
      <c r="A66" s="1">
        <v>46148</v>
      </c>
      <c r="B66" s="1" t="str">
        <f ca="1">IF(Información1[[#This Row],[Fecha]]='Ajuste de fechas'!$A$2,"Día actual","Día anterior")</f>
        <v>Día actual</v>
      </c>
      <c r="C66" s="3" t="s">
        <v>29</v>
      </c>
      <c r="D66" t="s">
        <v>31</v>
      </c>
      <c r="E66" s="3" t="s">
        <v>265</v>
      </c>
      <c r="F66" s="3" t="s">
        <v>190</v>
      </c>
      <c r="G66" s="3" t="s">
        <v>203</v>
      </c>
      <c r="H66" s="3" t="s">
        <v>11</v>
      </c>
      <c r="I66" s="3" t="s">
        <v>7</v>
      </c>
      <c r="J66" s="3" t="s">
        <v>25</v>
      </c>
      <c r="K66" s="3" t="s">
        <v>30</v>
      </c>
      <c r="L66" s="3" t="s">
        <v>59</v>
      </c>
      <c r="M66">
        <v>1</v>
      </c>
    </row>
    <row r="67" spans="1:13" x14ac:dyDescent="0.25">
      <c r="A67" s="1">
        <v>46148</v>
      </c>
      <c r="B67" s="1" t="str">
        <f ca="1">IF(Información1[[#This Row],[Fecha]]='Ajuste de fechas'!$A$2,"Día actual","Día anterior")</f>
        <v>Día actual</v>
      </c>
      <c r="C67" s="3" t="s">
        <v>29</v>
      </c>
      <c r="D67" t="s">
        <v>31</v>
      </c>
      <c r="E67" s="3" t="s">
        <v>266</v>
      </c>
      <c r="F67" s="3" t="s">
        <v>79</v>
      </c>
      <c r="G67" s="3" t="s">
        <v>267</v>
      </c>
      <c r="H67" s="3" t="s">
        <v>11</v>
      </c>
      <c r="I67" s="3" t="s">
        <v>12</v>
      </c>
      <c r="J67" s="3" t="s">
        <v>58</v>
      </c>
      <c r="K67" s="3" t="s">
        <v>30</v>
      </c>
      <c r="L67" s="3" t="s">
        <v>60</v>
      </c>
      <c r="M67">
        <v>1</v>
      </c>
    </row>
    <row r="68" spans="1:13" x14ac:dyDescent="0.25">
      <c r="A68" s="1">
        <v>46148</v>
      </c>
      <c r="B68" s="1" t="str">
        <f ca="1">IF(Información1[[#This Row],[Fecha]]='Ajuste de fechas'!$A$2,"Día actual","Día anterior")</f>
        <v>Día actual</v>
      </c>
      <c r="C68" s="3" t="s">
        <v>29</v>
      </c>
      <c r="D68" t="s">
        <v>31</v>
      </c>
      <c r="E68" s="3" t="s">
        <v>268</v>
      </c>
      <c r="F68" s="3" t="s">
        <v>79</v>
      </c>
      <c r="G68" s="3" t="s">
        <v>267</v>
      </c>
      <c r="H68" s="3" t="s">
        <v>11</v>
      </c>
      <c r="I68" s="3" t="s">
        <v>7</v>
      </c>
      <c r="J68" s="3" t="s">
        <v>58</v>
      </c>
      <c r="K68" s="3" t="s">
        <v>30</v>
      </c>
      <c r="L68" s="3" t="s">
        <v>61</v>
      </c>
      <c r="M68">
        <v>1</v>
      </c>
    </row>
    <row r="69" spans="1:13" x14ac:dyDescent="0.25">
      <c r="A69" s="1">
        <v>46148</v>
      </c>
      <c r="B69" s="1" t="str">
        <f ca="1">IF(Información1[[#This Row],[Fecha]]='Ajuste de fechas'!$A$2,"Día actual","Día anterior")</f>
        <v>Día actual</v>
      </c>
      <c r="C69" s="3" t="s">
        <v>29</v>
      </c>
      <c r="D69" t="s">
        <v>31</v>
      </c>
      <c r="E69" s="3" t="s">
        <v>269</v>
      </c>
      <c r="F69" s="3" t="s">
        <v>105</v>
      </c>
      <c r="G69" s="3" t="s">
        <v>84</v>
      </c>
      <c r="H69" s="3" t="s">
        <v>11</v>
      </c>
      <c r="I69" s="3" t="s">
        <v>7</v>
      </c>
      <c r="J69" s="3" t="s">
        <v>58</v>
      </c>
      <c r="K69" s="3" t="s">
        <v>30</v>
      </c>
      <c r="L69" s="3" t="s">
        <v>61</v>
      </c>
      <c r="M69">
        <v>1</v>
      </c>
    </row>
    <row r="70" spans="1:13" x14ac:dyDescent="0.25">
      <c r="A70" s="1">
        <v>46148</v>
      </c>
      <c r="B70" s="1" t="str">
        <f ca="1">IF(Información1[[#This Row],[Fecha]]='Ajuste de fechas'!$A$2,"Día actual","Día anterior")</f>
        <v>Día actual</v>
      </c>
      <c r="C70" s="3" t="s">
        <v>41</v>
      </c>
      <c r="D70" t="s">
        <v>43</v>
      </c>
      <c r="E70" s="3" t="s">
        <v>270</v>
      </c>
      <c r="F70" s="3" t="s">
        <v>17</v>
      </c>
      <c r="G70" s="3" t="s">
        <v>93</v>
      </c>
      <c r="H70" s="3" t="s">
        <v>11</v>
      </c>
      <c r="I70" s="3" t="s">
        <v>7</v>
      </c>
      <c r="J70" s="3" t="s">
        <v>58</v>
      </c>
      <c r="K70" s="3" t="s">
        <v>9</v>
      </c>
      <c r="L70" s="3" t="s">
        <v>60</v>
      </c>
      <c r="M70">
        <v>1</v>
      </c>
    </row>
    <row r="71" spans="1:13" x14ac:dyDescent="0.25">
      <c r="A71" s="1">
        <v>46148</v>
      </c>
      <c r="B71" s="1" t="str">
        <f ca="1">IF(Información1[[#This Row],[Fecha]]='Ajuste de fechas'!$A$2,"Día actual","Día anterior")</f>
        <v>Día actual</v>
      </c>
      <c r="C71" s="3" t="s">
        <v>41</v>
      </c>
      <c r="D71" t="s">
        <v>43</v>
      </c>
      <c r="E71" s="3" t="s">
        <v>271</v>
      </c>
      <c r="F71" s="3" t="s">
        <v>25</v>
      </c>
      <c r="G71" s="3" t="s">
        <v>93</v>
      </c>
      <c r="H71" s="3" t="s">
        <v>11</v>
      </c>
      <c r="I71" s="3" t="s">
        <v>7</v>
      </c>
      <c r="J71" s="3" t="s">
        <v>25</v>
      </c>
      <c r="K71" s="3" t="s">
        <v>42</v>
      </c>
      <c r="L71" s="3" t="s">
        <v>64</v>
      </c>
      <c r="M71">
        <v>1</v>
      </c>
    </row>
    <row r="72" spans="1:13" x14ac:dyDescent="0.25">
      <c r="A72" s="1">
        <v>46148</v>
      </c>
      <c r="B72" s="1" t="str">
        <f ca="1">IF(Información1[[#This Row],[Fecha]]='Ajuste de fechas'!$A$2,"Día actual","Día anterior")</f>
        <v>Día actual</v>
      </c>
      <c r="C72" s="3" t="s">
        <v>41</v>
      </c>
      <c r="D72" t="s">
        <v>43</v>
      </c>
      <c r="E72" s="3" t="s">
        <v>272</v>
      </c>
      <c r="F72" s="3" t="s">
        <v>25</v>
      </c>
      <c r="G72" s="3" t="s">
        <v>273</v>
      </c>
      <c r="H72" s="3" t="s">
        <v>11</v>
      </c>
      <c r="I72" s="3" t="s">
        <v>7</v>
      </c>
      <c r="J72" s="3" t="s">
        <v>25</v>
      </c>
      <c r="K72" s="3" t="s">
        <v>274</v>
      </c>
      <c r="L72" s="3" t="s">
        <v>60</v>
      </c>
      <c r="M72">
        <v>1</v>
      </c>
    </row>
    <row r="73" spans="1:13" x14ac:dyDescent="0.25">
      <c r="A73" s="1">
        <v>46148</v>
      </c>
      <c r="B73" s="1" t="str">
        <f ca="1">IF(Información1[[#This Row],[Fecha]]='Ajuste de fechas'!$A$2,"Día actual","Día anterior")</f>
        <v>Día actual</v>
      </c>
      <c r="C73" s="3" t="s">
        <v>41</v>
      </c>
      <c r="D73" t="s">
        <v>43</v>
      </c>
      <c r="E73" s="3" t="s">
        <v>275</v>
      </c>
      <c r="F73" s="3" t="s">
        <v>276</v>
      </c>
      <c r="G73" s="3" t="s">
        <v>277</v>
      </c>
      <c r="H73" s="3" t="s">
        <v>11</v>
      </c>
      <c r="I73" s="3" t="s">
        <v>26</v>
      </c>
      <c r="J73" s="3" t="s">
        <v>25</v>
      </c>
      <c r="K73" s="3" t="s">
        <v>274</v>
      </c>
      <c r="L73" s="3" t="s">
        <v>60</v>
      </c>
      <c r="M73">
        <v>1</v>
      </c>
    </row>
    <row r="74" spans="1:13" x14ac:dyDescent="0.25">
      <c r="A74" s="1">
        <v>46148</v>
      </c>
      <c r="B74" s="1" t="str">
        <f ca="1">IF(Información1[[#This Row],[Fecha]]='Ajuste de fechas'!$A$2,"Día actual","Día anterior")</f>
        <v>Día actual</v>
      </c>
      <c r="C74" s="3" t="s">
        <v>41</v>
      </c>
      <c r="D74" t="s">
        <v>43</v>
      </c>
      <c r="E74" s="3" t="s">
        <v>278</v>
      </c>
      <c r="F74" s="3" t="s">
        <v>19</v>
      </c>
      <c r="G74" s="3" t="s">
        <v>104</v>
      </c>
      <c r="H74" s="3" t="s">
        <v>11</v>
      </c>
      <c r="I74" s="3" t="s">
        <v>26</v>
      </c>
      <c r="J74" s="3" t="s">
        <v>62</v>
      </c>
      <c r="K74" s="3" t="s">
        <v>274</v>
      </c>
      <c r="L74" s="3" t="s">
        <v>60</v>
      </c>
      <c r="M74">
        <v>1</v>
      </c>
    </row>
    <row r="75" spans="1:13" x14ac:dyDescent="0.25">
      <c r="A75" s="1">
        <v>46148</v>
      </c>
      <c r="B75" s="1" t="str">
        <f ca="1">IF(Información1[[#This Row],[Fecha]]='Ajuste de fechas'!$A$2,"Día actual","Día anterior")</f>
        <v>Día actual</v>
      </c>
      <c r="C75" s="3" t="s">
        <v>41</v>
      </c>
      <c r="D75" t="s">
        <v>43</v>
      </c>
      <c r="E75" s="3" t="s">
        <v>279</v>
      </c>
      <c r="F75" s="3" t="s">
        <v>19</v>
      </c>
      <c r="G75" s="3" t="s">
        <v>280</v>
      </c>
      <c r="H75" s="3" t="s">
        <v>11</v>
      </c>
      <c r="I75" s="3" t="s">
        <v>7</v>
      </c>
      <c r="J75" s="3" t="s">
        <v>62</v>
      </c>
      <c r="K75" s="3" t="s">
        <v>274</v>
      </c>
      <c r="L75" s="3" t="s">
        <v>60</v>
      </c>
      <c r="M75">
        <v>1</v>
      </c>
    </row>
    <row r="76" spans="1:13" x14ac:dyDescent="0.25">
      <c r="A76" s="1">
        <v>46148</v>
      </c>
      <c r="B76" s="1" t="str">
        <f ca="1">IF(Información1[[#This Row],[Fecha]]='Ajuste de fechas'!$A$2,"Día actual","Día anterior")</f>
        <v>Día actual</v>
      </c>
      <c r="C76" s="3" t="s">
        <v>41</v>
      </c>
      <c r="D76" t="s">
        <v>43</v>
      </c>
      <c r="E76" s="3" t="s">
        <v>281</v>
      </c>
      <c r="F76" s="3" t="s">
        <v>23</v>
      </c>
      <c r="G76" s="3" t="s">
        <v>112</v>
      </c>
      <c r="H76" s="3" t="s">
        <v>11</v>
      </c>
      <c r="I76" s="3" t="s">
        <v>26</v>
      </c>
      <c r="J76" s="3" t="s">
        <v>58</v>
      </c>
      <c r="K76" s="3" t="s">
        <v>274</v>
      </c>
      <c r="L76" s="3" t="s">
        <v>60</v>
      </c>
      <c r="M76">
        <v>1</v>
      </c>
    </row>
    <row r="77" spans="1:13" x14ac:dyDescent="0.25">
      <c r="A77" s="1">
        <v>46148</v>
      </c>
      <c r="B77" s="1" t="str">
        <f ca="1">IF(Información1[[#This Row],[Fecha]]='Ajuste de fechas'!$A$2,"Día actual","Día anterior")</f>
        <v>Día actual</v>
      </c>
      <c r="C77" s="3" t="s">
        <v>41</v>
      </c>
      <c r="D77" t="s">
        <v>43</v>
      </c>
      <c r="E77" s="3" t="s">
        <v>269</v>
      </c>
      <c r="F77" s="3" t="s">
        <v>105</v>
      </c>
      <c r="G77" s="3" t="s">
        <v>84</v>
      </c>
      <c r="H77" s="3" t="s">
        <v>11</v>
      </c>
      <c r="I77" s="3" t="s">
        <v>7</v>
      </c>
      <c r="J77" s="3" t="s">
        <v>58</v>
      </c>
      <c r="K77" s="3" t="s">
        <v>36</v>
      </c>
      <c r="L77" s="3" t="s">
        <v>61</v>
      </c>
      <c r="M77">
        <v>1</v>
      </c>
    </row>
    <row r="78" spans="1:13" x14ac:dyDescent="0.25">
      <c r="A78" s="1">
        <v>46148</v>
      </c>
      <c r="B78" s="1" t="str">
        <f ca="1">IF(Información1[[#This Row],[Fecha]]='Ajuste de fechas'!$A$2,"Día actual","Día anterior")</f>
        <v>Día actual</v>
      </c>
      <c r="C78" s="3" t="s">
        <v>41</v>
      </c>
      <c r="D78" t="s">
        <v>43</v>
      </c>
      <c r="E78" s="3" t="s">
        <v>282</v>
      </c>
      <c r="F78" s="3" t="s">
        <v>6</v>
      </c>
      <c r="G78" s="3" t="s">
        <v>283</v>
      </c>
      <c r="H78" s="3" t="s">
        <v>11</v>
      </c>
      <c r="I78" s="3" t="s">
        <v>7</v>
      </c>
      <c r="J78" s="3" t="s">
        <v>58</v>
      </c>
      <c r="K78" s="3" t="s">
        <v>36</v>
      </c>
      <c r="L78" s="3" t="s">
        <v>61</v>
      </c>
      <c r="M78">
        <v>1</v>
      </c>
    </row>
    <row r="79" spans="1:13" x14ac:dyDescent="0.25">
      <c r="A79" s="1">
        <v>46148</v>
      </c>
      <c r="B79" s="1" t="str">
        <f ca="1">IF(Información1[[#This Row],[Fecha]]='Ajuste de fechas'!$A$2,"Día actual","Día anterior")</f>
        <v>Día actual</v>
      </c>
      <c r="C79" s="3" t="s">
        <v>41</v>
      </c>
      <c r="D79" t="s">
        <v>43</v>
      </c>
      <c r="E79" s="3" t="s">
        <v>263</v>
      </c>
      <c r="F79" s="3" t="s">
        <v>109</v>
      </c>
      <c r="G79" s="3" t="s">
        <v>284</v>
      </c>
      <c r="H79" s="3" t="s">
        <v>11</v>
      </c>
      <c r="I79" s="3" t="s">
        <v>7</v>
      </c>
      <c r="J79" s="3" t="s">
        <v>58</v>
      </c>
      <c r="K79" s="3" t="s">
        <v>36</v>
      </c>
      <c r="L79" s="3" t="s">
        <v>61</v>
      </c>
      <c r="M79">
        <v>1</v>
      </c>
    </row>
    <row r="80" spans="1:13" x14ac:dyDescent="0.25">
      <c r="A80" s="1">
        <v>46148</v>
      </c>
      <c r="B80" s="1" t="str">
        <f ca="1">IF(Información1[[#This Row],[Fecha]]='Ajuste de fechas'!$A$2,"Día actual","Día anterior")</f>
        <v>Día actual</v>
      </c>
      <c r="C80" s="3" t="s">
        <v>41</v>
      </c>
      <c r="D80" t="s">
        <v>43</v>
      </c>
      <c r="E80" s="3" t="s">
        <v>264</v>
      </c>
      <c r="F80" s="3" t="s">
        <v>23</v>
      </c>
      <c r="G80" s="3" t="s">
        <v>78</v>
      </c>
      <c r="H80" s="3" t="s">
        <v>11</v>
      </c>
      <c r="I80" s="3" t="s">
        <v>7</v>
      </c>
      <c r="J80" s="3" t="s">
        <v>58</v>
      </c>
      <c r="K80" s="3" t="s">
        <v>36</v>
      </c>
      <c r="L80" s="3" t="s">
        <v>61</v>
      </c>
      <c r="M80">
        <v>1</v>
      </c>
    </row>
    <row r="81" spans="1:13" x14ac:dyDescent="0.25">
      <c r="A81" s="1">
        <v>46148</v>
      </c>
      <c r="B81" s="1" t="str">
        <f ca="1">IF(Información1[[#This Row],[Fecha]]='Ajuste de fechas'!$A$2,"Día actual","Día anterior")</f>
        <v>Día actual</v>
      </c>
      <c r="C81" s="3" t="s">
        <v>41</v>
      </c>
      <c r="D81" t="s">
        <v>43</v>
      </c>
      <c r="E81" s="3" t="s">
        <v>285</v>
      </c>
      <c r="F81" s="3" t="s">
        <v>90</v>
      </c>
      <c r="G81" s="3" t="s">
        <v>89</v>
      </c>
      <c r="H81" s="3" t="s">
        <v>11</v>
      </c>
      <c r="I81" s="3" t="s">
        <v>12</v>
      </c>
      <c r="J81" s="3" t="s">
        <v>58</v>
      </c>
      <c r="K81" s="3" t="s">
        <v>36</v>
      </c>
      <c r="L81" s="3" t="s">
        <v>96</v>
      </c>
      <c r="M81">
        <v>1</v>
      </c>
    </row>
    <row r="82" spans="1:13" x14ac:dyDescent="0.25">
      <c r="A82" s="1">
        <v>46148</v>
      </c>
      <c r="B82" s="1" t="str">
        <f ca="1">IF(Información1[[#This Row],[Fecha]]='Ajuste de fechas'!$A$2,"Día actual","Día anterior")</f>
        <v>Día actual</v>
      </c>
      <c r="C82" s="3" t="s">
        <v>41</v>
      </c>
      <c r="D82" t="s">
        <v>43</v>
      </c>
      <c r="E82" s="3" t="s">
        <v>286</v>
      </c>
      <c r="F82" s="3" t="s">
        <v>17</v>
      </c>
      <c r="G82" s="3" t="s">
        <v>93</v>
      </c>
      <c r="H82" s="3" t="s">
        <v>11</v>
      </c>
      <c r="I82" s="3" t="s">
        <v>7</v>
      </c>
      <c r="J82" s="3" t="s">
        <v>58</v>
      </c>
      <c r="K82" s="3" t="s">
        <v>42</v>
      </c>
      <c r="L82" s="3" t="s">
        <v>59</v>
      </c>
      <c r="M82">
        <v>1</v>
      </c>
    </row>
    <row r="83" spans="1:13" x14ac:dyDescent="0.25">
      <c r="A83" s="1">
        <v>46148</v>
      </c>
      <c r="B83" s="1" t="str">
        <f ca="1">IF(Información1[[#This Row],[Fecha]]='Ajuste de fechas'!$A$2,"Día actual","Día anterior")</f>
        <v>Día actual</v>
      </c>
      <c r="C83" s="3" t="s">
        <v>32</v>
      </c>
      <c r="D83" t="s">
        <v>34</v>
      </c>
      <c r="E83" s="3" t="s">
        <v>287</v>
      </c>
      <c r="F83" s="3" t="s">
        <v>22</v>
      </c>
      <c r="G83" s="3" t="s">
        <v>288</v>
      </c>
      <c r="H83" s="3" t="s">
        <v>11</v>
      </c>
      <c r="I83" s="3" t="s">
        <v>7</v>
      </c>
      <c r="J83" s="3" t="s">
        <v>63</v>
      </c>
      <c r="K83" s="3" t="s">
        <v>50</v>
      </c>
      <c r="L83" s="3" t="s">
        <v>59</v>
      </c>
      <c r="M83">
        <v>1</v>
      </c>
    </row>
    <row r="84" spans="1:13" x14ac:dyDescent="0.25">
      <c r="A84" s="1">
        <v>46148</v>
      </c>
      <c r="B84" s="1" t="str">
        <f ca="1">IF(Información1[[#This Row],[Fecha]]='Ajuste de fechas'!$A$2,"Día actual","Día anterior")</f>
        <v>Día actual</v>
      </c>
      <c r="C84" s="3" t="s">
        <v>32</v>
      </c>
      <c r="D84" t="s">
        <v>34</v>
      </c>
      <c r="E84" s="3" t="s">
        <v>289</v>
      </c>
      <c r="F84" s="3" t="s">
        <v>15</v>
      </c>
      <c r="G84" s="3" t="s">
        <v>76</v>
      </c>
      <c r="H84" s="3" t="s">
        <v>11</v>
      </c>
      <c r="I84" s="3" t="s">
        <v>7</v>
      </c>
      <c r="J84" s="3" t="s">
        <v>58</v>
      </c>
      <c r="K84" s="3" t="s">
        <v>50</v>
      </c>
      <c r="L84" s="3" t="s">
        <v>64</v>
      </c>
      <c r="M84">
        <v>1</v>
      </c>
    </row>
    <row r="85" spans="1:13" x14ac:dyDescent="0.25">
      <c r="A85" s="1">
        <v>46148</v>
      </c>
      <c r="B85" s="1" t="str">
        <f ca="1">IF(Información1[[#This Row],[Fecha]]='Ajuste de fechas'!$A$2,"Día actual","Día anterior")</f>
        <v>Día actual</v>
      </c>
      <c r="C85" s="3" t="s">
        <v>32</v>
      </c>
      <c r="D85" t="s">
        <v>35</v>
      </c>
      <c r="E85" s="3" t="s">
        <v>290</v>
      </c>
      <c r="F85" s="3" t="s">
        <v>15</v>
      </c>
      <c r="G85" s="3" t="s">
        <v>76</v>
      </c>
      <c r="H85" s="3" t="s">
        <v>11</v>
      </c>
      <c r="I85" s="3" t="s">
        <v>7</v>
      </c>
      <c r="J85" s="3" t="s">
        <v>58</v>
      </c>
      <c r="K85" s="3" t="s">
        <v>33</v>
      </c>
      <c r="L85" s="3" t="s">
        <v>64</v>
      </c>
      <c r="M85">
        <v>1</v>
      </c>
    </row>
    <row r="86" spans="1:13" x14ac:dyDescent="0.25">
      <c r="A86" s="1">
        <v>46148</v>
      </c>
      <c r="B86" s="1" t="str">
        <f ca="1">IF(Información1[[#This Row],[Fecha]]='Ajuste de fechas'!$A$2,"Día actual","Día anterior")</f>
        <v>Día actual</v>
      </c>
      <c r="C86" s="3" t="s">
        <v>8</v>
      </c>
      <c r="D86" t="s">
        <v>10</v>
      </c>
      <c r="E86" s="3" t="s">
        <v>291</v>
      </c>
      <c r="F86" s="3" t="s">
        <v>17</v>
      </c>
      <c r="G86" s="3" t="s">
        <v>292</v>
      </c>
      <c r="H86" s="3" t="s">
        <v>11</v>
      </c>
      <c r="I86" s="3" t="s">
        <v>26</v>
      </c>
      <c r="J86" s="3" t="s">
        <v>58</v>
      </c>
      <c r="K86" s="3" t="s">
        <v>9</v>
      </c>
      <c r="L86" s="3" t="s">
        <v>60</v>
      </c>
      <c r="M86">
        <v>1</v>
      </c>
    </row>
    <row r="87" spans="1:13" x14ac:dyDescent="0.25">
      <c r="A87" s="1">
        <v>46148</v>
      </c>
      <c r="B87" s="1" t="str">
        <f ca="1">IF(Información1[[#This Row],[Fecha]]='Ajuste de fechas'!$A$2,"Día actual","Día anterior")</f>
        <v>Día actual</v>
      </c>
      <c r="C87" s="3" t="s">
        <v>8</v>
      </c>
      <c r="D87" t="s">
        <v>10</v>
      </c>
      <c r="E87" s="3" t="s">
        <v>20</v>
      </c>
      <c r="F87" s="3" t="s">
        <v>19</v>
      </c>
      <c r="G87" s="3" t="s">
        <v>49</v>
      </c>
      <c r="H87" s="3" t="s">
        <v>11</v>
      </c>
      <c r="I87" s="3" t="s">
        <v>12</v>
      </c>
      <c r="J87" s="3" t="s">
        <v>62</v>
      </c>
      <c r="K87" s="3" t="s">
        <v>14</v>
      </c>
      <c r="L87" s="3" t="s">
        <v>60</v>
      </c>
      <c r="M87">
        <v>1</v>
      </c>
    </row>
    <row r="88" spans="1:13" x14ac:dyDescent="0.25">
      <c r="A88" s="1">
        <v>46148</v>
      </c>
      <c r="B88" s="1" t="str">
        <f ca="1">IF(Información1[[#This Row],[Fecha]]='Ajuste de fechas'!$A$2,"Día actual","Día anterior")</f>
        <v>Día actual</v>
      </c>
      <c r="C88" s="3" t="s">
        <v>8</v>
      </c>
      <c r="D88" t="s">
        <v>10</v>
      </c>
      <c r="E88" s="3" t="s">
        <v>18</v>
      </c>
      <c r="F88" s="3" t="s">
        <v>19</v>
      </c>
      <c r="G88" s="3" t="s">
        <v>49</v>
      </c>
      <c r="H88" s="3" t="s">
        <v>11</v>
      </c>
      <c r="I88" s="3" t="s">
        <v>12</v>
      </c>
      <c r="J88" s="3" t="s">
        <v>62</v>
      </c>
      <c r="K88" s="3" t="s">
        <v>14</v>
      </c>
      <c r="L88" s="3" t="s">
        <v>60</v>
      </c>
      <c r="M88">
        <v>1</v>
      </c>
    </row>
    <row r="89" spans="1:13" x14ac:dyDescent="0.25">
      <c r="A89" s="1">
        <v>46148</v>
      </c>
      <c r="B89" s="1" t="str">
        <f ca="1">IF(Información1[[#This Row],[Fecha]]='Ajuste de fechas'!$A$2,"Día actual","Día anterior")</f>
        <v>Día actual</v>
      </c>
      <c r="C89" s="3" t="s">
        <v>8</v>
      </c>
      <c r="D89" t="s">
        <v>10</v>
      </c>
      <c r="E89" s="3" t="s">
        <v>293</v>
      </c>
      <c r="F89" s="3" t="s">
        <v>190</v>
      </c>
      <c r="G89" s="3" t="s">
        <v>49</v>
      </c>
      <c r="H89" s="3" t="s">
        <v>11</v>
      </c>
      <c r="I89" s="3" t="s">
        <v>12</v>
      </c>
      <c r="J89" s="3" t="s">
        <v>25</v>
      </c>
      <c r="K89" s="3" t="s">
        <v>14</v>
      </c>
      <c r="L89" s="3" t="s">
        <v>60</v>
      </c>
      <c r="M89">
        <v>1</v>
      </c>
    </row>
    <row r="90" spans="1:13" x14ac:dyDescent="0.25">
      <c r="A90" s="1">
        <v>46148</v>
      </c>
      <c r="B90" s="1" t="str">
        <f ca="1">IF(Información1[[#This Row],[Fecha]]='Ajuste de fechas'!$A$2,"Día actual","Día anterior")</f>
        <v>Día actual</v>
      </c>
      <c r="C90" s="3" t="s">
        <v>8</v>
      </c>
      <c r="D90" t="s">
        <v>10</v>
      </c>
      <c r="E90" s="3" t="s">
        <v>71</v>
      </c>
      <c r="F90" s="3" t="s">
        <v>21</v>
      </c>
      <c r="G90" s="3" t="s">
        <v>49</v>
      </c>
      <c r="H90" s="3" t="s">
        <v>11</v>
      </c>
      <c r="I90" s="3" t="s">
        <v>12</v>
      </c>
      <c r="J90" s="3" t="s">
        <v>58</v>
      </c>
      <c r="K90" s="3" t="s">
        <v>14</v>
      </c>
      <c r="L90" s="3" t="s">
        <v>60</v>
      </c>
      <c r="M90">
        <v>1</v>
      </c>
    </row>
    <row r="91" spans="1:13" x14ac:dyDescent="0.25">
      <c r="A91" s="1">
        <v>46148</v>
      </c>
      <c r="B91" s="1" t="str">
        <f ca="1">IF(Información1[[#This Row],[Fecha]]='Ajuste de fechas'!$A$2,"Día actual","Día anterior")</f>
        <v>Día actual</v>
      </c>
      <c r="C91" s="3" t="s">
        <v>8</v>
      </c>
      <c r="D91" t="s">
        <v>10</v>
      </c>
      <c r="E91" s="3" t="s">
        <v>13</v>
      </c>
      <c r="F91" s="3" t="s">
        <v>15</v>
      </c>
      <c r="G91" s="3" t="s">
        <v>49</v>
      </c>
      <c r="H91" s="3" t="s">
        <v>11</v>
      </c>
      <c r="I91" s="3" t="s">
        <v>12</v>
      </c>
      <c r="J91" s="3" t="s">
        <v>58</v>
      </c>
      <c r="K91" s="3" t="s">
        <v>14</v>
      </c>
      <c r="L91" s="3" t="s">
        <v>60</v>
      </c>
      <c r="M91">
        <v>1</v>
      </c>
    </row>
    <row r="92" spans="1:13" x14ac:dyDescent="0.25">
      <c r="A92" s="1">
        <v>46148</v>
      </c>
      <c r="B92" s="1" t="str">
        <f ca="1">IF(Información1[[#This Row],[Fecha]]='Ajuste de fechas'!$A$2,"Día actual","Día anterior")</f>
        <v>Día actual</v>
      </c>
      <c r="C92" s="3" t="s">
        <v>8</v>
      </c>
      <c r="D92" t="s">
        <v>10</v>
      </c>
      <c r="E92" s="3" t="s">
        <v>16</v>
      </c>
      <c r="F92" s="3" t="s">
        <v>17</v>
      </c>
      <c r="G92" s="3" t="s">
        <v>49</v>
      </c>
      <c r="H92" s="3" t="s">
        <v>11</v>
      </c>
      <c r="I92" s="3" t="s">
        <v>12</v>
      </c>
      <c r="J92" s="3" t="s">
        <v>58</v>
      </c>
      <c r="K92" s="3" t="s">
        <v>14</v>
      </c>
      <c r="L92" s="3" t="s">
        <v>60</v>
      </c>
      <c r="M92">
        <v>1</v>
      </c>
    </row>
    <row r="93" spans="1:13" x14ac:dyDescent="0.25">
      <c r="A93" s="1">
        <v>46148</v>
      </c>
      <c r="B93" s="1" t="str">
        <f ca="1">IF(Información1[[#This Row],[Fecha]]='Ajuste de fechas'!$A$2,"Día actual","Día anterior")</f>
        <v>Día actual</v>
      </c>
      <c r="C93" s="3" t="s">
        <v>8</v>
      </c>
      <c r="D93" t="s">
        <v>10</v>
      </c>
      <c r="E93" s="3" t="s">
        <v>51</v>
      </c>
      <c r="F93" s="3" t="s">
        <v>6</v>
      </c>
      <c r="G93" s="3" t="s">
        <v>49</v>
      </c>
      <c r="H93" s="3" t="s">
        <v>11</v>
      </c>
      <c r="I93" s="3" t="s">
        <v>12</v>
      </c>
      <c r="J93" s="3" t="s">
        <v>58</v>
      </c>
      <c r="K93" s="3" t="s">
        <v>14</v>
      </c>
      <c r="L93" s="3" t="s">
        <v>60</v>
      </c>
      <c r="M93">
        <v>1</v>
      </c>
    </row>
    <row r="94" spans="1:13" x14ac:dyDescent="0.25">
      <c r="A94" s="1">
        <v>46148</v>
      </c>
      <c r="B94" s="1" t="str">
        <f ca="1">IF(Información1[[#This Row],[Fecha]]='Ajuste de fechas'!$A$2,"Día actual","Día anterior")</f>
        <v>Día actual</v>
      </c>
      <c r="C94" s="3" t="s">
        <v>32</v>
      </c>
      <c r="D94" t="s">
        <v>34</v>
      </c>
      <c r="E94" s="3" t="s">
        <v>294</v>
      </c>
      <c r="F94" s="3" t="s">
        <v>27</v>
      </c>
      <c r="G94" s="3" t="s">
        <v>93</v>
      </c>
      <c r="H94" s="3" t="s">
        <v>11</v>
      </c>
      <c r="I94" s="3" t="s">
        <v>7</v>
      </c>
      <c r="J94" s="3" t="s">
        <v>58</v>
      </c>
      <c r="K94" s="3" t="s">
        <v>50</v>
      </c>
      <c r="L94" s="3" t="s">
        <v>59</v>
      </c>
      <c r="M94">
        <v>1</v>
      </c>
    </row>
    <row r="95" spans="1:13" x14ac:dyDescent="0.25">
      <c r="A95" s="1">
        <v>46148</v>
      </c>
      <c r="B95" s="1" t="str">
        <f ca="1">IF(Información1[[#This Row],[Fecha]]='Ajuste de fechas'!$A$2,"Día actual","Día anterior")</f>
        <v>Día actual</v>
      </c>
      <c r="C95" s="3" t="s">
        <v>32</v>
      </c>
      <c r="D95" t="s">
        <v>35</v>
      </c>
      <c r="E95" s="3" t="s">
        <v>295</v>
      </c>
      <c r="F95" s="3" t="s">
        <v>17</v>
      </c>
      <c r="G95" s="3" t="s">
        <v>93</v>
      </c>
      <c r="H95" s="3" t="s">
        <v>11</v>
      </c>
      <c r="I95" s="3" t="s">
        <v>7</v>
      </c>
      <c r="J95" s="3" t="s">
        <v>58</v>
      </c>
      <c r="K95" s="3" t="s">
        <v>33</v>
      </c>
      <c r="L95" s="3" t="s">
        <v>59</v>
      </c>
      <c r="M95">
        <v>1</v>
      </c>
    </row>
    <row r="96" spans="1:13" x14ac:dyDescent="0.25">
      <c r="A96" s="1">
        <v>46148</v>
      </c>
      <c r="B96" s="1" t="str">
        <f ca="1">IF(Información1[[#This Row],[Fecha]]='Ajuste de fechas'!$A$2,"Día actual","Día anterior")</f>
        <v>Día actual</v>
      </c>
      <c r="C96" s="3" t="s">
        <v>8</v>
      </c>
      <c r="D96" t="s">
        <v>10</v>
      </c>
      <c r="E96" s="3" t="s">
        <v>296</v>
      </c>
      <c r="F96" s="3" t="s">
        <v>23</v>
      </c>
      <c r="G96" s="3" t="s">
        <v>78</v>
      </c>
      <c r="H96" s="3" t="s">
        <v>11</v>
      </c>
      <c r="I96" s="3" t="s">
        <v>7</v>
      </c>
      <c r="J96" s="3" t="s">
        <v>58</v>
      </c>
      <c r="K96" s="3" t="s">
        <v>14</v>
      </c>
      <c r="L96" s="3" t="s">
        <v>61</v>
      </c>
      <c r="M96">
        <v>1</v>
      </c>
    </row>
    <row r="97" spans="1:13" x14ac:dyDescent="0.25">
      <c r="A97" s="1">
        <v>46148</v>
      </c>
      <c r="B97" s="1" t="str">
        <f ca="1">IF(Información1[[#This Row],[Fecha]]='Ajuste de fechas'!$A$2,"Día actual","Día anterior")</f>
        <v>Día actual</v>
      </c>
      <c r="C97" s="3" t="s">
        <v>32</v>
      </c>
      <c r="D97" t="s">
        <v>34</v>
      </c>
      <c r="E97" s="3" t="s">
        <v>297</v>
      </c>
      <c r="F97" s="3" t="s">
        <v>109</v>
      </c>
      <c r="G97" s="3" t="s">
        <v>205</v>
      </c>
      <c r="H97" s="3" t="s">
        <v>11</v>
      </c>
      <c r="I97" s="3" t="s">
        <v>7</v>
      </c>
      <c r="J97" s="3" t="s">
        <v>58</v>
      </c>
      <c r="K97" s="3" t="s">
        <v>50</v>
      </c>
      <c r="L97" s="3" t="s">
        <v>59</v>
      </c>
      <c r="M97">
        <v>1</v>
      </c>
    </row>
    <row r="98" spans="1:13" x14ac:dyDescent="0.25">
      <c r="A98" s="1">
        <v>46148</v>
      </c>
      <c r="B98" s="1" t="str">
        <f ca="1">IF(Información1[[#This Row],[Fecha]]='Ajuste de fechas'!$A$2,"Día actual","Día anterior")</f>
        <v>Día actual</v>
      </c>
      <c r="C98" s="3" t="s">
        <v>32</v>
      </c>
      <c r="D98" t="s">
        <v>35</v>
      </c>
      <c r="E98" s="3" t="s">
        <v>298</v>
      </c>
      <c r="F98" s="3" t="s">
        <v>109</v>
      </c>
      <c r="G98" s="3" t="s">
        <v>205</v>
      </c>
      <c r="H98" s="3" t="s">
        <v>11</v>
      </c>
      <c r="I98" s="3" t="s">
        <v>7</v>
      </c>
      <c r="J98" s="3" t="s">
        <v>58</v>
      </c>
      <c r="K98" s="3" t="s">
        <v>33</v>
      </c>
      <c r="L98" s="3" t="s">
        <v>59</v>
      </c>
      <c r="M98">
        <v>1</v>
      </c>
    </row>
    <row r="99" spans="1:13" x14ac:dyDescent="0.25">
      <c r="A99" s="1">
        <v>46148</v>
      </c>
      <c r="B99" s="1" t="str">
        <f ca="1">IF(Información1[[#This Row],[Fecha]]='Ajuste de fechas'!$A$2,"Día actual","Día anterior")</f>
        <v>Día actual</v>
      </c>
      <c r="C99" s="3" t="s">
        <v>8</v>
      </c>
      <c r="D99" t="s">
        <v>10</v>
      </c>
      <c r="E99" s="3" t="s">
        <v>204</v>
      </c>
      <c r="F99" s="3" t="s">
        <v>23</v>
      </c>
      <c r="G99" s="3" t="s">
        <v>205</v>
      </c>
      <c r="H99" s="3" t="s">
        <v>11</v>
      </c>
      <c r="I99" s="3" t="s">
        <v>7</v>
      </c>
      <c r="J99" s="3" t="s">
        <v>58</v>
      </c>
      <c r="K99" s="3" t="s">
        <v>14</v>
      </c>
      <c r="L99" s="3" t="s">
        <v>61</v>
      </c>
      <c r="M99">
        <v>1</v>
      </c>
    </row>
    <row r="100" spans="1:13" x14ac:dyDescent="0.25">
      <c r="A100" s="1">
        <v>46148</v>
      </c>
      <c r="B100" s="1" t="str">
        <f ca="1">IF(Información1[[#This Row],[Fecha]]='Ajuste de fechas'!$A$2,"Día actual","Día anterior")</f>
        <v>Día actual</v>
      </c>
      <c r="C100" s="3" t="s">
        <v>32</v>
      </c>
      <c r="D100" t="s">
        <v>34</v>
      </c>
      <c r="E100" s="3" t="s">
        <v>299</v>
      </c>
      <c r="F100" s="3" t="s">
        <v>27</v>
      </c>
      <c r="G100" s="3" t="s">
        <v>99</v>
      </c>
      <c r="H100" s="3" t="s">
        <v>11</v>
      </c>
      <c r="I100" s="3" t="s">
        <v>7</v>
      </c>
      <c r="J100" s="3" t="s">
        <v>58</v>
      </c>
      <c r="K100" s="3" t="s">
        <v>50</v>
      </c>
      <c r="L100" s="3" t="s">
        <v>59</v>
      </c>
      <c r="M100">
        <v>1</v>
      </c>
    </row>
    <row r="101" spans="1:13" x14ac:dyDescent="0.25">
      <c r="A101" s="1">
        <v>46148</v>
      </c>
      <c r="B101" s="1" t="str">
        <f ca="1">IF(Información1[[#This Row],[Fecha]]='Ajuste de fechas'!$A$2,"Día actual","Día anterior")</f>
        <v>Día actual</v>
      </c>
      <c r="C101" s="3" t="s">
        <v>8</v>
      </c>
      <c r="D101" t="s">
        <v>10</v>
      </c>
      <c r="E101" s="3" t="s">
        <v>302</v>
      </c>
      <c r="F101" s="3" t="s">
        <v>6</v>
      </c>
      <c r="G101" s="3" t="s">
        <v>303</v>
      </c>
      <c r="H101" s="3" t="s">
        <v>11</v>
      </c>
      <c r="I101" s="3" t="s">
        <v>26</v>
      </c>
      <c r="J101" s="3" t="s">
        <v>58</v>
      </c>
      <c r="K101" s="3" t="s">
        <v>9</v>
      </c>
      <c r="L101" s="3" t="s">
        <v>60</v>
      </c>
      <c r="M101">
        <v>1</v>
      </c>
    </row>
    <row r="102" spans="1:13" x14ac:dyDescent="0.25">
      <c r="A102" s="1">
        <v>46148</v>
      </c>
      <c r="B102" s="1" t="str">
        <f ca="1">IF(Información1[[#This Row],[Fecha]]='Ajuste de fechas'!$A$2,"Día actual","Día anterior")</f>
        <v>Día actual</v>
      </c>
      <c r="C102" s="3" t="s">
        <v>32</v>
      </c>
      <c r="D102" t="s">
        <v>34</v>
      </c>
      <c r="E102" s="3" t="s">
        <v>304</v>
      </c>
      <c r="F102" s="3" t="s">
        <v>109</v>
      </c>
      <c r="G102" s="3" t="s">
        <v>305</v>
      </c>
      <c r="H102" s="3" t="s">
        <v>11</v>
      </c>
      <c r="I102" s="3" t="s">
        <v>26</v>
      </c>
      <c r="J102" s="3" t="s">
        <v>58</v>
      </c>
      <c r="K102" s="3" t="s">
        <v>50</v>
      </c>
      <c r="L102" s="3" t="s">
        <v>59</v>
      </c>
      <c r="M102">
        <v>1</v>
      </c>
    </row>
    <row r="103" spans="1:13" x14ac:dyDescent="0.25">
      <c r="A103" s="1">
        <v>46148</v>
      </c>
      <c r="B103" s="1" t="str">
        <f ca="1">IF(Información1[[#This Row],[Fecha]]='Ajuste de fechas'!$A$2,"Día actual","Día anterior")</f>
        <v>Día actual</v>
      </c>
      <c r="C103" s="3" t="s">
        <v>32</v>
      </c>
      <c r="D103" t="s">
        <v>35</v>
      </c>
      <c r="E103" s="3" t="s">
        <v>304</v>
      </c>
      <c r="F103" s="3" t="s">
        <v>109</v>
      </c>
      <c r="G103" s="3" t="s">
        <v>305</v>
      </c>
      <c r="H103" s="3" t="s">
        <v>11</v>
      </c>
      <c r="I103" s="3" t="s">
        <v>26</v>
      </c>
      <c r="J103" s="3" t="s">
        <v>58</v>
      </c>
      <c r="K103" s="3" t="s">
        <v>33</v>
      </c>
      <c r="L103" s="3" t="s">
        <v>59</v>
      </c>
      <c r="M103">
        <v>1</v>
      </c>
    </row>
    <row r="104" spans="1:13" x14ac:dyDescent="0.25">
      <c r="A104" s="1">
        <v>46148</v>
      </c>
      <c r="B104" s="1" t="str">
        <f ca="1">IF(Información1[[#This Row],[Fecha]]='Ajuste de fechas'!$A$2,"Día actual","Día anterior")</f>
        <v>Día actual</v>
      </c>
      <c r="C104" s="3" t="s">
        <v>32</v>
      </c>
      <c r="D104" t="s">
        <v>35</v>
      </c>
      <c r="E104" s="3" t="s">
        <v>306</v>
      </c>
      <c r="F104" s="3" t="s">
        <v>27</v>
      </c>
      <c r="G104" s="3" t="s">
        <v>112</v>
      </c>
      <c r="H104" s="3" t="s">
        <v>11</v>
      </c>
      <c r="I104" s="3" t="s">
        <v>7</v>
      </c>
      <c r="J104" s="3" t="s">
        <v>58</v>
      </c>
      <c r="K104" s="3" t="s">
        <v>33</v>
      </c>
      <c r="L104" s="3" t="s">
        <v>59</v>
      </c>
      <c r="M104">
        <v>1</v>
      </c>
    </row>
    <row r="105" spans="1:13" x14ac:dyDescent="0.25">
      <c r="A105" s="1">
        <v>46148</v>
      </c>
      <c r="B105" s="1" t="str">
        <f ca="1">IF(Información1[[#This Row],[Fecha]]='Ajuste de fechas'!$A$2,"Día actual","Día anterior")</f>
        <v>Día actual</v>
      </c>
      <c r="C105" s="3" t="s">
        <v>8</v>
      </c>
      <c r="D105" t="s">
        <v>10</v>
      </c>
      <c r="E105" s="3" t="s">
        <v>95</v>
      </c>
      <c r="F105" s="3" t="s">
        <v>90</v>
      </c>
      <c r="G105" s="3" t="s">
        <v>89</v>
      </c>
      <c r="H105" s="3" t="s">
        <v>11</v>
      </c>
      <c r="I105" s="3" t="s">
        <v>7</v>
      </c>
      <c r="J105" s="3" t="s">
        <v>58</v>
      </c>
      <c r="K105" s="3" t="s">
        <v>14</v>
      </c>
      <c r="L105" s="3" t="s">
        <v>96</v>
      </c>
      <c r="M105">
        <v>1</v>
      </c>
    </row>
    <row r="106" spans="1:13" x14ac:dyDescent="0.25">
      <c r="A106" s="1">
        <v>46148</v>
      </c>
      <c r="B106" s="1" t="str">
        <f ca="1">IF(Información1[[#This Row],[Fecha]]='Ajuste de fechas'!$A$2,"Día actual","Día anterior")</f>
        <v>Día actual</v>
      </c>
      <c r="C106" s="3" t="s">
        <v>8</v>
      </c>
      <c r="D106" t="s">
        <v>10</v>
      </c>
      <c r="E106" s="3" t="s">
        <v>307</v>
      </c>
      <c r="F106" s="3" t="s">
        <v>19</v>
      </c>
      <c r="G106" s="3" t="s">
        <v>308</v>
      </c>
      <c r="H106" s="3" t="s">
        <v>11</v>
      </c>
      <c r="I106" s="3" t="s">
        <v>7</v>
      </c>
      <c r="J106" s="3" t="s">
        <v>62</v>
      </c>
      <c r="K106" s="3" t="s">
        <v>14</v>
      </c>
      <c r="L106" s="3" t="s">
        <v>59</v>
      </c>
      <c r="M106">
        <v>1</v>
      </c>
    </row>
    <row r="107" spans="1:13" x14ac:dyDescent="0.25">
      <c r="A107" s="1">
        <v>46148</v>
      </c>
      <c r="B107" s="1" t="str">
        <f ca="1">IF(Información1[[#This Row],[Fecha]]='Ajuste de fechas'!$A$2,"Día actual","Día anterior")</f>
        <v>Día actual</v>
      </c>
      <c r="C107" s="3" t="s">
        <v>77</v>
      </c>
      <c r="D107" t="s">
        <v>91</v>
      </c>
      <c r="E107" s="3" t="s">
        <v>309</v>
      </c>
      <c r="F107" s="3" t="s">
        <v>105</v>
      </c>
      <c r="G107" s="3" t="s">
        <v>84</v>
      </c>
      <c r="H107" s="3" t="s">
        <v>11</v>
      </c>
      <c r="I107" s="3" t="s">
        <v>7</v>
      </c>
      <c r="J107" s="3" t="s">
        <v>58</v>
      </c>
      <c r="K107" s="3" t="s">
        <v>310</v>
      </c>
      <c r="L107" s="3" t="s">
        <v>61</v>
      </c>
      <c r="M107">
        <v>1</v>
      </c>
    </row>
    <row r="108" spans="1:13" x14ac:dyDescent="0.25">
      <c r="A108" s="1">
        <v>46148</v>
      </c>
      <c r="B108" s="1" t="str">
        <f ca="1">IF(Información1[[#This Row],[Fecha]]='Ajuste de fechas'!$A$2,"Día actual","Día anterior")</f>
        <v>Día actual</v>
      </c>
      <c r="C108" s="3" t="s">
        <v>32</v>
      </c>
      <c r="D108" t="s">
        <v>34</v>
      </c>
      <c r="E108" s="3" t="s">
        <v>311</v>
      </c>
      <c r="F108" s="3" t="s">
        <v>22</v>
      </c>
      <c r="G108" s="3" t="s">
        <v>86</v>
      </c>
      <c r="H108" s="3" t="s">
        <v>11</v>
      </c>
      <c r="I108" s="3" t="s">
        <v>7</v>
      </c>
      <c r="J108" s="3" t="s">
        <v>63</v>
      </c>
      <c r="K108" s="3" t="s">
        <v>50</v>
      </c>
      <c r="L108" s="3" t="s">
        <v>59</v>
      </c>
      <c r="M108">
        <v>1</v>
      </c>
    </row>
    <row r="109" spans="1:13" x14ac:dyDescent="0.25">
      <c r="A109" s="1">
        <v>46148</v>
      </c>
      <c r="B109" s="1" t="str">
        <f ca="1">IF(Información1[[#This Row],[Fecha]]='Ajuste de fechas'!$A$2,"Día actual","Día anterior")</f>
        <v>Día actual</v>
      </c>
      <c r="C109" s="3" t="s">
        <v>32</v>
      </c>
      <c r="D109" t="s">
        <v>35</v>
      </c>
      <c r="E109" s="3" t="s">
        <v>312</v>
      </c>
      <c r="F109" s="3" t="s">
        <v>22</v>
      </c>
      <c r="G109" s="3" t="s">
        <v>86</v>
      </c>
      <c r="H109" s="3" t="s">
        <v>11</v>
      </c>
      <c r="I109" s="3" t="s">
        <v>7</v>
      </c>
      <c r="J109" s="3" t="s">
        <v>63</v>
      </c>
      <c r="K109" s="3" t="s">
        <v>33</v>
      </c>
      <c r="L109" s="3" t="s">
        <v>59</v>
      </c>
      <c r="M109">
        <v>1</v>
      </c>
    </row>
    <row r="110" spans="1:13" x14ac:dyDescent="0.25">
      <c r="A110" s="1">
        <v>46148</v>
      </c>
      <c r="B110" s="1" t="str">
        <f ca="1">IF(Información1[[#This Row],[Fecha]]='Ajuste de fechas'!$A$2,"Día actual","Día anterior")</f>
        <v>Día actual</v>
      </c>
      <c r="C110" s="3" t="s">
        <v>32</v>
      </c>
      <c r="D110" t="s">
        <v>35</v>
      </c>
      <c r="E110" s="3" t="s">
        <v>313</v>
      </c>
      <c r="F110" s="3" t="s">
        <v>22</v>
      </c>
      <c r="G110" s="3" t="s">
        <v>86</v>
      </c>
      <c r="H110" s="3" t="s">
        <v>11</v>
      </c>
      <c r="I110" s="3" t="s">
        <v>7</v>
      </c>
      <c r="J110" s="3" t="s">
        <v>63</v>
      </c>
      <c r="K110" s="3" t="s">
        <v>33</v>
      </c>
      <c r="L110" s="3" t="s">
        <v>60</v>
      </c>
      <c r="M110">
        <v>1</v>
      </c>
    </row>
    <row r="111" spans="1:13" x14ac:dyDescent="0.25">
      <c r="A111" s="1">
        <v>46148</v>
      </c>
      <c r="B111" s="1" t="str">
        <f ca="1">IF(Información1[[#This Row],[Fecha]]='Ajuste de fechas'!$A$2,"Día actual","Día anterior")</f>
        <v>Día actual</v>
      </c>
      <c r="C111" s="3" t="s">
        <v>32</v>
      </c>
      <c r="D111" t="s">
        <v>35</v>
      </c>
      <c r="E111" s="3" t="s">
        <v>314</v>
      </c>
      <c r="F111" s="3" t="s">
        <v>22</v>
      </c>
      <c r="G111" s="3" t="s">
        <v>86</v>
      </c>
      <c r="H111" s="3" t="s">
        <v>11</v>
      </c>
      <c r="I111" s="3" t="s">
        <v>7</v>
      </c>
      <c r="J111" s="3" t="s">
        <v>63</v>
      </c>
      <c r="K111" s="3" t="s">
        <v>33</v>
      </c>
      <c r="L111" s="3" t="s">
        <v>59</v>
      </c>
      <c r="M111">
        <v>1</v>
      </c>
    </row>
    <row r="112" spans="1:13" x14ac:dyDescent="0.25">
      <c r="A112" s="1">
        <v>46148</v>
      </c>
      <c r="B112" s="1" t="str">
        <f ca="1">IF(Información1[[#This Row],[Fecha]]='Ajuste de fechas'!$A$2,"Día actual","Día anterior")</f>
        <v>Día actual</v>
      </c>
      <c r="C112" s="3" t="s">
        <v>32</v>
      </c>
      <c r="D112" t="s">
        <v>34</v>
      </c>
      <c r="E112" s="3" t="s">
        <v>315</v>
      </c>
      <c r="F112" s="3" t="s">
        <v>19</v>
      </c>
      <c r="G112" s="3" t="s">
        <v>316</v>
      </c>
      <c r="H112" s="3" t="s">
        <v>11</v>
      </c>
      <c r="I112" s="3" t="s">
        <v>7</v>
      </c>
      <c r="J112" s="3" t="s">
        <v>62</v>
      </c>
      <c r="K112" s="3" t="s">
        <v>50</v>
      </c>
      <c r="L112" s="3" t="s">
        <v>64</v>
      </c>
      <c r="M112">
        <v>1</v>
      </c>
    </row>
    <row r="113" spans="1:13" x14ac:dyDescent="0.25">
      <c r="A113" s="1">
        <v>46148</v>
      </c>
      <c r="B113" s="1" t="str">
        <f ca="1">IF(Información1[[#This Row],[Fecha]]='Ajuste de fechas'!$A$2,"Día actual","Día anterior")</f>
        <v>Día actual</v>
      </c>
      <c r="C113" s="3" t="s">
        <v>87</v>
      </c>
      <c r="D113" t="s">
        <v>317</v>
      </c>
      <c r="E113" s="3" t="s">
        <v>318</v>
      </c>
      <c r="F113" s="3" t="s">
        <v>6</v>
      </c>
      <c r="G113" s="3" t="s">
        <v>283</v>
      </c>
      <c r="H113" s="3" t="s">
        <v>11</v>
      </c>
      <c r="I113" s="3" t="s">
        <v>7</v>
      </c>
      <c r="J113" s="3" t="s">
        <v>58</v>
      </c>
      <c r="K113" s="3" t="s">
        <v>310</v>
      </c>
      <c r="L113" s="3" t="s">
        <v>61</v>
      </c>
      <c r="M113">
        <v>1</v>
      </c>
    </row>
    <row r="114" spans="1:13" x14ac:dyDescent="0.25">
      <c r="A114" s="1">
        <v>46148</v>
      </c>
      <c r="B114" s="1" t="str">
        <f ca="1">IF(Información1[[#This Row],[Fecha]]='Ajuste de fechas'!$A$2,"Día actual","Día anterior")</f>
        <v>Día actual</v>
      </c>
      <c r="C114" s="3" t="s">
        <v>8</v>
      </c>
      <c r="D114" t="s">
        <v>10</v>
      </c>
      <c r="E114" s="3" t="s">
        <v>319</v>
      </c>
      <c r="F114" s="3" t="s">
        <v>17</v>
      </c>
      <c r="G114" s="3" t="s">
        <v>173</v>
      </c>
      <c r="H114" s="3" t="s">
        <v>11</v>
      </c>
      <c r="I114" s="3" t="s">
        <v>26</v>
      </c>
      <c r="J114" s="3" t="s">
        <v>58</v>
      </c>
      <c r="K114" s="3" t="s">
        <v>9</v>
      </c>
      <c r="L114" s="3" t="s">
        <v>60</v>
      </c>
      <c r="M114">
        <v>1</v>
      </c>
    </row>
    <row r="115" spans="1:13" x14ac:dyDescent="0.25">
      <c r="A115" s="1">
        <v>46148</v>
      </c>
      <c r="B115" s="1" t="str">
        <f ca="1">IF(Información1[[#This Row],[Fecha]]='Ajuste de fechas'!$A$2,"Día actual","Día anterior")</f>
        <v>Día actual</v>
      </c>
      <c r="C115" s="3" t="s">
        <v>32</v>
      </c>
      <c r="D115" t="s">
        <v>34</v>
      </c>
      <c r="E115" s="3" t="s">
        <v>320</v>
      </c>
      <c r="F115" s="3" t="s">
        <v>15</v>
      </c>
      <c r="G115" s="3" t="s">
        <v>203</v>
      </c>
      <c r="H115" s="3" t="s">
        <v>11</v>
      </c>
      <c r="I115" s="3" t="s">
        <v>7</v>
      </c>
      <c r="J115" s="3" t="s">
        <v>58</v>
      </c>
      <c r="K115" s="3" t="s">
        <v>50</v>
      </c>
      <c r="L115" s="3" t="s">
        <v>59</v>
      </c>
      <c r="M115">
        <v>1</v>
      </c>
    </row>
    <row r="116" spans="1:13" x14ac:dyDescent="0.25">
      <c r="A116" s="1">
        <v>46148</v>
      </c>
      <c r="B116" s="1" t="str">
        <f ca="1">IF(Información1[[#This Row],[Fecha]]='Ajuste de fechas'!$A$2,"Día actual","Día anterior")</f>
        <v>Día actual</v>
      </c>
      <c r="C116" s="3" t="s">
        <v>32</v>
      </c>
      <c r="D116" t="s">
        <v>34</v>
      </c>
      <c r="E116" s="3" t="s">
        <v>321</v>
      </c>
      <c r="F116" s="3" t="s">
        <v>25</v>
      </c>
      <c r="G116" s="3" t="s">
        <v>203</v>
      </c>
      <c r="H116" s="3" t="s">
        <v>11</v>
      </c>
      <c r="I116" s="3" t="s">
        <v>7</v>
      </c>
      <c r="J116" s="3" t="s">
        <v>25</v>
      </c>
      <c r="K116" s="3" t="s">
        <v>50</v>
      </c>
      <c r="L116" s="3" t="s">
        <v>59</v>
      </c>
      <c r="M116">
        <v>1</v>
      </c>
    </row>
    <row r="117" spans="1:13" x14ac:dyDescent="0.25">
      <c r="A117" s="1">
        <v>46148</v>
      </c>
      <c r="B117" s="1" t="str">
        <f ca="1">IF(Información1[[#This Row],[Fecha]]='Ajuste de fechas'!$A$2,"Día actual","Día anterior")</f>
        <v>Día actual</v>
      </c>
      <c r="C117" s="3" t="s">
        <v>8</v>
      </c>
      <c r="D117" t="s">
        <v>10</v>
      </c>
      <c r="E117" s="3" t="s">
        <v>322</v>
      </c>
      <c r="F117" s="3" t="s">
        <v>25</v>
      </c>
      <c r="G117" s="3" t="s">
        <v>203</v>
      </c>
      <c r="H117" s="3" t="s">
        <v>11</v>
      </c>
      <c r="I117" s="3" t="s">
        <v>7</v>
      </c>
      <c r="J117" s="3" t="s">
        <v>25</v>
      </c>
      <c r="K117" s="3" t="s">
        <v>14</v>
      </c>
      <c r="L117" s="3" t="s">
        <v>59</v>
      </c>
      <c r="M117">
        <v>1</v>
      </c>
    </row>
    <row r="118" spans="1:13" x14ac:dyDescent="0.25">
      <c r="A118" s="1">
        <v>46148</v>
      </c>
      <c r="B118" s="1" t="str">
        <f ca="1">IF(Información1[[#This Row],[Fecha]]='Ajuste de fechas'!$A$2,"Día actual","Día anterior")</f>
        <v>Día actual</v>
      </c>
      <c r="C118" s="3" t="s">
        <v>8</v>
      </c>
      <c r="D118" t="s">
        <v>10</v>
      </c>
      <c r="E118" s="3" t="s">
        <v>324</v>
      </c>
      <c r="F118" s="3" t="s">
        <v>150</v>
      </c>
      <c r="G118" s="3" t="s">
        <v>325</v>
      </c>
      <c r="H118" s="3" t="s">
        <v>11</v>
      </c>
      <c r="I118" s="3" t="s">
        <v>26</v>
      </c>
      <c r="J118" s="3" t="s">
        <v>58</v>
      </c>
      <c r="K118" s="3" t="s">
        <v>9</v>
      </c>
      <c r="L118" s="3" t="s">
        <v>60</v>
      </c>
      <c r="M118">
        <v>1</v>
      </c>
    </row>
    <row r="119" spans="1:13" x14ac:dyDescent="0.25">
      <c r="A119" s="1">
        <v>46148</v>
      </c>
      <c r="B119" s="1" t="str">
        <f ca="1">IF(Información1[[#This Row],[Fecha]]='Ajuste de fechas'!$A$2,"Día actual","Día anterior")</f>
        <v>Día actual</v>
      </c>
      <c r="C119" s="3" t="s">
        <v>32</v>
      </c>
      <c r="D119" t="s">
        <v>35</v>
      </c>
      <c r="E119" s="3" t="s">
        <v>326</v>
      </c>
      <c r="F119" s="3" t="s">
        <v>109</v>
      </c>
      <c r="G119" s="3" t="s">
        <v>110</v>
      </c>
      <c r="H119" s="3" t="s">
        <v>11</v>
      </c>
      <c r="I119" s="3" t="s">
        <v>7</v>
      </c>
      <c r="J119" s="3" t="s">
        <v>58</v>
      </c>
      <c r="K119" s="3" t="s">
        <v>33</v>
      </c>
      <c r="L119" s="3" t="s">
        <v>59</v>
      </c>
      <c r="M119">
        <v>1</v>
      </c>
    </row>
    <row r="120" spans="1:13" x14ac:dyDescent="0.25">
      <c r="A120" s="1">
        <v>46148</v>
      </c>
      <c r="B120" s="1" t="str">
        <f ca="1">IF(Información1[[#This Row],[Fecha]]='Ajuste de fechas'!$A$2,"Día actual","Día anterior")</f>
        <v>Día actual</v>
      </c>
      <c r="C120" s="3" t="s">
        <v>8</v>
      </c>
      <c r="D120" t="s">
        <v>10</v>
      </c>
      <c r="E120" s="3" t="s">
        <v>183</v>
      </c>
      <c r="F120" s="3" t="s">
        <v>109</v>
      </c>
      <c r="G120" s="3" t="s">
        <v>110</v>
      </c>
      <c r="H120" s="3" t="s">
        <v>11</v>
      </c>
      <c r="I120" s="3" t="s">
        <v>7</v>
      </c>
      <c r="J120" s="3" t="s">
        <v>58</v>
      </c>
      <c r="K120" s="3" t="s">
        <v>14</v>
      </c>
      <c r="L120" s="3" t="s">
        <v>61</v>
      </c>
      <c r="M120">
        <v>1</v>
      </c>
    </row>
    <row r="121" spans="1:13" x14ac:dyDescent="0.25">
      <c r="A121" s="1">
        <v>46147</v>
      </c>
      <c r="B121" s="1" t="str">
        <f ca="1">IF(Información1[[#This Row],[Fecha]]='Ajuste de fechas'!$A$2,"Día actual","Día anterior")</f>
        <v>Día anterior</v>
      </c>
      <c r="C121" s="3" t="s">
        <v>8</v>
      </c>
      <c r="D121" t="s">
        <v>10</v>
      </c>
      <c r="E121" s="3" t="s">
        <v>135</v>
      </c>
      <c r="F121" s="3" t="s">
        <v>21</v>
      </c>
      <c r="G121" s="3" t="s">
        <v>136</v>
      </c>
      <c r="H121" s="3" t="s">
        <v>11</v>
      </c>
      <c r="I121" s="3" t="s">
        <v>7</v>
      </c>
      <c r="J121" s="3" t="s">
        <v>58</v>
      </c>
      <c r="K121" s="3" t="s">
        <v>14</v>
      </c>
      <c r="L121" s="3" t="s">
        <v>64</v>
      </c>
      <c r="M121">
        <v>1</v>
      </c>
    </row>
    <row r="122" spans="1:13" x14ac:dyDescent="0.25">
      <c r="A122" s="1">
        <v>46147</v>
      </c>
      <c r="B122" s="1" t="str">
        <f ca="1">IF(Información1[[#This Row],[Fecha]]='Ajuste de fechas'!$A$2,"Día actual","Día anterior")</f>
        <v>Día anterior</v>
      </c>
      <c r="C122" s="3" t="s">
        <v>8</v>
      </c>
      <c r="D122" t="s">
        <v>10</v>
      </c>
      <c r="E122" s="3" t="s">
        <v>20</v>
      </c>
      <c r="F122" s="3" t="s">
        <v>19</v>
      </c>
      <c r="G122" s="3" t="s">
        <v>49</v>
      </c>
      <c r="H122" s="3" t="s">
        <v>11</v>
      </c>
      <c r="I122" s="3" t="s">
        <v>12</v>
      </c>
      <c r="J122" s="3" t="s">
        <v>62</v>
      </c>
      <c r="K122" s="3" t="s">
        <v>14</v>
      </c>
      <c r="L122" s="3" t="s">
        <v>60</v>
      </c>
      <c r="M122">
        <v>1</v>
      </c>
    </row>
    <row r="123" spans="1:13" x14ac:dyDescent="0.25">
      <c r="A123" s="1">
        <v>46147</v>
      </c>
      <c r="B123" s="1" t="str">
        <f ca="1">IF(Información1[[#This Row],[Fecha]]='Ajuste de fechas'!$A$2,"Día actual","Día anterior")</f>
        <v>Día anterior</v>
      </c>
      <c r="C123" s="3" t="s">
        <v>8</v>
      </c>
      <c r="D123" t="s">
        <v>10</v>
      </c>
      <c r="E123" s="3" t="s">
        <v>18</v>
      </c>
      <c r="F123" s="3" t="s">
        <v>19</v>
      </c>
      <c r="G123" s="3" t="s">
        <v>49</v>
      </c>
      <c r="H123" s="3" t="s">
        <v>11</v>
      </c>
      <c r="I123" s="3" t="s">
        <v>12</v>
      </c>
      <c r="J123" s="3" t="s">
        <v>62</v>
      </c>
      <c r="K123" s="3" t="s">
        <v>14</v>
      </c>
      <c r="L123" s="3" t="s">
        <v>60</v>
      </c>
      <c r="M123">
        <v>1</v>
      </c>
    </row>
    <row r="124" spans="1:13" x14ac:dyDescent="0.25">
      <c r="A124" s="1">
        <v>46147</v>
      </c>
      <c r="B124" s="1" t="str">
        <f ca="1">IF(Información1[[#This Row],[Fecha]]='Ajuste de fechas'!$A$2,"Día actual","Día anterior")</f>
        <v>Día anterior</v>
      </c>
      <c r="C124" s="3" t="s">
        <v>8</v>
      </c>
      <c r="D124" t="s">
        <v>10</v>
      </c>
      <c r="E124" s="3" t="s">
        <v>71</v>
      </c>
      <c r="F124" s="3" t="s">
        <v>21</v>
      </c>
      <c r="G124" s="3" t="s">
        <v>49</v>
      </c>
      <c r="H124" s="3" t="s">
        <v>11</v>
      </c>
      <c r="I124" s="3" t="s">
        <v>12</v>
      </c>
      <c r="J124" s="3" t="s">
        <v>58</v>
      </c>
      <c r="K124" s="3" t="s">
        <v>14</v>
      </c>
      <c r="L124" s="3" t="s">
        <v>60</v>
      </c>
      <c r="M124">
        <v>1</v>
      </c>
    </row>
    <row r="125" spans="1:13" x14ac:dyDescent="0.25">
      <c r="A125" s="1">
        <v>46147</v>
      </c>
      <c r="B125" s="1" t="str">
        <f ca="1">IF(Información1[[#This Row],[Fecha]]='Ajuste de fechas'!$A$2,"Día actual","Día anterior")</f>
        <v>Día anterior</v>
      </c>
      <c r="C125" s="3" t="s">
        <v>8</v>
      </c>
      <c r="D125" t="s">
        <v>10</v>
      </c>
      <c r="E125" s="3" t="s">
        <v>13</v>
      </c>
      <c r="F125" s="3" t="s">
        <v>15</v>
      </c>
      <c r="G125" s="3" t="s">
        <v>49</v>
      </c>
      <c r="H125" s="3" t="s">
        <v>11</v>
      </c>
      <c r="I125" s="3" t="s">
        <v>12</v>
      </c>
      <c r="J125" s="3" t="s">
        <v>58</v>
      </c>
      <c r="K125" s="3" t="s">
        <v>14</v>
      </c>
      <c r="L125" s="3" t="s">
        <v>60</v>
      </c>
      <c r="M125">
        <v>1</v>
      </c>
    </row>
    <row r="126" spans="1:13" x14ac:dyDescent="0.25">
      <c r="A126" s="1">
        <v>46147</v>
      </c>
      <c r="B126" s="1" t="str">
        <f ca="1">IF(Información1[[#This Row],[Fecha]]='Ajuste de fechas'!$A$2,"Día actual","Día anterior")</f>
        <v>Día anterior</v>
      </c>
      <c r="C126" s="3" t="s">
        <v>8</v>
      </c>
      <c r="D126" t="s">
        <v>10</v>
      </c>
      <c r="E126" s="3" t="s">
        <v>16</v>
      </c>
      <c r="F126" s="3" t="s">
        <v>17</v>
      </c>
      <c r="G126" s="3" t="s">
        <v>49</v>
      </c>
      <c r="H126" s="3" t="s">
        <v>11</v>
      </c>
      <c r="I126" s="3" t="s">
        <v>12</v>
      </c>
      <c r="J126" s="3" t="s">
        <v>58</v>
      </c>
      <c r="K126" s="3" t="s">
        <v>14</v>
      </c>
      <c r="L126" s="3" t="s">
        <v>60</v>
      </c>
      <c r="M126">
        <v>1</v>
      </c>
    </row>
    <row r="127" spans="1:13" x14ac:dyDescent="0.25">
      <c r="A127" s="1">
        <v>46147</v>
      </c>
      <c r="B127" s="1" t="str">
        <f ca="1">IF(Información1[[#This Row],[Fecha]]='Ajuste de fechas'!$A$2,"Día actual","Día anterior")</f>
        <v>Día anterior</v>
      </c>
      <c r="C127" s="3" t="s">
        <v>8</v>
      </c>
      <c r="D127" t="s">
        <v>10</v>
      </c>
      <c r="E127" s="3" t="s">
        <v>51</v>
      </c>
      <c r="F127" s="3" t="s">
        <v>6</v>
      </c>
      <c r="G127" s="3" t="s">
        <v>49</v>
      </c>
      <c r="H127" s="3" t="s">
        <v>11</v>
      </c>
      <c r="I127" s="3" t="s">
        <v>12</v>
      </c>
      <c r="J127" s="3" t="s">
        <v>58</v>
      </c>
      <c r="K127" s="3" t="s">
        <v>14</v>
      </c>
      <c r="L127" s="3" t="s">
        <v>60</v>
      </c>
      <c r="M127">
        <v>1</v>
      </c>
    </row>
    <row r="128" spans="1:13" x14ac:dyDescent="0.25">
      <c r="A128" s="1">
        <v>46147</v>
      </c>
      <c r="B128" s="1" t="str">
        <f ca="1">IF(Información1[[#This Row],[Fecha]]='Ajuste de fechas'!$A$2,"Día actual","Día anterior")</f>
        <v>Día anterior</v>
      </c>
      <c r="C128" s="3" t="s">
        <v>8</v>
      </c>
      <c r="D128" t="s">
        <v>10</v>
      </c>
      <c r="E128" s="3" t="s">
        <v>141</v>
      </c>
      <c r="F128" s="3" t="s">
        <v>17</v>
      </c>
      <c r="G128" s="3" t="s">
        <v>93</v>
      </c>
      <c r="H128" s="3" t="s">
        <v>11</v>
      </c>
      <c r="I128" s="3" t="s">
        <v>26</v>
      </c>
      <c r="J128" s="3" t="s">
        <v>58</v>
      </c>
      <c r="K128" s="3" t="s">
        <v>9</v>
      </c>
      <c r="L128" s="3" t="s">
        <v>60</v>
      </c>
      <c r="M128">
        <v>1</v>
      </c>
    </row>
    <row r="129" spans="1:13" x14ac:dyDescent="0.25">
      <c r="A129" s="1">
        <v>46147</v>
      </c>
      <c r="B129" s="1" t="str">
        <f ca="1">IF(Información1[[#This Row],[Fecha]]='Ajuste de fechas'!$A$2,"Día actual","Día anterior")</f>
        <v>Día anterior</v>
      </c>
      <c r="C129" s="3" t="s">
        <v>8</v>
      </c>
      <c r="D129" t="s">
        <v>10</v>
      </c>
      <c r="E129" s="3" t="s">
        <v>142</v>
      </c>
      <c r="F129" s="3" t="s">
        <v>17</v>
      </c>
      <c r="G129" s="3" t="s">
        <v>93</v>
      </c>
      <c r="H129" s="3" t="s">
        <v>11</v>
      </c>
      <c r="I129" s="3" t="s">
        <v>12</v>
      </c>
      <c r="J129" s="3" t="s">
        <v>58</v>
      </c>
      <c r="K129" s="3" t="s">
        <v>14</v>
      </c>
      <c r="L129" s="3" t="s">
        <v>96</v>
      </c>
      <c r="M129">
        <v>1</v>
      </c>
    </row>
    <row r="130" spans="1:13" x14ac:dyDescent="0.25">
      <c r="A130" s="1">
        <v>46147</v>
      </c>
      <c r="B130" s="1" t="str">
        <f ca="1">IF(Información1[[#This Row],[Fecha]]='Ajuste de fechas'!$A$2,"Día actual","Día anterior")</f>
        <v>Día anterior</v>
      </c>
      <c r="C130" s="3" t="s">
        <v>8</v>
      </c>
      <c r="D130" t="s">
        <v>10</v>
      </c>
      <c r="E130" s="3" t="s">
        <v>145</v>
      </c>
      <c r="F130" s="3" t="s">
        <v>23</v>
      </c>
      <c r="G130" s="3" t="s">
        <v>78</v>
      </c>
      <c r="H130" s="3" t="s">
        <v>11</v>
      </c>
      <c r="I130" s="3" t="s">
        <v>7</v>
      </c>
      <c r="J130" s="3" t="s">
        <v>58</v>
      </c>
      <c r="K130" s="3" t="s">
        <v>14</v>
      </c>
      <c r="L130" s="3" t="s">
        <v>61</v>
      </c>
      <c r="M130">
        <v>1</v>
      </c>
    </row>
    <row r="131" spans="1:13" x14ac:dyDescent="0.25">
      <c r="A131" s="1">
        <v>46147</v>
      </c>
      <c r="B131" s="1" t="str">
        <f ca="1">IF(Información1[[#This Row],[Fecha]]='Ajuste de fechas'!$A$2,"Día actual","Día anterior")</f>
        <v>Día anterior</v>
      </c>
      <c r="C131" s="3" t="s">
        <v>8</v>
      </c>
      <c r="D131" t="s">
        <v>10</v>
      </c>
      <c r="E131" s="3" t="s">
        <v>146</v>
      </c>
      <c r="F131" s="3" t="s">
        <v>19</v>
      </c>
      <c r="G131" s="3" t="s">
        <v>147</v>
      </c>
      <c r="H131" s="3" t="s">
        <v>11</v>
      </c>
      <c r="I131" s="3" t="s">
        <v>7</v>
      </c>
      <c r="J131" s="3" t="s">
        <v>62</v>
      </c>
      <c r="K131" s="3" t="s">
        <v>14</v>
      </c>
      <c r="L131" s="3" t="s">
        <v>59</v>
      </c>
      <c r="M131">
        <v>1</v>
      </c>
    </row>
    <row r="132" spans="1:13" x14ac:dyDescent="0.25">
      <c r="A132" s="1">
        <v>46147</v>
      </c>
      <c r="B132" s="1" t="str">
        <f ca="1">IF(Información1[[#This Row],[Fecha]]='Ajuste de fechas'!$A$2,"Día actual","Día anterior")</f>
        <v>Día anterior</v>
      </c>
      <c r="C132" s="3" t="s">
        <v>8</v>
      </c>
      <c r="D132" t="s">
        <v>10</v>
      </c>
      <c r="E132" s="3" t="s">
        <v>154</v>
      </c>
      <c r="F132" s="3" t="s">
        <v>6</v>
      </c>
      <c r="G132" s="3" t="s">
        <v>68</v>
      </c>
      <c r="H132" s="3" t="s">
        <v>11</v>
      </c>
      <c r="I132" s="3" t="s">
        <v>26</v>
      </c>
      <c r="J132" s="3" t="s">
        <v>58</v>
      </c>
      <c r="K132" s="3" t="s">
        <v>9</v>
      </c>
      <c r="L132" s="3" t="s">
        <v>60</v>
      </c>
      <c r="M132">
        <v>1</v>
      </c>
    </row>
    <row r="133" spans="1:13" x14ac:dyDescent="0.25">
      <c r="A133" s="1">
        <v>46147</v>
      </c>
      <c r="B133" s="1" t="str">
        <f ca="1">IF(Información1[[#This Row],[Fecha]]='Ajuste de fechas'!$A$2,"Día actual","Día anterior")</f>
        <v>Día anterior</v>
      </c>
      <c r="C133" s="3" t="s">
        <v>8</v>
      </c>
      <c r="D133" t="s">
        <v>10</v>
      </c>
      <c r="E133" s="3" t="s">
        <v>155</v>
      </c>
      <c r="F133" s="3" t="s">
        <v>6</v>
      </c>
      <c r="G133" s="3" t="s">
        <v>68</v>
      </c>
      <c r="H133" s="3" t="s">
        <v>11</v>
      </c>
      <c r="I133" s="3" t="s">
        <v>26</v>
      </c>
      <c r="J133" s="3" t="s">
        <v>58</v>
      </c>
      <c r="K133" s="3" t="s">
        <v>9</v>
      </c>
      <c r="L133" s="3" t="s">
        <v>60</v>
      </c>
      <c r="M133">
        <v>1</v>
      </c>
    </row>
    <row r="134" spans="1:13" x14ac:dyDescent="0.25">
      <c r="A134" s="1">
        <v>46147</v>
      </c>
      <c r="B134" s="1" t="str">
        <f ca="1">IF(Información1[[#This Row],[Fecha]]='Ajuste de fechas'!$A$2,"Día actual","Día anterior")</f>
        <v>Día anterior</v>
      </c>
      <c r="C134" s="3" t="s">
        <v>8</v>
      </c>
      <c r="D134" t="s">
        <v>10</v>
      </c>
      <c r="E134" s="3" t="s">
        <v>156</v>
      </c>
      <c r="F134" s="3" t="s">
        <v>6</v>
      </c>
      <c r="G134" s="3" t="s">
        <v>68</v>
      </c>
      <c r="H134" s="3" t="s">
        <v>11</v>
      </c>
      <c r="I134" s="3" t="s">
        <v>26</v>
      </c>
      <c r="J134" s="3" t="s">
        <v>58</v>
      </c>
      <c r="K134" s="3" t="s">
        <v>14</v>
      </c>
      <c r="L134" s="3" t="s">
        <v>60</v>
      </c>
      <c r="M134">
        <v>1</v>
      </c>
    </row>
    <row r="135" spans="1:13" x14ac:dyDescent="0.25">
      <c r="A135" s="1">
        <v>46147</v>
      </c>
      <c r="B135" s="1" t="str">
        <f ca="1">IF(Información1[[#This Row],[Fecha]]='Ajuste de fechas'!$A$2,"Día actual","Día anterior")</f>
        <v>Día anterior</v>
      </c>
      <c r="C135" s="3" t="s">
        <v>8</v>
      </c>
      <c r="D135" t="s">
        <v>10</v>
      </c>
      <c r="E135" s="3" t="s">
        <v>157</v>
      </c>
      <c r="F135" s="3" t="s">
        <v>6</v>
      </c>
      <c r="G135" s="3" t="s">
        <v>68</v>
      </c>
      <c r="H135" s="3" t="s">
        <v>11</v>
      </c>
      <c r="I135" s="3" t="s">
        <v>26</v>
      </c>
      <c r="J135" s="3" t="s">
        <v>58</v>
      </c>
      <c r="K135" s="3" t="s">
        <v>9</v>
      </c>
      <c r="L135" s="3" t="s">
        <v>60</v>
      </c>
      <c r="M135">
        <v>1</v>
      </c>
    </row>
    <row r="136" spans="1:13" x14ac:dyDescent="0.25">
      <c r="A136" s="1">
        <v>46147</v>
      </c>
      <c r="B136" s="1" t="str">
        <f ca="1">IF(Información1[[#This Row],[Fecha]]='Ajuste de fechas'!$A$2,"Día actual","Día anterior")</f>
        <v>Día anterior</v>
      </c>
      <c r="C136" s="3" t="s">
        <v>8</v>
      </c>
      <c r="D136" t="s">
        <v>10</v>
      </c>
      <c r="E136" s="3" t="s">
        <v>158</v>
      </c>
      <c r="F136" s="3" t="s">
        <v>6</v>
      </c>
      <c r="G136" s="3" t="s">
        <v>68</v>
      </c>
      <c r="H136" s="3" t="s">
        <v>11</v>
      </c>
      <c r="I136" s="3" t="s">
        <v>7</v>
      </c>
      <c r="J136" s="3" t="s">
        <v>58</v>
      </c>
      <c r="K136" s="3" t="s">
        <v>14</v>
      </c>
      <c r="L136" s="3" t="s">
        <v>60</v>
      </c>
      <c r="M136">
        <v>1</v>
      </c>
    </row>
    <row r="137" spans="1:13" x14ac:dyDescent="0.25">
      <c r="A137" s="1">
        <v>46147</v>
      </c>
      <c r="B137" s="1" t="str">
        <f ca="1">IF(Información1[[#This Row],[Fecha]]='Ajuste de fechas'!$A$2,"Día actual","Día anterior")</f>
        <v>Día anterior</v>
      </c>
      <c r="C137" s="3" t="s">
        <v>8</v>
      </c>
      <c r="D137" t="s">
        <v>10</v>
      </c>
      <c r="E137" s="3" t="s">
        <v>142</v>
      </c>
      <c r="F137" s="3" t="s">
        <v>17</v>
      </c>
      <c r="G137" s="3" t="s">
        <v>84</v>
      </c>
      <c r="H137" s="3" t="s">
        <v>11</v>
      </c>
      <c r="I137" s="3" t="s">
        <v>12</v>
      </c>
      <c r="J137" s="3" t="s">
        <v>58</v>
      </c>
      <c r="K137" s="3" t="s">
        <v>14</v>
      </c>
      <c r="L137" s="3" t="s">
        <v>96</v>
      </c>
      <c r="M137">
        <v>1</v>
      </c>
    </row>
    <row r="138" spans="1:13" x14ac:dyDescent="0.25">
      <c r="A138" s="1">
        <v>46147</v>
      </c>
      <c r="B138" s="1" t="str">
        <f ca="1">IF(Información1[[#This Row],[Fecha]]='Ajuste de fechas'!$A$2,"Día actual","Día anterior")</f>
        <v>Día anterior</v>
      </c>
      <c r="C138" s="3" t="s">
        <v>8</v>
      </c>
      <c r="D138" t="s">
        <v>10</v>
      </c>
      <c r="E138" s="3" t="s">
        <v>168</v>
      </c>
      <c r="F138" s="3" t="s">
        <v>22</v>
      </c>
      <c r="G138" s="3" t="s">
        <v>169</v>
      </c>
      <c r="H138" s="3" t="s">
        <v>11</v>
      </c>
      <c r="I138" s="3" t="s">
        <v>7</v>
      </c>
      <c r="J138" s="3" t="s">
        <v>63</v>
      </c>
      <c r="K138" s="3" t="s">
        <v>14</v>
      </c>
      <c r="L138" s="3" t="s">
        <v>59</v>
      </c>
      <c r="M138">
        <v>1</v>
      </c>
    </row>
    <row r="139" spans="1:13" x14ac:dyDescent="0.25">
      <c r="A139" s="1">
        <v>46147</v>
      </c>
      <c r="B139" s="1" t="str">
        <f ca="1">IF(Información1[[#This Row],[Fecha]]='Ajuste de fechas'!$A$2,"Día actual","Día anterior")</f>
        <v>Día anterior</v>
      </c>
      <c r="C139" s="3" t="s">
        <v>8</v>
      </c>
      <c r="D139" t="s">
        <v>10</v>
      </c>
      <c r="E139" s="3" t="s">
        <v>172</v>
      </c>
      <c r="F139" s="3" t="s">
        <v>17</v>
      </c>
      <c r="G139" s="3" t="s">
        <v>173</v>
      </c>
      <c r="H139" s="3" t="s">
        <v>11</v>
      </c>
      <c r="I139" s="3" t="s">
        <v>26</v>
      </c>
      <c r="J139" s="3" t="s">
        <v>58</v>
      </c>
      <c r="K139" s="3" t="s">
        <v>9</v>
      </c>
      <c r="L139" s="3" t="s">
        <v>60</v>
      </c>
      <c r="M139">
        <v>1</v>
      </c>
    </row>
    <row r="140" spans="1:13" x14ac:dyDescent="0.25">
      <c r="A140" s="1">
        <v>46147</v>
      </c>
      <c r="B140" s="1" t="str">
        <f ca="1">IF(Información1[[#This Row],[Fecha]]='Ajuste de fechas'!$A$2,"Día actual","Día anterior")</f>
        <v>Día anterior</v>
      </c>
      <c r="C140" s="3" t="s">
        <v>8</v>
      </c>
      <c r="D140" t="s">
        <v>10</v>
      </c>
      <c r="E140" s="3" t="s">
        <v>174</v>
      </c>
      <c r="F140" s="3" t="s">
        <v>17</v>
      </c>
      <c r="G140" s="3" t="s">
        <v>173</v>
      </c>
      <c r="H140" s="3" t="s">
        <v>11</v>
      </c>
      <c r="I140" s="3" t="s">
        <v>26</v>
      </c>
      <c r="J140" s="3" t="s">
        <v>58</v>
      </c>
      <c r="K140" s="3" t="s">
        <v>9</v>
      </c>
      <c r="L140" s="3" t="s">
        <v>60</v>
      </c>
      <c r="M140">
        <v>1</v>
      </c>
    </row>
    <row r="141" spans="1:13" x14ac:dyDescent="0.25">
      <c r="A141" s="1">
        <v>46147</v>
      </c>
      <c r="B141" s="1" t="str">
        <f ca="1">IF(Información1[[#This Row],[Fecha]]='Ajuste de fechas'!$A$2,"Día actual","Día anterior")</f>
        <v>Día anterior</v>
      </c>
      <c r="C141" s="3" t="s">
        <v>8</v>
      </c>
      <c r="D141" t="s">
        <v>10</v>
      </c>
      <c r="E141" s="3" t="s">
        <v>176</v>
      </c>
      <c r="F141" s="3" t="s">
        <v>19</v>
      </c>
      <c r="G141" s="3" t="s">
        <v>85</v>
      </c>
      <c r="H141" s="3" t="s">
        <v>11</v>
      </c>
      <c r="I141" s="3" t="s">
        <v>7</v>
      </c>
      <c r="J141" s="3" t="s">
        <v>62</v>
      </c>
      <c r="K141" s="3" t="s">
        <v>14</v>
      </c>
      <c r="L141" s="3" t="s">
        <v>59</v>
      </c>
      <c r="M141">
        <v>1</v>
      </c>
    </row>
    <row r="142" spans="1:13" x14ac:dyDescent="0.25">
      <c r="A142" s="1">
        <v>46147</v>
      </c>
      <c r="B142" s="1" t="str">
        <f ca="1">IF(Información1[[#This Row],[Fecha]]='Ajuste de fechas'!$A$2,"Día actual","Día anterior")</f>
        <v>Día anterior</v>
      </c>
      <c r="C142" s="3" t="s">
        <v>8</v>
      </c>
      <c r="D142" t="s">
        <v>10</v>
      </c>
      <c r="E142" s="3" t="s">
        <v>178</v>
      </c>
      <c r="F142" s="3" t="s">
        <v>27</v>
      </c>
      <c r="G142" s="3" t="s">
        <v>120</v>
      </c>
      <c r="H142" s="3" t="s">
        <v>11</v>
      </c>
      <c r="I142" s="3" t="s">
        <v>7</v>
      </c>
      <c r="J142" s="3" t="s">
        <v>58</v>
      </c>
      <c r="K142" s="3" t="s">
        <v>14</v>
      </c>
      <c r="L142" s="3" t="s">
        <v>61</v>
      </c>
      <c r="M142">
        <v>1</v>
      </c>
    </row>
    <row r="143" spans="1:13" x14ac:dyDescent="0.25">
      <c r="A143" s="1">
        <v>46147</v>
      </c>
      <c r="B143" s="1" t="str">
        <f ca="1">IF(Información1[[#This Row],[Fecha]]='Ajuste de fechas'!$A$2,"Día actual","Día anterior")</f>
        <v>Día anterior</v>
      </c>
      <c r="C143" s="3" t="s">
        <v>161</v>
      </c>
      <c r="D143" t="s">
        <v>162</v>
      </c>
      <c r="E143" s="3" t="s">
        <v>163</v>
      </c>
      <c r="F143" s="3" t="s">
        <v>90</v>
      </c>
      <c r="G143" s="3" t="s">
        <v>89</v>
      </c>
      <c r="H143" s="3" t="s">
        <v>11</v>
      </c>
      <c r="I143" s="3" t="s">
        <v>12</v>
      </c>
      <c r="J143" s="3" t="s">
        <v>58</v>
      </c>
      <c r="K143" s="3" t="s">
        <v>164</v>
      </c>
      <c r="L143" s="3" t="s">
        <v>96</v>
      </c>
      <c r="M143">
        <v>1</v>
      </c>
    </row>
    <row r="144" spans="1:13" x14ac:dyDescent="0.25">
      <c r="A144" s="1">
        <v>46147</v>
      </c>
      <c r="B144" s="1" t="str">
        <f ca="1">IF(Información1[[#This Row],[Fecha]]='Ajuste de fechas'!$A$2,"Día actual","Día anterior")</f>
        <v>Día anterior</v>
      </c>
      <c r="C144" s="3" t="s">
        <v>29</v>
      </c>
      <c r="D144" t="s">
        <v>31</v>
      </c>
      <c r="E144" s="3" t="s">
        <v>111</v>
      </c>
      <c r="F144" s="3" t="s">
        <v>73</v>
      </c>
      <c r="G144" s="3" t="s">
        <v>112</v>
      </c>
      <c r="H144" s="3" t="s">
        <v>11</v>
      </c>
      <c r="I144" s="3" t="s">
        <v>7</v>
      </c>
      <c r="J144" s="3" t="s">
        <v>58</v>
      </c>
      <c r="K144" s="3" t="s">
        <v>30</v>
      </c>
      <c r="L144" s="3" t="s">
        <v>61</v>
      </c>
      <c r="M144">
        <v>1</v>
      </c>
    </row>
    <row r="145" spans="1:13" x14ac:dyDescent="0.25">
      <c r="A145" s="1">
        <v>46147</v>
      </c>
      <c r="B145" s="1" t="str">
        <f ca="1">IF(Información1[[#This Row],[Fecha]]='Ajuste de fechas'!$A$2,"Día actual","Día anterior")</f>
        <v>Día anterior</v>
      </c>
      <c r="C145" s="3" t="s">
        <v>29</v>
      </c>
      <c r="D145" t="s">
        <v>31</v>
      </c>
      <c r="E145" s="3" t="s">
        <v>113</v>
      </c>
      <c r="F145" s="3" t="s">
        <v>105</v>
      </c>
      <c r="G145" s="3" t="s">
        <v>75</v>
      </c>
      <c r="H145" s="3" t="s">
        <v>11</v>
      </c>
      <c r="I145" s="3" t="s">
        <v>7</v>
      </c>
      <c r="J145" s="3" t="s">
        <v>58</v>
      </c>
      <c r="K145" s="3" t="s">
        <v>30</v>
      </c>
      <c r="L145" s="3" t="s">
        <v>61</v>
      </c>
      <c r="M145">
        <v>1</v>
      </c>
    </row>
    <row r="146" spans="1:13" x14ac:dyDescent="0.25">
      <c r="A146" s="1">
        <v>46147</v>
      </c>
      <c r="B146" s="1" t="str">
        <f ca="1">IF(Información1[[#This Row],[Fecha]]='Ajuste de fechas'!$A$2,"Día actual","Día anterior")</f>
        <v>Día anterior</v>
      </c>
      <c r="C146" s="3" t="s">
        <v>29</v>
      </c>
      <c r="D146" t="s">
        <v>31</v>
      </c>
      <c r="E146" s="3" t="s">
        <v>114</v>
      </c>
      <c r="F146" s="3" t="s">
        <v>21</v>
      </c>
      <c r="G146" s="3" t="s">
        <v>115</v>
      </c>
      <c r="H146" s="3" t="s">
        <v>11</v>
      </c>
      <c r="I146" s="3" t="s">
        <v>7</v>
      </c>
      <c r="J146" s="3" t="s">
        <v>58</v>
      </c>
      <c r="K146" s="3" t="s">
        <v>30</v>
      </c>
      <c r="L146" s="3" t="s">
        <v>61</v>
      </c>
      <c r="M146">
        <v>1</v>
      </c>
    </row>
    <row r="147" spans="1:13" x14ac:dyDescent="0.25">
      <c r="A147" s="1">
        <v>46147</v>
      </c>
      <c r="B147" s="1" t="str">
        <f ca="1">IF(Información1[[#This Row],[Fecha]]='Ajuste de fechas'!$A$2,"Día actual","Día anterior")</f>
        <v>Día anterior</v>
      </c>
      <c r="C147" s="3" t="s">
        <v>29</v>
      </c>
      <c r="D147" t="s">
        <v>31</v>
      </c>
      <c r="E147" s="3" t="s">
        <v>116</v>
      </c>
      <c r="F147" s="3" t="s">
        <v>21</v>
      </c>
      <c r="G147" s="3" t="s">
        <v>117</v>
      </c>
      <c r="H147" s="3" t="s">
        <v>11</v>
      </c>
      <c r="I147" s="3" t="s">
        <v>7</v>
      </c>
      <c r="J147" s="3" t="s">
        <v>58</v>
      </c>
      <c r="K147" s="3" t="s">
        <v>30</v>
      </c>
      <c r="L147" s="3" t="s">
        <v>61</v>
      </c>
      <c r="M147">
        <v>1</v>
      </c>
    </row>
    <row r="148" spans="1:13" x14ac:dyDescent="0.25">
      <c r="A148" s="1">
        <v>46147</v>
      </c>
      <c r="B148" s="1" t="str">
        <f ca="1">IF(Información1[[#This Row],[Fecha]]='Ajuste de fechas'!$A$2,"Día actual","Día anterior")</f>
        <v>Día anterior</v>
      </c>
      <c r="C148" s="3" t="s">
        <v>29</v>
      </c>
      <c r="D148" t="s">
        <v>31</v>
      </c>
      <c r="E148" s="3" t="s">
        <v>108</v>
      </c>
      <c r="F148" s="3" t="s">
        <v>109</v>
      </c>
      <c r="G148" s="3" t="s">
        <v>110</v>
      </c>
      <c r="H148" s="3" t="s">
        <v>11</v>
      </c>
      <c r="I148" s="3" t="s">
        <v>7</v>
      </c>
      <c r="J148" s="3" t="s">
        <v>58</v>
      </c>
      <c r="K148" s="3" t="s">
        <v>30</v>
      </c>
      <c r="L148" s="3" t="s">
        <v>61</v>
      </c>
      <c r="M148">
        <v>1</v>
      </c>
    </row>
    <row r="149" spans="1:13" x14ac:dyDescent="0.25">
      <c r="A149" s="1">
        <v>46147</v>
      </c>
      <c r="B149" s="1" t="str">
        <f ca="1">IF(Información1[[#This Row],[Fecha]]='Ajuste de fechas'!$A$2,"Día actual","Día anterior")</f>
        <v>Día anterior</v>
      </c>
      <c r="C149" s="3" t="s">
        <v>29</v>
      </c>
      <c r="D149" t="s">
        <v>31</v>
      </c>
      <c r="E149" s="3" t="s">
        <v>118</v>
      </c>
      <c r="F149" s="3" t="s">
        <v>27</v>
      </c>
      <c r="G149" s="3" t="s">
        <v>112</v>
      </c>
      <c r="H149" s="3" t="s">
        <v>11</v>
      </c>
      <c r="I149" s="3" t="s">
        <v>7</v>
      </c>
      <c r="J149" s="3" t="s">
        <v>58</v>
      </c>
      <c r="K149" s="3" t="s">
        <v>30</v>
      </c>
      <c r="L149" s="3" t="s">
        <v>61</v>
      </c>
      <c r="M149">
        <v>1</v>
      </c>
    </row>
    <row r="150" spans="1:13" x14ac:dyDescent="0.25">
      <c r="A150" s="1">
        <v>46147</v>
      </c>
      <c r="B150" s="1" t="str">
        <f ca="1">IF(Información1[[#This Row],[Fecha]]='Ajuste de fechas'!$A$2,"Día actual","Día anterior")</f>
        <v>Día anterior</v>
      </c>
      <c r="C150" s="3" t="s">
        <v>29</v>
      </c>
      <c r="D150" t="s">
        <v>31</v>
      </c>
      <c r="E150" s="3" t="s">
        <v>119</v>
      </c>
      <c r="F150" s="3" t="s">
        <v>27</v>
      </c>
      <c r="G150" s="3" t="s">
        <v>120</v>
      </c>
      <c r="H150" s="3" t="s">
        <v>11</v>
      </c>
      <c r="I150" s="3" t="s">
        <v>7</v>
      </c>
      <c r="J150" s="3" t="s">
        <v>58</v>
      </c>
      <c r="K150" s="3" t="s">
        <v>30</v>
      </c>
      <c r="L150" s="3" t="s">
        <v>61</v>
      </c>
      <c r="M150">
        <v>1</v>
      </c>
    </row>
    <row r="151" spans="1:13" x14ac:dyDescent="0.25">
      <c r="A151" s="1">
        <v>46147</v>
      </c>
      <c r="B151" s="1" t="str">
        <f ca="1">IF(Información1[[#This Row],[Fecha]]='Ajuste de fechas'!$A$2,"Día actual","Día anterior")</f>
        <v>Día anterior</v>
      </c>
      <c r="C151" s="3" t="s">
        <v>77</v>
      </c>
      <c r="D151" t="s">
        <v>91</v>
      </c>
      <c r="E151" s="3" t="s">
        <v>143</v>
      </c>
      <c r="F151" s="3" t="s">
        <v>105</v>
      </c>
      <c r="G151" s="3" t="s">
        <v>144</v>
      </c>
      <c r="H151" s="3" t="s">
        <v>11</v>
      </c>
      <c r="I151" s="3" t="s">
        <v>7</v>
      </c>
      <c r="J151" s="3" t="s">
        <v>58</v>
      </c>
      <c r="K151" s="3" t="s">
        <v>92</v>
      </c>
      <c r="L151" s="3" t="s">
        <v>61</v>
      </c>
      <c r="M151">
        <v>1</v>
      </c>
    </row>
    <row r="152" spans="1:13" x14ac:dyDescent="0.25">
      <c r="A152" s="1">
        <v>46147</v>
      </c>
      <c r="B152" s="1" t="str">
        <f ca="1">IF(Información1[[#This Row],[Fecha]]='Ajuste de fechas'!$A$2,"Día actual","Día anterior")</f>
        <v>Día anterior</v>
      </c>
      <c r="C152" s="3" t="s">
        <v>77</v>
      </c>
      <c r="D152" t="s">
        <v>91</v>
      </c>
      <c r="E152" s="3" t="s">
        <v>152</v>
      </c>
      <c r="F152" s="3" t="s">
        <v>27</v>
      </c>
      <c r="G152" s="3" t="s">
        <v>112</v>
      </c>
      <c r="H152" s="3" t="s">
        <v>11</v>
      </c>
      <c r="I152" s="3" t="s">
        <v>7</v>
      </c>
      <c r="J152" s="3" t="s">
        <v>58</v>
      </c>
      <c r="K152" s="3" t="s">
        <v>92</v>
      </c>
      <c r="L152" s="3" t="s">
        <v>61</v>
      </c>
      <c r="M152">
        <v>1</v>
      </c>
    </row>
    <row r="153" spans="1:13" x14ac:dyDescent="0.25">
      <c r="A153" s="1">
        <v>46147</v>
      </c>
      <c r="B153" s="1" t="str">
        <f ca="1">IF(Información1[[#This Row],[Fecha]]='Ajuste de fechas'!$A$2,"Día actual","Día anterior")</f>
        <v>Día anterior</v>
      </c>
      <c r="C153" s="3" t="s">
        <v>41</v>
      </c>
      <c r="D153" t="s">
        <v>44</v>
      </c>
      <c r="E153" s="3" t="s">
        <v>106</v>
      </c>
      <c r="F153" s="3" t="s">
        <v>19</v>
      </c>
      <c r="G153" s="3" t="s">
        <v>107</v>
      </c>
      <c r="H153" s="3" t="s">
        <v>11</v>
      </c>
      <c r="I153" s="3" t="s">
        <v>7</v>
      </c>
      <c r="J153" s="3" t="s">
        <v>62</v>
      </c>
      <c r="K153" s="3" t="s">
        <v>42</v>
      </c>
      <c r="L153" s="3" t="s">
        <v>59</v>
      </c>
      <c r="M153">
        <v>1</v>
      </c>
    </row>
    <row r="154" spans="1:13" x14ac:dyDescent="0.25">
      <c r="A154" s="1">
        <v>46147</v>
      </c>
      <c r="B154" s="1" t="str">
        <f ca="1">IF(Información1[[#This Row],[Fecha]]='Ajuste de fechas'!$A$2,"Día actual","Día anterior")</f>
        <v>Día anterior</v>
      </c>
      <c r="C154" s="3" t="s">
        <v>41</v>
      </c>
      <c r="D154" t="s">
        <v>44</v>
      </c>
      <c r="E154" s="3" t="s">
        <v>108</v>
      </c>
      <c r="F154" s="3" t="s">
        <v>109</v>
      </c>
      <c r="G154" s="3" t="s">
        <v>110</v>
      </c>
      <c r="H154" s="3" t="s">
        <v>11</v>
      </c>
      <c r="I154" s="3" t="s">
        <v>7</v>
      </c>
      <c r="J154" s="3" t="s">
        <v>58</v>
      </c>
      <c r="K154" s="3" t="s">
        <v>42</v>
      </c>
      <c r="L154" s="3" t="s">
        <v>61</v>
      </c>
      <c r="M154">
        <v>1</v>
      </c>
    </row>
    <row r="155" spans="1:13" x14ac:dyDescent="0.25">
      <c r="A155" s="1">
        <v>46147</v>
      </c>
      <c r="B155" s="1" t="str">
        <f ca="1">IF(Información1[[#This Row],[Fecha]]='Ajuste de fechas'!$A$2,"Día actual","Día anterior")</f>
        <v>Día anterior</v>
      </c>
      <c r="C155" s="3" t="s">
        <v>41</v>
      </c>
      <c r="D155" t="s">
        <v>43</v>
      </c>
      <c r="E155" s="3" t="s">
        <v>121</v>
      </c>
      <c r="F155" s="3" t="s">
        <v>22</v>
      </c>
      <c r="G155" s="3" t="s">
        <v>88</v>
      </c>
      <c r="H155" s="3" t="s">
        <v>11</v>
      </c>
      <c r="I155" s="3" t="s">
        <v>7</v>
      </c>
      <c r="J155" s="3" t="s">
        <v>63</v>
      </c>
      <c r="K155" s="3" t="s">
        <v>42</v>
      </c>
      <c r="L155" s="3" t="s">
        <v>59</v>
      </c>
      <c r="M155">
        <v>1</v>
      </c>
    </row>
    <row r="156" spans="1:13" x14ac:dyDescent="0.25">
      <c r="A156" s="1">
        <v>46147</v>
      </c>
      <c r="B156" s="1" t="str">
        <f ca="1">IF(Información1[[#This Row],[Fecha]]='Ajuste de fechas'!$A$2,"Día actual","Día anterior")</f>
        <v>Día anterior</v>
      </c>
      <c r="C156" s="3" t="s">
        <v>41</v>
      </c>
      <c r="D156" t="s">
        <v>43</v>
      </c>
      <c r="E156" s="3" t="s">
        <v>122</v>
      </c>
      <c r="F156" s="3" t="s">
        <v>21</v>
      </c>
      <c r="G156" s="3" t="s">
        <v>123</v>
      </c>
      <c r="H156" s="3" t="s">
        <v>11</v>
      </c>
      <c r="I156" s="3" t="s">
        <v>7</v>
      </c>
      <c r="J156" s="3" t="s">
        <v>58</v>
      </c>
      <c r="K156" s="3" t="s">
        <v>36</v>
      </c>
      <c r="L156" s="3" t="s">
        <v>64</v>
      </c>
      <c r="M156">
        <v>1</v>
      </c>
    </row>
    <row r="157" spans="1:13" x14ac:dyDescent="0.25">
      <c r="A157" s="1">
        <v>46147</v>
      </c>
      <c r="B157" s="1" t="str">
        <f ca="1">IF(Información1[[#This Row],[Fecha]]='Ajuste de fechas'!$A$2,"Día actual","Día anterior")</f>
        <v>Día anterior</v>
      </c>
      <c r="C157" s="3" t="s">
        <v>41</v>
      </c>
      <c r="D157" t="s">
        <v>43</v>
      </c>
      <c r="E157" s="3" t="s">
        <v>124</v>
      </c>
      <c r="F157" s="3" t="s">
        <v>17</v>
      </c>
      <c r="G157" s="3" t="s">
        <v>93</v>
      </c>
      <c r="H157" s="3" t="s">
        <v>11</v>
      </c>
      <c r="I157" s="3" t="s">
        <v>7</v>
      </c>
      <c r="J157" s="3" t="s">
        <v>58</v>
      </c>
      <c r="K157" s="3" t="s">
        <v>42</v>
      </c>
      <c r="L157" s="3" t="s">
        <v>96</v>
      </c>
      <c r="M157">
        <v>1</v>
      </c>
    </row>
    <row r="158" spans="1:13" x14ac:dyDescent="0.25">
      <c r="A158" s="1">
        <v>46147</v>
      </c>
      <c r="B158" s="1" t="str">
        <f ca="1">IF(Información1[[#This Row],[Fecha]]='Ajuste de fechas'!$A$2,"Día actual","Día anterior")</f>
        <v>Día anterior</v>
      </c>
      <c r="C158" s="3" t="s">
        <v>41</v>
      </c>
      <c r="D158" t="s">
        <v>43</v>
      </c>
      <c r="E158" s="3" t="s">
        <v>125</v>
      </c>
      <c r="F158" s="3" t="s">
        <v>45</v>
      </c>
      <c r="G158" s="3" t="s">
        <v>126</v>
      </c>
      <c r="H158" s="3" t="s">
        <v>11</v>
      </c>
      <c r="I158" s="3" t="s">
        <v>7</v>
      </c>
      <c r="J158" s="3" t="s">
        <v>58</v>
      </c>
      <c r="K158" s="3" t="s">
        <v>36</v>
      </c>
      <c r="L158" s="3" t="s">
        <v>61</v>
      </c>
      <c r="M158">
        <v>1</v>
      </c>
    </row>
    <row r="159" spans="1:13" x14ac:dyDescent="0.25">
      <c r="A159" s="1">
        <v>46147</v>
      </c>
      <c r="B159" s="1" t="str">
        <f ca="1">IF(Información1[[#This Row],[Fecha]]='Ajuste de fechas'!$A$2,"Día actual","Día anterior")</f>
        <v>Día anterior</v>
      </c>
      <c r="C159" s="3" t="s">
        <v>41</v>
      </c>
      <c r="D159" t="s">
        <v>43</v>
      </c>
      <c r="E159" s="3" t="s">
        <v>127</v>
      </c>
      <c r="F159" s="3" t="s">
        <v>21</v>
      </c>
      <c r="G159" s="3" t="s">
        <v>115</v>
      </c>
      <c r="H159" s="3" t="s">
        <v>11</v>
      </c>
      <c r="I159" s="3" t="s">
        <v>7</v>
      </c>
      <c r="J159" s="3" t="s">
        <v>58</v>
      </c>
      <c r="K159" s="3" t="s">
        <v>36</v>
      </c>
      <c r="L159" s="3" t="s">
        <v>61</v>
      </c>
      <c r="M159">
        <v>1</v>
      </c>
    </row>
    <row r="160" spans="1:13" x14ac:dyDescent="0.25">
      <c r="A160" s="1">
        <v>46147</v>
      </c>
      <c r="B160" s="1" t="str">
        <f ca="1">IF(Información1[[#This Row],[Fecha]]='Ajuste de fechas'!$A$2,"Día actual","Día anterior")</f>
        <v>Día anterior</v>
      </c>
      <c r="C160" s="3" t="s">
        <v>41</v>
      </c>
      <c r="D160" t="s">
        <v>43</v>
      </c>
      <c r="E160" s="3" t="s">
        <v>128</v>
      </c>
      <c r="F160" s="3" t="s">
        <v>21</v>
      </c>
      <c r="G160" s="3" t="s">
        <v>117</v>
      </c>
      <c r="H160" s="3" t="s">
        <v>11</v>
      </c>
      <c r="I160" s="3" t="s">
        <v>7</v>
      </c>
      <c r="J160" s="3" t="s">
        <v>58</v>
      </c>
      <c r="K160" s="3" t="s">
        <v>36</v>
      </c>
      <c r="L160" s="3" t="s">
        <v>61</v>
      </c>
      <c r="M160">
        <v>1</v>
      </c>
    </row>
    <row r="161" spans="1:13" x14ac:dyDescent="0.25">
      <c r="A161" s="1">
        <v>46147</v>
      </c>
      <c r="B161" s="1" t="str">
        <f ca="1">IF(Información1[[#This Row],[Fecha]]='Ajuste de fechas'!$A$2,"Día actual","Día anterior")</f>
        <v>Día anterior</v>
      </c>
      <c r="C161" s="3" t="s">
        <v>41</v>
      </c>
      <c r="D161" t="s">
        <v>43</v>
      </c>
      <c r="E161" s="3" t="s">
        <v>129</v>
      </c>
      <c r="F161" s="3" t="s">
        <v>79</v>
      </c>
      <c r="G161" s="3" t="s">
        <v>130</v>
      </c>
      <c r="H161" s="3" t="s">
        <v>11</v>
      </c>
      <c r="I161" s="3" t="s">
        <v>7</v>
      </c>
      <c r="J161" s="3" t="s">
        <v>58</v>
      </c>
      <c r="K161" s="3" t="s">
        <v>36</v>
      </c>
      <c r="L161" s="3" t="s">
        <v>61</v>
      </c>
      <c r="M161">
        <v>1</v>
      </c>
    </row>
    <row r="162" spans="1:13" x14ac:dyDescent="0.25">
      <c r="A162" s="1">
        <v>46147</v>
      </c>
      <c r="B162" s="1" t="str">
        <f ca="1">IF(Información1[[#This Row],[Fecha]]='Ajuste de fechas'!$A$2,"Día actual","Día anterior")</f>
        <v>Día anterior</v>
      </c>
      <c r="C162" s="3" t="s">
        <v>41</v>
      </c>
      <c r="D162" t="s">
        <v>43</v>
      </c>
      <c r="E162" s="3" t="s">
        <v>131</v>
      </c>
      <c r="F162" s="3" t="s">
        <v>81</v>
      </c>
      <c r="G162" s="3" t="s">
        <v>132</v>
      </c>
      <c r="H162" s="3" t="s">
        <v>11</v>
      </c>
      <c r="I162" s="3" t="s">
        <v>7</v>
      </c>
      <c r="J162" s="3" t="s">
        <v>58</v>
      </c>
      <c r="K162" s="3" t="s">
        <v>36</v>
      </c>
      <c r="L162" s="3" t="s">
        <v>61</v>
      </c>
      <c r="M162">
        <v>1</v>
      </c>
    </row>
    <row r="163" spans="1:13" x14ac:dyDescent="0.25">
      <c r="A163" s="1">
        <v>46147</v>
      </c>
      <c r="B163" s="1" t="str">
        <f ca="1">IF(Información1[[#This Row],[Fecha]]='Ajuste de fechas'!$A$2,"Día actual","Día anterior")</f>
        <v>Día anterior</v>
      </c>
      <c r="C163" s="3" t="s">
        <v>41</v>
      </c>
      <c r="D163" t="s">
        <v>43</v>
      </c>
      <c r="E163" s="3" t="s">
        <v>133</v>
      </c>
      <c r="F163" s="3" t="s">
        <v>27</v>
      </c>
      <c r="G163" s="3" t="s">
        <v>112</v>
      </c>
      <c r="H163" s="3" t="s">
        <v>11</v>
      </c>
      <c r="I163" s="3" t="s">
        <v>7</v>
      </c>
      <c r="J163" s="3" t="s">
        <v>58</v>
      </c>
      <c r="K163" s="3" t="s">
        <v>36</v>
      </c>
      <c r="L163" s="3" t="s">
        <v>61</v>
      </c>
      <c r="M163">
        <v>1</v>
      </c>
    </row>
    <row r="164" spans="1:13" x14ac:dyDescent="0.25">
      <c r="A164" s="1">
        <v>46147</v>
      </c>
      <c r="B164" s="1" t="str">
        <f ca="1">IF(Información1[[#This Row],[Fecha]]='Ajuste de fechas'!$A$2,"Día actual","Día anterior")</f>
        <v>Día anterior</v>
      </c>
      <c r="C164" s="3" t="s">
        <v>41</v>
      </c>
      <c r="D164" t="s">
        <v>43</v>
      </c>
      <c r="E164" s="3" t="s">
        <v>134</v>
      </c>
      <c r="F164" s="3" t="s">
        <v>27</v>
      </c>
      <c r="G164" s="3" t="s">
        <v>120</v>
      </c>
      <c r="H164" s="3" t="s">
        <v>11</v>
      </c>
      <c r="I164" s="3" t="s">
        <v>7</v>
      </c>
      <c r="J164" s="3" t="s">
        <v>58</v>
      </c>
      <c r="K164" s="3" t="s">
        <v>36</v>
      </c>
      <c r="L164" s="3" t="s">
        <v>61</v>
      </c>
      <c r="M164">
        <v>1</v>
      </c>
    </row>
    <row r="165" spans="1:13" x14ac:dyDescent="0.25">
      <c r="A165" s="1">
        <v>46147</v>
      </c>
      <c r="B165" s="1" t="str">
        <f ca="1">IF(Información1[[#This Row],[Fecha]]='Ajuste de fechas'!$A$2,"Día actual","Día anterior")</f>
        <v>Día anterior</v>
      </c>
      <c r="C165" s="3" t="s">
        <v>87</v>
      </c>
      <c r="D165" t="s">
        <v>91</v>
      </c>
      <c r="E165" s="3" t="s">
        <v>131</v>
      </c>
      <c r="F165" s="3" t="s">
        <v>81</v>
      </c>
      <c r="G165" s="3" t="s">
        <v>132</v>
      </c>
      <c r="H165" s="3" t="s">
        <v>11</v>
      </c>
      <c r="I165" s="3" t="s">
        <v>7</v>
      </c>
      <c r="J165" s="3" t="s">
        <v>58</v>
      </c>
      <c r="K165" s="3" t="s">
        <v>92</v>
      </c>
      <c r="L165" s="3" t="s">
        <v>61</v>
      </c>
      <c r="M165">
        <v>1</v>
      </c>
    </row>
    <row r="166" spans="1:13" x14ac:dyDescent="0.25">
      <c r="A166" s="1">
        <v>46147</v>
      </c>
      <c r="B166" s="1" t="str">
        <f ca="1">IF(Información1[[#This Row],[Fecha]]='Ajuste de fechas'!$A$2,"Día actual","Día anterior")</f>
        <v>Día anterior</v>
      </c>
      <c r="C166" s="3" t="s">
        <v>32</v>
      </c>
      <c r="D166" t="s">
        <v>35</v>
      </c>
      <c r="E166" s="3" t="s">
        <v>137</v>
      </c>
      <c r="F166" s="3" t="s">
        <v>19</v>
      </c>
      <c r="G166" s="3" t="s">
        <v>138</v>
      </c>
      <c r="H166" s="3" t="s">
        <v>11</v>
      </c>
      <c r="I166" s="3" t="s">
        <v>7</v>
      </c>
      <c r="J166" s="3" t="s">
        <v>62</v>
      </c>
      <c r="K166" s="3" t="s">
        <v>33</v>
      </c>
      <c r="L166" s="3" t="s">
        <v>60</v>
      </c>
      <c r="M166">
        <v>1</v>
      </c>
    </row>
    <row r="167" spans="1:13" x14ac:dyDescent="0.25">
      <c r="A167" s="1">
        <v>46147</v>
      </c>
      <c r="B167" s="1" t="str">
        <f ca="1">IF(Información1[[#This Row],[Fecha]]='Ajuste de fechas'!$A$2,"Día actual","Día anterior")</f>
        <v>Día anterior</v>
      </c>
      <c r="C167" s="3" t="s">
        <v>32</v>
      </c>
      <c r="D167" t="s">
        <v>35</v>
      </c>
      <c r="E167" s="3" t="s">
        <v>139</v>
      </c>
      <c r="F167" s="3" t="s">
        <v>19</v>
      </c>
      <c r="G167" s="3" t="s">
        <v>138</v>
      </c>
      <c r="H167" s="3" t="s">
        <v>11</v>
      </c>
      <c r="I167" s="3" t="s">
        <v>7</v>
      </c>
      <c r="J167" s="3" t="s">
        <v>62</v>
      </c>
      <c r="K167" s="3" t="s">
        <v>33</v>
      </c>
      <c r="L167" s="3" t="s">
        <v>59</v>
      </c>
      <c r="M167">
        <v>1</v>
      </c>
    </row>
    <row r="168" spans="1:13" x14ac:dyDescent="0.25">
      <c r="A168" s="1">
        <v>46147</v>
      </c>
      <c r="B168" s="1" t="str">
        <f ca="1">IF(Información1[[#This Row],[Fecha]]='Ajuste de fechas'!$A$2,"Día actual","Día anterior")</f>
        <v>Día anterior</v>
      </c>
      <c r="C168" s="3" t="s">
        <v>32</v>
      </c>
      <c r="D168" t="s">
        <v>35</v>
      </c>
      <c r="E168" s="3" t="s">
        <v>140</v>
      </c>
      <c r="F168" s="3" t="s">
        <v>17</v>
      </c>
      <c r="G168" s="3" t="s">
        <v>93</v>
      </c>
      <c r="H168" s="3" t="s">
        <v>11</v>
      </c>
      <c r="I168" s="3" t="s">
        <v>7</v>
      </c>
      <c r="J168" s="3" t="s">
        <v>58</v>
      </c>
      <c r="K168" s="3" t="s">
        <v>33</v>
      </c>
      <c r="L168" s="3" t="s">
        <v>59</v>
      </c>
      <c r="M168">
        <v>1</v>
      </c>
    </row>
    <row r="169" spans="1:13" x14ac:dyDescent="0.25">
      <c r="A169" s="1">
        <v>46147</v>
      </c>
      <c r="B169" s="1" t="str">
        <f ca="1">IF(Información1[[#This Row],[Fecha]]='Ajuste de fechas'!$A$2,"Día actual","Día anterior")</f>
        <v>Día anterior</v>
      </c>
      <c r="C169" s="3" t="s">
        <v>32</v>
      </c>
      <c r="D169" t="s">
        <v>35</v>
      </c>
      <c r="E169" s="3" t="s">
        <v>148</v>
      </c>
      <c r="F169" s="3" t="s">
        <v>23</v>
      </c>
      <c r="G169" s="3" t="s">
        <v>80</v>
      </c>
      <c r="H169" s="3" t="s">
        <v>11</v>
      </c>
      <c r="I169" s="3" t="s">
        <v>7</v>
      </c>
      <c r="J169" s="3" t="s">
        <v>58</v>
      </c>
      <c r="K169" s="3" t="s">
        <v>33</v>
      </c>
      <c r="L169" s="3" t="s">
        <v>59</v>
      </c>
      <c r="M169">
        <v>1</v>
      </c>
    </row>
    <row r="170" spans="1:13" x14ac:dyDescent="0.25">
      <c r="A170" s="1">
        <v>46147</v>
      </c>
      <c r="B170" s="1" t="str">
        <f ca="1">IF(Información1[[#This Row],[Fecha]]='Ajuste de fechas'!$A$2,"Día actual","Día anterior")</f>
        <v>Día anterior</v>
      </c>
      <c r="C170" s="3" t="s">
        <v>32</v>
      </c>
      <c r="D170" t="s">
        <v>35</v>
      </c>
      <c r="E170" s="3" t="s">
        <v>149</v>
      </c>
      <c r="F170" s="3" t="s">
        <v>150</v>
      </c>
      <c r="G170" s="3" t="s">
        <v>151</v>
      </c>
      <c r="H170" s="3" t="s">
        <v>11</v>
      </c>
      <c r="I170" s="3" t="s">
        <v>7</v>
      </c>
      <c r="J170" s="3" t="s">
        <v>58</v>
      </c>
      <c r="K170" s="3" t="s">
        <v>33</v>
      </c>
      <c r="L170" s="3" t="s">
        <v>59</v>
      </c>
      <c r="M170">
        <v>1</v>
      </c>
    </row>
    <row r="171" spans="1:13" x14ac:dyDescent="0.25">
      <c r="A171" s="1">
        <v>46147</v>
      </c>
      <c r="B171" s="1" t="str">
        <f ca="1">IF(Información1[[#This Row],[Fecha]]='Ajuste de fechas'!$A$2,"Día actual","Día anterior")</f>
        <v>Día anterior</v>
      </c>
      <c r="C171" s="3" t="s">
        <v>32</v>
      </c>
      <c r="D171" t="s">
        <v>35</v>
      </c>
      <c r="E171" s="3" t="s">
        <v>152</v>
      </c>
      <c r="F171" s="3" t="s">
        <v>27</v>
      </c>
      <c r="G171" s="3" t="s">
        <v>112</v>
      </c>
      <c r="H171" s="3" t="s">
        <v>11</v>
      </c>
      <c r="I171" s="3" t="s">
        <v>7</v>
      </c>
      <c r="J171" s="3" t="s">
        <v>58</v>
      </c>
      <c r="K171" s="3" t="s">
        <v>33</v>
      </c>
      <c r="L171" s="3" t="s">
        <v>61</v>
      </c>
      <c r="M171">
        <v>1</v>
      </c>
    </row>
    <row r="172" spans="1:13" x14ac:dyDescent="0.25">
      <c r="A172" s="1">
        <v>46147</v>
      </c>
      <c r="B172" s="1" t="str">
        <f ca="1">IF(Información1[[#This Row],[Fecha]]='Ajuste de fechas'!$A$2,"Día actual","Día anterior")</f>
        <v>Día anterior</v>
      </c>
      <c r="C172" s="3" t="s">
        <v>32</v>
      </c>
      <c r="D172" t="s">
        <v>35</v>
      </c>
      <c r="E172" s="3" t="s">
        <v>153</v>
      </c>
      <c r="F172" s="3" t="s">
        <v>27</v>
      </c>
      <c r="G172" s="3" t="s">
        <v>112</v>
      </c>
      <c r="H172" s="3" t="s">
        <v>11</v>
      </c>
      <c r="I172" s="3" t="s">
        <v>7</v>
      </c>
      <c r="J172" s="3" t="s">
        <v>58</v>
      </c>
      <c r="K172" s="3" t="s">
        <v>33</v>
      </c>
      <c r="L172" s="3" t="s">
        <v>59</v>
      </c>
      <c r="M172">
        <v>1</v>
      </c>
    </row>
    <row r="173" spans="1:13" x14ac:dyDescent="0.25">
      <c r="A173" s="1">
        <v>46147</v>
      </c>
      <c r="B173" s="1" t="str">
        <f ca="1">IF(Información1[[#This Row],[Fecha]]='Ajuste de fechas'!$A$2,"Día actual","Día anterior")</f>
        <v>Día anterior</v>
      </c>
      <c r="C173" s="3" t="s">
        <v>32</v>
      </c>
      <c r="D173" t="s">
        <v>35</v>
      </c>
      <c r="E173" s="3" t="s">
        <v>159</v>
      </c>
      <c r="F173" s="3" t="s">
        <v>22</v>
      </c>
      <c r="G173" s="3" t="s">
        <v>160</v>
      </c>
      <c r="H173" s="3" t="s">
        <v>11</v>
      </c>
      <c r="I173" s="3" t="s">
        <v>7</v>
      </c>
      <c r="J173" s="3" t="s">
        <v>63</v>
      </c>
      <c r="K173" s="3" t="s">
        <v>33</v>
      </c>
      <c r="L173" s="3" t="s">
        <v>59</v>
      </c>
      <c r="M173">
        <v>1</v>
      </c>
    </row>
    <row r="174" spans="1:13" x14ac:dyDescent="0.25">
      <c r="A174" s="1">
        <v>46147</v>
      </c>
      <c r="B174" s="1" t="str">
        <f ca="1">IF(Información1[[#This Row],[Fecha]]='Ajuste de fechas'!$A$2,"Día actual","Día anterior")</f>
        <v>Día anterior</v>
      </c>
      <c r="C174" s="3" t="s">
        <v>32</v>
      </c>
      <c r="D174" t="s">
        <v>35</v>
      </c>
      <c r="E174" s="3" t="s">
        <v>165</v>
      </c>
      <c r="F174" s="3" t="s">
        <v>166</v>
      </c>
      <c r="G174" s="3" t="s">
        <v>83</v>
      </c>
      <c r="H174" s="3" t="s">
        <v>11</v>
      </c>
      <c r="I174" s="3" t="s">
        <v>7</v>
      </c>
      <c r="J174" s="3" t="s">
        <v>58</v>
      </c>
      <c r="K174" s="3" t="s">
        <v>33</v>
      </c>
      <c r="L174" s="3" t="s">
        <v>59</v>
      </c>
      <c r="M174">
        <v>1</v>
      </c>
    </row>
    <row r="175" spans="1:13" x14ac:dyDescent="0.25">
      <c r="A175" s="1">
        <v>46147</v>
      </c>
      <c r="B175" s="1" t="str">
        <f ca="1">IF(Información1[[#This Row],[Fecha]]='Ajuste de fechas'!$A$2,"Día actual","Día anterior")</f>
        <v>Día anterior</v>
      </c>
      <c r="C175" s="3" t="s">
        <v>32</v>
      </c>
      <c r="D175" t="s">
        <v>35</v>
      </c>
      <c r="E175" s="3" t="s">
        <v>167</v>
      </c>
      <c r="F175" s="3" t="s">
        <v>27</v>
      </c>
      <c r="G175" s="3" t="s">
        <v>83</v>
      </c>
      <c r="H175" s="3" t="s">
        <v>11</v>
      </c>
      <c r="I175" s="3" t="s">
        <v>7</v>
      </c>
      <c r="J175" s="3" t="s">
        <v>58</v>
      </c>
      <c r="K175" s="3" t="s">
        <v>33</v>
      </c>
      <c r="L175" s="3" t="s">
        <v>59</v>
      </c>
      <c r="M175">
        <v>1</v>
      </c>
    </row>
    <row r="176" spans="1:13" x14ac:dyDescent="0.25">
      <c r="A176" s="1">
        <v>46147</v>
      </c>
      <c r="B176" s="1" t="str">
        <f ca="1">IF(Información1[[#This Row],[Fecha]]='Ajuste de fechas'!$A$2,"Día actual","Día anterior")</f>
        <v>Día anterior</v>
      </c>
      <c r="C176" s="3" t="s">
        <v>32</v>
      </c>
      <c r="D176" t="s">
        <v>35</v>
      </c>
      <c r="E176" s="3" t="s">
        <v>170</v>
      </c>
      <c r="F176" s="3" t="s">
        <v>19</v>
      </c>
      <c r="G176" s="3" t="s">
        <v>86</v>
      </c>
      <c r="H176" s="3" t="s">
        <v>11</v>
      </c>
      <c r="I176" s="3" t="s">
        <v>7</v>
      </c>
      <c r="J176" s="3" t="s">
        <v>62</v>
      </c>
      <c r="K176" s="3" t="s">
        <v>33</v>
      </c>
      <c r="L176" s="3" t="s">
        <v>59</v>
      </c>
      <c r="M176">
        <v>1</v>
      </c>
    </row>
    <row r="177" spans="1:13" x14ac:dyDescent="0.25">
      <c r="A177" s="1">
        <v>46147</v>
      </c>
      <c r="B177" s="1" t="str">
        <f ca="1">IF(Información1[[#This Row],[Fecha]]='Ajuste de fechas'!$A$2,"Día actual","Día anterior")</f>
        <v>Día anterior</v>
      </c>
      <c r="C177" s="3" t="s">
        <v>32</v>
      </c>
      <c r="D177" t="s">
        <v>35</v>
      </c>
      <c r="E177" s="3" t="s">
        <v>171</v>
      </c>
      <c r="F177" s="3" t="s">
        <v>69</v>
      </c>
      <c r="G177" s="3" t="s">
        <v>102</v>
      </c>
      <c r="H177" s="3" t="s">
        <v>11</v>
      </c>
      <c r="I177" s="3" t="s">
        <v>7</v>
      </c>
      <c r="J177" s="3" t="s">
        <v>58</v>
      </c>
      <c r="K177" s="3" t="s">
        <v>33</v>
      </c>
      <c r="L177" s="3" t="s">
        <v>59</v>
      </c>
      <c r="M177">
        <v>1</v>
      </c>
    </row>
    <row r="178" spans="1:13" x14ac:dyDescent="0.25">
      <c r="A178" s="1">
        <v>46147</v>
      </c>
      <c r="B178" s="1" t="str">
        <f ca="1">IF(Información1[[#This Row],[Fecha]]='Ajuste de fechas'!$A$2,"Día actual","Día anterior")</f>
        <v>Día anterior</v>
      </c>
      <c r="C178" s="3" t="s">
        <v>32</v>
      </c>
      <c r="D178" t="s">
        <v>35</v>
      </c>
      <c r="E178" s="3" t="s">
        <v>175</v>
      </c>
      <c r="F178" s="3" t="s">
        <v>19</v>
      </c>
      <c r="G178" s="3" t="s">
        <v>85</v>
      </c>
      <c r="H178" s="3" t="s">
        <v>11</v>
      </c>
      <c r="I178" s="3" t="s">
        <v>7</v>
      </c>
      <c r="J178" s="3" t="s">
        <v>62</v>
      </c>
      <c r="K178" s="3" t="s">
        <v>33</v>
      </c>
      <c r="L178" s="3" t="s">
        <v>59</v>
      </c>
      <c r="M178">
        <v>1</v>
      </c>
    </row>
    <row r="179" spans="1:13" x14ac:dyDescent="0.25">
      <c r="A179" s="1">
        <v>46147</v>
      </c>
      <c r="B179" s="1" t="str">
        <f ca="1">IF(Información1[[#This Row],[Fecha]]='Ajuste de fechas'!$A$2,"Día actual","Día anterior")</f>
        <v>Día anterior</v>
      </c>
      <c r="C179" s="3" t="s">
        <v>32</v>
      </c>
      <c r="D179" t="s">
        <v>35</v>
      </c>
      <c r="E179" s="3" t="s">
        <v>177</v>
      </c>
      <c r="F179" s="3" t="s">
        <v>27</v>
      </c>
      <c r="G179" s="3" t="s">
        <v>120</v>
      </c>
      <c r="H179" s="3" t="s">
        <v>11</v>
      </c>
      <c r="I179" s="3" t="s">
        <v>7</v>
      </c>
      <c r="J179" s="3" t="s">
        <v>58</v>
      </c>
      <c r="K179" s="3" t="s">
        <v>33</v>
      </c>
      <c r="L179" s="3" t="s">
        <v>59</v>
      </c>
      <c r="M179">
        <v>1</v>
      </c>
    </row>
    <row r="180" spans="1:13" x14ac:dyDescent="0.25">
      <c r="A180" s="1">
        <v>46147</v>
      </c>
      <c r="B180" s="1" t="str">
        <f ca="1">IF(Información1[[#This Row],[Fecha]]='Ajuste de fechas'!$A$2,"Día actual","Día anterior")</f>
        <v>Día anterior</v>
      </c>
      <c r="C180" s="3" t="s">
        <v>32</v>
      </c>
      <c r="D180" t="s">
        <v>35</v>
      </c>
      <c r="E180" s="3" t="s">
        <v>179</v>
      </c>
      <c r="F180" s="3" t="s">
        <v>27</v>
      </c>
      <c r="G180" s="3" t="s">
        <v>103</v>
      </c>
      <c r="H180" s="3" t="s">
        <v>11</v>
      </c>
      <c r="I180" s="3" t="s">
        <v>7</v>
      </c>
      <c r="J180" s="3" t="s">
        <v>58</v>
      </c>
      <c r="K180" s="3" t="s">
        <v>33</v>
      </c>
      <c r="L180" s="3" t="s">
        <v>59</v>
      </c>
      <c r="M180">
        <v>2</v>
      </c>
    </row>
    <row r="181" spans="1:13" x14ac:dyDescent="0.25">
      <c r="A181" s="1">
        <v>46147</v>
      </c>
      <c r="B181" s="1" t="str">
        <f ca="1">IF(Información1[[#This Row],[Fecha]]='Ajuste de fechas'!$A$2,"Día actual","Día anterior")</f>
        <v>Día anterior</v>
      </c>
      <c r="C181" s="3" t="s">
        <v>32</v>
      </c>
      <c r="D181" t="s">
        <v>35</v>
      </c>
      <c r="E181" s="3" t="s">
        <v>180</v>
      </c>
      <c r="F181" s="3" t="s">
        <v>81</v>
      </c>
      <c r="G181" s="3" t="s">
        <v>132</v>
      </c>
      <c r="H181" s="3" t="s">
        <v>11</v>
      </c>
      <c r="I181" s="3" t="s">
        <v>7</v>
      </c>
      <c r="J181" s="3" t="s">
        <v>58</v>
      </c>
      <c r="K181" s="3" t="s">
        <v>33</v>
      </c>
      <c r="L181" s="3" t="s">
        <v>59</v>
      </c>
      <c r="M181">
        <v>1</v>
      </c>
    </row>
    <row r="182" spans="1:13" x14ac:dyDescent="0.25">
      <c r="A182" s="1">
        <v>46147</v>
      </c>
      <c r="B182" s="1" t="str">
        <f ca="1">IF(Información1[[#This Row],[Fecha]]='Ajuste de fechas'!$A$2,"Día actual","Día anterior")</f>
        <v>Día anterior</v>
      </c>
      <c r="C182" s="3" t="s">
        <v>32</v>
      </c>
      <c r="D182" t="s">
        <v>35</v>
      </c>
      <c r="E182" s="3" t="s">
        <v>181</v>
      </c>
      <c r="F182" s="3" t="s">
        <v>22</v>
      </c>
      <c r="G182" s="3" t="s">
        <v>182</v>
      </c>
      <c r="H182" s="3" t="s">
        <v>11</v>
      </c>
      <c r="I182" s="3" t="s">
        <v>7</v>
      </c>
      <c r="J182" s="3" t="s">
        <v>63</v>
      </c>
      <c r="K182" s="3" t="s">
        <v>33</v>
      </c>
      <c r="L182" s="3" t="s">
        <v>59</v>
      </c>
      <c r="M182">
        <v>1</v>
      </c>
    </row>
    <row r="183" spans="1:13" x14ac:dyDescent="0.25">
      <c r="A183" s="1">
        <v>46147</v>
      </c>
      <c r="B183" s="1" t="str">
        <f ca="1">IF(Información1[[#This Row],[Fecha]]='Ajuste de fechas'!$A$2,"Día actual","Día anterior")</f>
        <v>Día anterior</v>
      </c>
      <c r="C183" s="3" t="s">
        <v>32</v>
      </c>
      <c r="D183" t="s">
        <v>35</v>
      </c>
      <c r="E183" s="3" t="s">
        <v>183</v>
      </c>
      <c r="F183" s="3" t="s">
        <v>109</v>
      </c>
      <c r="G183" s="3" t="s">
        <v>110</v>
      </c>
      <c r="H183" s="3" t="s">
        <v>11</v>
      </c>
      <c r="I183" s="3" t="s">
        <v>7</v>
      </c>
      <c r="J183" s="3" t="s">
        <v>58</v>
      </c>
      <c r="K183" s="3" t="s">
        <v>33</v>
      </c>
      <c r="L183" s="3" t="s">
        <v>61</v>
      </c>
      <c r="M183">
        <v>1</v>
      </c>
    </row>
    <row r="184" spans="1:13" x14ac:dyDescent="0.25">
      <c r="A184" s="1">
        <v>46147</v>
      </c>
      <c r="B184" s="1" t="str">
        <f ca="1">IF(Información1[[#This Row],[Fecha]]='Ajuste de fechas'!$A$2,"Día actual","Día anterior")</f>
        <v>Día anterior</v>
      </c>
      <c r="C184" s="3" t="s">
        <v>77</v>
      </c>
      <c r="D184" t="s">
        <v>300</v>
      </c>
      <c r="E184" s="3" t="s">
        <v>246</v>
      </c>
      <c r="F184" s="3" t="s">
        <v>24</v>
      </c>
      <c r="G184" s="3" t="s">
        <v>247</v>
      </c>
      <c r="H184" s="3" t="s">
        <v>11</v>
      </c>
      <c r="I184" s="3" t="s">
        <v>7</v>
      </c>
      <c r="J184" s="3" t="s">
        <v>58</v>
      </c>
      <c r="K184" s="3" t="s">
        <v>301</v>
      </c>
      <c r="L184" s="3" t="s">
        <v>61</v>
      </c>
      <c r="M184">
        <v>1</v>
      </c>
    </row>
    <row r="185" spans="1:13" x14ac:dyDescent="0.25">
      <c r="A185" s="1">
        <v>46147</v>
      </c>
      <c r="B185" s="1" t="str">
        <f ca="1">IF(Información1[[#This Row],[Fecha]]='Ajuste de fechas'!$A$2,"Día actual","Día anterior")</f>
        <v>Día anterior</v>
      </c>
      <c r="C185" s="3" t="s">
        <v>77</v>
      </c>
      <c r="D185" t="s">
        <v>300</v>
      </c>
      <c r="E185" s="3" t="s">
        <v>133</v>
      </c>
      <c r="F185" s="3" t="s">
        <v>27</v>
      </c>
      <c r="G185" s="3" t="s">
        <v>112</v>
      </c>
      <c r="H185" s="3" t="s">
        <v>11</v>
      </c>
      <c r="I185" s="3" t="s">
        <v>7</v>
      </c>
      <c r="J185" s="3" t="s">
        <v>58</v>
      </c>
      <c r="K185" s="3" t="s">
        <v>301</v>
      </c>
      <c r="L185" s="3" t="s">
        <v>61</v>
      </c>
      <c r="M185">
        <v>1</v>
      </c>
    </row>
    <row r="186" spans="1:13" x14ac:dyDescent="0.25">
      <c r="A186" s="1">
        <v>46147</v>
      </c>
      <c r="B186" s="1" t="str">
        <f ca="1">IF(Información1[[#This Row],[Fecha]]='Ajuste de fechas'!$A$2,"Día actual","Día anterior")</f>
        <v>Día anterior</v>
      </c>
      <c r="C186" s="3" t="s">
        <v>77</v>
      </c>
      <c r="D186" t="s">
        <v>300</v>
      </c>
      <c r="E186" s="3" t="s">
        <v>241</v>
      </c>
      <c r="F186" s="3" t="s">
        <v>45</v>
      </c>
      <c r="G186" s="3" t="s">
        <v>126</v>
      </c>
      <c r="H186" s="3" t="s">
        <v>11</v>
      </c>
      <c r="I186" s="3" t="s">
        <v>7</v>
      </c>
      <c r="J186" s="3" t="s">
        <v>58</v>
      </c>
      <c r="K186" s="3" t="s">
        <v>301</v>
      </c>
      <c r="L186" s="3" t="s">
        <v>61</v>
      </c>
      <c r="M186">
        <v>1</v>
      </c>
    </row>
    <row r="187" spans="1:13" x14ac:dyDescent="0.25">
      <c r="A187" s="1">
        <v>46147</v>
      </c>
      <c r="B187" s="1" t="str">
        <f ca="1">IF(Información1[[#This Row],[Fecha]]='Ajuste de fechas'!$A$2,"Día actual","Día anterior")</f>
        <v>Día anterior</v>
      </c>
      <c r="C187" s="3" t="s">
        <v>77</v>
      </c>
      <c r="D187" t="s">
        <v>300</v>
      </c>
      <c r="E187" s="3" t="s">
        <v>323</v>
      </c>
      <c r="F187" s="3" t="s">
        <v>81</v>
      </c>
      <c r="G187" s="3" t="s">
        <v>132</v>
      </c>
      <c r="H187" s="3" t="s">
        <v>11</v>
      </c>
      <c r="I187" s="3" t="s">
        <v>7</v>
      </c>
      <c r="J187" s="3" t="s">
        <v>58</v>
      </c>
      <c r="K187" s="3" t="s">
        <v>301</v>
      </c>
      <c r="L187" s="3" t="s">
        <v>61</v>
      </c>
      <c r="M18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66</v>
      </c>
      <c r="B1" t="s">
        <v>67</v>
      </c>
    </row>
    <row r="2" spans="1:2" x14ac:dyDescent="0.25">
      <c r="A2" s="2">
        <f ca="1">TODAY()</f>
        <v>46148</v>
      </c>
      <c r="B2" s="2">
        <f ca="1">A2-1</f>
        <v>46147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2026-05-07T00:39:40Z</dcterms:modified>
</cp:coreProperties>
</file>