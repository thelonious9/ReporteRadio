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4FEE686F-C0D7-4B96-A3F4-E5D71086229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44"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<sst xmlns="http://schemas.openxmlformats.org/spreadsheetml/2006/main" count="1715" uniqueCount="322">
  <si>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</si>
  <si>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</si>
  <si>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</si>
  <si>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</si>
  <si>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</si>
  <si>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</si>
  <si>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</si>
  <si>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</si>
  <si>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</si>
  <si>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</si>
  <si>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</si>
  <si>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</si>
  <si>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</si>
  <si>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</si>
  <si>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</si>
  <si>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</si>
  <si>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</si>
  <si>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</si>
  <si>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</si>
  <si>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</si>
  <si>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</si>
  <si>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</si>
  <si>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</si>
  <si>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</si>
  <si>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</si>
  <si>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</si>
  <si>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</si>
  <si>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</si>
  <si>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</si>
  <si>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</si>
  <si>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</si>
  <si>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</si>
  <si>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</si>
  <si>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</si>
  <si>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</si>
  <si>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</si>
  <si>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</si>
  <si>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</si>
  <si>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</si>
  <si>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</si>
  <si>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</si>
  <si>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</si>
  <si>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</si>
  <si>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</si>
  <si>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</si>
  <si>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</si>
  <si>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</si>
  <si>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</si>
  <si>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</si>
  <si>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</si>
  <si>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</si>
  <si>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</si>
  <si>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</si>
  <si>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</si>
  <si>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</si>
  <si>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</si>
  <si>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</si>
  <si>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</si>
  <si>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La Poderosa Tuxpan 93.1 FM</t>
  </si>
  <si>
    <t>NN Nuestras Noticias Zona Norte</t>
  </si>
  <si>
    <t>Liz Argüelles</t>
  </si>
  <si>
    <t>Abasto De Agua</t>
  </si>
  <si>
    <t>PGJEH</t>
  </si>
  <si>
    <t>Semarnath</t>
  </si>
  <si>
    <t>Homicidios</t>
  </si>
  <si>
    <t>Ataque Armado</t>
  </si>
  <si>
    <t>Vía telefónica el reporte de Bombero y Protección Civil con Abner Yáñez informa de las diversas emergencias reportadas por la ciudadanía y que fueron atendidas.</t>
  </si>
  <si>
    <t>Milton Cortés</t>
  </si>
  <si>
    <t>Día del maestro</t>
  </si>
  <si>
    <t>Juan Carlos Santamaria</t>
  </si>
  <si>
    <t>NQ 90.1 FM</t>
  </si>
  <si>
    <t>Enlace Hidalgo2</t>
  </si>
  <si>
    <t>Jesús Riveros</t>
  </si>
  <si>
    <t>Ke Buena 106.7 FM</t>
  </si>
  <si>
    <t>Noticias 106.7</t>
  </si>
  <si>
    <t>David Cárdenas</t>
  </si>
  <si>
    <t>Enlace Hidalgo1</t>
  </si>
  <si>
    <t>Entrega de infraestructura escolar</t>
  </si>
  <si>
    <t>Mundial De Futbol</t>
  </si>
  <si>
    <t>Levantamiento De Cuerpo</t>
  </si>
  <si>
    <t>OCSAD</t>
  </si>
  <si>
    <t>Gusano barrenador</t>
  </si>
  <si>
    <t>Atención Afectaciones Por Lluvias</t>
  </si>
  <si>
    <t>Falta de transporte</t>
  </si>
  <si>
    <t>Ruta de la Transformación</t>
  </si>
  <si>
    <t>Accidente autobús</t>
  </si>
  <si>
    <t>Combate a la delincuencia</t>
  </si>
  <si>
    <t>En materia ambiental, la secretaria de medio ambiente y recursos naturales, Mónica Mixtega Trejo, informó sobre la identificación de 27 islas de calor urbano en Pachuca, zonas donde la temperatura es considerablemente más alta. “Pachuca forma parte del proyecto piloto de identificación y evaluación de acciones y proyectos estratégicos para la atención de las islas de calor urbanas en la megalópolis, donde se identificaron 27 zonas con este fenómeno. Entre las zonas prioritarias de atención se encuentran el área del estadio Hidalgo, galerías Pachuca y corredor zona militar Plaza Explanada, espacios conectados precisamente por el bulevar Felipe Ángeles.”</t>
  </si>
  <si>
    <t>Mitigación ambiental</t>
  </si>
  <si>
    <t>Hacienda</t>
  </si>
  <si>
    <t>Refrendo Vehicular</t>
  </si>
  <si>
    <t>Entrevista pautada</t>
  </si>
  <si>
    <t>Hidalgo se consolida en el top 10 de las entidades más pacíficas de México: Índice de Paz 2026.</t>
  </si>
  <si>
    <t>Índice de paz</t>
  </si>
  <si>
    <t>Cruz Azul</t>
  </si>
  <si>
    <t>Cebaderos</t>
  </si>
  <si>
    <t>Hospital Tula</t>
  </si>
  <si>
    <t>Vialidad En Mal Estado</t>
  </si>
  <si>
    <t>Queja transporte público</t>
  </si>
  <si>
    <t>Eulalio Larrieta agradece a Edith Balderas de la Secretaria de Educación Pública.</t>
  </si>
  <si>
    <t>Eulalio Larrieta agradece Paola García y Lic. Sarahi Pineda, por estar atentas a los mensajes de la ciudadanía y por atenderlos.</t>
  </si>
  <si>
    <t>Obra en los 84 municipios, garantía de la administración de Julio Menchaca</t>
  </si>
  <si>
    <t>Julio Menchaca anuncia obras de impacto para Mixquiahuala</t>
  </si>
  <si>
    <t>Vinculados a proceso nueve elementos de Seguridad Pública de Progreso de Obregón por homicidio doloso calificado y lesiones Los nueve elementos policiacos municipales de Progreso de Obregón, fueron vinculados a proceso por un juez de control luego de que la Procuraduría General de Justicia del Estado de Hidalgo (PGJEH), presentó datos de prueba suficientes en su contra. Las personas ahora imputadas, identificadas con iniciales A. M. D., D. B. M., M. A. R. H., A. F. C., A. P. M., S. P. S., A. S. A., L. E. A. T. y O. F. Z. R., son investigadas por hechos que la ley sanciona como homicidio doloso calificado y lesiones. El pasado miércoles 13 de mayo, en un operativo conjunto entre Policía Estatal, Ejército Mexicano y agentes de la Agencia de Investigación Criminal (AIC), se realizaron las detenciones. Minutos después del despliegue, los elementos de la Policía Municipal fueron concentrados y formados en la explanada principal, donde agentes de la AIC comenzaron a nombrar uno por uno a los oficiales que serían asegurados. De acuerdo con los reportes, nueve policías municipales fueron separados del resto y posteriormente subidos a camionetas tipo panel de color blanco. Entre las personas detenidas se encuentran ocho hombres y una mujer.</t>
  </si>
  <si>
    <t>Detención de policía</t>
  </si>
  <si>
    <t>El Índice de Paz 2026 colocó a Hidalgo entre los 10 estados más pacíficos de México, señalando que ha logrado contener factores de riesgo relacionados con violencia y delincuencia organizada. Hidalgo logró posicionarse entre las entidades con mejores niveles de seguridad y estabilidad social en México, al colocarse en el noveno lugar nacional dentro del Índice de Paz México (IPM) 2026, elaborado por el Instituto para la Economía y la Paz (IEP). La entidad obtuvo una calificación general de 2.296 puntos, resultado que le permitió mantenerse por tercer año consecutivo dentro del grupo de los diez estados considerados con mejores condiciones de paz en el país. El informe destaca que, en medio de un escenario nacional marcado por problemas de inseguridad y presencia de grupos delictivos en distintas regiones, Hidalgo ha logrado contener factores de riesgo relacionados con violencia y delincuencia organizada. Dentro de la región centro del país, el estado alcanzó la segunda posición regional, únicamente por debajo de Tlaxcala, gracias a reducciones en indicadores considerados clave por el estudio. Uno de los apartados donde la entidad obtuvo mejores resultados fue en los delitos vinculados con la delincuencia organizada, rubro en el que se ubicó en el séptimo lugar nacional con una calificación de 2.034 puntos. En cuanto a delitos cometidos con armas de fuego, el estado se posicionó en el lugar 11 nacional, con un puntaje de 1.834, mientras que la tasa de homicidios se mantuvo en niveles controlados con una evaluación de 1.580 puntos, colocándolo en la posición 12 del país. El análisis también resalta un dato considerado relevante: la diferencia entre la percepción ciudadana y la incidencia real de violencia es menor en Hidalgo en comparación con otras entidades del país.</t>
  </si>
  <si>
    <t>ITESA impulsa talento estudiantil con Maratón de Conocimientos</t>
  </si>
  <si>
    <t>Justa Académica</t>
  </si>
  <si>
    <t>Turismo</t>
  </si>
  <si>
    <t>Producción audiovisual</t>
  </si>
  <si>
    <t>Inauguran laboratorios para fortalecer formación médica</t>
  </si>
  <si>
    <t>Hospital-Escuela</t>
  </si>
  <si>
    <t>Inauguran laboratorios para fortalecer formación médica en la UTSH</t>
  </si>
  <si>
    <t>Gobierno de Hidalgo llama a tomar acción en la protección a los polinizadores</t>
  </si>
  <si>
    <t>Conservación de Polinizadores</t>
  </si>
  <si>
    <t>Producción hecha en Hidalgo destaca en el Festival de Cine en Guadalajara</t>
  </si>
  <si>
    <t>UPLAPH continúa con divulgación de los apoyos para estudios de posgrado e investigación 2026. (AUDIO MATV).</t>
  </si>
  <si>
    <t>Becas De Posgrado</t>
  </si>
  <si>
    <t>Vinculados a proceso nueve elementos de Seguridad Pública de Progreso de Obregón por homicidio doloso calificado y lesiones.</t>
  </si>
  <si>
    <t>En coordinación operativa, Gabinete de Seguridad da golpe contra la delincuencia en Tepetitlán.</t>
  </si>
  <si>
    <t>IHE fortalece espacios escolares en Actopan.</t>
  </si>
  <si>
    <t>Entrega De Equipo Escolar</t>
  </si>
  <si>
    <t>través de la Secretaría del Despacho del Gobernador, a cargo de Alejandro Velázquez Mendoza, la administración estatal encabezada por Julio Menchaca Salazar gestionó el traslado aéreo de una paciente de 26 años en estado crítico, desde el Hospital Integral de Tlanchinol al Hospital General de Pachuca.</t>
  </si>
  <si>
    <t>Puente aéreo</t>
  </si>
  <si>
    <t>Julio Menchaca anuncia obras de impacto para Mixquiahuala. (AUDIO JMS).</t>
  </si>
  <si>
    <t>Obra en los 84 municipios, garantía de la administración de Julio Menchaca. (AUDIO JMS).</t>
  </si>
  <si>
    <t>Vinculados a proceso nueve elementos de Seguridad Pública de Progreso de Obregón por homicidio doloso calificado y lesiones</t>
  </si>
  <si>
    <t>Producción hecha en Hidalgo destaca en el Festival de Cine en Guadalajara.</t>
  </si>
  <si>
    <t>A través de la Secretaría del Despacho del Gobernador, a cargo de Alejandro Velázquez Mendoza, la administración estatal encabezada por Julio Menchaca Salazar gestionó el traslado aéreo de una paciente de 26 años en estado crítico, desde el Hospital Integral de Tlanchinol al Hospital General de Pachuca.</t>
  </si>
  <si>
    <t>Julio Menchaca anuncia obras de impacto para Mixquiahuala (AUDIO JMS).</t>
  </si>
  <si>
    <t>Obra en los 84 municipios, garantía de la administración de Julio Menchaca.</t>
  </si>
  <si>
    <t>La Unidad de Planeación y Prospectiva de Hidalgo continúa promoviendo las becas de posgrado 2026 y el Fondo Hidalgo Ciencia y Tecnología entre Estudiantes del ITESA en Japán. Su titular, Miguel Ángel Tello Vargas, destacó que estos apoyos buscan fortalecer la formación académica y el desarrollo de proyectos innovadores para atender las necesidades de Hidalgo. Las becas contemplan apoyos de hasta 30 mil pesos para estudios de especialidad, maestría, doctorado y post doctorado, tanto en instituciones nacionales como en extranjeras.Además, el Fondo Hidalgo Ciencia y Tecnología mantiene abierta la convocatoria para financiar proyectos sociales y de investigación científica con recursos de hasta 250 mil pesos. Estamos dando de 200 a 250 mil pesos a los investigadores para que nos ayuden a buscar una propuesta de solución a los problemas de la ciencia. Para las becas, no les dije cuánto era, porque es muy variable, pero son de 16 mil a casi 30 mil pesos al mes a los estudiantes que se van a estudiar otros datos</t>
  </si>
  <si>
    <t>Autoridades estatales desmantelaron un presunto centro de operaciones criminales en el municipio de Tepetitlán, donde fueron aseguradas armas largas, droga y vehículos con reporte de robo. El operativo se realizó en un inmueble de la colonia Sayula Pueblo, mediante trabajos de inteligencia coordinados por la Secretaría de Seguridad Pública de Hidalgo, la Procuraduría Estatal, Sedena y Guardia Nacional. Durante el cateo los agentes localizaron tres rifles calibre .223, un fusil AK-47, 23 cargadores abastecidos y más de 570 cartuchos sutiles, además de chalecos balísticos y equipo táctico. También fueron aseguradas 17 unidades entre camionetas, motocicletas y vehículos tipo SUV y sedan, varios de ellos con reporte de robo o alteraciones en sus medios de identificación. En el lugar se decomisaron además más de mil dosis de presunta droga entre marihuana y cristal, lo que refuerza las investigaciones por posibles actividades de narcomenudeo en la región</t>
  </si>
  <si>
    <t>¿Se acuerda de este caso? ¿No de policías municipales de Progreso de Obregón que fueron detenidos? Pues ahora ya están vinculados a proceso por los delitos de homicidio doloso calificado y lesiones, informó la Procuraduría de Hidalgo. Los imputados fueron detenidos el pasado 13 de mayo durante un operativo coordinado por el Gabinete de Seguridad en la colonia centro de ese municipio. Durante la audiencia inicial, el Ministerio Público presentó datos de pruebas suficientes para que un juez de control dictara la vinculación a proceso contra los exelementos de seguridad pública municipal. Además, la autoridad judicial les impuso la medida cautelar de prisión preventiva oficiosa y fijó un plazo de tres meses para el cierre de la investigación complementaria. Cambiemos de tema. Las lluvias registradas en Hidalgo ya dejan afectaciones en al menos 10 municipios, con caída de árboles, encharcamientos y derrumbes. Mientras las autoridades mantienen activo el Comité de Emergencias, los incidentes por lluvias e incendios siguen acumulándose. Tan solo este año ya suman 367 siniestros en la entidad,</t>
  </si>
  <si>
    <t>PIBEH impulsa el crecimiento profesional de quienes forman parte de la institución, AUDIO APOYO</t>
  </si>
  <si>
    <t>Firma De Convenio</t>
  </si>
  <si>
    <t>Obra en los 84 municipios, garantía de la administración de Julio Menchaca, AUDIO APOYO</t>
  </si>
  <si>
    <t>Julio Menchaca anuncia obras de impacto para Mixquiahuala, AUDIO APOYO</t>
  </si>
  <si>
    <t>Como parte de estas rutas de la transformación el gobernador de Hidalgo Julio Menchaca Salazar encabezó una gira de trabajo en Mixquiahuala de Juárez donde supervisó y anunció obras de infraestructura educativa y urbana con una inversión estatal superior a los 154 millones de pesos. Durante su visita al Instituto Tecnológico Superior del Occidente del estado de Hidalgo, el mandatario destacó que la prioridad es fortalecer la educación y generar mejores oportunidades para la juventud hidalguense. Ahí supervisó la construcción de una barda perimetral y la rehabilitación del edificio 1 del plantel. AUDIO DE APOYO,</t>
  </si>
  <si>
    <t>El gobernador de Hidalgo, Julio Menchaca Salazar, anunció nuevas obras y apoyos para Tezontepec de Aldama durante su cuarta visita al municipio como parte de las rutas de la transformación y los servicios para el pueblo. El mandatario informó que lo que va de su administración se han destinado a más de 169 millones de pesos en infraestructura para esa demarcación con obras de agua potable, pavimentaciones y rehabilitación de carreteras.Para este año adelantó la segunda etapa de la carretera San Gabriel Carrasco, la rehabilitación del boulevard de acceso, la plaza principal y la reposición del puente en la cruz sobre el río Salado. AUDIO DE APOYO,</t>
  </si>
  <si>
    <t>Andrés Torres comenta que ayer Latinus publicó un reportaje sobre el costo de las tarifas de los taxis en Pachuca y vaya exhibida. Tomaron tres taxis, uno de Villas al Centro; otro del Centro a una colonia popular y de regreso. En los 3 viajes les cobraron el 50% o hasta el 100% del doble de la tarifa. Andrés Torres justifica estos aumentos a las actuales obras que ocasionan el aumento del tiempo de viaje y por lo tanto el gasto de gasolina.</t>
  </si>
  <si>
    <t>Alteración tarifa de transporte</t>
  </si>
  <si>
    <t>Andrés Torres y Milton Cortés comentan que ayer y en los últimos días el bulevar Felipe Ángeles, Santa Catarina, Las Torres y Nuevo Hidalgo, así como otras vías se han vuelto un problema por el gran tráfico vial derivado de las obras. Todo mundo busca vías alternas y estas están saturadas, falta presencia de elementos policíacos y se arman batallas campales entre los conductores.</t>
  </si>
  <si>
    <t>Rehabilitación Vial</t>
  </si>
  <si>
    <t>Vía Telefónica Milton Cortés informa que en Zempoala existe preocupación entre habitantes de la comunidad de El Mirador y Venustiano Carranza, así como de Estacionamientos por la inseguridad que se ha vivido en los últimos meses. La noche de este martes un joven fue herido por arma blanca a unos pasos de la presidencia municipal en una riña callejera. Solicitan más rondines policiacos y que exista mayor coordinación metropolitana entre Zempoala, Mineral de la Reforma y Pachuca por el aumento de delitos en las últimas 6 semanas.</t>
  </si>
  <si>
    <t>Exigen seguridad</t>
  </si>
  <si>
    <t>Habitantes de la comunidad de La Loma del Oro se manifestaron frente a la presidencia municipal de Ixmiquilpan, Hidalgo, para exigir la reapertura del histórico camino intercomunitario que conecta con la localidad de Panales. Los vecinos denunciaron que la vía fue cerrada por un particular para unir sus propiedades. Le dijeron al alcalde Emmanuel Hernández que cuando estuvo en campaña nadie iba a estar por encima de la ley y entonces por qué les cierran el camino. El ayuntamiento no se ha pronunciado al respecto.</t>
  </si>
  <si>
    <t>Exigencia de obra</t>
  </si>
  <si>
    <t>Andrés Torres comenta que hace unos días le fue entregado un Doctorado Honoris Causa al Subprocurador de Justicia, Iram González y en algunos medios hubo controversia. Hay medios de que dicen que el Subprocurador aspira a ser alcalde de Mineral de la Reforma, pero él no lo cree, pues piensa que es unos de los prospectos para ser el próximo Fiscal General del Estado.</t>
  </si>
  <si>
    <t>Transición a Fiscalía</t>
  </si>
  <si>
    <t>Personal de Protección Civil de Pachuca y Bomberos de Hidalgo, retiraron un panal de abejas en la presidencia municipal de Pachuca.</t>
  </si>
  <si>
    <t>Vinculación A Proceso</t>
  </si>
  <si>
    <t>En la Colonia el Mirador del municipio de Zempoala fue localizado el cuerpo de un persona semicalcinado, de acuerdo a la Secretaría de Seguridad Pública mediante una llamada telefónica se dio aviso de este hallazgo en un terreno del Cultivo. al lugar arribó la Procuraduría General de justicia del Estado de Hidalgo para abrir la carpeta de investigación correspondiente.</t>
  </si>
  <si>
    <t>Radioescucha, Roberto Pérez Serrano: Excelente gira del gobernador por Tezontepec de Aldama con grandes obras de impacto social y con la promesa de inauguración y puesta en operación de la nueva línea de conducción de agua potable de nuestro gobernador y el director de la Conagua.</t>
  </si>
  <si>
    <t>Desarrollan proyecto verde y azul en el municipio de Tula</t>
  </si>
  <si>
    <t>Parque ecohidrológico</t>
  </si>
  <si>
    <t>En un ambiente de unidad, reconocimiento y celebración, la Organización VI de la Sección 15 del Sindicato Nacional de Trabajadores de la Educación (SNTE) llevó a cabo el magno festejo. Reuniendo a cientos de trabajadores de la educación de dicha región. El evento contó con la presencia de autoridades sindicales, educativas e invitados especiales, la Lic. Maricarmen Mandujano, acudió con la representatividad del Dr. Natividad Castrejón Valdez, refrendando el compromiso institucional con el magisterio hidalguense quien reconoció la invaluable labor de quienes dedican de manera profesional su vida a la educación. Durante el acto protocolario, se destacó el papel fundamental de las maestras y los maestros como agentes de transformación social, constructores o posibilitadores de conocimientos y pilares esenciales para el desarrollo de Hidalgo y de México.</t>
  </si>
  <si>
    <t>El día de hoy el gobernador encabezará un evento en un salón de fiestas de Pachuca con motivo del Día del Maestro.</t>
  </si>
  <si>
    <t>Andrés Torres comenta que e la zona de la huasteca es común que en la temporada de calor por la alta demanda de energía eléctrica hay fallas y no es culpa suya como dicen y hoy el 92.7 FM, trabaja con su planta a diesel a toda capacidad para seguir informando, pues el voltaje eléctrico es tan bajo que prácticamente no hay luz. Reitera que no es su culpa que no haya luz y que si buscan culpables pues volteen al cielo, porque de repende las incapacidades y las ineptitudes solamente permiten descargar culpas. "Aquí no se aplican modelos, aquí se trabaja todos los días en la calle, e las estaciones para llevar la información a usted. Estamos fuera del aire desde hace más de un mes en el 1010 AM El Vocero Huasteco, estación en Náhuatl y en castellano. La primera estación que inauguró el gobernador Julio Menchaca, está fuera del aire porque no quieren ponerla al aire las áreas administrativas porque dicen que no tienen dinero. Nosotros sí trabajamos diario, no ponemos pretextos, estamos al pie del cañón para darle información. También menciona que no en Tulancingo no hay señal de radio y televisión.</t>
  </si>
  <si>
    <t>Radiodifusoras</t>
  </si>
  <si>
    <t>Inauguran laboratorios para fortalecer formación médica La Universidad Tecnológica de la Sierra Hidalguense (UTSH) inauguró los nuevos Laboratorios de Medicina, proyecto que representó una inversión superior a los 5 millones de pesos para fortalecer la formación académica y práctica de las y los estudiantes de la carrera de Médico Cirujano. La obra contempla seis áreas especializadas: Laboratorio de quirófano y expulsión, simulación, pediatría, hospitalización, consulta externa y procedimientos básicos, espacios diseñados para acercar al alumnado a escenarios reales de atención médica. Durante el acto inaugural, en representación del secretario de Educación Pública de Hidalgo, Natividad Castrejón Valdez, el director general de Educación Superior, Emmanuel Flores Bermúdez, indicó que con esta infraestructura, las y los estudiantes fortalecerán sus competencias clínicas, la toma de decisiones y el desarrollo de habilidades profesionales y humanas fundamentales para el ejercicio médico.</t>
  </si>
  <si>
    <t>Las bibliotecas públicas de Tulancingo continúan consolidándose como verdaderos centros de aprendizaje, recreación y desarrollo cultural para la comunidad. Así lo reconoció Arturo Alvar Gómez Xelhuantzi, jefe de Proyectos Especiales de la Dirección General de Bibliotecas del Gobierno Federal, durante su reciente visita al municipio. Su presencia coincidió con actividades que reflejan el dinamismo cultural que hoy distingue a la red de bibliotecas municipales y a la Biblioteca Pública Regional Sor Juana Inés de la Cruz. Entre ellas destacó la presentación de la obra teatral “Conjuro en Tres”, una puesta en escena que imaginó un encuentro entre las escritoras Elena Garro, Rosario Castellanos y Pita Amor.</t>
  </si>
  <si>
    <t>Bibliotecas</t>
  </si>
  <si>
    <t>A unas semanas de que se anunciará la apertura de un nuevo relleno sanitario privado, para atender la demanda en la recolección de basura en Tula, la noche del lunes, el ayuntamiento informó la suspensión del servicio. En lo que va del año, ya son dos las ocasiones que ocurre la problemática, luego del cierre del relleno sanitario regional y la cancelación del polo de desarrollo de economía circular. De acuerdo con la información, emitida por el municipio, no se tiene fecha para la reanudación del servicio. Sobre el nuevo relleno sanitario, la titular de la Semarnath, Lizbeth Robles dijo que el proyecto ya está en fase de construcción debido a que la alcaldía ya cumplió con los requisitos para el impacto ambiental.</t>
  </si>
  <si>
    <t>Recolección De Basura</t>
  </si>
  <si>
    <t>La rápida reacción de elementos de la Policía Preventiva de Pachuca permitió frustrar un robo al interior del restaurante María Palapa, ubicado sobre el bulevar Felipe Ángeles, en la colonia Santa Julia. El incidente fue detectado por la propietaria del establecimiento, quien observó a través de las cámaras de videovigilancia la presencia de un hombre dentro del inmueble fuera del horario habitual, por lo que solicitó apoyo mediante los números de emergencia. Minutos después del reporte, agentes de la Secretaría de Seguridad Pública, Tránsito y Vialidad arribaron al lugar y desplegaron un operativo al interior del restaurante, donde localizaron y aseguraron al presunto implicado antes de que pudiera huir.</t>
  </si>
  <si>
    <t>Un oficial de la policía de Pachuca se encuentra en recuperación luego de que fuera atropellado el pasado 18 de mayo por un hombre que circulaba sobre el bulevar San Javier y que se dio a la fuga.</t>
  </si>
  <si>
    <t>Atropellamiento de policía</t>
  </si>
  <si>
    <t>Un accidente vial registrado sobre la carretera Pachuca-Sahagún, a la altura del municipio de Tlanalapa, dejó al menos cuatro personas lesionadas, durante la mañana del martes 19 de mayo. El percance ocurrió en el tramo cercano a la comunidad de Tepeyahualco, donde el vehículo salió del camino y posteriormente volcó. Tras el reporte, paramédicos y cuerpos de auxilio se trasladaron al sitio para brindar atención inmediata a las personas lesionadas, quienes fueron trasladadas para ofrecerles atención médica especializada tras estabilizarles. De manera preliminar, se informó que los ocupantes fueron estabilizados en el lugar antes de ser trasladados a un hospital, donde recibirían valoración médica y tratamiento correspondiente.</t>
  </si>
  <si>
    <t>Una persona que se encontraba dirigiendo a uno de los equipos de fútbol que jugaban un parido en la cancha de fútbol rápido de la zona residencial Puerta de Hierro en Pachuca, murió repentinamente la noche de ayer tras caer desvanecido al parecer por causas naturales. El hecho genero la movilización de cuerpos de emergencia que llegaron en auxilio del masculino que ya no tenía signos vitales. El hecho fue del dominio del ministerio público que realizó el levantamiento de la victima no identificada que al parecer murió por un infarto sin embargo las autoridades determinaran la causa del deceso.</t>
  </si>
  <si>
    <t>Un cuerpo sin vida en avanzado estado de descomposición fue localizado en la colonia El Mirador, perteneciente al municipio de Zempoala. Los hechos ocurrieron en un terreno de siembra situado en inmediaciones de la carretera México-Pachuca, donde pobladores reportaron a las autoridades la presencia de un cuerpo que ya era comido por la fauna del lugar y presentaba huellas de violencia. Un cuerpo sin vida en avanzado estado de descomposición fue localizado en la colonia El Mirador, perteneciente al municipio de Zempoala. Al trasladarse hasta la zona elementos de la Policía estatal y municipal confirmaron lo sucedido y procedieron a resguardar la zona, en espera del personal ministerial de la Procuraduría General de Justicia del Estado de Hidalgo (PGJEH), para la realización de las investigaciones correspondientes y el posterior retiro del cuerpo.</t>
  </si>
  <si>
    <t>Dos personas murieron y al menos 18 resultaron lesionadas luego de que la camioneta en la que viajaban cayera a un barranco en la comunidad de Tenango, perteneciente al municipio de Tepehuacán de Guerrero. La camioneta de doble cabina presuntamente se quedó sin frenos al llegar al puente de Tenango, lo que provocó que el conductor perdiera el control y se precipitara al barranco. En un video difundido en redes sociales se observa a un hombre, quien dijo ser el conductor de la unidad, subir hasta la carretera para pedir ayuda; metros abajo se aprecia una luz y se escuchan gritos de auxilio. Al lugar arribaron cuerpos de emergencia de varios municipios aledaños, quienes trasladaron a hospitales de la región a las personas lesionadas. Algunas víctimas también fueron auxiliadas por automovilistas que circulaban por la zona.</t>
  </si>
  <si>
    <t>La discusión sobre las corridas de toros en Hidalgo podría quedar en manos de la ciudadanía. Este martes 19 de mayo de 2026, diputados de Morena y Nueva Alianza presentaron ante el Congreso local una solicitud de consulta popular para que los hidalguenses decidan si la tauromaquia debe continuar permitiéndose en el estado o si debe prohibirse por completo. La propuesta fue impulsada por las diputadas Paloma Barragán, Alma Rosa Elías Paso, Diana Rangel Zúñiga, Lizbeth Ordaz Islas e Hilda Miranda Miranda, además de los legisladores Andrés Velázquez Vázquez, Miguel Ángel Moreno Zamora, Juan Pablo Escalante Urban, Arturo Gómez Canales, José María Alejandro Pérez Ramírez y Jorge Argüelles Salazar. Durante la sesión, se explicó que el mecanismo de participación ciudadana busca conocer la postura de la población respecto a la realización de corridas de toros y demás actividades relacionadas con la tauromaquia, así como definir si esta práctica debe seguir considerándose parte del patrimonio cultural inmaterial de Hidalgo.</t>
  </si>
  <si>
    <t>Congreso</t>
  </si>
  <si>
    <t>Tauromaquia</t>
  </si>
  <si>
    <t>Las altas temperaturas registradas durante las últimas semanas de este 2026 han generado preocupación entre corporaciones de emergencia de la región Tulancingo, luego de que Bomberos y Protección Civil de Tulancingo confirmaran la atención de cuatro casos de golpe de calor. La dependencia informó que los síntomas por agotamiento o golpe de calor pueden confundirse con enfermedades virales, ya que incluyen fatiga, debilidad, náuseas, vómito, mareos, calambres musculares, dolores corporales e irritabilidad. También alertaron sobre signos de alarma como aumento súbito de la temperatura corporal, confusión mental y pérdida de conocimiento. De acuerdo con la corporación, los sectores más vulnerables son personas trabajadoras al aire libre, deportistas que realizan actividades bajo el sol, adultos mayores, niñas y niños, así como mascotas. Además, señalaron que las altas temperaturas también han provocado un incremento en incendios de pasto, hierba seca y basura en terrenos baldíos durante esta temporada. Entre las recomendaciones emitidas se encuentran vestir ropa ligera y de colores claros, utilizar sombrero o sombrilla, evitar actividades físicas intensas durante las horas de mayor calor, mantenerse hidratados y no dejar a menores o animales dentro de vehículos cerrados.</t>
  </si>
  <si>
    <t>Golpe de calor</t>
  </si>
  <si>
    <t>San Luis Potosí se ubicó en el lugar 18 de 32 entidades federativas en el Índice de Paz México 2026, estudio realizado por el Instituto para la Economía y la Paz (IEP), el cual utiliza diversos indicadores relacionados con la comisión de delitos y percepción de seguridad para definir los niveles de paz en los estados. De acuerdo con información de este estudio, la paz mejoró en 22 estados, mientras que se deterioró en 10, entre los que se encuentra San Luis Potosí. En este sentido, Colima es el estado que ha registrado el mayor deterioro en la paz desde el 2015, experimentando deterioros en todos los indicadores del Índice de Paz México (IPM).</t>
  </si>
  <si>
    <t>Aproximadamente 20 hectáreas de invernaderos ubicados en Acatlán, resultaron afectadas por la lluvia acompañada de granizo que se registró durante el pasado domingo 17 de mayo. El alcalde Pasiano Barranco Islas señaló que las afectaciones son sobre todo en los recubrimientos de plástico; aunque los daños no son tan visibles, los productores estarán revisando las estructuras para evitar registro de goteo. Señaló que el goteo puede provocar humedad no controlada, lo que puede dañar a las plantas y provocar incluso que se pudra la producción, así como el registro de plagas dentro los espacios de producción agrícola controlada. El Yolo, La Unión, San Bartolo, entre otras localidades ubicadas en la zona de barrancas dentro del municipio, es donde se encuentra la mayoría de los invernaderos donde se registraron las afectaciones. Barranco Islas señaló que de mantener vigilancia los productores de sus cultivos para evitar el ingreso de humedad, la producción del presente ciclo agrícola aún puede salvarse y ser rentable. Derivado de la lluvia con granizo registrado el pasado fin de semana, también se registraron afectaciones en algunos cultivos a cielo abierto, sobre todo en la localidad de San Bartolo. En este momento, tanto el alcalde como sus colaboradores están realizando recorridos para evaluar la magnitud de los daños, por lo que sería en los próximos días cuando se conozca el tipo de apoyos que se brindará a los productores afectados.</t>
  </si>
  <si>
    <t>afecta</t>
  </si>
  <si>
    <t>Este miércoles 20 de mayo, el Centro Cultural Ricardo Garibay se convertirá en un espacio de oportunidades para quienes buscan empleo, a través de Emplea Tulancingo 2026, donde decenas de empresas de la región ofrecerán vacantes en los ramos operativo, técnico y administrativo. Gracias a la colaboración entre la Secretaría de Trabajo y Previsión Social de Hidalgo, a través del Servicio Nacional del Empleo Hidalgo, y la administración municipal, encabezada por la presidenta Lorena García Cázares, los asistentes podrán acceder a entrevistas laborales y postularse directamente a los puestos que más se ajusten a su perfil, de 10:00 a 15:00 horas. Desde el inicio de su gestión, la presidenta Lorena García Cázares ha fomentado la vinculación directa entre buscadores de empleo y empresas locales. En la edición 2025 de Emplearte, realizada en presidencia municipal, se ofertaron más de 250 vacantes y participaron una veintena de empresas, beneficiando a hombres y mujeres de ocho municipios de la región.</t>
  </si>
  <si>
    <t>Vinculación Laboral</t>
  </si>
  <si>
    <t>Productores de cebada bloquearon los accesos a la empresa cervecera multinancional instalada en el municipio de Apan, buscando mejorar el precio por tonelada del grano que se les ofrece, actualmente de siete mil pesos. Fueron los integrantes de la Unión de Cebaderos del Altiplano Hidalguense (UCAH) quienes realizaron el bloqueo, señalando que dos años a la fecha el precio del producto se registra a la baja, pues de 8 mil 400 en 2024, el año pasado se fijó en 7 mil 500. Agregaron que la empresa cervecera no adquirió toda la producción hidalguense, pues lo hizo también de otras partes del país, lo que ha complicado aún más sus ingresos. El secretario de Agricultura de Hidalgo, Napoleón González Pérez, informó a inicios de esta semana que continúa la negociación para buscar “precios justos” en la tonelada de cebada que actualmente se comercializa en 7 mil pesos. A partir de 2023, la cebada maltera ocupa el primer lugar de producción en Hidalgo, tanto en cantidad como en la extensión de hectáreas, explicó. En dicho año el registro fue de 174 mil 298 toneladas producidas, lo que aumentó a 195 mil 412 para la anualidad 2024; sin embargo, para 2025 existió una baja del 5 por ciento al pasar a 184 mil 915 toneladas. Uno de los puntos principales de la solicitud por parte de los productores es la garantía de compra de alrededor de 15 mil toneladas de cebada correspondientes al próximo ciclo agrícola.</t>
  </si>
  <si>
    <t>Saderh</t>
  </si>
  <si>
    <t>Diez infracciones emitidas por el Gobierno de Tulancingo por invasión de espacios públicos, en la zona conocida como Pifsal y al interior de la Central de Abastos en el mismo espacio, se registró en las inspecciones que se han realizado desde inicio de esta semana. Por medio de un comunicado oficial, también se informó sobre la clausura temporal de un negocio que reincidió en colocar objetos y mercancías sobre la banqueta. El pasado viernes se inició con la notificación preventiva a comerciantes y locatarios, a fin de que regularizaran voluntariamente sus espacios y retiraran mercancía, estructuras u objetos colocados sobre banquetas y áreas de circulación. En ese momento se les señaló que en caso de no hacerlo, se aplicarían medidas como las que finalmente se concretaron a los negocios citados. Fue este martes 19 de mayo y como seguimiento al operativo, se efectuó la clausura de un comercio que reincidió en laextensión de su actividad comercial sobre la banqueta. El objetivo del operativo es garantizar una movilidad segura, ordenada y libre de obstáculos para peatones y automovilistas. Con ello además se busca agilizar la movilidad, evitar accidentes y establecer espacios más adecuados para el comercio. Estas acciones son coordinadas por las direcciones de Reglamentos, Mercados y Central de Abastos, Bomberos y Protección Civil, así como Movilidad y Transporte, con el respaldo de elementos de Seguridad Pública Municipal.</t>
  </si>
  <si>
    <t>Ambulantaje</t>
  </si>
  <si>
    <t>A partir del próximo 3 de junio y hasta el 3 de julio comenzará la entrega de tarjetas de pago de la beca Rita Cetina, específicamente el programa dirigido a estudiantes de primaria y que contempla un apoyo anual de 2 mil 500 pesos. Sin embargo, el depósito correspondiente llegará hasta agosto de 2026. El delegado del Bienestar en Hidalgo, Abraham Mendoza, informó que en la entidad serán 109 mil 300 beneficiarios, mientras que a nivel nacional el padrón supera los 7 millones de estudiantes. Asimismo, explicó que cada escuela colocará carteles informativos con la fecha, hora y lugar donde madres, padres y tutores deberán acudir para recoger las tarjetas, por lo que llamó a las familias a mantenerse atentas a los avisos en los planteles educativos.</t>
  </si>
  <si>
    <t>Delegación</t>
  </si>
  <si>
    <t>Programas Del Bienestar</t>
  </si>
  <si>
    <t>El Síndico Procurador del ayuntamiento de Huichapan, Israel Bautista Suarez, presentó una denuncia ante la Fiscalía Especializada en Delitos de Corrupción contra quien resulte responsable por posibles irregularidades de más de dos millones de pesos detectadas en diversos servicios prestados durante la Feria del Calvario 2025. En entrevista para Quadratín Hidalgo, el funcionario explicó que, tras revisar la documentación correspondiente a los gastos realizados para la organización de esta festividad, encontró dichas observaciones. Detalló que entre las inconsistencias detectadas se encuentra una presunta duplicidad de pagos, ya que algunos servicios habrían sido cubiertos en más de una ocasión por el mismo concepto, aunque con distintos proveedores, situación que consideró irregular. Por ello, exigió investigar el manejo de los recursos públicos destinados a la organización de dicho evento. Asimismo, indicó que será la autoridad ministerial la encargada de determinar si existieron responsabilidades administrativas o penales derivadas de estas posibles irregularidades financieras relacionadas con la Feria del Calvario 2025.</t>
  </si>
  <si>
    <t>Desvío de recursos</t>
  </si>
  <si>
    <t>Las fuertes rachas de viento y lluvias registradas la tarde y noche de ayer provocaron diversas afectaciones en municipios del Valle del Mezquital, donde autoridades y cuerpos de emergencia continúan este miércoles con la valoración de daños y labores para la liberación de caminos y espacios afectados. Entre los municipios que reportaron daños se encuentra Alfajayucan, donde se reportó la caída de un árbol que bloquea completamente el camino de acceso a la localidad de Cebolletas, situación que movilizó a personal de apoyo para liberar la vialidad y evitar riesgos para los habitantes. En Chapantongo también se registraron varias caídas de árboles sobre carreteras y caminos, por lo que desde la madrugada brigadas comenzaron los trabajos para retirar ramas y troncos que impedían el paso vehicular. Así también se informó que el centro recreativo El Tanque permanecerá cerrado durante este día, debido a las labores de limpieza y retiro de árboles y ramas que se realizan en el lugar. Mientras tanto, en Ixmiquilpan se reportaron apagones en distintos sectores, siendo una de las principales afectaciones derivadas de la tormenta que se presentó en la región. Autoridades locales mantienen recorridos en distintos puntos para supervisar posibles daños adicionales y atender reportes ciudadanos relacionados con caída de árboles, afectaciones en caminos y fallas en el suministro eléctrico.</t>
  </si>
  <si>
    <t>En sesión ordinaria, diputadas y diputados integrantes de la LXVI Legislatura avalaron con 24 votos a favor, cero en contra y cero abstenciones, el dictamen que autoriza a 26 municipios a gestionar y contratar con la o las instituciones financieras o de crédito que ofrezcan las mejores condiciones de mercado, uno o varios financiamientos de largo plazo, hasta por el monto,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emitido por la primera Comisión Permanente de Hacienda y Presupuesto. El legislador Miguel Ángel Moreno Zamora (Morena) detalló que los municipios beneficiados serán: Atlapexco, Calnali, Chapulhuacán, Eloxochitlán, Huautla, Huehuetla, Huejutla, Jacala, Juárez, La Misión, Lolotla, Metztitlán, Molango, Pacula, Pisaflores, San Bartolo Tutotepec, Tenango, Tepehuacán, Tianguistengo, Tlahuiltepa, Tlanchinol, Xochiatipan, Xochicoatlán, Yahualica, Zacualtipán y Zimapán.</t>
  </si>
  <si>
    <t>Financiamiento municipios</t>
  </si>
  <si>
    <t>El gobierno municipal de Tulancingo mantiene un operativo en la zona de PIFSAL y la Central de Abastos para retirar objetos, mercancía y estructuras que invaden banquetas y vialidades, una problemática que durante años ha complicado el paso peatonal y la circulación vehicular en el área. Las acciones son coordinadas por distintas dependencias municipales, entre ellas Reglamentos, Mercados, Movilidad y Protección Civil, con apoyo de Seguridad Pública. De acuerdo con autoridades locales, primero se realizaron notificaciones preventivas a comerciantes y locatarios para que liberaran voluntariamente los espacios públicos. Sin embargo, tras las inspecciones efectuadas esta semana, se aplicaron 10 infracciones por invasión de banquetas y posteriormente se clausuró un establecimiento reincidente. La zona de PIFSAL y la Central de Abastos es uno de los puntos con mayor actividad comercial en Tulancingo, pero también uno de los espacios donde peatones suelen enfrentar dificultades para transitar debido a la ocupación irregular de banquetas. Aunque algunos comerciantes consideran que estas medidas afectan sus ventas, ciudadanos han señalado constantemente la necesidad de recuperar espacios públicos y garantizar condiciones seguras para personas adultas mayores, estudiantes y personas con discapacidad. Autoridades municipales informaron que los operativos continuarán de manera permanente hasta lograr el despeje total de las áreas de circulación y mantener el orden comercial en la zona.</t>
  </si>
  <si>
    <t>Inspección de mercados</t>
  </si>
  <si>
    <t>Columna a media semana - En un hecho sin precedente, el gobierno municipal de Atotonilco de Tula, deberá pagar más de 105 millones de pesos a la empresa ID Leasing, luego de que la firma les ganara un litigio de más de 6 años por el arrendamiento de 10 patrullas, una ambulancia y dos camionetas que se encuentran en condición de chatarra. El problema que tiene su origen en el administrador del ex-presidente Julio César Ángeles Mendoza, ahora tendrá que ser resuelto por la actual alcaldesa Yocelín Tovar Mendoza, porque a sus antecesores Raúl López y Jaime Ramírez no les importó comprometer las finanzas municipales. El adeudo inició con 6 millones de pesos en el 2019, pero la indolencia oficial lo llevó a una cifra que resulta impagable para el municipio y que seguirá creciendo mientras no se liquide; alguien debe fincar responsabilidades penales y administrativas a los artífices de lo que es un desfalco al erario.</t>
  </si>
  <si>
    <t>Laudos Municipios</t>
  </si>
  <si>
    <t>Joel Sánchez</t>
  </si>
  <si>
    <t>Columna a media semana - Donde también crecen los problemas de manera preocupante es en el municipio de Francisco I Madero, en el que esta semana, personal sindicalizado tomó las instalaciones del ayuntamiento, para demandar el pago de laudos pendientes, que se cumpla con los ajustes salariales y la regularización de prestaciones, cuestiones que ha postergado la alcaldesa Maricela Hernández Lugo, llevando al gobierno municipal hasta el punto de la inoperatividad; la parte más difícil de cubrir es la correspondiente a los laudos, ya que representan sumas millonarias, lo que no parece preocuparle a ninguno de los funcionarios municipales ni al cabildo, lo que al final terminará siendo de gran perjuicio para el pueblo, los servicios y la obra pública.</t>
  </si>
  <si>
    <t>Protesta sindical</t>
  </si>
  <si>
    <t>Columna a media semana - Ante la indiferencia de las autoridades municipales de Actopan y ahora también de la Secretaría del Medio Ambiente y Recursos Naturales de Hidalgo, el tiradero a cielo abierto que funciona en la comunidad de La Estancia, se convierte en un cada vez más grande foco de infección y es motivo de contaminación de dos pozos de agua potable, según han advertido los vecinos, quienes aseguran que la alcaldesa Imelda Cuellar Cano, prefiere ignorar el problema antes que solucionarlo, en tanto que la SEMARNATH, ha negado incluso por escrito, que el basurero esté funcionando. Lo cierto -dicen- es que son 14 mil metros cuadrados los ocupados por desechos sólidos que el ayuntamiento no ve y que son un riesgo para la salud pública, para la telesecundaria, el centro gastronómico y el tianguis que operan a unos cuantos metros; los afectados aseguran que la presencia de fauna nociva y diversas enfermedades, crece a consecuencia de la basura.</t>
  </si>
  <si>
    <t>Basurero Clandestino</t>
  </si>
  <si>
    <t>El Tribunal Federal de Justicia Administrativa y la Secretaría de la Función Pública, impusieron una sanción ejemplar a Frida Martínez Zamora y Damián Canales Mena, hidalguenses que fueran funcionarios de la extinta Policía Federal, quienes fueron inhabilitados por 20 y 15 años respectivamente, para ocupar cargos en la administración pública, además de que deberán pagar un monto de 65 millones de dólares americanos, por su presunta participación en el desvío de recursos por una cantidad similar, cuando se desempeñaban como Comisaria General y Director de Inteligencia de la citada corporación. El asunto que involucra a ambos protegidos del ex-gobernador Miguel Ángel Osorio Chong se encuentra en las manos de la fiscalía general de la República, por lo que no terminará con la inhabilitación y la orden de pago, que ni siquiera se va a cumplir.</t>
  </si>
  <si>
    <t>Inhabilitación</t>
  </si>
  <si>
    <t>Dos ex funcionarios de la Policía Federal que estaban bajo el mando del ex secretario de Gobernación, Miguel Ángel Osorio Chong, fueron sancionados con inhabilitaciones de hasta 20 años para ocupar cargos públicos y el pago de indemnizaciones por un monto superior a los 65 millones de dólares, tras acreditarse su presunta responsabilidad en un desvío de recursos públicos. La Secretaría Anticorrupción y Buen Gobierno, a través de la Unidad de Combate a la Impunidad, informó que, tras una serie de investigaciones realizadas por esa dependencia, finalmente se logró acreditar que la exsecretaria general de la Policía Federal, Frida Martínez Zamora, y el jefe de la División de Inteligencia de esa corporación, Damián Canales Mena, incurrieron en “faltas administrativas graves” en su calidad de personas servidoras públicas. La sanción fue confirmada por el Tribunal Federal de Justicia Administrativa, ratificando que Frida Martínez y Damián Canales estarán inhabilitados para desempeñar cualquier empleo, cargos o comisiones en el servicio público, además de imponerles severas sanciones económicas.</t>
  </si>
  <si>
    <t>Por la probable comisión del delito de despojo de aguas, en el municipio de Acatlán, la Fiscalía General de la República (FGR) cateó un domicilio y aseguró un pozo de agua que presuntamente carecía de permisos. La carpeta de investigación inició, en atención a la recepción de una denuncia interpuesta por la Comisión Nacional del Agua (CONAGUA), en el estado de Hidalgo, en la cual informó a la Fiscalía Federal, sobre la existencia de un pozo de agua, presuntamente clandestino, dentro de un predio ubicado en el ejido de Jaltepec, municipio de Acatlán. El operativo se llevó a cabo en coordinación con elementos de la Policía Federal Ministerial (PFM) y del Centro Federal Pericial Forense, ambos de la Agencia de Investigación Criminal (AIC), quienes aseguraron cinco tramos de manguera, tres motobombas y el inmueble. Se identificó que al interior del inmueble se encontró una perforación en el suelo con muros de concreto, con función de pozo, en el cual se encontró un espejo de agua. Se indicó que el cateo se llevó a cabo en coordinación con elementos de la Guardia Nacional (GN), Secretaría de la Defensa Nacional (SEDENA) y de la Policía Estatal. Los objetos de delito quedaron a disposición del Ministerio Público Federal para continuar con la investigación correspondiente.</t>
  </si>
  <si>
    <t>Robo De Agua</t>
  </si>
  <si>
    <t>Columna a media semana - El grupo de Danza Tradicional Huehuetinij, de la comunidad de Tecacahuaco, municipio de Atlapexco, denunció públicamente lo que pudiera considerarse como un acto de maltrato y discriminación hacia sus integrantes; resulta que como parte del programa «Hidalgo en Los Pinos», este 9 de mayo acudieron a realizar una presentación a lo que fue la casa presidencial, siendo informados por la Secretaría de Cultura, de que el hospedaje y sus viáticos serían cubiertos por el ayuntamiento, lo cual no ocurrió y hasta los dejaron sin comer varias horas. Señalan que, en cambio, el alcalde Juan de Dios Nochebuena Hernández, acudió a pavonearse durante el evento, pero ni siquiera los saludó, mucho menos atendió sus necesidades, es más, en la Dirección de Cultura de la presidencia municipal, ya ni les contestaron el teléfono cuando buscaban solucionar su problema. En Los Pinos había vales de comida para todos, menos para los danzantes huastecos.</t>
  </si>
  <si>
    <t>Hidalgo en Los Pinos</t>
  </si>
  <si>
    <t>El próximo 20 de mayo, el Centro Cultural Ricardo Garibay será sede para el reclutamiento laboral en la que empresas de la región ofertarán empleos dirigidos a distintos perfiles, desde operativos hasta administrativos y técnicos. La actividad, denominada Emplea Tulancingo 2026, se realizará de 10:00 a 15:00 horas y permitirá a los asistentes entrevistarse directamente con representantes de compañías participantes, además de postularse a puestos acordes con su experiencia y habilidades. La estrategia es impulsada de manera conjunta por la Secretaría del Trabajo y Previsión Social de Hidalgo, a través del Servicio Nacional del Empleo, y el gobierno municipal de Tulancingo.</t>
  </si>
  <si>
    <t>Feria De Empleo</t>
  </si>
  <si>
    <t>Radioescucha agradece que, gracias al reporte de ayer de falta de agua, se contactaron de Caasim y ya tiene agua</t>
  </si>
  <si>
    <t>Eulalio Larrieta agradece a Carlos Gamiño por estar al pendiente de temas</t>
  </si>
  <si>
    <t>Movilización de servicios de emergencia se generó por el reporte de un panal de abejas en la calle Miguel Lerdo de Tejada, en la colonia centro de Pachuca.Al lugar arribaron Bomberos del Estado de Hidalgo y Protección Civil de Pachuca, quienes localizaron el panal en el edificio de la presidencia municipal de Pachuca, por lo que acordonaron la zona para evitar riesgos a trabajadores, peatones que transitaban por la zona. Al menos tres personas resultaron con picaduras de abejas, previo a que el enjambre fuera controlado, sin embargo, no se reportaron lesiones de gravedad</t>
  </si>
  <si>
    <t>Productores de la Unión de Cebaderos del Antiplano Hidalguense levantaron el bloqueo que mantenían desde ayer en los accesos de la planta de Grupo Modelo en Jalpan, luego de alcanzar una mesa de diálogo con directivos de la empresa y autoridades estatales. Durante el encuentro, los productores entregaron su pliego petitorio y exigieron un precio justo para la tonelada de cebada, al señalar que los costos de producción y del paquete tecnológico se han incrementado para el próximo ciclo agrícola primavera-verano 2026. La protesta concluyó tras varias horas de negociación, mientras que ambas partes acordaron continuar el diálogo para buscar acuerdos que beneficien al sector agrícola hidalguense.</t>
  </si>
  <si>
    <t>En entrevista con medios de comunicación el gobernador Julio Menchaca anunció que el gobierno estatal adquirió nueva maquinaria para triturar y extraer el lirio acuático, un problema ambiental que afecta severamente a las comunidades ribereñas. Explicó que los mosquitos generaron resistencia a los insecticidas comunes. El reto actual es encontrar un químico que los elimine sin dañar la salud de la población ni la fauna local.Se busca concretar un proyecto con Pemex basado en una tecnología que ya dio resultados en Valsequillo (Puebla), utilizando barcos procesadores para limpiar la presa. Aunque requiere inversiones muy fuertes, ya se registran avances. AUDIOS JMS ENTREVISTA</t>
  </si>
  <si>
    <t>Control lirio acuático</t>
  </si>
  <si>
    <t>En entrevista con medios de comunicación el gobernador Julio Menchaca anunció que la planta de Cruz Azul reiniciará actividades antes del cuarto informe de gobierno, lo cual representará un fuerte impulso económico para Ciudad Cooperativa y toda la región, AUDIO JMS</t>
  </si>
  <si>
    <t>En entrevista con medios de comunicación el gobernador Julio Menchaca anunció que la planta de Cruz Azul reiniciará actividades antes del cuarto informe de gobierno, lo cual representará un fuerte impulso económico para Ciudad Cooperativa y toda la región. Destacó el esfuerzo de reconciliación que están haciendo los más de 700 cooperativistas para solucionar el conflicto interno que mantenían.</t>
  </si>
  <si>
    <t>En entrevista con medios de comunicación, el gobernador Julio Menchaca habló sobre la detención del director de Seguridad Pública del municipio de Tezontepec de Aldama; el hombre, junto a dos personas más, es acusado por narcotráfico. Dijo que se está realizando una revisión y evaluación del trabajo que realizan los policías,AUDIO JMS</t>
  </si>
  <si>
    <t>En entrevista con medios de comunicación el gobernador Julio Menchaca señaló que existen elementos suficientes que respaldan la detención de los mandos policiales en la región, respetando siempre la presunción de inocencia.La Secretaría de Seguridad Pública estatal instruyó reforzar la seguridad en la zona y apoyar a los municipios en la contratación y preparación adecuada del personal policial. Aunque se respeta la autonomía municipal (Artículo 115 constitucional), se insistió en la importancia de sumarse al mando coordinado para combatir de manera continua la delincuencia.</t>
  </si>
  <si>
    <t>Ayer 19 de mayo, colectivos familiares, amigos y civiles organizaron una concentración pública con el objetivo de exigir el esclarecimiento y justicia expedita ante el feminicidio de Dulce, una joven de 21 años de edad cuyo caso ha sido integrado por las corporaciones policiales y judiciales bajo el protocolo de feminicidio.Las manifestantes enfatizaron la urgencia de que las instituciones encargadas de la Procuración de Justicia actúen con estricta perspectiva de género, denunciando el impacto que tiene la violencia de género aquí en Hidalgo, dentro de los entornos municipales, AUDIO</t>
  </si>
  <si>
    <t>Exigen Esclarecer Feminicidio</t>
  </si>
  <si>
    <t>Participación semanal vía telefónica Lamán Carranza con el tema: Inteleligencia artificial en la salud . Comentó que antes nos convertíamos en médicos por medio del buscador; terminábamos más espantados que al principio. Un tema relevante en Hidalgo es el gusano barrenador; suena algo lejano de entrada, como que solo le pasa a las vacas y a los borregos del rancho, pero también nos puede pegar a los humanos si descuidamos una cosa chiquita como una herida, un olor raro o algo que se mueve debajo de la piel. Justo es en este momento en donde la inteligencia artificial no cura; lo que hace la tecnología es ayudar a aprender la alerta a tiempo.</t>
  </si>
  <si>
    <t>El director general del IMSS, Zoé Robledo, presentó ayer los avances en la construcción de hospitales y nuevas unidades médicas en México. Entre ellos destaca el Hospital de Tula de Allende, que iniciará operaciones en octubre de 2026. AUDIO DE APOYO MAÑANERA</t>
  </si>
  <si>
    <t>El Congreso del Estado de Hidalgo organizó una mesa de trabajo para el fortalecimiento de municipios afectados por la vaguada monzónica registrada en octubre de 2025, con el objetivo de brindar información detallada y asesoría técnica respecto al dictamen y decreto recientemente aprobado por el Poder Legislativo, mediante los cuales se les autoriza gestionar y contratar financiamientos de largo plazo para fortalecer el desarrollo de infraestructura, así como atender las necesidades y prioridades de sus comunidades. El diputado Andrés Velázquez Vázquez, presidente de la Junta de Gobierno, detalló que el esquema de financiamiento promovido por el gobierno estatal, el Congreso y Banobras busca brindar a los municipios una herramienta económica adicional para atender los daños ocasionados por las contingencias recientes.</t>
  </si>
  <si>
    <t>Huracán Priscilla</t>
  </si>
  <si>
    <t>La presidenta municipal de Tepetitlán, Ana Elsa Castillo Osea, inauguró la obra de construcción de la línea de agua potable en la calle 6 de Enero en la comunidad de General Pedro María Anaya, proyecto realizado con recursos del Fondo de Aportaciones para la Infraestructura Social Municipal.La alcaldesa destacó que estas acciones buscan mejorar las condiciones de vida de las familias y fortalecer la infraestructura básica del municipio. La obra contempló la colocación de más de 477 metros de tubería PBC de 6 pulgadas, construcción de cajas de válvulas, excavaciones, demoliciones y reposición de concreto hidráulico, con el objetivo de optimizar el suministro de agua en la comunidad. Durante la inauguración participaron autoridades municipales, regidores e integrantes del comité de obra, quienes señalaron que este proyecto presenta un beneficio importante para las y los habitantes de General Pedro María Anaya- AUDIO DE APOYO</t>
  </si>
  <si>
    <t>Infraestructura Hidráulica</t>
  </si>
  <si>
    <t>Radioescucha Sr. Paredes sigue reportando que no funciona la lámpara que está en la esquina del callejón de Quintana Roo y Plaza de Patoni</t>
  </si>
  <si>
    <t>Luminarias</t>
  </si>
  <si>
    <t>“Desgraciadamente estamos en una situación muy fea. Muchos moscos vienen a fumigar y matan una vez, pero dos, tres días que le echan líquido y de vuelta vuelve lo mismo. Es un desorden con los animales.Nosotros ya en la tarde nos encerramos porque no aguanto los moscos. Los animales son los que pagan el pato porque se defienden. Nos han dado un líquido, pero francamente ese líquido no mata al mosco.Diario con el rayo, el rayo de aquí a mañana nos va a hacer daño también a nosotros. A la larga nos va a hacer mal todo eso. Desgraciadamente no tenemos dónde correr más que aquí estamos aquí.Aquí nacimos y aquí estamos y muero. ¿Qué hacemos? AUDIOS AFECTADOS COMUNIDADES RIBEREÑAS R.- Eso que usted acaba de escuchar es lo que viven todos los días los habitantes de los pueblos ribereños de la Presa Endhó. Enjambres de moscos. La secretaria de Medio Ambiente y Recursos Naturales de Hidalgo, Mónica Mixtega Trejo, habló sobre los trabajos del lirio acuático de la Presa Endhó. AUDIO MAÑANERAM-M- “Cuatro máquinas Retador que se adquirieron por gobierno del Estado en el año 2005. Sin embargo, necesariamente tienen un deterioro importante en virtud de la calidad del agua de la Presa Endhó. Nosotros retomamos los trabajos de trituración del lirio acuático en marzo de 2025.Mientras tanto, los pobladores continúan siendo afectados. Tenemos demasiado, ya no soportamos uno mismo, los animales y los niños que ya tenemos muy lastimados, los niños ya están roñando, se están enfermando.Las autoridades han venido a prometernos promesas y promesas y no hacen nada. Y es que andan fumigando, la fumigación a lo mejor uno o dos días y vuelve a lo mismo. El problema es que trituren el lirio.No habiendo lirio no tenemos este problema. Después ya no podemos dormir, son 12 de la noche y hasta el amanecer, es un zancuderío que de plano no sabemos ni de dónde se meten. La verdad es que sí es intolerable, los chicos nos llegan con los ojitos rojos, luego yo les pregunto, bueno, ¿y por qué? Es que más el “fumolín” que se pone nos está generando los ojos irritados, incluso nos empieza a arder la garganta.AUDIOS AFECTADOS COMUNIDADES RIBEREÑAS.</t>
  </si>
  <si>
    <t>Mosco Culex</t>
  </si>
  <si>
    <t>Radioescucha pide que quiten los autos de un hojalatero que estorban la vía pública, en la calle San José en Palmitas, comenta conductor que con el operativo rastrillo lo pueden ayudar</t>
  </si>
  <si>
    <t>Operativo Rastrillo</t>
  </si>
  <si>
    <t>Radioescucha reporta que en Zona Plateada apartan los lugares para estacionarte.</t>
  </si>
  <si>
    <t>Ordenamiento vial</t>
  </si>
  <si>
    <t>Los huesos son elementales en las funciones cotidianas del organismo pues proporcionan soporte estructural, protección a órganos vitales, y facilitan el movimiento en conjunto con los músculos, estos almacenan minerales como calcio y producen células sanguíneas en la médula ósea.Por lo anterior, el IMSS en Hidalgo invita a la población a mantener hábitos saludables, para prevenir enfermedades óseas como la osteoporosis y la osteopenia, las cuales causan debilidad en los huesos.</t>
  </si>
  <si>
    <t>Prevención De Enfermedades</t>
  </si>
  <si>
    <t>Antes de que concluya el primer semestre de este año, se programa la reconstrucción de 2.5 kilómetros de los bordes del río Tula. Se trata de la zona de Bojay, que protegerá a las poblaciones de San Lorenzo, San Marcos y San Francisco Bojay. El costo es de 467 millones de pesos. De acuerdo con Efraín Morales, director general de la Comisión Nacional del Agua, la obra es para lograr que el caudal de las aguas procedentes de la Ciudad de México, del Estado de México y algunos municipios de la región hidalguense que desembocan en el río puedan lograr el paso sin inundar el municipio de Tula, así como otros ocho que están aledaños, como ocurrió en septiembre de 2021. AUDIO DE APOYO</t>
  </si>
  <si>
    <t>Prevención de inundaciones</t>
  </si>
  <si>
    <t>Radioescucha: Los conductores de transporte público no respetan semáforos, vienen peleando con otros autos, traen a la novia a un lado, llenas hasta el tope, vienen con el celular y aparte se ponen a comer.</t>
  </si>
  <si>
    <t>Miled 97.1 FM</t>
  </si>
  <si>
    <t>Línea en Alta Tensión</t>
  </si>
  <si>
    <t>Vía telefónica Guillermo Huerta Meneses, subsecretario de Ingresos de la Secretaría de Hacienda de Hidalgo - Refrendo vehicular. Comenta que ya estan a 40 dias para que finalice este programa de Refrendo Vehicular, terminando el 30 de junio del 2026, recordó que Hidalgo es la única entidad que otorga beneficios por cumplir con esta obligación, el 100 % de los recursos recaudados son para obras publicas como lo dijo el gobernador Julio Mechaca</t>
  </si>
  <si>
    <t>María Antonieta Islas</t>
  </si>
  <si>
    <t>Vía telefónica, Jorge Reyes, presidente municipal de Pachuca, sobre el tema rehabilitación de las unidades deportivas, comentó que es una de las solicitudes más importantes para la ciudadanía. Se inició la rehabilitación de algunas áreas; ya algunas están en buen estado. Se tiene control de las personas que entran y salen de cada unidad deportiva.</t>
  </si>
  <si>
    <t>Rehabilitación de espacios públicos</t>
  </si>
  <si>
    <t>En entrevista con medios de comunicación el gobernador Julio Menchaca calificó la situación de la basura en la región de Tula como complicada debido al abandono que sufrió el tema en administraciones pasadas.Se trabaja en conjunto con la Secretaría de Medio Ambiente federal y la Presidencia de la República para buscar alternativas. El objetivo es dejar de enterrar los desechos y apostar por la tecnología, el reciclaje y la reutilización de recursos.La Secretaría de Medio Ambiente local busca soluciones específicas para cada municipio afectado. Actualmente, ya se están autorizando dos proyectos con impacto regional en Tula.</t>
  </si>
  <si>
    <t>Relleno Sanitario</t>
  </si>
  <si>
    <t>Un pozo de agua clandestino fue detectado en el municipio de Acatlán en Hidalgo, autoridades federales aseguraron e inhabilitaron el punto de extracción ilegal ubicado en el ejido de Jaltepec.La Fiscalía General de la República, cateo una propiedad privada luego que un representante legal de la CONAGUA, interpusiera una denuncia por la posible extracción ilegal del recurso natural.Tras obtener la orden de inspección de un juez federal, elementos de la policía federal ninisterial y peritos de la agencia de investigación criminal llevaron a cabo la incursión al predio señalado, donde localizaron una perforación recubierta de concreto ppr donde se extraia el vital liquido.En el sitio fueron asegurados cinco tramos de manguera, tres motobombas y el inmueble donde operaba la toma clandestina. Todo lo asegurado quedó a disposición del Ministerio Público Federal, mientras continúan las investigaciones.</t>
  </si>
  <si>
    <t>Activistas protectores de los derechos animales condenan la solicitud de consulta ciudadana; dicen “QUE LOS DERECHOS HUMANOS NO SE DEBEN CONSULTAR”. Estas son 2 ideas muy diferentes y sobre todo mencionan que es algo anticonstitucional.</t>
  </si>
  <si>
    <t>Primero, todos estaban a favor de quitar la tauromaquia y luego llegó alguien, los meneó y dijo que siempre no, son dos ideas muy radicales.</t>
  </si>
  <si>
    <t>En el marco de la discusión de la iniciativa promovida para la eliminación de la fiesta brava en Hidalgo, diputados de los grupos legislativos de Morena y Nueva Alianza presentaron una solicitud de consulta popular para conocer la opinión de la ciudadanía sobre la eliminación de la tauromaquia.Mediante la lectura de una comunicación enviada a la Mesa Directiva del Congreso estatal, la diputada de Nueva Alianza, Mónica Leanett Reyes, precisó que el objetivo es coadyuvar a determinar si en el estado se debe seguir permitiendo la realización de corridas de toros.Destacó que en la consulta también se preguntará si dicha práctica debe considerarse patrimonio cultural inmaterial y si deben continuar los espectáculos públicos y privados relacionados con la tauromaquia.La legisladora aseveró que se trata de una herramienta democrática fundamentada en el artículo 7 de la Ley de Participación, por lo que fue turnada a la Comisión de Gobernación del Congreso, que preside el diputado José Luis Rodríguez Higareda.El documento fue firmado por las y los diputados de Morena, Lizbeth Iraís Ordaz, Paloma Barragán, Alma Rosa Elías, Diana Rangel Zúñiga, Hilda Miranda, Andrés Velázquez, Miguel Moreno, Juan Pablo Escalante, Arturo Gómez Canales y de Nueva Alianza Hidalgo, José María Alejandro Pérez y Jorge Argüelles.AUDIO APOYO</t>
  </si>
  <si>
    <t>Radioescucha Sr. Fidel pide que en la avenida Piracantos ya la arreglen.</t>
  </si>
  <si>
    <t>Canal 12 Huejutla</t>
  </si>
  <si>
    <t>Contacto Informativo M</t>
  </si>
  <si>
    <t>Jackeline Vázquez</t>
  </si>
  <si>
    <t>Una mujer de 29 años de edad fue localizada lesionada por impactos de arma de fuego en un camino de terracería ubicado en el cerro del Jicuco, aquí en el municipio de Tezontepec de Aldama. Ocurrió durante la noche de ayer miércoles; la víctima ya fue identificada con las iniciales YPH, vecina de Actopan.</t>
  </si>
  <si>
    <t>Los nueve policías municipales de Progreso de Obregón, vinculados a procesos por homicidio, doloros calificados y lesiones, detenidos el pasado 13 de mayo y actualmente bajo prisión preventiva oficiosa, enfrentan acusaciones por delitos que el Código Penal de Hidalgo considera entre los de mayor gravedad,</t>
  </si>
  <si>
    <t>Pese a que el gobierno federal este año ya entregará apoyo económico con la Beca Rita Cetina para adquirir uniformes en escuelas primarias públicas, el gobierno de Hidalgo entregará en tiempo y forma paquetes de útiles y vestuario escolar a estudiantes de nivel básico en el inicio del próximo ciclo, aseguró Natividad Castrejón Valdez, secretario de Educación estatal.Desde marzo de este año, la Secretaría de Educación Pública de Hidalgo (SEPH) recolectó las responsivas firmadas por madres y padres de familia, referentes a la solicitud de tallas del programa de uniformes y calzado escolar para el ciclo 2026-2027, sin embargo hasta la fecha el gobierno estatal no ha emitido las licitaciones para comprar los paquetes.</t>
  </si>
  <si>
    <t>El calendario escolar de la Secretaría de Educación Pública (SEP) contempla una suspensión de actividades para estudiantes de preescolar, primaria y secundaria el próximo 29 de mayo; la medida permitirá un fin de semana largo antes del cierre del ciclo escolar 2025-2026.La fecha corresponde a la sesión mensual del Consejo Técnico Escolar (CTE), por lo que docentes y directivos acudirán a labores internas relacionadas con organización académica y revisión de actividades; mientras que el alumnado retomará clases hasta el lunes 1 de junio.</t>
  </si>
  <si>
    <t>Suspensión De Clases</t>
  </si>
  <si>
    <t>Julio Menchaca presenta “Plan B” alineado con la visión de austeridad republicana del Gobierno de México</t>
  </si>
  <si>
    <t>Plan B</t>
  </si>
  <si>
    <t>Julio Menchaca reconoce al magisterio y fortalece la educación en Hidalgo con inversión histórica, AUDIO APOYO</t>
  </si>
  <si>
    <t>Comento conductor que hoy el gobernador Julio Menchaca estuvo en Tlaxcoapan y en Tlahuelilpan, en donde realizó varios anuncios importantes. “Usted sabe que cada que realiza una gira de trabajo trae buenas noticias para las comunidades y para los municipios que visita.”</t>
  </si>
  <si>
    <t>Conductor Jesús Gonzales informó sobre la declaración de uno de los pasajeros que iba en la combi, señaló que el chofer se orilló a dejar pasaje en una zona autorizada pero que el chofer de la camioneta no respetó el alto y se estampó contra la camioneta, el chofer de la camioneta no se sabe si fue detenido</t>
  </si>
  <si>
    <t>Accidente transporte público</t>
  </si>
  <si>
    <t>Tras el accidente ocurrido la noche del miércoles en el Boulevard Minero de Pachuca, donde una persona murió y al menos 17 resultaron lesionadas, el representante legal de Líneas Intermunicipales de Pachuca - Tilcuauctla S.A de C.V. Guillermo Islas; se pronunció señalando al conductor de un vehículo de carga como responsable de este accidente, el cual involucró una camioneta de transporte público tipo Urban y un vehículo de carga de materiales, AUDIO VIDEO</t>
  </si>
  <si>
    <t>Tras la situación que se vive en Tula con el tema de la recolección de basura, el gobierno municipal anunció que en un plazo no mayor a 20 días, comenzará a operar un nuevo relleno sanitario regional, eso afirmo el alcalde de este municipio Cristhian Martínez Reséndiz, cuenta inicialmente con una superficie de 2.5 hectáreas, aunque existe posibilidad de ampliación ,AUDIO APOYO</t>
  </si>
  <si>
    <t>Familiares de Al Muatasem Belah Alwiraikat Flores, ciudadano pachuqueño integrante de la delegación mexicana en la Flotilla Global Sumud, confirmaron este jueves la liberación del joven hidalguense, luego de haber permanecido incomunicado tras la intervención de fuerzas militares israelíes en aguas internacionales, AUDIO APOYO</t>
  </si>
  <si>
    <t>Retención de activista</t>
  </si>
  <si>
    <t>Radioescucha Silvia Colín de aquí de Tula se comunicó con nosotros, participa en esto que usted y yo platicábamos al inicio de este espacio, quien verdaderamente regula, observa, sanciona a estos transportistas, a estos choferes que sin duda, pues sin ninguna responsabilidad, sin ningún compromiso social, conducen las unidades como a ellos les place, exceso de velocidad, con el celular en la mano, distrayéndose y sin duda, pues haciendo otra cosa, además de manejar.</t>
  </si>
  <si>
    <t>Quejas transporte público</t>
  </si>
  <si>
    <t>Hidalgo se integró oficialmente al programa federal "México Anfitrión 2026", una iniciativa impulsada por el gobierno de la presidenta Claudia Sheinbaum Pardo para fortalecer la cultura de hospitalidad de cara al próximo Mundial de Fútbol.La secretaria de Turismo del estado, Elizabeth Quintanar Gómez, informó que Hidalgo ocupa la posición 16 a nivel nacional en la obtención de este distintivo gratuito, el cual está dirigido a prestadores de servicios turísticos y comunidades receptoras de visitantes nacionales e internacionales. El programa promueve buenas prácticas de atención, inclusión, sostenibilidad y capacitación en idiomas, consolidando la imagen de México como un destino de clase mundial.La funcionaria destacó la relevancia de que la entidad se sume a esta estrategia, especialmente ante la gran expectativa que genera la presencia de la selección nacional de Sudáfrica, escuadra que establecerá su campamento base en Pachuca durante el torneo de la FIFA. AUDIO DE APOYO</t>
  </si>
  <si>
    <t>Policía Estatal asegura en Pachuca a presunta implicada en esquema "gota a gota"</t>
  </si>
  <si>
    <t>La presidenta municipal de Atotonilco de Tula, Yocelyn Tovar Mendoza, informó que uno de los mayores retos al inicio de su gestión ha sido recibir una administración con severos desfalcos financieros y numerosas obras inconclusas."Recibí un municipio con un gran desfalco financiero. Nos dejaron bastantes obras inconclusas que hoy nos generan problemas administrativos muy complicados, los cuales ya han sido observados por la contraloría y la auditoría. Si no se hubieran generado estas irregularidades, los recursos se habrían ejecutado de manera eficiente en beneficio de la demarcación", señaló la alcaldesa.Esta situación refleja una realidad recurrente en diversas alcaldías del estado de Hidalgo. Debido a los periodos de gestión municipal, los alcaldes entrantes suelen invertir una cantidad considerable de tiempo y recursos en subsanar las irregularidades fiscales y operativas heredadas de las administraciones pasadas, lo que llega a ralentizar la consolidación de sus propios planes de desarrollo y proyectos de trabajo locales.</t>
  </si>
  <si>
    <t>Irregularidades exalcalde</t>
  </si>
  <si>
    <t>Atitalaquia abrió un espacio de diálogo internacional sobre las raíces y tradiciones de los pueblos originarios al realizar la conferencia "Conexiones entre Brasil y México: Vida y Muerte de la Cosmopercepción de los Otomíes en Hidalgo". La ponencia, impartida por la investigadora brasileña Juliana Cabral Araujo en la biblioteca municipal, destacó las similitudes entre las tradiciones del Día de Muertos en la región otomí-tepehua y comunidades del noreste de Brasil, como el uso de flores, altares, comida tradicional y la iluminación de panteones. El gobierno municipal de Atitalaquia, encabezado por Claudia Sandoval Ramírez, señaló que estas actividades fortalecen la identidad cultural y el intercambio académico internacional, contando con la participación de estudiantes del CETIS 26 y habitantes del municipio.</t>
  </si>
  <si>
    <t>Preservación de pueblos originarios</t>
  </si>
  <si>
    <t>Tras múltiples obstáculos surgidos en el proceso de ejecución de las obras de revestimiento del canal principal Viejo Requena —perteneciente al Distrito de Riego 003 Tula—, finalmente se cristalizó el proyecto con la apertura de la compuerta situada en la localidad de El Llano, en las inmediaciones de las comunidades de San Francisco Bojay y Santa Ana Ahuehuepan, en Tula de Allende. Esto permitirá poner a salvo el ciclo agrícola primavera-verano, informó el director de la Conagua en Hidalgo, José Ángel Felix. El día de hoy ya se está liberando agua al canal Viejo Requena, el cual beneficia directamente a los últimos cinco kilómetros en la zona de El Llano. AUDIO DE APOYO</t>
  </si>
  <si>
    <t>Tecnificación De Riego</t>
  </si>
  <si>
    <t>Fue del once al dieciséis de mayo de este año que las brigadas operativas realizaron acciones de fumigación y control del lirio acuático y el mosquito Culex en doscientas hectáreas de la Presa Endhó y ciento noventa y ocho hectáreas en nueve comunidades de la región, beneficiando directamente a diez mil ciento sesenta y nueve habitantes de tres mil trescientos noventa viviendas. Se realizaron también fumigaciones terrestres en las comunidades de San Francisco Bojay, Colonia General Pedro María Anaya, San Mateo, La Curva, La Loma, La Ermita, San Gabriel, El Retiro, Santa María Michimaltongo Pueblo y Xitejé de Zapata, utilizando equipos tecnológicos y aspersión manual al interior de las viviendas. Desde el inicio de este proyecto entendimos que la recuperación de la Presa Endhó tenía que construirse de la mano de las comunidades. Por eso hemos atendido sus inquietudes y ajustado los calendarios operativos para responder a sus demandas y necesidades.</t>
  </si>
  <si>
    <t>Fumigación mosco Culex</t>
  </si>
  <si>
    <t>El tren AIFA Pachuca, a cargo del agrupamiento de ingenieros militares de la Sedena, se encuentra en un desarrollo con un avance superior al 34.80%. Se proyecta que este tren, el AIFA Pachuca, comienza operaciones en el primer semestre de 2027, reduciendo los tiempos de traslado de Pachuca a la Ciudad de México a aproximadamente una hora con 20 minutos. AUDIO DE APOYO</t>
  </si>
  <si>
    <t>Tren AIFA</t>
  </si>
  <si>
    <t>Del 3 de junio al 3 de julio en Hidalgo, se entregarán las tarjetas para las becas Rita Centina a más de 109 mil tutores estudiantes de primaria. Al pendiente, si usted solicitó esta beca para sus niñas o niños, del 3 de junio al 3 de julio.</t>
  </si>
  <si>
    <t>Luego de que Martiniano N., exoficial mayor durante la administración pasada, solicitó una audiencia de alegatos aclaratorios para impugnar la sentencia de 12 años que recibió un tribunal colegiado del Poder Judicial de Hidalgo, confirmó la resolución. Los magistrados consideraron infundados los argumentos del exfuncionario en el caso del presunto desvío de 18 millones de pesos para compra de crema antibacterial. El exfuncionario buscará el amparo de la justicia federal.</t>
  </si>
  <si>
    <t>TSJEH</t>
  </si>
  <si>
    <t>Detención Estafa Siniestra</t>
  </si>
  <si>
    <t>En entrevista con medios de comunicación, El gobernador Julio Menchaca Salazar puntualizó que la Secretaría de Relaciones Exteriores es el conducto constitucional correcto para intervenir por la pronta liberación del pachuqueño. AUDIO ENTREVISTA JMS</t>
  </si>
  <si>
    <t>Familiares de Moazat Sem Velat Huiraycat Flores, joven originario de Pachuca, Hidalgo, denunciaron su presunta retención por parte del ejército israelí durante un operativo militar en aguas internacionales del mar Mediterráneo. Ante esta situación, han convocado a una movilización ciudadana para exigir su liberación inmediata.A través de redes sociales, la familia solicitó la intervención urgente del gobierno de México y del estado de Hidalgo para activar los protocolos consulares correspondientes, exigir una fe de vida y garantizar el retorno seguro de los ciudadanos mexicanos que participaban en la flotilla global Sumud.De acuerdo con los reportes de sus familiares, Huiraycat Flores fue interceptado luego de que la embarcación civil en la que navegaba fuera presuntamente embestida de manera deliberada por un buque militar de Israel. Este incidente ocurre en un contexto de extrema tensión en el mar Mediterráneo, agravado por el conflicto armado en la región del Medio Oriente.</t>
  </si>
  <si>
    <t>En el marco del día de la maestra y el maestro al gobernador de Hidalgo, Julio Menchaca Salazar, reconoció la labor del magisterio como pieza clave en la formación de generaciones con valores y compromiso social al destacar una inversión superior a los mil millones de pesos entre 2022 y 2025 para el pago de prestaciones docentes. El mandatario aseguró que su administración mantendrá el respaldo al sector educativo y recordó que el presupuesto en educación pasó de 24 mil 700 millones de pesos en 2022 a una proyección de más de 33 mil millones para 2026. AUDIO DE APOYO</t>
  </si>
  <si>
    <t>La Fiscalía General de la República (FGR) obtuvo dichos mandamientos judiciales tras detectar un presunto desvío de miles de millones de pesos en la partida de gastos de seguridad pública y operaciones encubiertas de la Policía Federal. Los delitos imputados fueron delincuencia organizada y lavado de dinero. Entre los 19 exfuncionarios involucrados destacaron figuras muy cercanas a Osorio Chong, incluyendo a los dos hidalguenses. La Secretaría de Anticorrupción y Buen Gobierno informó sobre la inhabilitación de hasta veinte años contra dos exfuncionarios de la extinta Policía Federal, tras acreditarse faltas administrativas graves relacionadas con el desvío de más de sesenta y cinco millones de dólares. De acuerdo con el comunicado oficial, el Tribunal Federal de Justicia Administrativa sancionó a Frida M., exsecretaria general, con veinte años de inhabilitación e indemnización económica, mientras que Damián C., extitular de la División de Inteligencia, recibió quince años de inhabilitación, también con una sanción económica. Las investigaciones señalan que el recurso desviado estaba destinado al pago de obligaciones derivadas de un contrato firmado en 2015 con la empresa Rafael Advanced Defense Systems Ltd.</t>
  </si>
  <si>
    <t>Radioescucha: “Le hacemos la invitación a Christian Yair Castaneda y al equipo de transporte público, para que realicen bien su trabajo y revisen las unidades y estén en buen estado”.</t>
  </si>
  <si>
    <t>Radioescucha: Me gustaría que las autoridades pongan atención en el transporte público y los usuarios seguimos siendo vulnerables, ya que algunas colectivas tienen fallas mecánicas, cristales polarizados, algunos choferes abusan del uso del celular, con sobrecupo; por favor, checar eso para evitar accidentes".</t>
  </si>
  <si>
    <t>Radioescucha que se revise el servicio de transporte de las unidades que van a San Miguel El Cerezo, no respetan a las personas de la tercera edad y siempre van llenas.</t>
  </si>
  <si>
    <t>Radioescucha comenta: “Ojalá que las autoridades que regulan el transporte en el estado de Hidalgo, recuerden que es muy probable que el accidente se pueda repetir; no solo se trata de tarifas, se trata de transporte digno para los pachuqueños. Los conductores deben ser certificados en operación y trato al público, y las unidades en óptimas condiciones con acciones continuas de mantenimiento y actualización, y que los patrones sean conscientes y no antepongan su negocio con la seguridad de la ciudadanía</t>
  </si>
  <si>
    <t>Radioescucha urge que la SEMOT tome cartas en el asunto después del accidente de ayer por la tarde, así como son los conductores del transporte público prepotentes, altaneros, peleoneros y siempre con sobrecupo de pasaje, así sea la sanción. Ojalá la línea de transporte no sea de algún influyente, porque si no, no se va a realizar nada.</t>
  </si>
  <si>
    <t>Radioescucha pide que la SEMOT, realice un buen estudio para optimizar el servicio público del Tuzobús, considerando la incorporación de más unidades; ya que la demanda de cada punto hoy es diferente.</t>
  </si>
  <si>
    <t>Reingeniería del Tuzobús</t>
  </si>
  <si>
    <t>Radioescucha pide que faltan transportes en Santa Matilde a Real Toledo, ya que el Tuzobús no se da abasto.</t>
  </si>
  <si>
    <t>Radioescucha Ricardo, lamentablemente, el accidente de la urban es debido a que algunos conductores son unos cafres para manejar. El día de ayer, 3 taxis rapidísimo en el carril de Tuzobús en el tramo de Felipe Ángeles. Yo creo también que el 90 % de los conductores se pasan también los semáforos y por eso provocan accidentes.</t>
  </si>
  <si>
    <t>Radioescucha pide que hagan responsable al concesionario del accidente de ayer de la Urban, ya que el seguro solo cobra 12 pasajeros y la unidad iba con sobrecupo.</t>
  </si>
  <si>
    <t>Radioescucha reporta que una maestra en la comunidad de Santa Cruz está afectando la salud emocional de los alumnos, esto en el municipio de Zempoala.</t>
  </si>
  <si>
    <t>Queja padres de familia</t>
  </si>
  <si>
    <t>Radioescucha reporta que cae poca agua en la calle Prolongación de Roble en Campestre Villas del Álamo Fovissste y ya se hizo el reporte a Caasim</t>
  </si>
  <si>
    <t>Radioescucha reporta falta de agua en Zona Plateada</t>
  </si>
  <si>
    <t>Informan que un grupo de manifestantes de Antorcha Campesina se dirige a las instalaciones de la Comisión Estatal de Vivienda (CEVI)</t>
  </si>
  <si>
    <t>Antorcha Campesina</t>
  </si>
  <si>
    <t>Radioescucha quiere agradecer al oficial de transito de motocicleta de apellido Cervantes, que brindó el apoyo para llevar al hospital a una persona que estaba delicada de salud al reventar la vesícula.</t>
  </si>
  <si>
    <t>La Dirección de Protección Civil, Bomberos y Gestión Integral de Riesgos de Pachuca, emitió algunas recomendaciones para saber qué hacer en caso de un ataque de abejas. Entre estas medidas, destacan buscar resguardo en zonas cerradas, cubrir rostro, boca y nariz y no hacer movimientos bruscos ni tratar de espantarlas.Protección Civil de Pachuca explicó que el fenómeno de encambrazón es un proceso natural en donde una colonia se divide y una reina vieja sale a buscar un nuevo hogar con parte de la población. Es importante no arrojar objetos y no intentar retirar los encambres. En este proceso, las abejas viajarán y puede ocurrir que paren a descansar en ramas, árboles, troncos, paredes y autos. Si detectas un encambre de abejas, aléjate del área y reporta a los teléfonos de emergencia 911 o 771-7110-707.</t>
  </si>
  <si>
    <t>Prevención De Riesgos</t>
  </si>
  <si>
    <t>Un perro fue resguardado por autoridades municipales luego de ser encontrado dentro de una vivienda aparentemente abandonada en el fraccionamiento Media Luna, en Pachuca.El caso fue atendido por elementos de la Secretaría de Seguridad Pública, Tránsito y Vialidad de la capital hidalguense, tras un reporte relacionado con presunto abandono animal al interior de un domicilio particular.</t>
  </si>
  <si>
    <t>Rescate Animal</t>
  </si>
  <si>
    <t>Atención emocional y acompañamiento humano, prioridad para el gobierno de Hidalgo</t>
  </si>
  <si>
    <t>Salud Mental</t>
  </si>
  <si>
    <t>La Secretaría de Seguridad Pública de Hidalgo informó que elementos de la Policía Estatal localizaron y aseguraron una camioneta Pick-Up color café que contaba con reporte de robo en Estados Unidos.De acuerdo con la dependencia, el aseguramiento se realizó derivado de los operativos de prevención implementados en la zona metropolitana. La unidad fue detectada la tarde de este martes en el municipio de Mineral de la Reforma, donde se encontraba estacionada. Los oficiales realizaron la consulta correspondiente en el sistema NICB, siglas de National Insurance Crime Bureau, mediante el cual confirmaron que la camioneta tenía reporte de robo en Houston, Texas.</t>
  </si>
  <si>
    <t>Recuperación De Vehículos Robados</t>
  </si>
  <si>
    <t>Derivado de un accidente automovilístico registrado en Pachuca de Soto, en el bulevar Minero, en el que lamentablemente una persona perdió la vida y 17 más resultaron lesionadas, los cuerpos de seguridad y de emergencia acudieron de inmediato para brindar auxilio a las y los involucrados.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</si>
</sst>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1" tableType="queryTable" totalsRowShown="0">
  <autoFilter ref="A1:M171"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1"/>
  <sheetViews>
    <sheetView tabSelected="1" topLeftCell="A136" workbookViewId="0">
      <selection activeCell="A171" sqref="A171"/>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42</v>
      </c>
      <c r="C1" t="s">
        <v>43</v>
      </c>
      <c r="D1" t="s">
        <v>44</v>
      </c>
      <c r="E1" t="s">
        <v>1</v>
      </c>
      <c r="F1" t="s">
        <v>2</v>
      </c>
      <c r="G1" t="s">
        <v>4</v>
      </c>
      <c r="H1" t="s">
        <v>3</v>
      </c>
      <c r="I1" t="s">
        <v>5</v>
      </c>
      <c r="J1" t="s">
        <v>45</v>
      </c>
      <c r="K1" t="s">
        <v>46</v>
      </c>
      <c r="L1" t="s">
        <v>47</v>
      </c>
      <c r="M1" t="s">
        <v>55</v>
      </c>
    </row>
    <row r="2" spans="1:13" x14ac:dyDescent="0.25">
      <c r="A2" s="2">
        <v>46162</v>
      </c>
      <c r="B2" s="1" t="str">
        <f ca="1">IF(Información1[[#This Row],[Fecha]]='Ajuste de fechas'!$A$2,"Día actual","Día anterior")</f>
        <v>Día anterior</v>
      </c>
      <c r="C2" t="s">
        <v>34</v>
      </c>
      <c r="D2" t="s">
        <v>35</v>
      </c>
      <c r="E2" t="s">
        <v>140</v>
      </c>
      <c r="F2" t="s">
        <v>17</v>
      </c>
      <c r="G2" t="s">
        <v>141</v>
      </c>
      <c r="H2" t="s">
        <v>32</v>
      </c>
      <c r="I2" t="s">
        <v>25</v>
      </c>
      <c r="J2" t="s">
        <v>48</v>
      </c>
      <c r="K2" t="s">
        <v>27</v>
      </c>
      <c r="L2" t="s">
        <v>49</v>
      </c>
      <c r="M2">
        <v>3</v>
      </c>
    </row>
    <row r="3" spans="1:13" x14ac:dyDescent="0.25">
      <c r="A3" s="2">
        <v>46162</v>
      </c>
      <c r="B3" s="1" t="str">
        <f ca="1">IF(Información1[[#This Row],[Fecha]]='Ajuste de fechas'!$A$2,"Día actual","Día anterior")</f>
        <v>Día anterior</v>
      </c>
      <c r="C3" t="s">
        <v>34</v>
      </c>
      <c r="D3" t="s">
        <v>35</v>
      </c>
      <c r="E3" t="s">
        <v>142</v>
      </c>
      <c r="F3" t="s">
        <v>6</v>
      </c>
      <c r="G3" t="s">
        <v>143</v>
      </c>
      <c r="H3" t="s">
        <v>32</v>
      </c>
      <c r="I3" t="s">
        <v>25</v>
      </c>
      <c r="J3" t="s">
        <v>48</v>
      </c>
      <c r="K3" t="s">
        <v>27</v>
      </c>
      <c r="L3" t="s">
        <v>50</v>
      </c>
      <c r="M3">
        <v>3</v>
      </c>
    </row>
    <row r="4" spans="1:13" x14ac:dyDescent="0.25">
      <c r="A4" s="2">
        <v>46162</v>
      </c>
      <c r="B4" s="1" t="str">
        <f ca="1">IF(Información1[[#This Row],[Fecha]]='Ajuste de fechas'!$A$2,"Día actual","Día anterior")</f>
        <v>Día anterior</v>
      </c>
      <c r="C4" t="s">
        <v>34</v>
      </c>
      <c r="D4" t="s">
        <v>35</v>
      </c>
      <c r="E4" t="s">
        <v>144</v>
      </c>
      <c r="F4" t="s">
        <v>19</v>
      </c>
      <c r="G4" t="s">
        <v>145</v>
      </c>
      <c r="H4" t="s">
        <v>32</v>
      </c>
      <c r="I4" t="s">
        <v>25</v>
      </c>
      <c r="J4" t="s">
        <v>52</v>
      </c>
      <c r="K4" t="s">
        <v>67</v>
      </c>
      <c r="L4" t="s">
        <v>49</v>
      </c>
      <c r="M4">
        <v>3</v>
      </c>
    </row>
    <row r="5" spans="1:13" x14ac:dyDescent="0.25">
      <c r="A5" s="2">
        <v>46162</v>
      </c>
      <c r="B5" s="1" t="str">
        <f ca="1">IF(Información1[[#This Row],[Fecha]]='Ajuste de fechas'!$A$2,"Día actual","Día anterior")</f>
        <v>Día anterior</v>
      </c>
      <c r="C5" t="s">
        <v>34</v>
      </c>
      <c r="D5" t="s">
        <v>35</v>
      </c>
      <c r="E5" t="s">
        <v>146</v>
      </c>
      <c r="F5" t="s">
        <v>19</v>
      </c>
      <c r="G5" t="s">
        <v>147</v>
      </c>
      <c r="H5" t="s">
        <v>32</v>
      </c>
      <c r="I5" t="s">
        <v>25</v>
      </c>
      <c r="J5" t="s">
        <v>52</v>
      </c>
      <c r="K5" t="s">
        <v>27</v>
      </c>
      <c r="L5" t="s">
        <v>49</v>
      </c>
      <c r="M5">
        <v>3</v>
      </c>
    </row>
    <row r="6" spans="1:13" x14ac:dyDescent="0.25">
      <c r="A6" s="2">
        <v>46162</v>
      </c>
      <c r="B6" s="1" t="str">
        <f ca="1">IF(Información1[[#This Row],[Fecha]]='Ajuste de fechas'!$A$2,"Día actual","Día anterior")</f>
        <v>Día anterior</v>
      </c>
      <c r="C6" t="s">
        <v>34</v>
      </c>
      <c r="D6" t="s">
        <v>35</v>
      </c>
      <c r="E6" t="s">
        <v>148</v>
      </c>
      <c r="F6" t="s">
        <v>62</v>
      </c>
      <c r="G6" t="s">
        <v>149</v>
      </c>
      <c r="H6" t="s">
        <v>32</v>
      </c>
      <c r="I6" t="s">
        <v>7</v>
      </c>
      <c r="J6" t="s">
        <v>48</v>
      </c>
      <c r="K6" t="s">
        <v>27</v>
      </c>
      <c r="L6" t="s">
        <v>50</v>
      </c>
      <c r="M6">
        <v>3</v>
      </c>
    </row>
    <row r="7" spans="1:13" x14ac:dyDescent="0.25">
      <c r="A7" s="2">
        <v>46162</v>
      </c>
      <c r="B7" s="1" t="str">
        <f ca="1">IF(Información1[[#This Row],[Fecha]]='Ajuste de fechas'!$A$2,"Día actual","Día anterior")</f>
        <v>Día anterior</v>
      </c>
      <c r="C7" t="s">
        <v>34</v>
      </c>
      <c r="D7" t="s">
        <v>35</v>
      </c>
      <c r="E7" t="s">
        <v>150</v>
      </c>
      <c r="F7" t="s">
        <v>23</v>
      </c>
      <c r="G7" t="s">
        <v>33</v>
      </c>
      <c r="H7" t="s">
        <v>32</v>
      </c>
      <c r="I7" t="s">
        <v>7</v>
      </c>
      <c r="J7" t="s">
        <v>48</v>
      </c>
      <c r="K7" t="s">
        <v>27</v>
      </c>
      <c r="L7" t="s">
        <v>49</v>
      </c>
      <c r="M7">
        <v>3</v>
      </c>
    </row>
    <row r="8" spans="1:13" x14ac:dyDescent="0.25">
      <c r="A8" s="2">
        <v>46162</v>
      </c>
      <c r="B8" s="1" t="str">
        <f ca="1">IF(Información1[[#This Row],[Fecha]]='Ajuste de fechas'!$A$2,"Día actual","Día anterior")</f>
        <v>Día anterior</v>
      </c>
      <c r="C8" t="s">
        <v>34</v>
      </c>
      <c r="D8" t="s">
        <v>35</v>
      </c>
      <c r="E8" t="s">
        <v>126</v>
      </c>
      <c r="F8" t="s">
        <v>23</v>
      </c>
      <c r="G8" t="s">
        <v>151</v>
      </c>
      <c r="H8" t="s">
        <v>32</v>
      </c>
      <c r="I8" t="s">
        <v>7</v>
      </c>
      <c r="J8" t="s">
        <v>48</v>
      </c>
      <c r="K8" t="s">
        <v>27</v>
      </c>
      <c r="L8" t="s">
        <v>51</v>
      </c>
      <c r="M8">
        <v>3</v>
      </c>
    </row>
    <row r="9" spans="1:13" x14ac:dyDescent="0.25">
      <c r="A9" s="2">
        <v>46162</v>
      </c>
      <c r="B9" s="1" t="str">
        <f ca="1">IF(Información1[[#This Row],[Fecha]]='Ajuste de fechas'!$A$2,"Día actual","Día anterior")</f>
        <v>Día anterior</v>
      </c>
      <c r="C9" t="s">
        <v>34</v>
      </c>
      <c r="D9" t="s">
        <v>35</v>
      </c>
      <c r="E9" t="s">
        <v>152</v>
      </c>
      <c r="F9" t="s">
        <v>62</v>
      </c>
      <c r="G9" t="s">
        <v>64</v>
      </c>
      <c r="H9" t="s">
        <v>32</v>
      </c>
      <c r="I9" t="s">
        <v>25</v>
      </c>
      <c r="J9" t="s">
        <v>48</v>
      </c>
      <c r="K9" t="s">
        <v>27</v>
      </c>
      <c r="L9" t="s">
        <v>49</v>
      </c>
      <c r="M9">
        <v>3</v>
      </c>
    </row>
    <row r="10" spans="1:13" x14ac:dyDescent="0.25">
      <c r="A10" s="2">
        <v>46162</v>
      </c>
      <c r="B10" s="1" t="str">
        <f ca="1">IF(Información1[[#This Row],[Fecha]]='Ajuste de fechas'!$A$2,"Día actual","Día anterior")</f>
        <v>Día anterior</v>
      </c>
      <c r="C10" t="s">
        <v>34</v>
      </c>
      <c r="D10" t="s">
        <v>35</v>
      </c>
      <c r="E10" t="s">
        <v>153</v>
      </c>
      <c r="F10" t="s">
        <v>26</v>
      </c>
      <c r="G10" t="s">
        <v>84</v>
      </c>
      <c r="H10" t="s">
        <v>32</v>
      </c>
      <c r="I10" t="s">
        <v>12</v>
      </c>
      <c r="J10" t="s">
        <v>48</v>
      </c>
      <c r="K10" t="s">
        <v>9</v>
      </c>
      <c r="L10" t="s">
        <v>50</v>
      </c>
      <c r="M10">
        <v>3</v>
      </c>
    </row>
    <row r="11" spans="1:13" x14ac:dyDescent="0.25">
      <c r="A11" s="2">
        <v>46162</v>
      </c>
      <c r="B11" s="1" t="str">
        <f ca="1">IF(Información1[[#This Row],[Fecha]]='Ajuste de fechas'!$A$2,"Día actual","Día anterior")</f>
        <v>Día anterior</v>
      </c>
      <c r="C11" t="s">
        <v>34</v>
      </c>
      <c r="D11" t="s">
        <v>35</v>
      </c>
      <c r="E11" t="s">
        <v>112</v>
      </c>
      <c r="F11" t="s">
        <v>21</v>
      </c>
      <c r="G11" t="s">
        <v>77</v>
      </c>
      <c r="H11" t="s">
        <v>32</v>
      </c>
      <c r="I11" t="s">
        <v>7</v>
      </c>
      <c r="J11" t="s">
        <v>48</v>
      </c>
      <c r="K11" t="s">
        <v>27</v>
      </c>
      <c r="L11" t="s">
        <v>51</v>
      </c>
      <c r="M11">
        <v>2</v>
      </c>
    </row>
    <row r="12" spans="1:13" x14ac:dyDescent="0.25">
      <c r="A12" s="2">
        <v>46162</v>
      </c>
      <c r="B12" s="1" t="str">
        <f ca="1">IF(Información1[[#This Row],[Fecha]]='Ajuste de fechas'!$A$2,"Día actual","Día anterior")</f>
        <v>Día anterior</v>
      </c>
      <c r="C12" t="s">
        <v>34</v>
      </c>
      <c r="D12" t="s">
        <v>35</v>
      </c>
      <c r="E12" t="s">
        <v>154</v>
      </c>
      <c r="F12" t="s">
        <v>36</v>
      </c>
      <c r="G12" t="s">
        <v>155</v>
      </c>
      <c r="H12" t="s">
        <v>32</v>
      </c>
      <c r="I12" t="s">
        <v>7</v>
      </c>
      <c r="J12" t="s">
        <v>48</v>
      </c>
      <c r="K12" t="s">
        <v>27</v>
      </c>
      <c r="L12" t="s">
        <v>51</v>
      </c>
      <c r="M12">
        <v>3</v>
      </c>
    </row>
    <row r="13" spans="1:13" x14ac:dyDescent="0.25">
      <c r="A13" s="2">
        <v>46162</v>
      </c>
      <c r="B13" s="1" t="str">
        <f ca="1">IF(Información1[[#This Row],[Fecha]]='Ajuste de fechas'!$A$2,"Día actual","Día anterior")</f>
        <v>Día anterior</v>
      </c>
      <c r="C13" t="s">
        <v>34</v>
      </c>
      <c r="D13" t="s">
        <v>35</v>
      </c>
      <c r="E13" t="s">
        <v>156</v>
      </c>
      <c r="F13" t="s">
        <v>24</v>
      </c>
      <c r="G13" t="s">
        <v>68</v>
      </c>
      <c r="H13" t="s">
        <v>32</v>
      </c>
      <c r="I13" t="s">
        <v>7</v>
      </c>
      <c r="J13" t="s">
        <v>24</v>
      </c>
      <c r="K13" t="s">
        <v>27</v>
      </c>
      <c r="L13" t="s">
        <v>49</v>
      </c>
      <c r="M13">
        <v>3</v>
      </c>
    </row>
    <row r="14" spans="1:13" x14ac:dyDescent="0.25">
      <c r="A14" s="2">
        <v>46162</v>
      </c>
      <c r="B14" s="1" t="str">
        <f ca="1">IF(Información1[[#This Row],[Fecha]]='Ajuste de fechas'!$A$2,"Día actual","Día anterior")</f>
        <v>Día anterior</v>
      </c>
      <c r="C14" t="s">
        <v>34</v>
      </c>
      <c r="D14" t="s">
        <v>35</v>
      </c>
      <c r="E14" t="s">
        <v>101</v>
      </c>
      <c r="F14" t="s">
        <v>26</v>
      </c>
      <c r="G14" t="s">
        <v>84</v>
      </c>
      <c r="H14" t="s">
        <v>32</v>
      </c>
      <c r="I14" t="s">
        <v>7</v>
      </c>
      <c r="J14" t="s">
        <v>48</v>
      </c>
      <c r="K14" t="s">
        <v>27</v>
      </c>
      <c r="L14" t="s">
        <v>51</v>
      </c>
      <c r="M14">
        <v>3</v>
      </c>
    </row>
    <row r="15" spans="1:13" x14ac:dyDescent="0.25">
      <c r="A15" s="2">
        <v>46162</v>
      </c>
      <c r="B15" s="1" t="str">
        <f ca="1">IF(Información1[[#This Row],[Fecha]]='Ajuste de fechas'!$A$2,"Día actual","Día anterior")</f>
        <v>Día anterior</v>
      </c>
      <c r="C15" t="s">
        <v>34</v>
      </c>
      <c r="D15" t="s">
        <v>35</v>
      </c>
      <c r="E15" t="s">
        <v>157</v>
      </c>
      <c r="F15" t="s">
        <v>26</v>
      </c>
      <c r="G15" t="s">
        <v>68</v>
      </c>
      <c r="H15" t="s">
        <v>32</v>
      </c>
      <c r="I15" t="s">
        <v>7</v>
      </c>
      <c r="J15" t="s">
        <v>48</v>
      </c>
      <c r="K15" t="s">
        <v>27</v>
      </c>
      <c r="L15" t="s">
        <v>49</v>
      </c>
      <c r="M15">
        <v>3</v>
      </c>
    </row>
    <row r="16" spans="1:13" x14ac:dyDescent="0.25">
      <c r="A16" s="2">
        <v>46162</v>
      </c>
      <c r="B16" s="1" t="str">
        <f ca="1">IF(Información1[[#This Row],[Fecha]]='Ajuste de fechas'!$A$2,"Día actual","Día anterior")</f>
        <v>Día anterior</v>
      </c>
      <c r="C16" t="s">
        <v>34</v>
      </c>
      <c r="D16" t="s">
        <v>35</v>
      </c>
      <c r="E16" t="s">
        <v>102</v>
      </c>
      <c r="F16" t="s">
        <v>26</v>
      </c>
      <c r="G16" t="s">
        <v>84</v>
      </c>
      <c r="H16" t="s">
        <v>32</v>
      </c>
      <c r="I16" t="s">
        <v>7</v>
      </c>
      <c r="J16" t="s">
        <v>48</v>
      </c>
      <c r="K16" t="s">
        <v>27</v>
      </c>
      <c r="L16" t="s">
        <v>51</v>
      </c>
      <c r="M16">
        <v>3</v>
      </c>
    </row>
    <row r="17" spans="1:13" x14ac:dyDescent="0.25">
      <c r="A17" s="2">
        <v>46162</v>
      </c>
      <c r="B17" s="1" t="str">
        <f ca="1">IF(Información1[[#This Row],[Fecha]]='Ajuste de fechas'!$A$2,"Día actual","Día anterior")</f>
        <v>Día anterior</v>
      </c>
      <c r="C17" t="s">
        <v>34</v>
      </c>
      <c r="D17" t="s">
        <v>35</v>
      </c>
      <c r="E17" t="s">
        <v>158</v>
      </c>
      <c r="F17" t="s">
        <v>15</v>
      </c>
      <c r="G17" t="s">
        <v>159</v>
      </c>
      <c r="H17" t="s">
        <v>32</v>
      </c>
      <c r="I17" t="s">
        <v>25</v>
      </c>
      <c r="J17" t="s">
        <v>48</v>
      </c>
      <c r="K17" t="s">
        <v>27</v>
      </c>
      <c r="L17" t="s">
        <v>50</v>
      </c>
      <c r="M17">
        <v>3</v>
      </c>
    </row>
    <row r="18" spans="1:13" x14ac:dyDescent="0.25">
      <c r="A18" s="2">
        <v>46162</v>
      </c>
      <c r="B18" s="1" t="str">
        <f ca="1">IF(Información1[[#This Row],[Fecha]]='Ajuste de fechas'!$A$2,"Día actual","Día anterior")</f>
        <v>Día anterior</v>
      </c>
      <c r="C18" t="s">
        <v>37</v>
      </c>
      <c r="D18" t="s">
        <v>38</v>
      </c>
      <c r="E18" t="s">
        <v>160</v>
      </c>
      <c r="F18" t="s">
        <v>21</v>
      </c>
      <c r="G18" t="s">
        <v>77</v>
      </c>
      <c r="H18" t="s">
        <v>11</v>
      </c>
      <c r="I18" t="s">
        <v>7</v>
      </c>
      <c r="J18" t="s">
        <v>48</v>
      </c>
      <c r="K18" t="s">
        <v>39</v>
      </c>
      <c r="L18" t="s">
        <v>49</v>
      </c>
      <c r="M18">
        <v>1</v>
      </c>
    </row>
    <row r="19" spans="1:13" x14ac:dyDescent="0.25">
      <c r="A19" s="2">
        <v>46162</v>
      </c>
      <c r="B19" s="1" t="str">
        <f ca="1">IF(Información1[[#This Row],[Fecha]]='Ajuste de fechas'!$A$2,"Día actual","Día anterior")</f>
        <v>Día anterior</v>
      </c>
      <c r="C19" t="s">
        <v>37</v>
      </c>
      <c r="D19" t="s">
        <v>38</v>
      </c>
      <c r="E19" t="s">
        <v>161</v>
      </c>
      <c r="F19" t="s">
        <v>22</v>
      </c>
      <c r="G19" t="s">
        <v>162</v>
      </c>
      <c r="H19" t="s">
        <v>11</v>
      </c>
      <c r="I19" t="s">
        <v>25</v>
      </c>
      <c r="J19" t="s">
        <v>53</v>
      </c>
      <c r="K19" t="s">
        <v>39</v>
      </c>
      <c r="L19" t="s">
        <v>49</v>
      </c>
      <c r="M19">
        <v>2</v>
      </c>
    </row>
    <row r="20" spans="1:13" x14ac:dyDescent="0.25">
      <c r="A20" s="2">
        <v>46162</v>
      </c>
      <c r="B20" s="1" t="str">
        <f ca="1">IF(Información1[[#This Row],[Fecha]]='Ajuste de fechas'!$A$2,"Día actual","Día anterior")</f>
        <v>Día anterior</v>
      </c>
      <c r="C20" t="s">
        <v>37</v>
      </c>
      <c r="D20" t="s">
        <v>38</v>
      </c>
      <c r="E20" t="s">
        <v>163</v>
      </c>
      <c r="F20" t="s">
        <v>19</v>
      </c>
      <c r="G20" t="s">
        <v>164</v>
      </c>
      <c r="H20" t="s">
        <v>11</v>
      </c>
      <c r="I20" t="s">
        <v>25</v>
      </c>
      <c r="J20" t="s">
        <v>52</v>
      </c>
      <c r="K20" t="s">
        <v>39</v>
      </c>
      <c r="L20" t="s">
        <v>49</v>
      </c>
      <c r="M20">
        <v>2</v>
      </c>
    </row>
    <row r="21" spans="1:13" x14ac:dyDescent="0.25">
      <c r="A21" s="2">
        <v>46162</v>
      </c>
      <c r="B21" s="1" t="str">
        <f ca="1">IF(Información1[[#This Row],[Fecha]]='Ajuste de fechas'!$A$2,"Día actual","Día anterior")</f>
        <v>Día anterior</v>
      </c>
      <c r="C21" t="s">
        <v>37</v>
      </c>
      <c r="D21" t="s">
        <v>38</v>
      </c>
      <c r="E21" t="s">
        <v>165</v>
      </c>
      <c r="F21" t="s">
        <v>19</v>
      </c>
      <c r="G21" t="s">
        <v>86</v>
      </c>
      <c r="H21" t="s">
        <v>11</v>
      </c>
      <c r="I21" t="s">
        <v>7</v>
      </c>
      <c r="J21" t="s">
        <v>52</v>
      </c>
      <c r="K21" t="s">
        <v>39</v>
      </c>
      <c r="L21" t="s">
        <v>49</v>
      </c>
      <c r="M21">
        <v>2</v>
      </c>
    </row>
    <row r="22" spans="1:13" x14ac:dyDescent="0.25">
      <c r="A22" s="2">
        <v>46162</v>
      </c>
      <c r="B22" s="1" t="str">
        <f ca="1">IF(Información1[[#This Row],[Fecha]]='Ajuste de fechas'!$A$2,"Día actual","Día anterior")</f>
        <v>Día anterior</v>
      </c>
      <c r="C22" t="s">
        <v>37</v>
      </c>
      <c r="D22" t="s">
        <v>38</v>
      </c>
      <c r="E22" t="s">
        <v>166</v>
      </c>
      <c r="F22" t="s">
        <v>19</v>
      </c>
      <c r="G22" t="s">
        <v>167</v>
      </c>
      <c r="H22" t="s">
        <v>11</v>
      </c>
      <c r="I22" t="s">
        <v>7</v>
      </c>
      <c r="J22" t="s">
        <v>52</v>
      </c>
      <c r="K22" t="s">
        <v>39</v>
      </c>
      <c r="L22" t="s">
        <v>49</v>
      </c>
      <c r="M22">
        <v>2</v>
      </c>
    </row>
    <row r="23" spans="1:13" x14ac:dyDescent="0.25">
      <c r="A23" s="2">
        <v>46162</v>
      </c>
      <c r="B23" s="1" t="str">
        <f ca="1">IF(Información1[[#This Row],[Fecha]]='Ajuste de fechas'!$A$2,"Día actual","Día anterior")</f>
        <v>Día anterior</v>
      </c>
      <c r="C23" t="s">
        <v>37</v>
      </c>
      <c r="D23" t="s">
        <v>38</v>
      </c>
      <c r="E23" t="s">
        <v>168</v>
      </c>
      <c r="F23" t="s">
        <v>19</v>
      </c>
      <c r="G23" t="s">
        <v>33</v>
      </c>
      <c r="H23" t="s">
        <v>11</v>
      </c>
      <c r="I23" t="s">
        <v>7</v>
      </c>
      <c r="J23" t="s">
        <v>52</v>
      </c>
      <c r="K23" t="s">
        <v>39</v>
      </c>
      <c r="L23" t="s">
        <v>49</v>
      </c>
      <c r="M23">
        <v>2</v>
      </c>
    </row>
    <row r="24" spans="1:13" x14ac:dyDescent="0.25">
      <c r="A24" s="2">
        <v>46162</v>
      </c>
      <c r="B24" s="1" t="str">
        <f ca="1">IF(Información1[[#This Row],[Fecha]]='Ajuste de fechas'!$A$2,"Día actual","Día anterior")</f>
        <v>Día anterior</v>
      </c>
      <c r="C24" t="s">
        <v>37</v>
      </c>
      <c r="D24" t="s">
        <v>38</v>
      </c>
      <c r="E24" t="s">
        <v>169</v>
      </c>
      <c r="F24" t="s">
        <v>62</v>
      </c>
      <c r="G24" t="s">
        <v>79</v>
      </c>
      <c r="H24" t="s">
        <v>11</v>
      </c>
      <c r="I24" t="s">
        <v>7</v>
      </c>
      <c r="J24" t="s">
        <v>48</v>
      </c>
      <c r="K24" t="s">
        <v>39</v>
      </c>
      <c r="L24" t="s">
        <v>49</v>
      </c>
      <c r="M24">
        <v>2</v>
      </c>
    </row>
    <row r="25" spans="1:13" x14ac:dyDescent="0.25">
      <c r="A25" s="2">
        <v>46162</v>
      </c>
      <c r="B25" s="1" t="str">
        <f ca="1">IF(Información1[[#This Row],[Fecha]]='Ajuste de fechas'!$A$2,"Día actual","Día anterior")</f>
        <v>Día anterior</v>
      </c>
      <c r="C25" t="s">
        <v>37</v>
      </c>
      <c r="D25" t="s">
        <v>38</v>
      </c>
      <c r="E25" t="s">
        <v>170</v>
      </c>
      <c r="F25" t="s">
        <v>62</v>
      </c>
      <c r="G25" t="s">
        <v>64</v>
      </c>
      <c r="H25" t="s">
        <v>11</v>
      </c>
      <c r="I25" t="s">
        <v>7</v>
      </c>
      <c r="J25" t="s">
        <v>48</v>
      </c>
      <c r="K25" t="s">
        <v>39</v>
      </c>
      <c r="L25" t="s">
        <v>49</v>
      </c>
      <c r="M25">
        <v>2</v>
      </c>
    </row>
    <row r="26" spans="1:13" x14ac:dyDescent="0.25">
      <c r="A26" s="2">
        <v>46162</v>
      </c>
      <c r="B26" s="1" t="str">
        <f ca="1">IF(Información1[[#This Row],[Fecha]]='Ajuste de fechas'!$A$2,"Día actual","Día anterior")</f>
        <v>Día anterior</v>
      </c>
      <c r="C26" t="s">
        <v>37</v>
      </c>
      <c r="D26" t="s">
        <v>38</v>
      </c>
      <c r="E26" t="s">
        <v>103</v>
      </c>
      <c r="F26" t="s">
        <v>23</v>
      </c>
      <c r="G26" t="s">
        <v>104</v>
      </c>
      <c r="H26" t="s">
        <v>11</v>
      </c>
      <c r="I26" t="s">
        <v>7</v>
      </c>
      <c r="J26" t="s">
        <v>48</v>
      </c>
      <c r="K26" t="s">
        <v>39</v>
      </c>
      <c r="L26" t="s">
        <v>49</v>
      </c>
      <c r="M26">
        <v>2</v>
      </c>
    </row>
    <row r="27" spans="1:13" x14ac:dyDescent="0.25">
      <c r="A27" s="2">
        <v>46162</v>
      </c>
      <c r="B27" s="1" t="str">
        <f ca="1">IF(Información1[[#This Row],[Fecha]]='Ajuste de fechas'!$A$2,"Día actual","Día anterior")</f>
        <v>Día anterior</v>
      </c>
      <c r="C27" t="s">
        <v>37</v>
      </c>
      <c r="D27" t="s">
        <v>38</v>
      </c>
      <c r="E27" t="s">
        <v>171</v>
      </c>
      <c r="F27" t="s">
        <v>19</v>
      </c>
      <c r="G27" t="s">
        <v>85</v>
      </c>
      <c r="H27" t="s">
        <v>11</v>
      </c>
      <c r="I27" t="s">
        <v>7</v>
      </c>
      <c r="J27" t="s">
        <v>52</v>
      </c>
      <c r="K27" t="s">
        <v>39</v>
      </c>
      <c r="L27" t="s">
        <v>49</v>
      </c>
      <c r="M27">
        <v>2</v>
      </c>
    </row>
    <row r="28" spans="1:13" x14ac:dyDescent="0.25">
      <c r="A28" s="2">
        <v>46162</v>
      </c>
      <c r="B28" s="1" t="str">
        <f ca="1">IF(Información1[[#This Row],[Fecha]]='Ajuste de fechas'!$A$2,"Día actual","Día anterior")</f>
        <v>Día anterior</v>
      </c>
      <c r="C28" t="s">
        <v>37</v>
      </c>
      <c r="D28" t="s">
        <v>38</v>
      </c>
      <c r="E28" t="s">
        <v>172</v>
      </c>
      <c r="F28" t="s">
        <v>173</v>
      </c>
      <c r="G28" t="s">
        <v>174</v>
      </c>
      <c r="H28" t="s">
        <v>11</v>
      </c>
      <c r="I28" t="s">
        <v>7</v>
      </c>
      <c r="J28" t="s">
        <v>24</v>
      </c>
      <c r="K28" t="s">
        <v>39</v>
      </c>
      <c r="L28" t="s">
        <v>49</v>
      </c>
      <c r="M28">
        <v>2</v>
      </c>
    </row>
    <row r="29" spans="1:13" x14ac:dyDescent="0.25">
      <c r="A29" s="2">
        <v>46162</v>
      </c>
      <c r="B29" s="1" t="str">
        <f ca="1">IF(Información1[[#This Row],[Fecha]]='Ajuste de fechas'!$A$2,"Día actual","Día anterior")</f>
        <v>Día anterior</v>
      </c>
      <c r="C29" t="s">
        <v>37</v>
      </c>
      <c r="D29" t="s">
        <v>38</v>
      </c>
      <c r="E29" t="s">
        <v>87</v>
      </c>
      <c r="F29" t="s">
        <v>63</v>
      </c>
      <c r="G29" t="s">
        <v>88</v>
      </c>
      <c r="H29" t="s">
        <v>11</v>
      </c>
      <c r="I29" t="s">
        <v>7</v>
      </c>
      <c r="J29" t="s">
        <v>48</v>
      </c>
      <c r="K29" t="s">
        <v>39</v>
      </c>
      <c r="L29" t="s">
        <v>49</v>
      </c>
      <c r="M29">
        <v>2</v>
      </c>
    </row>
    <row r="30" spans="1:13" x14ac:dyDescent="0.25">
      <c r="A30" s="2">
        <v>46162</v>
      </c>
      <c r="B30" s="1" t="str">
        <f ca="1">IF(Información1[[#This Row],[Fecha]]='Ajuste de fechas'!$A$2,"Día actual","Día anterior")</f>
        <v>Día anterior</v>
      </c>
      <c r="C30" t="s">
        <v>37</v>
      </c>
      <c r="D30" t="s">
        <v>38</v>
      </c>
      <c r="E30" t="s">
        <v>175</v>
      </c>
      <c r="F30" t="s">
        <v>19</v>
      </c>
      <c r="G30" t="s">
        <v>176</v>
      </c>
      <c r="H30" t="s">
        <v>11</v>
      </c>
      <c r="I30" t="s">
        <v>7</v>
      </c>
      <c r="J30" t="s">
        <v>52</v>
      </c>
      <c r="K30" t="s">
        <v>39</v>
      </c>
      <c r="L30" t="s">
        <v>49</v>
      </c>
      <c r="M30">
        <v>2</v>
      </c>
    </row>
    <row r="31" spans="1:13" x14ac:dyDescent="0.25">
      <c r="A31" s="2">
        <v>46162</v>
      </c>
      <c r="B31" s="1" t="str">
        <f ca="1">IF(Información1[[#This Row],[Fecha]]='Ajuste de fechas'!$A$2,"Día actual","Día anterior")</f>
        <v>Día anterior</v>
      </c>
      <c r="C31" t="s">
        <v>37</v>
      </c>
      <c r="D31" t="s">
        <v>38</v>
      </c>
      <c r="E31" t="s">
        <v>105</v>
      </c>
      <c r="F31" t="s">
        <v>23</v>
      </c>
      <c r="G31" t="s">
        <v>93</v>
      </c>
      <c r="H31" t="s">
        <v>11</v>
      </c>
      <c r="I31" t="s">
        <v>7</v>
      </c>
      <c r="J31" t="s">
        <v>48</v>
      </c>
      <c r="K31" t="s">
        <v>39</v>
      </c>
      <c r="L31" t="s">
        <v>49</v>
      </c>
      <c r="M31">
        <v>2</v>
      </c>
    </row>
    <row r="32" spans="1:13" x14ac:dyDescent="0.25">
      <c r="A32" s="2">
        <v>46162</v>
      </c>
      <c r="B32" s="1" t="str">
        <f ca="1">IF(Información1[[#This Row],[Fecha]]='Ajuste de fechas'!$A$2,"Día actual","Día anterior")</f>
        <v>Día anterior</v>
      </c>
      <c r="C32" t="s">
        <v>37</v>
      </c>
      <c r="D32" t="s">
        <v>38</v>
      </c>
      <c r="E32" t="s">
        <v>177</v>
      </c>
      <c r="F32" t="s">
        <v>22</v>
      </c>
      <c r="G32" t="s">
        <v>93</v>
      </c>
      <c r="H32" t="s">
        <v>11</v>
      </c>
      <c r="I32" t="s">
        <v>7</v>
      </c>
      <c r="J32" t="s">
        <v>53</v>
      </c>
      <c r="K32" t="s">
        <v>39</v>
      </c>
      <c r="L32" t="s">
        <v>49</v>
      </c>
      <c r="M32">
        <v>2</v>
      </c>
    </row>
    <row r="33" spans="1:13" x14ac:dyDescent="0.25">
      <c r="A33" s="2">
        <v>46162</v>
      </c>
      <c r="B33" s="1" t="str">
        <f ca="1">IF(Información1[[#This Row],[Fecha]]='Ajuste de fechas'!$A$2,"Día actual","Día anterior")</f>
        <v>Día anterior</v>
      </c>
      <c r="C33" t="s">
        <v>37</v>
      </c>
      <c r="D33" t="s">
        <v>38</v>
      </c>
      <c r="E33" t="s">
        <v>101</v>
      </c>
      <c r="F33" t="s">
        <v>26</v>
      </c>
      <c r="G33" t="s">
        <v>84</v>
      </c>
      <c r="H33" t="s">
        <v>11</v>
      </c>
      <c r="I33" t="s">
        <v>7</v>
      </c>
      <c r="J33" t="s">
        <v>48</v>
      </c>
      <c r="K33" t="s">
        <v>39</v>
      </c>
      <c r="L33" t="s">
        <v>51</v>
      </c>
      <c r="M33">
        <v>2</v>
      </c>
    </row>
    <row r="34" spans="1:13" x14ac:dyDescent="0.25">
      <c r="A34" s="2">
        <v>46162</v>
      </c>
      <c r="B34" s="1" t="str">
        <f ca="1">IF(Información1[[#This Row],[Fecha]]='Ajuste de fechas'!$A$2,"Día actual","Día anterior")</f>
        <v>Día anterior</v>
      </c>
      <c r="C34" t="s">
        <v>37</v>
      </c>
      <c r="D34" t="s">
        <v>38</v>
      </c>
      <c r="E34" t="s">
        <v>66</v>
      </c>
      <c r="F34" t="s">
        <v>19</v>
      </c>
      <c r="G34" t="s">
        <v>33</v>
      </c>
      <c r="H34" t="s">
        <v>11</v>
      </c>
      <c r="I34" t="s">
        <v>7</v>
      </c>
      <c r="J34" t="s">
        <v>52</v>
      </c>
      <c r="K34" t="s">
        <v>39</v>
      </c>
      <c r="L34" t="s">
        <v>49</v>
      </c>
      <c r="M34">
        <v>2</v>
      </c>
    </row>
    <row r="35" spans="1:13" x14ac:dyDescent="0.25">
      <c r="A35" s="2">
        <v>46162</v>
      </c>
      <c r="B35" s="1" t="str">
        <f ca="1">IF(Información1[[#This Row],[Fecha]]='Ajuste de fechas'!$A$2,"Día actual","Día anterior")</f>
        <v>Día anterior</v>
      </c>
      <c r="C35" t="s">
        <v>37</v>
      </c>
      <c r="D35" t="s">
        <v>38</v>
      </c>
      <c r="E35" t="s">
        <v>178</v>
      </c>
      <c r="F35" t="s">
        <v>19</v>
      </c>
      <c r="G35" t="s">
        <v>179</v>
      </c>
      <c r="H35" t="s">
        <v>11</v>
      </c>
      <c r="I35" t="s">
        <v>7</v>
      </c>
      <c r="J35" t="s">
        <v>52</v>
      </c>
      <c r="K35" t="s">
        <v>39</v>
      </c>
      <c r="L35" t="s">
        <v>49</v>
      </c>
      <c r="M35">
        <v>2</v>
      </c>
    </row>
    <row r="36" spans="1:13" x14ac:dyDescent="0.25">
      <c r="A36" s="2">
        <v>46162</v>
      </c>
      <c r="B36" s="1" t="str">
        <f ca="1">IF(Información1[[#This Row],[Fecha]]='Ajuste de fechas'!$A$2,"Día actual","Día anterior")</f>
        <v>Día anterior</v>
      </c>
      <c r="C36" t="s">
        <v>37</v>
      </c>
      <c r="D36" t="s">
        <v>38</v>
      </c>
      <c r="E36" t="s">
        <v>180</v>
      </c>
      <c r="F36" t="s">
        <v>19</v>
      </c>
      <c r="G36" t="s">
        <v>181</v>
      </c>
      <c r="H36" t="s">
        <v>11</v>
      </c>
      <c r="I36" t="s">
        <v>7</v>
      </c>
      <c r="J36" t="s">
        <v>52</v>
      </c>
      <c r="K36" t="s">
        <v>39</v>
      </c>
      <c r="L36" t="s">
        <v>49</v>
      </c>
      <c r="M36">
        <v>2</v>
      </c>
    </row>
    <row r="37" spans="1:13" x14ac:dyDescent="0.25">
      <c r="A37" s="2">
        <v>46162</v>
      </c>
      <c r="B37" s="1" t="str">
        <f ca="1">IF(Información1[[#This Row],[Fecha]]='Ajuste de fechas'!$A$2,"Día actual","Día anterior")</f>
        <v>Día anterior</v>
      </c>
      <c r="C37" t="s">
        <v>37</v>
      </c>
      <c r="D37" t="s">
        <v>38</v>
      </c>
      <c r="E37" t="s">
        <v>182</v>
      </c>
      <c r="F37" t="s">
        <v>183</v>
      </c>
      <c r="G37" t="s">
        <v>95</v>
      </c>
      <c r="H37" t="s">
        <v>11</v>
      </c>
      <c r="I37" t="s">
        <v>7</v>
      </c>
      <c r="J37" t="s">
        <v>48</v>
      </c>
      <c r="K37" t="s">
        <v>39</v>
      </c>
      <c r="L37" t="s">
        <v>49</v>
      </c>
      <c r="M37">
        <v>2</v>
      </c>
    </row>
    <row r="38" spans="1:13" x14ac:dyDescent="0.25">
      <c r="A38" s="2">
        <v>46162</v>
      </c>
      <c r="B38" s="1" t="str">
        <f ca="1">IF(Información1[[#This Row],[Fecha]]='Ajuste de fechas'!$A$2,"Día actual","Día anterior")</f>
        <v>Día anterior</v>
      </c>
      <c r="C38" t="s">
        <v>37</v>
      </c>
      <c r="D38" t="s">
        <v>38</v>
      </c>
      <c r="E38" t="s">
        <v>184</v>
      </c>
      <c r="F38" t="s">
        <v>19</v>
      </c>
      <c r="G38" t="s">
        <v>185</v>
      </c>
      <c r="H38" t="s">
        <v>11</v>
      </c>
      <c r="I38" t="s">
        <v>7</v>
      </c>
      <c r="J38" t="s">
        <v>52</v>
      </c>
      <c r="K38" t="s">
        <v>39</v>
      </c>
      <c r="L38" t="s">
        <v>49</v>
      </c>
      <c r="M38">
        <v>2</v>
      </c>
    </row>
    <row r="39" spans="1:13" x14ac:dyDescent="0.25">
      <c r="A39" s="2">
        <v>46162</v>
      </c>
      <c r="B39" s="1" t="str">
        <f ca="1">IF(Información1[[#This Row],[Fecha]]='Ajuste de fechas'!$A$2,"Día actual","Día anterior")</f>
        <v>Día anterior</v>
      </c>
      <c r="C39" t="s">
        <v>37</v>
      </c>
      <c r="D39" t="s">
        <v>38</v>
      </c>
      <c r="E39" t="s">
        <v>110</v>
      </c>
      <c r="F39" t="s">
        <v>21</v>
      </c>
      <c r="G39" t="s">
        <v>111</v>
      </c>
      <c r="H39" t="s">
        <v>11</v>
      </c>
      <c r="I39" t="s">
        <v>7</v>
      </c>
      <c r="J39" t="s">
        <v>48</v>
      </c>
      <c r="K39" t="s">
        <v>39</v>
      </c>
      <c r="L39" t="s">
        <v>51</v>
      </c>
      <c r="M39">
        <v>1</v>
      </c>
    </row>
    <row r="40" spans="1:13" x14ac:dyDescent="0.25">
      <c r="A40" s="2">
        <v>46162</v>
      </c>
      <c r="B40" s="1" t="str">
        <f ca="1">IF(Información1[[#This Row],[Fecha]]='Ajuste de fechas'!$A$2,"Día actual","Día anterior")</f>
        <v>Día anterior</v>
      </c>
      <c r="C40" t="s">
        <v>34</v>
      </c>
      <c r="D40" t="s">
        <v>35</v>
      </c>
      <c r="E40" t="s">
        <v>112</v>
      </c>
      <c r="F40" t="s">
        <v>21</v>
      </c>
      <c r="G40" t="s">
        <v>111</v>
      </c>
      <c r="H40" t="s">
        <v>32</v>
      </c>
      <c r="I40" t="s">
        <v>7</v>
      </c>
      <c r="J40" t="s">
        <v>48</v>
      </c>
      <c r="K40" t="s">
        <v>27</v>
      </c>
      <c r="L40" t="s">
        <v>51</v>
      </c>
      <c r="M40">
        <v>1</v>
      </c>
    </row>
    <row r="41" spans="1:13" x14ac:dyDescent="0.25">
      <c r="A41" s="2">
        <v>46162</v>
      </c>
      <c r="B41" s="1" t="str">
        <f ca="1">IF(Información1[[#This Row],[Fecha]]='Ajuste de fechas'!$A$2,"Día actual","Día anterior")</f>
        <v>Día anterior</v>
      </c>
      <c r="C41" t="s">
        <v>70</v>
      </c>
      <c r="D41" t="s">
        <v>71</v>
      </c>
      <c r="E41" t="s">
        <v>186</v>
      </c>
      <c r="F41" t="s">
        <v>187</v>
      </c>
      <c r="G41" t="s">
        <v>188</v>
      </c>
      <c r="H41" t="s">
        <v>11</v>
      </c>
      <c r="I41" t="s">
        <v>7</v>
      </c>
      <c r="J41" t="s">
        <v>24</v>
      </c>
      <c r="K41" t="s">
        <v>72</v>
      </c>
      <c r="L41" t="s">
        <v>49</v>
      </c>
      <c r="M41">
        <v>1</v>
      </c>
    </row>
    <row r="42" spans="1:13" x14ac:dyDescent="0.25">
      <c r="A42" s="2">
        <v>46162</v>
      </c>
      <c r="B42" s="1" t="str">
        <f ca="1">IF(Información1[[#This Row],[Fecha]]='Ajuste de fechas'!$A$2,"Día actual","Día anterior")</f>
        <v>Día anterior</v>
      </c>
      <c r="C42" t="s">
        <v>73</v>
      </c>
      <c r="D42" t="s">
        <v>74</v>
      </c>
      <c r="E42" t="s">
        <v>189</v>
      </c>
      <c r="F42" t="s">
        <v>19</v>
      </c>
      <c r="G42" t="s">
        <v>190</v>
      </c>
      <c r="H42" t="s">
        <v>11</v>
      </c>
      <c r="I42" t="s">
        <v>7</v>
      </c>
      <c r="J42" t="s">
        <v>52</v>
      </c>
      <c r="K42" t="s">
        <v>75</v>
      </c>
      <c r="L42" t="s">
        <v>49</v>
      </c>
      <c r="M42">
        <v>1</v>
      </c>
    </row>
    <row r="43" spans="1:13" x14ac:dyDescent="0.25">
      <c r="A43" s="2">
        <v>46162</v>
      </c>
      <c r="B43" s="1" t="str">
        <f ca="1">IF(Información1[[#This Row],[Fecha]]='Ajuste de fechas'!$A$2,"Día actual","Día anterior")</f>
        <v>Día anterior</v>
      </c>
      <c r="C43" t="s">
        <v>73</v>
      </c>
      <c r="D43" t="s">
        <v>74</v>
      </c>
      <c r="E43" t="s">
        <v>191</v>
      </c>
      <c r="F43" t="s">
        <v>19</v>
      </c>
      <c r="G43" t="s">
        <v>82</v>
      </c>
      <c r="H43" t="s">
        <v>11</v>
      </c>
      <c r="I43" t="s">
        <v>7</v>
      </c>
      <c r="J43" t="s">
        <v>52</v>
      </c>
      <c r="K43" t="s">
        <v>75</v>
      </c>
      <c r="L43" t="s">
        <v>49</v>
      </c>
      <c r="M43">
        <v>1</v>
      </c>
    </row>
    <row r="44" spans="1:13" x14ac:dyDescent="0.25">
      <c r="A44" s="2">
        <v>46162</v>
      </c>
      <c r="B44" s="1" t="str">
        <f ca="1">IF(Información1[[#This Row],[Fecha]]='Ajuste de fechas'!$A$2,"Día actual","Día anterior")</f>
        <v>Día anterior</v>
      </c>
      <c r="C44" t="s">
        <v>73</v>
      </c>
      <c r="D44" t="s">
        <v>74</v>
      </c>
      <c r="E44" t="s">
        <v>113</v>
      </c>
      <c r="F44" t="s">
        <v>80</v>
      </c>
      <c r="G44" t="s">
        <v>114</v>
      </c>
      <c r="H44" t="s">
        <v>11</v>
      </c>
      <c r="I44" t="s">
        <v>7</v>
      </c>
      <c r="J44" t="s">
        <v>48</v>
      </c>
      <c r="K44" t="s">
        <v>75</v>
      </c>
      <c r="L44" t="s">
        <v>51</v>
      </c>
      <c r="M44">
        <v>1</v>
      </c>
    </row>
    <row r="45" spans="1:13" x14ac:dyDescent="0.25">
      <c r="A45" s="2">
        <v>46162</v>
      </c>
      <c r="B45" s="1" t="str">
        <f ca="1">IF(Información1[[#This Row],[Fecha]]='Ajuste de fechas'!$A$2,"Día actual","Día anterior")</f>
        <v>Día anterior</v>
      </c>
      <c r="C45" t="s">
        <v>73</v>
      </c>
      <c r="D45" t="s">
        <v>74</v>
      </c>
      <c r="E45" t="s">
        <v>115</v>
      </c>
      <c r="F45" t="s">
        <v>108</v>
      </c>
      <c r="G45" t="s">
        <v>109</v>
      </c>
      <c r="H45" t="s">
        <v>11</v>
      </c>
      <c r="I45" t="s">
        <v>7</v>
      </c>
      <c r="J45" t="s">
        <v>48</v>
      </c>
      <c r="K45" t="s">
        <v>75</v>
      </c>
      <c r="L45" t="s">
        <v>51</v>
      </c>
      <c r="M45">
        <v>1</v>
      </c>
    </row>
    <row r="46" spans="1:13" x14ac:dyDescent="0.25">
      <c r="A46" s="2">
        <v>46162</v>
      </c>
      <c r="B46" s="1" t="str">
        <f ca="1">IF(Información1[[#This Row],[Fecha]]='Ajuste de fechas'!$A$2,"Día actual","Día anterior")</f>
        <v>Día anterior</v>
      </c>
      <c r="C46" t="s">
        <v>73</v>
      </c>
      <c r="D46" t="s">
        <v>74</v>
      </c>
      <c r="E46" t="s">
        <v>116</v>
      </c>
      <c r="F46" t="s">
        <v>36</v>
      </c>
      <c r="G46" t="s">
        <v>117</v>
      </c>
      <c r="H46" t="s">
        <v>11</v>
      </c>
      <c r="I46" t="s">
        <v>7</v>
      </c>
      <c r="J46" t="s">
        <v>48</v>
      </c>
      <c r="K46" t="s">
        <v>75</v>
      </c>
      <c r="L46" t="s">
        <v>51</v>
      </c>
      <c r="M46">
        <v>1</v>
      </c>
    </row>
    <row r="47" spans="1:13" x14ac:dyDescent="0.25">
      <c r="A47" s="2">
        <v>46162</v>
      </c>
      <c r="B47" s="1" t="str">
        <f ca="1">IF(Información1[[#This Row],[Fecha]]='Ajuste de fechas'!$A$2,"Día actual","Día anterior")</f>
        <v>Día anterior</v>
      </c>
      <c r="C47" t="s">
        <v>73</v>
      </c>
      <c r="D47" t="s">
        <v>74</v>
      </c>
      <c r="E47" t="s">
        <v>118</v>
      </c>
      <c r="F47" t="s">
        <v>62</v>
      </c>
      <c r="G47" t="s">
        <v>104</v>
      </c>
      <c r="H47" t="s">
        <v>11</v>
      </c>
      <c r="I47" t="s">
        <v>7</v>
      </c>
      <c r="J47" t="s">
        <v>48</v>
      </c>
      <c r="K47" t="s">
        <v>75</v>
      </c>
      <c r="L47" t="s">
        <v>51</v>
      </c>
      <c r="M47">
        <v>1</v>
      </c>
    </row>
    <row r="48" spans="1:13" x14ac:dyDescent="0.25">
      <c r="A48" s="2">
        <v>46162</v>
      </c>
      <c r="B48" s="1" t="str">
        <f ca="1">IF(Información1[[#This Row],[Fecha]]='Ajuste de fechas'!$A$2,"Día actual","Día anterior")</f>
        <v>Día anterior</v>
      </c>
      <c r="C48" t="s">
        <v>73</v>
      </c>
      <c r="D48" t="s">
        <v>74</v>
      </c>
      <c r="E48" t="s">
        <v>119</v>
      </c>
      <c r="F48" t="s">
        <v>23</v>
      </c>
      <c r="G48" t="s">
        <v>86</v>
      </c>
      <c r="H48" t="s">
        <v>11</v>
      </c>
      <c r="I48" t="s">
        <v>7</v>
      </c>
      <c r="J48" t="s">
        <v>48</v>
      </c>
      <c r="K48" t="s">
        <v>75</v>
      </c>
      <c r="L48" t="s">
        <v>51</v>
      </c>
      <c r="M48">
        <v>1</v>
      </c>
    </row>
    <row r="49" spans="1:13" x14ac:dyDescent="0.25">
      <c r="A49" s="2">
        <v>46162</v>
      </c>
      <c r="B49" s="1" t="str">
        <f ca="1">IF(Información1[[#This Row],[Fecha]]='Ajuste de fechas'!$A$2,"Día actual","Día anterior")</f>
        <v>Día anterior</v>
      </c>
      <c r="C49" t="s">
        <v>73</v>
      </c>
      <c r="D49" t="s">
        <v>74</v>
      </c>
      <c r="E49" t="s">
        <v>120</v>
      </c>
      <c r="F49" t="s">
        <v>21</v>
      </c>
      <c r="G49" t="s">
        <v>121</v>
      </c>
      <c r="H49" t="s">
        <v>11</v>
      </c>
      <c r="I49" t="s">
        <v>7</v>
      </c>
      <c r="J49" t="s">
        <v>48</v>
      </c>
      <c r="K49" t="s">
        <v>75</v>
      </c>
      <c r="L49" t="s">
        <v>51</v>
      </c>
      <c r="M49">
        <v>1</v>
      </c>
    </row>
    <row r="50" spans="1:13" x14ac:dyDescent="0.25">
      <c r="A50" s="2">
        <v>46162</v>
      </c>
      <c r="B50" s="1" t="str">
        <f ca="1">IF(Información1[[#This Row],[Fecha]]='Ajuste de fechas'!$A$2,"Día actual","Día anterior")</f>
        <v>Día anterior</v>
      </c>
      <c r="C50" t="s">
        <v>73</v>
      </c>
      <c r="D50" t="s">
        <v>74</v>
      </c>
      <c r="E50" t="s">
        <v>122</v>
      </c>
      <c r="F50" t="s">
        <v>80</v>
      </c>
      <c r="G50" t="s">
        <v>123</v>
      </c>
      <c r="H50" t="s">
        <v>11</v>
      </c>
      <c r="I50" t="s">
        <v>7</v>
      </c>
      <c r="J50" t="s">
        <v>48</v>
      </c>
      <c r="K50" t="s">
        <v>75</v>
      </c>
      <c r="L50" t="s">
        <v>49</v>
      </c>
      <c r="M50">
        <v>1</v>
      </c>
    </row>
    <row r="51" spans="1:13" x14ac:dyDescent="0.25">
      <c r="A51" s="2">
        <v>46162</v>
      </c>
      <c r="B51" s="1" t="str">
        <f ca="1">IF(Información1[[#This Row],[Fecha]]='Ajuste de fechas'!$A$2,"Día actual","Día anterior")</f>
        <v>Día anterior</v>
      </c>
      <c r="C51" t="s">
        <v>73</v>
      </c>
      <c r="D51" t="s">
        <v>74</v>
      </c>
      <c r="E51" t="s">
        <v>124</v>
      </c>
      <c r="F51" t="s">
        <v>26</v>
      </c>
      <c r="G51" t="s">
        <v>84</v>
      </c>
      <c r="H51" t="s">
        <v>11</v>
      </c>
      <c r="I51" t="s">
        <v>7</v>
      </c>
      <c r="J51" t="s">
        <v>48</v>
      </c>
      <c r="K51" t="s">
        <v>75</v>
      </c>
      <c r="L51" t="s">
        <v>51</v>
      </c>
      <c r="M51">
        <v>1</v>
      </c>
    </row>
    <row r="52" spans="1:13" x14ac:dyDescent="0.25">
      <c r="A52" s="2">
        <v>46162</v>
      </c>
      <c r="B52" s="1" t="str">
        <f ca="1">IF(Información1[[#This Row],[Fecha]]='Ajuste de fechas'!$A$2,"Día actual","Día anterior")</f>
        <v>Día anterior</v>
      </c>
      <c r="C52" t="s">
        <v>73</v>
      </c>
      <c r="D52" t="s">
        <v>74</v>
      </c>
      <c r="E52" t="s">
        <v>125</v>
      </c>
      <c r="F52" t="s">
        <v>26</v>
      </c>
      <c r="G52" t="s">
        <v>84</v>
      </c>
      <c r="H52" t="s">
        <v>11</v>
      </c>
      <c r="I52" t="s">
        <v>7</v>
      </c>
      <c r="J52" t="s">
        <v>48</v>
      </c>
      <c r="K52" t="s">
        <v>75</v>
      </c>
      <c r="L52" t="s">
        <v>51</v>
      </c>
      <c r="M52">
        <v>1</v>
      </c>
    </row>
    <row r="53" spans="1:13" x14ac:dyDescent="0.25">
      <c r="A53" s="2">
        <v>46162</v>
      </c>
      <c r="B53" s="1" t="str">
        <f ca="1">IF(Información1[[#This Row],[Fecha]]='Ajuste de fechas'!$A$2,"Día actual","Día anterior")</f>
        <v>Día anterior</v>
      </c>
      <c r="C53" t="s">
        <v>73</v>
      </c>
      <c r="D53" t="s">
        <v>74</v>
      </c>
      <c r="E53" t="s">
        <v>192</v>
      </c>
      <c r="F53" t="s">
        <v>173</v>
      </c>
      <c r="G53" t="s">
        <v>193</v>
      </c>
      <c r="H53" t="s">
        <v>11</v>
      </c>
      <c r="I53" t="s">
        <v>7</v>
      </c>
      <c r="J53" t="s">
        <v>24</v>
      </c>
      <c r="K53" t="s">
        <v>75</v>
      </c>
      <c r="L53" t="s">
        <v>49</v>
      </c>
      <c r="M53">
        <v>1</v>
      </c>
    </row>
    <row r="54" spans="1:13" x14ac:dyDescent="0.25">
      <c r="A54" s="2">
        <v>46162</v>
      </c>
      <c r="B54" s="1" t="str">
        <f ca="1">IF(Información1[[#This Row],[Fecha]]='Ajuste de fechas'!$A$2,"Día actual","Día anterior")</f>
        <v>Día anterior</v>
      </c>
      <c r="C54" t="s">
        <v>70</v>
      </c>
      <c r="D54" t="s">
        <v>76</v>
      </c>
      <c r="E54" t="s">
        <v>194</v>
      </c>
      <c r="F54" t="s">
        <v>19</v>
      </c>
      <c r="G54" t="s">
        <v>195</v>
      </c>
      <c r="H54" t="s">
        <v>11</v>
      </c>
      <c r="I54" t="s">
        <v>7</v>
      </c>
      <c r="J54" t="s">
        <v>52</v>
      </c>
      <c r="K54" t="s">
        <v>72</v>
      </c>
      <c r="L54" t="s">
        <v>49</v>
      </c>
      <c r="M54">
        <v>1</v>
      </c>
    </row>
    <row r="55" spans="1:13" x14ac:dyDescent="0.25">
      <c r="A55" s="2">
        <v>46162</v>
      </c>
      <c r="B55" s="1" t="str">
        <f ca="1">IF(Información1[[#This Row],[Fecha]]='Ajuste de fechas'!$A$2,"Día actual","Día anterior")</f>
        <v>Día anterior</v>
      </c>
      <c r="C55" t="s">
        <v>70</v>
      </c>
      <c r="D55" t="s">
        <v>76</v>
      </c>
      <c r="E55" t="s">
        <v>196</v>
      </c>
      <c r="F55" t="s">
        <v>19</v>
      </c>
      <c r="G55" t="s">
        <v>197</v>
      </c>
      <c r="H55" t="s">
        <v>11</v>
      </c>
      <c r="I55" t="s">
        <v>25</v>
      </c>
      <c r="J55" t="s">
        <v>52</v>
      </c>
      <c r="K55" t="s">
        <v>198</v>
      </c>
      <c r="L55" t="s">
        <v>50</v>
      </c>
      <c r="M55">
        <v>1</v>
      </c>
    </row>
    <row r="56" spans="1:13" x14ac:dyDescent="0.25">
      <c r="A56" s="2">
        <v>46162</v>
      </c>
      <c r="B56" s="1" t="str">
        <f ca="1">IF(Información1[[#This Row],[Fecha]]='Ajuste de fechas'!$A$2,"Día actual","Día anterior")</f>
        <v>Día anterior</v>
      </c>
      <c r="C56" t="s">
        <v>70</v>
      </c>
      <c r="D56" t="s">
        <v>76</v>
      </c>
      <c r="E56" t="s">
        <v>199</v>
      </c>
      <c r="F56" t="s">
        <v>19</v>
      </c>
      <c r="G56" t="s">
        <v>200</v>
      </c>
      <c r="H56" t="s">
        <v>11</v>
      </c>
      <c r="I56" t="s">
        <v>25</v>
      </c>
      <c r="J56" t="s">
        <v>52</v>
      </c>
      <c r="K56" t="s">
        <v>198</v>
      </c>
      <c r="L56" t="s">
        <v>50</v>
      </c>
      <c r="M56">
        <v>1</v>
      </c>
    </row>
    <row r="57" spans="1:13" x14ac:dyDescent="0.25">
      <c r="A57" s="2">
        <v>46162</v>
      </c>
      <c r="B57" s="1" t="str">
        <f ca="1">IF(Información1[[#This Row],[Fecha]]='Ajuste de fechas'!$A$2,"Día actual","Día anterior")</f>
        <v>Día anterior</v>
      </c>
      <c r="C57" t="s">
        <v>70</v>
      </c>
      <c r="D57" t="s">
        <v>76</v>
      </c>
      <c r="E57" t="s">
        <v>201</v>
      </c>
      <c r="F57" t="s">
        <v>19</v>
      </c>
      <c r="G57" t="s">
        <v>202</v>
      </c>
      <c r="H57" t="s">
        <v>11</v>
      </c>
      <c r="I57" t="s">
        <v>25</v>
      </c>
      <c r="J57" t="s">
        <v>52</v>
      </c>
      <c r="K57" t="s">
        <v>198</v>
      </c>
      <c r="L57" t="s">
        <v>50</v>
      </c>
      <c r="M57">
        <v>1</v>
      </c>
    </row>
    <row r="58" spans="1:13" x14ac:dyDescent="0.25">
      <c r="A58" s="2">
        <v>46162</v>
      </c>
      <c r="B58" s="1" t="str">
        <f ca="1">IF(Información1[[#This Row],[Fecha]]='Ajuste de fechas'!$A$2,"Día actual","Día anterior")</f>
        <v>Día anterior</v>
      </c>
      <c r="C58" t="s">
        <v>70</v>
      </c>
      <c r="D58" t="s">
        <v>76</v>
      </c>
      <c r="E58" t="s">
        <v>201</v>
      </c>
      <c r="F58" t="s">
        <v>63</v>
      </c>
      <c r="G58" t="s">
        <v>202</v>
      </c>
      <c r="H58" t="s">
        <v>11</v>
      </c>
      <c r="I58" t="s">
        <v>25</v>
      </c>
      <c r="J58" t="s">
        <v>48</v>
      </c>
      <c r="K58" t="s">
        <v>198</v>
      </c>
      <c r="L58" t="s">
        <v>50</v>
      </c>
      <c r="M58">
        <v>1</v>
      </c>
    </row>
    <row r="59" spans="1:13" x14ac:dyDescent="0.25">
      <c r="A59" s="2">
        <v>46162</v>
      </c>
      <c r="B59" s="1" t="str">
        <f ca="1">IF(Información1[[#This Row],[Fecha]]='Ajuste de fechas'!$A$2,"Día actual","Día anterior")</f>
        <v>Día anterior</v>
      </c>
      <c r="C59" t="s">
        <v>70</v>
      </c>
      <c r="D59" t="s">
        <v>76</v>
      </c>
      <c r="E59" t="s">
        <v>203</v>
      </c>
      <c r="F59" t="s">
        <v>22</v>
      </c>
      <c r="G59" t="s">
        <v>204</v>
      </c>
      <c r="H59" t="s">
        <v>11</v>
      </c>
      <c r="I59" t="s">
        <v>7</v>
      </c>
      <c r="J59" t="s">
        <v>53</v>
      </c>
      <c r="K59" t="s">
        <v>198</v>
      </c>
      <c r="L59" t="s">
        <v>50</v>
      </c>
      <c r="M59">
        <v>1</v>
      </c>
    </row>
    <row r="60" spans="1:13" x14ac:dyDescent="0.25">
      <c r="A60" s="2">
        <v>46162</v>
      </c>
      <c r="B60" s="1" t="str">
        <f ca="1">IF(Información1[[#This Row],[Fecha]]='Ajuste de fechas'!$A$2,"Día actual","Día anterior")</f>
        <v>Día anterior</v>
      </c>
      <c r="C60" t="s">
        <v>70</v>
      </c>
      <c r="D60" t="s">
        <v>76</v>
      </c>
      <c r="E60" t="s">
        <v>205</v>
      </c>
      <c r="F60" t="s">
        <v>22</v>
      </c>
      <c r="G60" t="s">
        <v>204</v>
      </c>
      <c r="H60" t="s">
        <v>11</v>
      </c>
      <c r="I60" t="s">
        <v>7</v>
      </c>
      <c r="J60" t="s">
        <v>53</v>
      </c>
      <c r="K60" t="s">
        <v>72</v>
      </c>
      <c r="L60" t="s">
        <v>49</v>
      </c>
      <c r="M60">
        <v>1</v>
      </c>
    </row>
    <row r="61" spans="1:13" x14ac:dyDescent="0.25">
      <c r="A61" s="2">
        <v>46162</v>
      </c>
      <c r="B61" s="1" t="str">
        <f ca="1">IF(Información1[[#This Row],[Fecha]]='Ajuste de fechas'!$A$2,"Día actual","Día anterior")</f>
        <v>Día anterior</v>
      </c>
      <c r="C61" t="s">
        <v>70</v>
      </c>
      <c r="D61" t="s">
        <v>76</v>
      </c>
      <c r="E61" t="s">
        <v>206</v>
      </c>
      <c r="F61" t="s">
        <v>22</v>
      </c>
      <c r="G61" t="s">
        <v>207</v>
      </c>
      <c r="H61" t="s">
        <v>11</v>
      </c>
      <c r="I61" t="s">
        <v>7</v>
      </c>
      <c r="J61" t="s">
        <v>53</v>
      </c>
      <c r="K61" t="s">
        <v>72</v>
      </c>
      <c r="L61" t="s">
        <v>49</v>
      </c>
      <c r="M61">
        <v>1</v>
      </c>
    </row>
    <row r="62" spans="1:13" x14ac:dyDescent="0.25">
      <c r="A62" s="2">
        <v>46162</v>
      </c>
      <c r="B62" s="1" t="str">
        <f ca="1">IF(Información1[[#This Row],[Fecha]]='Ajuste de fechas'!$A$2,"Día actual","Día anterior")</f>
        <v>Día anterior</v>
      </c>
      <c r="C62" t="s">
        <v>70</v>
      </c>
      <c r="D62" t="s">
        <v>76</v>
      </c>
      <c r="E62" t="s">
        <v>208</v>
      </c>
      <c r="F62" t="s">
        <v>19</v>
      </c>
      <c r="G62" t="s">
        <v>209</v>
      </c>
      <c r="H62" t="s">
        <v>11</v>
      </c>
      <c r="I62" t="s">
        <v>25</v>
      </c>
      <c r="J62" t="s">
        <v>52</v>
      </c>
      <c r="K62" t="s">
        <v>198</v>
      </c>
      <c r="L62" t="s">
        <v>50</v>
      </c>
      <c r="M62">
        <v>1</v>
      </c>
    </row>
    <row r="63" spans="1:13" x14ac:dyDescent="0.25">
      <c r="A63" s="2">
        <v>46162</v>
      </c>
      <c r="B63" s="1" t="str">
        <f ca="1">IF(Información1[[#This Row],[Fecha]]='Ajuste de fechas'!$A$2,"Día actual","Día anterior")</f>
        <v>Día anterior</v>
      </c>
      <c r="C63" t="s">
        <v>70</v>
      </c>
      <c r="D63" t="s">
        <v>76</v>
      </c>
      <c r="E63" t="s">
        <v>210</v>
      </c>
      <c r="F63" t="s">
        <v>19</v>
      </c>
      <c r="G63" t="s">
        <v>211</v>
      </c>
      <c r="H63" t="s">
        <v>11</v>
      </c>
      <c r="I63" t="s">
        <v>7</v>
      </c>
      <c r="J63" t="s">
        <v>52</v>
      </c>
      <c r="K63" t="s">
        <v>72</v>
      </c>
      <c r="L63" t="s">
        <v>49</v>
      </c>
      <c r="M63">
        <v>1</v>
      </c>
    </row>
    <row r="64" spans="1:13" x14ac:dyDescent="0.25">
      <c r="A64" s="2">
        <v>46162</v>
      </c>
      <c r="B64" s="1" t="str">
        <f ca="1">IF(Información1[[#This Row],[Fecha]]='Ajuste de fechas'!$A$2,"Día actual","Día anterior")</f>
        <v>Día anterior</v>
      </c>
      <c r="C64" t="s">
        <v>70</v>
      </c>
      <c r="D64" t="s">
        <v>76</v>
      </c>
      <c r="E64" t="s">
        <v>126</v>
      </c>
      <c r="F64" t="s">
        <v>62</v>
      </c>
      <c r="G64" t="s">
        <v>104</v>
      </c>
      <c r="H64" t="s">
        <v>11</v>
      </c>
      <c r="I64" t="s">
        <v>7</v>
      </c>
      <c r="J64" t="s">
        <v>48</v>
      </c>
      <c r="K64" t="s">
        <v>69</v>
      </c>
      <c r="L64" t="s">
        <v>51</v>
      </c>
      <c r="M64">
        <v>1</v>
      </c>
    </row>
    <row r="65" spans="1:13" x14ac:dyDescent="0.25">
      <c r="A65" s="2">
        <v>46162</v>
      </c>
      <c r="B65" s="1" t="str">
        <f ca="1">IF(Información1[[#This Row],[Fecha]]='Ajuste de fechas'!$A$2,"Día actual","Día anterior")</f>
        <v>Día anterior</v>
      </c>
      <c r="C65" t="s">
        <v>70</v>
      </c>
      <c r="D65" t="s">
        <v>76</v>
      </c>
      <c r="E65" t="s">
        <v>127</v>
      </c>
      <c r="F65" t="s">
        <v>108</v>
      </c>
      <c r="G65" t="s">
        <v>109</v>
      </c>
      <c r="H65" t="s">
        <v>11</v>
      </c>
      <c r="I65" t="s">
        <v>7</v>
      </c>
      <c r="J65" t="s">
        <v>48</v>
      </c>
      <c r="K65" t="s">
        <v>69</v>
      </c>
      <c r="L65" t="s">
        <v>51</v>
      </c>
      <c r="M65">
        <v>1</v>
      </c>
    </row>
    <row r="66" spans="1:13" x14ac:dyDescent="0.25">
      <c r="A66" s="2">
        <v>46162</v>
      </c>
      <c r="B66" s="1" t="str">
        <f ca="1">IF(Información1[[#This Row],[Fecha]]='Ajuste de fechas'!$A$2,"Día actual","Día anterior")</f>
        <v>Día anterior</v>
      </c>
      <c r="C66" t="s">
        <v>70</v>
      </c>
      <c r="D66" t="s">
        <v>76</v>
      </c>
      <c r="E66" t="s">
        <v>119</v>
      </c>
      <c r="F66" t="s">
        <v>23</v>
      </c>
      <c r="G66" t="s">
        <v>86</v>
      </c>
      <c r="H66" t="s">
        <v>11</v>
      </c>
      <c r="I66" t="s">
        <v>7</v>
      </c>
      <c r="J66" t="s">
        <v>48</v>
      </c>
      <c r="K66" t="s">
        <v>69</v>
      </c>
      <c r="L66" t="s">
        <v>51</v>
      </c>
      <c r="M66">
        <v>1</v>
      </c>
    </row>
    <row r="67" spans="1:13" x14ac:dyDescent="0.25">
      <c r="A67" s="2">
        <v>46162</v>
      </c>
      <c r="B67" s="1" t="str">
        <f ca="1">IF(Información1[[#This Row],[Fecha]]='Ajuste de fechas'!$A$2,"Día actual","Día anterior")</f>
        <v>Día anterior</v>
      </c>
      <c r="C67" t="s">
        <v>70</v>
      </c>
      <c r="D67" t="s">
        <v>76</v>
      </c>
      <c r="E67" t="s">
        <v>128</v>
      </c>
      <c r="F67" t="s">
        <v>80</v>
      </c>
      <c r="G67" t="s">
        <v>123</v>
      </c>
      <c r="H67" t="s">
        <v>11</v>
      </c>
      <c r="I67" t="s">
        <v>7</v>
      </c>
      <c r="J67" t="s">
        <v>48</v>
      </c>
      <c r="K67" t="s">
        <v>69</v>
      </c>
      <c r="L67" t="s">
        <v>51</v>
      </c>
      <c r="M67">
        <v>1</v>
      </c>
    </row>
    <row r="68" spans="1:13" x14ac:dyDescent="0.25">
      <c r="A68" s="2">
        <v>46162</v>
      </c>
      <c r="B68" s="1" t="str">
        <f ca="1">IF(Información1[[#This Row],[Fecha]]='Ajuste de fechas'!$A$2,"Día actual","Día anterior")</f>
        <v>Día anterior</v>
      </c>
      <c r="C68" t="s">
        <v>70</v>
      </c>
      <c r="D68" t="s">
        <v>76</v>
      </c>
      <c r="E68" t="s">
        <v>92</v>
      </c>
      <c r="F68" t="s">
        <v>23</v>
      </c>
      <c r="G68" t="s">
        <v>93</v>
      </c>
      <c r="H68" t="s">
        <v>11</v>
      </c>
      <c r="I68" t="s">
        <v>7</v>
      </c>
      <c r="J68" t="s">
        <v>48</v>
      </c>
      <c r="K68" t="s">
        <v>69</v>
      </c>
      <c r="L68" t="s">
        <v>51</v>
      </c>
      <c r="M68">
        <v>1</v>
      </c>
    </row>
    <row r="69" spans="1:13" x14ac:dyDescent="0.25">
      <c r="A69" s="2">
        <v>46162</v>
      </c>
      <c r="B69" s="1" t="str">
        <f ca="1">IF(Información1[[#This Row],[Fecha]]='Ajuste de fechas'!$A$2,"Día actual","Día anterior")</f>
        <v>Día anterior</v>
      </c>
      <c r="C69" t="s">
        <v>70</v>
      </c>
      <c r="D69" t="s">
        <v>76</v>
      </c>
      <c r="E69" t="s">
        <v>129</v>
      </c>
      <c r="F69" t="s">
        <v>26</v>
      </c>
      <c r="G69" t="s">
        <v>84</v>
      </c>
      <c r="H69" t="s">
        <v>11</v>
      </c>
      <c r="I69" t="s">
        <v>7</v>
      </c>
      <c r="J69" t="s">
        <v>48</v>
      </c>
      <c r="K69" t="s">
        <v>69</v>
      </c>
      <c r="L69" t="s">
        <v>51</v>
      </c>
      <c r="M69">
        <v>1</v>
      </c>
    </row>
    <row r="70" spans="1:13" x14ac:dyDescent="0.25">
      <c r="A70" s="2">
        <v>46162</v>
      </c>
      <c r="B70" s="1" t="str">
        <f ca="1">IF(Información1[[#This Row],[Fecha]]='Ajuste de fechas'!$A$2,"Día actual","Día anterior")</f>
        <v>Día anterior</v>
      </c>
      <c r="C70" t="s">
        <v>70</v>
      </c>
      <c r="D70" t="s">
        <v>76</v>
      </c>
      <c r="E70" t="s">
        <v>130</v>
      </c>
      <c r="F70" t="s">
        <v>26</v>
      </c>
      <c r="G70" t="s">
        <v>84</v>
      </c>
      <c r="H70" t="s">
        <v>11</v>
      </c>
      <c r="I70" t="s">
        <v>7</v>
      </c>
      <c r="J70" t="s">
        <v>48</v>
      </c>
      <c r="K70" t="s">
        <v>69</v>
      </c>
      <c r="L70" t="s">
        <v>51</v>
      </c>
      <c r="M70">
        <v>1</v>
      </c>
    </row>
    <row r="71" spans="1:13" x14ac:dyDescent="0.25">
      <c r="A71" s="2">
        <v>46162</v>
      </c>
      <c r="B71" s="1" t="str">
        <f ca="1">IF(Información1[[#This Row],[Fecha]]='Ajuste de fechas'!$A$2,"Día actual","Día anterior")</f>
        <v>Día anterior</v>
      </c>
      <c r="C71" t="s">
        <v>8</v>
      </c>
      <c r="D71" t="s">
        <v>10</v>
      </c>
      <c r="E71" t="s">
        <v>212</v>
      </c>
      <c r="F71" t="s">
        <v>6</v>
      </c>
      <c r="G71" t="s">
        <v>61</v>
      </c>
      <c r="H71" t="s">
        <v>11</v>
      </c>
      <c r="I71" t="s">
        <v>12</v>
      </c>
      <c r="J71" t="s">
        <v>48</v>
      </c>
      <c r="K71" t="s">
        <v>9</v>
      </c>
      <c r="L71" t="s">
        <v>50</v>
      </c>
      <c r="M71">
        <v>1</v>
      </c>
    </row>
    <row r="72" spans="1:13" x14ac:dyDescent="0.25">
      <c r="A72" s="2">
        <v>46162</v>
      </c>
      <c r="B72" s="1" t="str">
        <f ca="1">IF(Información1[[#This Row],[Fecha]]='Ajuste de fechas'!$A$2,"Día actual","Día anterior")</f>
        <v>Día anterior</v>
      </c>
      <c r="C72" t="s">
        <v>8</v>
      </c>
      <c r="D72" t="s">
        <v>10</v>
      </c>
      <c r="E72" t="s">
        <v>20</v>
      </c>
      <c r="F72" t="s">
        <v>19</v>
      </c>
      <c r="G72" t="s">
        <v>40</v>
      </c>
      <c r="H72" t="s">
        <v>11</v>
      </c>
      <c r="I72" t="s">
        <v>12</v>
      </c>
      <c r="J72" t="s">
        <v>52</v>
      </c>
      <c r="K72" t="s">
        <v>14</v>
      </c>
      <c r="L72" t="s">
        <v>50</v>
      </c>
      <c r="M72">
        <v>1</v>
      </c>
    </row>
    <row r="73" spans="1:13" x14ac:dyDescent="0.25">
      <c r="A73" s="2">
        <v>46162</v>
      </c>
      <c r="B73" s="1" t="str">
        <f ca="1">IF(Información1[[#This Row],[Fecha]]='Ajuste de fechas'!$A$2,"Día actual","Día anterior")</f>
        <v>Día anterior</v>
      </c>
      <c r="C73" t="s">
        <v>8</v>
      </c>
      <c r="D73" t="s">
        <v>10</v>
      </c>
      <c r="E73" t="s">
        <v>18</v>
      </c>
      <c r="F73" t="s">
        <v>19</v>
      </c>
      <c r="G73" t="s">
        <v>40</v>
      </c>
      <c r="H73" t="s">
        <v>11</v>
      </c>
      <c r="I73" t="s">
        <v>12</v>
      </c>
      <c r="J73" t="s">
        <v>52</v>
      </c>
      <c r="K73" t="s">
        <v>14</v>
      </c>
      <c r="L73" t="s">
        <v>50</v>
      </c>
      <c r="M73">
        <v>1</v>
      </c>
    </row>
    <row r="74" spans="1:13" x14ac:dyDescent="0.25">
      <c r="A74" s="2">
        <v>46162</v>
      </c>
      <c r="B74" s="1" t="str">
        <f ca="1">IF(Información1[[#This Row],[Fecha]]='Ajuste de fechas'!$A$2,"Día actual","Día anterior")</f>
        <v>Día anterior</v>
      </c>
      <c r="C74" t="s">
        <v>8</v>
      </c>
      <c r="D74" t="s">
        <v>10</v>
      </c>
      <c r="E74" t="s">
        <v>213</v>
      </c>
      <c r="F74" t="s">
        <v>173</v>
      </c>
      <c r="G74" t="s">
        <v>40</v>
      </c>
      <c r="H74" t="s">
        <v>11</v>
      </c>
      <c r="I74" t="s">
        <v>12</v>
      </c>
      <c r="J74" t="s">
        <v>24</v>
      </c>
      <c r="K74" t="s">
        <v>14</v>
      </c>
      <c r="L74" t="s">
        <v>50</v>
      </c>
      <c r="M74">
        <v>1</v>
      </c>
    </row>
    <row r="75" spans="1:13" x14ac:dyDescent="0.25">
      <c r="A75" s="2">
        <v>46162</v>
      </c>
      <c r="B75" s="1" t="str">
        <f ca="1">IF(Información1[[#This Row],[Fecha]]='Ajuste de fechas'!$A$2,"Día actual","Día anterior")</f>
        <v>Día anterior</v>
      </c>
      <c r="C75" t="s">
        <v>8</v>
      </c>
      <c r="D75" t="s">
        <v>10</v>
      </c>
      <c r="E75" t="s">
        <v>99</v>
      </c>
      <c r="F75" t="s">
        <v>21</v>
      </c>
      <c r="G75" t="s">
        <v>40</v>
      </c>
      <c r="H75" t="s">
        <v>11</v>
      </c>
      <c r="I75" t="s">
        <v>12</v>
      </c>
      <c r="J75" t="s">
        <v>48</v>
      </c>
      <c r="K75" t="s">
        <v>14</v>
      </c>
      <c r="L75" t="s">
        <v>50</v>
      </c>
      <c r="M75">
        <v>1</v>
      </c>
    </row>
    <row r="76" spans="1:13" x14ac:dyDescent="0.25">
      <c r="A76" s="2">
        <v>46162</v>
      </c>
      <c r="B76" s="1" t="str">
        <f ca="1">IF(Información1[[#This Row],[Fecha]]='Ajuste de fechas'!$A$2,"Día actual","Día anterior")</f>
        <v>Día anterior</v>
      </c>
      <c r="C76" t="s">
        <v>8</v>
      </c>
      <c r="D76" t="s">
        <v>10</v>
      </c>
      <c r="E76" t="s">
        <v>13</v>
      </c>
      <c r="F76" t="s">
        <v>15</v>
      </c>
      <c r="G76" t="s">
        <v>40</v>
      </c>
      <c r="H76" t="s">
        <v>11</v>
      </c>
      <c r="I76" t="s">
        <v>12</v>
      </c>
      <c r="J76" t="s">
        <v>48</v>
      </c>
      <c r="K76" t="s">
        <v>14</v>
      </c>
      <c r="L76" t="s">
        <v>50</v>
      </c>
      <c r="M76">
        <v>1</v>
      </c>
    </row>
    <row r="77" spans="1:13" x14ac:dyDescent="0.25">
      <c r="A77" s="2">
        <v>46162</v>
      </c>
      <c r="B77" s="1" t="str">
        <f ca="1">IF(Información1[[#This Row],[Fecha]]='Ajuste de fechas'!$A$2,"Día actual","Día anterior")</f>
        <v>Día anterior</v>
      </c>
      <c r="C77" t="s">
        <v>8</v>
      </c>
      <c r="D77" t="s">
        <v>10</v>
      </c>
      <c r="E77" t="s">
        <v>16</v>
      </c>
      <c r="F77" t="s">
        <v>17</v>
      </c>
      <c r="G77" t="s">
        <v>40</v>
      </c>
      <c r="H77" t="s">
        <v>11</v>
      </c>
      <c r="I77" t="s">
        <v>12</v>
      </c>
      <c r="J77" t="s">
        <v>48</v>
      </c>
      <c r="K77" t="s">
        <v>14</v>
      </c>
      <c r="L77" t="s">
        <v>50</v>
      </c>
      <c r="M77">
        <v>1</v>
      </c>
    </row>
    <row r="78" spans="1:13" x14ac:dyDescent="0.25">
      <c r="A78" s="2">
        <v>46162</v>
      </c>
      <c r="B78" s="1" t="str">
        <f ca="1">IF(Información1[[#This Row],[Fecha]]='Ajuste de fechas'!$A$2,"Día actual","Día anterior")</f>
        <v>Día anterior</v>
      </c>
      <c r="C78" t="s">
        <v>8</v>
      </c>
      <c r="D78" t="s">
        <v>10</v>
      </c>
      <c r="E78" t="s">
        <v>100</v>
      </c>
      <c r="F78" t="s">
        <v>6</v>
      </c>
      <c r="G78" t="s">
        <v>40</v>
      </c>
      <c r="H78" t="s">
        <v>11</v>
      </c>
      <c r="I78" t="s">
        <v>12</v>
      </c>
      <c r="J78" t="s">
        <v>48</v>
      </c>
      <c r="K78" t="s">
        <v>14</v>
      </c>
      <c r="L78" t="s">
        <v>50</v>
      </c>
      <c r="M78">
        <v>1</v>
      </c>
    </row>
    <row r="79" spans="1:13" x14ac:dyDescent="0.25">
      <c r="A79" s="2">
        <v>46162</v>
      </c>
      <c r="B79" s="1" t="str">
        <f ca="1">IF(Información1[[#This Row],[Fecha]]='Ajuste de fechas'!$A$2,"Día actual","Día anterior")</f>
        <v>Día anterior</v>
      </c>
      <c r="C79" t="s">
        <v>8</v>
      </c>
      <c r="D79" t="s">
        <v>10</v>
      </c>
      <c r="E79" t="s">
        <v>214</v>
      </c>
      <c r="F79" t="s">
        <v>19</v>
      </c>
      <c r="G79" t="s">
        <v>33</v>
      </c>
      <c r="H79" t="s">
        <v>11</v>
      </c>
      <c r="I79" t="s">
        <v>7</v>
      </c>
      <c r="J79" t="s">
        <v>52</v>
      </c>
      <c r="K79" t="s">
        <v>14</v>
      </c>
      <c r="L79" t="s">
        <v>49</v>
      </c>
      <c r="M79">
        <v>1</v>
      </c>
    </row>
    <row r="80" spans="1:13" x14ac:dyDescent="0.25">
      <c r="A80" s="2">
        <v>46162</v>
      </c>
      <c r="B80" s="1" t="str">
        <f ca="1">IF(Información1[[#This Row],[Fecha]]='Ajuste de fechas'!$A$2,"Día actual","Día anterior")</f>
        <v>Día anterior</v>
      </c>
      <c r="C80" t="s">
        <v>28</v>
      </c>
      <c r="D80" t="s">
        <v>31</v>
      </c>
      <c r="E80" t="s">
        <v>131</v>
      </c>
      <c r="F80" t="s">
        <v>36</v>
      </c>
      <c r="G80" t="s">
        <v>117</v>
      </c>
      <c r="H80" t="s">
        <v>11</v>
      </c>
      <c r="I80" t="s">
        <v>7</v>
      </c>
      <c r="J80" t="s">
        <v>48</v>
      </c>
      <c r="K80" t="s">
        <v>29</v>
      </c>
      <c r="L80" t="s">
        <v>49</v>
      </c>
      <c r="M80">
        <v>1</v>
      </c>
    </row>
    <row r="81" spans="1:13" x14ac:dyDescent="0.25">
      <c r="A81" s="2">
        <v>46162</v>
      </c>
      <c r="B81" s="1" t="str">
        <f ca="1">IF(Información1[[#This Row],[Fecha]]='Ajuste de fechas'!$A$2,"Día actual","Día anterior")</f>
        <v>Día anterior</v>
      </c>
      <c r="C81" t="s">
        <v>28</v>
      </c>
      <c r="D81" t="s">
        <v>31</v>
      </c>
      <c r="E81" t="s">
        <v>215</v>
      </c>
      <c r="F81" t="s">
        <v>24</v>
      </c>
      <c r="G81" t="s">
        <v>95</v>
      </c>
      <c r="H81" t="s">
        <v>11</v>
      </c>
      <c r="I81" t="s">
        <v>7</v>
      </c>
      <c r="J81" t="s">
        <v>24</v>
      </c>
      <c r="K81" t="s">
        <v>29</v>
      </c>
      <c r="L81" t="s">
        <v>49</v>
      </c>
      <c r="M81">
        <v>1</v>
      </c>
    </row>
    <row r="82" spans="1:13" x14ac:dyDescent="0.25">
      <c r="A82" s="2">
        <v>46162</v>
      </c>
      <c r="B82" s="1" t="str">
        <f ca="1">IF(Información1[[#This Row],[Fecha]]='Ajuste de fechas'!$A$2,"Día actual","Día anterior")</f>
        <v>Día anterior</v>
      </c>
      <c r="C82" t="s">
        <v>28</v>
      </c>
      <c r="D82" t="s">
        <v>31</v>
      </c>
      <c r="E82" t="s">
        <v>132</v>
      </c>
      <c r="F82" t="s">
        <v>23</v>
      </c>
      <c r="G82" t="s">
        <v>86</v>
      </c>
      <c r="H82" t="s">
        <v>11</v>
      </c>
      <c r="I82" t="s">
        <v>7</v>
      </c>
      <c r="J82" t="s">
        <v>48</v>
      </c>
      <c r="K82" t="s">
        <v>29</v>
      </c>
      <c r="L82" t="s">
        <v>49</v>
      </c>
      <c r="M82">
        <v>1</v>
      </c>
    </row>
    <row r="83" spans="1:13" x14ac:dyDescent="0.25">
      <c r="A83" s="2">
        <v>46162</v>
      </c>
      <c r="B83" s="1" t="str">
        <f ca="1">IF(Información1[[#This Row],[Fecha]]='Ajuste de fechas'!$A$2,"Día actual","Día anterior")</f>
        <v>Día anterior</v>
      </c>
      <c r="C83" t="s">
        <v>28</v>
      </c>
      <c r="D83" t="s">
        <v>31</v>
      </c>
      <c r="E83" t="s">
        <v>216</v>
      </c>
      <c r="F83" t="s">
        <v>26</v>
      </c>
      <c r="G83" t="s">
        <v>217</v>
      </c>
      <c r="H83" t="s">
        <v>11</v>
      </c>
      <c r="I83" t="s">
        <v>7</v>
      </c>
      <c r="J83" t="s">
        <v>48</v>
      </c>
      <c r="K83" t="s">
        <v>29</v>
      </c>
      <c r="L83" t="s">
        <v>49</v>
      </c>
      <c r="M83">
        <v>1</v>
      </c>
    </row>
    <row r="84" spans="1:13" x14ac:dyDescent="0.25">
      <c r="A84" s="2">
        <v>46162</v>
      </c>
      <c r="B84" s="1" t="str">
        <f ca="1">IF(Información1[[#This Row],[Fecha]]='Ajuste de fechas'!$A$2,"Día actual","Día anterior")</f>
        <v>Día anterior</v>
      </c>
      <c r="C84" t="s">
        <v>28</v>
      </c>
      <c r="D84" t="s">
        <v>30</v>
      </c>
      <c r="E84" t="s">
        <v>218</v>
      </c>
      <c r="F84" t="s">
        <v>26</v>
      </c>
      <c r="G84" t="s">
        <v>94</v>
      </c>
      <c r="H84" t="s">
        <v>11</v>
      </c>
      <c r="I84" t="s">
        <v>7</v>
      </c>
      <c r="J84" t="s">
        <v>48</v>
      </c>
      <c r="K84" t="s">
        <v>41</v>
      </c>
      <c r="L84" t="s">
        <v>49</v>
      </c>
      <c r="M84">
        <v>1</v>
      </c>
    </row>
    <row r="85" spans="1:13" x14ac:dyDescent="0.25">
      <c r="A85" s="2">
        <v>46162</v>
      </c>
      <c r="B85" s="1" t="str">
        <f ca="1">IF(Información1[[#This Row],[Fecha]]='Ajuste de fechas'!$A$2,"Día actual","Día anterior")</f>
        <v>Día anterior</v>
      </c>
      <c r="C85" t="s">
        <v>28</v>
      </c>
      <c r="D85" t="s">
        <v>31</v>
      </c>
      <c r="E85" t="s">
        <v>219</v>
      </c>
      <c r="F85" t="s">
        <v>26</v>
      </c>
      <c r="G85" t="s">
        <v>94</v>
      </c>
      <c r="H85" t="s">
        <v>11</v>
      </c>
      <c r="I85" t="s">
        <v>7</v>
      </c>
      <c r="J85" t="s">
        <v>48</v>
      </c>
      <c r="K85" t="s">
        <v>29</v>
      </c>
      <c r="L85" t="s">
        <v>49</v>
      </c>
      <c r="M85">
        <v>1</v>
      </c>
    </row>
    <row r="86" spans="1:13" x14ac:dyDescent="0.25">
      <c r="A86" s="2">
        <v>46162</v>
      </c>
      <c r="B86" s="1" t="str">
        <f ca="1">IF(Información1[[#This Row],[Fecha]]='Ajuste de fechas'!$A$2,"Día actual","Día anterior")</f>
        <v>Día anterior</v>
      </c>
      <c r="C86" t="s">
        <v>28</v>
      </c>
      <c r="D86" t="s">
        <v>30</v>
      </c>
      <c r="E86" t="s">
        <v>220</v>
      </c>
      <c r="F86" t="s">
        <v>26</v>
      </c>
      <c r="G86" t="s">
        <v>104</v>
      </c>
      <c r="H86" t="s">
        <v>11</v>
      </c>
      <c r="I86" t="s">
        <v>7</v>
      </c>
      <c r="J86" t="s">
        <v>48</v>
      </c>
      <c r="K86" t="s">
        <v>41</v>
      </c>
      <c r="L86" t="s">
        <v>49</v>
      </c>
      <c r="M86">
        <v>1</v>
      </c>
    </row>
    <row r="87" spans="1:13" x14ac:dyDescent="0.25">
      <c r="A87" s="2">
        <v>46162</v>
      </c>
      <c r="B87" s="1" t="str">
        <f ca="1">IF(Información1[[#This Row],[Fecha]]='Ajuste de fechas'!$A$2,"Día actual","Día anterior")</f>
        <v>Día anterior</v>
      </c>
      <c r="C87" t="s">
        <v>28</v>
      </c>
      <c r="D87" t="s">
        <v>31</v>
      </c>
      <c r="E87" t="s">
        <v>133</v>
      </c>
      <c r="F87" t="s">
        <v>62</v>
      </c>
      <c r="G87" t="s">
        <v>104</v>
      </c>
      <c r="H87" t="s">
        <v>11</v>
      </c>
      <c r="I87" t="s">
        <v>7</v>
      </c>
      <c r="J87" t="s">
        <v>48</v>
      </c>
      <c r="K87" t="s">
        <v>29</v>
      </c>
      <c r="L87" t="s">
        <v>49</v>
      </c>
      <c r="M87">
        <v>1</v>
      </c>
    </row>
    <row r="88" spans="1:13" x14ac:dyDescent="0.25">
      <c r="A88" s="2">
        <v>46162</v>
      </c>
      <c r="B88" s="1" t="str">
        <f ca="1">IF(Información1[[#This Row],[Fecha]]='Ajuste de fechas'!$A$2,"Día actual","Día anterior")</f>
        <v>Día anterior</v>
      </c>
      <c r="C88" t="s">
        <v>28</v>
      </c>
      <c r="D88" t="s">
        <v>31</v>
      </c>
      <c r="E88" t="s">
        <v>221</v>
      </c>
      <c r="F88" t="s">
        <v>26</v>
      </c>
      <c r="G88" t="s">
        <v>104</v>
      </c>
      <c r="H88" t="s">
        <v>11</v>
      </c>
      <c r="I88" t="s">
        <v>7</v>
      </c>
      <c r="J88" t="s">
        <v>48</v>
      </c>
      <c r="K88" t="s">
        <v>29</v>
      </c>
      <c r="L88" t="s">
        <v>49</v>
      </c>
      <c r="M88">
        <v>1</v>
      </c>
    </row>
    <row r="89" spans="1:13" x14ac:dyDescent="0.25">
      <c r="A89" s="2">
        <v>46162</v>
      </c>
      <c r="B89" s="1" t="str">
        <f ca="1">IF(Información1[[#This Row],[Fecha]]='Ajuste de fechas'!$A$2,"Día actual","Día anterior")</f>
        <v>Día anterior</v>
      </c>
      <c r="C89" t="s">
        <v>28</v>
      </c>
      <c r="D89" t="s">
        <v>30</v>
      </c>
      <c r="E89" t="s">
        <v>222</v>
      </c>
      <c r="F89" t="s">
        <v>62</v>
      </c>
      <c r="G89" t="s">
        <v>223</v>
      </c>
      <c r="H89" t="s">
        <v>11</v>
      </c>
      <c r="I89" t="s">
        <v>25</v>
      </c>
      <c r="J89" t="s">
        <v>48</v>
      </c>
      <c r="K89" t="s">
        <v>41</v>
      </c>
      <c r="L89" t="s">
        <v>49</v>
      </c>
      <c r="M89">
        <v>1</v>
      </c>
    </row>
    <row r="90" spans="1:13" x14ac:dyDescent="0.25">
      <c r="A90" s="2">
        <v>46162</v>
      </c>
      <c r="B90" s="1" t="str">
        <f ca="1">IF(Información1[[#This Row],[Fecha]]='Ajuste de fechas'!$A$2,"Día actual","Día anterior")</f>
        <v>Día anterior</v>
      </c>
      <c r="C90" t="s">
        <v>58</v>
      </c>
      <c r="D90" t="s">
        <v>59</v>
      </c>
      <c r="E90" t="s">
        <v>134</v>
      </c>
      <c r="F90" t="s">
        <v>23</v>
      </c>
      <c r="G90" t="s">
        <v>135</v>
      </c>
      <c r="H90" t="s">
        <v>11</v>
      </c>
      <c r="I90" t="s">
        <v>7</v>
      </c>
      <c r="J90" t="s">
        <v>48</v>
      </c>
      <c r="K90" t="s">
        <v>60</v>
      </c>
      <c r="L90" t="s">
        <v>51</v>
      </c>
      <c r="M90">
        <v>1</v>
      </c>
    </row>
    <row r="91" spans="1:13" x14ac:dyDescent="0.25">
      <c r="A91" s="2">
        <v>46162</v>
      </c>
      <c r="B91" s="1" t="str">
        <f ca="1">IF(Información1[[#This Row],[Fecha]]='Ajuste de fechas'!$A$2,"Día actual","Día anterior")</f>
        <v>Día anterior</v>
      </c>
      <c r="C91" t="s">
        <v>8</v>
      </c>
      <c r="D91" t="s">
        <v>10</v>
      </c>
      <c r="E91" t="s">
        <v>224</v>
      </c>
      <c r="F91" t="s">
        <v>24</v>
      </c>
      <c r="G91" t="s">
        <v>81</v>
      </c>
      <c r="H91" t="s">
        <v>11</v>
      </c>
      <c r="I91" t="s">
        <v>7</v>
      </c>
      <c r="J91" t="s">
        <v>24</v>
      </c>
      <c r="K91" t="s">
        <v>14</v>
      </c>
      <c r="L91" t="s">
        <v>50</v>
      </c>
      <c r="M91">
        <v>1</v>
      </c>
    </row>
    <row r="92" spans="1:13" x14ac:dyDescent="0.25">
      <c r="A92" s="2">
        <v>46162</v>
      </c>
      <c r="B92" s="1" t="str">
        <f ca="1">IF(Información1[[#This Row],[Fecha]]='Ajuste de fechas'!$A$2,"Día actual","Día anterior")</f>
        <v>Día anterior</v>
      </c>
      <c r="C92" t="s">
        <v>28</v>
      </c>
      <c r="D92" t="s">
        <v>31</v>
      </c>
      <c r="E92" t="s">
        <v>225</v>
      </c>
      <c r="F92" t="s">
        <v>22</v>
      </c>
      <c r="G92" t="s">
        <v>96</v>
      </c>
      <c r="H92" t="s">
        <v>11</v>
      </c>
      <c r="I92" t="s">
        <v>7</v>
      </c>
      <c r="J92" t="s">
        <v>53</v>
      </c>
      <c r="K92" t="s">
        <v>29</v>
      </c>
      <c r="L92" t="s">
        <v>49</v>
      </c>
      <c r="M92">
        <v>1</v>
      </c>
    </row>
    <row r="93" spans="1:13" x14ac:dyDescent="0.25">
      <c r="A93" s="2">
        <v>46162</v>
      </c>
      <c r="B93" s="1" t="str">
        <f ca="1">IF(Información1[[#This Row],[Fecha]]='Ajuste de fechas'!$A$2,"Día actual","Día anterior")</f>
        <v>Día anterior</v>
      </c>
      <c r="C93" t="s">
        <v>8</v>
      </c>
      <c r="D93" t="s">
        <v>10</v>
      </c>
      <c r="E93" t="s">
        <v>226</v>
      </c>
      <c r="F93" t="s">
        <v>173</v>
      </c>
      <c r="G93" t="s">
        <v>227</v>
      </c>
      <c r="H93" t="s">
        <v>11</v>
      </c>
      <c r="I93" t="s">
        <v>7</v>
      </c>
      <c r="J93" t="s">
        <v>24</v>
      </c>
      <c r="K93" t="s">
        <v>14</v>
      </c>
      <c r="L93" t="s">
        <v>49</v>
      </c>
      <c r="M93">
        <v>1</v>
      </c>
    </row>
    <row r="94" spans="1:13" x14ac:dyDescent="0.25">
      <c r="A94" s="2">
        <v>46162</v>
      </c>
      <c r="B94" s="1" t="str">
        <f ca="1">IF(Información1[[#This Row],[Fecha]]='Ajuste de fechas'!$A$2,"Día actual","Día anterior")</f>
        <v>Día anterior</v>
      </c>
      <c r="C94" t="s">
        <v>8</v>
      </c>
      <c r="D94" t="s">
        <v>10</v>
      </c>
      <c r="E94" t="s">
        <v>92</v>
      </c>
      <c r="F94" t="s">
        <v>23</v>
      </c>
      <c r="G94" t="s">
        <v>93</v>
      </c>
      <c r="H94" t="s">
        <v>11</v>
      </c>
      <c r="I94" t="s">
        <v>7</v>
      </c>
      <c r="J94" t="s">
        <v>48</v>
      </c>
      <c r="K94" t="s">
        <v>14</v>
      </c>
      <c r="L94" t="s">
        <v>51</v>
      </c>
      <c r="M94">
        <v>1</v>
      </c>
    </row>
    <row r="95" spans="1:13" x14ac:dyDescent="0.25">
      <c r="A95" s="2">
        <v>46162</v>
      </c>
      <c r="B95" s="1" t="str">
        <f ca="1">IF(Información1[[#This Row],[Fecha]]='Ajuste de fechas'!$A$2,"Día actual","Día anterior")</f>
        <v>Día anterior</v>
      </c>
      <c r="C95" t="s">
        <v>28</v>
      </c>
      <c r="D95" t="s">
        <v>31</v>
      </c>
      <c r="E95" t="s">
        <v>228</v>
      </c>
      <c r="F95" t="s">
        <v>19</v>
      </c>
      <c r="G95" t="s">
        <v>229</v>
      </c>
      <c r="H95" t="s">
        <v>11</v>
      </c>
      <c r="I95" t="s">
        <v>7</v>
      </c>
      <c r="J95" t="s">
        <v>52</v>
      </c>
      <c r="K95" t="s">
        <v>29</v>
      </c>
      <c r="L95" t="s">
        <v>49</v>
      </c>
      <c r="M95">
        <v>1</v>
      </c>
    </row>
    <row r="96" spans="1:13" x14ac:dyDescent="0.25">
      <c r="A96" s="2">
        <v>46162</v>
      </c>
      <c r="B96" s="1" t="str">
        <f ca="1">IF(Información1[[#This Row],[Fecha]]='Ajuste de fechas'!$A$2,"Día actual","Día anterior")</f>
        <v>Día anterior</v>
      </c>
      <c r="C96" t="s">
        <v>8</v>
      </c>
      <c r="D96" t="s">
        <v>10</v>
      </c>
      <c r="E96" t="s">
        <v>106</v>
      </c>
      <c r="F96" t="s">
        <v>21</v>
      </c>
      <c r="G96" t="s">
        <v>107</v>
      </c>
      <c r="H96" t="s">
        <v>11</v>
      </c>
      <c r="I96" t="s">
        <v>7</v>
      </c>
      <c r="J96" t="s">
        <v>48</v>
      </c>
      <c r="K96" t="s">
        <v>14</v>
      </c>
      <c r="L96" t="s">
        <v>51</v>
      </c>
      <c r="M96">
        <v>1</v>
      </c>
    </row>
    <row r="97" spans="1:13" x14ac:dyDescent="0.25">
      <c r="A97" s="2">
        <v>46162</v>
      </c>
      <c r="B97" s="1" t="str">
        <f ca="1">IF(Información1[[#This Row],[Fecha]]='Ajuste de fechas'!$A$2,"Día actual","Día anterior")</f>
        <v>Día anterior</v>
      </c>
      <c r="C97" t="s">
        <v>8</v>
      </c>
      <c r="D97" t="s">
        <v>10</v>
      </c>
      <c r="E97" t="s">
        <v>230</v>
      </c>
      <c r="F97" t="s">
        <v>19</v>
      </c>
      <c r="G97" t="s">
        <v>231</v>
      </c>
      <c r="H97" t="s">
        <v>11</v>
      </c>
      <c r="I97" t="s">
        <v>25</v>
      </c>
      <c r="J97" t="s">
        <v>52</v>
      </c>
      <c r="K97" t="s">
        <v>9</v>
      </c>
      <c r="L97" t="s">
        <v>50</v>
      </c>
      <c r="M97">
        <v>1</v>
      </c>
    </row>
    <row r="98" spans="1:13" x14ac:dyDescent="0.25">
      <c r="A98" s="2">
        <v>46162</v>
      </c>
      <c r="B98" s="1" t="str">
        <f ca="1">IF(Información1[[#This Row],[Fecha]]='Ajuste de fechas'!$A$2,"Día actual","Día anterior")</f>
        <v>Día anterior</v>
      </c>
      <c r="C98" t="s">
        <v>28</v>
      </c>
      <c r="D98" t="s">
        <v>31</v>
      </c>
      <c r="E98" t="s">
        <v>232</v>
      </c>
      <c r="F98" t="s">
        <v>63</v>
      </c>
      <c r="G98" t="s">
        <v>233</v>
      </c>
      <c r="H98" t="s">
        <v>11</v>
      </c>
      <c r="I98" t="s">
        <v>25</v>
      </c>
      <c r="J98" t="s">
        <v>48</v>
      </c>
      <c r="K98" t="s">
        <v>29</v>
      </c>
      <c r="L98" t="s">
        <v>49</v>
      </c>
      <c r="M98">
        <v>1</v>
      </c>
    </row>
    <row r="99" spans="1:13" x14ac:dyDescent="0.25">
      <c r="A99" s="2">
        <v>46162</v>
      </c>
      <c r="B99" s="1" t="str">
        <f ca="1">IF(Información1[[#This Row],[Fecha]]='Ajuste de fechas'!$A$2,"Día actual","Día anterior")</f>
        <v>Día anterior</v>
      </c>
      <c r="C99" t="s">
        <v>8</v>
      </c>
      <c r="D99" t="s">
        <v>10</v>
      </c>
      <c r="E99" t="s">
        <v>234</v>
      </c>
      <c r="F99" t="s">
        <v>19</v>
      </c>
      <c r="G99" t="s">
        <v>235</v>
      </c>
      <c r="H99" t="s">
        <v>11</v>
      </c>
      <c r="I99" t="s">
        <v>7</v>
      </c>
      <c r="J99" t="s">
        <v>52</v>
      </c>
      <c r="K99" t="s">
        <v>9</v>
      </c>
      <c r="L99" t="s">
        <v>50</v>
      </c>
      <c r="M99">
        <v>1</v>
      </c>
    </row>
    <row r="100" spans="1:13" x14ac:dyDescent="0.25">
      <c r="A100" s="2">
        <v>46162</v>
      </c>
      <c r="B100" s="1" t="str">
        <f ca="1">IF(Información1[[#This Row],[Fecha]]='Ajuste de fechas'!$A$2,"Día actual","Día anterior")</f>
        <v>Día anterior</v>
      </c>
      <c r="C100" t="s">
        <v>8</v>
      </c>
      <c r="D100" t="s">
        <v>10</v>
      </c>
      <c r="E100" t="s">
        <v>236</v>
      </c>
      <c r="F100" t="s">
        <v>19</v>
      </c>
      <c r="G100" t="s">
        <v>237</v>
      </c>
      <c r="H100" t="s">
        <v>11</v>
      </c>
      <c r="I100" t="s">
        <v>25</v>
      </c>
      <c r="J100" t="s">
        <v>52</v>
      </c>
      <c r="K100" t="s">
        <v>9</v>
      </c>
      <c r="L100" t="s">
        <v>50</v>
      </c>
      <c r="M100">
        <v>1</v>
      </c>
    </row>
    <row r="101" spans="1:13" x14ac:dyDescent="0.25">
      <c r="A101" s="2">
        <v>46162</v>
      </c>
      <c r="B101" s="1" t="str">
        <f ca="1">IF(Información1[[#This Row],[Fecha]]='Ajuste de fechas'!$A$2,"Día actual","Día anterior")</f>
        <v>Día anterior</v>
      </c>
      <c r="C101" t="s">
        <v>8</v>
      </c>
      <c r="D101" t="s">
        <v>10</v>
      </c>
      <c r="E101" t="s">
        <v>238</v>
      </c>
      <c r="F101" t="s">
        <v>22</v>
      </c>
      <c r="G101" t="s">
        <v>239</v>
      </c>
      <c r="H101" t="s">
        <v>11</v>
      </c>
      <c r="I101" t="s">
        <v>7</v>
      </c>
      <c r="J101" t="s">
        <v>53</v>
      </c>
      <c r="K101" t="s">
        <v>14</v>
      </c>
      <c r="L101" t="s">
        <v>49</v>
      </c>
      <c r="M101">
        <v>1</v>
      </c>
    </row>
    <row r="102" spans="1:13" x14ac:dyDescent="0.25">
      <c r="A102" s="2">
        <v>46162</v>
      </c>
      <c r="B102" s="1" t="str">
        <f ca="1">IF(Información1[[#This Row],[Fecha]]='Ajuste de fechas'!$A$2,"Día actual","Día anterior")</f>
        <v>Día anterior</v>
      </c>
      <c r="C102" t="s">
        <v>28</v>
      </c>
      <c r="D102" t="s">
        <v>31</v>
      </c>
      <c r="E102" t="s">
        <v>240</v>
      </c>
      <c r="F102" t="s">
        <v>22</v>
      </c>
      <c r="G102" t="s">
        <v>241</v>
      </c>
      <c r="H102" t="s">
        <v>11</v>
      </c>
      <c r="I102" t="s">
        <v>7</v>
      </c>
      <c r="J102" t="s">
        <v>53</v>
      </c>
      <c r="K102" t="s">
        <v>29</v>
      </c>
      <c r="L102" t="s">
        <v>49</v>
      </c>
      <c r="M102">
        <v>1</v>
      </c>
    </row>
    <row r="103" spans="1:13" x14ac:dyDescent="0.25">
      <c r="A103" s="2">
        <v>46162</v>
      </c>
      <c r="B103" s="1" t="str">
        <f ca="1">IF(Información1[[#This Row],[Fecha]]='Ajuste de fechas'!$A$2,"Día actual","Día anterior")</f>
        <v>Día anterior</v>
      </c>
      <c r="C103" t="s">
        <v>58</v>
      </c>
      <c r="D103" t="s">
        <v>59</v>
      </c>
      <c r="E103" t="s">
        <v>128</v>
      </c>
      <c r="F103" t="s">
        <v>80</v>
      </c>
      <c r="G103" t="s">
        <v>123</v>
      </c>
      <c r="H103" t="s">
        <v>11</v>
      </c>
      <c r="I103" t="s">
        <v>7</v>
      </c>
      <c r="J103" t="s">
        <v>48</v>
      </c>
      <c r="K103" t="s">
        <v>60</v>
      </c>
      <c r="L103" t="s">
        <v>51</v>
      </c>
      <c r="M103">
        <v>1</v>
      </c>
    </row>
    <row r="104" spans="1:13" x14ac:dyDescent="0.25">
      <c r="A104" s="2">
        <v>46162</v>
      </c>
      <c r="B104" s="1" t="str">
        <f ca="1">IF(Información1[[#This Row],[Fecha]]='Ajuste de fechas'!$A$2,"Día actual","Día anterior")</f>
        <v>Día anterior</v>
      </c>
      <c r="C104" t="s">
        <v>8</v>
      </c>
      <c r="D104" t="s">
        <v>10</v>
      </c>
      <c r="E104" t="s">
        <v>242</v>
      </c>
      <c r="F104" t="s">
        <v>17</v>
      </c>
      <c r="G104" t="s">
        <v>98</v>
      </c>
      <c r="H104" t="s">
        <v>11</v>
      </c>
      <c r="I104" t="s">
        <v>25</v>
      </c>
      <c r="J104" t="s">
        <v>48</v>
      </c>
      <c r="K104" t="s">
        <v>9</v>
      </c>
      <c r="L104" t="s">
        <v>50</v>
      </c>
      <c r="M104">
        <v>1</v>
      </c>
    </row>
    <row r="105" spans="1:13" x14ac:dyDescent="0.25">
      <c r="A105" s="2">
        <v>46162</v>
      </c>
      <c r="B105" s="1" t="str">
        <f ca="1">IF(Información1[[#This Row],[Fecha]]='Ajuste de fechas'!$A$2,"Día actual","Día anterior")</f>
        <v>Día anterior</v>
      </c>
      <c r="C105" t="s">
        <v>243</v>
      </c>
      <c r="D105" t="s">
        <v>244</v>
      </c>
      <c r="E105" t="s">
        <v>245</v>
      </c>
      <c r="F105" t="s">
        <v>89</v>
      </c>
      <c r="G105" t="s">
        <v>90</v>
      </c>
      <c r="H105" t="s">
        <v>11</v>
      </c>
      <c r="I105" t="s">
        <v>12</v>
      </c>
      <c r="J105" t="s">
        <v>48</v>
      </c>
      <c r="K105" t="s">
        <v>246</v>
      </c>
      <c r="L105" t="s">
        <v>91</v>
      </c>
      <c r="M105">
        <v>1</v>
      </c>
    </row>
    <row r="106" spans="1:13" x14ac:dyDescent="0.25">
      <c r="A106" s="2">
        <v>46162</v>
      </c>
      <c r="B106" s="1" t="str">
        <f ca="1">IF(Información1[[#This Row],[Fecha]]='Ajuste de fechas'!$A$2,"Día actual","Día anterior")</f>
        <v>Día anterior</v>
      </c>
      <c r="C106" t="s">
        <v>28</v>
      </c>
      <c r="D106" t="s">
        <v>30</v>
      </c>
      <c r="E106" t="s">
        <v>245</v>
      </c>
      <c r="F106" t="s">
        <v>89</v>
      </c>
      <c r="G106" t="s">
        <v>90</v>
      </c>
      <c r="H106" t="s">
        <v>11</v>
      </c>
      <c r="I106" t="s">
        <v>12</v>
      </c>
      <c r="J106" t="s">
        <v>48</v>
      </c>
      <c r="K106" t="s">
        <v>41</v>
      </c>
      <c r="L106" t="s">
        <v>91</v>
      </c>
      <c r="M106">
        <v>1</v>
      </c>
    </row>
    <row r="107" spans="1:13" x14ac:dyDescent="0.25">
      <c r="A107" s="2">
        <v>46162</v>
      </c>
      <c r="B107" s="1" t="str">
        <f ca="1">IF(Información1[[#This Row],[Fecha]]='Ajuste de fechas'!$A$2,"Día actual","Día anterior")</f>
        <v>Día anterior</v>
      </c>
      <c r="C107" t="s">
        <v>8</v>
      </c>
      <c r="D107" t="s">
        <v>10</v>
      </c>
      <c r="E107" t="s">
        <v>247</v>
      </c>
      <c r="F107" t="s">
        <v>19</v>
      </c>
      <c r="G107" t="s">
        <v>248</v>
      </c>
      <c r="H107" t="s">
        <v>11</v>
      </c>
      <c r="I107" t="s">
        <v>7</v>
      </c>
      <c r="J107" t="s">
        <v>52</v>
      </c>
      <c r="K107" t="s">
        <v>14</v>
      </c>
      <c r="L107" t="s">
        <v>54</v>
      </c>
      <c r="M107">
        <v>1</v>
      </c>
    </row>
    <row r="108" spans="1:13" x14ac:dyDescent="0.25">
      <c r="A108" s="2">
        <v>46162</v>
      </c>
      <c r="B108" s="1" t="str">
        <f ca="1">IF(Información1[[#This Row],[Fecha]]='Ajuste de fechas'!$A$2,"Día actual","Día anterior")</f>
        <v>Día anterior</v>
      </c>
      <c r="C108" t="s">
        <v>28</v>
      </c>
      <c r="D108" t="s">
        <v>31</v>
      </c>
      <c r="E108" t="s">
        <v>249</v>
      </c>
      <c r="F108" t="s">
        <v>26</v>
      </c>
      <c r="G108" t="s">
        <v>250</v>
      </c>
      <c r="H108" t="s">
        <v>11</v>
      </c>
      <c r="I108" t="s">
        <v>7</v>
      </c>
      <c r="J108" t="s">
        <v>48</v>
      </c>
      <c r="K108" t="s">
        <v>29</v>
      </c>
      <c r="L108" t="s">
        <v>49</v>
      </c>
      <c r="M108">
        <v>1</v>
      </c>
    </row>
    <row r="109" spans="1:13" x14ac:dyDescent="0.25">
      <c r="A109" s="2">
        <v>46162</v>
      </c>
      <c r="B109" s="1" t="str">
        <f ca="1">IF(Información1[[#This Row],[Fecha]]='Ajuste de fechas'!$A$2,"Día actual","Día anterior")</f>
        <v>Día anterior</v>
      </c>
      <c r="C109" t="s">
        <v>8</v>
      </c>
      <c r="D109" t="s">
        <v>10</v>
      </c>
      <c r="E109" t="s">
        <v>251</v>
      </c>
      <c r="F109" t="s">
        <v>22</v>
      </c>
      <c r="G109" t="s">
        <v>207</v>
      </c>
      <c r="H109" t="s">
        <v>11</v>
      </c>
      <c r="I109" t="s">
        <v>7</v>
      </c>
      <c r="J109" t="s">
        <v>53</v>
      </c>
      <c r="K109" t="s">
        <v>14</v>
      </c>
      <c r="L109" t="s">
        <v>49</v>
      </c>
      <c r="M109">
        <v>1</v>
      </c>
    </row>
    <row r="110" spans="1:13" x14ac:dyDescent="0.25">
      <c r="A110" s="2">
        <v>46162</v>
      </c>
      <c r="B110" s="1" t="str">
        <f ca="1">IF(Información1[[#This Row],[Fecha]]='Ajuste de fechas'!$A$2,"Día actual","Día anterior")</f>
        <v>Día anterior</v>
      </c>
      <c r="C110" t="s">
        <v>28</v>
      </c>
      <c r="D110" t="s">
        <v>30</v>
      </c>
      <c r="E110" t="s">
        <v>136</v>
      </c>
      <c r="F110" t="s">
        <v>26</v>
      </c>
      <c r="G110" t="s">
        <v>84</v>
      </c>
      <c r="H110" t="s">
        <v>11</v>
      </c>
      <c r="I110" t="s">
        <v>7</v>
      </c>
      <c r="J110" t="s">
        <v>48</v>
      </c>
      <c r="K110" t="s">
        <v>41</v>
      </c>
      <c r="L110" t="s">
        <v>51</v>
      </c>
      <c r="M110">
        <v>1</v>
      </c>
    </row>
    <row r="111" spans="1:13" x14ac:dyDescent="0.25">
      <c r="A111" s="2">
        <v>46162</v>
      </c>
      <c r="B111" s="1" t="str">
        <f ca="1">IF(Información1[[#This Row],[Fecha]]='Ajuste de fechas'!$A$2,"Día actual","Día anterior")</f>
        <v>Día anterior</v>
      </c>
      <c r="C111" t="s">
        <v>28</v>
      </c>
      <c r="D111" t="s">
        <v>30</v>
      </c>
      <c r="E111" t="s">
        <v>137</v>
      </c>
      <c r="F111" t="s">
        <v>26</v>
      </c>
      <c r="G111" t="s">
        <v>84</v>
      </c>
      <c r="H111" t="s">
        <v>11</v>
      </c>
      <c r="I111" t="s">
        <v>7</v>
      </c>
      <c r="J111" t="s">
        <v>48</v>
      </c>
      <c r="K111" t="s">
        <v>41</v>
      </c>
      <c r="L111" t="s">
        <v>51</v>
      </c>
      <c r="M111">
        <v>1</v>
      </c>
    </row>
    <row r="112" spans="1:13" x14ac:dyDescent="0.25">
      <c r="A112" s="2">
        <v>46162</v>
      </c>
      <c r="B112" s="1" t="str">
        <f ca="1">IF(Información1[[#This Row],[Fecha]]='Ajuste de fechas'!$A$2,"Día actual","Día anterior")</f>
        <v>Día anterior</v>
      </c>
      <c r="C112" t="s">
        <v>28</v>
      </c>
      <c r="D112" t="s">
        <v>31</v>
      </c>
      <c r="E112" t="s">
        <v>138</v>
      </c>
      <c r="F112" t="s">
        <v>26</v>
      </c>
      <c r="G112" t="s">
        <v>84</v>
      </c>
      <c r="H112" t="s">
        <v>11</v>
      </c>
      <c r="I112" t="s">
        <v>7</v>
      </c>
      <c r="J112" t="s">
        <v>48</v>
      </c>
      <c r="K112" t="s">
        <v>29</v>
      </c>
      <c r="L112" t="s">
        <v>49</v>
      </c>
      <c r="M112">
        <v>1</v>
      </c>
    </row>
    <row r="113" spans="1:13" x14ac:dyDescent="0.25">
      <c r="A113" s="2">
        <v>46162</v>
      </c>
      <c r="B113" s="1" t="str">
        <f ca="1">IF(Información1[[#This Row],[Fecha]]='Ajuste de fechas'!$A$2,"Día actual","Día anterior")</f>
        <v>Día anterior</v>
      </c>
      <c r="C113" t="s">
        <v>28</v>
      </c>
      <c r="D113" t="s">
        <v>31</v>
      </c>
      <c r="E113" t="s">
        <v>139</v>
      </c>
      <c r="F113" t="s">
        <v>26</v>
      </c>
      <c r="G113" t="s">
        <v>84</v>
      </c>
      <c r="H113" t="s">
        <v>11</v>
      </c>
      <c r="I113" t="s">
        <v>7</v>
      </c>
      <c r="J113" t="s">
        <v>48</v>
      </c>
      <c r="K113" t="s">
        <v>29</v>
      </c>
      <c r="L113" t="s">
        <v>49</v>
      </c>
      <c r="M113">
        <v>1</v>
      </c>
    </row>
    <row r="114" spans="1:13" x14ac:dyDescent="0.25">
      <c r="A114" s="2">
        <v>46162</v>
      </c>
      <c r="B114" s="1" t="str">
        <f ca="1">IF(Información1[[#This Row],[Fecha]]='Ajuste de fechas'!$A$2,"Día actual","Día anterior")</f>
        <v>Día anterior</v>
      </c>
      <c r="C114" t="s">
        <v>28</v>
      </c>
      <c r="D114" t="s">
        <v>30</v>
      </c>
      <c r="E114" t="s">
        <v>252</v>
      </c>
      <c r="F114" t="s">
        <v>24</v>
      </c>
      <c r="G114" t="s">
        <v>174</v>
      </c>
      <c r="H114" t="s">
        <v>11</v>
      </c>
      <c r="I114" t="s">
        <v>7</v>
      </c>
      <c r="J114" t="s">
        <v>24</v>
      </c>
      <c r="K114" t="s">
        <v>41</v>
      </c>
      <c r="L114" t="s">
        <v>49</v>
      </c>
      <c r="M114">
        <v>1</v>
      </c>
    </row>
    <row r="115" spans="1:13" x14ac:dyDescent="0.25">
      <c r="A115" s="2">
        <v>46162</v>
      </c>
      <c r="B115" s="1" t="str">
        <f ca="1">IF(Información1[[#This Row],[Fecha]]='Ajuste de fechas'!$A$2,"Día actual","Día anterior")</f>
        <v>Día anterior</v>
      </c>
      <c r="C115" t="s">
        <v>28</v>
      </c>
      <c r="D115" t="s">
        <v>30</v>
      </c>
      <c r="E115" t="s">
        <v>253</v>
      </c>
      <c r="F115" t="s">
        <v>24</v>
      </c>
      <c r="G115" t="s">
        <v>174</v>
      </c>
      <c r="H115" t="s">
        <v>11</v>
      </c>
      <c r="I115" t="s">
        <v>7</v>
      </c>
      <c r="J115" t="s">
        <v>24</v>
      </c>
      <c r="K115" t="s">
        <v>41</v>
      </c>
      <c r="L115" t="s">
        <v>50</v>
      </c>
      <c r="M115">
        <v>1</v>
      </c>
    </row>
    <row r="116" spans="1:13" x14ac:dyDescent="0.25">
      <c r="A116" s="2">
        <v>46162</v>
      </c>
      <c r="B116" s="1" t="str">
        <f ca="1">IF(Información1[[#This Row],[Fecha]]='Ajuste de fechas'!$A$2,"Día actual","Día anterior")</f>
        <v>Día anterior</v>
      </c>
      <c r="C116" t="s">
        <v>28</v>
      </c>
      <c r="D116" t="s">
        <v>30</v>
      </c>
      <c r="E116" t="s">
        <v>254</v>
      </c>
      <c r="F116" t="s">
        <v>173</v>
      </c>
      <c r="G116" t="s">
        <v>174</v>
      </c>
      <c r="H116" t="s">
        <v>11</v>
      </c>
      <c r="I116" t="s">
        <v>7</v>
      </c>
      <c r="J116" t="s">
        <v>24</v>
      </c>
      <c r="K116" t="s">
        <v>41</v>
      </c>
      <c r="L116" t="s">
        <v>49</v>
      </c>
      <c r="M116">
        <v>1</v>
      </c>
    </row>
    <row r="117" spans="1:13" x14ac:dyDescent="0.25">
      <c r="A117" s="2">
        <v>46162</v>
      </c>
      <c r="B117" s="1" t="str">
        <f ca="1">IF(Información1[[#This Row],[Fecha]]='Ajuste de fechas'!$A$2,"Día actual","Día anterior")</f>
        <v>Día anterior</v>
      </c>
      <c r="C117" t="s">
        <v>8</v>
      </c>
      <c r="D117" t="s">
        <v>10</v>
      </c>
      <c r="E117" t="s">
        <v>255</v>
      </c>
      <c r="F117" t="s">
        <v>19</v>
      </c>
      <c r="G117" t="s">
        <v>97</v>
      </c>
      <c r="H117" t="s">
        <v>11</v>
      </c>
      <c r="I117" t="s">
        <v>25</v>
      </c>
      <c r="J117" t="s">
        <v>52</v>
      </c>
      <c r="K117" t="s">
        <v>9</v>
      </c>
      <c r="L117" t="s">
        <v>50</v>
      </c>
      <c r="M117">
        <v>1</v>
      </c>
    </row>
    <row r="118" spans="1:13" x14ac:dyDescent="0.25">
      <c r="A118" s="2">
        <v>46163</v>
      </c>
      <c r="B118" s="1" t="str">
        <f ca="1">IF(Información1[[#This Row],[Fecha]]='Ajuste de fechas'!$A$2,"Día actual","Día anterior")</f>
        <v>Día actual</v>
      </c>
      <c r="C118" t="s">
        <v>256</v>
      </c>
      <c r="D118" t="s">
        <v>257</v>
      </c>
      <c r="E118" t="s">
        <v>245</v>
      </c>
      <c r="F118" t="s">
        <v>89</v>
      </c>
      <c r="G118" t="s">
        <v>90</v>
      </c>
      <c r="H118" t="s">
        <v>11</v>
      </c>
      <c r="I118" t="s">
        <v>12</v>
      </c>
      <c r="J118" t="s">
        <v>48</v>
      </c>
      <c r="K118" t="s">
        <v>258</v>
      </c>
      <c r="L118" t="s">
        <v>91</v>
      </c>
      <c r="M118">
        <v>1</v>
      </c>
    </row>
    <row r="119" spans="1:13" x14ac:dyDescent="0.25">
      <c r="A119" s="2">
        <v>46163</v>
      </c>
      <c r="B119" s="1" t="str">
        <f ca="1">IF(Información1[[#This Row],[Fecha]]='Ajuste de fechas'!$A$2,"Día actual","Día anterior")</f>
        <v>Día actual</v>
      </c>
      <c r="C119" t="s">
        <v>28</v>
      </c>
      <c r="D119" t="s">
        <v>31</v>
      </c>
      <c r="E119" t="s">
        <v>259</v>
      </c>
      <c r="F119" t="s">
        <v>23</v>
      </c>
      <c r="G119" t="s">
        <v>65</v>
      </c>
      <c r="H119" t="s">
        <v>11</v>
      </c>
      <c r="I119" t="s">
        <v>7</v>
      </c>
      <c r="J119" t="s">
        <v>48</v>
      </c>
      <c r="K119" t="s">
        <v>29</v>
      </c>
      <c r="L119" t="s">
        <v>49</v>
      </c>
      <c r="M119">
        <v>1</v>
      </c>
    </row>
    <row r="120" spans="1:13" x14ac:dyDescent="0.25">
      <c r="A120" s="2">
        <v>46163</v>
      </c>
      <c r="B120" s="1" t="str">
        <f ca="1">IF(Información1[[#This Row],[Fecha]]='Ajuste de fechas'!$A$2,"Día actual","Día anterior")</f>
        <v>Día actual</v>
      </c>
      <c r="C120" t="s">
        <v>28</v>
      </c>
      <c r="D120" t="s">
        <v>31</v>
      </c>
      <c r="E120" t="s">
        <v>260</v>
      </c>
      <c r="F120" t="s">
        <v>62</v>
      </c>
      <c r="G120" t="s">
        <v>104</v>
      </c>
      <c r="H120" t="s">
        <v>11</v>
      </c>
      <c r="I120" t="s">
        <v>7</v>
      </c>
      <c r="J120" t="s">
        <v>48</v>
      </c>
      <c r="K120" t="s">
        <v>29</v>
      </c>
      <c r="L120" t="s">
        <v>49</v>
      </c>
      <c r="M120">
        <v>1</v>
      </c>
    </row>
    <row r="121" spans="1:13" x14ac:dyDescent="0.25">
      <c r="A121" s="2">
        <v>46163</v>
      </c>
      <c r="B121" s="1" t="str">
        <f ca="1">IF(Información1[[#This Row],[Fecha]]='Ajuste de fechas'!$A$2,"Día actual","Día anterior")</f>
        <v>Día actual</v>
      </c>
      <c r="C121" t="s">
        <v>28</v>
      </c>
      <c r="D121" t="s">
        <v>31</v>
      </c>
      <c r="E121" t="s">
        <v>261</v>
      </c>
      <c r="F121" t="s">
        <v>21</v>
      </c>
      <c r="G121" t="s">
        <v>188</v>
      </c>
      <c r="H121" t="s">
        <v>11</v>
      </c>
      <c r="I121" t="s">
        <v>7</v>
      </c>
      <c r="J121" t="s">
        <v>48</v>
      </c>
      <c r="K121" t="s">
        <v>29</v>
      </c>
      <c r="L121" t="s">
        <v>49</v>
      </c>
      <c r="M121">
        <v>1</v>
      </c>
    </row>
    <row r="122" spans="1:13" x14ac:dyDescent="0.25">
      <c r="A122" s="2">
        <v>46163</v>
      </c>
      <c r="B122" s="1" t="str">
        <f ca="1">IF(Información1[[#This Row],[Fecha]]='Ajuste de fechas'!$A$2,"Día actual","Día anterior")</f>
        <v>Día actual</v>
      </c>
      <c r="C122" t="s">
        <v>28</v>
      </c>
      <c r="D122" t="s">
        <v>31</v>
      </c>
      <c r="E122" t="s">
        <v>262</v>
      </c>
      <c r="F122" t="s">
        <v>22</v>
      </c>
      <c r="G122" t="s">
        <v>263</v>
      </c>
      <c r="H122" t="s">
        <v>11</v>
      </c>
      <c r="I122" t="s">
        <v>7</v>
      </c>
      <c r="J122" t="s">
        <v>53</v>
      </c>
      <c r="K122" t="s">
        <v>29</v>
      </c>
      <c r="L122" t="s">
        <v>49</v>
      </c>
      <c r="M122">
        <v>1</v>
      </c>
    </row>
    <row r="123" spans="1:13" x14ac:dyDescent="0.25">
      <c r="A123" s="2">
        <v>46163</v>
      </c>
      <c r="B123" s="1" t="str">
        <f ca="1">IF(Información1[[#This Row],[Fecha]]='Ajuste de fechas'!$A$2,"Día actual","Día anterior")</f>
        <v>Día actual</v>
      </c>
      <c r="C123" t="s">
        <v>28</v>
      </c>
      <c r="D123" t="s">
        <v>31</v>
      </c>
      <c r="E123" t="s">
        <v>264</v>
      </c>
      <c r="F123" t="s">
        <v>26</v>
      </c>
      <c r="G123" t="s">
        <v>265</v>
      </c>
      <c r="H123" t="s">
        <v>11</v>
      </c>
      <c r="I123" t="s">
        <v>7</v>
      </c>
      <c r="J123" t="s">
        <v>48</v>
      </c>
      <c r="K123" t="s">
        <v>29</v>
      </c>
      <c r="L123" t="s">
        <v>51</v>
      </c>
      <c r="M123">
        <v>1</v>
      </c>
    </row>
    <row r="124" spans="1:13" x14ac:dyDescent="0.25">
      <c r="A124" s="2">
        <v>46163</v>
      </c>
      <c r="B124" s="1" t="str">
        <f ca="1">IF(Información1[[#This Row],[Fecha]]='Ajuste de fechas'!$A$2,"Día actual","Día anterior")</f>
        <v>Día actual</v>
      </c>
      <c r="C124" t="s">
        <v>28</v>
      </c>
      <c r="D124" t="s">
        <v>31</v>
      </c>
      <c r="E124" t="s">
        <v>266</v>
      </c>
      <c r="F124" t="s">
        <v>26</v>
      </c>
      <c r="G124" t="s">
        <v>68</v>
      </c>
      <c r="H124" t="s">
        <v>11</v>
      </c>
      <c r="I124" t="s">
        <v>7</v>
      </c>
      <c r="J124" t="s">
        <v>48</v>
      </c>
      <c r="K124" t="s">
        <v>29</v>
      </c>
      <c r="L124" t="s">
        <v>51</v>
      </c>
      <c r="M124">
        <v>1</v>
      </c>
    </row>
    <row r="125" spans="1:13" x14ac:dyDescent="0.25">
      <c r="A125" s="2">
        <v>46163</v>
      </c>
      <c r="B125" s="1" t="str">
        <f ca="1">IF(Información1[[#This Row],[Fecha]]='Ajuste de fechas'!$A$2,"Día actual","Día anterior")</f>
        <v>Día actual</v>
      </c>
      <c r="C125" t="s">
        <v>28</v>
      </c>
      <c r="D125" t="s">
        <v>31</v>
      </c>
      <c r="E125" t="s">
        <v>267</v>
      </c>
      <c r="F125" t="s">
        <v>26</v>
      </c>
      <c r="G125" t="s">
        <v>84</v>
      </c>
      <c r="H125" t="s">
        <v>11</v>
      </c>
      <c r="I125" t="s">
        <v>7</v>
      </c>
      <c r="J125" t="s">
        <v>48</v>
      </c>
      <c r="K125" t="s">
        <v>29</v>
      </c>
      <c r="L125" t="s">
        <v>49</v>
      </c>
      <c r="M125">
        <v>1</v>
      </c>
    </row>
    <row r="126" spans="1:13" x14ac:dyDescent="0.25">
      <c r="A126" s="2">
        <v>46163</v>
      </c>
      <c r="B126" s="1" t="str">
        <f ca="1">IF(Información1[[#This Row],[Fecha]]='Ajuste de fechas'!$A$2,"Día actual","Día anterior")</f>
        <v>Día actual</v>
      </c>
      <c r="C126" t="s">
        <v>28</v>
      </c>
      <c r="D126" t="s">
        <v>31</v>
      </c>
      <c r="E126" t="s">
        <v>268</v>
      </c>
      <c r="F126" t="s">
        <v>17</v>
      </c>
      <c r="G126" t="s">
        <v>269</v>
      </c>
      <c r="H126" t="s">
        <v>11</v>
      </c>
      <c r="I126" t="s">
        <v>7</v>
      </c>
      <c r="J126" t="s">
        <v>48</v>
      </c>
      <c r="K126" t="s">
        <v>29</v>
      </c>
      <c r="L126" t="s">
        <v>50</v>
      </c>
      <c r="M126">
        <v>1</v>
      </c>
    </row>
    <row r="127" spans="1:13" x14ac:dyDescent="0.25">
      <c r="A127" s="2">
        <v>46163</v>
      </c>
      <c r="B127" s="1" t="str">
        <f ca="1">IF(Información1[[#This Row],[Fecha]]='Ajuste de fechas'!$A$2,"Día actual","Día anterior")</f>
        <v>Día actual</v>
      </c>
      <c r="C127" t="s">
        <v>28</v>
      </c>
      <c r="D127" t="s">
        <v>31</v>
      </c>
      <c r="E127" t="s">
        <v>270</v>
      </c>
      <c r="F127" t="s">
        <v>17</v>
      </c>
      <c r="G127" t="s">
        <v>269</v>
      </c>
      <c r="H127" t="s">
        <v>11</v>
      </c>
      <c r="I127" t="s">
        <v>7</v>
      </c>
      <c r="J127" t="s">
        <v>48</v>
      </c>
      <c r="K127" t="s">
        <v>29</v>
      </c>
      <c r="L127" t="s">
        <v>49</v>
      </c>
      <c r="M127">
        <v>1</v>
      </c>
    </row>
    <row r="128" spans="1:13" x14ac:dyDescent="0.25">
      <c r="A128" s="2">
        <v>46163</v>
      </c>
      <c r="B128" s="1" t="str">
        <f ca="1">IF(Información1[[#This Row],[Fecha]]='Ajuste de fechas'!$A$2,"Día actual","Día anterior")</f>
        <v>Día actual</v>
      </c>
      <c r="C128" t="s">
        <v>28</v>
      </c>
      <c r="D128" t="s">
        <v>31</v>
      </c>
      <c r="E128" t="s">
        <v>271</v>
      </c>
      <c r="F128" t="s">
        <v>19</v>
      </c>
      <c r="G128" t="s">
        <v>250</v>
      </c>
      <c r="H128" t="s">
        <v>11</v>
      </c>
      <c r="I128" t="s">
        <v>7</v>
      </c>
      <c r="J128" t="s">
        <v>52</v>
      </c>
      <c r="K128" t="s">
        <v>29</v>
      </c>
      <c r="L128" t="s">
        <v>49</v>
      </c>
      <c r="M128">
        <v>1</v>
      </c>
    </row>
    <row r="129" spans="1:13" x14ac:dyDescent="0.25">
      <c r="A129" s="2">
        <v>46163</v>
      </c>
      <c r="B129" s="1" t="str">
        <f ca="1">IF(Información1[[#This Row],[Fecha]]='Ajuste de fechas'!$A$2,"Día actual","Día anterior")</f>
        <v>Día actual</v>
      </c>
      <c r="C129" t="s">
        <v>28</v>
      </c>
      <c r="D129" t="s">
        <v>31</v>
      </c>
      <c r="E129" t="s">
        <v>272</v>
      </c>
      <c r="F129" t="s">
        <v>24</v>
      </c>
      <c r="G129" t="s">
        <v>273</v>
      </c>
      <c r="H129" t="s">
        <v>11</v>
      </c>
      <c r="I129" t="s">
        <v>7</v>
      </c>
      <c r="J129" t="s">
        <v>24</v>
      </c>
      <c r="K129" t="s">
        <v>29</v>
      </c>
      <c r="L129" t="s">
        <v>49</v>
      </c>
      <c r="M129">
        <v>1</v>
      </c>
    </row>
    <row r="130" spans="1:13" x14ac:dyDescent="0.25">
      <c r="A130" s="2">
        <v>46163</v>
      </c>
      <c r="B130" s="1" t="str">
        <f ca="1">IF(Información1[[#This Row],[Fecha]]='Ajuste de fechas'!$A$2,"Día actual","Día anterior")</f>
        <v>Día actual</v>
      </c>
      <c r="C130" t="s">
        <v>28</v>
      </c>
      <c r="D130" t="s">
        <v>31</v>
      </c>
      <c r="E130" t="s">
        <v>274</v>
      </c>
      <c r="F130" t="s">
        <v>17</v>
      </c>
      <c r="G130" t="s">
        <v>275</v>
      </c>
      <c r="H130" t="s">
        <v>11</v>
      </c>
      <c r="I130" t="s">
        <v>25</v>
      </c>
      <c r="J130" t="s">
        <v>48</v>
      </c>
      <c r="K130" t="s">
        <v>29</v>
      </c>
      <c r="L130" t="s">
        <v>50</v>
      </c>
      <c r="M130">
        <v>1</v>
      </c>
    </row>
    <row r="131" spans="1:13" x14ac:dyDescent="0.25">
      <c r="A131" s="2">
        <v>46163</v>
      </c>
      <c r="B131" s="1" t="str">
        <f ca="1">IF(Información1[[#This Row],[Fecha]]='Ajuste de fechas'!$A$2,"Día actual","Día anterior")</f>
        <v>Día actual</v>
      </c>
      <c r="C131" t="s">
        <v>28</v>
      </c>
      <c r="D131" t="s">
        <v>31</v>
      </c>
      <c r="E131" t="s">
        <v>276</v>
      </c>
      <c r="F131" t="s">
        <v>108</v>
      </c>
      <c r="G131" t="s">
        <v>78</v>
      </c>
      <c r="H131" t="s">
        <v>11</v>
      </c>
      <c r="I131" t="s">
        <v>7</v>
      </c>
      <c r="J131" t="s">
        <v>48</v>
      </c>
      <c r="K131" t="s">
        <v>29</v>
      </c>
      <c r="L131" t="s">
        <v>49</v>
      </c>
      <c r="M131">
        <v>1</v>
      </c>
    </row>
    <row r="132" spans="1:13" x14ac:dyDescent="0.25">
      <c r="A132" s="2">
        <v>46163</v>
      </c>
      <c r="B132" s="1" t="str">
        <f ca="1">IF(Información1[[#This Row],[Fecha]]='Ajuste de fechas'!$A$2,"Día actual","Día anterior")</f>
        <v>Día actual</v>
      </c>
      <c r="C132" t="s">
        <v>28</v>
      </c>
      <c r="D132" t="s">
        <v>31</v>
      </c>
      <c r="E132" t="s">
        <v>277</v>
      </c>
      <c r="F132" t="s">
        <v>23</v>
      </c>
      <c r="G132" t="s">
        <v>86</v>
      </c>
      <c r="H132" t="s">
        <v>11</v>
      </c>
      <c r="I132" t="s">
        <v>7</v>
      </c>
      <c r="J132" t="s">
        <v>48</v>
      </c>
      <c r="K132" t="s">
        <v>29</v>
      </c>
      <c r="L132" t="s">
        <v>51</v>
      </c>
      <c r="M132">
        <v>1</v>
      </c>
    </row>
    <row r="133" spans="1:13" x14ac:dyDescent="0.25">
      <c r="A133" s="2">
        <v>46163</v>
      </c>
      <c r="B133" s="1" t="str">
        <f ca="1">IF(Información1[[#This Row],[Fecha]]='Ajuste de fechas'!$A$2,"Día actual","Día anterior")</f>
        <v>Día actual</v>
      </c>
      <c r="C133" t="s">
        <v>28</v>
      </c>
      <c r="D133" t="s">
        <v>31</v>
      </c>
      <c r="E133" t="s">
        <v>278</v>
      </c>
      <c r="F133" t="s">
        <v>19</v>
      </c>
      <c r="G133" t="s">
        <v>279</v>
      </c>
      <c r="H133" t="s">
        <v>11</v>
      </c>
      <c r="I133" t="s">
        <v>7</v>
      </c>
      <c r="J133" t="s">
        <v>52</v>
      </c>
      <c r="K133" t="s">
        <v>29</v>
      </c>
      <c r="L133" t="s">
        <v>49</v>
      </c>
      <c r="M133">
        <v>1</v>
      </c>
    </row>
    <row r="134" spans="1:13" x14ac:dyDescent="0.25">
      <c r="A134" s="2">
        <v>46163</v>
      </c>
      <c r="B134" s="1" t="str">
        <f ca="1">IF(Información1[[#This Row],[Fecha]]='Ajuste de fechas'!$A$2,"Día actual","Día anterior")</f>
        <v>Día actual</v>
      </c>
      <c r="C134" t="s">
        <v>28</v>
      </c>
      <c r="D134" t="s">
        <v>31</v>
      </c>
      <c r="E134" t="s">
        <v>280</v>
      </c>
      <c r="F134" t="s">
        <v>19</v>
      </c>
      <c r="G134" t="s">
        <v>281</v>
      </c>
      <c r="H134" t="s">
        <v>11</v>
      </c>
      <c r="I134" t="s">
        <v>7</v>
      </c>
      <c r="J134" t="s">
        <v>52</v>
      </c>
      <c r="K134" t="s">
        <v>29</v>
      </c>
      <c r="L134" t="s">
        <v>49</v>
      </c>
      <c r="M134">
        <v>1</v>
      </c>
    </row>
    <row r="135" spans="1:13" x14ac:dyDescent="0.25">
      <c r="A135" s="2">
        <v>46163</v>
      </c>
      <c r="B135" s="1" t="str">
        <f ca="1">IF(Información1[[#This Row],[Fecha]]='Ajuste de fechas'!$A$2,"Día actual","Día anterior")</f>
        <v>Día actual</v>
      </c>
      <c r="C135" t="s">
        <v>28</v>
      </c>
      <c r="D135" t="s">
        <v>31</v>
      </c>
      <c r="E135" t="s">
        <v>282</v>
      </c>
      <c r="F135" t="s">
        <v>22</v>
      </c>
      <c r="G135" t="s">
        <v>283</v>
      </c>
      <c r="H135" t="s">
        <v>11</v>
      </c>
      <c r="I135" t="s">
        <v>7</v>
      </c>
      <c r="J135" t="s">
        <v>53</v>
      </c>
      <c r="K135" t="s">
        <v>29</v>
      </c>
      <c r="L135" t="s">
        <v>49</v>
      </c>
      <c r="M135">
        <v>1</v>
      </c>
    </row>
    <row r="136" spans="1:13" x14ac:dyDescent="0.25">
      <c r="A136" s="2">
        <v>46163</v>
      </c>
      <c r="B136" s="1" t="str">
        <f ca="1">IF(Información1[[#This Row],[Fecha]]='Ajuste de fechas'!$A$2,"Día actual","Día anterior")</f>
        <v>Día actual</v>
      </c>
      <c r="C136" t="s">
        <v>28</v>
      </c>
      <c r="D136" t="s">
        <v>31</v>
      </c>
      <c r="E136" t="s">
        <v>284</v>
      </c>
      <c r="F136" t="s">
        <v>22</v>
      </c>
      <c r="G136" t="s">
        <v>285</v>
      </c>
      <c r="H136" t="s">
        <v>11</v>
      </c>
      <c r="I136" t="s">
        <v>7</v>
      </c>
      <c r="J136" t="s">
        <v>53</v>
      </c>
      <c r="K136" t="s">
        <v>29</v>
      </c>
      <c r="L136" t="s">
        <v>49</v>
      </c>
      <c r="M136">
        <v>1</v>
      </c>
    </row>
    <row r="137" spans="1:13" x14ac:dyDescent="0.25">
      <c r="A137" s="2">
        <v>46163</v>
      </c>
      <c r="B137" s="1" t="str">
        <f ca="1">IF(Información1[[#This Row],[Fecha]]='Ajuste de fechas'!$A$2,"Día actual","Día anterior")</f>
        <v>Día actual</v>
      </c>
      <c r="C137" t="s">
        <v>28</v>
      </c>
      <c r="D137" t="s">
        <v>31</v>
      </c>
      <c r="E137" t="s">
        <v>286</v>
      </c>
      <c r="F137" t="s">
        <v>22</v>
      </c>
      <c r="G137" t="s">
        <v>287</v>
      </c>
      <c r="H137" t="s">
        <v>11</v>
      </c>
      <c r="I137" t="s">
        <v>7</v>
      </c>
      <c r="J137" t="s">
        <v>53</v>
      </c>
      <c r="K137" t="s">
        <v>29</v>
      </c>
      <c r="L137" t="s">
        <v>49</v>
      </c>
      <c r="M137">
        <v>1</v>
      </c>
    </row>
    <row r="138" spans="1:13" x14ac:dyDescent="0.25">
      <c r="A138" s="2">
        <v>46163</v>
      </c>
      <c r="B138" s="1" t="str">
        <f ca="1">IF(Información1[[#This Row],[Fecha]]='Ajuste de fechas'!$A$2,"Día actual","Día anterior")</f>
        <v>Día actual</v>
      </c>
      <c r="C138" t="s">
        <v>28</v>
      </c>
      <c r="D138" t="s">
        <v>31</v>
      </c>
      <c r="E138" t="s">
        <v>288</v>
      </c>
      <c r="F138" t="s">
        <v>187</v>
      </c>
      <c r="G138" t="s">
        <v>188</v>
      </c>
      <c r="H138" t="s">
        <v>11</v>
      </c>
      <c r="I138" t="s">
        <v>7</v>
      </c>
      <c r="J138" t="s">
        <v>24</v>
      </c>
      <c r="K138" t="s">
        <v>29</v>
      </c>
      <c r="L138" t="s">
        <v>49</v>
      </c>
      <c r="M138">
        <v>1</v>
      </c>
    </row>
    <row r="139" spans="1:13" x14ac:dyDescent="0.25">
      <c r="A139" s="2">
        <v>46163</v>
      </c>
      <c r="B139" s="1" t="str">
        <f ca="1">IF(Información1[[#This Row],[Fecha]]='Ajuste de fechas'!$A$2,"Día actual","Día anterior")</f>
        <v>Día actual</v>
      </c>
      <c r="C139" t="s">
        <v>28</v>
      </c>
      <c r="D139" t="s">
        <v>31</v>
      </c>
      <c r="E139" t="s">
        <v>289</v>
      </c>
      <c r="F139" t="s">
        <v>290</v>
      </c>
      <c r="G139" t="s">
        <v>291</v>
      </c>
      <c r="H139" t="s">
        <v>11</v>
      </c>
      <c r="I139" t="s">
        <v>7</v>
      </c>
      <c r="J139" t="s">
        <v>24</v>
      </c>
      <c r="K139" t="s">
        <v>29</v>
      </c>
      <c r="L139" t="s">
        <v>49</v>
      </c>
      <c r="M139">
        <v>1</v>
      </c>
    </row>
    <row r="140" spans="1:13" x14ac:dyDescent="0.25">
      <c r="A140" s="2">
        <v>46163</v>
      </c>
      <c r="B140" s="1" t="str">
        <f ca="1">IF(Información1[[#This Row],[Fecha]]='Ajuste de fechas'!$A$2,"Día actual","Día anterior")</f>
        <v>Día actual</v>
      </c>
      <c r="C140" t="s">
        <v>28</v>
      </c>
      <c r="D140" t="s">
        <v>31</v>
      </c>
      <c r="E140" t="s">
        <v>292</v>
      </c>
      <c r="F140" t="s">
        <v>26</v>
      </c>
      <c r="G140" t="s">
        <v>273</v>
      </c>
      <c r="H140" t="s">
        <v>11</v>
      </c>
      <c r="I140" t="s">
        <v>7</v>
      </c>
      <c r="J140" t="s">
        <v>48</v>
      </c>
      <c r="K140" t="s">
        <v>29</v>
      </c>
      <c r="L140" t="s">
        <v>49</v>
      </c>
      <c r="M140">
        <v>1</v>
      </c>
    </row>
    <row r="141" spans="1:13" x14ac:dyDescent="0.25">
      <c r="A141" s="2">
        <v>46163</v>
      </c>
      <c r="B141" s="1" t="str">
        <f ca="1">IF(Información1[[#This Row],[Fecha]]='Ajuste de fechas'!$A$2,"Día actual","Día anterior")</f>
        <v>Día actual</v>
      </c>
      <c r="C141" t="s">
        <v>28</v>
      </c>
      <c r="D141" t="s">
        <v>31</v>
      </c>
      <c r="E141" t="s">
        <v>293</v>
      </c>
      <c r="F141" t="s">
        <v>24</v>
      </c>
      <c r="G141" t="s">
        <v>273</v>
      </c>
      <c r="H141" t="s">
        <v>11</v>
      </c>
      <c r="I141" t="s">
        <v>7</v>
      </c>
      <c r="J141" t="s">
        <v>24</v>
      </c>
      <c r="K141" t="s">
        <v>29</v>
      </c>
      <c r="L141" t="s">
        <v>49</v>
      </c>
      <c r="M141">
        <v>1</v>
      </c>
    </row>
    <row r="142" spans="1:13" x14ac:dyDescent="0.25">
      <c r="A142" s="2">
        <v>46163</v>
      </c>
      <c r="B142" s="1" t="str">
        <f ca="1">IF(Información1[[#This Row],[Fecha]]='Ajuste de fechas'!$A$2,"Día actual","Día anterior")</f>
        <v>Día actual</v>
      </c>
      <c r="C142" t="s">
        <v>28</v>
      </c>
      <c r="D142" t="s">
        <v>31</v>
      </c>
      <c r="E142" t="s">
        <v>294</v>
      </c>
      <c r="F142" t="s">
        <v>26</v>
      </c>
      <c r="G142" t="s">
        <v>68</v>
      </c>
      <c r="H142" t="s">
        <v>11</v>
      </c>
      <c r="I142" t="s">
        <v>7</v>
      </c>
      <c r="J142" t="s">
        <v>48</v>
      </c>
      <c r="K142" t="s">
        <v>29</v>
      </c>
      <c r="L142" t="s">
        <v>49</v>
      </c>
      <c r="M142">
        <v>1</v>
      </c>
    </row>
    <row r="143" spans="1:13" x14ac:dyDescent="0.25">
      <c r="A143" s="2">
        <v>46163</v>
      </c>
      <c r="B143" s="1" t="str">
        <f ca="1">IF(Información1[[#This Row],[Fecha]]='Ajuste de fechas'!$A$2,"Día actual","Día anterior")</f>
        <v>Día actual</v>
      </c>
      <c r="C143" t="s">
        <v>28</v>
      </c>
      <c r="D143" t="s">
        <v>31</v>
      </c>
      <c r="E143" t="s">
        <v>295</v>
      </c>
      <c r="F143" t="s">
        <v>22</v>
      </c>
      <c r="G143" t="s">
        <v>204</v>
      </c>
      <c r="H143" t="s">
        <v>11</v>
      </c>
      <c r="I143" t="s">
        <v>7</v>
      </c>
      <c r="J143" t="s">
        <v>53</v>
      </c>
      <c r="K143" t="s">
        <v>29</v>
      </c>
      <c r="L143" t="s">
        <v>49</v>
      </c>
      <c r="M143">
        <v>1</v>
      </c>
    </row>
    <row r="144" spans="1:13" x14ac:dyDescent="0.25">
      <c r="A144" s="2">
        <v>46163</v>
      </c>
      <c r="B144" s="1" t="str">
        <f ca="1">IF(Información1[[#This Row],[Fecha]]='Ajuste de fechas'!$A$2,"Día actual","Día anterior")</f>
        <v>Día actual</v>
      </c>
      <c r="C144" t="s">
        <v>8</v>
      </c>
      <c r="D144" t="s">
        <v>10</v>
      </c>
      <c r="E144" t="s">
        <v>230</v>
      </c>
      <c r="F144" t="s">
        <v>19</v>
      </c>
      <c r="G144" t="s">
        <v>231</v>
      </c>
      <c r="H144" t="s">
        <v>11</v>
      </c>
      <c r="I144" t="s">
        <v>25</v>
      </c>
      <c r="J144" t="s">
        <v>52</v>
      </c>
      <c r="K144" t="s">
        <v>9</v>
      </c>
      <c r="L144" t="s">
        <v>50</v>
      </c>
      <c r="M144">
        <v>1</v>
      </c>
    </row>
    <row r="145" spans="1:13" x14ac:dyDescent="0.25">
      <c r="A145" s="2">
        <v>46163</v>
      </c>
      <c r="B145" s="1" t="str">
        <f ca="1">IF(Información1[[#This Row],[Fecha]]='Ajuste de fechas'!$A$2,"Día actual","Día anterior")</f>
        <v>Día actual</v>
      </c>
      <c r="C145" t="s">
        <v>8</v>
      </c>
      <c r="D145" t="s">
        <v>10</v>
      </c>
      <c r="E145" t="s">
        <v>296</v>
      </c>
      <c r="F145" t="s">
        <v>17</v>
      </c>
      <c r="G145" t="s">
        <v>275</v>
      </c>
      <c r="H145" t="s">
        <v>11</v>
      </c>
      <c r="I145" t="s">
        <v>25</v>
      </c>
      <c r="J145" t="s">
        <v>48</v>
      </c>
      <c r="K145" t="s">
        <v>9</v>
      </c>
      <c r="L145" t="s">
        <v>50</v>
      </c>
      <c r="M145">
        <v>1</v>
      </c>
    </row>
    <row r="146" spans="1:13" x14ac:dyDescent="0.25">
      <c r="A146" s="2">
        <v>46163</v>
      </c>
      <c r="B146" s="1" t="str">
        <f ca="1">IF(Información1[[#This Row],[Fecha]]='Ajuste de fechas'!$A$2,"Día actual","Día anterior")</f>
        <v>Día actual</v>
      </c>
      <c r="C146" t="s">
        <v>8</v>
      </c>
      <c r="D146" t="s">
        <v>10</v>
      </c>
      <c r="E146" t="s">
        <v>297</v>
      </c>
      <c r="F146" t="s">
        <v>17</v>
      </c>
      <c r="G146" t="s">
        <v>275</v>
      </c>
      <c r="H146" t="s">
        <v>11</v>
      </c>
      <c r="I146" t="s">
        <v>25</v>
      </c>
      <c r="J146" t="s">
        <v>48</v>
      </c>
      <c r="K146" t="s">
        <v>9</v>
      </c>
      <c r="L146" t="s">
        <v>50</v>
      </c>
      <c r="M146">
        <v>1</v>
      </c>
    </row>
    <row r="147" spans="1:13" x14ac:dyDescent="0.25">
      <c r="A147" s="2">
        <v>46163</v>
      </c>
      <c r="B147" s="1" t="str">
        <f ca="1">IF(Información1[[#This Row],[Fecha]]='Ajuste de fechas'!$A$2,"Día actual","Día anterior")</f>
        <v>Día actual</v>
      </c>
      <c r="C147" t="s">
        <v>8</v>
      </c>
      <c r="D147" t="s">
        <v>10</v>
      </c>
      <c r="E147" t="s">
        <v>298</v>
      </c>
      <c r="F147" t="s">
        <v>17</v>
      </c>
      <c r="G147" t="s">
        <v>98</v>
      </c>
      <c r="H147" t="s">
        <v>11</v>
      </c>
      <c r="I147" t="s">
        <v>25</v>
      </c>
      <c r="J147" t="s">
        <v>48</v>
      </c>
      <c r="K147" t="s">
        <v>9</v>
      </c>
      <c r="L147" t="s">
        <v>50</v>
      </c>
      <c r="M147">
        <v>1</v>
      </c>
    </row>
    <row r="148" spans="1:13" x14ac:dyDescent="0.25">
      <c r="A148" s="2">
        <v>46163</v>
      </c>
      <c r="B148" s="1" t="str">
        <f ca="1">IF(Información1[[#This Row],[Fecha]]='Ajuste de fechas'!$A$2,"Día actual","Día anterior")</f>
        <v>Día actual</v>
      </c>
      <c r="C148" t="s">
        <v>8</v>
      </c>
      <c r="D148" t="s">
        <v>10</v>
      </c>
      <c r="E148" t="s">
        <v>299</v>
      </c>
      <c r="F148" t="s">
        <v>17</v>
      </c>
      <c r="G148" t="s">
        <v>98</v>
      </c>
      <c r="H148" t="s">
        <v>11</v>
      </c>
      <c r="I148" t="s">
        <v>25</v>
      </c>
      <c r="J148" t="s">
        <v>48</v>
      </c>
      <c r="K148" t="s">
        <v>9</v>
      </c>
      <c r="L148" t="s">
        <v>50</v>
      </c>
      <c r="M148">
        <v>1</v>
      </c>
    </row>
    <row r="149" spans="1:13" x14ac:dyDescent="0.25">
      <c r="A149" s="2">
        <v>46163</v>
      </c>
      <c r="B149" s="1" t="str">
        <f ca="1">IF(Información1[[#This Row],[Fecha]]='Ajuste de fechas'!$A$2,"Día actual","Día anterior")</f>
        <v>Día actual</v>
      </c>
      <c r="C149" t="s">
        <v>8</v>
      </c>
      <c r="D149" t="s">
        <v>10</v>
      </c>
      <c r="E149" t="s">
        <v>300</v>
      </c>
      <c r="F149" t="s">
        <v>17</v>
      </c>
      <c r="G149" t="s">
        <v>269</v>
      </c>
      <c r="H149" t="s">
        <v>11</v>
      </c>
      <c r="I149" t="s">
        <v>25</v>
      </c>
      <c r="J149" t="s">
        <v>48</v>
      </c>
      <c r="K149" t="s">
        <v>9</v>
      </c>
      <c r="L149" t="s">
        <v>50</v>
      </c>
      <c r="M149">
        <v>1</v>
      </c>
    </row>
    <row r="150" spans="1:13" x14ac:dyDescent="0.25">
      <c r="A150" s="2">
        <v>46163</v>
      </c>
      <c r="B150" s="1" t="str">
        <f ca="1">IF(Información1[[#This Row],[Fecha]]='Ajuste de fechas'!$A$2,"Día actual","Día anterior")</f>
        <v>Día actual</v>
      </c>
      <c r="C150" t="s">
        <v>8</v>
      </c>
      <c r="D150" t="s">
        <v>10</v>
      </c>
      <c r="E150" t="s">
        <v>301</v>
      </c>
      <c r="F150" t="s">
        <v>17</v>
      </c>
      <c r="G150" t="s">
        <v>302</v>
      </c>
      <c r="H150" t="s">
        <v>11</v>
      </c>
      <c r="I150" t="s">
        <v>25</v>
      </c>
      <c r="J150" t="s">
        <v>48</v>
      </c>
      <c r="K150" t="s">
        <v>9</v>
      </c>
      <c r="L150" t="s">
        <v>50</v>
      </c>
      <c r="M150">
        <v>1</v>
      </c>
    </row>
    <row r="151" spans="1:13" x14ac:dyDescent="0.25">
      <c r="A151" s="2">
        <v>46163</v>
      </c>
      <c r="B151" s="1" t="str">
        <f ca="1">IF(Información1[[#This Row],[Fecha]]='Ajuste de fechas'!$A$2,"Día actual","Día anterior")</f>
        <v>Día actual</v>
      </c>
      <c r="C151" t="s">
        <v>8</v>
      </c>
      <c r="D151" t="s">
        <v>10</v>
      </c>
      <c r="E151" t="s">
        <v>303</v>
      </c>
      <c r="F151" t="s">
        <v>17</v>
      </c>
      <c r="G151" t="s">
        <v>83</v>
      </c>
      <c r="H151" t="s">
        <v>11</v>
      </c>
      <c r="I151" t="s">
        <v>25</v>
      </c>
      <c r="J151" t="s">
        <v>48</v>
      </c>
      <c r="K151" t="s">
        <v>9</v>
      </c>
      <c r="L151" t="s">
        <v>50</v>
      </c>
      <c r="M151">
        <v>1</v>
      </c>
    </row>
    <row r="152" spans="1:13" x14ac:dyDescent="0.25">
      <c r="A152" s="2">
        <v>46163</v>
      </c>
      <c r="B152" s="1" t="str">
        <f ca="1">IF(Información1[[#This Row],[Fecha]]='Ajuste de fechas'!$A$2,"Día actual","Día anterior")</f>
        <v>Día actual</v>
      </c>
      <c r="C152" t="s">
        <v>8</v>
      </c>
      <c r="D152" t="s">
        <v>10</v>
      </c>
      <c r="E152" t="s">
        <v>304</v>
      </c>
      <c r="F152" t="s">
        <v>17</v>
      </c>
      <c r="G152" t="s">
        <v>98</v>
      </c>
      <c r="H152" t="s">
        <v>11</v>
      </c>
      <c r="I152" t="s">
        <v>25</v>
      </c>
      <c r="J152" t="s">
        <v>48</v>
      </c>
      <c r="K152" t="s">
        <v>9</v>
      </c>
      <c r="L152" t="s">
        <v>50</v>
      </c>
      <c r="M152">
        <v>1</v>
      </c>
    </row>
    <row r="153" spans="1:13" x14ac:dyDescent="0.25">
      <c r="A153" s="2">
        <v>46163</v>
      </c>
      <c r="B153" s="1" t="str">
        <f ca="1">IF(Información1[[#This Row],[Fecha]]='Ajuste de fechas'!$A$2,"Día actual","Día anterior")</f>
        <v>Día actual</v>
      </c>
      <c r="C153" t="s">
        <v>8</v>
      </c>
      <c r="D153" t="s">
        <v>10</v>
      </c>
      <c r="E153" t="s">
        <v>305</v>
      </c>
      <c r="F153" t="s">
        <v>17</v>
      </c>
      <c r="G153" t="s">
        <v>269</v>
      </c>
      <c r="H153" t="s">
        <v>11</v>
      </c>
      <c r="I153" t="s">
        <v>25</v>
      </c>
      <c r="J153" t="s">
        <v>48</v>
      </c>
      <c r="K153" t="s">
        <v>9</v>
      </c>
      <c r="L153" t="s">
        <v>50</v>
      </c>
      <c r="M153">
        <v>1</v>
      </c>
    </row>
    <row r="154" spans="1:13" x14ac:dyDescent="0.25">
      <c r="A154" s="2">
        <v>46163</v>
      </c>
      <c r="B154" s="1" t="str">
        <f ca="1">IF(Información1[[#This Row],[Fecha]]='Ajuste de fechas'!$A$2,"Día actual","Día anterior")</f>
        <v>Día actual</v>
      </c>
      <c r="C154" t="s">
        <v>8</v>
      </c>
      <c r="D154" t="s">
        <v>10</v>
      </c>
      <c r="E154" t="s">
        <v>306</v>
      </c>
      <c r="F154" t="s">
        <v>21</v>
      </c>
      <c r="G154" t="s">
        <v>307</v>
      </c>
      <c r="H154" t="s">
        <v>11</v>
      </c>
      <c r="I154" t="s">
        <v>25</v>
      </c>
      <c r="J154" t="s">
        <v>48</v>
      </c>
      <c r="K154" t="s">
        <v>9</v>
      </c>
      <c r="L154" t="s">
        <v>50</v>
      </c>
      <c r="M154">
        <v>1</v>
      </c>
    </row>
    <row r="155" spans="1:13" x14ac:dyDescent="0.25">
      <c r="A155" s="2">
        <v>46163</v>
      </c>
      <c r="B155" s="1" t="str">
        <f ca="1">IF(Información1[[#This Row],[Fecha]]='Ajuste de fechas'!$A$2,"Día actual","Día anterior")</f>
        <v>Día actual</v>
      </c>
      <c r="C155" t="s">
        <v>8</v>
      </c>
      <c r="D155" t="s">
        <v>10</v>
      </c>
      <c r="E155" t="s">
        <v>308</v>
      </c>
      <c r="F155" t="s">
        <v>6</v>
      </c>
      <c r="G155" t="s">
        <v>61</v>
      </c>
      <c r="H155" t="s">
        <v>11</v>
      </c>
      <c r="I155" t="s">
        <v>25</v>
      </c>
      <c r="J155" t="s">
        <v>48</v>
      </c>
      <c r="K155" t="s">
        <v>9</v>
      </c>
      <c r="L155" t="s">
        <v>50</v>
      </c>
      <c r="M155">
        <v>1</v>
      </c>
    </row>
    <row r="156" spans="1:13" x14ac:dyDescent="0.25">
      <c r="A156" s="2">
        <v>46163</v>
      </c>
      <c r="B156" s="1" t="str">
        <f ca="1">IF(Información1[[#This Row],[Fecha]]='Ajuste de fechas'!$A$2,"Día actual","Día anterior")</f>
        <v>Día actual</v>
      </c>
      <c r="C156" t="s">
        <v>8</v>
      </c>
      <c r="D156" t="s">
        <v>10</v>
      </c>
      <c r="E156" t="s">
        <v>309</v>
      </c>
      <c r="F156" t="s">
        <v>6</v>
      </c>
      <c r="G156" t="s">
        <v>61</v>
      </c>
      <c r="H156" t="s">
        <v>11</v>
      </c>
      <c r="I156" t="s">
        <v>25</v>
      </c>
      <c r="J156" t="s">
        <v>48</v>
      </c>
      <c r="K156" t="s">
        <v>9</v>
      </c>
      <c r="L156" t="s">
        <v>50</v>
      </c>
      <c r="M156">
        <v>1</v>
      </c>
    </row>
    <row r="157" spans="1:13" x14ac:dyDescent="0.25">
      <c r="A157" s="2">
        <v>46163</v>
      </c>
      <c r="B157" s="1" t="str">
        <f ca="1">IF(Información1[[#This Row],[Fecha]]='Ajuste de fechas'!$A$2,"Día actual","Día anterior")</f>
        <v>Día actual</v>
      </c>
      <c r="C157" t="s">
        <v>8</v>
      </c>
      <c r="D157" t="s">
        <v>10</v>
      </c>
      <c r="E157" t="s">
        <v>310</v>
      </c>
      <c r="F157" t="s">
        <v>6</v>
      </c>
      <c r="G157" t="s">
        <v>311</v>
      </c>
      <c r="H157" t="s">
        <v>11</v>
      </c>
      <c r="I157" t="s">
        <v>7</v>
      </c>
      <c r="J157" t="s">
        <v>48</v>
      </c>
      <c r="K157" t="s">
        <v>14</v>
      </c>
      <c r="L157" t="s">
        <v>49</v>
      </c>
      <c r="M157">
        <v>1</v>
      </c>
    </row>
    <row r="158" spans="1:13" x14ac:dyDescent="0.25">
      <c r="A158" s="2">
        <v>46163</v>
      </c>
      <c r="B158" s="1" t="str">
        <f ca="1">IF(Información1[[#This Row],[Fecha]]='Ajuste de fechas'!$A$2,"Día actual","Día anterior")</f>
        <v>Día actual</v>
      </c>
      <c r="C158" t="s">
        <v>8</v>
      </c>
      <c r="D158" t="s">
        <v>10</v>
      </c>
      <c r="E158" t="s">
        <v>312</v>
      </c>
      <c r="F158" t="s">
        <v>19</v>
      </c>
      <c r="G158" t="s">
        <v>33</v>
      </c>
      <c r="H158" t="s">
        <v>11</v>
      </c>
      <c r="I158" t="s">
        <v>12</v>
      </c>
      <c r="J158" t="s">
        <v>52</v>
      </c>
      <c r="K158" t="s">
        <v>9</v>
      </c>
      <c r="L158" t="s">
        <v>50</v>
      </c>
      <c r="M158">
        <v>1</v>
      </c>
    </row>
    <row r="159" spans="1:13" x14ac:dyDescent="0.25">
      <c r="A159" s="2">
        <v>46163</v>
      </c>
      <c r="B159" s="1" t="str">
        <f ca="1">IF(Información1[[#This Row],[Fecha]]='Ajuste de fechas'!$A$2,"Día actual","Día anterior")</f>
        <v>Día actual</v>
      </c>
      <c r="C159" t="s">
        <v>8</v>
      </c>
      <c r="D159" t="s">
        <v>10</v>
      </c>
      <c r="E159" t="s">
        <v>313</v>
      </c>
      <c r="F159" t="s">
        <v>19</v>
      </c>
      <c r="G159" t="s">
        <v>314</v>
      </c>
      <c r="H159" t="s">
        <v>11</v>
      </c>
      <c r="I159" t="s">
        <v>7</v>
      </c>
      <c r="J159" t="s">
        <v>52</v>
      </c>
      <c r="K159" t="s">
        <v>14</v>
      </c>
      <c r="L159" t="s">
        <v>49</v>
      </c>
      <c r="M159">
        <v>1</v>
      </c>
    </row>
    <row r="160" spans="1:13" x14ac:dyDescent="0.25">
      <c r="A160" s="2">
        <v>46163</v>
      </c>
      <c r="B160" s="1" t="str">
        <f ca="1">IF(Información1[[#This Row],[Fecha]]='Ajuste de fechas'!$A$2,"Día actual","Día anterior")</f>
        <v>Día actual</v>
      </c>
      <c r="C160" t="s">
        <v>8</v>
      </c>
      <c r="D160" t="s">
        <v>10</v>
      </c>
      <c r="E160" t="s">
        <v>315</v>
      </c>
      <c r="F160" t="s">
        <v>19</v>
      </c>
      <c r="G160" t="s">
        <v>316</v>
      </c>
      <c r="H160" t="s">
        <v>11</v>
      </c>
      <c r="I160" t="s">
        <v>7</v>
      </c>
      <c r="J160" t="s">
        <v>52</v>
      </c>
      <c r="K160" t="s">
        <v>14</v>
      </c>
      <c r="L160" t="s">
        <v>49</v>
      </c>
      <c r="M160">
        <v>1</v>
      </c>
    </row>
    <row r="161" spans="1:13" x14ac:dyDescent="0.25">
      <c r="A161" s="2">
        <v>46163</v>
      </c>
      <c r="B161" s="1" t="str">
        <f ca="1">IF(Información1[[#This Row],[Fecha]]='Ajuste de fechas'!$A$2,"Día actual","Día anterior")</f>
        <v>Día actual</v>
      </c>
      <c r="C161" t="s">
        <v>8</v>
      </c>
      <c r="D161" t="s">
        <v>10</v>
      </c>
      <c r="E161" t="s">
        <v>317</v>
      </c>
      <c r="F161" t="s">
        <v>80</v>
      </c>
      <c r="G161" t="s">
        <v>318</v>
      </c>
      <c r="H161" t="s">
        <v>11</v>
      </c>
      <c r="I161" t="s">
        <v>7</v>
      </c>
      <c r="J161" t="s">
        <v>48</v>
      </c>
      <c r="K161" t="s">
        <v>14</v>
      </c>
      <c r="L161" t="s">
        <v>51</v>
      </c>
      <c r="M161">
        <v>1</v>
      </c>
    </row>
    <row r="162" spans="1:13" x14ac:dyDescent="0.25">
      <c r="A162" s="2">
        <v>46163</v>
      </c>
      <c r="B162" s="1" t="str">
        <f ca="1">IF(Información1[[#This Row],[Fecha]]='Ajuste de fechas'!$A$2,"Día actual","Día anterior")</f>
        <v>Día actual</v>
      </c>
      <c r="C162" t="s">
        <v>8</v>
      </c>
      <c r="D162" t="s">
        <v>10</v>
      </c>
      <c r="E162" t="s">
        <v>319</v>
      </c>
      <c r="F162" t="s">
        <v>23</v>
      </c>
      <c r="G162" t="s">
        <v>320</v>
      </c>
      <c r="H162" t="s">
        <v>11</v>
      </c>
      <c r="I162" t="s">
        <v>7</v>
      </c>
      <c r="J162" t="s">
        <v>48</v>
      </c>
      <c r="K162" t="s">
        <v>14</v>
      </c>
      <c r="L162" t="s">
        <v>49</v>
      </c>
      <c r="M162">
        <v>1</v>
      </c>
    </row>
    <row r="163" spans="1:13" x14ac:dyDescent="0.25">
      <c r="A163" s="2">
        <v>46163</v>
      </c>
      <c r="B163" s="1" t="str">
        <f ca="1">IF(Información1[[#This Row],[Fecha]]='Ajuste de fechas'!$A$2,"Día actual","Día anterior")</f>
        <v>Día actual</v>
      </c>
      <c r="C163" t="s">
        <v>8</v>
      </c>
      <c r="D163" t="s">
        <v>10</v>
      </c>
      <c r="E163" t="s">
        <v>321</v>
      </c>
      <c r="F163" t="s">
        <v>23</v>
      </c>
      <c r="G163" t="s">
        <v>269</v>
      </c>
      <c r="H163" t="s">
        <v>11</v>
      </c>
      <c r="I163" t="s">
        <v>7</v>
      </c>
      <c r="J163" t="s">
        <v>48</v>
      </c>
      <c r="K163" t="s">
        <v>14</v>
      </c>
      <c r="L163" t="s">
        <v>51</v>
      </c>
      <c r="M163">
        <v>1</v>
      </c>
    </row>
    <row r="164" spans="1:13" x14ac:dyDescent="0.25">
      <c r="A164" s="2">
        <v>46163</v>
      </c>
      <c r="B164" s="1" t="str">
        <f ca="1">IF(Información1[[#This Row],[Fecha]]='Ajuste de fechas'!$A$2,"Día actual","Día anterior")</f>
        <v>Día actual</v>
      </c>
      <c r="C164" t="s">
        <v>8</v>
      </c>
      <c r="D164" t="s">
        <v>10</v>
      </c>
      <c r="E164" t="s">
        <v>277</v>
      </c>
      <c r="F164" t="s">
        <v>23</v>
      </c>
      <c r="G164" t="s">
        <v>86</v>
      </c>
      <c r="H164" t="s">
        <v>11</v>
      </c>
      <c r="I164" t="s">
        <v>7</v>
      </c>
      <c r="J164" t="s">
        <v>48</v>
      </c>
      <c r="K164" t="s">
        <v>14</v>
      </c>
      <c r="L164" t="s">
        <v>51</v>
      </c>
      <c r="M164">
        <v>1</v>
      </c>
    </row>
    <row r="165" spans="1:13" x14ac:dyDescent="0.25">
      <c r="A165" s="2">
        <v>46163</v>
      </c>
      <c r="B165" s="1" t="str">
        <f ca="1">IF(Información1[[#This Row],[Fecha]]='Ajuste de fechas'!$A$2,"Día actual","Día anterior")</f>
        <v>Día actual</v>
      </c>
      <c r="C165" t="s">
        <v>8</v>
      </c>
      <c r="D165" t="s">
        <v>10</v>
      </c>
      <c r="E165" t="s">
        <v>113</v>
      </c>
      <c r="F165" t="s">
        <v>80</v>
      </c>
      <c r="G165" t="s">
        <v>114</v>
      </c>
      <c r="H165" t="s">
        <v>11</v>
      </c>
      <c r="I165" t="s">
        <v>7</v>
      </c>
      <c r="J165" t="s">
        <v>48</v>
      </c>
      <c r="K165" t="s">
        <v>14</v>
      </c>
      <c r="L165" t="s">
        <v>51</v>
      </c>
      <c r="M165">
        <v>1</v>
      </c>
    </row>
    <row r="166" spans="1:13" x14ac:dyDescent="0.25">
      <c r="A166" s="2">
        <v>46163</v>
      </c>
      <c r="B166" s="1" t="str">
        <f ca="1">IF(Información1[[#This Row],[Fecha]]='Ajuste de fechas'!$A$2,"Día actual","Día anterior")</f>
        <v>Día actual</v>
      </c>
      <c r="C166" t="s">
        <v>8</v>
      </c>
      <c r="D166" t="s">
        <v>10</v>
      </c>
      <c r="E166" t="s">
        <v>20</v>
      </c>
      <c r="F166" t="s">
        <v>19</v>
      </c>
      <c r="G166" t="s">
        <v>40</v>
      </c>
      <c r="H166" t="s">
        <v>11</v>
      </c>
      <c r="I166" t="s">
        <v>12</v>
      </c>
      <c r="J166" t="s">
        <v>52</v>
      </c>
      <c r="K166" t="s">
        <v>14</v>
      </c>
      <c r="L166" t="s">
        <v>50</v>
      </c>
      <c r="M166">
        <v>1</v>
      </c>
    </row>
    <row r="167" spans="1:13" x14ac:dyDescent="0.25">
      <c r="A167" s="2">
        <v>46163</v>
      </c>
      <c r="B167" s="1" t="str">
        <f ca="1">IF(Información1[[#This Row],[Fecha]]='Ajuste de fechas'!$A$2,"Día actual","Día anterior")</f>
        <v>Día actual</v>
      </c>
      <c r="C167" t="s">
        <v>8</v>
      </c>
      <c r="D167" t="s">
        <v>10</v>
      </c>
      <c r="E167" t="s">
        <v>18</v>
      </c>
      <c r="F167" t="s">
        <v>19</v>
      </c>
      <c r="G167" t="s">
        <v>40</v>
      </c>
      <c r="H167" t="s">
        <v>11</v>
      </c>
      <c r="I167" t="s">
        <v>12</v>
      </c>
      <c r="J167" t="s">
        <v>52</v>
      </c>
      <c r="K167" t="s">
        <v>14</v>
      </c>
      <c r="L167" t="s">
        <v>50</v>
      </c>
      <c r="M167">
        <v>1</v>
      </c>
    </row>
    <row r="168" spans="1:13" x14ac:dyDescent="0.25">
      <c r="A168" s="2">
        <v>46163</v>
      </c>
      <c r="B168" s="1" t="str">
        <f ca="1">IF(Información1[[#This Row],[Fecha]]='Ajuste de fechas'!$A$2,"Día actual","Día anterior")</f>
        <v>Día actual</v>
      </c>
      <c r="C168" t="s">
        <v>8</v>
      </c>
      <c r="D168" t="s">
        <v>10</v>
      </c>
      <c r="E168" t="s">
        <v>99</v>
      </c>
      <c r="F168" t="s">
        <v>21</v>
      </c>
      <c r="G168" t="s">
        <v>40</v>
      </c>
      <c r="H168" t="s">
        <v>11</v>
      </c>
      <c r="I168" t="s">
        <v>12</v>
      </c>
      <c r="J168" t="s">
        <v>48</v>
      </c>
      <c r="K168" t="s">
        <v>14</v>
      </c>
      <c r="L168" t="s">
        <v>50</v>
      </c>
      <c r="M168">
        <v>1</v>
      </c>
    </row>
    <row r="169" spans="1:13" x14ac:dyDescent="0.25">
      <c r="A169" s="2">
        <v>46163</v>
      </c>
      <c r="B169" s="1" t="str">
        <f ca="1">IF(Información1[[#This Row],[Fecha]]='Ajuste de fechas'!$A$2,"Día actual","Día anterior")</f>
        <v>Día actual</v>
      </c>
      <c r="C169" t="s">
        <v>8</v>
      </c>
      <c r="D169" t="s">
        <v>10</v>
      </c>
      <c r="E169" t="s">
        <v>213</v>
      </c>
      <c r="F169" t="s">
        <v>173</v>
      </c>
      <c r="G169" t="s">
        <v>40</v>
      </c>
      <c r="H169" t="s">
        <v>11</v>
      </c>
      <c r="I169" t="s">
        <v>12</v>
      </c>
      <c r="J169" t="s">
        <v>24</v>
      </c>
      <c r="K169" t="s">
        <v>14</v>
      </c>
      <c r="L169" t="s">
        <v>50</v>
      </c>
      <c r="M169">
        <v>1</v>
      </c>
    </row>
    <row r="170" spans="1:13" x14ac:dyDescent="0.25">
      <c r="A170" s="2">
        <v>46163</v>
      </c>
      <c r="B170" s="1" t="str">
        <f ca="1">IF(Información1[[#This Row],[Fecha]]='Ajuste de fechas'!$A$2,"Día actual","Día anterior")</f>
        <v>Día actual</v>
      </c>
      <c r="C170" t="s">
        <v>8</v>
      </c>
      <c r="D170" t="s">
        <v>10</v>
      </c>
      <c r="E170" t="s">
        <v>16</v>
      </c>
      <c r="F170" t="s">
        <v>17</v>
      </c>
      <c r="G170" t="s">
        <v>40</v>
      </c>
      <c r="H170" t="s">
        <v>11</v>
      </c>
      <c r="I170" t="s">
        <v>12</v>
      </c>
      <c r="J170" t="s">
        <v>48</v>
      </c>
      <c r="K170" t="s">
        <v>14</v>
      </c>
      <c r="L170" t="s">
        <v>50</v>
      </c>
      <c r="M170">
        <v>1</v>
      </c>
    </row>
    <row r="171" spans="1:13" x14ac:dyDescent="0.25">
      <c r="A171" s="2">
        <v>46163</v>
      </c>
      <c r="B171" s="1" t="str">
        <f ca="1">IF(Información1[[#This Row],[Fecha]]='Ajuste de fechas'!$A$2,"Día actual","Día anterior")</f>
        <v>Día actual</v>
      </c>
      <c r="C171" t="s">
        <v>8</v>
      </c>
      <c r="D171" t="s">
        <v>10</v>
      </c>
      <c r="E171" t="s">
        <v>100</v>
      </c>
      <c r="F171" t="s">
        <v>6</v>
      </c>
      <c r="G171" t="s">
        <v>40</v>
      </c>
      <c r="H171" t="s">
        <v>11</v>
      </c>
      <c r="I171" t="s">
        <v>12</v>
      </c>
      <c r="J171" t="s">
        <v>48</v>
      </c>
      <c r="K171" t="s">
        <v>14</v>
      </c>
      <c r="L171" t="s">
        <v>50</v>
      </c>
      <c r="M17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56</v>
      </c>
      <c r="B1" t="s">
        <v>57</v>
      </c>
    </row>
    <row r="2" spans="1:2" x14ac:dyDescent="0.25">
      <c r="A2" s="2">
        <f ca="1">TODAY()</f>
        <v>46163</v>
      </c>
      <c r="B2" s="2">
        <f ca="1">A2-1</f>
        <v>46162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2026-05-21T23:59:50Z</dcterms:modified>
</cp:coreProperties>
</file>