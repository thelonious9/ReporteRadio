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6D5B1EE-72A0-4C23-8806-901EE8DD8496}"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102" i="2"/>
  <c r="B104" i="2"/>
  <c r="B107" i="2"/>
  <c r="B111" i="2"/>
  <c r="B113" i="2"/>
  <c r="B116" i="2"/>
  <c r="B119" i="2"/>
  <c r="B122" i="2"/>
  <c r="B125"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96" i="2"/>
  <c r="B98" i="2"/>
  <c r="B100" i="2"/>
  <c r="B103" i="2"/>
  <c r="B106" i="2"/>
  <c r="B109" i="2"/>
  <c r="B112" i="2"/>
  <c r="B115" i="2"/>
  <c r="B118" i="2"/>
  <c r="B121" i="2"/>
  <c r="B12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7" i="2"/>
  <c r="B99" i="2"/>
  <c r="B101" i="2"/>
  <c r="B105" i="2"/>
  <c r="B108" i="2"/>
  <c r="B110" i="2"/>
  <c r="B114" i="2"/>
  <c r="B117" i="2"/>
  <c r="B120" i="2"/>
  <c r="B123" i="2"/>
  <c r="B12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<sst xmlns="http://schemas.openxmlformats.org/spreadsheetml/2006/main" count="1265" uniqueCount="247">
  <si>
    <t>Fecha</t>
  </si>
  <si>
    <t>Titular</t>
  </si>
  <si>
    <t>Dependencia</t>
  </si>
  <si>
    <t>Canal</t>
  </si>
  <si>
    <t>Tema</t>
  </si>
  <si>
    <t>Estatus</t>
  </si>
  <si>
    <t>Sipdus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</si>
  <si>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</si>
  <si>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</si>
  <si>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</si>
  <si>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</si>
  <si>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</si>
  <si>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</si>
  <si>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</si>
  <si>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</si>
  <si>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</si>
  <si>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</si>
  <si>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</si>
  <si>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</si>
  <si>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</si>
  <si>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</si>
  <si>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</si>
  <si>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</si>
  <si>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</si>
  <si>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</si>
  <si>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</si>
  <si>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</si>
  <si>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</si>
  <si>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</si>
  <si>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</si>
  <si>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</si>
  <si>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</si>
  <si>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</si>
  <si>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</si>
  <si>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</si>
  <si>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</si>
  <si>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</si>
  <si>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</si>
  <si>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</si>
  <si>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</si>
  <si>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</si>
  <si>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</si>
  <si>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</si>
  <si>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</si>
  <si>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</si>
  <si>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</si>
  <si>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</si>
  <si>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Localización de cuerpo</t>
  </si>
  <si>
    <t>SSPH</t>
  </si>
  <si>
    <t>Radiodifusoras</t>
  </si>
  <si>
    <t>Comparecencias</t>
  </si>
  <si>
    <t>Saderh</t>
  </si>
  <si>
    <t>Planeación</t>
  </si>
  <si>
    <t>Vacunación</t>
  </si>
  <si>
    <t>Izza Hernández</t>
  </si>
  <si>
    <t>Jessenia Romero</t>
  </si>
  <si>
    <t>Muy negativo</t>
  </si>
  <si>
    <t>Ayuntamiento</t>
  </si>
  <si>
    <t>Alcaldías</t>
  </si>
  <si>
    <t>Otros</t>
  </si>
  <si>
    <t>Congreso</t>
  </si>
  <si>
    <t>Delegación</t>
  </si>
  <si>
    <t>Vía telefónica el reporte de Bombero y Protección Civil con Abner Yáñez informa de las diversas emergencias reportadas por la ciudadanía y que fueron atendidas.</t>
  </si>
  <si>
    <t>Auxilio a la ciudadanía</t>
  </si>
  <si>
    <t>Abner Yáñez</t>
  </si>
  <si>
    <t>Participación</t>
  </si>
  <si>
    <t>Presidencia</t>
  </si>
  <si>
    <t>Presidencia de la República</t>
  </si>
  <si>
    <t>Morena</t>
  </si>
  <si>
    <t>Partidos</t>
  </si>
  <si>
    <t>Gobernador</t>
  </si>
  <si>
    <t>Protesta sindical</t>
  </si>
  <si>
    <t>Alerta Meteorológica</t>
  </si>
  <si>
    <t>OCSAD</t>
  </si>
  <si>
    <t>Entrevista pautada</t>
  </si>
  <si>
    <t>Combate a la delincuencia</t>
  </si>
  <si>
    <t>Programas Del Bienestar</t>
  </si>
  <si>
    <t>Reforma a contrataciones municipales</t>
  </si>
  <si>
    <t>STPSH</t>
  </si>
  <si>
    <t>Mal Desempeño</t>
  </si>
  <si>
    <t>Conferencia magistral</t>
  </si>
  <si>
    <t>Homicidios</t>
  </si>
  <si>
    <t>Semarnath</t>
  </si>
  <si>
    <t>Cáncer De Mama</t>
  </si>
  <si>
    <t>Candidaturas</t>
  </si>
  <si>
    <t>Un hombre fue localizado sin vida en la comunidad de El Chamizal, perteneciente al municipio de Tezontepec de Aldama, Hidalgo, presentando múltiples heridas por impactos de arma de fuego tras el reporte de detonaciones el martes 20 de octubre. Elementos policíacos y cuerpos de emergencia acudieron al lugar, confirmando el fallecimiento de la víctima y procediendo al acordonamiento de la zona. Posteriormente, se solicitó la intervención de la Procuraduría General de Justicia del Estado de Hidalgo para realizar las diligencias ministeriales e iniciar con la investigación, encontrándose el cuerpo en calidad de desconocido hasta el momento.</t>
  </si>
  <si>
    <t>Padres de familia de la Escuela Primaria Benito Juárez bloquearon vialidades principales en la zona centro de Huejutla para exigir el cierre del turno vespertino (correspondiente a la primaria Ildefonso Velázquez Ibarra), el cual comparte las mismas instalaciones. La movilización se originó por desacuerdos en el pago de cuotas escolares y la supuesta falta de aportaciones equitativas por parte del turno vespertino, postura que fue rechazada por los tutores de dicho turno, quienes afirman haber cumplido con los pagos establecidos. Los manifestantes exigen a las autoridades educativas la reubicación de la primaria Ildefonso Velázquez Ibarra para resolver estas diferencias.</t>
  </si>
  <si>
    <t>Queja padres de familia</t>
  </si>
  <si>
    <t>Locutor Irving Sánchez da lectura a comentario de radioescucha que , reporta irregularidades en el servicio de transporte público (colectivas de la ruta Rojo Gómez), específicamente por no respetar los semáforos y provocar situaciones de riesgo. Ante esto, Locutor Jesús Riveros recordó a la ciudadanía la importancia de formalizar sus quejas ante la Secretaría de Movilidad y Transporte del Estado de Hidalgo mediante el número telefónico 800 503 2002 o 771 526 1284, el correo electrónico quejatransporte@hidalgo.gob.mx, o directamente en las oficinas correspondientes conforme al artículo 286 de la Ley de Movilidad y Transporte, destacando que es indispensable contar con el número de la unidad para dar un seguimiento oficial.</t>
  </si>
  <si>
    <t>Queja transporte público</t>
  </si>
  <si>
    <t>Canal 12 Huejutla</t>
  </si>
  <si>
    <t>Contacto Informativo M</t>
  </si>
  <si>
    <t>En entrevista para el espacio de contacto informativo, la coordinadora estatal del INEGI en Hidalgo, Laura Silvia González Quintos, presentó los resultados de la Encuesta Intercensal 2025, destacando que el estado cuenta actualmente con 3,245,595 habitantes, lo que refleja un crecimiento continuo pero a un ritmo menor (tasa promedio anual de 0.9%) en comparación con el censo de 2020, posicionando a la entidad en el lugar 16 a nivel nacional. Asimismo, la funcionaria detalló una disminución en la tasa global de fecundidad (pasando de 1.8 a 1.1 hijos por mujer), cambios en la estructura poblacional con mayor presencia de adultos mayores, y modificaciones en el acceso a tecnologías e internet, el cual subió del 39.3% al 70.5% en cinco años. Finalmente, en cuanto a población hablante de lengua indígena se registraron 352,062 personas (11.2%), y se informó sobre la reorganización en las categorías de afiliación a los servicios de salud y el parque habitacional, que aumentó a más de un millón de viviendas.</t>
  </si>
  <si>
    <t>Censo Inegi</t>
  </si>
  <si>
    <t>Taide Salazar</t>
  </si>
  <si>
    <t>Radio Lobo 96.7 FM</t>
  </si>
  <si>
    <t>Enlace Noticias</t>
  </si>
  <si>
    <t>Día Mundial contra el Cáncer de Mama: la detección oportuna puede salvar vidas</t>
  </si>
  <si>
    <t>Gina Lorenzo</t>
  </si>
  <si>
    <t>Entrega Saderh apoyos productivos a 476 agro productores</t>
  </si>
  <si>
    <t>Apoyo Al Agro</t>
  </si>
  <si>
    <t>Julio Menchaca recorre subestación Hidalgo de CFE</t>
  </si>
  <si>
    <t>Recorrido por instalaciones</t>
  </si>
  <si>
    <t>Menchaca Salazar entrega nuevo Centro de Datos y remodelación del aeropuerto de Pachuca.</t>
  </si>
  <si>
    <t>Centro de datos</t>
  </si>
  <si>
    <t>La modernización de la carretera federal Tamazunchale-Huejutla presenta un avance promedio del 81.5% durante 2026, según informó la Secretaría de Infraestructura, Comunicaciones y Transportes. Los trabajos de este año abarcan 37 kilómetros entre los estados de Hidalgo y San Luis Potosí a través de 16 frentes de obra, contemplando la ampliación de la vía a 12 metros de ancho con dos carriles y acotamientos. En su totalidad, el proyecto comprende 158 kilómetros, una inversión de 7,886 millones de pesos y la estimación de reducir hasta en 65 minutos los tiempos de traslado hacia Tamaulipas y el Golfo de México, con conclusión prevista para diciembre de 2029.</t>
  </si>
  <si>
    <t>Carretera Huejutla</t>
  </si>
  <si>
    <t>SSH hace un llamado a reforzar medidas de prevención ante el incremento de enfermedades respiratorias.</t>
  </si>
  <si>
    <t>Prevención de enfermedades</t>
  </si>
  <si>
    <t>Semarnath Hidalgo fortalece la restauración forestal y la protección ambiental con inversión, ciencia y trabajo en territorio</t>
  </si>
  <si>
    <t>Julio Menchaca invierte más de 25 mil mdp en infraestructura pública: Alejandro Sánchez</t>
  </si>
  <si>
    <t>Los habitantes de la colonia El Paraíso, en Tulancingo, ya cuentan con una cancha deportiva rehabilitada, donde a partir del próximo 3 de noviembre se pondrá en marcha un torneo de basquetbol dirigido a promover la participación de niñas, niños y jóvenes. El espacio fue acondicionado con nuevos tableros, luminarias, pintura y delimitación de las líneas deportivas, además de la instalación de malla perimetral para evitar que los balones lleguen a las viviendas cercanas. De acuerdo con el gobierno municipal, encabezado por la alcaldesa Lorena García Cázares, los trabajos estuvieron a cargo de la Dirección de Mantenimiento Urbano e incluyeron la colocación de 100 metros de malla, obras de mampostería para sostenerla y una segunda protección en la parte superior de la cancha. Durante la entrega de las instalaciones se anunció que el torneo de basquetbol será organizado por la Dirección de Cultura Física, en coordinación con la Liga Municipal de Basquetbol Escolar y de Clubes (LIMBECT). La intervención en El Paraíso forma parte de los trabajos de mantenimiento realizados en espacios deportivos de Guadalupe Cañada, Glorias, Napateco, Ruiz Cortines, San Luis, Ahuehuetitla, Glorias 3, Jardines del Sur, Nuevo Tulancingo y Huapalcalco. El Ayuntamiento también tiene prevista otra rehabilitación en Rincones de la Hacienda antes de que termine el año. Según el censo municipal, Tulancingo dispone de 122 canchas y espacios destinados al deporte y la convivencia, por lo que su conservación representa una necesidad para las colonias que utilizan estas instalaciones como puntos de encuentro y recreación.</t>
  </si>
  <si>
    <t>Rehabilitación de espacios públicos</t>
  </si>
  <si>
    <t>SEPH realiza el concurso de oratoria “Mi palabra es hoy mi voz y mi fortaleza 2026”</t>
  </si>
  <si>
    <t>Concurso de oratoria</t>
  </si>
  <si>
    <t>Se dio a conocer que el secretario de Educación Pública, Natividad Castrejón Valdez, tiene programada su comparecencia ante el Congreso del Estado para el día de hoy.</t>
  </si>
  <si>
    <t>El delegado de Programas para el Desarrollo en el Estado de Hidalgo (Bienestar), Abraham Mendoza Zenteno, informó sobre el inicio del registro nacional para la Pensión para Adultos Mayores y la pensión Mujeres Bienestar (dirigida a mujeres de 60 a 64 años), el cual se lleva a cabo del 19 al 25 de octubre. Los módulos operan de lunes a domingo en un horario de 9:00 a.m. a 4:00 p.m., organizando la atención según la inicial del primer apellido de los solicitantes. Los apoyos económicos establecidos son de 6,400 pesos bimestrales para adultos mayores de 65 años y de 3,100 pesos bimestrales para las beneficiarias del programa de mujeres</t>
  </si>
  <si>
    <t>Menchaca Salazar entrega nuevo Centro de Datos y remodelación del aeropuerto de Pachuca</t>
  </si>
  <si>
    <t>Sobre la llegada y operación de plataformas de transporte como Uber, el gobernador del estado señaló que el servicio no está prohibido en esencia, pero debe operar bajo los cauces legales y contar con la concesión formal de transporte individual. El mandatario indicó que ofrecer el servicio al margen de la ley implica asumir responsabilidades legales ante el Ministerio Público, y puntualizó que, aunque es necesario buscar opciones y alternativas para los usuarios, los operadores y concesionarios tradicionales también deben cumplir con su compromiso de atención al público de manera responsable.</t>
  </si>
  <si>
    <t>Apps de transporte</t>
  </si>
  <si>
    <t>La Secretaría de Movilidad y Transporte (SEMOT) de Hidalgo advirtió que aplicará procedimientos administrativos y sanciones a quienes presten el servicio de transporte a través de la aplicación Uber en Pachuca. Aunque la plataforma comenzó a operar recientemente permitiendo solicitar viajes, la dependencia señaló que este esquema no está contemplado en la Ley de Movilidad y Transporte del estado, por lo que resulta ilegal al no contar con una concesión formal. Asimismo, la SEMOT indicó que se procederá con denuncias penales y multas a los operadores detectados, mientras que el gobernador señaló que cualquier cambio en la materia debe realizarse primero por la vía legislativa, con información de LSRH.</t>
  </si>
  <si>
    <t>Entrevista en cabina a las doctoras Miriam Olvera Cuéllar y Alma Delia Vite Rojo, profesoras investigadoras de la Universidad Politécnica de Tulancingo, quienes presentaron los resultados de una investigación publicada recientemente en un capítulo de libro enfocado en la inteligencia artificial. El estudio, realizado en febrero y marzo de 2026 junto con la Red de Estudios Latinoamericanos de Internet mediante 548 encuestas válidas, analizó la percepción de distintos grupos etarios. Los hallazgos revelaron que los jóvenes de 18 a 26 años son quienes muestran mayor preocupación —especialmente en torno al reemplazo laboral y el uso cotidiano de la tecnología—, mientras que los adultos mayores presentan menor inquietud, pero requieren mayor capacitación digital. Asimismo, las investigadoras destacaron el respaldo institucional de la universidad y adelantaron que ya trabajan en nuevas líneas sobre el uso de la inteligencia artificial en la educación preescolar y media superior.</t>
  </si>
  <si>
    <t>Investigación académica</t>
  </si>
  <si>
    <t>Durante su colaboración matutina, David Cárdenas informó sobre la comparecencia de Mónica Mixtega respecto a los trabajos de limpieza y trituración de lirio acuático para prevenir su proliferación, un tema prioritario para el estado de Hidalgo. Se destacó que, mediante el plan maestro de la Conagua implementado por el gobierno de la presidenta Claudia Sheinbaum, la superficie afectada por el lirio disminuyó de 900 a 443 hectáreas, respaldado por una inversión superior a los 33 millones de pesos para la adquisición de cuatro nuevas trituradoras. Asimismo, se mencionó la combinación de estrategias de control biológico y químico, cuidando el impacto en el agua para riego, y el fortalecimiento del equipo operativo en beneficio de la ciudadanía.</t>
  </si>
  <si>
    <t>Se estableció comunicación con Abner Yáñez, elemento de Bomberos y Protección Civil, quien informó sobre los servicios atendidos en el Valle de Tulancingo durante las últimas 24 horas. Entre los incidentes destacó una agresión armada registrada en la calle Privada Adolfo Ruiz Cortines de la colonia Plan de Ayala, donde los cuerpos de emergencia acudieron tras el reporte de una persona lesionada. En el sitio se localizó a un hombre de entre 55 y 57 años de edad que presentaba impactos de bala y ya no contaba con signos vitales. Posteriormente, se confirmó que la víctima mortal fue un trabajador del sector educativo identificado con las iniciales GHE, de 61 años, quien se desempeñaba como profesor en servicios regionales. De acuerdo con los datos recabados, el presunto responsable huyó del lugar a bordo de una bicicleta y hasta el momento prófugo de la justicia, mientras que las autoridades ministeriales continúan con las investigaciones pertinentes, apoyándose en material audiovisual para dar con su paradero.</t>
  </si>
  <si>
    <t>Ayer ocurrió un trágico accidente en la mina de San Juan Pachuca, donde murieron dos trabajadores por la caída de material. Según la Secretaría de Seguridad Pública, se recibió una llamada de emergencia informando que dos personas estaban atrapadas en la mina. Al llegar los equipos de rescate, encontraron los cuerpos de ambos trabajadores, uno de 25 años y el otro de 45 años. Ante esta situación, la Procuraduría General de Justicia ha comenzado una investigación del evento. Este accidente resalta la peligrosidad de trabajar en minas, como la histórica mina de San Juan Pachuca.</t>
  </si>
  <si>
    <t>Accidente en mina</t>
  </si>
  <si>
    <t>En la Feria San Francisco Pachuca 2026, dos funcionarios de la Secretaría de Educación Pública se pelearon al cierre del evento. La riña ocurrió el domingo por la noche en un bar, donde al parecer habían estado consumiendo alcohol. Aunque se desconoce quién inició la pelea, ambos decidieron resolver sus diferencias a golpes. Los videos del incidente y la prominencia de estos funcionarios, uno de los cuales es hermano del Subsecretario de Educación, han generado un gran revuelo en las redes sociales y los medios de comunicación. Sin embargo, hasta ahora no se ha informado si fueron detenidos o si enfrentarán alguna acción administrativa por su</t>
  </si>
  <si>
    <t>Funcionario ebrio</t>
  </si>
  <si>
    <t>Policía Estatal recupera tractocamión robado y detiene a un asaltante tras persecución en Emiliano Zapata</t>
  </si>
  <si>
    <t>Dos trabajadores de la mina de Loreto fallecieron luego de que una estructura y material cayeran sobre ellos y los aplastara, confirmaron autoridades del municipio de Pachuca. Autoridades confirmaron que en el accidente ocurrido durante la tarde del lunes 19 de octubre, los trabajadores quedaron atrapados bajo los escombros. Al sitio acudió personal de atención a emergencias para iniciar las labores de rescate de las personas; tras recuperar los cuerpos se realizó valoración de su estado físico, confirmando que ya no contaban con signos vitales. La Procuraduría General de Justicia del Estado de Hidalgo inició las investigaciones respectivas al caso, para conocer las circunstancias en las que se registró el accidente, así como las causas. Con ello se deslindarán las responsabilidades legales respectivas al caso. A su vez, la Secretaría del Trabajo y Previsión Social de Hidalgo dio a conocer que puso a su disposición, de manera gratuita, los servicios de asesoría y orientación de la Procuraduría Estatal de la Defensa del Trabajo, en caso de que requieran acompañamiento en materia laboral. La dependencia señala a través de un comunicado oficial que estableció comunicación con la representación en la entidad de la Secretaría del Trabajo y Previsión Social del Gobierno de México para atender el caso. La dependencia estatal señaló que, debido a las características del centro laboral y a las circunstancias del accidente, la atención del caso corresponde a las autoridades federales, conforme a las normativas legales vigentes. Se precisó que este apoyo busca brindar orientación a los familiares sobre los asuntos laborales que pudieran derivarse del accidente. Al tiempo, la dependencia estatal expresó su solidaridad con las familias de los trabajadores fallecidos ante el caso ocurrido en el inicio de esta semana.</t>
  </si>
  <si>
    <t>El cuerpo de una persona fue localizado la tarde del domingo 18 de octubre en las inmediaciones de las minas del Cerro del Judío, en los límites de Pachuca y San Agustín Tlaxiaca. Vecinos de la zona reportaron a instituciones de seguridad pública respecto al hallazgo del cuerpo de una persona flotando en una zona con agua acumulada por las recientes lluvias, en las faldas del cerro. Al sitio acudieron elementos de Protección Civil de ambos municipios, Policía Estatal, Bomberos de Hidalgo y personal de la Comisión de Búsqueda de Personas del Estado de Hidalgo, realizando labores para el rescate del cuerpo. De manera preliminar, se señaló que el cuerpo podría corresponder a J.C.G.C., un joven de 27 años con domicilio en Santiago Tlapacoya y quien contaba con una ficha de búsqueda. Sin embargo, hasta el momento, las autoridades no han confirmado oficialmente su identidad, así como la causa del fallecimiento. Autoridades ministeriales han iniciado investigación respecto al caso, para establecer lo ocurrido, así como las responsabilidades legales respectivas.</t>
  </si>
  <si>
    <t>Con un alto sentido de identidad y orgullo mexicano, la presidenta municipal, Lorena García Cázares, encabezó la ceremonia de izamiento de la bandera monumental en el parque recreativo Nicolás Bravo, en el marco de las Jornadas de Paz, un espacio que busca fortalecer la convivencia armónica, el respeto a los derechos y la participación social. La mañana tuvo un marcado carácter cívico. Mientras la bandera de ascendía para recuperar su lugar en lo más alto de Tulancingo, alumnas y alumnos de la Telesecundaria 390 participaron en los honores correspondientes. En su mensaje, la presidenta municipal, Lorena García Cázares, destacó que se trató de un lunes de sensibilidad y orgullo mexicano, y llamó a la ciudadanía a cuidar el espacio rehabilitado y hacerlo suyo. “La bandera es lo primero que se ve desde que se llega a Tulancingo; vamos tomando pertenencia e identidad”, expresó. La alcaldesa resaltó también que la unidad de la sociedad es fundamental para construir paz y convivencia, y afirmó que la bandera monumental estará bajo el resguardo de todas y todos. El momento central de la ceremonia fue acompañado por la entonación del Himno Nacional Mexicano, mientras que el alumno Camilo Pérez Gómez realizó el Juramento a la Bandera. Posteriormente, el Ensamble Veranda interpretó el Himno al Estado de Hidalgo, cuya letra fue escrita por el tulancinguense Roberto Oropeza Licona. La jornada continuó con diversas expresiones culturales, entre ellas, una danza representativa de Veracruz. El programa, coordinado por la Secretaría de Cultura, Educación, Deporte y Juventud, contó con la presencia del secretario general municipal, Edmundo Aguilar Aranda; el capitán Eduardo López León; Edgar Ulises García Herrera, de la Secretaría de Gobernación Federal; integrantes del Ayuntamiento; la presidenta del DIF Tulancingo, Jessica Garrido Cázares; autoridades educativas, docentes, estudiantes y padres de familia. En el marco de las Jornadas de Paz impulsadas por la SEDENA, también se instalaron módulos para socializar la labor que realiza esta institución y acercar información a la población. Durante el acto, se reconoció el acompañamiento de los enlaces vecinales de la zona rehabilitada y la presidenta municipal entregó un reconocimiento al profesor Víctor Malerva Cruz.</t>
  </si>
  <si>
    <t>Jornada por la paz</t>
  </si>
  <si>
    <t>Trabajadoras y trabajadores, así como las colaboradoras y colaboradores del gobierno municipal, quienes señalan que están teniendo pues problemas para que se les pueda atender en cuanto a sus demandas laborales, entre ellas prima la entrega de prima vacacional, horas extras, la entrega de uniformes, la homologación salarial y la destitución del director de Servicios Públicos, además de mejores condiciones, le comentaba hace un momento para trabajo y trato digno. Los empleados de distintas áreas municipales colocaron mantas y cartulinas en sus centros de trabajo para hacer públicas sus inconformidades y presionar a las autoridades municipales para que atiendan sus peticiones. Los primeros en sumarse a la protesta, como le comentaba hace un momento, fueron trabajadores de servicios públicos, lo que provocó la suspensión de las actividades de recolección de basura, luego de que los camiones recolectores permanecieran resguardados y sin salir a las calles. Debido a ello, diversas vialidades de Tepeji del Río comenzaron a presentar acumulación de residuos, basura pues, mientras continuaba la suspensión de actividades por el personal sindicalizado. Representantes sindicales iniciaron un diálogo con el secretario municipal, Félix Ángel García Clemente, con la intención de alcanzar acuerdos que permitieran resolver el conflicto.</t>
  </si>
  <si>
    <t>El retiro de cableado y luminarias en la zona del Estribo, sobre la carretera estatal Tenango-Metepec, fue reportado por el gobierno municipal de Tenango de Doria, que advirtió sobre las afectaciones que estos hechos generan en la infraestructura pública. De acuerdo con el Ayuntamiento, la sustracción de estos materiales no sólo representan un daño al patrimonio del municipio, sino que también pueden generar condiciones de riesgo para las personas que utilizan esta vía de comunicación al dejar sin funcionamiento parte del equipamiento que está destinado a la iluminación del tramo. Ante esta situación, las autoridades municipales pidieron a la población mantenerse atentas, reportar cualquier información relacionada con los hechos ante las instancias correspondientes con el objetivo de contribuir al esclarecimiento de los presuntos robos. El gobierno local señaló que las personas que se han identificadas como responsables podrían enfrentar consecuencias legales debido a que la sustracción de infraestructura pública puede constituir un delito y, dependiendo de las circunstancias, corresponder a instancias del ámbito federal. Finalmente, el Ayuntamiento llamó a la ciudadanía a participar en el cuidado de la infraestructura y espacios públicos al considerar que su conservación permite mantener servicios y condiciones de seguridad para las comunidades.</t>
  </si>
  <si>
    <t>Robo de infraestructura</t>
  </si>
  <si>
    <t>La plataforma Uber todavía no cuenta con autorización para prestar servicios de transporte en Pachuca, afirmó el gobernador de Hidalgo, Julio Menchaca Salazar. Advirtió que, si comienza a operar sin los permisos correspondientes, podría haber sanciones para quienes participen en la prestación de los viajes. En entrevista, el titular del Poder Ejecutivo del Estado de Hidalgo sostuvo que la legislación vigente aún no permite la operación de esta modalidad de transporte y señaló que, hasta el momento, la empresa no se ha acercado al gobierno estatal para dialogar sobre su posible incorporación. Menchaca Salazar indicó que las personas que decidan ofrecer viajes mediante la aplicación podrían enfrentar sanciones conforme a la ley. También mencionó posibles consecuencias legales por fraude, aunque precisó que corresponderá al Ministerio Público determinar si existe alguna conducta que deba investigarse. El gobernador reconoció que no descarta la posibilidad de ampliar las alternativas de movilidad para la población; sin embargo, reiteró que cualquier servicio deberá ajustarse a las disposiciones legales vigentes. Asimismo, hizo un llamado a quienes buscan obtener ingresos como conductores de la plataforma para que consideren las implicaciones de trabajar sin autorización. Añadió que el Gabinete de Seguridad definirá las acciones de supervisión para detectar la posible prestación de servicios mediante aplicaciones que no cuenten con los permisos correspondientes. Finalmente, Menchaca Salazar pidió evitar generalizaciones contra quienes trabajan en el transporte público y reconoció que existen operadores que cumplen con sus responsabilidades.</t>
  </si>
  <si>
    <t>Entre 10 a 12 meses deberán invertirse para la reconstrucción de algunos puentes cuya infraestructura resultó dañada, tanto por las lluvias registradas en octubre del año pasado, como por las que recientemente se han registrado. Pablo Octavio Olvera Sánchez, delegado en el Estado de Hidalgo de la Secretaría de Infraestructura, Comunicaciones y Transportes (SICT), informó lo anterior, señalando que las principales afectaciones se registran en las regiones Otomí-Tepehua, Sierra y Huasteca de Hidalgo. El funcionario federal explicó que, mientras avanzan los proyectos para la rehabilitación, reconstrucción o sustitución de los puentes dañados, se mantienen los trabajos para habilitar pasos provisionales que permitan conservar la comunicación entre las comunidades afectadas. En algunos casos, se trata de pasos de hasta metro y medio de diámetro, sobre los cuales se acondicionó una superficie para permitir el paso vehicular. Estas obras permitieron recuperar temporalmente la conectividad mientras se desarrollaban los estudios y proyectos técnicos necesarios para definir las intervenciones definitivas en cada estructura. Pero las recientes avenidas de agua han ocasionado daños en algunos de estos cruces, lo que obliga a ejecutar nuevas labores de reparación. Aclaró que como en el caso de otras dependencias involucradas en la atención de la contingencia, los trabajos están sujetos a las condiciones climatológicas y a los niveles de los afluentes. El titular de la SICT subrayó que la prioridad es mantener comunicadas a las localidades afectadas hasta que concluyan las obras permanentes. Los plazos de ejecución dependerán de las características técnicas de cada proyecto, así como de la evolución de las condiciones meteorológicas. Como referencia, mencionó el puente de Xicatlán, cuya construcción requiere un periodo estimado de entre 10 y 12 meses. El cumplimiento de ese plazo estará condicionado al comportamiento del clima y a la posibilidad de desarrollar los trabajos conforme al proyecto ejecutivo y las condiciones particulares del sitio. Olvera Sánchez señaló que los nuevos diseños de las estructuras incorporan modificaciones orientadas a reducir el riesgo de daños ante fenómenos hidrometeorológicos de magnitud similar a los registrados el año pasado. Como ejemplo, citó el proyecto del puente de Xochiatipan, que contempla una ampliación de 75 metros hacia uno de sus lados y de 25 metros hacia el otro, con el objetivo de mejorar la capacidad de la estructura y evitar afectaciones como las que sufrió el puente anterior.</t>
  </si>
  <si>
    <t>Huracán Priscilla</t>
  </si>
  <si>
    <t>Hasta el momento, se ha finalizado 45 de las 213 obras de reconstrucción de infraestructura dañada por la vaguada monzónica registrada en octubre del año pasado en varios municipios del Estado de Hidalgo. El dato fue ofrecido por Alejandro Sánchez García, titular de la Secretaría de Infraestructura Pública y Desarrollo Urbano Sostenible en el Estado de Hidalgo (Sipdus), en el marco de su comparecencia ante legisladores del Congreso estatal, realizada este lunes 19 de octubre. La cifra de obras concretadas representa el 21 por ciento del total de las establecidas; el funcionario señaló que el avance total de dichas obras para resarcir los daños, alcanza el 58 por ciento. Las 45 obras concluidas contaron con una inversión global por 491 millones de pesos, mientras que otras 82 se encuentran en ejecución, con un monto asignado por 868 millones. Además, otras 55 obras están en proceso de contratación, por 454 millones; y 31 en validación, con inversión por 348 millones. En total, se contempla una inversión de 2 mil 164 millones de pesos para 213 obras a desarrollarse en los municipios con mayores afectaciones, producto de las torrenciales lluvias registradas en el mes de octubre del año pasado. En el caso del Estado de Hidalgo, la vaguada monzónica provocó 675 derrumbes y 158 deslaves en 28 de los 84 municipios de Hidalgo. Además, dejó incomunicadas 236 comunidades, dañó 50 puentes, inutilizó 190 sistemas de agua y drenaje y ocasionó el bloqueo de 359 caminos. Veracruz, San Luis Potosí y Querétaro, son otras entidades del país afectadas por las torrenciales lluvias registradas en octubre del año pasado. Cabe señalar que previamente la titular de la Secretaría de Hacienda en Hidalgo, Esther Ramírez Vargas, informó en su respectiva comparecencia que se tienen considerados dos mil 400 millones de pesos para atender la rehabilitación de infraestructura dañada por la vaguada del 2025.Consultar atlas Sobre la diferencia de 236 millones de pesos, el titular de la Sipdus, señaló que corresponde a obras a cargo del Instituto de Infraestructura Física Educativa y a infraestructura de agua potable reportada por los municipios. Por otra parte, el funcionario calificó como histórica la inversión de 25 mil millones de pesos destinada a infraestructura pública durante la administración. Entre los resultados, destacó el mejoramiento de 847 kilómetros de caminos rurales en 33 municipios y 118 localidades. Asimismo, indicó que, con una inversión superior a los 3 mil 46 millones de pesos, se atendieron vialidades urbanas en 71 municipios, con la construcción, ampliación y mejoramiento de más de 269 kilómetros de calles, avenidas, bulevares, guarniciones y banquetas. En materia de agua potable, informó una inversión de más de 5 mil 239 millones de pesos para construir y mejorar pozos, líneas de conducción y redes de distribución en 68 municipios, además, destacó 6 mil 616 millones de pesos para rescatar y modernizar 329 espacios públicos. Respecto al saneamiento, el secretario reportó la construcción de 37 plantas de tratamiento de aguas residuales en 20 municipios, lo que permitió alcanzar una cobertura estatal del 32 por ciento.</t>
  </si>
  <si>
    <t>Abrimos con dos temas de seguridad pública esta mañana: eh el asunto ocurrido el día de ayer en Media Sierras y la cuestión la advertencia que hace la diputada Yarabi González en el caso de la Sierra Otomí-Tepehua y concretamente de Acaxochitlán. Y me parece muy pertinente compartir esta reflexión completísima, muy concreta respecto a los temas de seguridad. Señalan que en materia de seguridad la preocupación que hoy compartimos no es exclusiva de nuestro municipio, es una realidad que se vive a nivel estatal y nacional. Cuando la mayoría de los ciudadanos coincidimos en que la estrategia de seguridad no está funcionando, difícilmente podemos estar equivocados. Hace algunos meses el señor gobernador afirmó que Hidalgo era tan seguro que hasta los delincuentes venían a vivir aquí. -Que hacían operaciones, ¿eh? Recuerdo más o menos las declaraciones del gobernador que se parecían delicadas-. Con todo respeto, la realidad que vivimos día a día demuestra lo contrario. Lo que hemos visto en el crecimiento y el arraigo de la delincuencia en nuestro estado. Un problema que no solo obedece a una estrategia de seguridad insuficiente, sino también a la falta de empleo, de oportunidades y de un diagnóstico honesto de la realidad. Ante esto, es momento que como ciudadanos asumamos una postura activa, reflexiva y responsable. Hablamos de niños desaparecidos, de jóvenes y de trabajadores que no regresan a casa, de personas que pierden la vida en su propio centro de trabajo. Es evidente que la situación ha rebasado a las autoridades. Por ello es indispensable que actuemos como sociedad con unidad y exigencia, pero también con propuesta. Gracias, me parece importante y pertinente ante la realidad que estamos viviendo.</t>
  </si>
  <si>
    <t>Estrategia de seguridad</t>
  </si>
  <si>
    <t>Vía telefónica Luz Ortiz, vecina de Acatlán señala que luego de 12 años están arreglando la entrada al lugar, pero el camino alterno de Acatlán hacia Totopan frente a la secundaria tiene cráteres, por lo que pide a la presidencia municipal habilite un camino transitable, porque este está horrible. Asimismo, pide seguridad en este tramo porque, por la noche está muy propenso a asaltos.</t>
  </si>
  <si>
    <t>Vialidad En Mal Estado</t>
  </si>
  <si>
    <t>Con la asistencia de aproximadamente mil supervisores, docentes, madres, padres de familia y personas tutoras de escuelas de educación básica de las 12 regiones de la entidad, el secretario de Educación Pública de Hidalgo, Natividad Castrejón Valdez, impartió la conferencia magistral "El papel de las madres, padres, personas y tutoras también con formación de las infancias". Durante este mensaje, el titular de la SEP Hidalgo destacó que desde el inicio de la administración del gobernador Julio Menchaca Salazar, la atención integral a la comunidad escolar ha sido una prioridad, esto como parte de estos esfuerzos y de hecho sí señaló también la creación de la Dirección General de Acompañamiento Socioemocional y Educativo, instancia pues concebida para brindar herramientas y estrategia también pues a las familias y también a las instituciones educativas que contribuyan al desarrollo integral de las y los estudiantes. Y pues en la conferencia en Actividad Castrejón abordó la importancia pues de atender las necesidades fundamentales de las niñas y los niños, entre ellas pues el afecto, el tiempo también de calidad, el acceso a información adecuada y también las condiciones materiales indispensables para el crecimiento digno. De hecho y así mismo hizo un llamado también a madres y a padres de familia para poder mantener una escuela activa con sus hijas, con sus hijos, acompañar, acompañarlos de manera cercana a las distintas etapas de su vida y permanecer también atentos pues a sus emociones y cambios de conducta. De hecho, subrayó que el entorno familiar constituye también la primera red de apoyo y aprendizaje para las niñas. Y pues en el encuentro estuvieron presentes el titular de la oficina de enlace educativo del Gobierno de México en Hidalgo, José Nereo Olguín Moreno, el subsecretario de educación media superior y superior Daniel Fragoso Torres, entre otros funcionarios también. Pero bien, de esa manera es como Natividad Castrejón destaca el papel de las familias en la formación de niñas y niños.</t>
  </si>
  <si>
    <t>Daniel Martínez: Bueno, pues yo creo que tiene que ser una revisada de las estrategias en materia de prevención, sobre todo de prevención del delito y cuando sea necesario de atención. ¿Botón de muestra? ¿Qué tanto han funcionado los patrullajes, no? Con ese incremento de más del doble del registro de robo de vehículos automotores en Acaxochitlán, 130.3% de aumento entre el 2025 al comparativo de lo que va del presente 2026, 130%. Y la ubicación que señala con preocupación la diputada Yarabi González, la ubicación geográfica de Acaxochitlán que permite el paso de personas que están dedicadas a hechos delictivos, sobre todo provenientes de Cuautepec o hacia Cuautepec y provenientes del estado de Puebla o hacia el estado de Puebla. Bueno, estamos haciendo patrullajes. Bueno, creo que hay que revisar la estrategia de vigilancia y prevención del delito.</t>
  </si>
  <si>
    <t>Debido a su colindancia con el municipio de Cuautepec, así como con municipios del Estado de Puebla, Acaxochitlán enfrenta inseguridad, debido a que su ubicación geográfica es estratégica para grupos delincuenciales. Lo anterior fue planteado por Yarabi González Martínez, diputada por el distrito IX local, con cabecera en Metepec, durante la comparecencia, la semana pasada, de Salvador Cruz Neri, titular de la Secretaría de Seguridad Pública de Hidalgo (SSH). Señaló que de acuerdo con el Secretariado Ejecutivo del Sistema Nacional de Seguridad Pública (SESNSP), este año Acaxochitlán registró 76 carpetas de investigación por robo de vehículo. La cantidad significa un aumento del 130.3 por ciento en este tipo de delito, en el comparativo con el año anterior. A ello se agregan 76 76 denuncias ante el Ministerio Público por violencia familiar y nueve más por narcomenudeo. Uno de los asuntos más graves que se registraron en la demarcación, ocurrió el pasado 20 de febrero de este año, cuando fueron localizados dos cuerpos sin vida en un camino que comunica con el Estado de Puebla. De acuerdo a reportes de la misma SSPH, las víctimas habrían fallecido fuera de Hidalgo y sus cadáveres fueron abandonados en ese sitio, recordó González Martínez. “También se detectaron 439 tomas de hidrocarburo en el municipio Cuautepec de Hinojosa y ha habido algunos enfrentamientos en comunidades de Acaxochitlán, como Santiago Tepepa”, refirió la legisladora del Congreso del Estado de Hidalgo. Dijo entender las dificultades que enfrentan las autoridades de los tres niveles de gobierno por ser una zona que registra marcada incidencia de delitos de alto impacto. Por lo que durante la comparecencia de Cruz Neri, le solicitó que citara las acciones específicas están implementado para reforzar su vigilancia, así como un análisis de las zonas dentro de Acaxochitlán con mayor incidencia delictiva. Al respecto, el mando policiaco estatal dijo que existe patrullaje constante dentro del municipio por parte de elementos de la SSPH, lo que se refleja en el aseguramiento de vehículos automotores, así como de madera sustraída por tala clandestina. “Los patrullajes que tenemos en los límites con esta entidad (Puebla) han funcionado, pero estamos pendientes para atender cualquier situación”, enfatizó Cruz Neri.</t>
  </si>
  <si>
    <t>Daniel Martínez: comentan que qué onda este con gobierno del estado de Hidalgo, ¿qué es lo que está haciendo falta para que se permita la entrada de servicio de plataformas de transporte de pasajeros, sobre todo lo que se refiere a la modalidad taxis? Cito textual, "El lema del gobierno del estado es primero el pueblo, pero no permite que dicho pueblo elija en qué transportarse. Deben hacer una consulta para que los pobladores de Pachuca decidan si quieren o no los servicios de taxis de aplicación".</t>
  </si>
  <si>
    <t>La Secretaría de Educación Pública de Hidalgo (SEPH) expresó sus condolencias por el homicidio de un trabajador adscrito a la Subsecretaría de Servicios Regionales de Educación en Tulancingo, quien perdió la vida tras un ataque con arma de fuego registrado la mañana de este lunes, en el exterior de las oficinas de la dependencia. A través de un comunicado, la SEPH informó que brinda acompañamiento institucional a los familiares, amistades y compañeros de trabajo de la víctima, además de señalar que colabora con las autoridades competentes en las investigaciones correspondientes. De acuerdo con los reportes preliminares, el trabajador fue agredido a balazos en las inmediaciones del inmueble, ubicado en la colonia La Herradura. Tras el reporte de la agresión, elementos de seguridad y cuerpos de emergencia acudieron al lugar; sin embargo, la persona ya no contaba con signos vitales. Las autoridades ministeriales realizan las diligencias correspondientes para esclarecer los hechos e identificar a los responsables. Hasta el momento, no se han dado a conocer mayores detalles sobre el móvil del ataque.</t>
  </si>
  <si>
    <t>Condolencias</t>
  </si>
  <si>
    <t>Hombre muere tras ataque armado frente a Servicios Regionales en Tulancingo. Un hombre de 61 años perdió la vida la mañana de este lunes 19 de octubre, luego de ser atacado con arma de fuego en las inmediaciones de las oficinas de Servicios Regionales de Educación, ubicadas en la colonia Plan de Ayala, en Tulancingo. La víctima, identificada preliminarmente con las iniciales G. H., se encontraba en una de las oficinas cuando fue agredida. Al lugar acudieron elementos de Bomberos y Protección Civil, quienes confirmaron que ya no contaba con signos vitales. De acuerdo con los primeros reportes, el hombre presentaba al menos dos heridas por proyectil de arma de fuego, una en el hombro derecho y otra en el cuello. Testigos señalaron que el presunto responsable habría llegado en bicicleta y escapado tras la agresión con dirección a la carretera hacia Medias Tierras. Ante estos hechos, corporaciones de seguridad de Tulancingo y Santiago Tulantepec desplegaron un operativo para tratar de localizarlo. La zona fue acordonada por elementos de la Policía Municipal, en espera del personal ministerial que realizaría las diligencias correspondientes para esclarecer lo ocurrido.</t>
  </si>
  <si>
    <t>Tulancingo forma parte de los municipios de Hidalgo que aparecen en el registro nacional de emergencias ambientales relacionadas con sustancias peligrosas, con dos incidentes documentados en los últimos años, uno ocurrido en 2024 y otro en 2025. De acuerdo con el Programa Nacional de Remediación de Sitios Contaminados 2026-2030, elaborado por la Secretaría de Medio Ambiente y Recursos Naturales (Semarnat), ambos casos estuvieron relacionados con el transporte de hidrocarburos. El primero fue atribuido a Especialíquidos, S.A. de C.V., mientras que el segundo corresponde a Transportes Arlequín, S.A. de C.V. Los registros de Tulancingo forman parte de un total de 19 emergencias ambientales identificadas en Hidalgo. De ellas, 18 corresponden a derrames de hidrocarburos y una a sustancias ácidas. El inventario contempla incidentes ocurridos en nueve municipios de la entidad y también incluye accidentes relacionados con Petróleos Mexicanos. Entre los casos atribuidos a Pemex se encuentran los registrados en Huichapan en 2012; Chapantongo en 2014; Tepeji del Río y Tula de Allende en 2010; Tetepango en 2013; Epazoyucan en 2011; Ajacuba en 2008 y 2015; Cuautepec de Hinojosa en 2012, y San Agustín Tlaxiaca, con tres incidentes ocurridos en 2008, 2012 y 2013. Además, el registro contempla un derrame ocurrido en Villa de Tezontepec en 2014, atribuido a Especialíquidos, S.A. de C.V.; otro en Tepeapulco durante 2017, relacionado con Alstom Ferroviaria México, S.A. de C.V., y uno más en Tizayuca en 2024, atribuido a Javier Cantú Barragán. El único incidente identificado en Hidalgo por derrame de ácidos ocurrió en 2011 y fue atribuido a Transportes Corcuera, S.A. de C.V. El documento establece que estos antecedentes forman parte de un problema ambiental que alcanza a todo el país. Hasta diciembre de 2025 se contabilizaban mil 114 sitios contaminados en México, de los cuales 953 se encontraban en áreas rurales y 161 en zonas urbanas. Los hidrocarburos representan el principal contaminante identificado, al estar relacionados con mil 15 de esos sitios. También se registraron afectaciones por metales y metaloides, mezclas de contaminantes, ácidos y bases, solventes orgánicos, plaguicidas, bifenilos policlorados y otras sustancias. En cuanto a los trabajos de saneamiento, el programa reporta mil 249 sitios remediados a nivel nacional hasta diciembre de 2025. En Hidalgo se contabilizan 32 sitios que ya fueron sometidos a procesos de remediación, principalmente por derrames. Sin embargo, el documento no especifica si los 19 sitios de emergencia ambiental registrados en Hidalgo ya fueron saneados en su totalidad o cuántos de ellos permanecen pendientes de atención. A nivel nacional, las cuencas de los ríos Atoyac, Santiago-Lerma y Tula son señaladas entre las zonas con mayor concentración de sitios contaminados, con al menos 90 puntos registrados en conjunto.</t>
  </si>
  <si>
    <t>Contaminación ambiental</t>
  </si>
  <si>
    <t>El gobernador tiene un evento en Pachuca a la 1 de la tarde junto con Pemex hará entrega de equipamiento para fortalecer la infraestructura pública, esto se realizará en las instalaciones de la Comisión de Agua, Alcantarillado y Sistemas Intermunicipales (Caasim).</t>
  </si>
  <si>
    <t>Infraestructura Hidráulica</t>
  </si>
  <si>
    <t>En unos momentos más se llevarán a cabo las diferentes comparecencias por parte del secretario de Educación Pública, Natividad Castrejón. Esto será a las 10 de la mañana y horas más tarde el maestro Onésimo Serrano Rivera de la Secretaría de Planeación a las 4 de la tarde.</t>
  </si>
  <si>
    <t>Concluye sin incidentes Feria de San Francisco Pachuca 2026</t>
  </si>
  <si>
    <t>Reunión Gabinete De Seguridad</t>
  </si>
  <si>
    <t>Radioescucha: "Aquí en Huejutla circulan varias unidades de taxis piratas autorizadas por el mismo coordinador del transporte, Omar. Se observan que usan las mismas placas en diferentes carros, lo que hacen poner es solamente una placa en cada carro". Andrés Torres comenta que lamentablemente es muy común que haya transporte público "pirata".</t>
  </si>
  <si>
    <t>Transporte pirata</t>
  </si>
  <si>
    <t>Andrés Torres en respuesta al radioescucha Lorenzo Cruz, quien señala que Uber ha llegado a Pachuca, pero sostiene que esto no es legal en el estado de Hidalgo y que como concesionarios de taxi ellos pagan impuestos. Andrés Torres responde que tiene razón, señalando que Uber no ha entrado a Pachuca, sino que han identificado algunos vehículos de Uber que estaban circulando. El gobernador Julio Menchaca declaró que no hay permisos o concesiones para Uber en el estado, y que los vehículos de esta plataforma serán sancionados. Según el gobernador y la Secretaría del Transporte, cualquier vehículo que preste servicio de Uber en Hidalgo será detenido y multado. Aunque algunos vehículos están circulando sin permiso, al ser ubicados, pueden enfrentar el decomiso del auto y multas. La declaración del gobernador es clara: Uber no está autorizado para operar en territorio hidalguense. Esto ha sido motivado por la aparición de vehículos de Uber en la zona, lo que llevó a la necesidad de una respuesta contundente del gobierno estatal. En resumen, Uber no tiene autorización para funcionar en Hidalgo y cualquier infracción será sancionada.</t>
  </si>
  <si>
    <t>En respuesta al radioescucha Roberto Pérez quien dice que en Tezontepec de Aldama hay funcionarios que están inscritos como coordinadores de Morena, pero que aún no han renunciado a sus puestos, lo cual es obligatorio según la convocatoria. Andrés Torres menciona que es difícil obtener los nombres de esas personas. Ayer, intentó hacer un listado con Los Hijos del Pueblo, pero no fue posible debido a que en cada lugar hay alguien inscrito en las convocatorias de Morena, ya sea para las coordinaciones distritales federales o municipales. Resalta que solo la Comisión Nacional de Elecciones tiene la lista de inscriptos, y ni siquiera en la oficina estatal de Morena en Hidalgo tienen acceso a esta información. Esto plantea un problema para supervisar y confirmar si los registrados han renunciado a sus cargos públicos o han solicitado licencia si son de elección popular. Andrés Torres pide que si alguien tiene información sobre estos funcionarios, como Roberto Pérez, que lo dé a conocer. No es una denuncia, sino un anuncio. Menciona a algunas personas como Hilda Miranda, Daniela Andrade y Ricardo Crespo, quienes han hecho público su registro y están esperando el plazo para solicitar licencia a sus cargos. También invita a que se mencione a otros posibles inscriptos.</t>
  </si>
  <si>
    <t>En respuesta al radioescucha Pedro Estrada que menciona que los regidores en el estado temen que su figura desaparezca, lo que ha llevado a no aprobar la reforma al artículo 141. Andrés Torres aclara que la reforma no busca eliminar a los regidores, sino más bien hacer que trabajen más y estén más supervisados. Reconoce que hay una molestia legítima entre ellos, pero destaca que la iniciativa busca que se involucren en su labor. Torres señala que existe un estigma sobre los regidores, ya que muchos parecen solo cobrar sin realizar un verdadero trabajo. Comenta que si los regidores no se organizan y no responden a la reforma, esta no avanzará. Les insta a informarse, organizarse y participar para asegurar que la reforma no se implemente. Además, menciona que algunos regidores han presentado informes de actividades que son solo listas de asistencia, sin propuestas o acciones concretas para mejorar sus municipios. Enfatiza que hay posturas diferentes sobre el asunto, pero resalta que si los regidores realmente se comprometen y trabajan, la reforma no será necesaria. Si la reforma se aprueba, los regidores no podrán culpar al Congreso, pues será el resultado de su falta de compromiso y participación. También hace hincapié en que el Congreso ha solicitado informes de actividad, y la respuesta de algunos regidores ha sido muy escasa, enfocándose únicamente en su asistencia a las sesiones del cabildo, sin incluir otras acciones significativas. Se espera que los regidores dejen de lado el estigma y tomen en serio su responsabilidad, para así demostrar su valor y contrarrestar la reforma.</t>
  </si>
  <si>
    <t>Fuera del aire de la Emisión de Vocales Radio, Andrés Torres emitió el siguiente comentario: El otro día vino aquí, dice que a grabar y no tiene ni idea ni dónde se prenden las cosas. Había que grabar un texto. No lo leo, yo lo leo. Somos locutores, no lectores. ¿No? Este, piensa que cualquiera puede pasar, ¿no? Este, no sabe impostar la voz, ¿no? No sabe hacer pausas, ¿no? ¿Aquí cuántas veces yo hago pausa y Aldo me se adelanta? Yo así estamos haciendo la pausa. No, pues no. No, no tiene ni idea, no, no tiene ni idea. No, no, ahorita yo Ese día mejor lo despaché, "Ay, mira, vete a chayotear para allá con la secretaria", "Mire, déjeme trabajar", ¿no? Pues es lo que hace, ¿no? Chayotear a todos los secretarios, despide a todos. E inmediatamente Napoleón me dijo, "Ya está" ¿No? Todos, a todos despide. ¿No? Se estaban quejando también los de Coespo, ¿no? Que no les este que no les quisieran hacer su programa de televisión, ¿no? ¿Qué les pidieron? Sí, imagínate. Es un tema bien interesante, chayotear dentro del gobierno, o sea, ¿eres parte del gobierno y chayotear dentro del gobierno? Así le hacía también Alan, Alan también les pedía. Una vez Natividad Castrejón nos dijo que le pidió 2,000 pesos, ¿ah? Aquí en entrevista, aquí en entrevista nos dijo, "Alan me pidió 2,000 pesos." Está grabado, güey, viendo el programa. Este señor le pidió que dos plazas, ¿no? A dos plazas a la Secretaría de Turismo, ¿no? Barrera le pidió dos plazas para sus hijos de para los hijos de sus directores. Napo también En la junta con el gobernador, lo único que pidió fue que su carro tuviera llanta de refacción porque su carro no tenía llanta de refacción. ¿Qué necesitas? Y ahí sí, no se fue, no se fue de gobierno ese día hasta que le dieron un vehículo. No fuera para trabajar, porque entonces ni se presenta, ¿no? No me voy hasta que me den mi vehículo con mi llanta de refacción. Qué lado, ¿no? Pero bueno, es lo que de verdad es lo que también uno dice, "Ahí está." Cuando dicen, "No puedes exigir." Pues, ¿qué puedes esperar? ¿Qué puedes esperar de alguien que siempre se ha dedicado a engañar? ¿No? El tipo no sabe nada de medios de comunicación, es evidente, ¿no? Como ya no puede ir al área académica, porque está vetado en todas las escuelas por acosador sexual. Fue expulsado de las áreas por acosador sexual, todos los maestros te lo dicen. En la universidad también salió por acoso sexual. En todas las escuelas ha tenido problemas, en todas las escuelas donde va a pedir pidió trabajo en el Tec de Monterrey también ya me lo confirmaron. Ni siquiera lo recibieron. ¿No? Entonces, al verse vetado de la del mundo académico, pues se tuvo que meter a hacer TikToks, ¿no? Y luego ya se dijo periodista.</t>
  </si>
  <si>
    <t>La Voz de la Sierra Gorda en Jacala de Ledezma sigue fuera del aire en la frecuencia 91.1, y no hay soluciones a la vista. La administración enfrenta problemas financieros, no pueden manejar 10 millones de pesos y les han devuelto documentación para justificar gastos. No les cuadran las cuentas a pesar de que falsifican facturas, documentos y firmas. De hecho, se perdieron más de 14 millones de pesos, que fueron autorizados por el Congreso en 2026 para instalar dos nuevas estaciones de radio, una en Pachuca y otra en Tenango de Doria. Este dinero está en el aire y se desconoce su paradero. Aunque estaba presupuestado y aprobado, nadie sabe si se devolvió o se ejerció. Esto impide la apertura de las estaciones programadas para 2026. Andrés Torres asevera que tendrían que comparecer los responsables de estos temas, por ejemplo, porque también en los temas de comunicación se gasta muchísimo, muchísimo dinero y nadie da razón de ello. "En lugar de pedir vales de gasolina, lugares de estacionamiento, hagan fiestas para festejarse entre ellos y festinarse sus burradas, mejor se pongan a trabajar, ¿no? Mejor aprendan cuáles son los lineamientos eh oficiales del gobierno del estado de los diferentes programas que maneja la Secretaría de Hacienda, la Unidad de Planeación y Prospectiva, la propia Secretaría de Gobierno, ni qué decir de por ejemplo otras áreas como la Oficialía Mayor porque todas en todas están reprobados. Y bueno pues mejor en lugar de estarle haciendo al canelas, ¿no?, en lugar de torcer la boca y estar enojados y levantar actas de abandono de empleo y abrir y levantar este todos los días falsos en contra de los trabajadores, ¿no? Porque ya no pueden de demandas, eso sí, ¿eh? Ya tienen muchas demandas ante la Procuraduría General de Justicia del Estado de Hidalgo, ¿no? Ya no es ya no es nada más demandas laborales, ya son demandas que van a otro tipo de nivel. Pero ellos siguen diciendo que los de radio somos los malos."</t>
  </si>
  <si>
    <t>Subejercicio</t>
  </si>
  <si>
    <t>Nos preguntaron sobre la estación de radio en Tula. En noviembre de 2022, cerraron 11 estaciones del Sistema Estatal de Radio, incluida la de Tula. No hay planes ni intención de recuperar las transmisiones o contratar una licencia para esa región. Es una pena, pero este problema es resultado de las decisiones de administraciones pasadas que ignoraron las necesidades de las estaciones de radio, lo que llevó a perder las concesiones.</t>
  </si>
  <si>
    <t>Todo indica que se solucionará finalmente las protestas del personal del Instituto Mexicano del Seguro Social (IMSS) en el país. La presidenta Claudia Sheinbaum, en su discurso reciente desde el sureste mexicano, reconoció que existen demandas legítimas relacionadas con el IMSS-Bienestar, a diferencia de lo que había afirmado anteriormente sobre la salud en México. Sheinbaum mencionó que habló con Zoé Robledo, el encargado del IMSS Bienestar, y le ordenó solucionar estos problemas. También admitió que hay médicos contratados durante la pandemia que aún enfrentan dificultades y que es necesario abordar esto. Además, la presidenta identificó un problema interno en el IMSS respecto a la distribución de medicamentos y otros insumos médicos y solicitó a Robledo que resuelva esta situación con urgencia, debido a las quejas de la población sobre la falta de medicamentos. A pesar de que le costó admitir estas cuestiones, este reconocimiento es considerado un gran avance y demuestra la voluntad de resolver los asuntos. Se espera que, pronto, las inquietudes y protestas sean atendidas y superadas.</t>
  </si>
  <si>
    <t>SEMOTH procederá conforme a derecho ante la operación de transporte sin autorización en Hidalgo</t>
  </si>
  <si>
    <t>El gobernador fue cuestionado por la prensa sobre los autos de alquiler, conocidos como Uber. Mencionó que hay una invasión de vehículos de esta plataforma en el estado. El gobernador afirmó que estos vehículos no cuentan con permisos y están operando fuera de la ley. También indicó que, por esta razón, podrían ser sancionados. La Secretaría de Transporte emitió un boletín sobre este tema.</t>
  </si>
  <si>
    <t>Algunos diputados han enviado su informe de labores, pero hay preocupaciones sobre la transparencia de estos informes, que a menudo son solo libros con fotos y actividades superficiales. Aldo Falcón sugiere que los diputados deben hacer públicos sus informes y no limitarse a una simple presentación de actividades. Hablan sobre la polémica relacionada con una reforma que afecta al alcalde, diciendo que según el artículo 141 de la Constitución del Estado, el alcalde no puede actuar sin la aprobación del Cabildo. Aclaran que requiere dos terceras partes de la aprobación del Cabildo para decisiones importantes como el endeudamiento y proyectos de obras, que también deben ser validados por el Congreso y la Secretaría de Infraestructura. Andrés Torres menciona la necesidad de un ejercicio parlamentario abierto donde se consulte a colegios y regidores para evitar controversias y versiones contrapuestas. Hay un grupo de regidores de distintos partidos que están generando más ruido que la Asociación de Alcaldes de Hidalgo, que ya tiene dos años. Señalan que la iniciativa podría haber sido analizada mejor, ya que en Pachuca fue aprobada pero en San Salvador fue rechazada. Esto muestra la falta de trabajo colaborativo necesario para evitar conflictos. Opinan sobre la importancia de la rendición de cuentas y la transparencia tanto en el poder legislativo como en el ejecutivo, señalando que ambos deben cumplir con su deber de informar al público. Se menciona un comentario que hizo una diputada local a Clara Brugada sobre que no se trata de aplaudir, sino de un ejercicio colectivo donde ambos poderes deben ser responsables ante la ciudadanía. Resaltan que el trabajo en las comparecencias y la comunicación efectiva entre los dos poderes es esencial para lograr mayor claridad y entendimiento en la gestión pública.</t>
  </si>
  <si>
    <t>Ayer, temprano en la mañana, un funcionario de la Secretaría de Educación Pública en Tulancingo fue asesinado a tiros por una persona que se acercó mientras viajaba en bicicleta. El incidente ocurrió en las instalaciones de la SEPH, donde el agresor disparó al menos dos veces, causando la muerte del funcionario. La Secretaría emitió un comunicado confirmando lo sucedido y aclarando que las autoridades de la Procuraduría General de Justicia y de Seguridad Pública son responsables de investigar el caso. El funcionario tenía 67 años. Después del ataque, el presunto homicida huyó en bicicleta, lo que llevó a las autoridades a implementar un operativo de búsqueda, pero hasta el momento no han logrado localizarlo. Se informó que el agresor se dirigió hacia una comunidad cercana, Medias Tierras, en Cuautepec. Pese a los esfuerzos de los efectivos de seguridad, no se ha encontrado al sospechoso. Este trágico hecho fue notificado poco después de que terminara el programa Las Vocales Radio. La comunidad se encuentra conmocionada por el asesinato del funcionario en un espacio tan público y se espera que las investigaciones avancen para dar con el responsable.</t>
  </si>
  <si>
    <t>Hay una campaña de vacunación invernal que comenzó el pasado lunes, patrocinada por la Secretaría de Salud del estado. Se dispone de más de 1,500,000 dosis gratuitas. Los grupos prioritarios son niños menores de 5 años, adultos mayores y personas con enfermedades crónico-degenerativas. Sin embargo, se recomienda que todas las personas se vacunen, ya sea contra el COVID o contra la influenza estacional.</t>
  </si>
  <si>
    <t>La Subsecretaría de Protección Civil del Gobierno del Estado de Hidalgo ha confirmado que las lluvias continuarán en el este del estado, especialmente en la región Otomí-Tepehua y en la Sierra, incluyendo San Bartolo Tutotepec y Tenango de Doria. También se espera un descenso importante de temperaturas en la mayoría del estado, con registros de hasta 4 grados en algunas áreas, y entre 6 y 8 grados en Pachuca esta mañana. Se recomienda a la población abrigarse bien y prepararse, ya que este descenso de temperaturas continuara hasta febrero. Actualmente, se están sintiendo los efectos del segundo frente frío que afecta al país, lo que ha llevado a una marcada disminución de la temperatura. La Subsecretaría de Protección Civil, informa sobre el pronóstico para el 20 de octubre de 2026. Se esperan chubascos de 5 a 25 mm, sobre todo en el este de Hidalgo, con temperaturas entre 0 y 5 grados. También se pronostican vientos de 10 a 20 km por hora, con rachas de 30 a 50 km por hora.</t>
  </si>
  <si>
    <t>Andrés Tores respecto a la marcha de la UAEH, comentó: Si viene en transporte público también planteé que pudiera haber cortes en el Tuzobús, en las corridas del Tuzobús. Hasta el momento la Secretaría del Transporte no nos ha confirmado que vaya a haber algún cambio en las corridas del Tuzobús. Seguramente al momento que avance la marcha, seguramente sí habrá suspensión en las corridas del Tuzobús.</t>
  </si>
  <si>
    <t>Recorte Operativo</t>
  </si>
  <si>
    <t>Andrés Torres en respuesta a un radioescucha que comenta: "Ojalá arreglen la estación de radio, hace mucha falta". Andrés Torres responde que el director de Radio y Televisión "no conoce la sierra, pregúntale para dónde es la sierra. Pero si no conoce la tiene, no conoce el estado, obviamente, no quiere conocer el estado, ¿no? Ni las instalaciones de Radio y Televisión de Hidalgo, ¿no? Ya tiene qué ¿cuántos meses? Bueno, por favor, es un asunto ya que se desborda por todos lados, sí."</t>
  </si>
  <si>
    <t>Andrés Torres menciona que están recibiendo y compartiendo fotos en redes sociales sobre la marcha de la UAEH, y, "aunque se enoje el tiranito [risas], ¿no?, el tiranito local, este porque es información que nos ayuda a todos". Asimismo, señala: "es que la verdad te puede, a mí me dan ganas de llorar que tenemos una persona ignorante, prepotente, por supuesto, un acosador [risas], ¿no?, confirmado, certificado, que, pues no encuentra la manera de obstaculizar, de por supuesto, atacar y siempre, siempre, siempre estar este acosando a los trabajadores de Radio y Televisión de Hidalgo, porque lo que le queda es trabajar [risas], ¿no? Siempre, siempre este difamando, siempre mintiendo [risas], ¿no? Nosotros no nos manejamos de esa manera [risas], ¿no? Ayer yo platicaba sobre sus antecedentes penales [risas], ¿no?, que por cierto tiene varios y que pues resulta que pues nunca los puso en su currículum, ¿no? No los no los reportaba, así que, bueno, pues cada quien cada quien sabrá. Aldo Falcón por su parte destaca el impacto positivo que las personas en distintos municipios, como desde la Huasteca hasta la capital de Hidalgo, agradecen por ayudar a resolver problemas como una fuga de agua. También destacan que algunos no tienen acceso a la estación de radio. Se preguntan cómo se puede llegar a toda la gente, ya que no todo se puede hacer a través de la radio, especialmente con el avance de la tecnología. Andrés responde que: "Aquí el problema es, si no dotas, si tú, por ejemplo, dices, "No quiero que tengan redes sociales", como nos dijeron ayer nuestra dirección general. Entonces, dátanos, dótanos de redes sociales, saben que no tenemos intranet, aben que el decreto para entregar a Radio y Televisión de Hidalgo cinco concesiones de radio en Tlanchinol, Huejutla, Atlapexco, Huichapan y Jacala, obliga a Radio y Televisión de Hidalgo a transmitir en internet. Si no cumplimos con ese precepto, es posible que se nos retiren nuevamente las concesiones. Pero eso no se trabaja, eso no es importante. Lo importante es por qué Las Vocales Radio y Andrés Torres están trabajando [risas], ¿no? ¿Por qué lo ven a él? ¿Por qué le escriben a él? ¿Por qué la por qué no me escriben a mí? ¿Por qué no? Pues no te hablan y no te escriben a ti porque no eres nadie [risas], así de simple, porque en temas informativos no eres nadie, ¿no? Y entonces, pues por eso, simple y llanamente, pues quieres [risas], ¿no?, pero perjudicar, acosar, difamar, hostigar todo el tiempo. Me llama también muchísimo la atención que nadie hace nada. Que nadie hace nada, no, yo sí, yo sí levanto la voz, yo sí me digo, yo sí este denuncio, porque pues yo no voy a permitir que una persona que además es un neófito, es un total y pleno ignorante en temas de comunicación, en temas informativos, en temas, por supuesto, periodísticos, pues quiera este incidir en algo que además ni es su dinero, ay, porque dice que es dinero público. Mentira, estamos utilizando nuestro propio dinero, estamos metiendo dinero de nuestra bolsa para poder cumplir con este precepto de informar que estamos obligados a hacerlo, ¿no?". Aldo está de acuerdo con lo que Andrés dice. Andrés concluye que es necesario seguir trabajando, a pesar de las dificultades y las críticas que enfrentan.</t>
  </si>
  <si>
    <t>Hostigamiento Laboral</t>
  </si>
  <si>
    <t>Se anuncia que esta mañana una marcha avanzará por las principales calles de esta capital con dirección a la Plaza Juárez. Hasta el momento esta marcha convocada por la Universidad Autónoma del Estado de Hidalgo se está en, digamos así, están reuniéndose en las instituciones correspondientes a la Universidad Autónoma del Estado de Hidalgo, que son las diferentes escuelas que se ubican en la capital hidalguense. No tenemos todavía reporte de que ya avanzaron los contingentes, pero sí confirmamos que se están reuniendo los alumnos, las alumnas, los eh personal de esta institución universitaria para realizar esta marcha, así que tendremos también reporte del tránsito y los operativos de corte a la circulación para, bueno, pues eh evitar problemas con esta marcha que se va a realizar hoy en la capital de nuestro estado.</t>
  </si>
  <si>
    <t>UAEH</t>
  </si>
  <si>
    <t>Autonomía UAEH</t>
  </si>
  <si>
    <t>El cuerpo sin vida de una persona en avanzado estado de descomposición fue localizado esta tarde por vecinos de la comunidad de Palmillas, en el municipio de Mixquiahuala. El hallazgo movilizó a elementos de la Policía Municipal y de Protección Civil, quienes acudieron al lugar y confirmaron la presencia del cadáver en las aguas del canal. Los hechos fueron notificados al Ministerio Público, que ordenó el rescate de los restos humanos y las diligencias correspondientes para su levantamiento y traslado al Servicio Médico Forense, donde se realizarán los estudios necesarios para determinar el género y la identidad de la persona. Hasta el momento no se tienen mayores datos para determinar precisamente la identidad de la persona localizada sin vida.</t>
  </si>
  <si>
    <t>Localización De Restos</t>
  </si>
  <si>
    <t>El cuerpo sin vida de un hombre, con varios impactos de arma de fuego, fue localizado en un canal de agua para riego ubicado en el municipio de Tezontepec de Aldama. De acuerdo con los primeros reportes, la víctima, que permanece en calidad de desconocida, presentaba heridas en las extremidades inferiores y en el abdomen, presuntamente ocasionadas por proyectiles de arma de fuego. El hallazgo se registró en un paraje ubicado en los límites de las comunidades de Huitel y Achichilco, donde elementos de las policías municipal y estatal acudieron tras recibir el reporte. Personal de la Procuraduría General de Justicia del Estado de Hidalgo inició las investigaciones respectivas al caso para determinar las responsabilidades legales correspondientes.</t>
  </si>
  <si>
    <t>El hallazgo de un hombre sin vida movilizó este martes a corporaciones de seguridad y personal ministerial en la comunidad de Santa Catarina, en el municipio de San Agustín Tlaxiaca. El cuerpo fue localizado en un camino de terracería y, de acuerdo con los primeros reportes, presentaba aparentes signos de violencia. La identidad de la víctima no había sido establecida hasta el momento de los primeros informes. Tras el hallazgo, elementos de seguridad acordonaron el área para facilitar las diligencias periciales. Personal de la Procuraduría General de Justicia del Estado de Hidalgo realizó las actuaciones correspondientes y el traslado del cuerpo al Servicio Médico Forense. Las autoridades iniciaron las investigaciones para determinar las circunstancias de la muerte y esclarecer los hechos.</t>
  </si>
  <si>
    <t>Radioescucha: Las plataformas digitales de transporte son necesarias en Hidalgo, ya que funcionan en la Ciudad de México, Estado de México, Guadalajara y Monterrey, permitiendo que el usuario pague y merezca un mejor servicio, precio justo, seguridad, atención y unidades dignas. La competencia no obligará a tener un mejor transporte público, y existe un amparo que permite a Uber operar, siendo un servicio solicitado por más del 80% de los hidalguenses. Bajo la premisa de que "el pueblo es primero", es momento de escuchar a la ciudadanía, ya que las plataformas no solo representan un mejor servicio, sino también empleo e ingresos para los hidalguenses.</t>
  </si>
  <si>
    <t>Anda buscando el Gobierno del Estado de Hidalgo un terreno donde se pueda hacer construcción de vivienda del bienestar, uno de los programas estrella del gobierno federal, porque resulta que el que tenía considerado en Ixmiquilpan pues tiene pues problemas ahí de tenencia, esto para la construcción de 750 viviendas y esto lo declaró el secretario de Gobierno del Estado de Hidalgo, Guillermo Olivares Reyna, recordando que se había previsto inicialmente hacer la construcción en la comunidad del Valante en Ixmiquilpan, pero ahí tiene, le insisto, este problemas agrarios. En este sentido, como parte de la glosa del cuarto informe de gobierno del mandatario Julio Menchaca Salazar, tras el cuestionamiento de la diputada Cynthia Citlali Delgado Mendoza sobre este tema, Olivares Reyna explicó que el conflicto ha dificultado el avance del proyecto y añadiendo que incluso se ofreció asesoría jurídica para regularizar el predio original, pero al considerar que el proceso podría prolongarse, decidieron buscar un nuevo predio. Las Casas del Bienestar, dijo, reclaman celeridad, que se arranca en cuanto antes y es por eso que se decidió buscar un nuevo predio. Como alternativa indicó que se ofreció un terreno en donación donde podrían construirse las viviendas, siempre y cuando cumplan con los requisitos legales y técnicos. Mencionó que se trabajan los aspectos relacionados con un pozo de agua y una planta de tratamiento para hacer viable este proyecto. De acuerdo con los antecedentes del conflicto, la disputa por la tenencia de la tierra se prolonga desde hace 80 años, entonces pues que es muy complicado de que puedan utilizar el espacio que se tenía considerado originalmente en el Valante en Ixmiquilpan, pues porque no pueden usarlo porque hay un problema de tenencia legal en ese en ese espacio. Bueno, este de hecho hay versiones periodísticas que afirman que cuando el personal relacionado con el proyecto intentó descargar material para construir los cimientos de las viviendas, habitantes de la zona pues de plano se los se los impidieron y les dijeron "no, aquí no pueden descargar.</t>
  </si>
  <si>
    <t>Plan Nacional De Vivienda</t>
  </si>
  <si>
    <t>Radioescucha: Una colectiva de la Ruta Indeco Aldama pasó 10.38 de la mañana ayer, ocurrió un acto de discriminación hacia un adolescente con discapacidad, iban a subirla y se arrancó.</t>
  </si>
  <si>
    <t>Radioescucha: La verdad escribo como mamá estoy muy molesta por la marcha que va a realizar la Universidad del Estado, porque están obligando a los chicos a asistir, ¿acaso la Universidad del Estado de Hidalgo está garantizando la integridad de los chicos, que dicha marcha tiene un trasfondo político?</t>
  </si>
  <si>
    <t>Daniel Mertínez: Insisto, Hidalgo, ella es de los pocos estados del país que no cuentan con estos servicios. Sean buenos o sean malos, pues ahora sí que la experiencia de cada quien, pero es increíble que no formemos parte de ese concierto tecnológico actual ya. Y es gusto en saludarte y bueno, le decía a Isa fuera del aire hace ratito, pónganse de acuerdo, por una parte el gobernador dice que estamos preparando denuncias, por otra parte el presidente de la Juanta de Gobierno dice, bueno, vamos a revisar el tema y a lo mejor lo legislamos.</t>
  </si>
  <si>
    <t>Radioescucha: se dice primero el pueblo, pues el pueblo no viaja en helicóptero o vehículo particular, nuestros políticos no usan taxi, o sea, no sufren servicio de transporte público. ¿Por qué no hacen sus clásicas encuestas al pueblo sobre lo que les conviene para ellos?</t>
  </si>
  <si>
    <t>Daniel Martínez: Y veo en la tarjeta informativa que envía Movilidad y transporte del Estado de Hidalgo, digo, no le toca esa chamba, pero sí informar qué es lo que pasó, que no hay ninguna información acerca de si hay alguna persona detenida como presunto responsable del intento de robo que denunció el taxista. El taxista registrado adecuadamente, el taxista tiene su licencia y está registrado adecuadamente, pero ni una palabra, si detuvieron a la persona que presuntamente intentó el asalto. ni una palabra en la tarjeta informativa bueno, 9.53 más temas de seguridad pública</t>
  </si>
  <si>
    <t>Accidente transporte público</t>
  </si>
  <si>
    <t>El operador de un taxi terminó impactándose contra un poste, presuntamente al resistirse a un asalto por parte de un pasajero que viajaba en dicha unidad de transporte individual. La situación se registró en la carretera Pachuca-Actopan, a la altura del puente del Barrio del Judío, resultando dos personas lesionadas durante la situación. Se conoció que uno de los pasajeros del taxi habría intentado asaltar al conductor y, durante el forcejeo, lo lesionó en una mano y en el rostro. Ante esta situación, el operador de la unidad perdió el control del vehículo y se impactó contra un poste, el cual cayó y provocó que un motociclista derrapara. Elementos de Seguridad Pública, Tránsito y Protección Civil de San Agustín Tlaxiaca acudieron al lugar para atender la emergencia y brindar atención a los involucrados. El saldo fue de dos personas lesionadas: el conductor del taxi y el motociclista, quienes fueron valorados por paramédicos y presentaron policontusiones, sin lesiones de gravedad. La Secretaría de Movilidad y Transporte en Hidalgo (Semoth), dio a conocer a través del Sistema de Transporte Convencional de Hidalgo (STCH), informó que dio seguimiento al caso y confirmó que el operador contaba con licencia vigente y que la unidad tenía su documentación en regla.</t>
  </si>
  <si>
    <t>Asalto a transporte público</t>
  </si>
  <si>
    <t>Capacita SEPH a supervisores escolares en acompañamiento pedagógico</t>
  </si>
  <si>
    <t>MEJORA EDUCATIVA</t>
  </si>
  <si>
    <t>En Hidalgo existen alrededor de 10 personas en situación de calle que reciben pensión para adultos mayores, así como también algunas privadas de libertad al interior de Ceresos, de acuerdo con datos del Gobierno Federal. La Delegación de Programas para el Bienestar en Hidalgo dio a conocer que del 19 al 25 de octubre se estará realizando la incorporación a los programas de pensiones para el bienestar de adultos mayores de 65 y en mujeres bienestar de 60 a 64 años. En conferencia de prensa, el delegado de Programas para el Bienestar en el estado, Abraham Mendoza, sí comentó que si existieran personas postradas de alguna forma en su cama, acudirían a sus domicilios para poder incorporarlos al programa de pensiones. Por ello, invitó a la población a que si conocen a una persona adulta mayor que no reciba como tal la pensión y no pueda salir de su casa, les notifiquen directamente a los servidores de la nación para que los puedan visitar y hagan también este registro; mismo caso para personas en situación de calle. Actualmente, indicó que tienen alrededor de 10 personas en situación de calle ubicadas en diversos puntos del estado de Hidalgo, inscritos en el programa de pensión, ya sea por discapacidad o adultos mayores, a quienes les consiguieron un comprobante de domicilio para poder ayudarlos a inscribirse. Sin precisar cuántos, comentó también que hay algunas personas adultas mayores que están en centros de reinserción social (Ceresos) que cuentan con este apoyo con este programa y los registros fueron con facilidades que dio la Secretaría de Seguridad Pública del Estado dentro de los mismos penales. La actual incorporación sería de acuerdo con la letra del primer apellido, de acuerdo con el calendario en los módulos de los 84 municipios del estado, de las 10:00 de la mañana a las 4:00 de la tarde. Esa es la información y los datos finales que se tienen precisamente en el estado de Hidalgo: sí hay personas en situación de calle y presos que reciben Pensión del Bienestar.</t>
  </si>
  <si>
    <t>Pensión Del Bienestar</t>
  </si>
  <si>
    <t>El relleno sanitario del Huixmi, que está ubicado en Pachuca, y es que contaría con una vida útil estimada de alrededor de 2 años, uno por cada celda de disposición de residuos. Esto lo informó Mónica Patricia Mixtega Trejo, la titular de la Secretaría de Medio Ambiente y Recursos Naturales del Estado de Hidalgo, durante su comparecencia ante el Congreso local el día 19 de octubre. La funcionaria explicó que en este espacio operan dos empresas particulares: Consultas Nacionales de Información y Asesorías S.A. de C.V., y Marsacot, las cuales cuentan con celdas diferentes para recibir los residuos sólidos urbanos de al menos 14 municipios hidalguenses, principalmente de la zona metropolitana de Pachuca. Ante esta situación, indicó que el gobierno municipal de Pachuca trabajaría en la actualización del programa de ordenamiento ecológico local con la finalidad de abrir más celdas para la disposición de residuos. Otro de los temas que fue abordado durante la comparecencia fue la situación de la presa Requena, donde actualmente se estima la presencia de más de 159,000 toneladas de lirio acuático. Mixtega Trejo informó sobre el proyecto para adquirir cuatro nuevas máquinas trituradoras destinadas a reducir la presencia de esta planta en el embalse y sus alrededores; sin embargo, reconoció que los equipos todavía no han sido comprados y que no habría tampoco fecha para poder adquirirlos. Explico que el procedimiento depende de los procesos de licitación, los cuales podrían tardar alrededor de tres meses, y para esta compra se contempla una inversión aproximada de 33 millones de pesos. En otros temas, la funcionaria señaló que existen 84 unidades económicas generadoras de residuos de manejo especial, un sector que requiere acciones de regulación y seguimiento para procurar una disposición adecuada de los desechos. También informó sobre la dispersión de 19 millones de esferas de semillas en una superficie de 11 hectáreas, aunque será necesario precisar el alcance y los resultados de esta intervención para conocer también su impacto ambiental.</t>
  </si>
  <si>
    <t>En cabina Rubén Gosnzález Henpandez, Vocal Secretario de la 04 Junta Distrital Local del INE en Hidalgo informó de la convocatoria para quien esté interesado y cumpla con los requisitos para cubrir las 5 vacantes para las consejerías propietarias y 5 para consejerías suplente. Asimismo, invitó a la población a tramitar, actualizar y reimprimir su INE.</t>
  </si>
  <si>
    <t>Convocatoria</t>
  </si>
  <si>
    <t>La Secretaría de Educación Pública de Hidalgo (SEPH) ha destinado 148 millones 782 mil pesos para atender escuelas afectadas en su infraestructura por la vaguada monzónica del año pasado. Lo anterior fue informado por el titular de la dependencia estatal, Natividad Castrejón Valdez, durante su comparecencia ante el Congreso del Estado de Hidalgo, este martes 20 de octubre. Una de las atenciones que destacó el funcionario estatal, fue sobre la Escuela Secundaria General “Caudillo del Sur”, donde se invierten 16 millones 800 mil pesos y los trabajos registran un avance del 60 por ciento. Mientras que en un plantel de educación preescolar dentro del mismo municipio, existe avance en su rehabilitación del 45 por ciento y una escuela primaria, del 55 por ciento. “Eso llevó casi seis meses después de la vaguada, hasta que Conagua tomó la decisión de construir un enorme muro que impida otra vez el desborde del río. Entonces se decidió que sí se repararan las escuelas que estaban ahí”, señaló. Castrejón Valdez explicó que la intervención se retrasó debido a que se analizaba la posibilidad de reconstruir las escuelas en otros lugares, ante el riesgo que representaba su ubicación. Además, actualmente se ejecutan once obras de rehabilitación a planteles educativos en los municipios de Huehuetla, Tlahuiltepa, Tianguistengo y Tepehuacán. El funcionario estatal señaló que 56 millones de pesos destinados a la atención de las escuelas afectadas corresponden al seguro institucional, mientras que el resto de los recursos proviene del gobierno estatal. Como parte de las gestiones realizadas ante el gobierno federal, se entregaron 10 mil bienes y equipos para reponer parte de lo perdido y contribuir a la recuperación de los planteles. Además, se distribuyeron 525 computadoras portátiles entre el personal docente y administrativo. Castrejón Valdez recordó que, al inicio de la emergencia, se recibieron más de 250 reportes de escuelas afectadas; sin embargo, durante el proceso de revisión y limpieza se determinó que muchas de ellas únicamente presentaban acumulación de lodo y residuos ocasionados por las lluvias. Después de un análisis se contabilizaron 99 planteles con afectaciones 19 con daños graves, 36 con daños moderados y 44 con daños leves.</t>
  </si>
  <si>
    <t>La devolución de las 80 hectáreas que solicitan estudiantes de la Escuela Normal Rural Luis Villarreal, conocida como El Mexe, no está contemplada por el momento, afirmó el titular de la Secretaría de Educación Pública de Hidalgo (SEPH), Natividad Castrejón Valdez, durante su comparecencia ante el Congreso estatal. Mientras el funcionario presentaba información ante los legisladores, un grupo de normalistas se concentró en el exterior del recinto y bloqueó los accesos, lo que dificultó el tránsito de ciudadanos, trabajadores legislativos, periodistas y funcionarios que se encontraban en el lugar. Los manifestantes expresaron sus demandas mediante consignas y mantas. La movilización también generó cuestionamientos entre los diputados. Marco Antonio Mendoza Bustamante pidió que algún representante de la Secretaría de Educación saliera a escuchar a los estudiantes, al considerar necesario atender sus planteamientos relacionados con el marco curricular común, la formación docente y diversos asuntos administrativos. En respuesta, Castrejón Valdez aseguró que las autoridades mantienen abiertas las mesas de negociación con los normalistas. Detalló que durante la semana anterior se realizaron dos encuentros en la Ciudad de México, uno estatal y otro nacional, con la participación de la Secretaría de Gobernación. Asimismo, indicó que la siguiente reunión está prevista para el 3 de noviembre y que se han llevado a cabo más de 50 encuentros de trabajo. No obstante, el titular de la SEPH cuestionó la intervención de Roberto Azpeitia en el conflicto y lo acusó de utilizar las demandas de la comunidad normalista con fines políticos personales. Según el secretario, Azpeitia no forma parte de la planta académica de El Mexe ni cuenta con una representación formal de la institución. Castrejón también lo vinculó con la toma de las instalaciones de la dependencia ocurrida en febrero de 2026, durante la cual, aseguró, se registraron daños en puertas y cristales. Añadió que existe una carpeta de investigación relacionada con esos hechos. El funcionario sostuvo que, debido a esa situación, no considera viable establecer una interlocución con Azpeitia, aunque afirmó que las negociaciones con los estudiantes continúan. La postura de la dependencia mantiene sin respuesta favorable la exigencia de recuperar las 80 hectáreas reclamadas por los normalistas.</t>
  </si>
  <si>
    <t>Menchaca Salazar logra gestión histórica ante Pemex por más de 654 millones de pesos</t>
  </si>
  <si>
    <t>Donación Pemex</t>
  </si>
  <si>
    <t>La cancha deportiva de la colonia El Paraíso fue rehabilitada y puesta nuevamente en funcionamiento con trabajos de mantenimiento, instalación de tableros, luminarias y malla perimetral, informó el gobierno municipal encabezado por la alcaldesa Lorena García Cázares. Los trabajos, a cargo de la Dirección de Mantenimiento Urbano, dependiente de la Secretaría de Servicios Municipales, incluyeron la colocación de cuatro rollos de malla de 25 metros cada uno, la construcción de mampostería para su soporte, la instalación de dos tableros nuevos y la pintura y delimitación de las líneas deportivas. También se colocaron luminarias y una segunda sección de malla en la parte superior, con el propósito de evitar que los balones salgan hacia las viviendas cercanas. La rehabilitación se suma a las intervenciones realizadas en espacios deportivos de colonias como Guadalupe Cañada, Glorias, Napateco, Ruiz Cortines, San Luis, Ahuehuetitla, Glorias 3, Jardines del Sur, Nuevo Tulancingo y Huapalcalco. El municipio prevé realizar otra intervención en Rincones de la Hacienda antes de que concluya el año, como parte de las acciones para recuperar y dar mantenimiento a instalaciones destinadas al deporte. Durante la inauguración también se anunció que la Dirección de Cultura Física, en coordinación con la Liga Municipal de Basquetbol Escolar y de Clubes (LIMBECT), iniciará el próximo 3 de noviembre un torneo de basquetbol para incentivar la actividad física y promover la participación de niñas, niños y jóvenes. De acuerdo con el gobierno municipal, Tulancingo cuenta con un censo de 122 canchas y espacios destinados al deporte y la convivencia, infraestructura que busca ofrecer alternativas de recreación y fomentar hábitos saludables entre la población.</t>
  </si>
  <si>
    <t>Con perfilado y demás trabajos técnicos, iniciaron el pasado jueves 15 de octubre trabajos de rehabilitación de la carretera Tulancingo-Cuautepec, en la zona de San Juan el Banco, una de las más deterioradas. Armando Pérez Alcibar, titular de la Secretaría municipal de Desarrollo Urbano, Obras Públicas y Medio Ambiente, confirmó el inicio de labores de este tipo incluso en otras vialidades tanto de interconexión con otros municipios, como internas. Señaló que los trabajos se desarrollarán en lo que resta del año, e incluso deberán ser terminados antes de finalizar el presente 2026. En la zona de Medias Tierras, será intervenida la calle Francisco I. Madero hasta Rodríguez y Coss; se trata de una de las vialidades con mayor daño que se encuentran dentro del municipio de Tulancingo. El funcionario señaló que en ambos casos los trabajos de rehabilitación serán con asfalto, debido a las condiciones físicas de las zonas donde se encuentran las calles a atender. También está considerada la rehabilitación de Libramiento La Joya, entre bulevar Miguel Hidalgo y la entrada al Campus en la región de la Universidad Autónoma del Estado de Hidalgo. En este caso se realizará el reencarpetamiento se realizará en el carril que presenta mayor daño, y en una etapa posterior, se atendería el otro carril, con uso de asfalto, al igual que en las dos zonas anteriores. Este mismo año también se atenderá la parte que presenta mayor daño entre el bulevar La Morena y parte de la zona de Napateco, también con el compromiso de concretar los trabajos en pocas semanas. Pérez Alcibar señaló que en estos y otros trabajos de rehabilitación física a vialidades en Tulancingo, está considerada una inversión por aproximadamente 12 millones de pesos, cantidad aproximada a la asignada para las mismas labores durante el año pasado. En el mismo contexto, señaló que durante este año se han aplicado alrededor de siete millones de pesos para bacheo en diversos sectores del municipio; la meta alcanzada hasta el momento en dichos trabajos es del 70 por ciento. Respecto al caso de la calle Nicolás Bravo, que en una parte de esta presenta baches luego de realizarse reparaciones, aseguró que en breve la compañía que se contrató para dichas labores tendrá que subsanar los daños que se volvieron a registrar.</t>
  </si>
  <si>
    <t>Rehabilitación Vial</t>
  </si>
  <si>
    <t>El Congreso del Estado de Hidalgo está dispuesto a que se analice la Ley de Movilidad y Transporte de la entidad, para permitir la operación legal de las empresas de transporte para pasajeros por aplicación. El planteamiento fue realizado por el diputado local, Andrés Velázquez Vázquez, presidente de la Junta de Gobierno del Congreso estatal, Andrés Velázquez Vázquez, tras conocerse que una de estas empresas ya ofrece sus servicios en Pachuca, así como otra en Tulancingo. Velázquez Vázquez, comentó que en caso de una petición para legislar en el tema, analizarían los impactos que tienen las aplicaciones en la ciudadanía y en los concesionarios de los taxis. “Hace 20 años no habían esas plataformas, pues hubo bastantes concesiones, pero van variando las plataformas, muchos temas de reparto y todo eso, pues sí tenemos que legislar. Yo estaría en la disposición de analizar con prontitud, para que tengamos una respuesta y ver eso antes que ingresen esas plataformas”, señaló. Previamente, el Gobernador de Hidalgo, Julio Menchaca Salazar, ha señalado que de estar operando las empresas de transporte de pasajeros por aplicación, lo estarían haciendo de forma ilegal. Ello porque no existe legislación donde se regule su operación dentro del Estado de Hidalgo, por lo cual podrían existir sanciones. Velázquez Vázquez dijo que es probable que el tema se analice con prontitud y pueda discutirse en esta misma legislatura. Aclaró que en la eventual revisión a la legislación se deberán analizar las implicaciones de la entrada de las plataformas para quienes tienen concesiones de taxi; consideró que, aunque el mercado es abierto, debe estar todo reglamentado. Por su parte, el presidente de la Comisión Permanente de Comunicaciones y Transportes del Congreso local, Juan Pablo Escalante Urbán, recordó las declaraciones del Gobernador de Hidalgo, en cuanto a la operación del servicio que actualmente es ilegal. “No tienen los permisos ni siquiera, y para ello se tiene que modificar la ley para que ellos puedan circular y brindar el servicio. Mientras tanto lo están haciendo de manera ilegal”, expuso. El legislador recomendó a la población a ser prudentes y que sigan usando el transporte público convencional de Hidalgo.</t>
  </si>
  <si>
    <t>El Gobierno de Hidalgo alista una denuncia contra Uber por su presunta prestación de servicios de transporte en Pachuca sin contar con la autorización correspondiente, informó el gobernador Julio Menchaca Salazar, quien prevé que el recurso sea presentado ante la Procuraduría General de Justicia del Estado en los próximos días. El mandatario explicó que la Coordinación General Jurídica trabaja en la integración del documento para que el Ministerio Público determine si existen elementos para investigar posibles infracciones y establecer responsabilidades. Tras un evento de entrega de donaciones de Petróleos Mexicanos (Pemex), Menchaca señaló que la legislación contempla sanciones relacionadas con el uso irregular de servicios públicos. Añadió que el análisis podría incluir tanto a quienes impulsan la operación de la plataforma como a las personas que ofrezcan viajes mediante ella. Respecto a la posibilidad de que Uber obtenga los permisos necesarios, el gobernador indicó que la empresa puede participar en los procedimientos establecidos; sin embargo, afirmó que actualmente no se han autorizado nuevas concesiones para rutas u otras modalidades de transporte público, debido a la saturación que, según dijo, enfrenta el sector en Hidalgo. Menchaca Salazar reconoció que mejorar la movilidad será uno de los asuntos pendientes durante la parte final de su administración, ante las necesidades de traslado de la población. En otro tema, llamó a los usuarios del transporte público a presentar denuncias formales cuando enfrenten malos tratos o agresiones por parte de operadores. Señaló que estos procedimientos permiten a las autoridades investigar los casos y, si corresponde, aplicar sanciones a conductores o concesionarios.</t>
  </si>
  <si>
    <t>En cuestión de agenda, se espera que en unos minutos más el gobernador Julio Menchaca Salazar encabece el Congreso Nacional de Moda y Vestido 2026. Esto se realizará en el Auditorio Gota de Plata a las 19 horas.</t>
  </si>
  <si>
    <t>Agenda gobernador</t>
  </si>
  <si>
    <t>Protege Hidalgo el conocimiento para impulsar la innovación</t>
  </si>
  <si>
    <t>Propiedad intelectual</t>
  </si>
  <si>
    <t>El día de ayer se llevó a cabo la comparecencia del secretario de educación pública, Natividad Castrejón. La comparecencia fue larga e interesante, abordando temas como la eficiencia terminal en educación, la infraestructura educativa, la dinámica social y las nuevas condiciones de seguridad en las escuelas, así como los planes y programas de estudio. Durante esta comparecencia, alumnos de la Normal Rural Luis Villarreal de El Mexe protestaron por mejores instalaciones y exigieron la devolución de las antiguas instalaciones en Tepatepec, Francisco I. Madero. Bloquearon los accesos al Congreso del Estado, cerrando la calle que lleva al Congreso, así como a las instalaciones del Poder Judicial y de Radio y Televisión de Hidalgo. La manifestación fue pacífica, pero causó complicaciones en el tránsito. Los estudiantes exigían la asistencia del secretario a sus asambleas para abordar su pliego petitorio. La situación se prolongó durante varias horas, dificultando la entrada y salida del Congreso. La comparecencia de Onésimo Serrano, encargado de la Unidad de Planeación y Prospectiva del Gobierno del Estado de Hidalgo, sufrió un retraso. Al final, el secretario se retiró por una salida alterna, y los estudiantes se fueron sin incidentes, dejando solo un bloqueo temporal. La agenda legislativa avanzó y Onésimo Serrano pudo realizar su comparecencia.</t>
  </si>
  <si>
    <t>Recorrido Por Instalaciones</t>
  </si>
  <si>
    <t>Vecinos de San Agustín Tlaxiaca reportaron objetos sospechosos, bolsas de plástico, en un área desierta cerca de Santa Catarina. Al llegar, la policía encontró dos cuerpos sin vida. Uno de ellos estaba dentro de una bolsa en la carretera Pachuca-Actopan. Además, en el mismo municipio, se halló a una persona degollada en un hotel, dentro de una habitación. Esta persona aparentemente entró con otra que logró escapar sin ser vista por la seguridad del lugar.</t>
  </si>
  <si>
    <t>Está la campaña estatal de vacunación, vacunación invernal, que la Secretaría de Salud puso en operación hace unos días. Hay más de un millón quinientas mil dosis de vacunas contra el COVID, contra la influencia estacional. Por favor, acuda a su clínica, a su centro de salud más cercano. Hay que estar bien inmunizados, hay que estar preparados para esta temporada invernal, principalmente niños menores de cinco años, adultos mayores. Es muy importante que reciban sus vacunas. Todo es gratuito. Esto todo es, por supuesto, gratuito en el tema de la salud acá en el estado de Hidalgo.</t>
  </si>
  <si>
    <t>Andrés Torres: Gracias a toda la gente que nos sigue a través de las redes sociales, que nos escribe diariamente, que está muy pendiente de las vocales, les repito, más de 12 años de transmisiones interrumpidas, a punto de cumplir 13 años, y sobre todo le agradezco muchísimo a la gente que todos los días, todos los días sin excepción, nos saluda, gracias, creo que prácticamente es el único programa de radio y televisión de algo que tiene interacción con el auditorio, ¿no? Somos el único, bueno y tenemos interacción Porque como están cortados los teléfonos Por falta de pago, pues nosotros Tenemos que poner un teléfono Tenemos que poner un canal de WAF Todo eso A cuenta de La propia producción Y pues mire Con la agradable noticia de que Muchísima, muchísima gente Nos escucha todos los días</t>
  </si>
  <si>
    <t>Precariedad laboral</t>
  </si>
  <si>
    <t>Andrés Torres: cumplimos un mes fuera del aire en nuestra estación 91.1 de frecuencia modulada allá en Jacala de Ledezma. Bueno, pues yo apelo a las autoridades que nos ayuden para que podamos resolver este asunto. Evidentemente el área administrativa y el área de ingeniería no lo pueden resolver. Ahí ellos tendrán que dar cuentas Por qué este asunto no avanza Lo que nos corresponde a nosotros es estar pendientes Tener nuestras programaciones a punto Y el personal ahí pendiente para que estemos En el momento de que se restablezca la señal Trabajar como nos corresponde</t>
  </si>
  <si>
    <t>Hay una onda fría y un frente frío en todo el territorio nacional, especialmente en el estado de Hidalgo. La Subsecretaría de Protección Civil del Estado pide a la población estar atentos a la bajada de temperaturas, sobre todo en áreas altas, donde se esperan heladas y temperaturas de hasta 0 grados. Para el 21 de octubre de 2026, se informa que habrá chubascos de 5 a 25 milímetros y temperaturas de 0 a 5 grados. También se pronostican vientos de 20 a 30 kilómetros por hora, con rachas de 40 a 60 kilómetros por hora.</t>
  </si>
  <si>
    <t>SSH hace un llamado a reforzar medidas de prevención ante el incremento de enfermedades respiratorias</t>
  </si>
  <si>
    <t>Prevención De Enfermedades</t>
  </si>
  <si>
    <t>Locutor Jesús Riveros da lectura a comentario de radioescucha que reporta retrasos y deficiencias en una obra de infraestructura cercana al plantel Cecyte en Tulancingo, señalando que los trabajos han permanecido pausados por casi un año. La inconformidad destaca la falta de banquetas para los estudiantes, lo cual genera condiciones de riesgo en la época de lluvias debido a la acumulación de lodo y resbalones de los alumnos, sin que haya una fecha definida para la pavimentación de la zona.</t>
  </si>
  <si>
    <t>Locutor Jesús Riveros da lectura a comentario de radioescucha que reporta su inconformidad ante la venta de credenciales escolares en la Escuela Secundaria Técnica 48 Japón, ubicada en la colonia La Cañada. La denunciante señaló que la credencial tiene un costo de $60 pesos y que las autoridades del plantel informaron que por el momento no será utilizada hasta nuevo aviso, expresando que esta medida le parece un negocio irregular.</t>
  </si>
  <si>
    <t>Hidalgo consolida liderazgo en indicadores educativos a nivel nacional</t>
  </si>
  <si>
    <t>En entrevista con el licenciado Pedro Luis Noble Monterrubio, presidente del Colegio de Notarios en Hidalgo, se aclaró que los contenidos y cuentas de redes sociales (Facebook, Instagram, TikTok, Twitter) son considerados activos intangibles y pueden ser incluidos en un testamento. Noble Monterrubio explicó que los bienes intangibles —aquellos producto de la inteligencia humana con valor económico— forman parte del patrimonio heredable. Entre estos activos se encuentran el acervo digital (timeline, fotos, videos), marcas registradas, patentes industriales, inventos, software, derechos de autor y el fondo o avío comercial.</t>
  </si>
  <si>
    <t>Testamento</t>
  </si>
  <si>
    <t>Durante su comparecencia ante el Congreso de Hidalgo, la secretaria de movilidad y transporte, Lyzbeth Robles Gutiérrez, informó sobre las acciones de su dependencia en el marco de la glosa del cuarto informe del gobernador Julio Menchaca Salazar. Ante cuestionamientos de la diputada Claudia Lira Luna sobre la problemática del tráfico en las horas pico al sur y centro de Pachuca, la secretaria indicó que se realizarán análisis técnicos mediante cámaras con inteligencia artificial instaladas en puentes del bulevar Felipe Ángeles. Asimismo, reiteró que la legislación vigente protege y establece la exclusividad del carril confinado para el transporte masivo (BRT) con el fin de garantizar una movilidad segura y eficiente.</t>
  </si>
  <si>
    <t>Durante su intervención, Onésimo Serrano destacó que a partir de la actualización del Plan Estatal de Desarrollo se ha brindado acompañamiento a las dependencias y organismos del gobierno de Hidalgo para alinear sus programas sectoriales, institucionales y especiales, actualizando cerca de 84 instrumentos de planeación y capacitando a los 84 municipios con una metodología homologada para los periodos 2024-2027. Asimismo, señaló la importancia de la coordinación interinstitucional y la participación ciudadana mediante el COPLADEIH y los COPLADEM, habiendo participado en más de 300 sesiones para definir obras y acciones prioritarias con las comunidades.</t>
  </si>
  <si>
    <t>Uno de los ejes emblemáticos de la administración encabezada por el gobernador Julio Menchaca Salazar ha sido la educación, logrando posicionar a Hidalgo en el octavo lugar nacional en eficiencia terminal. Se destaca que el 39% de los alumnos que ingresan a primaria logran concluir la educación superior, incrementando la eficiencia terminal en 12.4 puntos porcentuales. Asimismo, la entidad cuenta con la red de laboratorios de ciencia y tecnología más grande del país, abarcando 47 planteles que benefician a cerca de 60,000 estudiantes, además de haberse destinado más de 4,400 millones de pesos en apoyos a la economía en este sector.</t>
  </si>
  <si>
    <t>Durante su comparecencia ante el Congreso del Estado como parte de la glosa del informe de gobierno de Julio Menchaca Salazar, el secretario de Educación Pública de Hidalgo, Natividad Castrejón Valdés, informó que la entidad escaló al octavo lugar nacional en eficiencia educativa. El funcionario destacó el incremento en la conclusión de estudios de nivel medio superior y superior, así como una inversión acumulada de 2,700 millones de pesos en infraestructura, de los cuales 780 millones se destinaron recientemente a 1,500 planteles. Asimismo, resaltó una inversión de más de 4,400 millones de pesos en la entrega de útiles y uniformes escolares para aproximadamente 570,000 alumnos por ciclo escolar.</t>
  </si>
  <si>
    <t>El gobernador de Hidalgo, Julio Menchaca Salazar, anunció que el coordinador jurídico del estado, Raúl Serret Lara, prepara una denuncia penal contra la plataforma Uber por operar en Pachuca de manera ilegal y sin los permisos correspondientes. El mandatario estatal señaló que la ley contempla sanciones tanto para quienes promueven el servicio irregular como para aquellos que lo utilizan con fines de lucro sin estar debidamente registrados. Asimismo, aclaró que aunque la legislación permite concursar por una concesión estatal, prestar el servicio operando de forma arbitraria constituye una ilegalidad.</t>
  </si>
  <si>
    <t>Durante la conferencia de prensa matutina encabezada por la Presidencia de México, el director de Petróleos Mexicanos (Pemex), Juan Carlos Carpio, destacó el compromiso social de la empresa con las comunidades donde opera. Detalló que entre 2025 y septiembre de 2026 se han destinado cerca de 6,600 millones de pesos en apoyos dirigidos a regiones estratégicas. Dichos recursos se traducen en la construcción de caminos, proyectos productivos, obras de salud, educación, infraestructura y diversos programas comunitarios.</t>
  </si>
  <si>
    <t>Locutor Jesús Riveros da lectura a comentario de radioescucha reporta que están obligando a los estudiantes a acudir a la marcha de la UAEH y la molestia es porque es una marcha que tiene trasfondo político.</t>
  </si>
  <si>
    <t>Caravana Cultural llenará de arte Xochicoatlán</t>
  </si>
  <si>
    <t>Cultura</t>
  </si>
  <si>
    <t>Caravanas Culturales</t>
  </si>
  <si>
    <t>El Gobierno de Julio Menchaca Salazar fortalece la planeación estatal con participación, evaluación e innovación.</t>
  </si>
  <si>
    <t>A raíz de los conflictos regulatorios con el servicio de Uber en el estado de Hidalgo, donde el gobierno estatal anunció denuncias por operar sin permisos, comenzó a promocionarse en Pachuca y Tulancingo una nueva plataforma mexicana llamada "Pronto". Esta aplicación ofrece servicios de transporte de pasajeros y paquetería bajo un modelo de suscripción fija para los conductores y sin comisión por trayecto, operando de manera digital. Sin embargo, la entrada de estas plataformas en la entidad continúa generando cuestionamientos por parte de las autoridades y el gremio transportista debido a la falta de concesiones formales bajo la legislación vigente en el estado.</t>
  </si>
  <si>
    <t>En la conferencia matutina del gabinete de energía, se destacó el papel estratégico de Petróleos Mexicanos (Pemex) en la economía nacional y su impacto en el estado de Hidalgo. El gobernador Julio Menchaca Salazar informó sobre una gestión histórica con Pemex superior a los 654 millones de pesos, la cual incluye un reciente paquete de apoyo con 5,000 toneladas de asfalto, equipo de salud y maquinaria. Por su parte, el director de Pemex, Juan Carlos Carpio, señaló que la producción de barriles diarios se mantiene estable y la refinación ha incrementado al 81% en comparación con 2018, impulsada por la operación constante de las refinerías, la refinería Olmeca y la modernización de la planta ubicada en Tula. Asimismo, se resaltó una inversión cercana a los 6,600 millones de pesos destinada a proyectos comunitarios y caminos en la región entre 2025 y 2026.</t>
  </si>
  <si>
    <t>En la conferencia matutina del gabinete de energía, se destacó el papel estratégico de Petróleos Mexicanos (Pemex) en la economía nacional y su impacto en el estado de Hidalgo. El gobernador Julio Menchaca Salazar informó sobre una gestión histórica con Pemex superior a los 654 millones de pesos, la cual incluye un reciente paquete de apoyo con 5,000 toneladas de asfalto, equipo de salud y maquinaria. Por su parte, el director de Pemex, Juan Carlos Carpio, señaló que la producción de barriles diarios se mantiene estable y la refinación ha incrementado al 81% en comparación con 2018, impulsada por la operación constante de las refinerías, la refinería Olmeca y la modernización de la planta ubicada en Tula. Asimismo, se resaltó una inversión cercana a los 6,600 millones de pesos destinada a proyectos comunitarios y caminos en la región entre 2025 y 2026, informó David Cárdenas durante su colaboración matutina.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</si>
</sst>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6" tableType="queryTable" totalsRowShown="0">
  <autoFilter ref="A1:M126"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6"/>
  <sheetViews>
    <sheetView tabSelected="1" workbookViewId="0">
      <selection activeCell="A2" sqref="A2"/>
    </sheetView>
  </sheetViews>
  <sheetFormatPr baseColWidth="10" defaultRowHeight="15" x14ac:dyDescent="0.25"/>
  <cols>
    <col min="1" max="1" width="8.5703125" bestFit="1" customWidth="1"/>
    <col min="2" max="2" width="11.42578125" bestFit="1" customWidth="1"/>
    <col min="3" max="3" width="18" bestFit="1" customWidth="1"/>
    <col min="4" max="4" width="21.7109375" bestFit="1" customWidth="1"/>
    <col min="5" max="5" width="81.140625" bestFit="1" customWidth="1"/>
    <col min="6" max="6" width="15.28515625" bestFit="1" customWidth="1"/>
    <col min="7" max="7" width="35.7109375" bestFit="1" customWidth="1"/>
    <col min="8" max="9" width="12.425781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12</v>
      </c>
      <c r="C1" t="s">
        <v>13</v>
      </c>
      <c r="D1" t="s">
        <v>14</v>
      </c>
      <c r="E1" t="s">
        <v>1</v>
      </c>
      <c r="F1" t="s">
        <v>2</v>
      </c>
      <c r="G1" t="s">
        <v>4</v>
      </c>
      <c r="H1" t="s">
        <v>3</v>
      </c>
      <c r="I1" t="s">
        <v>5</v>
      </c>
      <c r="J1" t="s">
        <v>15</v>
      </c>
      <c r="K1" t="s">
        <v>16</v>
      </c>
      <c r="L1" t="s">
        <v>17</v>
      </c>
      <c r="M1" t="s">
        <v>22</v>
      </c>
    </row>
    <row r="2" spans="1:13" x14ac:dyDescent="0.25">
      <c r="A2" s="2">
        <v>46315</v>
      </c>
      <c r="B2" s="1" t="str">
        <f ca="1">IF(Información1[[#This Row],[Fecha]]='Ajuste de fechas'!$A$2,"Día actual","Día anterior")</f>
        <v>Día anterior</v>
      </c>
      <c r="C2" t="s">
        <v>29</v>
      </c>
      <c r="D2" t="s">
        <v>34</v>
      </c>
      <c r="E2" t="s">
        <v>85</v>
      </c>
      <c r="F2" t="s">
        <v>33</v>
      </c>
      <c r="G2" t="s">
        <v>47</v>
      </c>
      <c r="H2" t="s">
        <v>28</v>
      </c>
      <c r="I2" t="s">
        <v>7</v>
      </c>
      <c r="J2" t="s">
        <v>18</v>
      </c>
      <c r="K2" t="s">
        <v>31</v>
      </c>
      <c r="L2" t="s">
        <v>19</v>
      </c>
      <c r="M2">
        <v>1</v>
      </c>
    </row>
    <row r="3" spans="1:13" x14ac:dyDescent="0.25">
      <c r="A3" s="2">
        <v>46315</v>
      </c>
      <c r="B3" s="1" t="str">
        <f ca="1">IF(Información1[[#This Row],[Fecha]]='Ajuste de fechas'!$A$2,"Día actual","Día anterior")</f>
        <v>Día anterior</v>
      </c>
      <c r="C3" t="s">
        <v>29</v>
      </c>
      <c r="D3" t="s">
        <v>34</v>
      </c>
      <c r="E3" t="s">
        <v>86</v>
      </c>
      <c r="F3" t="s">
        <v>10</v>
      </c>
      <c r="G3" t="s">
        <v>87</v>
      </c>
      <c r="H3" t="s">
        <v>28</v>
      </c>
      <c r="I3" t="s">
        <v>11</v>
      </c>
      <c r="J3" t="s">
        <v>18</v>
      </c>
      <c r="K3" t="s">
        <v>31</v>
      </c>
      <c r="L3" t="s">
        <v>19</v>
      </c>
      <c r="M3">
        <v>1</v>
      </c>
    </row>
    <row r="4" spans="1:13" x14ac:dyDescent="0.25">
      <c r="A4" s="2">
        <v>46315</v>
      </c>
      <c r="B4" s="1" t="str">
        <f ca="1">IF(Información1[[#This Row],[Fecha]]='Ajuste de fechas'!$A$2,"Día actual","Día anterior")</f>
        <v>Día anterior</v>
      </c>
      <c r="C4" t="s">
        <v>29</v>
      </c>
      <c r="D4" t="s">
        <v>34</v>
      </c>
      <c r="E4" t="s">
        <v>88</v>
      </c>
      <c r="F4" t="s">
        <v>9</v>
      </c>
      <c r="G4" t="s">
        <v>89</v>
      </c>
      <c r="H4" t="s">
        <v>28</v>
      </c>
      <c r="I4" t="s">
        <v>11</v>
      </c>
      <c r="J4" t="s">
        <v>18</v>
      </c>
      <c r="K4" t="s">
        <v>35</v>
      </c>
      <c r="L4" t="s">
        <v>20</v>
      </c>
      <c r="M4">
        <v>1</v>
      </c>
    </row>
    <row r="5" spans="1:13" x14ac:dyDescent="0.25">
      <c r="A5" s="2">
        <v>46315</v>
      </c>
      <c r="B5" s="1" t="str">
        <f ca="1">IF(Información1[[#This Row],[Fecha]]='Ajuste de fechas'!$A$2,"Día actual","Día anterior")</f>
        <v>Día anterior</v>
      </c>
      <c r="C5" t="s">
        <v>90</v>
      </c>
      <c r="D5" t="s">
        <v>91</v>
      </c>
      <c r="E5" t="s">
        <v>92</v>
      </c>
      <c r="F5" t="s">
        <v>73</v>
      </c>
      <c r="G5" t="s">
        <v>93</v>
      </c>
      <c r="H5" t="s">
        <v>28</v>
      </c>
      <c r="I5" t="s">
        <v>8</v>
      </c>
      <c r="J5" t="s">
        <v>18</v>
      </c>
      <c r="K5" t="s">
        <v>94</v>
      </c>
      <c r="L5" t="s">
        <v>74</v>
      </c>
      <c r="M5">
        <v>1</v>
      </c>
    </row>
    <row r="6" spans="1:13" x14ac:dyDescent="0.25">
      <c r="A6" s="2">
        <v>46315</v>
      </c>
      <c r="B6" s="1" t="str">
        <f ca="1">IF(Información1[[#This Row],[Fecha]]='Ajuste de fechas'!$A$2,"Día actual","Día anterior")</f>
        <v>Día anterior</v>
      </c>
      <c r="C6" t="s">
        <v>95</v>
      </c>
      <c r="D6" t="s">
        <v>96</v>
      </c>
      <c r="E6" t="s">
        <v>97</v>
      </c>
      <c r="F6" t="s">
        <v>26</v>
      </c>
      <c r="G6" t="s">
        <v>83</v>
      </c>
      <c r="H6" t="s">
        <v>28</v>
      </c>
      <c r="I6" t="s">
        <v>7</v>
      </c>
      <c r="J6" t="s">
        <v>18</v>
      </c>
      <c r="K6" t="s">
        <v>98</v>
      </c>
      <c r="L6" t="s">
        <v>21</v>
      </c>
      <c r="M6">
        <v>1</v>
      </c>
    </row>
    <row r="7" spans="1:13" x14ac:dyDescent="0.25">
      <c r="A7" s="2">
        <v>46315</v>
      </c>
      <c r="B7" s="1" t="str">
        <f ca="1">IF(Información1[[#This Row],[Fecha]]='Ajuste de fechas'!$A$2,"Día actual","Día anterior")</f>
        <v>Día anterior</v>
      </c>
      <c r="C7" t="s">
        <v>36</v>
      </c>
      <c r="D7" t="s">
        <v>37</v>
      </c>
      <c r="E7" t="s">
        <v>99</v>
      </c>
      <c r="F7" t="s">
        <v>51</v>
      </c>
      <c r="G7" t="s">
        <v>100</v>
      </c>
      <c r="H7" t="s">
        <v>28</v>
      </c>
      <c r="I7" t="s">
        <v>7</v>
      </c>
      <c r="J7" t="s">
        <v>18</v>
      </c>
      <c r="K7" t="s">
        <v>38</v>
      </c>
      <c r="L7" t="s">
        <v>21</v>
      </c>
      <c r="M7">
        <v>1</v>
      </c>
    </row>
    <row r="8" spans="1:13" x14ac:dyDescent="0.25">
      <c r="A8" s="2">
        <v>46315</v>
      </c>
      <c r="B8" s="1" t="str">
        <f ca="1">IF(Información1[[#This Row],[Fecha]]='Ajuste de fechas'!$A$2,"Día actual","Día anterior")</f>
        <v>Día anterior</v>
      </c>
      <c r="C8" t="s">
        <v>36</v>
      </c>
      <c r="D8" t="s">
        <v>37</v>
      </c>
      <c r="E8" t="s">
        <v>101</v>
      </c>
      <c r="F8" t="s">
        <v>70</v>
      </c>
      <c r="G8" t="s">
        <v>102</v>
      </c>
      <c r="H8" t="s">
        <v>28</v>
      </c>
      <c r="I8" t="s">
        <v>7</v>
      </c>
      <c r="J8" t="s">
        <v>18</v>
      </c>
      <c r="K8" t="s">
        <v>38</v>
      </c>
      <c r="L8" t="s">
        <v>21</v>
      </c>
      <c r="M8">
        <v>1</v>
      </c>
    </row>
    <row r="9" spans="1:13" x14ac:dyDescent="0.25">
      <c r="A9" s="2">
        <v>46315</v>
      </c>
      <c r="B9" s="1" t="str">
        <f ca="1">IF(Información1[[#This Row],[Fecha]]='Ajuste de fechas'!$A$2,"Día actual","Día anterior")</f>
        <v>Día anterior</v>
      </c>
      <c r="C9" t="s">
        <v>36</v>
      </c>
      <c r="D9" t="s">
        <v>37</v>
      </c>
      <c r="E9" t="s">
        <v>103</v>
      </c>
      <c r="F9" t="s">
        <v>70</v>
      </c>
      <c r="G9" t="s">
        <v>104</v>
      </c>
      <c r="H9" t="s">
        <v>28</v>
      </c>
      <c r="I9" t="s">
        <v>7</v>
      </c>
      <c r="J9" t="s">
        <v>18</v>
      </c>
      <c r="K9" t="s">
        <v>38</v>
      </c>
      <c r="L9" t="s">
        <v>21</v>
      </c>
      <c r="M9">
        <v>1</v>
      </c>
    </row>
    <row r="10" spans="1:13" x14ac:dyDescent="0.25">
      <c r="A10" s="2">
        <v>46315</v>
      </c>
      <c r="B10" s="1" t="str">
        <f ca="1">IF(Información1[[#This Row],[Fecha]]='Ajuste de fechas'!$A$2,"Día actual","Día anterior")</f>
        <v>Día anterior</v>
      </c>
      <c r="C10" t="s">
        <v>36</v>
      </c>
      <c r="D10" t="s">
        <v>37</v>
      </c>
      <c r="E10" t="s">
        <v>105</v>
      </c>
      <c r="F10" t="s">
        <v>66</v>
      </c>
      <c r="G10" t="s">
        <v>106</v>
      </c>
      <c r="H10" t="s">
        <v>28</v>
      </c>
      <c r="I10" t="s">
        <v>7</v>
      </c>
      <c r="J10" t="s">
        <v>67</v>
      </c>
      <c r="K10" t="s">
        <v>38</v>
      </c>
      <c r="L10" t="s">
        <v>19</v>
      </c>
      <c r="M10">
        <v>1</v>
      </c>
    </row>
    <row r="11" spans="1:13" x14ac:dyDescent="0.25">
      <c r="A11" s="2">
        <v>46315</v>
      </c>
      <c r="B11" s="1" t="str">
        <f ca="1">IF(Información1[[#This Row],[Fecha]]='Ajuste de fechas'!$A$2,"Día actual","Día anterior")</f>
        <v>Día anterior</v>
      </c>
      <c r="C11" t="s">
        <v>36</v>
      </c>
      <c r="D11" t="s">
        <v>37</v>
      </c>
      <c r="E11" t="s">
        <v>107</v>
      </c>
      <c r="F11" t="s">
        <v>27</v>
      </c>
      <c r="G11" t="s">
        <v>108</v>
      </c>
      <c r="H11" t="s">
        <v>28</v>
      </c>
      <c r="I11" t="s">
        <v>7</v>
      </c>
      <c r="J11" t="s">
        <v>18</v>
      </c>
      <c r="K11" t="s">
        <v>38</v>
      </c>
      <c r="L11" t="s">
        <v>21</v>
      </c>
      <c r="M11">
        <v>1</v>
      </c>
    </row>
    <row r="12" spans="1:13" x14ac:dyDescent="0.25">
      <c r="A12" s="2">
        <v>46315</v>
      </c>
      <c r="B12" s="1" t="str">
        <f ca="1">IF(Información1[[#This Row],[Fecha]]='Ajuste de fechas'!$A$2,"Día actual","Día anterior")</f>
        <v>Día anterior</v>
      </c>
      <c r="C12" t="s">
        <v>29</v>
      </c>
      <c r="D12" t="s">
        <v>30</v>
      </c>
      <c r="E12" t="s">
        <v>109</v>
      </c>
      <c r="F12" t="s">
        <v>82</v>
      </c>
      <c r="G12" t="s">
        <v>50</v>
      </c>
      <c r="H12" t="s">
        <v>28</v>
      </c>
      <c r="I12" t="s">
        <v>7</v>
      </c>
      <c r="J12" t="s">
        <v>18</v>
      </c>
      <c r="K12" t="s">
        <v>32</v>
      </c>
      <c r="L12" t="s">
        <v>21</v>
      </c>
      <c r="M12">
        <v>1</v>
      </c>
    </row>
    <row r="13" spans="1:13" x14ac:dyDescent="0.25">
      <c r="A13" s="2">
        <v>46315</v>
      </c>
      <c r="B13" s="1" t="str">
        <f ca="1">IF(Información1[[#This Row],[Fecha]]='Ajuste de fechas'!$A$2,"Día actual","Día anterior")</f>
        <v>Día anterior</v>
      </c>
      <c r="C13" t="s">
        <v>29</v>
      </c>
      <c r="D13" t="s">
        <v>30</v>
      </c>
      <c r="E13" t="s">
        <v>110</v>
      </c>
      <c r="F13" t="s">
        <v>6</v>
      </c>
      <c r="G13" t="s">
        <v>50</v>
      </c>
      <c r="H13" t="s">
        <v>28</v>
      </c>
      <c r="I13" t="s">
        <v>7</v>
      </c>
      <c r="J13" t="s">
        <v>18</v>
      </c>
      <c r="K13" t="s">
        <v>32</v>
      </c>
      <c r="L13" t="s">
        <v>21</v>
      </c>
      <c r="M13">
        <v>1</v>
      </c>
    </row>
    <row r="14" spans="1:13" x14ac:dyDescent="0.25">
      <c r="A14" s="2">
        <v>46315</v>
      </c>
      <c r="B14" s="1" t="str">
        <f ca="1">IF(Información1[[#This Row],[Fecha]]='Ajuste de fechas'!$A$2,"Día actual","Día anterior")</f>
        <v>Día anterior</v>
      </c>
      <c r="C14" t="s">
        <v>29</v>
      </c>
      <c r="D14" t="s">
        <v>30</v>
      </c>
      <c r="E14" t="s">
        <v>111</v>
      </c>
      <c r="F14" t="s">
        <v>57</v>
      </c>
      <c r="G14" t="s">
        <v>112</v>
      </c>
      <c r="H14" t="s">
        <v>28</v>
      </c>
      <c r="I14" t="s">
        <v>7</v>
      </c>
      <c r="J14" t="s">
        <v>58</v>
      </c>
      <c r="K14" t="s">
        <v>31</v>
      </c>
      <c r="L14" t="s">
        <v>19</v>
      </c>
      <c r="M14">
        <v>1</v>
      </c>
    </row>
    <row r="15" spans="1:13" x14ac:dyDescent="0.25">
      <c r="A15" s="2">
        <v>46315</v>
      </c>
      <c r="B15" s="1" t="str">
        <f ca="1">IF(Información1[[#This Row],[Fecha]]='Ajuste de fechas'!$A$2,"Día actual","Día anterior")</f>
        <v>Día anterior</v>
      </c>
      <c r="C15" t="s">
        <v>29</v>
      </c>
      <c r="D15" t="s">
        <v>30</v>
      </c>
      <c r="E15" t="s">
        <v>113</v>
      </c>
      <c r="F15" t="s">
        <v>10</v>
      </c>
      <c r="G15" t="s">
        <v>114</v>
      </c>
      <c r="H15" t="s">
        <v>28</v>
      </c>
      <c r="I15" t="s">
        <v>7</v>
      </c>
      <c r="J15" t="s">
        <v>18</v>
      </c>
      <c r="K15" t="s">
        <v>31</v>
      </c>
      <c r="L15" t="s">
        <v>21</v>
      </c>
      <c r="M15">
        <v>1</v>
      </c>
    </row>
    <row r="16" spans="1:13" x14ac:dyDescent="0.25">
      <c r="A16" s="2">
        <v>46315</v>
      </c>
      <c r="B16" s="1" t="str">
        <f ca="1">IF(Información1[[#This Row],[Fecha]]='Ajuste de fechas'!$A$2,"Día actual","Día anterior")</f>
        <v>Día anterior</v>
      </c>
      <c r="C16" t="s">
        <v>29</v>
      </c>
      <c r="D16" t="s">
        <v>30</v>
      </c>
      <c r="E16" t="s">
        <v>115</v>
      </c>
      <c r="F16" t="s">
        <v>10</v>
      </c>
      <c r="G16" t="s">
        <v>50</v>
      </c>
      <c r="H16" t="s">
        <v>28</v>
      </c>
      <c r="I16" t="s">
        <v>7</v>
      </c>
      <c r="J16" t="s">
        <v>18</v>
      </c>
      <c r="K16" t="s">
        <v>31</v>
      </c>
      <c r="L16" t="s">
        <v>19</v>
      </c>
      <c r="M16">
        <v>1</v>
      </c>
    </row>
    <row r="17" spans="1:13" x14ac:dyDescent="0.25">
      <c r="A17" s="2">
        <v>46315</v>
      </c>
      <c r="B17" s="1" t="str">
        <f ca="1">IF(Información1[[#This Row],[Fecha]]='Ajuste de fechas'!$A$2,"Día actual","Día anterior")</f>
        <v>Día anterior</v>
      </c>
      <c r="C17" t="s">
        <v>29</v>
      </c>
      <c r="D17" t="s">
        <v>30</v>
      </c>
      <c r="E17" t="s">
        <v>116</v>
      </c>
      <c r="F17" t="s">
        <v>61</v>
      </c>
      <c r="G17" t="s">
        <v>76</v>
      </c>
      <c r="H17" t="s">
        <v>28</v>
      </c>
      <c r="I17" t="s">
        <v>7</v>
      </c>
      <c r="J17" t="s">
        <v>59</v>
      </c>
      <c r="K17" t="s">
        <v>31</v>
      </c>
      <c r="L17" t="s">
        <v>19</v>
      </c>
      <c r="M17">
        <v>1</v>
      </c>
    </row>
    <row r="18" spans="1:13" x14ac:dyDescent="0.25">
      <c r="A18" s="2">
        <v>46315</v>
      </c>
      <c r="B18" s="1" t="str">
        <f ca="1">IF(Información1[[#This Row],[Fecha]]='Ajuste de fechas'!$A$2,"Día actual","Día anterior")</f>
        <v>Día anterior</v>
      </c>
      <c r="C18" t="s">
        <v>29</v>
      </c>
      <c r="D18" t="s">
        <v>30</v>
      </c>
      <c r="E18" t="s">
        <v>101</v>
      </c>
      <c r="F18" t="s">
        <v>70</v>
      </c>
      <c r="G18" t="s">
        <v>102</v>
      </c>
      <c r="H18" t="s">
        <v>28</v>
      </c>
      <c r="I18" t="s">
        <v>7</v>
      </c>
      <c r="J18" t="s">
        <v>18</v>
      </c>
      <c r="K18" t="s">
        <v>32</v>
      </c>
      <c r="L18" t="s">
        <v>21</v>
      </c>
      <c r="M18">
        <v>1</v>
      </c>
    </row>
    <row r="19" spans="1:13" x14ac:dyDescent="0.25">
      <c r="A19" s="2">
        <v>46315</v>
      </c>
      <c r="B19" s="1" t="str">
        <f ca="1">IF(Información1[[#This Row],[Fecha]]='Ajuste de fechas'!$A$2,"Día actual","Día anterior")</f>
        <v>Día anterior</v>
      </c>
      <c r="C19" t="s">
        <v>29</v>
      </c>
      <c r="D19" t="s">
        <v>30</v>
      </c>
      <c r="E19" t="s">
        <v>117</v>
      </c>
      <c r="F19" t="s">
        <v>70</v>
      </c>
      <c r="G19" t="s">
        <v>104</v>
      </c>
      <c r="H19" t="s">
        <v>28</v>
      </c>
      <c r="I19" t="s">
        <v>8</v>
      </c>
      <c r="J19" t="s">
        <v>18</v>
      </c>
      <c r="K19" t="s">
        <v>32</v>
      </c>
      <c r="L19" t="s">
        <v>21</v>
      </c>
      <c r="M19">
        <v>1</v>
      </c>
    </row>
    <row r="20" spans="1:13" x14ac:dyDescent="0.25">
      <c r="A20" s="2">
        <v>46315</v>
      </c>
      <c r="B20" s="1" t="str">
        <f ca="1">IF(Información1[[#This Row],[Fecha]]='Ajuste de fechas'!$A$2,"Día actual","Día anterior")</f>
        <v>Día anterior</v>
      </c>
      <c r="C20" t="s">
        <v>29</v>
      </c>
      <c r="D20" t="s">
        <v>30</v>
      </c>
      <c r="E20" t="s">
        <v>118</v>
      </c>
      <c r="F20" t="s">
        <v>70</v>
      </c>
      <c r="G20" t="s">
        <v>119</v>
      </c>
      <c r="H20" t="s">
        <v>28</v>
      </c>
      <c r="I20" t="s">
        <v>7</v>
      </c>
      <c r="J20" t="s">
        <v>18</v>
      </c>
      <c r="K20" t="s">
        <v>31</v>
      </c>
      <c r="L20" t="s">
        <v>19</v>
      </c>
      <c r="M20">
        <v>1</v>
      </c>
    </row>
    <row r="21" spans="1:13" x14ac:dyDescent="0.25">
      <c r="A21" s="2">
        <v>46315</v>
      </c>
      <c r="B21" s="1" t="str">
        <f ca="1">IF(Información1[[#This Row],[Fecha]]='Ajuste de fechas'!$A$2,"Día actual","Día anterior")</f>
        <v>Día anterior</v>
      </c>
      <c r="C21" t="s">
        <v>29</v>
      </c>
      <c r="D21" t="s">
        <v>30</v>
      </c>
      <c r="E21" t="s">
        <v>120</v>
      </c>
      <c r="F21" t="s">
        <v>9</v>
      </c>
      <c r="G21" t="s">
        <v>119</v>
      </c>
      <c r="H21" t="s">
        <v>28</v>
      </c>
      <c r="I21" t="s">
        <v>7</v>
      </c>
      <c r="J21" t="s">
        <v>18</v>
      </c>
      <c r="K21" t="s">
        <v>31</v>
      </c>
      <c r="L21" t="s">
        <v>19</v>
      </c>
      <c r="M21">
        <v>1</v>
      </c>
    </row>
    <row r="22" spans="1:13" x14ac:dyDescent="0.25">
      <c r="A22" s="2">
        <v>46315</v>
      </c>
      <c r="B22" s="1" t="str">
        <f ca="1">IF(Información1[[#This Row],[Fecha]]='Ajuste de fechas'!$A$2,"Día actual","Día anterior")</f>
        <v>Día anterior</v>
      </c>
      <c r="C22" t="s">
        <v>29</v>
      </c>
      <c r="D22" t="s">
        <v>30</v>
      </c>
      <c r="E22" t="s">
        <v>121</v>
      </c>
      <c r="F22" t="s">
        <v>10</v>
      </c>
      <c r="G22" t="s">
        <v>122</v>
      </c>
      <c r="H22" t="s">
        <v>28</v>
      </c>
      <c r="I22" t="s">
        <v>8</v>
      </c>
      <c r="J22" t="s">
        <v>18</v>
      </c>
      <c r="K22" t="s">
        <v>32</v>
      </c>
      <c r="L22" t="s">
        <v>25</v>
      </c>
      <c r="M22">
        <v>1</v>
      </c>
    </row>
    <row r="23" spans="1:13" x14ac:dyDescent="0.25">
      <c r="A23" s="2">
        <v>46315</v>
      </c>
      <c r="B23" s="1" t="str">
        <f ca="1">IF(Información1[[#This Row],[Fecha]]='Ajuste de fechas'!$A$2,"Día actual","Día anterior")</f>
        <v>Día anterior</v>
      </c>
      <c r="C23" t="s">
        <v>29</v>
      </c>
      <c r="D23" t="s">
        <v>30</v>
      </c>
      <c r="E23" t="s">
        <v>123</v>
      </c>
      <c r="F23" t="s">
        <v>82</v>
      </c>
      <c r="G23" t="s">
        <v>50</v>
      </c>
      <c r="H23" t="s">
        <v>28</v>
      </c>
      <c r="I23" t="s">
        <v>7</v>
      </c>
      <c r="J23" t="s">
        <v>18</v>
      </c>
      <c r="K23" t="s">
        <v>31</v>
      </c>
      <c r="L23" t="s">
        <v>19</v>
      </c>
      <c r="M23">
        <v>1</v>
      </c>
    </row>
    <row r="24" spans="1:13" x14ac:dyDescent="0.25">
      <c r="A24" s="2">
        <v>46315</v>
      </c>
      <c r="B24" s="1" t="str">
        <f ca="1">IF(Información1[[#This Row],[Fecha]]='Ajuste de fechas'!$A$2,"Día actual","Día anterior")</f>
        <v>Día anterior</v>
      </c>
      <c r="C24" t="s">
        <v>29</v>
      </c>
      <c r="D24" t="s">
        <v>30</v>
      </c>
      <c r="E24" t="s">
        <v>124</v>
      </c>
      <c r="F24" t="s">
        <v>57</v>
      </c>
      <c r="G24" t="s">
        <v>81</v>
      </c>
      <c r="H24" t="s">
        <v>28</v>
      </c>
      <c r="I24" t="s">
        <v>7</v>
      </c>
      <c r="J24" t="s">
        <v>58</v>
      </c>
      <c r="K24" t="s">
        <v>31</v>
      </c>
      <c r="L24" t="s">
        <v>19</v>
      </c>
      <c r="M24">
        <v>1</v>
      </c>
    </row>
    <row r="25" spans="1:13" x14ac:dyDescent="0.25">
      <c r="A25" s="2">
        <v>46315</v>
      </c>
      <c r="B25" s="1" t="str">
        <f ca="1">IF(Información1[[#This Row],[Fecha]]='Ajuste de fechas'!$A$2,"Día actual","Día anterior")</f>
        <v>Día anterior</v>
      </c>
      <c r="C25" t="s">
        <v>39</v>
      </c>
      <c r="D25" t="s">
        <v>40</v>
      </c>
      <c r="E25" t="s">
        <v>125</v>
      </c>
      <c r="F25" t="s">
        <v>33</v>
      </c>
      <c r="G25" t="s">
        <v>126</v>
      </c>
      <c r="H25" t="s">
        <v>41</v>
      </c>
      <c r="I25" t="s">
        <v>7</v>
      </c>
      <c r="J25" t="s">
        <v>18</v>
      </c>
      <c r="K25" t="s">
        <v>43</v>
      </c>
      <c r="L25" t="s">
        <v>19</v>
      </c>
      <c r="M25">
        <v>1</v>
      </c>
    </row>
    <row r="26" spans="1:13" x14ac:dyDescent="0.25">
      <c r="A26" s="2">
        <v>46315</v>
      </c>
      <c r="B26" s="1" t="str">
        <f ca="1">IF(Información1[[#This Row],[Fecha]]='Ajuste de fechas'!$A$2,"Día actual","Día anterior")</f>
        <v>Día anterior</v>
      </c>
      <c r="C26" t="s">
        <v>39</v>
      </c>
      <c r="D26" t="s">
        <v>40</v>
      </c>
      <c r="E26" t="s">
        <v>127</v>
      </c>
      <c r="F26" t="s">
        <v>10</v>
      </c>
      <c r="G26" t="s">
        <v>128</v>
      </c>
      <c r="H26" t="s">
        <v>41</v>
      </c>
      <c r="I26" t="s">
        <v>11</v>
      </c>
      <c r="J26" t="s">
        <v>18</v>
      </c>
      <c r="K26" t="s">
        <v>43</v>
      </c>
      <c r="L26" t="s">
        <v>19</v>
      </c>
      <c r="M26">
        <v>1</v>
      </c>
    </row>
    <row r="27" spans="1:13" x14ac:dyDescent="0.25">
      <c r="A27" s="2">
        <v>46315</v>
      </c>
      <c r="B27" s="1" t="str">
        <f ca="1">IF(Información1[[#This Row],[Fecha]]='Ajuste de fechas'!$A$2,"Día actual","Día anterior")</f>
        <v>Día anterior</v>
      </c>
      <c r="C27" t="s">
        <v>44</v>
      </c>
      <c r="D27" t="s">
        <v>45</v>
      </c>
      <c r="E27" t="s">
        <v>117</v>
      </c>
      <c r="F27" t="s">
        <v>70</v>
      </c>
      <c r="G27" t="s">
        <v>104</v>
      </c>
      <c r="H27" t="s">
        <v>28</v>
      </c>
      <c r="I27" t="s">
        <v>7</v>
      </c>
      <c r="J27" t="s">
        <v>18</v>
      </c>
      <c r="K27" t="s">
        <v>46</v>
      </c>
      <c r="L27" t="s">
        <v>21</v>
      </c>
      <c r="M27">
        <v>1</v>
      </c>
    </row>
    <row r="28" spans="1:13" x14ac:dyDescent="0.25">
      <c r="A28" s="2">
        <v>46315</v>
      </c>
      <c r="B28" s="1" t="str">
        <f ca="1">IF(Información1[[#This Row],[Fecha]]='Ajuste de fechas'!$A$2,"Día actual","Día anterior")</f>
        <v>Día anterior</v>
      </c>
      <c r="C28" t="s">
        <v>44</v>
      </c>
      <c r="D28" t="s">
        <v>45</v>
      </c>
      <c r="E28" t="s">
        <v>129</v>
      </c>
      <c r="F28" t="s">
        <v>48</v>
      </c>
      <c r="G28" t="s">
        <v>75</v>
      </c>
      <c r="H28" t="s">
        <v>28</v>
      </c>
      <c r="I28" t="s">
        <v>7</v>
      </c>
      <c r="J28" t="s">
        <v>18</v>
      </c>
      <c r="K28" t="s">
        <v>46</v>
      </c>
      <c r="L28" t="s">
        <v>21</v>
      </c>
      <c r="M28">
        <v>1</v>
      </c>
    </row>
    <row r="29" spans="1:13" x14ac:dyDescent="0.25">
      <c r="A29" s="2">
        <v>46315</v>
      </c>
      <c r="B29" s="1" t="str">
        <f ca="1">IF(Información1[[#This Row],[Fecha]]='Ajuste de fechas'!$A$2,"Día actual","Día anterior")</f>
        <v>Día anterior</v>
      </c>
      <c r="C29" t="s">
        <v>44</v>
      </c>
      <c r="D29" t="s">
        <v>45</v>
      </c>
      <c r="E29" t="s">
        <v>130</v>
      </c>
      <c r="F29" t="s">
        <v>33</v>
      </c>
      <c r="G29" t="s">
        <v>126</v>
      </c>
      <c r="H29" t="s">
        <v>28</v>
      </c>
      <c r="I29" t="s">
        <v>7</v>
      </c>
      <c r="J29" t="s">
        <v>18</v>
      </c>
      <c r="K29" t="s">
        <v>54</v>
      </c>
      <c r="L29" t="s">
        <v>19</v>
      </c>
      <c r="M29">
        <v>1</v>
      </c>
    </row>
    <row r="30" spans="1:13" x14ac:dyDescent="0.25">
      <c r="A30" s="2">
        <v>46315</v>
      </c>
      <c r="B30" s="1" t="str">
        <f ca="1">IF(Información1[[#This Row],[Fecha]]='Ajuste de fechas'!$A$2,"Día actual","Día anterior")</f>
        <v>Día anterior</v>
      </c>
      <c r="C30" t="s">
        <v>44</v>
      </c>
      <c r="D30" t="s">
        <v>45</v>
      </c>
      <c r="E30" t="s">
        <v>130</v>
      </c>
      <c r="F30" t="s">
        <v>78</v>
      </c>
      <c r="G30" t="s">
        <v>126</v>
      </c>
      <c r="H30" t="s">
        <v>28</v>
      </c>
      <c r="I30" t="s">
        <v>7</v>
      </c>
      <c r="J30" t="s">
        <v>18</v>
      </c>
      <c r="K30" t="s">
        <v>54</v>
      </c>
      <c r="L30" t="s">
        <v>19</v>
      </c>
      <c r="M30">
        <v>1</v>
      </c>
    </row>
    <row r="31" spans="1:13" x14ac:dyDescent="0.25">
      <c r="A31" s="2">
        <v>46315</v>
      </c>
      <c r="B31" s="1" t="str">
        <f ca="1">IF(Información1[[#This Row],[Fecha]]='Ajuste de fechas'!$A$2,"Día actual","Día anterior")</f>
        <v>Día anterior</v>
      </c>
      <c r="C31" t="s">
        <v>44</v>
      </c>
      <c r="D31" t="s">
        <v>45</v>
      </c>
      <c r="E31" t="s">
        <v>131</v>
      </c>
      <c r="F31" t="s">
        <v>26</v>
      </c>
      <c r="G31" t="s">
        <v>47</v>
      </c>
      <c r="H31" t="s">
        <v>28</v>
      </c>
      <c r="I31" t="s">
        <v>7</v>
      </c>
      <c r="J31" t="s">
        <v>18</v>
      </c>
      <c r="K31" t="s">
        <v>46</v>
      </c>
      <c r="L31" t="s">
        <v>19</v>
      </c>
      <c r="M31">
        <v>1</v>
      </c>
    </row>
    <row r="32" spans="1:13" x14ac:dyDescent="0.25">
      <c r="A32" s="2">
        <v>46315</v>
      </c>
      <c r="B32" s="1" t="str">
        <f ca="1">IF(Información1[[#This Row],[Fecha]]='Ajuste de fechas'!$A$2,"Día actual","Día anterior")</f>
        <v>Día anterior</v>
      </c>
      <c r="C32" t="s">
        <v>44</v>
      </c>
      <c r="D32" t="s">
        <v>45</v>
      </c>
      <c r="E32" t="s">
        <v>132</v>
      </c>
      <c r="F32" t="s">
        <v>57</v>
      </c>
      <c r="G32" t="s">
        <v>133</v>
      </c>
      <c r="H32" t="s">
        <v>28</v>
      </c>
      <c r="I32" t="s">
        <v>7</v>
      </c>
      <c r="J32" t="s">
        <v>58</v>
      </c>
      <c r="K32" t="s">
        <v>54</v>
      </c>
      <c r="L32" t="s">
        <v>19</v>
      </c>
      <c r="M32">
        <v>1</v>
      </c>
    </row>
    <row r="33" spans="1:13" x14ac:dyDescent="0.25">
      <c r="A33" s="2">
        <v>46315</v>
      </c>
      <c r="B33" s="1" t="str">
        <f ca="1">IF(Información1[[#This Row],[Fecha]]='Ajuste de fechas'!$A$2,"Día actual","Día anterior")</f>
        <v>Día anterior</v>
      </c>
      <c r="C33" t="s">
        <v>44</v>
      </c>
      <c r="D33" t="s">
        <v>45</v>
      </c>
      <c r="E33" t="s">
        <v>134</v>
      </c>
      <c r="F33" t="s">
        <v>57</v>
      </c>
      <c r="G33" t="s">
        <v>71</v>
      </c>
      <c r="H33" t="s">
        <v>28</v>
      </c>
      <c r="I33" t="s">
        <v>11</v>
      </c>
      <c r="J33" t="s">
        <v>58</v>
      </c>
      <c r="K33" t="s">
        <v>55</v>
      </c>
      <c r="L33" t="s">
        <v>19</v>
      </c>
      <c r="M33">
        <v>1</v>
      </c>
    </row>
    <row r="34" spans="1:13" x14ac:dyDescent="0.25">
      <c r="A34" s="2">
        <v>46315</v>
      </c>
      <c r="B34" s="1" t="str">
        <f ca="1">IF(Información1[[#This Row],[Fecha]]='Ajuste de fechas'!$A$2,"Día actual","Día anterior")</f>
        <v>Día anterior</v>
      </c>
      <c r="C34" t="s">
        <v>44</v>
      </c>
      <c r="D34" t="s">
        <v>45</v>
      </c>
      <c r="E34" t="s">
        <v>135</v>
      </c>
      <c r="F34" t="s">
        <v>57</v>
      </c>
      <c r="G34" t="s">
        <v>136</v>
      </c>
      <c r="H34" t="s">
        <v>28</v>
      </c>
      <c r="I34" t="s">
        <v>7</v>
      </c>
      <c r="J34" t="s">
        <v>58</v>
      </c>
      <c r="K34" t="s">
        <v>55</v>
      </c>
      <c r="L34" t="s">
        <v>19</v>
      </c>
      <c r="M34">
        <v>1</v>
      </c>
    </row>
    <row r="35" spans="1:13" x14ac:dyDescent="0.25">
      <c r="A35" s="2">
        <v>46315</v>
      </c>
      <c r="B35" s="1" t="str">
        <f ca="1">IF(Información1[[#This Row],[Fecha]]='Ajuste de fechas'!$A$2,"Día actual","Día anterior")</f>
        <v>Día anterior</v>
      </c>
      <c r="C35" t="s">
        <v>44</v>
      </c>
      <c r="D35" t="s">
        <v>45</v>
      </c>
      <c r="E35" t="s">
        <v>137</v>
      </c>
      <c r="F35" t="s">
        <v>70</v>
      </c>
      <c r="G35" t="s">
        <v>119</v>
      </c>
      <c r="H35" t="s">
        <v>28</v>
      </c>
      <c r="I35" t="s">
        <v>7</v>
      </c>
      <c r="J35" t="s">
        <v>18</v>
      </c>
      <c r="K35" t="s">
        <v>54</v>
      </c>
      <c r="L35" t="s">
        <v>19</v>
      </c>
      <c r="M35">
        <v>1</v>
      </c>
    </row>
    <row r="36" spans="1:13" x14ac:dyDescent="0.25">
      <c r="A36" s="2">
        <v>46315</v>
      </c>
      <c r="B36" s="1" t="str">
        <f ca="1">IF(Información1[[#This Row],[Fecha]]='Ajuste de fechas'!$A$2,"Día actual","Día anterior")</f>
        <v>Día anterior</v>
      </c>
      <c r="C36" t="s">
        <v>44</v>
      </c>
      <c r="D36" t="s">
        <v>45</v>
      </c>
      <c r="E36" t="s">
        <v>138</v>
      </c>
      <c r="F36" t="s">
        <v>66</v>
      </c>
      <c r="G36" t="s">
        <v>139</v>
      </c>
      <c r="H36" t="s">
        <v>28</v>
      </c>
      <c r="I36" t="s">
        <v>7</v>
      </c>
      <c r="J36" t="s">
        <v>67</v>
      </c>
      <c r="K36" t="s">
        <v>54</v>
      </c>
      <c r="L36" t="s">
        <v>19</v>
      </c>
      <c r="M36">
        <v>1</v>
      </c>
    </row>
    <row r="37" spans="1:13" x14ac:dyDescent="0.25">
      <c r="A37" s="2">
        <v>46315</v>
      </c>
      <c r="B37" s="1" t="str">
        <f ca="1">IF(Información1[[#This Row],[Fecha]]='Ajuste de fechas'!$A$2,"Día actual","Día anterior")</f>
        <v>Día anterior</v>
      </c>
      <c r="C37" t="s">
        <v>44</v>
      </c>
      <c r="D37" t="s">
        <v>45</v>
      </c>
      <c r="E37" t="s">
        <v>140</v>
      </c>
      <c r="F37" t="s">
        <v>6</v>
      </c>
      <c r="G37" t="s">
        <v>50</v>
      </c>
      <c r="H37" t="s">
        <v>28</v>
      </c>
      <c r="I37" t="s">
        <v>7</v>
      </c>
      <c r="J37" t="s">
        <v>18</v>
      </c>
      <c r="K37" t="s">
        <v>54</v>
      </c>
      <c r="L37" t="s">
        <v>19</v>
      </c>
      <c r="M37">
        <v>1</v>
      </c>
    </row>
    <row r="38" spans="1:13" x14ac:dyDescent="0.25">
      <c r="A38" s="2">
        <v>46315</v>
      </c>
      <c r="B38" s="1" t="str">
        <f ca="1">IF(Información1[[#This Row],[Fecha]]='Ajuste de fechas'!$A$2,"Día actual","Día anterior")</f>
        <v>Día anterior</v>
      </c>
      <c r="C38" t="s">
        <v>44</v>
      </c>
      <c r="D38" t="s">
        <v>45</v>
      </c>
      <c r="E38" t="s">
        <v>141</v>
      </c>
      <c r="F38" t="s">
        <v>70</v>
      </c>
      <c r="G38" t="s">
        <v>142</v>
      </c>
      <c r="H38" t="s">
        <v>28</v>
      </c>
      <c r="I38" t="s">
        <v>11</v>
      </c>
      <c r="J38" t="s">
        <v>18</v>
      </c>
      <c r="K38" t="s">
        <v>46</v>
      </c>
      <c r="L38" t="s">
        <v>19</v>
      </c>
      <c r="M38">
        <v>1</v>
      </c>
    </row>
    <row r="39" spans="1:13" x14ac:dyDescent="0.25">
      <c r="A39" s="2">
        <v>46315</v>
      </c>
      <c r="B39" s="1" t="str">
        <f ca="1">IF(Información1[[#This Row],[Fecha]]='Ajuste de fechas'!$A$2,"Día actual","Día anterior")</f>
        <v>Día anterior</v>
      </c>
      <c r="C39" t="s">
        <v>44</v>
      </c>
      <c r="D39" t="s">
        <v>45</v>
      </c>
      <c r="E39" t="s">
        <v>143</v>
      </c>
      <c r="F39" t="s">
        <v>57</v>
      </c>
      <c r="G39" t="s">
        <v>144</v>
      </c>
      <c r="H39" t="s">
        <v>28</v>
      </c>
      <c r="I39" t="s">
        <v>11</v>
      </c>
      <c r="J39" t="s">
        <v>58</v>
      </c>
      <c r="K39" t="s">
        <v>35</v>
      </c>
      <c r="L39" t="s">
        <v>20</v>
      </c>
      <c r="M39">
        <v>1</v>
      </c>
    </row>
    <row r="40" spans="1:13" x14ac:dyDescent="0.25">
      <c r="A40" s="2">
        <v>46315</v>
      </c>
      <c r="B40" s="1" t="str">
        <f ca="1">IF(Información1[[#This Row],[Fecha]]='Ajuste de fechas'!$A$2,"Día actual","Día anterior")</f>
        <v>Día anterior</v>
      </c>
      <c r="C40" t="s">
        <v>44</v>
      </c>
      <c r="D40" t="s">
        <v>45</v>
      </c>
      <c r="E40" t="s">
        <v>145</v>
      </c>
      <c r="F40" t="s">
        <v>10</v>
      </c>
      <c r="G40" t="s">
        <v>80</v>
      </c>
      <c r="H40" t="s">
        <v>28</v>
      </c>
      <c r="I40" t="s">
        <v>8</v>
      </c>
      <c r="J40" t="s">
        <v>18</v>
      </c>
      <c r="K40" t="s">
        <v>54</v>
      </c>
      <c r="L40" t="s">
        <v>19</v>
      </c>
      <c r="M40">
        <v>1</v>
      </c>
    </row>
    <row r="41" spans="1:13" x14ac:dyDescent="0.25">
      <c r="A41" s="2">
        <v>46315</v>
      </c>
      <c r="B41" s="1" t="str">
        <f ca="1">IF(Información1[[#This Row],[Fecha]]='Ajuste de fechas'!$A$2,"Día actual","Día anterior")</f>
        <v>Día anterior</v>
      </c>
      <c r="C41" t="s">
        <v>44</v>
      </c>
      <c r="D41" t="s">
        <v>45</v>
      </c>
      <c r="E41" t="s">
        <v>62</v>
      </c>
      <c r="F41" t="s">
        <v>57</v>
      </c>
      <c r="G41" t="s">
        <v>63</v>
      </c>
      <c r="H41" t="s">
        <v>28</v>
      </c>
      <c r="I41" t="s">
        <v>7</v>
      </c>
      <c r="J41" t="s">
        <v>58</v>
      </c>
      <c r="K41" t="s">
        <v>64</v>
      </c>
      <c r="L41" t="s">
        <v>65</v>
      </c>
      <c r="M41">
        <v>1</v>
      </c>
    </row>
    <row r="42" spans="1:13" x14ac:dyDescent="0.25">
      <c r="A42" s="2">
        <v>46315</v>
      </c>
      <c r="B42" s="1" t="str">
        <f ca="1">IF(Información1[[#This Row],[Fecha]]='Ajuste de fechas'!$A$2,"Día actual","Día anterior")</f>
        <v>Día anterior</v>
      </c>
      <c r="C42" t="s">
        <v>44</v>
      </c>
      <c r="D42" t="s">
        <v>45</v>
      </c>
      <c r="E42" t="s">
        <v>146</v>
      </c>
      <c r="F42" t="s">
        <v>48</v>
      </c>
      <c r="G42" t="s">
        <v>142</v>
      </c>
      <c r="H42" t="s">
        <v>28</v>
      </c>
      <c r="I42" t="s">
        <v>11</v>
      </c>
      <c r="J42" t="s">
        <v>18</v>
      </c>
      <c r="K42" t="s">
        <v>46</v>
      </c>
      <c r="L42" t="s">
        <v>20</v>
      </c>
      <c r="M42">
        <v>1</v>
      </c>
    </row>
    <row r="43" spans="1:13" x14ac:dyDescent="0.25">
      <c r="A43" s="2">
        <v>46315</v>
      </c>
      <c r="B43" s="1" t="str">
        <f ca="1">IF(Información1[[#This Row],[Fecha]]='Ajuste de fechas'!$A$2,"Día actual","Día anterior")</f>
        <v>Día anterior</v>
      </c>
      <c r="C43" t="s">
        <v>44</v>
      </c>
      <c r="D43" t="s">
        <v>45</v>
      </c>
      <c r="E43" t="s">
        <v>147</v>
      </c>
      <c r="F43" t="s">
        <v>48</v>
      </c>
      <c r="G43" t="s">
        <v>50</v>
      </c>
      <c r="H43" t="s">
        <v>28</v>
      </c>
      <c r="I43" t="s">
        <v>11</v>
      </c>
      <c r="J43" t="s">
        <v>18</v>
      </c>
      <c r="K43" t="s">
        <v>46</v>
      </c>
      <c r="L43" t="s">
        <v>19</v>
      </c>
      <c r="M43">
        <v>1</v>
      </c>
    </row>
    <row r="44" spans="1:13" x14ac:dyDescent="0.25">
      <c r="A44" s="2">
        <v>46315</v>
      </c>
      <c r="B44" s="1" t="str">
        <f ca="1">IF(Información1[[#This Row],[Fecha]]='Ajuste de fechas'!$A$2,"Día actual","Día anterior")</f>
        <v>Día anterior</v>
      </c>
      <c r="C44" t="s">
        <v>44</v>
      </c>
      <c r="D44" t="s">
        <v>45</v>
      </c>
      <c r="E44" t="s">
        <v>148</v>
      </c>
      <c r="F44" t="s">
        <v>9</v>
      </c>
      <c r="G44" t="s">
        <v>119</v>
      </c>
      <c r="H44" t="s">
        <v>28</v>
      </c>
      <c r="I44" t="s">
        <v>11</v>
      </c>
      <c r="J44" t="s">
        <v>18</v>
      </c>
      <c r="K44" t="s">
        <v>35</v>
      </c>
      <c r="L44" t="s">
        <v>20</v>
      </c>
      <c r="M44">
        <v>1</v>
      </c>
    </row>
    <row r="45" spans="1:13" x14ac:dyDescent="0.25">
      <c r="A45" s="2">
        <v>46315</v>
      </c>
      <c r="B45" s="1" t="str">
        <f ca="1">IF(Información1[[#This Row],[Fecha]]='Ajuste de fechas'!$A$2,"Día actual","Día anterior")</f>
        <v>Día anterior</v>
      </c>
      <c r="C45" t="s">
        <v>44</v>
      </c>
      <c r="D45" t="s">
        <v>45</v>
      </c>
      <c r="E45" t="s">
        <v>149</v>
      </c>
      <c r="F45" t="s">
        <v>10</v>
      </c>
      <c r="G45" t="s">
        <v>150</v>
      </c>
      <c r="H45" t="s">
        <v>28</v>
      </c>
      <c r="I45" t="s">
        <v>7</v>
      </c>
      <c r="J45" t="s">
        <v>18</v>
      </c>
      <c r="K45" t="s">
        <v>46</v>
      </c>
      <c r="L45" t="s">
        <v>19</v>
      </c>
      <c r="M45">
        <v>1</v>
      </c>
    </row>
    <row r="46" spans="1:13" x14ac:dyDescent="0.25">
      <c r="A46" s="2">
        <v>46315</v>
      </c>
      <c r="B46" s="1" t="str">
        <f ca="1">IF(Información1[[#This Row],[Fecha]]='Ajuste de fechas'!$A$2,"Día actual","Día anterior")</f>
        <v>Día anterior</v>
      </c>
      <c r="C46" t="s">
        <v>44</v>
      </c>
      <c r="D46" t="s">
        <v>45</v>
      </c>
      <c r="E46" t="s">
        <v>151</v>
      </c>
      <c r="F46" t="s">
        <v>57</v>
      </c>
      <c r="G46" t="s">
        <v>81</v>
      </c>
      <c r="H46" t="s">
        <v>28</v>
      </c>
      <c r="I46" t="s">
        <v>7</v>
      </c>
      <c r="J46" t="s">
        <v>58</v>
      </c>
      <c r="K46" t="s">
        <v>55</v>
      </c>
      <c r="L46" t="s">
        <v>19</v>
      </c>
      <c r="M46">
        <v>1</v>
      </c>
    </row>
    <row r="47" spans="1:13" x14ac:dyDescent="0.25">
      <c r="A47" s="2">
        <v>46315</v>
      </c>
      <c r="B47" s="1" t="str">
        <f ca="1">IF(Información1[[#This Row],[Fecha]]='Ajuste de fechas'!$A$2,"Día actual","Día anterior")</f>
        <v>Día anterior</v>
      </c>
      <c r="C47" t="s">
        <v>44</v>
      </c>
      <c r="D47" t="s">
        <v>45</v>
      </c>
      <c r="E47" t="s">
        <v>152</v>
      </c>
      <c r="F47" t="s">
        <v>66</v>
      </c>
      <c r="G47" t="s">
        <v>153</v>
      </c>
      <c r="H47" t="s">
        <v>28</v>
      </c>
      <c r="I47" t="s">
        <v>7</v>
      </c>
      <c r="J47" t="s">
        <v>67</v>
      </c>
      <c r="K47" t="s">
        <v>54</v>
      </c>
      <c r="L47" t="s">
        <v>19</v>
      </c>
      <c r="M47">
        <v>1</v>
      </c>
    </row>
    <row r="48" spans="1:13" x14ac:dyDescent="0.25">
      <c r="A48" s="2">
        <v>46315</v>
      </c>
      <c r="B48" s="1" t="str">
        <f ca="1">IF(Información1[[#This Row],[Fecha]]='Ajuste de fechas'!$A$2,"Día actual","Día anterior")</f>
        <v>Día anterior</v>
      </c>
      <c r="C48" t="s">
        <v>39</v>
      </c>
      <c r="D48" t="s">
        <v>40</v>
      </c>
      <c r="E48" t="s">
        <v>154</v>
      </c>
      <c r="F48" t="s">
        <v>70</v>
      </c>
      <c r="G48" t="s">
        <v>155</v>
      </c>
      <c r="H48" t="s">
        <v>41</v>
      </c>
      <c r="I48" t="s">
        <v>7</v>
      </c>
      <c r="J48" t="s">
        <v>18</v>
      </c>
      <c r="K48" t="s">
        <v>42</v>
      </c>
      <c r="L48" t="s">
        <v>19</v>
      </c>
      <c r="M48">
        <v>1</v>
      </c>
    </row>
    <row r="49" spans="1:13" x14ac:dyDescent="0.25">
      <c r="A49" s="2">
        <v>46315</v>
      </c>
      <c r="B49" s="1" t="str">
        <f ca="1">IF(Información1[[#This Row],[Fecha]]='Ajuste de fechas'!$A$2,"Día actual","Día anterior")</f>
        <v>Día anterior</v>
      </c>
      <c r="C49" t="s">
        <v>39</v>
      </c>
      <c r="D49" t="s">
        <v>40</v>
      </c>
      <c r="E49" t="s">
        <v>156</v>
      </c>
      <c r="F49" t="s">
        <v>52</v>
      </c>
      <c r="G49" t="s">
        <v>50</v>
      </c>
      <c r="H49" t="s">
        <v>41</v>
      </c>
      <c r="I49" t="s">
        <v>7</v>
      </c>
      <c r="J49" t="s">
        <v>18</v>
      </c>
      <c r="K49" t="s">
        <v>42</v>
      </c>
      <c r="L49" t="s">
        <v>19</v>
      </c>
      <c r="M49">
        <v>1</v>
      </c>
    </row>
    <row r="50" spans="1:13" x14ac:dyDescent="0.25">
      <c r="A50" s="2">
        <v>46315</v>
      </c>
      <c r="B50" s="1" t="str">
        <f ca="1">IF(Información1[[#This Row],[Fecha]]='Ajuste de fechas'!$A$2,"Día actual","Día anterior")</f>
        <v>Día anterior</v>
      </c>
      <c r="C50" t="s">
        <v>39</v>
      </c>
      <c r="D50" t="s">
        <v>40</v>
      </c>
      <c r="E50" t="s">
        <v>156</v>
      </c>
      <c r="F50" t="s">
        <v>10</v>
      </c>
      <c r="G50" t="s">
        <v>50</v>
      </c>
      <c r="H50" t="s">
        <v>41</v>
      </c>
      <c r="I50" t="s">
        <v>7</v>
      </c>
      <c r="J50" t="s">
        <v>18</v>
      </c>
      <c r="K50" t="s">
        <v>42</v>
      </c>
      <c r="L50" t="s">
        <v>19</v>
      </c>
      <c r="M50">
        <v>1</v>
      </c>
    </row>
    <row r="51" spans="1:13" x14ac:dyDescent="0.25">
      <c r="A51" s="2">
        <v>46315</v>
      </c>
      <c r="B51" s="1" t="str">
        <f ca="1">IF(Información1[[#This Row],[Fecha]]='Ajuste de fechas'!$A$2,"Día actual","Día anterior")</f>
        <v>Día anterior</v>
      </c>
      <c r="C51" t="s">
        <v>39</v>
      </c>
      <c r="D51" t="s">
        <v>40</v>
      </c>
      <c r="E51" t="s">
        <v>157</v>
      </c>
      <c r="F51" t="s">
        <v>70</v>
      </c>
      <c r="G51" t="s">
        <v>158</v>
      </c>
      <c r="H51" t="s">
        <v>41</v>
      </c>
      <c r="I51" t="s">
        <v>7</v>
      </c>
      <c r="J51" t="s">
        <v>18</v>
      </c>
      <c r="K51" t="s">
        <v>43</v>
      </c>
      <c r="L51" t="s">
        <v>19</v>
      </c>
      <c r="M51">
        <v>1</v>
      </c>
    </row>
    <row r="52" spans="1:13" x14ac:dyDescent="0.25">
      <c r="A52" s="2">
        <v>46315</v>
      </c>
      <c r="B52" s="1" t="str">
        <f ca="1">IF(Información1[[#This Row],[Fecha]]='Ajuste de fechas'!$A$2,"Día actual","Día anterior")</f>
        <v>Día anterior</v>
      </c>
      <c r="C52" t="s">
        <v>39</v>
      </c>
      <c r="D52" t="s">
        <v>40</v>
      </c>
      <c r="E52" t="s">
        <v>159</v>
      </c>
      <c r="F52" t="s">
        <v>9</v>
      </c>
      <c r="G52" t="s">
        <v>160</v>
      </c>
      <c r="H52" t="s">
        <v>41</v>
      </c>
      <c r="I52" t="s">
        <v>11</v>
      </c>
      <c r="J52" t="s">
        <v>18</v>
      </c>
      <c r="K52" t="s">
        <v>35</v>
      </c>
      <c r="L52" t="s">
        <v>20</v>
      </c>
      <c r="M52">
        <v>1</v>
      </c>
    </row>
    <row r="53" spans="1:13" x14ac:dyDescent="0.25">
      <c r="A53" s="2">
        <v>46315</v>
      </c>
      <c r="B53" s="1" t="str">
        <f ca="1">IF(Información1[[#This Row],[Fecha]]='Ajuste de fechas'!$A$2,"Día actual","Día anterior")</f>
        <v>Día anterior</v>
      </c>
      <c r="C53" t="s">
        <v>39</v>
      </c>
      <c r="D53" t="s">
        <v>40</v>
      </c>
      <c r="E53" t="s">
        <v>161</v>
      </c>
      <c r="F53" t="s">
        <v>70</v>
      </c>
      <c r="G53" t="s">
        <v>119</v>
      </c>
      <c r="H53" t="s">
        <v>41</v>
      </c>
      <c r="I53" t="s">
        <v>7</v>
      </c>
      <c r="J53" t="s">
        <v>18</v>
      </c>
      <c r="K53" t="s">
        <v>43</v>
      </c>
      <c r="L53" t="s">
        <v>19</v>
      </c>
      <c r="M53">
        <v>1</v>
      </c>
    </row>
    <row r="54" spans="1:13" x14ac:dyDescent="0.25">
      <c r="A54" s="2">
        <v>46315</v>
      </c>
      <c r="B54" s="1" t="str">
        <f ca="1">IF(Información1[[#This Row],[Fecha]]='Ajuste de fechas'!$A$2,"Día actual","Día anterior")</f>
        <v>Día anterior</v>
      </c>
      <c r="C54" t="s">
        <v>39</v>
      </c>
      <c r="D54" t="s">
        <v>40</v>
      </c>
      <c r="E54" t="s">
        <v>161</v>
      </c>
      <c r="F54" t="s">
        <v>9</v>
      </c>
      <c r="G54" t="s">
        <v>119</v>
      </c>
      <c r="H54" t="s">
        <v>41</v>
      </c>
      <c r="I54" t="s">
        <v>7</v>
      </c>
      <c r="J54" t="s">
        <v>18</v>
      </c>
      <c r="K54" t="s">
        <v>43</v>
      </c>
      <c r="L54" t="s">
        <v>19</v>
      </c>
      <c r="M54">
        <v>1</v>
      </c>
    </row>
    <row r="55" spans="1:13" x14ac:dyDescent="0.25">
      <c r="A55" s="2">
        <v>46315</v>
      </c>
      <c r="B55" s="1" t="str">
        <f ca="1">IF(Información1[[#This Row],[Fecha]]='Ajuste de fechas'!$A$2,"Día actual","Día anterior")</f>
        <v>Día anterior</v>
      </c>
      <c r="C55" t="s">
        <v>39</v>
      </c>
      <c r="D55" t="s">
        <v>40</v>
      </c>
      <c r="E55" t="s">
        <v>162</v>
      </c>
      <c r="F55" t="s">
        <v>68</v>
      </c>
      <c r="G55" t="s">
        <v>84</v>
      </c>
      <c r="H55" t="s">
        <v>41</v>
      </c>
      <c r="I55" t="s">
        <v>7</v>
      </c>
      <c r="J55" t="s">
        <v>69</v>
      </c>
      <c r="K55" t="s">
        <v>43</v>
      </c>
      <c r="L55" t="s">
        <v>20</v>
      </c>
      <c r="M55">
        <v>1</v>
      </c>
    </row>
    <row r="56" spans="1:13" x14ac:dyDescent="0.25">
      <c r="A56" s="2">
        <v>46315</v>
      </c>
      <c r="B56" s="1" t="str">
        <f ca="1">IF(Información1[[#This Row],[Fecha]]='Ajuste de fechas'!$A$2,"Día actual","Día anterior")</f>
        <v>Día anterior</v>
      </c>
      <c r="C56" t="s">
        <v>39</v>
      </c>
      <c r="D56" t="s">
        <v>40</v>
      </c>
      <c r="E56" t="s">
        <v>163</v>
      </c>
      <c r="F56" t="s">
        <v>60</v>
      </c>
      <c r="G56" t="s">
        <v>77</v>
      </c>
      <c r="H56" t="s">
        <v>41</v>
      </c>
      <c r="I56" t="s">
        <v>7</v>
      </c>
      <c r="J56" t="s">
        <v>59</v>
      </c>
      <c r="K56" t="s">
        <v>43</v>
      </c>
      <c r="L56" t="s">
        <v>20</v>
      </c>
      <c r="M56">
        <v>1</v>
      </c>
    </row>
    <row r="57" spans="1:13" x14ac:dyDescent="0.25">
      <c r="A57" s="2">
        <v>46315</v>
      </c>
      <c r="B57" s="1" t="str">
        <f ca="1">IF(Información1[[#This Row],[Fecha]]='Ajuste de fechas'!$A$2,"Día actual","Día anterior")</f>
        <v>Día anterior</v>
      </c>
      <c r="C57" t="s">
        <v>39</v>
      </c>
      <c r="D57" t="s">
        <v>40</v>
      </c>
      <c r="E57" t="s">
        <v>164</v>
      </c>
      <c r="F57" t="s">
        <v>26</v>
      </c>
      <c r="G57" t="s">
        <v>79</v>
      </c>
      <c r="H57" t="s">
        <v>41</v>
      </c>
      <c r="I57" t="s">
        <v>56</v>
      </c>
      <c r="J57" t="s">
        <v>18</v>
      </c>
      <c r="K57" t="s">
        <v>43</v>
      </c>
      <c r="L57" t="s">
        <v>20</v>
      </c>
      <c r="M57">
        <v>1</v>
      </c>
    </row>
    <row r="58" spans="1:13" x14ac:dyDescent="0.25">
      <c r="A58" s="2">
        <v>46315</v>
      </c>
      <c r="B58" s="1" t="str">
        <f ca="1">IF(Información1[[#This Row],[Fecha]]='Ajuste de fechas'!$A$2,"Día actual","Día anterior")</f>
        <v>Día anterior</v>
      </c>
      <c r="C58" t="s">
        <v>39</v>
      </c>
      <c r="D58" t="s">
        <v>40</v>
      </c>
      <c r="E58" t="s">
        <v>165</v>
      </c>
      <c r="F58" t="s">
        <v>26</v>
      </c>
      <c r="G58" t="s">
        <v>166</v>
      </c>
      <c r="H58" t="s">
        <v>41</v>
      </c>
      <c r="I58" t="s">
        <v>56</v>
      </c>
      <c r="J58" t="s">
        <v>18</v>
      </c>
      <c r="K58" t="s">
        <v>43</v>
      </c>
      <c r="L58" t="s">
        <v>20</v>
      </c>
      <c r="M58">
        <v>1</v>
      </c>
    </row>
    <row r="59" spans="1:13" x14ac:dyDescent="0.25">
      <c r="A59" s="2">
        <v>46315</v>
      </c>
      <c r="B59" s="1" t="str">
        <f ca="1">IF(Información1[[#This Row],[Fecha]]='Ajuste de fechas'!$A$2,"Día actual","Día anterior")</f>
        <v>Día anterior</v>
      </c>
      <c r="C59" t="s">
        <v>39</v>
      </c>
      <c r="D59" t="s">
        <v>40</v>
      </c>
      <c r="E59" t="s">
        <v>167</v>
      </c>
      <c r="F59" t="s">
        <v>26</v>
      </c>
      <c r="G59" t="s">
        <v>49</v>
      </c>
      <c r="H59" t="s">
        <v>41</v>
      </c>
      <c r="I59" t="s">
        <v>7</v>
      </c>
      <c r="J59" t="s">
        <v>18</v>
      </c>
      <c r="K59" t="s">
        <v>43</v>
      </c>
      <c r="L59" t="s">
        <v>19</v>
      </c>
      <c r="M59">
        <v>1</v>
      </c>
    </row>
    <row r="60" spans="1:13" x14ac:dyDescent="0.25">
      <c r="A60" s="2">
        <v>46315</v>
      </c>
      <c r="B60" s="1" t="str">
        <f ca="1">IF(Información1[[#This Row],[Fecha]]='Ajuste de fechas'!$A$2,"Día actual","Día anterior")</f>
        <v>Día anterior</v>
      </c>
      <c r="C60" t="s">
        <v>39</v>
      </c>
      <c r="D60" t="s">
        <v>40</v>
      </c>
      <c r="E60" t="s">
        <v>168</v>
      </c>
      <c r="F60" t="s">
        <v>66</v>
      </c>
      <c r="G60" t="s">
        <v>71</v>
      </c>
      <c r="H60" t="s">
        <v>41</v>
      </c>
      <c r="I60" t="s">
        <v>7</v>
      </c>
      <c r="J60" t="s">
        <v>67</v>
      </c>
      <c r="K60" t="s">
        <v>43</v>
      </c>
      <c r="L60" t="s">
        <v>19</v>
      </c>
      <c r="M60">
        <v>1</v>
      </c>
    </row>
    <row r="61" spans="1:13" x14ac:dyDescent="0.25">
      <c r="A61" s="2">
        <v>46315</v>
      </c>
      <c r="B61" s="1" t="str">
        <f ca="1">IF(Información1[[#This Row],[Fecha]]='Ajuste de fechas'!$A$2,"Día actual","Día anterior")</f>
        <v>Día anterior</v>
      </c>
      <c r="C61" t="s">
        <v>39</v>
      </c>
      <c r="D61" t="s">
        <v>40</v>
      </c>
      <c r="E61" t="s">
        <v>169</v>
      </c>
      <c r="F61" t="s">
        <v>9</v>
      </c>
      <c r="G61" t="s">
        <v>119</v>
      </c>
      <c r="H61" t="s">
        <v>41</v>
      </c>
      <c r="I61" t="s">
        <v>7</v>
      </c>
      <c r="J61" t="s">
        <v>18</v>
      </c>
      <c r="K61" t="s">
        <v>43</v>
      </c>
      <c r="L61" t="s">
        <v>21</v>
      </c>
      <c r="M61">
        <v>1</v>
      </c>
    </row>
    <row r="62" spans="1:13" x14ac:dyDescent="0.25">
      <c r="A62" s="2">
        <v>46315</v>
      </c>
      <c r="B62" s="1" t="str">
        <f ca="1">IF(Información1[[#This Row],[Fecha]]='Ajuste de fechas'!$A$2,"Día actual","Día anterior")</f>
        <v>Día anterior</v>
      </c>
      <c r="C62" t="s">
        <v>39</v>
      </c>
      <c r="D62" t="s">
        <v>40</v>
      </c>
      <c r="E62" t="s">
        <v>170</v>
      </c>
      <c r="F62" t="s">
        <v>70</v>
      </c>
      <c r="G62" t="s">
        <v>119</v>
      </c>
      <c r="H62" t="s">
        <v>41</v>
      </c>
      <c r="I62" t="s">
        <v>7</v>
      </c>
      <c r="J62" t="s">
        <v>18</v>
      </c>
      <c r="K62" t="s">
        <v>43</v>
      </c>
      <c r="L62" t="s">
        <v>19</v>
      </c>
      <c r="M62">
        <v>1</v>
      </c>
    </row>
    <row r="63" spans="1:13" x14ac:dyDescent="0.25">
      <c r="A63" s="2">
        <v>46315</v>
      </c>
      <c r="B63" s="1" t="str">
        <f ca="1">IF(Información1[[#This Row],[Fecha]]='Ajuste de fechas'!$A$2,"Día actual","Día anterior")</f>
        <v>Día anterior</v>
      </c>
      <c r="C63" t="s">
        <v>39</v>
      </c>
      <c r="D63" t="s">
        <v>40</v>
      </c>
      <c r="E63" t="s">
        <v>117</v>
      </c>
      <c r="F63" t="s">
        <v>70</v>
      </c>
      <c r="G63" t="s">
        <v>104</v>
      </c>
      <c r="H63" t="s">
        <v>41</v>
      </c>
      <c r="I63" t="s">
        <v>7</v>
      </c>
      <c r="J63" t="s">
        <v>18</v>
      </c>
      <c r="K63" t="s">
        <v>43</v>
      </c>
      <c r="L63" t="s">
        <v>21</v>
      </c>
      <c r="M63">
        <v>1</v>
      </c>
    </row>
    <row r="64" spans="1:13" x14ac:dyDescent="0.25">
      <c r="A64" s="2">
        <v>46315</v>
      </c>
      <c r="B64" s="1" t="str">
        <f ca="1">IF(Información1[[#This Row],[Fecha]]='Ajuste de fechas'!$A$2,"Día actual","Día anterior")</f>
        <v>Día anterior</v>
      </c>
      <c r="C64" t="s">
        <v>39</v>
      </c>
      <c r="D64" t="s">
        <v>40</v>
      </c>
      <c r="E64" t="s">
        <v>171</v>
      </c>
      <c r="F64" t="s">
        <v>60</v>
      </c>
      <c r="G64" t="s">
        <v>77</v>
      </c>
      <c r="H64" t="s">
        <v>41</v>
      </c>
      <c r="I64" t="s">
        <v>7</v>
      </c>
      <c r="J64" t="s">
        <v>59</v>
      </c>
      <c r="K64" t="s">
        <v>43</v>
      </c>
      <c r="L64" t="s">
        <v>20</v>
      </c>
      <c r="M64">
        <v>1</v>
      </c>
    </row>
    <row r="65" spans="1:13" x14ac:dyDescent="0.25">
      <c r="A65" s="2">
        <v>46315</v>
      </c>
      <c r="B65" s="1" t="str">
        <f ca="1">IF(Información1[[#This Row],[Fecha]]='Ajuste de fechas'!$A$2,"Día actual","Día anterior")</f>
        <v>Día anterior</v>
      </c>
      <c r="C65" t="s">
        <v>39</v>
      </c>
      <c r="D65" t="s">
        <v>40</v>
      </c>
      <c r="E65" t="s">
        <v>172</v>
      </c>
      <c r="F65" t="s">
        <v>10</v>
      </c>
      <c r="G65" t="s">
        <v>81</v>
      </c>
      <c r="H65" t="s">
        <v>41</v>
      </c>
      <c r="I65" t="s">
        <v>7</v>
      </c>
      <c r="J65" t="s">
        <v>18</v>
      </c>
      <c r="K65" t="s">
        <v>43</v>
      </c>
      <c r="L65" t="s">
        <v>19</v>
      </c>
      <c r="M65">
        <v>1</v>
      </c>
    </row>
    <row r="66" spans="1:13" x14ac:dyDescent="0.25">
      <c r="A66" s="2">
        <v>46315</v>
      </c>
      <c r="B66" s="1" t="str">
        <f ca="1">IF(Información1[[#This Row],[Fecha]]='Ajuste de fechas'!$A$2,"Día actual","Día anterior")</f>
        <v>Día anterior</v>
      </c>
      <c r="C66" t="s">
        <v>39</v>
      </c>
      <c r="D66" t="s">
        <v>40</v>
      </c>
      <c r="E66" t="s">
        <v>173</v>
      </c>
      <c r="F66" t="s">
        <v>27</v>
      </c>
      <c r="G66" t="s">
        <v>53</v>
      </c>
      <c r="H66" t="s">
        <v>41</v>
      </c>
      <c r="I66" t="s">
        <v>7</v>
      </c>
      <c r="J66" t="s">
        <v>18</v>
      </c>
      <c r="K66" t="s">
        <v>43</v>
      </c>
      <c r="L66" t="s">
        <v>19</v>
      </c>
      <c r="M66">
        <v>1</v>
      </c>
    </row>
    <row r="67" spans="1:13" x14ac:dyDescent="0.25">
      <c r="A67" s="2">
        <v>46315</v>
      </c>
      <c r="B67" s="1" t="str">
        <f ca="1">IF(Información1[[#This Row],[Fecha]]='Ajuste de fechas'!$A$2,"Día actual","Día anterior")</f>
        <v>Día anterior</v>
      </c>
      <c r="C67" t="s">
        <v>39</v>
      </c>
      <c r="D67" t="s">
        <v>40</v>
      </c>
      <c r="E67" t="s">
        <v>125</v>
      </c>
      <c r="F67" t="s">
        <v>48</v>
      </c>
      <c r="G67" t="s">
        <v>126</v>
      </c>
      <c r="H67" t="s">
        <v>41</v>
      </c>
      <c r="I67" t="s">
        <v>7</v>
      </c>
      <c r="J67" t="s">
        <v>18</v>
      </c>
      <c r="K67" t="s">
        <v>43</v>
      </c>
      <c r="L67" t="s">
        <v>19</v>
      </c>
      <c r="M67">
        <v>1</v>
      </c>
    </row>
    <row r="68" spans="1:13" x14ac:dyDescent="0.25">
      <c r="A68" s="2">
        <v>46315</v>
      </c>
      <c r="B68" s="1" t="str">
        <f ca="1">IF(Información1[[#This Row],[Fecha]]='Ajuste de fechas'!$A$2,"Día actual","Día anterior")</f>
        <v>Día anterior</v>
      </c>
      <c r="C68" t="s">
        <v>39</v>
      </c>
      <c r="D68" t="s">
        <v>40</v>
      </c>
      <c r="E68" t="s">
        <v>174</v>
      </c>
      <c r="F68" t="s">
        <v>26</v>
      </c>
      <c r="G68" t="s">
        <v>72</v>
      </c>
      <c r="H68" t="s">
        <v>41</v>
      </c>
      <c r="I68" t="s">
        <v>7</v>
      </c>
      <c r="J68" t="s">
        <v>18</v>
      </c>
      <c r="K68" t="s">
        <v>42</v>
      </c>
      <c r="L68" t="s">
        <v>19</v>
      </c>
      <c r="M68">
        <v>1</v>
      </c>
    </row>
    <row r="69" spans="1:13" x14ac:dyDescent="0.25">
      <c r="A69" s="2">
        <v>46316</v>
      </c>
      <c r="B69" s="1" t="str">
        <f ca="1">IF(Información1[[#This Row],[Fecha]]='Ajuste de fechas'!$A$2,"Día actual","Día anterior")</f>
        <v>Día actual</v>
      </c>
      <c r="C69" t="s">
        <v>39</v>
      </c>
      <c r="D69" t="s">
        <v>40</v>
      </c>
      <c r="E69" t="s">
        <v>175</v>
      </c>
      <c r="F69" t="s">
        <v>9</v>
      </c>
      <c r="G69" t="s">
        <v>176</v>
      </c>
      <c r="H69" t="s">
        <v>41</v>
      </c>
      <c r="I69" t="s">
        <v>7</v>
      </c>
      <c r="J69" t="s">
        <v>18</v>
      </c>
      <c r="K69" t="s">
        <v>43</v>
      </c>
      <c r="L69" t="s">
        <v>19</v>
      </c>
      <c r="M69">
        <v>1</v>
      </c>
    </row>
    <row r="70" spans="1:13" x14ac:dyDescent="0.25">
      <c r="A70" s="2">
        <v>46316</v>
      </c>
      <c r="B70" s="1" t="str">
        <f ca="1">IF(Información1[[#This Row],[Fecha]]='Ajuste de fechas'!$A$2,"Día actual","Día anterior")</f>
        <v>Día actual</v>
      </c>
      <c r="C70" t="s">
        <v>39</v>
      </c>
      <c r="D70" t="s">
        <v>40</v>
      </c>
      <c r="E70" t="s">
        <v>177</v>
      </c>
      <c r="F70" t="s">
        <v>26</v>
      </c>
      <c r="G70" t="s">
        <v>79</v>
      </c>
      <c r="H70" t="s">
        <v>41</v>
      </c>
      <c r="I70" t="s">
        <v>11</v>
      </c>
      <c r="J70" t="s">
        <v>18</v>
      </c>
      <c r="K70" t="s">
        <v>43</v>
      </c>
      <c r="L70" t="s">
        <v>20</v>
      </c>
      <c r="M70">
        <v>1</v>
      </c>
    </row>
    <row r="71" spans="1:13" x14ac:dyDescent="0.25">
      <c r="A71" s="2">
        <v>46316</v>
      </c>
      <c r="B71" s="1" t="str">
        <f ca="1">IF(Información1[[#This Row],[Fecha]]='Ajuste de fechas'!$A$2,"Día actual","Día anterior")</f>
        <v>Día actual</v>
      </c>
      <c r="C71" t="s">
        <v>39</v>
      </c>
      <c r="D71" t="s">
        <v>40</v>
      </c>
      <c r="E71" t="s">
        <v>178</v>
      </c>
      <c r="F71" t="s">
        <v>26</v>
      </c>
      <c r="G71" t="s">
        <v>179</v>
      </c>
      <c r="H71" t="s">
        <v>41</v>
      </c>
      <c r="I71" t="s">
        <v>56</v>
      </c>
      <c r="J71" t="s">
        <v>18</v>
      </c>
      <c r="K71" t="s">
        <v>43</v>
      </c>
      <c r="L71" t="s">
        <v>20</v>
      </c>
      <c r="M71">
        <v>1</v>
      </c>
    </row>
    <row r="72" spans="1:13" x14ac:dyDescent="0.25">
      <c r="A72" s="2">
        <v>46316</v>
      </c>
      <c r="B72" s="1" t="str">
        <f ca="1">IF(Información1[[#This Row],[Fecha]]='Ajuste de fechas'!$A$2,"Día actual","Día anterior")</f>
        <v>Día actual</v>
      </c>
      <c r="C72" t="s">
        <v>39</v>
      </c>
      <c r="D72" t="s">
        <v>40</v>
      </c>
      <c r="E72" t="s">
        <v>180</v>
      </c>
      <c r="F72" t="s">
        <v>181</v>
      </c>
      <c r="G72" t="s">
        <v>182</v>
      </c>
      <c r="H72" t="s">
        <v>41</v>
      </c>
      <c r="I72" t="s">
        <v>7</v>
      </c>
      <c r="J72" t="s">
        <v>59</v>
      </c>
      <c r="K72" t="s">
        <v>43</v>
      </c>
      <c r="L72" t="s">
        <v>19</v>
      </c>
      <c r="M72">
        <v>1</v>
      </c>
    </row>
    <row r="73" spans="1:13" x14ac:dyDescent="0.25">
      <c r="A73" s="2">
        <v>46316</v>
      </c>
      <c r="B73" s="1" t="str">
        <f ca="1">IF(Información1[[#This Row],[Fecha]]='Ajuste de fechas'!$A$2,"Día actual","Día anterior")</f>
        <v>Día actual</v>
      </c>
      <c r="C73" t="s">
        <v>44</v>
      </c>
      <c r="D73" t="s">
        <v>45</v>
      </c>
      <c r="E73" t="s">
        <v>183</v>
      </c>
      <c r="F73" t="s">
        <v>33</v>
      </c>
      <c r="G73" t="s">
        <v>184</v>
      </c>
      <c r="H73" t="s">
        <v>28</v>
      </c>
      <c r="I73" t="s">
        <v>7</v>
      </c>
      <c r="J73" t="s">
        <v>18</v>
      </c>
      <c r="K73" t="s">
        <v>46</v>
      </c>
      <c r="L73" t="s">
        <v>19</v>
      </c>
      <c r="M73">
        <v>1</v>
      </c>
    </row>
    <row r="74" spans="1:13" x14ac:dyDescent="0.25">
      <c r="A74" s="2">
        <v>46316</v>
      </c>
      <c r="B74" s="1" t="str">
        <f ca="1">IF(Información1[[#This Row],[Fecha]]='Ajuste de fechas'!$A$2,"Día actual","Día anterior")</f>
        <v>Día actual</v>
      </c>
      <c r="C74" t="s">
        <v>44</v>
      </c>
      <c r="D74" t="s">
        <v>45</v>
      </c>
      <c r="E74" t="s">
        <v>185</v>
      </c>
      <c r="F74" t="s">
        <v>33</v>
      </c>
      <c r="G74" t="s">
        <v>47</v>
      </c>
      <c r="H74" t="s">
        <v>28</v>
      </c>
      <c r="I74" t="s">
        <v>7</v>
      </c>
      <c r="J74" t="s">
        <v>18</v>
      </c>
      <c r="K74" t="s">
        <v>54</v>
      </c>
      <c r="L74" t="s">
        <v>19</v>
      </c>
      <c r="M74">
        <v>1</v>
      </c>
    </row>
    <row r="75" spans="1:13" x14ac:dyDescent="0.25">
      <c r="A75" s="2">
        <v>46316</v>
      </c>
      <c r="B75" s="1" t="str">
        <f ca="1">IF(Información1[[#This Row],[Fecha]]='Ajuste de fechas'!$A$2,"Día actual","Día anterior")</f>
        <v>Día actual</v>
      </c>
      <c r="C75" t="s">
        <v>44</v>
      </c>
      <c r="D75" t="s">
        <v>45</v>
      </c>
      <c r="E75" t="s">
        <v>186</v>
      </c>
      <c r="F75" t="s">
        <v>33</v>
      </c>
      <c r="G75" t="s">
        <v>47</v>
      </c>
      <c r="H75" t="s">
        <v>28</v>
      </c>
      <c r="I75" t="s">
        <v>7</v>
      </c>
      <c r="J75" t="s">
        <v>18</v>
      </c>
      <c r="K75" t="s">
        <v>54</v>
      </c>
      <c r="L75" t="s">
        <v>19</v>
      </c>
      <c r="M75">
        <v>1</v>
      </c>
    </row>
    <row r="76" spans="1:13" x14ac:dyDescent="0.25">
      <c r="A76" s="2">
        <v>46316</v>
      </c>
      <c r="B76" s="1" t="str">
        <f ca="1">IF(Información1[[#This Row],[Fecha]]='Ajuste de fechas'!$A$2,"Día actual","Día anterior")</f>
        <v>Día actual</v>
      </c>
      <c r="C76" t="s">
        <v>44</v>
      </c>
      <c r="D76" t="s">
        <v>45</v>
      </c>
      <c r="E76" t="s">
        <v>187</v>
      </c>
      <c r="F76" t="s">
        <v>9</v>
      </c>
      <c r="G76" t="s">
        <v>119</v>
      </c>
      <c r="H76" t="s">
        <v>28</v>
      </c>
      <c r="I76" t="s">
        <v>11</v>
      </c>
      <c r="J76" t="s">
        <v>18</v>
      </c>
      <c r="K76" t="s">
        <v>35</v>
      </c>
      <c r="L76" t="s">
        <v>20</v>
      </c>
      <c r="M76">
        <v>1</v>
      </c>
    </row>
    <row r="77" spans="1:13" x14ac:dyDescent="0.25">
      <c r="A77" s="2">
        <v>46316</v>
      </c>
      <c r="B77" s="1" t="str">
        <f ca="1">IF(Información1[[#This Row],[Fecha]]='Ajuste de fechas'!$A$2,"Día actual","Día anterior")</f>
        <v>Día actual</v>
      </c>
      <c r="C77" t="s">
        <v>44</v>
      </c>
      <c r="D77" t="s">
        <v>45</v>
      </c>
      <c r="E77" t="s">
        <v>188</v>
      </c>
      <c r="F77" t="s">
        <v>26</v>
      </c>
      <c r="G77" t="s">
        <v>189</v>
      </c>
      <c r="H77" t="s">
        <v>28</v>
      </c>
      <c r="I77" t="s">
        <v>7</v>
      </c>
      <c r="J77" t="s">
        <v>18</v>
      </c>
      <c r="K77" t="s">
        <v>46</v>
      </c>
      <c r="L77" t="s">
        <v>19</v>
      </c>
      <c r="M77">
        <v>1</v>
      </c>
    </row>
    <row r="78" spans="1:13" x14ac:dyDescent="0.25">
      <c r="A78" s="2">
        <v>46316</v>
      </c>
      <c r="B78" s="1" t="str">
        <f ca="1">IF(Información1[[#This Row],[Fecha]]='Ajuste de fechas'!$A$2,"Día actual","Día anterior")</f>
        <v>Día actual</v>
      </c>
      <c r="C78" t="s">
        <v>44</v>
      </c>
      <c r="D78" t="s">
        <v>45</v>
      </c>
      <c r="E78" t="s">
        <v>190</v>
      </c>
      <c r="F78" t="s">
        <v>9</v>
      </c>
      <c r="G78" t="s">
        <v>89</v>
      </c>
      <c r="H78" t="s">
        <v>28</v>
      </c>
      <c r="I78" t="s">
        <v>11</v>
      </c>
      <c r="J78" t="s">
        <v>18</v>
      </c>
      <c r="K78" t="s">
        <v>35</v>
      </c>
      <c r="L78" t="s">
        <v>20</v>
      </c>
      <c r="M78">
        <v>1</v>
      </c>
    </row>
    <row r="79" spans="1:13" x14ac:dyDescent="0.25">
      <c r="A79" s="2">
        <v>46316</v>
      </c>
      <c r="B79" s="1" t="str">
        <f ca="1">IF(Información1[[#This Row],[Fecha]]='Ajuste de fechas'!$A$2,"Día actual","Día anterior")</f>
        <v>Día actual</v>
      </c>
      <c r="C79" t="s">
        <v>44</v>
      </c>
      <c r="D79" t="s">
        <v>45</v>
      </c>
      <c r="E79" t="s">
        <v>191</v>
      </c>
      <c r="F79" t="s">
        <v>181</v>
      </c>
      <c r="G79" t="s">
        <v>182</v>
      </c>
      <c r="H79" t="s">
        <v>28</v>
      </c>
      <c r="I79" t="s">
        <v>11</v>
      </c>
      <c r="J79" t="s">
        <v>59</v>
      </c>
      <c r="K79" t="s">
        <v>35</v>
      </c>
      <c r="L79" t="s">
        <v>20</v>
      </c>
      <c r="M79">
        <v>1</v>
      </c>
    </row>
    <row r="80" spans="1:13" x14ac:dyDescent="0.25">
      <c r="A80" s="2">
        <v>46316</v>
      </c>
      <c r="B80" s="1" t="str">
        <f ca="1">IF(Información1[[#This Row],[Fecha]]='Ajuste de fechas'!$A$2,"Día actual","Día anterior")</f>
        <v>Día actual</v>
      </c>
      <c r="C80" t="s">
        <v>44</v>
      </c>
      <c r="D80" t="s">
        <v>45</v>
      </c>
      <c r="E80" t="s">
        <v>192</v>
      </c>
      <c r="F80" t="s">
        <v>60</v>
      </c>
      <c r="G80" t="s">
        <v>119</v>
      </c>
      <c r="H80" t="s">
        <v>28</v>
      </c>
      <c r="I80" t="s">
        <v>11</v>
      </c>
      <c r="J80" t="s">
        <v>59</v>
      </c>
      <c r="K80" t="s">
        <v>46</v>
      </c>
      <c r="L80" t="s">
        <v>20</v>
      </c>
      <c r="M80">
        <v>1</v>
      </c>
    </row>
    <row r="81" spans="1:13" x14ac:dyDescent="0.25">
      <c r="A81" s="2">
        <v>46316</v>
      </c>
      <c r="B81" s="1" t="str">
        <f ca="1">IF(Información1[[#This Row],[Fecha]]='Ajuste de fechas'!$A$2,"Día actual","Día anterior")</f>
        <v>Día actual</v>
      </c>
      <c r="C81" t="s">
        <v>44</v>
      </c>
      <c r="D81" t="s">
        <v>45</v>
      </c>
      <c r="E81" t="s">
        <v>192</v>
      </c>
      <c r="F81" t="s">
        <v>70</v>
      </c>
      <c r="G81" t="s">
        <v>119</v>
      </c>
      <c r="H81" t="s">
        <v>28</v>
      </c>
      <c r="I81" t="s">
        <v>11</v>
      </c>
      <c r="J81" t="s">
        <v>18</v>
      </c>
      <c r="K81" t="s">
        <v>46</v>
      </c>
      <c r="L81" t="s">
        <v>20</v>
      </c>
      <c r="M81">
        <v>1</v>
      </c>
    </row>
    <row r="82" spans="1:13" x14ac:dyDescent="0.25">
      <c r="A82" s="2">
        <v>46316</v>
      </c>
      <c r="B82" s="1" t="str">
        <f ca="1">IF(Información1[[#This Row],[Fecha]]='Ajuste de fechas'!$A$2,"Día actual","Día anterior")</f>
        <v>Día actual</v>
      </c>
      <c r="C82" t="s">
        <v>44</v>
      </c>
      <c r="D82" t="s">
        <v>45</v>
      </c>
      <c r="E82" t="s">
        <v>193</v>
      </c>
      <c r="F82" t="s">
        <v>9</v>
      </c>
      <c r="G82" t="s">
        <v>119</v>
      </c>
      <c r="H82" t="s">
        <v>28</v>
      </c>
      <c r="I82" t="s">
        <v>11</v>
      </c>
      <c r="J82" t="s">
        <v>18</v>
      </c>
      <c r="K82" t="s">
        <v>35</v>
      </c>
      <c r="L82" t="s">
        <v>20</v>
      </c>
      <c r="M82">
        <v>1</v>
      </c>
    </row>
    <row r="83" spans="1:13" x14ac:dyDescent="0.25">
      <c r="A83" s="2">
        <v>46316</v>
      </c>
      <c r="B83" s="1" t="str">
        <f ca="1">IF(Información1[[#This Row],[Fecha]]='Ajuste de fechas'!$A$2,"Día actual","Día anterior")</f>
        <v>Día actual</v>
      </c>
      <c r="C83" t="s">
        <v>44</v>
      </c>
      <c r="D83" t="s">
        <v>45</v>
      </c>
      <c r="E83" t="s">
        <v>194</v>
      </c>
      <c r="F83" t="s">
        <v>9</v>
      </c>
      <c r="G83" t="s">
        <v>195</v>
      </c>
      <c r="H83" t="s">
        <v>28</v>
      </c>
      <c r="I83" t="s">
        <v>11</v>
      </c>
      <c r="J83" t="s">
        <v>18</v>
      </c>
      <c r="K83" t="s">
        <v>46</v>
      </c>
      <c r="L83" t="s">
        <v>20</v>
      </c>
      <c r="M83">
        <v>1</v>
      </c>
    </row>
    <row r="84" spans="1:13" x14ac:dyDescent="0.25">
      <c r="A84" s="2">
        <v>46316</v>
      </c>
      <c r="B84" s="1" t="str">
        <f ca="1">IF(Información1[[#This Row],[Fecha]]='Ajuste de fechas'!$A$2,"Día actual","Día anterior")</f>
        <v>Día actual</v>
      </c>
      <c r="C84" t="s">
        <v>44</v>
      </c>
      <c r="D84" t="s">
        <v>45</v>
      </c>
      <c r="E84" t="s">
        <v>196</v>
      </c>
      <c r="F84" t="s">
        <v>9</v>
      </c>
      <c r="G84" t="s">
        <v>197</v>
      </c>
      <c r="H84" t="s">
        <v>28</v>
      </c>
      <c r="I84" t="s">
        <v>7</v>
      </c>
      <c r="J84" t="s">
        <v>18</v>
      </c>
      <c r="K84" t="s">
        <v>46</v>
      </c>
      <c r="L84" t="s">
        <v>19</v>
      </c>
      <c r="M84">
        <v>1</v>
      </c>
    </row>
    <row r="85" spans="1:13" x14ac:dyDescent="0.25">
      <c r="A85" s="2">
        <v>46316</v>
      </c>
      <c r="B85" s="1" t="str">
        <f ca="1">IF(Información1[[#This Row],[Fecha]]='Ajuste de fechas'!$A$2,"Día actual","Día anterior")</f>
        <v>Día actual</v>
      </c>
      <c r="C85" t="s">
        <v>44</v>
      </c>
      <c r="D85" t="s">
        <v>45</v>
      </c>
      <c r="E85" t="s">
        <v>198</v>
      </c>
      <c r="F85" t="s">
        <v>10</v>
      </c>
      <c r="G85" t="s">
        <v>199</v>
      </c>
      <c r="H85" t="s">
        <v>28</v>
      </c>
      <c r="I85" t="s">
        <v>7</v>
      </c>
      <c r="J85" t="s">
        <v>18</v>
      </c>
      <c r="K85" t="s">
        <v>54</v>
      </c>
      <c r="L85" t="s">
        <v>21</v>
      </c>
      <c r="M85">
        <v>1</v>
      </c>
    </row>
    <row r="86" spans="1:13" x14ac:dyDescent="0.25">
      <c r="A86" s="2">
        <v>46316</v>
      </c>
      <c r="B86" s="1" t="str">
        <f ca="1">IF(Información1[[#This Row],[Fecha]]='Ajuste de fechas'!$A$2,"Día actual","Día anterior")</f>
        <v>Día actual</v>
      </c>
      <c r="C86" t="s">
        <v>44</v>
      </c>
      <c r="D86" t="s">
        <v>45</v>
      </c>
      <c r="E86" t="s">
        <v>200</v>
      </c>
      <c r="F86" t="s">
        <v>61</v>
      </c>
      <c r="G86" t="s">
        <v>201</v>
      </c>
      <c r="H86" t="s">
        <v>28</v>
      </c>
      <c r="I86" t="s">
        <v>7</v>
      </c>
      <c r="J86" t="s">
        <v>59</v>
      </c>
      <c r="K86" t="s">
        <v>54</v>
      </c>
      <c r="L86" t="s">
        <v>19</v>
      </c>
      <c r="M86">
        <v>1</v>
      </c>
    </row>
    <row r="87" spans="1:13" x14ac:dyDescent="0.25">
      <c r="A87" s="2">
        <v>46316</v>
      </c>
      <c r="B87" s="1" t="str">
        <f ca="1">IF(Información1[[#This Row],[Fecha]]='Ajuste de fechas'!$A$2,"Día actual","Día anterior")</f>
        <v>Día actual</v>
      </c>
      <c r="C87" t="s">
        <v>44</v>
      </c>
      <c r="D87" t="s">
        <v>45</v>
      </c>
      <c r="E87" t="s">
        <v>202</v>
      </c>
      <c r="F87" t="s">
        <v>82</v>
      </c>
      <c r="G87" t="s">
        <v>50</v>
      </c>
      <c r="H87" t="s">
        <v>28</v>
      </c>
      <c r="I87" t="s">
        <v>7</v>
      </c>
      <c r="J87" t="s">
        <v>18</v>
      </c>
      <c r="K87" t="s">
        <v>54</v>
      </c>
      <c r="L87" t="s">
        <v>19</v>
      </c>
      <c r="M87">
        <v>1</v>
      </c>
    </row>
    <row r="88" spans="1:13" x14ac:dyDescent="0.25">
      <c r="A88" s="2">
        <v>46316</v>
      </c>
      <c r="B88" s="1" t="str">
        <f ca="1">IF(Información1[[#This Row],[Fecha]]='Ajuste de fechas'!$A$2,"Día actual","Día anterior")</f>
        <v>Día actual</v>
      </c>
      <c r="C88" t="s">
        <v>44</v>
      </c>
      <c r="D88" t="s">
        <v>45</v>
      </c>
      <c r="E88" t="s">
        <v>203</v>
      </c>
      <c r="F88" t="s">
        <v>66</v>
      </c>
      <c r="G88" t="s">
        <v>204</v>
      </c>
      <c r="H88" t="s">
        <v>28</v>
      </c>
      <c r="I88" t="s">
        <v>7</v>
      </c>
      <c r="J88" t="s">
        <v>67</v>
      </c>
      <c r="K88" t="s">
        <v>46</v>
      </c>
      <c r="L88" t="s">
        <v>25</v>
      </c>
      <c r="M88">
        <v>1</v>
      </c>
    </row>
    <row r="89" spans="1:13" x14ac:dyDescent="0.25">
      <c r="A89" s="2">
        <v>46316</v>
      </c>
      <c r="B89" s="1" t="str">
        <f ca="1">IF(Información1[[#This Row],[Fecha]]='Ajuste de fechas'!$A$2,"Día actual","Día anterior")</f>
        <v>Día actual</v>
      </c>
      <c r="C89" t="s">
        <v>44</v>
      </c>
      <c r="D89" t="s">
        <v>45</v>
      </c>
      <c r="E89" t="s">
        <v>205</v>
      </c>
      <c r="F89" t="s">
        <v>10</v>
      </c>
      <c r="G89" t="s">
        <v>50</v>
      </c>
      <c r="H89" t="s">
        <v>28</v>
      </c>
      <c r="I89" t="s">
        <v>7</v>
      </c>
      <c r="J89" t="s">
        <v>18</v>
      </c>
      <c r="K89" t="s">
        <v>54</v>
      </c>
      <c r="L89" t="s">
        <v>19</v>
      </c>
      <c r="M89">
        <v>1</v>
      </c>
    </row>
    <row r="90" spans="1:13" x14ac:dyDescent="0.25">
      <c r="A90" s="2">
        <v>46316</v>
      </c>
      <c r="B90" s="1" t="str">
        <f ca="1">IF(Información1[[#This Row],[Fecha]]='Ajuste de fechas'!$A$2,"Día actual","Día anterior")</f>
        <v>Día actual</v>
      </c>
      <c r="C90" t="s">
        <v>44</v>
      </c>
      <c r="D90" t="s">
        <v>45</v>
      </c>
      <c r="E90" t="s">
        <v>206</v>
      </c>
      <c r="F90" t="s">
        <v>10</v>
      </c>
      <c r="G90" t="s">
        <v>50</v>
      </c>
      <c r="H90" t="s">
        <v>28</v>
      </c>
      <c r="I90" t="s">
        <v>7</v>
      </c>
      <c r="J90" t="s">
        <v>18</v>
      </c>
      <c r="K90" t="s">
        <v>54</v>
      </c>
      <c r="L90" t="s">
        <v>19</v>
      </c>
      <c r="M90">
        <v>1</v>
      </c>
    </row>
    <row r="91" spans="1:13" x14ac:dyDescent="0.25">
      <c r="A91" s="2">
        <v>46316</v>
      </c>
      <c r="B91" s="1" t="str">
        <f ca="1">IF(Información1[[#This Row],[Fecha]]='Ajuste de fechas'!$A$2,"Día actual","Día anterior")</f>
        <v>Día actual</v>
      </c>
      <c r="C91" t="s">
        <v>44</v>
      </c>
      <c r="D91" t="s">
        <v>45</v>
      </c>
      <c r="E91" t="s">
        <v>207</v>
      </c>
      <c r="F91" t="s">
        <v>70</v>
      </c>
      <c r="G91" t="s">
        <v>208</v>
      </c>
      <c r="H91" t="s">
        <v>28</v>
      </c>
      <c r="I91" t="s">
        <v>7</v>
      </c>
      <c r="J91" t="s">
        <v>18</v>
      </c>
      <c r="K91" t="s">
        <v>55</v>
      </c>
      <c r="L91" t="s">
        <v>21</v>
      </c>
      <c r="M91">
        <v>1</v>
      </c>
    </row>
    <row r="92" spans="1:13" x14ac:dyDescent="0.25">
      <c r="A92" s="2">
        <v>46316</v>
      </c>
      <c r="B92" s="1" t="str">
        <f ca="1">IF(Información1[[#This Row],[Fecha]]='Ajuste de fechas'!$A$2,"Día actual","Día anterior")</f>
        <v>Día actual</v>
      </c>
      <c r="C92" t="s">
        <v>44</v>
      </c>
      <c r="D92" t="s">
        <v>45</v>
      </c>
      <c r="E92" t="s">
        <v>209</v>
      </c>
      <c r="F92" t="s">
        <v>57</v>
      </c>
      <c r="G92" t="s">
        <v>112</v>
      </c>
      <c r="H92" t="s">
        <v>28</v>
      </c>
      <c r="I92" t="s">
        <v>7</v>
      </c>
      <c r="J92" t="s">
        <v>58</v>
      </c>
      <c r="K92" t="s">
        <v>46</v>
      </c>
      <c r="L92" t="s">
        <v>19</v>
      </c>
      <c r="M92">
        <v>1</v>
      </c>
    </row>
    <row r="93" spans="1:13" x14ac:dyDescent="0.25">
      <c r="A93" s="2">
        <v>46316</v>
      </c>
      <c r="B93" s="1" t="str">
        <f ca="1">IF(Información1[[#This Row],[Fecha]]='Ajuste de fechas'!$A$2,"Día actual","Día anterior")</f>
        <v>Día actual</v>
      </c>
      <c r="C93" t="s">
        <v>44</v>
      </c>
      <c r="D93" t="s">
        <v>45</v>
      </c>
      <c r="E93" t="s">
        <v>210</v>
      </c>
      <c r="F93" t="s">
        <v>57</v>
      </c>
      <c r="G93" t="s">
        <v>211</v>
      </c>
      <c r="H93" t="s">
        <v>28</v>
      </c>
      <c r="I93" t="s">
        <v>7</v>
      </c>
      <c r="J93" t="s">
        <v>58</v>
      </c>
      <c r="K93" t="s">
        <v>46</v>
      </c>
      <c r="L93" t="s">
        <v>19</v>
      </c>
      <c r="M93">
        <v>1</v>
      </c>
    </row>
    <row r="94" spans="1:13" x14ac:dyDescent="0.25">
      <c r="A94" s="2">
        <v>46316</v>
      </c>
      <c r="B94" s="1" t="str">
        <f ca="1">IF(Información1[[#This Row],[Fecha]]='Ajuste de fechas'!$A$2,"Día actual","Día anterior")</f>
        <v>Día actual</v>
      </c>
      <c r="C94" t="s">
        <v>44</v>
      </c>
      <c r="D94" t="s">
        <v>45</v>
      </c>
      <c r="E94" t="s">
        <v>212</v>
      </c>
      <c r="F94" t="s">
        <v>60</v>
      </c>
      <c r="G94" t="s">
        <v>119</v>
      </c>
      <c r="H94" t="s">
        <v>28</v>
      </c>
      <c r="I94" t="s">
        <v>7</v>
      </c>
      <c r="J94" t="s">
        <v>59</v>
      </c>
      <c r="K94" t="s">
        <v>54</v>
      </c>
      <c r="L94" t="s">
        <v>19</v>
      </c>
      <c r="M94">
        <v>1</v>
      </c>
    </row>
    <row r="95" spans="1:13" x14ac:dyDescent="0.25">
      <c r="A95" s="2">
        <v>46316</v>
      </c>
      <c r="B95" s="1" t="str">
        <f ca="1">IF(Información1[[#This Row],[Fecha]]='Ajuste de fechas'!$A$2,"Día actual","Día anterior")</f>
        <v>Día actual</v>
      </c>
      <c r="C95" t="s">
        <v>44</v>
      </c>
      <c r="D95" t="s">
        <v>45</v>
      </c>
      <c r="E95" t="s">
        <v>213</v>
      </c>
      <c r="F95" t="s">
        <v>70</v>
      </c>
      <c r="G95" t="s">
        <v>119</v>
      </c>
      <c r="H95" t="s">
        <v>28</v>
      </c>
      <c r="I95" t="s">
        <v>7</v>
      </c>
      <c r="J95" t="s">
        <v>18</v>
      </c>
      <c r="K95" t="s">
        <v>54</v>
      </c>
      <c r="L95" t="s">
        <v>19</v>
      </c>
      <c r="M95">
        <v>1</v>
      </c>
    </row>
    <row r="96" spans="1:13" x14ac:dyDescent="0.25">
      <c r="A96" s="2">
        <v>46316</v>
      </c>
      <c r="B96" s="1" t="str">
        <f ca="1">IF(Información1[[#This Row],[Fecha]]='Ajuste de fechas'!$A$2,"Día actual","Día anterior")</f>
        <v>Día actual</v>
      </c>
      <c r="C96" t="s">
        <v>39</v>
      </c>
      <c r="D96" t="s">
        <v>40</v>
      </c>
      <c r="E96" t="s">
        <v>214</v>
      </c>
      <c r="F96" t="s">
        <v>70</v>
      </c>
      <c r="G96" t="s">
        <v>215</v>
      </c>
      <c r="H96" t="s">
        <v>41</v>
      </c>
      <c r="I96" t="s">
        <v>7</v>
      </c>
      <c r="J96" t="s">
        <v>18</v>
      </c>
      <c r="K96" t="s">
        <v>42</v>
      </c>
      <c r="L96" t="s">
        <v>19</v>
      </c>
      <c r="M96">
        <v>1</v>
      </c>
    </row>
    <row r="97" spans="1:13" x14ac:dyDescent="0.25">
      <c r="A97" s="2">
        <v>46316</v>
      </c>
      <c r="B97" s="1" t="str">
        <f ca="1">IF(Información1[[#This Row],[Fecha]]='Ajuste de fechas'!$A$2,"Día actual","Día anterior")</f>
        <v>Día actual</v>
      </c>
      <c r="C97" t="s">
        <v>39</v>
      </c>
      <c r="D97" t="s">
        <v>40</v>
      </c>
      <c r="E97" t="s">
        <v>216</v>
      </c>
      <c r="F97" t="s">
        <v>52</v>
      </c>
      <c r="G97" t="s">
        <v>217</v>
      </c>
      <c r="H97" t="s">
        <v>41</v>
      </c>
      <c r="I97" t="s">
        <v>7</v>
      </c>
      <c r="J97" t="s">
        <v>18</v>
      </c>
      <c r="K97" t="s">
        <v>43</v>
      </c>
      <c r="L97" t="s">
        <v>21</v>
      </c>
      <c r="M97">
        <v>1</v>
      </c>
    </row>
    <row r="98" spans="1:13" x14ac:dyDescent="0.25">
      <c r="A98" s="2">
        <v>46316</v>
      </c>
      <c r="B98" s="1" t="str">
        <f ca="1">IF(Información1[[#This Row],[Fecha]]='Ajuste de fechas'!$A$2,"Día actual","Día anterior")</f>
        <v>Día actual</v>
      </c>
      <c r="C98" t="s">
        <v>39</v>
      </c>
      <c r="D98" t="s">
        <v>40</v>
      </c>
      <c r="E98" t="s">
        <v>218</v>
      </c>
      <c r="F98" t="s">
        <v>10</v>
      </c>
      <c r="G98" t="s">
        <v>50</v>
      </c>
      <c r="H98" t="s">
        <v>41</v>
      </c>
      <c r="I98" t="s">
        <v>7</v>
      </c>
      <c r="J98" t="s">
        <v>18</v>
      </c>
      <c r="K98" t="s">
        <v>43</v>
      </c>
      <c r="L98" t="s">
        <v>19</v>
      </c>
      <c r="M98">
        <v>1</v>
      </c>
    </row>
    <row r="99" spans="1:13" x14ac:dyDescent="0.25">
      <c r="A99" s="2">
        <v>46316</v>
      </c>
      <c r="B99" s="1" t="str">
        <f ca="1">IF(Información1[[#This Row],[Fecha]]='Ajuste de fechas'!$A$2,"Día actual","Día anterior")</f>
        <v>Día actual</v>
      </c>
      <c r="C99" t="s">
        <v>39</v>
      </c>
      <c r="D99" t="s">
        <v>40</v>
      </c>
      <c r="E99" t="s">
        <v>101</v>
      </c>
      <c r="F99" t="s">
        <v>70</v>
      </c>
      <c r="G99" t="s">
        <v>219</v>
      </c>
      <c r="H99" t="s">
        <v>41</v>
      </c>
      <c r="I99" t="s">
        <v>8</v>
      </c>
      <c r="J99" t="s">
        <v>18</v>
      </c>
      <c r="K99" t="s">
        <v>43</v>
      </c>
      <c r="L99" t="s">
        <v>21</v>
      </c>
      <c r="M99">
        <v>1</v>
      </c>
    </row>
    <row r="100" spans="1:13" x14ac:dyDescent="0.25">
      <c r="A100" s="2">
        <v>46316</v>
      </c>
      <c r="B100" s="1" t="str">
        <f ca="1">IF(Información1[[#This Row],[Fecha]]='Ajuste de fechas'!$A$2,"Día actual","Día anterior")</f>
        <v>Día actual</v>
      </c>
      <c r="C100" t="s">
        <v>39</v>
      </c>
      <c r="D100" t="s">
        <v>40</v>
      </c>
      <c r="E100" t="s">
        <v>207</v>
      </c>
      <c r="F100" t="s">
        <v>70</v>
      </c>
      <c r="G100" t="s">
        <v>208</v>
      </c>
      <c r="H100" t="s">
        <v>41</v>
      </c>
      <c r="I100" t="s">
        <v>7</v>
      </c>
      <c r="J100" t="s">
        <v>18</v>
      </c>
      <c r="K100" t="s">
        <v>43</v>
      </c>
      <c r="L100" t="s">
        <v>21</v>
      </c>
      <c r="M100">
        <v>1</v>
      </c>
    </row>
    <row r="101" spans="1:13" x14ac:dyDescent="0.25">
      <c r="A101" s="2">
        <v>46316</v>
      </c>
      <c r="B101" s="1" t="str">
        <f ca="1">IF(Información1[[#This Row],[Fecha]]='Ajuste de fechas'!$A$2,"Día actual","Día anterior")</f>
        <v>Día actual</v>
      </c>
      <c r="C101" t="s">
        <v>39</v>
      </c>
      <c r="D101" t="s">
        <v>40</v>
      </c>
      <c r="E101" t="s">
        <v>220</v>
      </c>
      <c r="F101" t="s">
        <v>48</v>
      </c>
      <c r="G101" t="s">
        <v>47</v>
      </c>
      <c r="H101" t="s">
        <v>41</v>
      </c>
      <c r="I101" t="s">
        <v>11</v>
      </c>
      <c r="J101" t="s">
        <v>18</v>
      </c>
      <c r="K101" t="s">
        <v>43</v>
      </c>
      <c r="L101" t="s">
        <v>19</v>
      </c>
      <c r="M101">
        <v>1</v>
      </c>
    </row>
    <row r="102" spans="1:13" x14ac:dyDescent="0.25">
      <c r="A102" s="2">
        <v>46316</v>
      </c>
      <c r="B102" s="1" t="str">
        <f ca="1">IF(Información1[[#This Row],[Fecha]]='Ajuste de fechas'!$A$2,"Día actual","Día anterior")</f>
        <v>Día actual</v>
      </c>
      <c r="C102" t="s">
        <v>39</v>
      </c>
      <c r="D102" t="s">
        <v>40</v>
      </c>
      <c r="E102" t="s">
        <v>221</v>
      </c>
      <c r="F102" t="s">
        <v>27</v>
      </c>
      <c r="G102" t="s">
        <v>53</v>
      </c>
      <c r="H102" t="s">
        <v>41</v>
      </c>
      <c r="I102" t="s">
        <v>7</v>
      </c>
      <c r="J102" t="s">
        <v>18</v>
      </c>
      <c r="K102" t="s">
        <v>42</v>
      </c>
      <c r="L102" t="s">
        <v>19</v>
      </c>
      <c r="M102">
        <v>1</v>
      </c>
    </row>
    <row r="103" spans="1:13" x14ac:dyDescent="0.25">
      <c r="A103" s="2">
        <v>46316</v>
      </c>
      <c r="B103" s="1" t="str">
        <f ca="1">IF(Información1[[#This Row],[Fecha]]='Ajuste de fechas'!$A$2,"Día actual","Día anterior")</f>
        <v>Día actual</v>
      </c>
      <c r="C103" t="s">
        <v>39</v>
      </c>
      <c r="D103" t="s">
        <v>40</v>
      </c>
      <c r="E103" t="s">
        <v>222</v>
      </c>
      <c r="F103" t="s">
        <v>26</v>
      </c>
      <c r="G103" t="s">
        <v>223</v>
      </c>
      <c r="H103" t="s">
        <v>41</v>
      </c>
      <c r="I103" t="s">
        <v>7</v>
      </c>
      <c r="J103" t="s">
        <v>18</v>
      </c>
      <c r="K103" t="s">
        <v>43</v>
      </c>
      <c r="L103" t="s">
        <v>20</v>
      </c>
      <c r="M103">
        <v>1</v>
      </c>
    </row>
    <row r="104" spans="1:13" x14ac:dyDescent="0.25">
      <c r="A104" s="2">
        <v>46316</v>
      </c>
      <c r="B104" s="1" t="str">
        <f ca="1">IF(Información1[[#This Row],[Fecha]]='Ajuste de fechas'!$A$2,"Día actual","Día anterior")</f>
        <v>Día actual</v>
      </c>
      <c r="C104" t="s">
        <v>39</v>
      </c>
      <c r="D104" t="s">
        <v>40</v>
      </c>
      <c r="E104" t="s">
        <v>224</v>
      </c>
      <c r="F104" t="s">
        <v>26</v>
      </c>
      <c r="G104" t="s">
        <v>49</v>
      </c>
      <c r="H104" t="s">
        <v>41</v>
      </c>
      <c r="I104" t="s">
        <v>11</v>
      </c>
      <c r="J104" t="s">
        <v>18</v>
      </c>
      <c r="K104" t="s">
        <v>43</v>
      </c>
      <c r="L104" t="s">
        <v>20</v>
      </c>
      <c r="M104">
        <v>1</v>
      </c>
    </row>
    <row r="105" spans="1:13" x14ac:dyDescent="0.25">
      <c r="A105" s="2">
        <v>46316</v>
      </c>
      <c r="B105" s="1" t="str">
        <f ca="1">IF(Información1[[#This Row],[Fecha]]='Ajuste de fechas'!$A$2,"Día actual","Día anterior")</f>
        <v>Día actual</v>
      </c>
      <c r="C105" t="s">
        <v>39</v>
      </c>
      <c r="D105" t="s">
        <v>40</v>
      </c>
      <c r="E105" t="s">
        <v>225</v>
      </c>
      <c r="F105" t="s">
        <v>26</v>
      </c>
      <c r="G105" t="s">
        <v>72</v>
      </c>
      <c r="H105" t="s">
        <v>41</v>
      </c>
      <c r="I105" t="s">
        <v>7</v>
      </c>
      <c r="J105" t="s">
        <v>18</v>
      </c>
      <c r="K105" t="s">
        <v>43</v>
      </c>
      <c r="L105" t="s">
        <v>19</v>
      </c>
      <c r="M105">
        <v>1</v>
      </c>
    </row>
    <row r="106" spans="1:13" x14ac:dyDescent="0.25">
      <c r="A106" s="2">
        <v>46316</v>
      </c>
      <c r="B106" s="1" t="str">
        <f ca="1">IF(Información1[[#This Row],[Fecha]]='Ajuste de fechas'!$A$2,"Día actual","Día anterior")</f>
        <v>Día actual</v>
      </c>
      <c r="C106" t="s">
        <v>95</v>
      </c>
      <c r="D106" t="s">
        <v>96</v>
      </c>
      <c r="E106" t="s">
        <v>226</v>
      </c>
      <c r="F106" t="s">
        <v>27</v>
      </c>
      <c r="G106" t="s">
        <v>227</v>
      </c>
      <c r="H106" t="s">
        <v>28</v>
      </c>
      <c r="I106" t="s">
        <v>7</v>
      </c>
      <c r="J106" t="s">
        <v>18</v>
      </c>
      <c r="K106" t="s">
        <v>98</v>
      </c>
      <c r="L106" t="s">
        <v>21</v>
      </c>
      <c r="M106">
        <v>1</v>
      </c>
    </row>
    <row r="107" spans="1:13" x14ac:dyDescent="0.25">
      <c r="A107" s="2">
        <v>46316</v>
      </c>
      <c r="B107" s="1" t="str">
        <f ca="1">IF(Información1[[#This Row],[Fecha]]='Ajuste de fechas'!$A$2,"Día actual","Día anterior")</f>
        <v>Día actual</v>
      </c>
      <c r="C107" t="s">
        <v>29</v>
      </c>
      <c r="D107" t="s">
        <v>34</v>
      </c>
      <c r="E107" t="s">
        <v>228</v>
      </c>
      <c r="F107" t="s">
        <v>10</v>
      </c>
      <c r="G107" t="s">
        <v>87</v>
      </c>
      <c r="H107" t="s">
        <v>28</v>
      </c>
      <c r="I107" t="s">
        <v>11</v>
      </c>
      <c r="J107" t="s">
        <v>18</v>
      </c>
      <c r="K107" t="s">
        <v>35</v>
      </c>
      <c r="L107" t="s">
        <v>20</v>
      </c>
      <c r="M107">
        <v>1</v>
      </c>
    </row>
    <row r="108" spans="1:13" x14ac:dyDescent="0.25">
      <c r="A108" s="2">
        <v>46316</v>
      </c>
      <c r="B108" s="1" t="str">
        <f ca="1">IF(Información1[[#This Row],[Fecha]]='Ajuste de fechas'!$A$2,"Día actual","Día anterior")</f>
        <v>Día actual</v>
      </c>
      <c r="C108" t="s">
        <v>29</v>
      </c>
      <c r="D108" t="s">
        <v>34</v>
      </c>
      <c r="E108" t="s">
        <v>229</v>
      </c>
      <c r="F108" t="s">
        <v>10</v>
      </c>
      <c r="G108" t="s">
        <v>87</v>
      </c>
      <c r="H108" t="s">
        <v>28</v>
      </c>
      <c r="I108" t="s">
        <v>11</v>
      </c>
      <c r="J108" t="s">
        <v>18</v>
      </c>
      <c r="K108" t="s">
        <v>35</v>
      </c>
      <c r="L108" t="s">
        <v>20</v>
      </c>
      <c r="M108">
        <v>1</v>
      </c>
    </row>
    <row r="109" spans="1:13" x14ac:dyDescent="0.25">
      <c r="A109" s="2">
        <v>46316</v>
      </c>
      <c r="B109" s="1" t="str">
        <f ca="1">IF(Información1[[#This Row],[Fecha]]='Ajuste de fechas'!$A$2,"Día actual","Día anterior")</f>
        <v>Día actual</v>
      </c>
      <c r="C109" t="s">
        <v>29</v>
      </c>
      <c r="D109" t="s">
        <v>34</v>
      </c>
      <c r="E109" t="s">
        <v>230</v>
      </c>
      <c r="F109" t="s">
        <v>10</v>
      </c>
      <c r="G109" t="s">
        <v>50</v>
      </c>
      <c r="H109" t="s">
        <v>28</v>
      </c>
      <c r="I109" t="s">
        <v>7</v>
      </c>
      <c r="J109" t="s">
        <v>18</v>
      </c>
      <c r="K109" t="s">
        <v>31</v>
      </c>
      <c r="L109" t="s">
        <v>21</v>
      </c>
      <c r="M109">
        <v>1</v>
      </c>
    </row>
    <row r="110" spans="1:13" x14ac:dyDescent="0.25">
      <c r="A110" s="2">
        <v>46316</v>
      </c>
      <c r="B110" s="1" t="str">
        <f ca="1">IF(Información1[[#This Row],[Fecha]]='Ajuste de fechas'!$A$2,"Día actual","Día anterior")</f>
        <v>Día actual</v>
      </c>
      <c r="C110" t="s">
        <v>36</v>
      </c>
      <c r="D110" t="s">
        <v>37</v>
      </c>
      <c r="E110" t="s">
        <v>231</v>
      </c>
      <c r="F110" t="s">
        <v>59</v>
      </c>
      <c r="G110" t="s">
        <v>232</v>
      </c>
      <c r="H110" t="s">
        <v>28</v>
      </c>
      <c r="I110" t="s">
        <v>7</v>
      </c>
      <c r="J110" t="s">
        <v>59</v>
      </c>
      <c r="K110" t="s">
        <v>38</v>
      </c>
      <c r="L110" t="s">
        <v>19</v>
      </c>
      <c r="M110">
        <v>1</v>
      </c>
    </row>
    <row r="111" spans="1:13" x14ac:dyDescent="0.25">
      <c r="A111" s="2">
        <v>46316</v>
      </c>
      <c r="B111" s="1" t="str">
        <f ca="1">IF(Información1[[#This Row],[Fecha]]='Ajuste de fechas'!$A$2,"Día actual","Día anterior")</f>
        <v>Día actual</v>
      </c>
      <c r="C111" t="s">
        <v>36</v>
      </c>
      <c r="D111" t="s">
        <v>37</v>
      </c>
      <c r="E111" t="s">
        <v>233</v>
      </c>
      <c r="F111" t="s">
        <v>9</v>
      </c>
      <c r="G111" t="s">
        <v>50</v>
      </c>
      <c r="H111" t="s">
        <v>28</v>
      </c>
      <c r="I111" t="s">
        <v>7</v>
      </c>
      <c r="J111" t="s">
        <v>18</v>
      </c>
      <c r="K111" t="s">
        <v>38</v>
      </c>
      <c r="L111" t="s">
        <v>19</v>
      </c>
      <c r="M111">
        <v>1</v>
      </c>
    </row>
    <row r="112" spans="1:13" x14ac:dyDescent="0.25">
      <c r="A112" s="2">
        <v>46316</v>
      </c>
      <c r="B112" s="1" t="str">
        <f ca="1">IF(Información1[[#This Row],[Fecha]]='Ajuste de fechas'!$A$2,"Día actual","Día anterior")</f>
        <v>Día actual</v>
      </c>
      <c r="C112" t="s">
        <v>36</v>
      </c>
      <c r="D112" t="s">
        <v>37</v>
      </c>
      <c r="E112" t="s">
        <v>234</v>
      </c>
      <c r="F112" t="s">
        <v>52</v>
      </c>
      <c r="G112" t="s">
        <v>50</v>
      </c>
      <c r="H112" t="s">
        <v>28</v>
      </c>
      <c r="I112" t="s">
        <v>7</v>
      </c>
      <c r="J112" t="s">
        <v>18</v>
      </c>
      <c r="K112" t="s">
        <v>38</v>
      </c>
      <c r="L112" t="s">
        <v>19</v>
      </c>
      <c r="M112">
        <v>1</v>
      </c>
    </row>
    <row r="113" spans="1:13" x14ac:dyDescent="0.25">
      <c r="A113" s="2">
        <v>46316</v>
      </c>
      <c r="B113" s="1" t="str">
        <f ca="1">IF(Información1[[#This Row],[Fecha]]='Ajuste de fechas'!$A$2,"Día actual","Día anterior")</f>
        <v>Día actual</v>
      </c>
      <c r="C113" t="s">
        <v>36</v>
      </c>
      <c r="D113" t="s">
        <v>37</v>
      </c>
      <c r="E113" t="s">
        <v>235</v>
      </c>
      <c r="F113" t="s">
        <v>10</v>
      </c>
      <c r="G113" t="s">
        <v>50</v>
      </c>
      <c r="H113" t="s">
        <v>28</v>
      </c>
      <c r="I113" t="s">
        <v>8</v>
      </c>
      <c r="J113" t="s">
        <v>18</v>
      </c>
      <c r="K113" t="s">
        <v>38</v>
      </c>
      <c r="L113" t="s">
        <v>20</v>
      </c>
      <c r="M113">
        <v>1</v>
      </c>
    </row>
    <row r="114" spans="1:13" x14ac:dyDescent="0.25">
      <c r="A114" s="2">
        <v>46316</v>
      </c>
      <c r="B114" s="1" t="str">
        <f ca="1">IF(Información1[[#This Row],[Fecha]]='Ajuste de fechas'!$A$2,"Día actual","Día anterior")</f>
        <v>Día actual</v>
      </c>
      <c r="C114" t="s">
        <v>36</v>
      </c>
      <c r="D114" t="s">
        <v>37</v>
      </c>
      <c r="E114" t="s">
        <v>236</v>
      </c>
      <c r="F114" t="s">
        <v>10</v>
      </c>
      <c r="G114" t="s">
        <v>50</v>
      </c>
      <c r="H114" t="s">
        <v>28</v>
      </c>
      <c r="I114" t="s">
        <v>7</v>
      </c>
      <c r="J114" t="s">
        <v>18</v>
      </c>
      <c r="K114" t="s">
        <v>38</v>
      </c>
      <c r="L114" t="s">
        <v>19</v>
      </c>
      <c r="M114">
        <v>1</v>
      </c>
    </row>
    <row r="115" spans="1:13" x14ac:dyDescent="0.25">
      <c r="A115" s="2">
        <v>46316</v>
      </c>
      <c r="B115" s="1" t="str">
        <f ca="1">IF(Información1[[#This Row],[Fecha]]='Ajuste de fechas'!$A$2,"Día actual","Día anterior")</f>
        <v>Día actual</v>
      </c>
      <c r="C115" t="s">
        <v>36</v>
      </c>
      <c r="D115" t="s">
        <v>37</v>
      </c>
      <c r="E115" t="s">
        <v>237</v>
      </c>
      <c r="F115" t="s">
        <v>70</v>
      </c>
      <c r="G115" t="s">
        <v>119</v>
      </c>
      <c r="H115" t="s">
        <v>28</v>
      </c>
      <c r="I115" t="s">
        <v>7</v>
      </c>
      <c r="J115" t="s">
        <v>18</v>
      </c>
      <c r="K115" t="s">
        <v>38</v>
      </c>
      <c r="L115" t="s">
        <v>19</v>
      </c>
      <c r="M115">
        <v>1</v>
      </c>
    </row>
    <row r="116" spans="1:13" x14ac:dyDescent="0.25">
      <c r="A116" s="2">
        <v>46316</v>
      </c>
      <c r="B116" s="1" t="str">
        <f ca="1">IF(Información1[[#This Row],[Fecha]]='Ajuste de fechas'!$A$2,"Día actual","Día anterior")</f>
        <v>Día actual</v>
      </c>
      <c r="C116" t="s">
        <v>36</v>
      </c>
      <c r="D116" t="s">
        <v>37</v>
      </c>
      <c r="E116" t="s">
        <v>207</v>
      </c>
      <c r="F116" t="s">
        <v>70</v>
      </c>
      <c r="G116" t="s">
        <v>208</v>
      </c>
      <c r="H116" t="s">
        <v>28</v>
      </c>
      <c r="I116" t="s">
        <v>7</v>
      </c>
      <c r="J116" t="s">
        <v>18</v>
      </c>
      <c r="K116" t="s">
        <v>38</v>
      </c>
      <c r="L116" t="s">
        <v>21</v>
      </c>
      <c r="M116">
        <v>1</v>
      </c>
    </row>
    <row r="117" spans="1:13" x14ac:dyDescent="0.25">
      <c r="A117" s="2">
        <v>46316</v>
      </c>
      <c r="B117" s="1" t="str">
        <f ca="1">IF(Información1[[#This Row],[Fecha]]='Ajuste de fechas'!$A$2,"Día actual","Día anterior")</f>
        <v>Día actual</v>
      </c>
      <c r="C117" t="s">
        <v>36</v>
      </c>
      <c r="D117" t="s">
        <v>37</v>
      </c>
      <c r="E117" t="s">
        <v>238</v>
      </c>
      <c r="F117" t="s">
        <v>66</v>
      </c>
      <c r="G117" t="s">
        <v>208</v>
      </c>
      <c r="H117" t="s">
        <v>28</v>
      </c>
      <c r="I117" t="s">
        <v>7</v>
      </c>
      <c r="J117" t="s">
        <v>67</v>
      </c>
      <c r="K117" t="s">
        <v>38</v>
      </c>
      <c r="L117" t="s">
        <v>19</v>
      </c>
      <c r="M117">
        <v>1</v>
      </c>
    </row>
    <row r="118" spans="1:13" x14ac:dyDescent="0.25">
      <c r="A118" s="2">
        <v>46316</v>
      </c>
      <c r="B118" s="1" t="str">
        <f ca="1">IF(Información1[[#This Row],[Fecha]]='Ajuste de fechas'!$A$2,"Día actual","Día anterior")</f>
        <v>Día actual</v>
      </c>
      <c r="C118" t="s">
        <v>29</v>
      </c>
      <c r="D118" t="s">
        <v>30</v>
      </c>
      <c r="E118" t="s">
        <v>239</v>
      </c>
      <c r="F118" t="s">
        <v>181</v>
      </c>
      <c r="G118" t="s">
        <v>182</v>
      </c>
      <c r="H118" t="s">
        <v>28</v>
      </c>
      <c r="I118" t="s">
        <v>11</v>
      </c>
      <c r="J118" t="s">
        <v>59</v>
      </c>
      <c r="K118" t="s">
        <v>35</v>
      </c>
      <c r="L118" t="s">
        <v>20</v>
      </c>
      <c r="M118">
        <v>1</v>
      </c>
    </row>
    <row r="119" spans="1:13" x14ac:dyDescent="0.25">
      <c r="A119" s="2">
        <v>46316</v>
      </c>
      <c r="B119" s="1" t="str">
        <f ca="1">IF(Información1[[#This Row],[Fecha]]='Ajuste de fechas'!$A$2,"Día actual","Día anterior")</f>
        <v>Día actual</v>
      </c>
      <c r="C119" t="s">
        <v>29</v>
      </c>
      <c r="D119" t="s">
        <v>30</v>
      </c>
      <c r="E119" t="s">
        <v>240</v>
      </c>
      <c r="F119" t="s">
        <v>241</v>
      </c>
      <c r="G119" t="s">
        <v>242</v>
      </c>
      <c r="H119" t="s">
        <v>28</v>
      </c>
      <c r="I119" t="s">
        <v>7</v>
      </c>
      <c r="J119" t="s">
        <v>18</v>
      </c>
      <c r="K119" t="s">
        <v>32</v>
      </c>
      <c r="L119" t="s">
        <v>21</v>
      </c>
      <c r="M119">
        <v>1</v>
      </c>
    </row>
    <row r="120" spans="1:13" x14ac:dyDescent="0.25">
      <c r="A120" s="2">
        <v>46316</v>
      </c>
      <c r="B120" s="1" t="str">
        <f ca="1">IF(Información1[[#This Row],[Fecha]]='Ajuste de fechas'!$A$2,"Día actual","Día anterior")</f>
        <v>Día actual</v>
      </c>
      <c r="C120" t="s">
        <v>29</v>
      </c>
      <c r="D120" t="s">
        <v>30</v>
      </c>
      <c r="E120" t="s">
        <v>243</v>
      </c>
      <c r="F120" t="s">
        <v>52</v>
      </c>
      <c r="G120" t="s">
        <v>50</v>
      </c>
      <c r="H120" t="s">
        <v>28</v>
      </c>
      <c r="I120" t="s">
        <v>7</v>
      </c>
      <c r="J120" t="s">
        <v>18</v>
      </c>
      <c r="K120" t="s">
        <v>32</v>
      </c>
      <c r="L120" t="s">
        <v>21</v>
      </c>
      <c r="M120">
        <v>1</v>
      </c>
    </row>
    <row r="121" spans="1:13" x14ac:dyDescent="0.25">
      <c r="A121" s="2">
        <v>46316</v>
      </c>
      <c r="B121" s="1" t="str">
        <f ca="1">IF(Información1[[#This Row],[Fecha]]='Ajuste de fechas'!$A$2,"Día actual","Día anterior")</f>
        <v>Día actual</v>
      </c>
      <c r="C121" t="s">
        <v>29</v>
      </c>
      <c r="D121" t="s">
        <v>30</v>
      </c>
      <c r="E121" t="s">
        <v>244</v>
      </c>
      <c r="F121" t="s">
        <v>70</v>
      </c>
      <c r="G121" t="s">
        <v>119</v>
      </c>
      <c r="H121" t="s">
        <v>28</v>
      </c>
      <c r="I121" t="s">
        <v>7</v>
      </c>
      <c r="J121" t="s">
        <v>18</v>
      </c>
      <c r="K121" t="s">
        <v>31</v>
      </c>
      <c r="L121" t="s">
        <v>19</v>
      </c>
      <c r="M121">
        <v>1</v>
      </c>
    </row>
    <row r="122" spans="1:13" x14ac:dyDescent="0.25">
      <c r="A122" s="2">
        <v>46316</v>
      </c>
      <c r="B122" s="1" t="str">
        <f ca="1">IF(Información1[[#This Row],[Fecha]]='Ajuste de fechas'!$A$2,"Día actual","Día anterior")</f>
        <v>Día actual</v>
      </c>
      <c r="C122" t="s">
        <v>29</v>
      </c>
      <c r="D122" t="s">
        <v>30</v>
      </c>
      <c r="E122" t="s">
        <v>230</v>
      </c>
      <c r="F122" t="s">
        <v>10</v>
      </c>
      <c r="G122" t="s">
        <v>50</v>
      </c>
      <c r="H122" t="s">
        <v>28</v>
      </c>
      <c r="I122" t="s">
        <v>7</v>
      </c>
      <c r="J122" t="s">
        <v>18</v>
      </c>
      <c r="K122" t="s">
        <v>32</v>
      </c>
      <c r="L122" t="s">
        <v>21</v>
      </c>
      <c r="M122">
        <v>1</v>
      </c>
    </row>
    <row r="123" spans="1:13" x14ac:dyDescent="0.25">
      <c r="A123" s="2">
        <v>46316</v>
      </c>
      <c r="B123" s="1" t="str">
        <f ca="1">IF(Información1[[#This Row],[Fecha]]='Ajuste de fechas'!$A$2,"Día actual","Día anterior")</f>
        <v>Día actual</v>
      </c>
      <c r="C123" t="s">
        <v>29</v>
      </c>
      <c r="D123" t="s">
        <v>30</v>
      </c>
      <c r="E123" t="s">
        <v>207</v>
      </c>
      <c r="F123" t="s">
        <v>70</v>
      </c>
      <c r="G123" t="s">
        <v>208</v>
      </c>
      <c r="H123" t="s">
        <v>28</v>
      </c>
      <c r="I123" t="s">
        <v>7</v>
      </c>
      <c r="J123" t="s">
        <v>18</v>
      </c>
      <c r="K123" t="s">
        <v>32</v>
      </c>
      <c r="L123" t="s">
        <v>21</v>
      </c>
      <c r="M123">
        <v>1</v>
      </c>
    </row>
    <row r="124" spans="1:13" x14ac:dyDescent="0.25">
      <c r="A124" s="2">
        <v>46316</v>
      </c>
      <c r="B124" s="1" t="str">
        <f ca="1">IF(Información1[[#This Row],[Fecha]]='Ajuste de fechas'!$A$2,"Día actual","Día anterior")</f>
        <v>Día actual</v>
      </c>
      <c r="C124" t="s">
        <v>29</v>
      </c>
      <c r="D124" t="s">
        <v>30</v>
      </c>
      <c r="E124" t="s">
        <v>226</v>
      </c>
      <c r="F124" t="s">
        <v>27</v>
      </c>
      <c r="G124" t="s">
        <v>227</v>
      </c>
      <c r="H124" t="s">
        <v>28</v>
      </c>
      <c r="I124" t="s">
        <v>7</v>
      </c>
      <c r="J124" t="s">
        <v>18</v>
      </c>
      <c r="K124" t="s">
        <v>32</v>
      </c>
      <c r="L124" t="s">
        <v>21</v>
      </c>
      <c r="M124">
        <v>1</v>
      </c>
    </row>
    <row r="125" spans="1:13" x14ac:dyDescent="0.25">
      <c r="A125" s="2">
        <v>46316</v>
      </c>
      <c r="B125" s="1" t="str">
        <f ca="1">IF(Información1[[#This Row],[Fecha]]='Ajuste de fechas'!$A$2,"Día actual","Día anterior")</f>
        <v>Día actual</v>
      </c>
      <c r="C125" t="s">
        <v>29</v>
      </c>
      <c r="D125" t="s">
        <v>30</v>
      </c>
      <c r="E125" t="s">
        <v>245</v>
      </c>
      <c r="F125" t="s">
        <v>66</v>
      </c>
      <c r="G125" t="s">
        <v>208</v>
      </c>
      <c r="H125" t="s">
        <v>28</v>
      </c>
      <c r="I125" t="s">
        <v>7</v>
      </c>
      <c r="J125" t="s">
        <v>67</v>
      </c>
      <c r="K125" t="s">
        <v>31</v>
      </c>
      <c r="L125" t="s">
        <v>19</v>
      </c>
      <c r="M125">
        <v>1</v>
      </c>
    </row>
    <row r="126" spans="1:13" x14ac:dyDescent="0.25">
      <c r="A126" s="2">
        <v>46316</v>
      </c>
      <c r="B126" s="1" t="str">
        <f ca="1">IF(Información1[[#This Row],[Fecha]]='Ajuste de fechas'!$A$2,"Día actual","Día anterior")</f>
        <v>Día actual</v>
      </c>
      <c r="C126" t="s">
        <v>29</v>
      </c>
      <c r="D126" t="s">
        <v>30</v>
      </c>
      <c r="E126" t="s">
        <v>246</v>
      </c>
      <c r="F126" t="s">
        <v>70</v>
      </c>
      <c r="G126" t="s">
        <v>208</v>
      </c>
      <c r="H126" t="s">
        <v>28</v>
      </c>
      <c r="I126" t="s">
        <v>7</v>
      </c>
      <c r="J126" t="s">
        <v>18</v>
      </c>
      <c r="K126" t="s">
        <v>31</v>
      </c>
      <c r="L126" t="s">
        <v>19</v>
      </c>
      <c r="M12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23</v>
      </c>
      <c r="B1" t="s">
        <v>24</v>
      </c>
    </row>
    <row r="2" spans="1:2" x14ac:dyDescent="0.25">
      <c r="A2" s="2">
        <f ca="1">TODAY()</f>
        <v>46316</v>
      </c>
      <c r="B2" s="2">
        <f ca="1">A2-1</f>
        <v>46315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2026-10-21T23:01:25Z</dcterms:modified>
</cp:coreProperties>
</file>