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A022BDE4-7D00-4887-A464-E29949544772}"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66" i="2"/>
  <c r="B68" i="2"/>
  <c r="B70" i="2"/>
  <c r="B72" i="2"/>
  <c r="B74" i="2"/>
  <c r="B76" i="2"/>
  <c r="B78" i="2"/>
  <c r="B80" i="2"/>
  <c r="B82" i="2"/>
  <c r="B84" i="2"/>
  <c r="B86" i="2"/>
  <c r="B88" i="2"/>
  <c r="B90" i="2"/>
  <c r="B92" i="2"/>
  <c r="B94" i="2"/>
  <c r="B96" i="2"/>
  <c r="B97" i="2"/>
  <c r="B99" i="2"/>
  <c r="B101" i="2"/>
  <c r="B103" i="2"/>
  <c r="B105" i="2"/>
  <c r="B107" i="2"/>
  <c r="B109" i="2"/>
  <c r="B111" i="2"/>
  <c r="B113" i="2"/>
  <c r="B115" i="2"/>
  <c r="B117" i="2"/>
  <c r="B119" i="2"/>
  <c r="B121" i="2"/>
  <c r="B123" i="2"/>
  <c r="B125" i="2"/>
  <c r="B127"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7" i="2"/>
  <c r="B69" i="2"/>
  <c r="B71" i="2"/>
  <c r="B73" i="2"/>
  <c r="B75" i="2"/>
  <c r="B77" i="2"/>
  <c r="B79" i="2"/>
  <c r="B81" i="2"/>
  <c r="B83" i="2"/>
  <c r="B85" i="2"/>
  <c r="B87" i="2"/>
  <c r="B89" i="2"/>
  <c r="B91" i="2"/>
  <c r="B93" i="2"/>
  <c r="B95" i="2"/>
  <c r="B98" i="2"/>
  <c r="B100" i="2"/>
  <c r="B102" i="2"/>
  <c r="B104" i="2"/>
  <c r="B106" i="2"/>
  <c r="B108" i="2"/>
  <c r="B110" i="2"/>
  <c r="B112" i="2"/>
  <c r="B114" i="2"/>
  <c r="B116" i="2"/>
  <c r="B118" i="2"/>
  <c r="B120" i="2"/>
  <c r="B122" i="2"/>
  <c r="B124" i="2"/>
  <c r="B126" i="2"/>
  <c r="B12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<sst xmlns="http://schemas.openxmlformats.org/spreadsheetml/2006/main" count="1285" uniqueCount="262">
  <si>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</si>
  <si>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</si>
  <si>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</si>
  <si>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</si>
  <si>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</si>
  <si>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</si>
  <si>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</si>
  <si>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</si>
  <si>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</si>
  <si>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</si>
  <si>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</si>
  <si>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</si>
  <si>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</si>
  <si>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</si>
  <si>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</si>
  <si>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</si>
  <si>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</si>
  <si>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</si>
  <si>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</si>
  <si>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</si>
  <si>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</si>
  <si>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</si>
  <si>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</si>
  <si>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</si>
  <si>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</si>
  <si>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</si>
  <si>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</si>
  <si>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</si>
  <si>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</si>
  <si>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</si>
  <si>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Congreso</t>
  </si>
  <si>
    <t>OCSAD</t>
  </si>
  <si>
    <t>Alerta Meteorológica</t>
  </si>
  <si>
    <t>La Poderosa Tuxpan 93.1 FM</t>
  </si>
  <si>
    <t>NN Nuestras Noticias Zona Norte</t>
  </si>
  <si>
    <t>Liz Argüelles</t>
  </si>
  <si>
    <t>Gobierno del estado</t>
  </si>
  <si>
    <t>Presidencia de la República</t>
  </si>
  <si>
    <t>Alcaldías</t>
  </si>
  <si>
    <t>SEPH</t>
  </si>
  <si>
    <t>TV local</t>
  </si>
  <si>
    <t>Ultra 102.9 FM</t>
  </si>
  <si>
    <t>Ultra Noticias1</t>
  </si>
  <si>
    <t>PGJEH</t>
  </si>
  <si>
    <t>Vía telefónica el reporte de Bombero y Protección Civil con Abner Yáñez informa de las diversas emergencias reportadas por la ciudadanía y que fueron atendidas.</t>
  </si>
  <si>
    <t>Canal del Pueblo</t>
  </si>
  <si>
    <t>Vocales Radio</t>
  </si>
  <si>
    <t>Andrés Torres</t>
  </si>
  <si>
    <t>Auxilio a la ciudadanía</t>
  </si>
  <si>
    <t>Entrevista</t>
  </si>
  <si>
    <t>Radioescucha</t>
  </si>
  <si>
    <t>Semot</t>
  </si>
  <si>
    <t>Combate a la delincuencia</t>
  </si>
  <si>
    <t>Semarnath</t>
  </si>
  <si>
    <t>Positiva</t>
  </si>
  <si>
    <t>Acir 92.5 FM</t>
  </si>
  <si>
    <t>Panorama Informativo Pachuca</t>
  </si>
  <si>
    <t>Eulalio Larrieta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</si>
  <si>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</si>
  <si>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</si>
  <si>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</si>
  <si>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</si>
  <si>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</si>
  <si>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</si>
  <si>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</si>
  <si>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Eulalio Larrieta agradece a Carlos Gamiño por estar al pendiente de temas</t>
  </si>
  <si>
    <t>Daniel Martínez</t>
  </si>
  <si>
    <t>Campaña de reciclaje</t>
  </si>
  <si>
    <t>Enfoque Regional Meridiano</t>
  </si>
  <si>
    <t>Jesús González</t>
  </si>
  <si>
    <t>Bienestar</t>
  </si>
  <si>
    <t>Turismo</t>
  </si>
  <si>
    <t>Mundial De Futbol</t>
  </si>
  <si>
    <t>Registro de celulares</t>
  </si>
  <si>
    <t>Relleno Sanitario</t>
  </si>
  <si>
    <t>Conservación Biodiversidad</t>
  </si>
  <si>
    <t>Inclusión</t>
  </si>
  <si>
    <t>Entrega De Equipo Escolar</t>
  </si>
  <si>
    <t>Exigencia de obra</t>
  </si>
  <si>
    <t>Combate Al Huachicol</t>
  </si>
  <si>
    <t>Hidalgo apuesta por la prevención ante el riesgo climático</t>
  </si>
  <si>
    <t>Prevención de incendios</t>
  </si>
  <si>
    <t>Abasto De Agua</t>
  </si>
  <si>
    <t>Milton Cortés</t>
  </si>
  <si>
    <t>IEEH</t>
  </si>
  <si>
    <t>Enfoque Regional Matutino</t>
  </si>
  <si>
    <t>En el marco del Día Internacional del Orgullo LGBT+, Isaí Quintero Andriano, representante de la Secretaría de Turismo de Hidalgo, anunció una jornada de sensibilización dirigida a 200 prestadores de servicios (hoteleros, restauranteros y comerciantes) en Tulancingo. La capacitación busca erradicar la discriminación y consolidar destinos turísticos accesibles e incluyentes para personas de la diversidad sexual, adultos mayores y personas con discapacidad. AUDIO DE APOYO</t>
  </si>
  <si>
    <t>Turismo inclusivo</t>
  </si>
  <si>
    <t>Rodolfo López</t>
  </si>
  <si>
    <t>Comenta conductor Eulalio Larrita que en las instalaciones de la feria, todos se creen dueños; los domingos en la venta de automóviles, ya hasta están personas que deciden qué puedes vender; ya todos se sienten dueños. Promotora de eventos de la feria… AGUAS CON ESO, OJALÁ TOMEN CARTAS EN EL ASUNTO.</t>
  </si>
  <si>
    <t>Prepotencia</t>
  </si>
  <si>
    <t>Radioescucha reporta que en el bulevar Felipe Ángeles está un registro sin tapa a la altura de Plaza Bicentenario. Ya se reportó en varias ocasiones y siguen sin hacer nada.</t>
  </si>
  <si>
    <t>Alcantarillado</t>
  </si>
  <si>
    <t>Radioescucha Sra. Ramírez manda audio y reporta coladera de Avenida de las Santas; ya hablaron con los de Cassim , pero no tiene solución.</t>
  </si>
  <si>
    <t>En sus redes sociales, el gonernador Julio Menchaca informo sobre el pronóstico de lluvias de 25 a 50 mm en regiones del oeste y sur de Hidalgo, así como rachas de viento de 30 a 50 km/h, se activa Semáforo Amarillo en el Valle del Mezquital, la Sierra Alta, la Otomí-Tepehua y la Huasteca, alertando que estas zonas estan en semafóro amarillo</t>
  </si>
  <si>
    <t>Habitantes de la comunidad de Santa María Magdalena, en Tepeji del Río, bloquearon este lunes el acceso a la localidad a unidades del transporte público, en protesta por el incremento irregular en el costo del pasaje que han impuesto los operadores.Los inconformes señalaron que el Gobierno del Estado autorizó un ajuste del 20 por ciento a la tarifa; sin embargo, denunciaron que los concesionarios incrementaron el cobro de 11 a 17 pesos, situación que, aseguran, rebasa por mucho el aumento permitido, el cual debía ser de máximo 13.50 pesos.De acuerdo con los vecinos, la problemática ha sido reportada en diversas ocasiones ante las autoridades competentes, sin que hasta el momento se haya emitido una respuesta o aplicado medidas para regular el cobro.</t>
  </si>
  <si>
    <t>Alteración tarifa de transporte</t>
  </si>
  <si>
    <t>La oportuna intervención de un operador del número de emergencias 911 de la Secretaría de Seguridad Pública de Hidalgo (C5i) permitió asistir el nacimiento de un bebé en un domicilio de Pachuca. El especialista guió paso a paso a los familiares a través de una videollamada mientras arribaban los servicios médicos. Los paramédicos trasladaron posteriormente a la madre y al recién nacido a un hospital, donde se reportan con buen estado de salud. AUDIO DE APOYO</t>
  </si>
  <si>
    <t>Asistencia de parto</t>
  </si>
  <si>
    <t>Hidalgo fortalece cuidado de la salud mental y servicios contra adicciones</t>
  </si>
  <si>
    <t>Atención de adicciones</t>
  </si>
  <si>
    <t>La Secretaría de Medio Ambiente y Recursos Naturales de Hidalgo (Semarnat), en coordinación con la Profepa, impulsa el programa de economía circular "Hidalgo Juega Limpio". Joel Delgadillo Ramírez, subdirector de Manejo Integral de Residuos, detalló que en la entidad se desechan cerca de 3,000 pantalones de mezclilla diarios. La campaña de acopio estará activa del 8 de junio al 8 de agosto, y todo el material textil recolectado será canalizado a la empresa Marves, en Uruapan, Michoacán, para transformarlo en aislantes industriales. AUDIO DE APOYO</t>
  </si>
  <si>
    <t>México y el estado de Hidalgo se suman al apoyo humanitario para Venezuela. Luego de los sismos de magnitudes 7.2 y 7.5 en la escala de Richter registrados el pasado 24 de junio en Venezuela —los cuales han dejado un saldo preliminar de más de 1,400 muertos y 50,000 desaparecidos—, diversas naciones de Latinoamérica han iniciado brigadas de auxilio. A esta causa se han sumado el Ejército Mexicano y el Gobierno del Estado de Hidalgo a través del Sistema DIF Hidalgo. Se invita a la ciudadanía a participar en la campaña de apoyo acudiendo a los tres centros de acopio habilitados de lunes a viernes, en un horario de 9:00 a 18:00 horas: Sistema DIF Hidalgo , Hospital del Niño DIF Hidalgo Y Centro de Rehabilitación Integral de Hidalgo (CRIH)</t>
  </si>
  <si>
    <t>DIFH</t>
  </si>
  <si>
    <t>Centros De Acopio</t>
  </si>
  <si>
    <t>El Sistema Integrado del Transporte Masivo de Hidalgo (SITMA) informó que las unidades del servicio metropolitano mantienen activos los asientos preferenciales color rosa y el protocolo "Código Naranja". Asimismo, las 34 estaciones de la ruta troncal operan como "Punto Naranja", contando con vigilancia las 24 horas por parte de la Policía Industrial Bancaria del Estado de Hidalgo (PIBEH) para atender casos de acoso o violencia de género.</t>
  </si>
  <si>
    <t>Código Naranja</t>
  </si>
  <si>
    <t>Elementos de la Policía Estatal detuvieron a un hombre y aseguraron un tractocamión con autotanque que transportaba 30,700 litros de combustible de presunta procedencia ilícita. El operativo ocurrió en el bulevar Santa Catarina de Pachuca, donde el conductor no pudo acreditar la legal procedencia ni el traslado del hidrocarburo. Tanto el detenido como la unidad y el combustible fueron puestos a disposición de la Fiscalía General de la República (FGR).</t>
  </si>
  <si>
    <t>Concluye el ciclo escolar 2025-2026 en educación básica. Más de 35,000 docentes y directivos de cerca de 7,000 escuelas de educación básica en Hidalgo participaron en la octava sesión ordinaria del Consejo Técnico Escolar (CTE), con la que concluyó formalmente el ciclo escolar 2025-2026. El secretario de Educación Pública de la entidad, Natividad Castrejón Valdés, reconoció el compromiso del magisterio en la evaluación de avances y el diseño del programa analítico para el siguiente periodo lectivo.</t>
  </si>
  <si>
    <t>Consejo Técnico</t>
  </si>
  <si>
    <t>Inaguran en Hidalgo el Sendero de la Ciencia, la Tecnologia y la Biodiversidad</t>
  </si>
  <si>
    <t>Radio Lobo 96.7 FM</t>
  </si>
  <si>
    <t>Enlace Noticias</t>
  </si>
  <si>
    <t>Desconexión digital, promueve el equilibrio entre la vida laboral y personal</t>
  </si>
  <si>
    <t>Derechos laborales</t>
  </si>
  <si>
    <t>Gina Lorenzo</t>
  </si>
  <si>
    <t>Mariela Valero Mota, titular del Centro de Conciliación Laboral del Estado de Hidalgo, recordó que la desconexión digital es un derecho previsto en el artículo 330-E de la Ley Federal del Trabajo para proteger la salud y descanso de los empleados bajo la modalidad de teletrabajo (Apartado A). Explicó que actualmente existe una iniciativa en el Senado para ampliar este beneficio a todos los trabajadores del país y regular las excepciones o compensaciones económicas en caso de jornadas extraordinarias.</t>
  </si>
  <si>
    <t>Al grito de “México es campeón en desaparición”, familiares de personas desaparecidas realizaron una manifestación para exigir a las autoridades avances en sus casos, pues señalan omisión para dar con sus paraderos.Los manifestantes acudieron a la Plaza Juárez, de Pachuca, para colocar velas con pancartas de sus familiares, y señalan que también buscan que la Comisión Ejecutiva de Atención a Víctimas les otorgue apoyos económicos como víctimas indirectas, AUDIO APOYO</t>
  </si>
  <si>
    <t>Desapariciones</t>
  </si>
  <si>
    <t>Vía telefónica, Jorge Reyes Hernández, presidente municipal de Pachuca, con el tema: Trabajo de varias obras en el municipio. Ya están a punto de empezar por parte de la SIPDUS; ya se está también trabajando en próximos días en calles de la colonia Periodistas, tenemos 4 calles en el Palmar, calles en la colonia Doctores, en la Loma; otra vez los ciudadanos empezarán a ver nuevamente muchas obras en todo el municipio. Ya que el bacheo sigue permanentemente. Como premisa, el día miércoles va a haber un gran cambio en Colosio completamente, ya que estará iluminado.</t>
  </si>
  <si>
    <t>Ejecución de obras</t>
  </si>
  <si>
    <t>IHE fortalece equipamiento escolar en la Sierra Alta</t>
  </si>
  <si>
    <t>Estudiantes de CONALEP Tizayuca presentan proyectos de innovación</t>
  </si>
  <si>
    <t>Evento académico</t>
  </si>
  <si>
    <t>Habitantes de la comunidad de Dios Padre, en el municipio de Ixmiquilpan, bloquearon la carretera Actopan – Tasquillo, a la altura del Ministerio Público en el barrio de La Reforma. Los manifestantes exigieron justicia tras el asalto registrado el pasado jueves en las instalaciones del balneario de dicha localidad. AUDIO MANIFESTANTES.</t>
  </si>
  <si>
    <t>Exigen seguridad</t>
  </si>
  <si>
    <t>En este momento en Panorama Informativo reportan bloqueo por parte de vecinos en la intersección Boulevard Colosio y Boulevard Minero por campo de tiro, exigen a las autoridades la conclusión de obras que provocan inundaciones y brote de aguas negras en la calle Tierra y Liberdad</t>
  </si>
  <si>
    <t>Rosa Elvia Otero Valderas, artesana originaria del municipio de Chapulhuacán, incorporó etiquetas en sistema braille a los productos de mole, café y chocolate que elabora junto a su familia. Esta iniciativa, inspirada en su hija con discapacidad visual, busca fomentar la autonomía de las personas y promover la igualdad de oportunidades en el comercio local. AUDIO DE APOYO</t>
  </si>
  <si>
    <t>Desarrollan estudiantes de ITESA el proyecto “Raíces del Altiplano”</t>
  </si>
  <si>
    <t>Investigación académica</t>
  </si>
  <si>
    <t>El gobernador de Hidalgo, Julio Menchaca Salazar, consideró necesario realizar un reajuste salarial en la entidad, tras señalar que la vocal ejecutiva del Instituto Nacional Electoral (INE) en Hidalgo percibe un sueldo neto mensual de 125,797 pesos, cifra que contraviene la Constitución local al ser superior al ingreso del titular del Ejecutivo. El mandatario estatal criticó el desorden administrativo de administraciones pasadas, donde se simulaban salarios bajos que se compensaban con bonos extraordinarios, e incluso se otorgaban asignaciones económicas y vehículos a representantes de partidos políticos que no formaban parte del gobierno. Menchaca instruyó a la Secretaría de la Contraloría y a la Secretaría de Hacienda a vigilar que se cumpla la ley y no se realicen "trampas" presupuestales. AUDIO DE APOYO</t>
  </si>
  <si>
    <t>Gobierno</t>
  </si>
  <si>
    <t>Ley de remuneraciones</t>
  </si>
  <si>
    <t>El secretario de Gobierno, Guillermo Olivares Reyna, encabezó las Mesas de Acercamiento para el Bienestar y la Paz en el municipio de Huazalingo. Estos encuentros de los tres órdenes de gobierno tienen el objetivo de mantener la cercanía con la población, resolver problemáticas agrarias, de seguridad y servicios públicos, así como contrarrestar de manera primordial la violencia contra las mujeres en las regiones del estado. AUDIO DE APOYO</t>
  </si>
  <si>
    <t>Mesas de acercamiento</t>
  </si>
  <si>
    <t>Alumno de la UTTT participará en programa para futuros líderes de México</t>
  </si>
  <si>
    <t>Movilidad Académica</t>
  </si>
  <si>
    <t>Leonardo Aceves Martínez, estudiante de la Ingeniería en Redes Inteligentes y Ciberseguridad en la Universidad Tecnológica de Tula-Tepeji (UTTT), fue el único alumno de las universidades tecnológicas y politécnicas del estado seleccionado para el programa de verano 2026 "Impulsando a los Futuros Líderes de México". Del 24 de julio al 8 de agosto, recibirá capacitación en liderazgo y función pública en la Universidad de Georgetown (Washington D.C.) y en el Tecnológico de Monterrey (CDMX) con una beca completa.</t>
  </si>
  <si>
    <t>Tula se suma al legado social de las actividades de la Justa Mundialista 2026, con la inauguración de una nueva cancha de fútbol 5 en la colonia Barrio Alto, como parte de la Estrategia Federal Mundial Social. Este programa contempló la rehabilitación de 4208 canchas deportivas en todo el país, en coordinación con los gobiernos municipales, con el objetivo de recuperar espacios públicos, promover la práctica deportiva y fortalecer la convivencia entre las comunidades. La nueva infraestructura será inaugurada hoy lunes y busca ofrecer a niñas, niños, jóvenes y familias un espacio adecuado para la activación física y el desarrollo de actividades recreativas.Sobre este tema informo el presidente municipal Cristhian Martínez Reséndiz., AUDIO APOYO</t>
  </si>
  <si>
    <t>En el marco de la fiebre mundialista y la Copa del Mundo 2026, la selección de Sudáfrica (Bafana Bafana) se despidió de la entidad tras quedar eliminada en los dieciseisavos de final ante Canadá por un marcador de 1-0. Paralelamente, el Gobierno de Hidalgo, con apoyo de Sedatu y Conade, entregó en San Agustín Tlaxiaca la primera cancha de fútbol de un paquete que contempla la construcción de 27 espacios y la rehabilitación de 11 más en 29 municipios, con una inversión superior a los 62 millones de pesos.</t>
  </si>
  <si>
    <t>La Secretaría de Educación Pública (SEP) informa que, por decreto presidencial publicado hoy en el Diario Oficial de la Federación (DOF), el 30 de junio en la Ciudad de México se suspenden las actividades escolares en las escuelas públicas y privadas de educación preescolar, primaria, secundaria, normal y demás instituciones para la formación de maestras y maestros de educación básica del Sistema Educativo Nacional.También se suspenden las actividades en las instituciones de educación media superior y superior dependientes de la Secretaría de Educación Pública, ubicadas en la Ciudad de México.En el decreto por el que se establecen diversas medidas administrativas en el marco de los eventos relativos a la Copa Mundial de la FIFA 2026, a celebrarse en la Ciudad de México.</t>
  </si>
  <si>
    <t>El Instituto Hidalguense de la Juventud (Injuve), dirigido por Ricardo Olvera Molina, se sumó a la estrategia nacional convocada por la presidenta Claudia Sheinbaum para recuperar espacios públicos y prevenir adicciones. Jóvenes de Pachuca participaron en un taller de muralismo y plasmaron una obra artística en una avenida principal de la colonia Aquiles Serdán. AUDIO DE APOYO</t>
  </si>
  <si>
    <t>Muralismo</t>
  </si>
  <si>
    <t>Habitantes, especialistas y colectivos ambientalistas reiteraron su rechazo al proyecto de urbanización previsto en la unidad de gestión ambiental 107 durante el foro por el rescate del Cerro de Cubitos realizado a domingo en Pachuca. Los participantes advirtieron que el desarrollo habitacional podría generar afectaciones , AUDIO APOYO</t>
  </si>
  <si>
    <t>Proyecto de urbanización</t>
  </si>
  <si>
    <t>La secretaria del Medio Ambiente y Recursos Naturales, Mónica Mixtega señalo tambien durante la conferencia de presna que la autorización que dio la setaría a la empresa que opera el relleno sanitario de Tula “El nuevo relleno”, cumple con todos los requisitos de la normativa, AUDIO APOYO</t>
  </si>
  <si>
    <t>El nuevo relleno sanitario de Tula fue tema hoy durante la conferencia de prensa del gobierno de Hidalgo, fue la secretaria del Medio Ambiente y Recursos Naturales, Mónica Mixtega, quien dejó en claro que el nuevo relleno sanitario de Tula se encuentra a más de cuatro kilómetros de los manantiales de Cerro Colorado.AUDIO APOYO</t>
  </si>
  <si>
    <t>Radioescucha pregunta: ¿En dónde se puede denunciar una casa que se roba el agua y la luz desde hace muchos años?</t>
  </si>
  <si>
    <t>Robo De Agua</t>
  </si>
  <si>
    <t>El conductor Jesús Gonzalez recordo que la consulta popular fue aprobada por el Congreso de Hidalgo y será organizada por el Instituto Estatal Electoral del Estado de Hidalgo. Está programada para llevarse a cabo el 6 de junio de 2027, de manera simultánea con la jornada electoral y la ciudadanía responderá a la pregunta ¿deben prohibirse las corridas de toros en el estado de Hidalgo con las opciones sí o no?</t>
  </si>
  <si>
    <t>Tauromaquia</t>
  </si>
  <si>
    <t>La presidenta de la Comisión de Derechos Humanos del Estado de Hidalgo, Ana Karen Parra Bonilla, señaló que el organismo no puede, por el momento, impugnar el proceso de consulta popular relacionado con la permanencia o eventual prohibición de la tauromaquia aquí en el estado, al precisar que dicha acción no se encuentra dentro de sus facultades legales, AUDIO APOYO</t>
  </si>
  <si>
    <t>CDHEH</t>
  </si>
  <si>
    <t>Un joven de 16 años de edad resultó lesionado tras un incidente ocurrido operativo relámpago de la Policía Municipal de Tizayuca en el fraccionamiento Rancho Don Antonio Quma. El hecho es investigado por las autoridades. En redes sociales circuló un video en el que se observa el momento en que una patrulla municipal impacta una motocicleta en la que viajaba el adolescente, quien derrapa sobre la vialidad y posteriormente es llevado a una clínica con una posible fractura.Sobre lo ocurrido, el gobierno municipal de Tizayuca informó que elementos de tránsito marcaron el alto al conductor de la motocicleta al señalar que circulaba a exceso de velocidad, sin placas y sin el equipo de seguridad obligatorio. Según la versión oficial, el joven ignoró la indicación de detenerse, intentó escapar y perdió el control de la unidad, lo que provocó el derrape.</t>
  </si>
  <si>
    <t>Atropellamiento</t>
  </si>
  <si>
    <t>Elementos de la Secretaría de Seguridad Pública del Estado de Hidalgo (SSPH) detuvieron a un hombre identificado como presunto generador de violencia en la región de Tula de Allende, a quien le fueron aseguradas diversas dosis de presunta droga, un arma de fuego y cartuchos útiles.De acuerdo con información oficial, mediante trabajos de inteligencia operativa, personal del Centro de Control, Comando, Comunicaciones, Cómputo, Coordinación e Inteligencia (C5i) identificó a un objetivo prioritario que se desplazaba a bordo de una camioneta con vidrios polarizados.Tras obtener la información, agentes estatales implementaron acciones de búsqueda y localización en la colonia El Carmen, donde ubicaron la unidad circulando presuntamente a exceso de velocidad, motivo por el cual le marcaron el alto para efectuar una inspección preventiva.Durante la revisión, los oficiales localizaron un arma corta calibre 9 milímetros abastecida con cartuchos útiles, además de 166 dosis de una sustancia con características similares a la cocaína y 150 dosis de hierba verde con características propias de la marihuana.En total, las autoridades aseguraron 316 dosis de presunta droga, así como el arma de fuego y la camioneta en la que viajaba el individuo.</t>
  </si>
  <si>
    <t>Sobre el tema de la manifestacion de vecinos de la colonia Javier Rojo Gómez . El gobernador Julio Menchaca Salazar afirmó que su administración mantendrá el respeto al derecho de manifestación. Sin embargo, subrayó que también es responsabilidad del gobierno garantizar el libre tránsito de la población.</t>
  </si>
  <si>
    <t>Desalojo de manifestantes</t>
  </si>
  <si>
    <t>Hoy la Unidad de Pemex se encuentra frente a la presidencia municipal de Tula y en los siguientes días va a recorrer algunas comunidades. La directora de Salud Municipal de Tula, María Fernanda Sánchez Segura, informó sobre de los servicios que brindan la Unidad de Pemex y que es un servicio gratuito conjunto a la presidencia municipal y Pemex, AUDIO APOYO</t>
  </si>
  <si>
    <t>Atención médica</t>
  </si>
  <si>
    <t>El presidente municipal de Tula, Cristhian Martínez, anunció la rehabilitación del bulevar Refinería a cargo de PEMEX y el Gobierno de Hidalgo. AUDIO APOYO</t>
  </si>
  <si>
    <t>Rehabilitación Vial</t>
  </si>
  <si>
    <t>Especialistas del Instituto Nacional de Antropología e Historia (INAH) realizaron un importante hallazgo arqueológico durante trabajos de salvamento en Tula de Allende, Hidalgo, donde fue localizada una gran estructura prehispánica, además de relieves procedentes de la Pirámide B y diversos entierros humanos que aportan nueva información sobre la continuidad de la tradición tolteca.Las excavaciones, efectuadas en la colonia 16 de Enero, a pocos metros de la Zona Arqueológica de Tula, permitieron identificar un edificio de aproximadamente 3 mil 200 metros cuadrados, decorado con representaciones de chalchihuites, símbolo asociado con el agua y la fertilidad.Entre las piezas recuperadas destacan dos lápidas esculpidas con las imágenes de Tlahuizcalpantecuhtli y un felino, las cuales, según los investigadores, fueron retiradas en la antigüedad de la Pirámide B y reutilizadas por habitantes de la periferia para reforzar su vínculo con el legado tolteca.Los trabajos también revelaron una amplia variedad de materiales fechados entre los años 1100 y 1521 d.C., entre ellos cerámica, herramientas de hueso, cuentas ornamentales, sellos y figurillas relacionadas con prácticas rituales, AUDIO APOYO</t>
  </si>
  <si>
    <t>Vestigios Arqueológicos</t>
  </si>
  <si>
    <t>Al respecto de la Búsqueda de trabajadores de CFE, el gobernador Julio Menchaca confirmó que las labores de búsqueda permitieron localizar las camionetas en las que viajaban ambos trabajadores en Acaxochitlán, AUDIO APOYO JMS</t>
  </si>
  <si>
    <t>Búsqueda de personas</t>
  </si>
  <si>
    <t>El Comité de Seguridad mantiene coordinación con la Fiscalía General de la República y autoridades de Puebla para localizar a dos trabajadores de la Comisión Federal de Electricidad desaparecidos. Como parte de las investigaciones ya fueron ubicados dos vehículos en Acaxochitlá, mientras familiares de las víctimas realizaron una protesta para exigir avances en la investigación, AUDIO FAMILIARES</t>
  </si>
  <si>
    <t>Gabinete de Seguridad de Hidalgo consolida atención a emergencias mediante el C5i</t>
  </si>
  <si>
    <t>Reunión Gabinete De Seguridad</t>
  </si>
  <si>
    <t>Julio Menchaca promueve un Hidalgo incluyente, AUDIO APOYO</t>
  </si>
  <si>
    <t>Mundial Social deja inversión histórica y nuevos espacios para miles de jóvenes en Hidalgo, AUDIO APOYO</t>
  </si>
  <si>
    <t>Gobierno de Hidalgo refuerza acciones preventivas ante pronóstico de lluvias fuertes</t>
  </si>
  <si>
    <t>Prevención De Riesgos</t>
  </si>
  <si>
    <t>Con presupuesto récord, Hidalgo fortalece la protección de su riqueza natural, AUDIO APOYO</t>
  </si>
  <si>
    <t>Enfoque Regional Vespertino</t>
  </si>
  <si>
    <t>Vecinos de la colonia Rojo Gómez bloquearon los bulevares del Minero y Colosio en Pachuca para exigir la atención inmediata al colapso del drenaje en la vía Tierra y Libertad. Los manifestantes denunciaron que las aguas negras han ingresado a sus viviendas desde la primera inundación registrada el pasado 3 de junio, lo que representa un grave riesgo sanitario para las familias e infiltraciones en las paredes y pisos. Demandaron una solución urgente y la verificación de los daños materiales por parte de las autoridades municipales y de las dependencias estatales correspondientes. El cierre vial provocó molestias entre los automovilistas y requirió la presencia de elementos de la policía municipal. AUDIO APOYO</t>
  </si>
  <si>
    <t>Obra inconclusa</t>
  </si>
  <si>
    <t>Una fuerte movilización de los cuerpos de emergencia se registró tras el reporte de un incendio en un deshuesadero de autos ubicado sobre la carretera Mixquiahuala-Tlahuelilpan. El siniestro fue detectado durante la madrugada de este martes por recorridos de vigilancia de la policía municipal, al observar que el fuego consumía varios vehículos almacenados en el inmueble. Elementos de Protección Civil y Bomberos de Mixquiahuala acudieron prontamente al sitio para controlar las llamas y evitar que se propagaran a áreas aledañas. Hasta el momento, las causas que originaron el incendio siguen siendo desconocidas y, afortunadamente, no se reportan personas lesionadas.</t>
  </si>
  <si>
    <t>Control de incendios</t>
  </si>
  <si>
    <t>Pobladores y vecinos de Santa María Magdalena realizaron un bloqueo al transporte público en rechazo a un incremento irregular en la tarifa del servicio, el cual alcanzó un 40% en el costo del pasaje. El conductor del espacio, Rodolfo López Mera, señaló que esta situación de abusos tarifarios se ha repetido en municipios del Valle del Mezquital y de la región de Tula. Mientras que el gobierno estatal y la SEMOT autorizaron un ajuste del 20%, los concesionarios de esta localidad elevaron el pasaje de forma arbitraria de 12 a 17 pesos. Los manifestantes ya fueron atendidos por las autoridades correspondientes. Se reiteró el llamado a la ciudadanía a denunciar formalmente ante la SEMOT cualquier cobro excesivo y se recordó que las unidades deben exhibir los documentos oficiales del aviso de incremento, censurando prácticas como las de Actopan, donde los choferes imprimieron hojas improvisadas para imponer tarifas ilegales.</t>
  </si>
  <si>
    <t>Las labores de búsqueda continúan en la zona limítrofe entre Puebla e Hidalgo tras la desaparición de Marco Antonio Sarmiento García, de 60 años, y Adolfo López Saldaña, de 40 años, ambos trabajadores de la Comisión Federal de Electricidad (CFE). Los empleados perdieron comunicación mientras se trasladaban en una camioneta oficial para realizar labores en la red eléctrica; salieron desde el municipio de Huauchinango la mañana del pasado 26 de junio y dejaron de responder llamadas y mensajes. Al respecto, el gobernador Julio Menchaca Salazar informó que el director regional de la CFE mantiene contacto directo con él y que, según los reportes, se sabe que los trabajadores sufrieron la ponchadura de una llanta antes de perder el contacto. Confirmó que los vehículos ya fueron localizados y que la Secretaría de Seguridad Pública de Hidalgo trabaja en coordinación con las autoridades de Puebla para hacer todos los esfuerzos por localizarlos.</t>
  </si>
  <si>
    <t>El gobernador de Hidalgo, Julio Menchaca Salazar, hizo un llamado de solidaridad para apoyar a Venezuela tras los terremotos que devastaron varias regiones de ese país. Recordó que el pueblo de México ha sido beneficiario de la solidaridad de otras entidades y grupos sociales durante contingencias pasadas, como la vaguada del año pasado, por lo que invitó a corresponder el apoyo. Vinculado a este tema, un rescatista hidalguense de la brigada Topos Azteca forma parte de la misión humanitaria mexicana que ya brinda apoyo en la zona de desastre. El voluntario Miguel Jiménez, de profesión veterinario y originario del estado de Hidalgo, se integró al contingente internacional especializado en búsqueda y rescate en estructuras colapsadas con el objetivo de localizar sobrevivientes y ayudar a las comunidades afectadas por la emergencia. Se prevé que las tareas de rescate se extiendan por al menos tres meses. AUDIO DE APOYO</t>
  </si>
  <si>
    <t>En Hidalgo se fortalece la política de inclusión para las personas con discapacidad. Durante el Segundo Congreso de las Personas Servidoras Públicas con Discapacidad, el gobernador Julio Menchaca Salazar aseguró que la entidad impulsa acciones pioneras como el apoyo para personas cuidadoras y convenios para respaldar a este sector. El mandatario informó que en el estado viven cerca de 166,000 personas con discapacidad y destacó la creación de la primera Dirección General de Atención a este sector, además de infraestructura deportiva accesible para el desarrollo e inclusión. El estado se encuentra dentro de las entidades federativas que tienen convenio para el respaldo y apoyo a las becas con personas con discapacidad. En el encuentro, autoridades federales, estatales y municipales coincidieron en que el Congreso permitirá impulsar nuevas políticas públicas y mecanismos de seguimiento para garantizar una participación plena de este sector en la vida pública. AUDIO DE APOYO</t>
  </si>
  <si>
    <t>El Gabinete de Seguridad de Hidalgo destacó los resultados obtenidos a través del C5i en la atención y combate a la delincuencia. El gobernador Julio Menchaca Salazar informó que, mediante una videollamada al 911, un operador asistió con éxito el parto de una mujer, mientras que en otro caso se evitó que un hombre atentara contra su vida en Pachuca. Además, la videovigilancia permitió detener a tres presuntos responsables del robo de una motocicleta. En operativos contra el robo de hidrocarburo fueron asegurados hombres, más de 47,000 litros de combustible, vehículos y contenedores. También se detuvo a 17 personas por narcomenudeo y fue capturado un presunto generador de violencia con droga, un arma y una camioneta. En materia de protección civil, las lluvias provocaron la caída de bardas y diversos encharcamientos en diez municipios, por lo que el Comité Estatal de Emergencias permanece en sesión permanente para atender cualquier contingencia.</t>
  </si>
  <si>
    <t>Comenta el conductor Eulalio Larrieta, en Boulevard el Minero: “Necedad del transporte público”. Tiene una bahía para estacionarse y recoger pasaje, pero no les gusta; forzosamente lo hacen en arroyo vehicular. “AGUAS”, pueden ocasionar un accidente grave, esto frente a Soriana por el tutelar.Transporte público, una vuelta en ese punto.</t>
  </si>
  <si>
    <t>Queja transporte público</t>
  </si>
  <si>
    <t>Comenta el conductor Eulalio Larrita que le preguntan: "¿Qué pasó en el tianguis de venta de autos en las instalaciones de la feria?" Todos se creen dueños; tenemos que entender esa parte, solo les dan el chance de vender un rato, y resulta que ellos te tienen que designar qué puedes vender y qué no. Promotora de eventos de la feria… AGUAS CON ESO; SI AQUÍ ME LLEGAN CON UN DOCUMENTO QUE ME DIGA QUE LA OEEH ME ESTÁ DANDO LA CONCESIÓN, PUES NO PASA NADA, LES INFORMAMOS. Señores de las instalaciones de la feria, pónganse a chambear bien y no se metan en otras cosas.</t>
  </si>
  <si>
    <t>Tianguis de autos</t>
  </si>
  <si>
    <t>Radioescucha reporta falta de agua en el Mercado Francisco I.Madero</t>
  </si>
  <si>
    <t>Radioescucha solo para informar que ya tenemos agua desde las 2 de la madrugada en Nicolás Bravo y a primera hora vino Caasim a checar si teníamos agua</t>
  </si>
  <si>
    <t>Radioescucha pregunta ¿Si es verdad que dieron prologa para registrar los números de celulares?. Comenta conductor Eulalio Larrieta que si, que dieron una prologa y se tiene que registrar de acuerdo a la unicial de tu apellido</t>
  </si>
  <si>
    <t>La Comisión Nacional del Agua (Conagua), a través de su Dirección Local Hidalgo, realiza maniobras programadas y controladas de trasvase de la presa Javier Rojo Gómez a la presa Vicente Aguirre por medio de un desfogue controlado de hasta 1.9 metros cúbicos por segundo (m3/s).</t>
  </si>
  <si>
    <t>Desfogue De Presa</t>
  </si>
  <si>
    <t>El Instituto Mexicano del Seguro Social (IMSS) en Hidalgo recomienda a hombres acudir a revisión médica cada 2 años para identificar de manera oportuna alguna enfermedad relacionada con la próstata.La próstata es la glándula masculina que se encuentra debajo de la vejiga, produce el líquido que transporta los espermatozoides durante la eyaculación y rodea la uretra, que es el conducto por donde sale la orina.</t>
  </si>
  <si>
    <t>Prevención De Enfermedades</t>
  </si>
  <si>
    <t>En conferencia de prensa, Mónica Mixtega, titular de la Secretaría de Medio Ambiente y Recursos Naturales de Hidalgo, informó sobre los avances del proceso de saneamiento forestal que se lleva a cabo en el Parque Nacional El Chico, detalló que se han saneado 26.747 metros cúbicos de madera contaminada y se han intervenido hectáreas afectadas por el insecto descortezador. También se impulsa la reforestación del Parque Nacional El Chico, con una meta de 20.000 árboles de oyemel y especies nativas, de los cuales ya se han plantado 17.000 ejemplares, para fortalecer la restauración ambiental y la conservación de los servicios ecosistémicos, AUDIO APOYO</t>
  </si>
  <si>
    <t>Protección ambiental</t>
  </si>
  <si>
    <t>La Comisión de Búsqueda de Personas del Estado de Hidalgo emitió una fecha de localización para Yanely Tamar Torres Valencia, de 18 años de edad, a quien se le vio por última vez el pasado 26 de junio en el municipio de Tepeaculco, por lo que solicitan el apoyo del gobierno estatal y de la Secretaría de Seguridad Pública para revisar las cámaras que puedan aportar información para su localización. Yanely Camar Torres Valencia viste pantalón de mezclilla color azul, playera o sudadera color negro y tenis color azul con blanco, como señas particulares, usa brackets, tiene una cicatriz en la pierna izquierda, producida por una picadura de araña, y tiene cicatrices por cortadas en brazo y muñeca izquierda</t>
  </si>
  <si>
    <t>Ficha De Búsqueda</t>
  </si>
  <si>
    <t>Desde el pasado viernes 26 de junio, dos trabajadores de la Comisión Federal de Electricidad se encuentran en calidad de desaparecidos. De acuerdo con las fichas de búsqueda de la Comisión de Búsqueda del Estado de Hidalgo, fueron vistos por última vez en el municipio de Acaxochitlán, se trata de Adolfo López de 40 años de edad, y Marco Antonio Sarmiento de 60 años, quienes salieron a trabajar con dirección a Huautzinango, Puebla. La CFE emitió un comunicado en el que asegura colaborar con las autoridades y brindar todo el apoyo necesario a las familias de los trabajadores.Al respecto, el gobernador Julio Menchaca confirmó que las labores de búsqueda permitieron localizar las camionetas en las que viajaban ambos trabajadores en Acaxochitlán. En estas labores de localización participa la Comisión Nacional de Búsqueda, Comisión de Búsqueda de Puebla, SSPH, Policía Municipal de Acaxochitlán y Mineral de la Reforma, así como familiares de las personas reportadas como desaparecidas, AUDIO APOYO JMS</t>
  </si>
  <si>
    <t>Atención a la ciudadanía</t>
  </si>
  <si>
    <t>Eulalio Larrieta agradece a Jair Martínez de la SEGOBH, porque esta al pendiente de lo que se necesite y los reportes</t>
  </si>
  <si>
    <t>Vía telefónica Mónica Mixtega secretaria del Medio Ambiente y Recursos Naturales con el tema : Relleno Sanitario de Tula. La secretaria de Medio Ambiente y Recursos Naturales de Hidalgo, Mónica Mixtega Trejo, confirmó y aclaró el estatus definitivo del nuevo relleno sanitario de Tula de Allende. Explicó que este proyecto inició formalmente su solicitud en el año de 2024 y que su proceso de revisión integral tardó cerca de año y medio para el otorgamiento del permiso. Recalcó de manera contundente que este permiso no se otorgó de la noche a la mañana y que cuenta con diversos y exhaustivos estudios especializados dentro de su expediente, entre los que destacan el geológico, el geo-hidrológico, el topográfico, el geotécnico, así como los estudios de generación y composición, de generación de biogás y de generación de lixiviados. El objetivo prioritario de esta infraestructura es garantizar una disposición final segura de los residuos sólidos y prevenir de manera absoluta los riesgos tanto ambientales como sanitarios de la región. Finalmente, Mónica Mixtega lanzó una alerta sobre la alarmante situación ambiental de la zona, informando que mediante inspecciones derivadas de denuncias ciudadanas se tienen contabilizados al menos siete tiraderos a cielo abierto en la región de Tula. Denunció la gravedad de haber encontrado basureros clandestinos a escasamente 500 metros de los manantiales, lo cual representa una contaminación directa e inminente. Hizo una invitación urgente a los presidentes municipales de Tlaxcoapan, Atitalaquia, Tlahuelilpan y todas las localidades vecinas a concientizarse, coordinarse de manera regional para conjugar recursos o realizar rellenos municipales adecuados, advirtiendo que los municipios ya no pueden seguir operando con tiraderos a cielo abierto ni gastando dinero que no alcanza para trasladar sus residuos a otros estados.</t>
  </si>
  <si>
    <t>Entrevista pautada</t>
  </si>
  <si>
    <t>TV Cable hidalguense Canal 6</t>
  </si>
  <si>
    <t>Contigo Noticias</t>
  </si>
  <si>
    <t>SSPH asegura 38 mil 700 litros de hidrocarburo de procedencia ilegal en Pachuca</t>
  </si>
  <si>
    <t>Juan Carlos Santamaria</t>
  </si>
  <si>
    <t>Operador del 911 del C5i Hidalgo asiste parto mediante videollamada</t>
  </si>
  <si>
    <t>La Contraloría camina junto a la gente para vigilar las obras, fortalecer los valores y acompañar el desarrollo comunitario</t>
  </si>
  <si>
    <t>Contraloría</t>
  </si>
  <si>
    <t>Contraloría Social</t>
  </si>
  <si>
    <t>El Programa “Fortalecimiento de la Vinculación y Movilidad Laboral, Primero el Pueblo” apoya a 653 personas</t>
  </si>
  <si>
    <t>STPSH</t>
  </si>
  <si>
    <t>Movilidad laboral</t>
  </si>
  <si>
    <t>Inhjuve combate la delincuencia con arte mediante la Jornada Nacional de Murales y Mosaicos</t>
  </si>
  <si>
    <t>Secturh impulsa el turismo inclusivo</t>
  </si>
  <si>
    <t>Mundial Social deja inversión histórica y nuevos espacios para miles de jóvenes en Hidalgo</t>
  </si>
  <si>
    <t>Como parte del ejercicio informativo que el gobierno del estado de Hidalgo realiza cada inicio de semana, este lunes 29 de junio a las 9:00 se llevó a cabo la conferencia matutina en la Sala del Pueblo del edificio de gobierno. La sesión fue encabezada por Mónica Mixtega Trejo, secretaria de Medio Ambiente y Recursos Naturales de Hidalgo; Erika Ortigoza, directora de la Comisión Estatal de la Biodiversidad; y Edmundo Méndez Tejada, presidente municipal de Mineral del Monte. Previo al inicio de la conferencia, las autoridades realizaron un llamado a la población para sumarse a la campaña de acopio impulsada por Caasim, en apoyo a las personas afectadas por la reciente tragedia ocurrida en Venezuela. Los centros de recepción permanecerán habilitados en distintos puntos de Pachuca, entre ellos las oficinas centrales del sistema DIF Hidalgo, el Hospital del Niño DIF en el centro de rehabilitación de Hidalgo y la sucursal La Paz de Caasim. En su participación, Mónica Mixtega Trejo, Secretaria de Medio Ambiente y Recursos Naturales de Hidalgo, informó sobre las acciones de saneamiento forestal y los trabajos de reforestación que se desarrollan en distintas regiones de la entidad, precisando que estas labores se realizan con base en dictámenes técnicos y notificaciones oficiales, con el objetivo de preservar la salud de los ecosistemas y fortalecer la recuperación de las áreas verdes. Por su parte, Erika Ortigosa, directora de la Comisión Estatal de Biodiversidad, destacó que la administración estatal ha destinado un presupuesto histórico para la conservación de la biodiversidad alcanzando una inversión acumulada de 17 millones 30 mil pesos recursos que permitirán fortalecer proyectos de protección ambiental. Finalmente, Edmundo Méndez Tejada, Presidente Municipal de Mineral del Monte, anunció la instalación de dos nuevas canchas de fútbol 5 en Real del Monte, infraestructura que busca fomentar la activación física, ampliar los espacios deportivos para niñas, niños y jóvenes e impulsar la realización de torneos municipales e intermunicipales como parte de la estrategia para fortalecer el tejido social a través del deporte.</t>
  </si>
  <si>
    <t>Mañanera de Hidalgo</t>
  </si>
  <si>
    <t>El gobernador de Hidalgo Julio Menchaca Salazar señaló que, tras la denuncia por la desaparición de dos trabajadores de la Comisión Federal de Electricidad (CFE) en los límites de Hidalgo y Puebla, se mantiene un despliegue de búsqueda, en el que el Gobierno del Estado ha brindado todo el apoyo a la Fiscalía General de la República (FGR), instancia que ya atrajo el caso.</t>
  </si>
  <si>
    <t>Hoy lunes 29 de junio, a las 11:00 se llevó a cabo el segundo Congreso Nacional de Personas Servidoras Públicas con Discapacidad en las instalaciones del Tecnológico de Monterrey, campus Pachuca. El encuentro reunió autoridades de los distintos órdenes de gobierno, legisladores y representantes de instituciones públicas con el propósito de fortalecer políticas de inclusión, eliminar barreras y promover un servicio público cada vez más representativo de la sociedad. Durante la jornada se destacó la importancia de generar espacios de diálogo e intercambio de experiencias que permitan impulsar una mayor participación de las personas con discapacidad en la vida pública, garantizando condiciones de igualdad, accesibilidad y pleno ejercicio de sus derechos. Ivonne Espitia, regidora del ayuntamiento de Pachuca de Soto, reconoció el compromiso de mujeres y hombres que desde el servicio público trabajan por una sociedad más incluyente y agradeció el esfuerzo conjunto de las instituciones para avanzar en esta agenda. Por su parte, Alfonso Hayyim Flores Barrera, Director General de Inclusión para las Personas con Discapacidad, señaló que la inclusión representa una oportunidad para abrir espacios, generar desarrollo y construir una sociedad donde la empatía y la participación sean responsabilidad de todas y todos. Así mismo, Jorge Reyes, presidente municipal de Pachuca de Soto, refrendó el compromiso de la administración capitalina para continuar impulsando acciones que favorezcan la accesibilidad, la inclusión y la construcción de una ciudad con mayores oportunidades para todas las personas. Para concluir el congreso, Julio Menchaca Salazar, gobernador constitucional del estado de Hidalgo, reiteró que la construcción de una sociedad verdaderamente incluyente exige eliminar barreras, ampliar oportunidades y garantizar que todas las personas participen en igualdad de condiciones. Asimismo, refrendó el compromiso de su administración para continuar impulsando políticas públicas que coloquen la dignidad, la accesibilidad y los derechos humanos como ejes fundamentales del desarrollo de Hidalgo.</t>
  </si>
  <si>
    <t>Abre Museo del Santo una exposición que todo aficionado a la lucha libre debe conocer. La muestra reúne máscaras originales utilizadas por destacados luchadores y rinde homenaje al legado del Enmascarado de Plata. Con una permanencia inicial de dos semanas, con posibilidad de extenderse debido al interés del público, este martes se inaugurará en el Museo del Santo la exposición "El Rostro del Combate: El Legado del Enmascarado de Plata", una extraordinaria colección de máscaras de lucha libre facilitada en comodato por un coleccionista tulancinguense. La exposición reúne máscaras originales utilizadas por destacados luchadores de Tulancingo, así como una réplica de la emblemática máscara de El Santo, en homenaje al máximo ícono de la lucha libre mexicana, cuyo legado trascendió el cuadrilátero para convertirse en un referente del cine y la cultura popular. Esta nueva exhibición representa un atractivo adicional para quienes visitan el Museo del Santo, recinto inaugurado el 23 de septiembre de 2009, que resguarda más de 200 piezas relacionadas con la vida y trayectoria del legendario luchador.</t>
  </si>
  <si>
    <t>Exposición cultural</t>
  </si>
  <si>
    <t>En cabina Diana Esmeralda Peña Canales, directora general de Inclusión para Personas con Discapacidad y Personas Cuidadoras en Tulancingo, informa que han dado capacitación 2 mil 600 personas sobre inclusión y detalla las labores que hacen en su área, como la otorgación de proyector productivos y vinculación laboral. Asimismo dijo que el 6 de junio a las 11 de la mañana en el Hotel La joya, junto con la Secretaría de Turismo se dará una plática sobre turismo incluyente.</t>
  </si>
  <si>
    <t>Estudiantes de la UPT destacan en Expo Regional Emprendedora</t>
  </si>
  <si>
    <t>Encuentro académico</t>
  </si>
  <si>
    <t>La secretaria de Medio Ambiente y Recursos Naturales de Hidalgo (Semarnath), Mónica Mixtega Trejo, aseguró que el nuevo relleno sanitario de Tula de Allende no será clausurado únicamente por el rechazo manifestado por un sector de la población, al sostener que el proyecto cumple con la totalidad de los requisitos establecidos en la normatividad ambiental. La funcionaria informó que la empresa responsable de la operación del sitio acreditó el cumplimiento del 100 por ciento de las disposiciones ambientales exigidas para este tipo de infraestructura. Entre las medidas implementadas, destacó la construcción de fosas para el manejo de lixiviados, sistemas de control de biogás y una ubicación que se encuentra a más de cuatro kilómetros de los manantiales de Cerro Colorado, distancia que supera ampliamente los 500 metros mínimos establecidos por la legislación aplicable. Mixtega Trejo manifestó su confianza en que el conflicto pueda resolverse mediante el diálogo y expresó su deseo de que la oposición al proyecto no responda a intereses políticos o económicos ajenos a la protección del medio ambiente. Asimismo, descartó la realización de una consulta ciudadana sobre la operación del relleno sanitario, al señalar que el proyecto ya fue ajustado para atender exclusivamente las necesidades del municipio de Tula de Allende, con una capacidad aproximada de 70 toneladas diarias de residuos sólidos urbanos.</t>
  </si>
  <si>
    <t>La Secretaría de Medio Ambiente y Recursos Naturales de Hidalgo (Semarnath) informó que en Tezontepec de Aldama existen dos tiraderos a cielo abierto y un sitio clandestino donde se realizan maniobras de manejo de residuos, situación que calificó como un problema ambiental que requiere atención inmediata. Durante la conferencia del Gobierno estatal, la titular de la dependencia, Mónica Mixtega Trejo, explicó que estos puntos se ubican en la cabecera municipal y en la comunidad de El Huitel, además de un tercer espacio donde presuntamente se realiza el traspaleo ilegal de basura. La funcionaria señaló que algunos de estos lugares operan cerca de viviendas, escuelas, comercios, manantiales y centros de salud, lo que incrementa el riesgo de contaminación para la población. Agregó que uno de los sitios carece de geomembrana y de sistemas para controlar los lixiviados y gases que generan los residuos. Las declaraciones se dieron en el contexto de la oposición que habitantes y autoridades de Tezontepec mantienen contra el relleno sanitario que se construye en Tula de Allende. Sobre este proyecto, Mixtega Trejo aseguró que la Semarnath solicitó a la Comisión Nacional del Agua la realización de estudios técnicos independientes para despejar las dudas sobre un posible impacto en los mantos acuíferos. Asimismo, indicó que la dependencia revisará los resultados de esos análisis y, en caso de que contradigan la información con la que se autorizó el proyecto, existe la posibilidad de revocar el permiso ambiental. Finalmente, la secretaria hizo un llamado a que el debate sobre el relleno sanitario se base en criterios técnicos y ambientales, al tiempo que insistió en que también deben atenderse los problemas de disposición final de residuos que actualmente enfrenta Tezontepec de Aldama.</t>
  </si>
  <si>
    <t>Daniel Martínez respecto al Parque fotovoltaico de Singuilucan dice que se contradicen en sus declaraciones el secretario de Desarrollo Económico, Carlos Henkel y el de Desarrollo Agropecuario, Napoleón González para justificar la construcción de este parque. Napoleón Gonzáles decía que las celdas iban a ser colocadas a una altura tal que no iba a afectar los cultivos y Carlos Henkel decía que en esa zona "Casi, casi, había cerro pelón".</t>
  </si>
  <si>
    <t>Saderh</t>
  </si>
  <si>
    <t>Parque Fotovoltaico</t>
  </si>
  <si>
    <t>Sedeco</t>
  </si>
  <si>
    <t>Ante la inconformidad de la población, un proyecto fotovoltaico que pretendía ocupar cerca de 196 hectáreas de terrenos agrícolas en Singuilucan, además de generar 118 megawatts de energía eléctrica y operar durante 25 años, quedará archivado luego de que la empresa Desarrollos Fotovoltaicos de México del Centro presentó el desistimiento de evaluación de impacto ambiental. Según la organización El maguey, la casa de todos, en Singuilucan, Epazoyucan y Zempoala hay siete proyectos más en diferentes fases, que ocuparían 3 mil hectáreas, con más de 3 millones de paneles solares. Los más avanzados son Saturno Solar, Akuwa Solar y Delfín Solar, de Dhamma Energy. De acuerdo a la Dirección General de Impacto y Riesgo Ambiental (DGIRA), Desarrollos Fotovoltaicos de México del Centro se desistió de la evaluación de impacto ambiental del proyecto Parque Solar Tulancingo. Durante noviembre de 2025, la empresa buscaba obtener la autorización; sin embargo, en el análisis técnico la DGIRA solicitó información adicional. Antes de que concluyera ese procedimiento, la firma optó por desistirse de la solicitud. El estudio detalla que el Parque Solar Tulancingo contemplaba una subestación de 230 kilovoltios y conectarse a la línea de transmisión Pachuca Potencia de la Comisión Federal de Sería construido en una superficie destinada a actividades agrícolas, por lo que la empresa sostenía que no sería necesario realizar el cambio de uso de suelo en terrenos forestales. Contemplaba un trienio para la preparación del sitio y construcción, operación de 25 años y dos más adicionales para el desmantelamiento y cierre. Habitantes, campesinos, colectivos ambientales y activistas de Singuilucan y Epazoyucan han protestado bajo el lema Marcha del Color del Maguey, ante la instalación de los parques fotovoltaicos. La primera movilización fue en Epazoyucan en octubre de 2024, una segunda en Pachuca en julio de 2025 y una tercera en la Ciudad de México en octubre del mismo año. Argumentaron que la instalación de paneles solares representa una amenaza para los ecosistemas locales, los magueyales y las actividades agrícolas que sostienen la economía familiar. Señalaron posibles afectaciones a la recarga de mantos acuíferos, así como al oficio tradicional de los tlachiqueros, actividad que consideran parte fundamental de la identidad regional.</t>
  </si>
  <si>
    <t>El próximo miércoles 1 de julio se dará a conocer quién será el encargado de la obra del Salón del Plenos del Congreso de Hidalgo, en cuyo proceso de licitación sólo se recibió una propuesta por más de 86.1 millones de pesos, sin contemplar IVA. La construcción tendrá un plazo de ejecución de un año. Pese a que tras la emisión de la licitación pública tres empresas se inscribieron en el proceso, dos de ellas acudieron a la junta de aclaraciones, y al final sólo una asistió a la presentación y apertura de proposiciones que es Grupo Arsan Constructores S.A. de C.V. La propuesta que hizo la empresa local con domicilio fiscal en Pachuca, fue por un monto de 86 millones 168 mil 30.5 pesos, la cual no incluye el Impuesto de Valor Agregado (IVA), que haría subir el costo de inversión a casi los 100 millones de pesos previamente anunciados por el presidente de la Junta de Gobierno del Congreso local, Andrés Velázquez Vázquez. En el acto de presentación de propuestas realizado el pasado fin de semana, se dio a conocer que será el 1 de julio cuando se realice el acto de fallo, donde los encargados de la licitación pública con número EO-SIPDUS-N33-2026 darán a conocer si la empresa mencionada cumple o no con las especificaciones y requerimientos.</t>
  </si>
  <si>
    <t>Salón De Plenos</t>
  </si>
  <si>
    <t>Habitantes de la colonia Javier Rojo Gómez, en Pachuca, sostuvieron un diálogo con autoridades estatales y municipales luego del bloqueo realizado este lunes sobre los bulevares Colosio y Minero, donde expusieron las afectaciones que han sufrido en sus viviendas a consecuencia de las recientes lluvias y de las obras de drenaje en la zona. Durante la reunión, los vecinos señalaron la presencia de humedad en paredes, filtraciones de agua, daños en cisternas y hundimientos en algunas vialidades, situación que, advirtieron, podría representar un riesgo mayor si continúan las precipitaciones. Los habitantes solicitaron una revisión técnica de las viviendas afectadas y exigieron garantías para la reparación de los daños, además de la conclusión de las obras pendientes para evitar nuevas inundaciones en este sector de la capital hidalguense. En respuesta, autoridades municipales explicaron que durante los trabajos realizados en la colonia se detectó que la infraestructura existente únicamente contaba con drenaje sanitario, por lo que fue necesario incorporar un sistema pluvial debido al volumen de escurrimientos que se registra en la zona. Asimismo, se informó que la red sanitaria presentaba problemas de capacidad derivados del crecimiento urbano, situación que, sumada a una conexión temporal entre ambos sistemas de drenaje, provocó el desbordamiento de aguas residuales que afectó calles y viviendas. as autoridades señalaron que la primera etapa de la obra ya fue concluida, mientras que una segunda fase, a cargo del gobierno estatal, deberá pasar por el proceso de licitación y contratación para concretar la conexión definitiva del dren pluvial. Durante el encuentro, los vecinos cuestionaron cuándo iniciarán los nuevos trabajos. Al respecto, se indicó que los recursos para la obra ya fueron autorizados, aunque todavía no existe una fecha definida para el arranque de la siguiente etapa.</t>
  </si>
  <si>
    <t>Atención A Manifestantes</t>
  </si>
  <si>
    <t>Radioescucha, respecto a la información sobre que Julio Menchaca promueve un Hidalgo incluyente, comenta que si ya hubo una reunión para conocer cuáles son las políticas de trabajo que tienen consideradas directoras, directores, encargados de área, funcionarios o funcionarias que tiene algún tipo de discapacidad; si tanto preocupa que por qué no revisan el estado de las banquetas porque muchas están invadidas y es imposible moverse.</t>
  </si>
  <si>
    <t>Julio Menchaca promueve un Hidalgo incluyente</t>
  </si>
  <si>
    <t>Trabajadores de la Secretaría municipal de Desarrollo Urbano, Obras Públicas y Medio Ambiente en Tulancingo realizaron este fin de semana la colocación de malla sobre el camellón de Corredor Vial San José, a la altura de La Villita. Lo anterior para evitar que peatones crucen sobre dicha vialidad, provocando en ocasiones accidentes con personas lesionadas incluso de gravedad. En la zona donde fue colocada la malla existe un puente peatonal para permitir el paso sin riesgo a las personas que acuden a la escuela primaria “Judith H. Rueda de Villagrán”, así como a negocios y viviendas. Justamente los vecinos y comerciantes que se encuentran en la zona señalan que tan sólo en la semana más reciente se registraron entre 4 a 5 incidentes donde personas fueron golpeadas por automovilistas. Incluso en el mismo lapso de tiempo se registró un atropellamiento que no llegó a mayores, gracias a que el automovilista logró frenar al observar a la persona que en ese momento cruzaba por el Corredor Vial San José.</t>
  </si>
  <si>
    <t>Prevención de accidentes</t>
  </si>
  <si>
    <t>Una persona sin vida y una más lesionada, es el saldo de un ataque directo con arma de fuego, ocurrido en un negocio ubicado en el mercado Centilia, ubicado en la colonia Caltengo, en la ciudad de Tulancingo. El ataque armado se registró la tarde del lunes 29 de junio; extraoficialmente se conoce que el agresor o agresores llegaron al negocio realizando el ataque en forma directa, para huir de inmediato del lugar. Al sitio acudieron elementos policiacos, quienes localizaron a las víctimas; la persona fallecida quedó debajo de una camioneta que al parecer en ese momento estaba revisando. En el interior del mercado fue localizado un hombre que presentaba lesión de arma de fuego, la cual se localizaba en la pierna derecha, siendo trasladado para recibir atención médica. Se ha implementado operativo policiaco para la búsqueda y eventual localización y detención del responsable o responsables del ataque. Hasta el momento no se reporta detención alguna relacionada con la situación.</t>
  </si>
  <si>
    <t>Ataque Armado</t>
  </si>
  <si>
    <t>El Gobernador del Estado de Hidalgo, Julio Menchaca Salazar, ofreció reunirse con madres buscadoras, así como con familiares de personas desaparecidas para revisar cada uno de sus casos y darles seguimiento. Lo anterior fue declarado en entrevista, tras la manifestación realizada el domingo 28 de junio por parte de dichos familiares, así como colectivos sociales, demandando precisamente atención a los casos. En la manifestación señalaron que algunos casos tienen mucho tiempo sin que las autoridades a cargo de las investigaciones reporten avances. Al respecto, Menchaca Salazar señaló que además instruirá a sus colaboradores a dar la atención y seguimiento a los casos, de acuerdo a cada situación. Otra de las solicitudes por parte de los colectivos y familiares de personas desaparecidas es que se les permita ingresar a Ceresos, espacios de atención a la salud, entre otros espacios. Ello porque consideran que en estos podrían localizar a sus familiares con estatus de desaparecidos, o podrían existir indicios para seguir con las investigaciones respectivas. Menchaca Salazar aseguró que las denuncias por desaparición reciben seguimiento por parte de la Comisión de Búsqueda del Estado y la Procuraduría General de Justicia de Hidalgo. Agregó que cada semana el gabinete de seguridad revisa las fichas de búsqueda y los reportes de localización con objetivo de resolver cada caso que se presenta. Sobre la petición para que las personas buscadoras de sus familiares puedan contar con apoyo económico por parte de instancias gubernamentales, Menchaca Salazar reconoció que existen limitaciones presupuestales para otorgar dichos apoyos. Los manifestantes señalaron que requieren los apoyos económicos debido a que para realizar las labores de búsqueda han dejado sus empleos, o deben reducir sus actividades productivas, lo que afecta sus ingresos económicos. Menchaca Salazar aseguró que el gobierno estatal continuará brindando apoyo mediante personal especializado, equipo y coordinación con los municipios para las labores de búsqueda.</t>
  </si>
  <si>
    <t>Las labores para localizar a los trabajadores de la Comisión Federal de Electricidad (CFE), Adolfo López Saldaña y Marco Antonio Sarmiento García, continúan sin descanso en la región de Acaxochitlán, donde participan corporaciones de los tres niveles de gobierno en un operativo que se extiende por tierra y aire. El gobernador de Hidalgo, Julio Menchaca Salazar, informó que la desaparición ya es investigada por la Fiscalía General de la República (FGR), al tratarse de empleados de una empresa federal. La carpeta de investigación fue abierta por el delito de privación ilegal de la libertad. El mandatario explicó que, tras conocer el caso, sostuvo comunicación con directivos de la CFE, quienes le informaron que el último incidente reportado fue la ponchadura de una de las camionetas en las que se trasladaban los trabajadores, antes de que se perdiera todo contacto con ellos. Ante esta situación, se reforzó la coordinación entre las autoridades de Hidalgo y Puebla, ya que la desaparición ocurrió en una zona cercana a los límites de ambas entidades. En las tareas de búsqueda participan la Comisión de Búsqueda de Personas del Estado de Hidalgo, corporaciones de seguridad, autoridades federales y familiares de los trabajadores, quienes recorren distintos puntos con la esperanza de obtener información que permita encontrarlos.</t>
  </si>
  <si>
    <t>Vía telefónica Milton Cortés informa que vecinos de la Colonia de Santo Tomás en Zempoala, siguen molestos por la falta de servicios como es la falta de agua potable, esto debido al crecimiento desmedido de zonas habitaciones. Señalan que no dejarán de presionar al municipio para que mejore la seguridad y los dote servicios.</t>
  </si>
  <si>
    <t>En Héroes de Tizayuca los vecinos están preocupados por los tiraderos de basura y deshechos de fosa séptica que hay en terrenos aledaños, piden a las autoridades municipales y del Medio ambiente para que inhiban estas prácticas.</t>
  </si>
  <si>
    <t>Empresa contaminante</t>
  </si>
  <si>
    <t>Andrés Torres comenta que en Radio Tlanchinol en el 94.1 FM, no hay señal, esto debido a los cortes de energía eléctrica del lugar y tampoco se tiene combustible para las plantas de energía eléctrica.</t>
  </si>
  <si>
    <t>Radiodifusoras</t>
  </si>
  <si>
    <t>Andrés Torres comenta que el 1010 AM "El Vocero Huasteco" sigue fura del aire a más de dos meses, esto debido a que no se tiene el combustible para abastecer las plantas de energía y el transformador está averiado.</t>
  </si>
  <si>
    <t>Vecinos de la colonia Rojo Gómez bloquearon la mañana de este lunes los bulevares Minero y Colosio, a la altura del Monumento al Bombero, para exigir la reparación del drenaje que colapsó la semana pasada en la calle Tierra y Libertad y denunciar las afectaciones provocadas por el derrame de aguas negras. Horas más tardes entablaron un diálogo con personal de ayuntamiento y se retiraron del lugar.</t>
  </si>
  <si>
    <t>La tarde de este lunes habitantes de la comunidad de Dios Padre, municipio de Ixmiquilpan, se manifestaron en las instalaciones de la Procuraduría General de Justicia del Estado de Hidalgo (PGJEH), por el robo de más de un millón de pesos al administrador del Parque Acuático y por lo que piden se hagan las investigaciones correspondientes. Luego de ser atendidos se retiraron.</t>
  </si>
  <si>
    <t>Vía telefónica Milton Cortés informa que en Pachuca, la acumulación de bolsas de basura en las esquinas ha generado graves focos de infección y plagas de fauna nociva en múltiples colonias. Los vecinos afectados de las colonias Constitución y Santa Julia exigen la intervención de las autoridades para realizar recorridos de vigilancia y aplicar sanciones a quienes arrojan desechos fuera de los horarios de recolección</t>
  </si>
  <si>
    <t>Sanciones por basura</t>
  </si>
  <si>
    <t>Lleva CEDSPI atención visual gratuita a cuatro comunidades de la Huasteca hidalguense</t>
  </si>
  <si>
    <t>Salud Visual</t>
  </si>
  <si>
    <t>Impulsa IHE acciones para fortalecer la educación inicial</t>
  </si>
  <si>
    <t>Educación inicial</t>
  </si>
  <si>
    <t>Pobladores de Tasquillo mantienen bloqueos y cierres en la carretera a la altura de Portezuelo y la zona centro del municipio. La protesta inició tras el reporte del robo de una camioneta en la comunidad de San Pedro, exigiendo a las autoridades la recuperación inmediata del vehículo. La movilización busca presionar a las autoridades de seguridad para que agilicen las investigaciones, den una respuesta inmediata al caso y se logre localizar tanto la unidad como a los presuntos responsables. Al momento la circulación permanece seriamente afectada, ya que uno de los carriles se encuentra completamente cerrado, lo que ha provocado complicaciones y asentamientos para los automovilistas que transitan por dicha zona.</t>
  </si>
  <si>
    <t>SSPH asegura a 3 presuntos integrantes de una banda dedicada al robo de motocicletas en Pachuca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</si>
</sst>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28" tableType="queryTable" totalsRowShown="0">
  <autoFilter ref="A1:M128"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28"/>
  <sheetViews>
    <sheetView tabSelected="1" topLeftCell="A37" workbookViewId="0">
      <selection activeCell="B107" sqref="B107"/>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29"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46202</v>
      </c>
      <c r="B2" s="1" t="str">
        <f ca="1">IF(Información1[[#This Row],[Fecha]]='Ajuste de fechas'!$A$2,"Día actual","Día anterior")</f>
        <v>Día anterior</v>
      </c>
      <c r="C2" s="3" t="s">
        <v>16</v>
      </c>
      <c r="D2" t="s">
        <v>85</v>
      </c>
      <c r="E2" s="3" t="s">
        <v>86</v>
      </c>
      <c r="F2" s="3" t="s">
        <v>71</v>
      </c>
      <c r="G2" s="3" t="s">
        <v>87</v>
      </c>
      <c r="H2" s="3" t="s">
        <v>8</v>
      </c>
      <c r="I2" s="3" t="s">
        <v>7</v>
      </c>
      <c r="J2" s="3" t="s">
        <v>36</v>
      </c>
      <c r="K2" s="3" t="s">
        <v>88</v>
      </c>
      <c r="L2" s="3" t="s">
        <v>24</v>
      </c>
      <c r="M2">
        <v>1</v>
      </c>
    </row>
    <row r="3" spans="1:13" x14ac:dyDescent="0.25">
      <c r="A3" s="2">
        <v>46202</v>
      </c>
      <c r="B3" s="1" t="str">
        <f ca="1">IF(Información1[[#This Row],[Fecha]]='Ajuste de fechas'!$A$2,"Día actual","Día anterior")</f>
        <v>Día anterior</v>
      </c>
      <c r="C3" s="3" t="s">
        <v>55</v>
      </c>
      <c r="D3" t="s">
        <v>56</v>
      </c>
      <c r="E3" s="3" t="s">
        <v>89</v>
      </c>
      <c r="F3" s="3" t="s">
        <v>71</v>
      </c>
      <c r="G3" s="3" t="s">
        <v>90</v>
      </c>
      <c r="H3" s="3" t="s">
        <v>8</v>
      </c>
      <c r="I3" s="3" t="s">
        <v>14</v>
      </c>
      <c r="J3" s="3" t="s">
        <v>36</v>
      </c>
      <c r="K3" s="3" t="s">
        <v>57</v>
      </c>
      <c r="L3" s="3" t="s">
        <v>25</v>
      </c>
      <c r="M3">
        <v>1</v>
      </c>
    </row>
    <row r="4" spans="1:13" x14ac:dyDescent="0.25">
      <c r="A4" s="2">
        <v>46202</v>
      </c>
      <c r="B4" s="1" t="str">
        <f ca="1">IF(Información1[[#This Row],[Fecha]]='Ajuste de fechas'!$A$2,"Día actual","Día anterior")</f>
        <v>Día anterior</v>
      </c>
      <c r="C4" s="3" t="s">
        <v>55</v>
      </c>
      <c r="D4" t="s">
        <v>56</v>
      </c>
      <c r="E4" s="3" t="s">
        <v>91</v>
      </c>
      <c r="F4" s="3" t="s">
        <v>6</v>
      </c>
      <c r="G4" s="3" t="s">
        <v>92</v>
      </c>
      <c r="H4" s="3" t="s">
        <v>8</v>
      </c>
      <c r="I4" s="3" t="s">
        <v>14</v>
      </c>
      <c r="J4" s="3" t="s">
        <v>36</v>
      </c>
      <c r="K4" s="3" t="s">
        <v>50</v>
      </c>
      <c r="L4" s="3" t="s">
        <v>25</v>
      </c>
      <c r="M4">
        <v>1</v>
      </c>
    </row>
    <row r="5" spans="1:13" x14ac:dyDescent="0.25">
      <c r="A5" s="2">
        <v>46202</v>
      </c>
      <c r="B5" s="1" t="str">
        <f ca="1">IF(Información1[[#This Row],[Fecha]]='Ajuste de fechas'!$A$2,"Día actual","Día anterior")</f>
        <v>Día anterior</v>
      </c>
      <c r="C5" s="3" t="s">
        <v>55</v>
      </c>
      <c r="D5" t="s">
        <v>56</v>
      </c>
      <c r="E5" s="3" t="s">
        <v>93</v>
      </c>
      <c r="F5" s="3" t="s">
        <v>6</v>
      </c>
      <c r="G5" s="3" t="s">
        <v>92</v>
      </c>
      <c r="H5" s="3" t="s">
        <v>8</v>
      </c>
      <c r="I5" s="3" t="s">
        <v>14</v>
      </c>
      <c r="J5" s="3" t="s">
        <v>36</v>
      </c>
      <c r="K5" s="3" t="s">
        <v>50</v>
      </c>
      <c r="L5" s="3" t="s">
        <v>25</v>
      </c>
      <c r="M5">
        <v>1</v>
      </c>
    </row>
    <row r="6" spans="1:13" x14ac:dyDescent="0.25">
      <c r="A6" s="2">
        <v>46202</v>
      </c>
      <c r="B6" s="1" t="str">
        <f ca="1">IF(Información1[[#This Row],[Fecha]]='Ajuste de fechas'!$A$2,"Día actual","Día anterior")</f>
        <v>Día anterior</v>
      </c>
      <c r="C6" s="3" t="s">
        <v>16</v>
      </c>
      <c r="D6" t="s">
        <v>85</v>
      </c>
      <c r="E6" s="3" t="s">
        <v>94</v>
      </c>
      <c r="F6" s="3" t="s">
        <v>15</v>
      </c>
      <c r="G6" s="3" t="s">
        <v>32</v>
      </c>
      <c r="H6" s="3" t="s">
        <v>8</v>
      </c>
      <c r="I6" s="3" t="s">
        <v>7</v>
      </c>
      <c r="J6" s="3" t="s">
        <v>36</v>
      </c>
      <c r="K6" s="3" t="s">
        <v>88</v>
      </c>
      <c r="L6" s="3" t="s">
        <v>24</v>
      </c>
      <c r="M6">
        <v>1</v>
      </c>
    </row>
    <row r="7" spans="1:13" x14ac:dyDescent="0.25">
      <c r="A7" s="2">
        <v>46202</v>
      </c>
      <c r="B7" s="1" t="str">
        <f ca="1">IF(Información1[[#This Row],[Fecha]]='Ajuste de fechas'!$A$2,"Día actual","Día anterior")</f>
        <v>Día anterior</v>
      </c>
      <c r="C7" s="3" t="s">
        <v>16</v>
      </c>
      <c r="D7" t="s">
        <v>85</v>
      </c>
      <c r="E7" s="3" t="s">
        <v>95</v>
      </c>
      <c r="F7" s="3" t="s">
        <v>51</v>
      </c>
      <c r="G7" s="3" t="s">
        <v>96</v>
      </c>
      <c r="H7" s="3" t="s">
        <v>8</v>
      </c>
      <c r="I7" s="3" t="s">
        <v>7</v>
      </c>
      <c r="J7" s="3" t="s">
        <v>36</v>
      </c>
      <c r="K7" s="3" t="s">
        <v>88</v>
      </c>
      <c r="L7" s="3" t="s">
        <v>24</v>
      </c>
      <c r="M7">
        <v>1</v>
      </c>
    </row>
    <row r="8" spans="1:13" x14ac:dyDescent="0.25">
      <c r="A8" s="2">
        <v>46202</v>
      </c>
      <c r="B8" s="1" t="str">
        <f ca="1">IF(Información1[[#This Row],[Fecha]]='Ajuste de fechas'!$A$2,"Día actual","Día anterior")</f>
        <v>Día anterior</v>
      </c>
      <c r="C8" s="3" t="s">
        <v>16</v>
      </c>
      <c r="D8" t="s">
        <v>85</v>
      </c>
      <c r="E8" s="3" t="s">
        <v>97</v>
      </c>
      <c r="F8" s="3" t="s">
        <v>12</v>
      </c>
      <c r="G8" s="3" t="s">
        <v>98</v>
      </c>
      <c r="H8" s="3" t="s">
        <v>8</v>
      </c>
      <c r="I8" s="3" t="s">
        <v>7</v>
      </c>
      <c r="J8" s="3" t="s">
        <v>36</v>
      </c>
      <c r="K8" s="3" t="s">
        <v>88</v>
      </c>
      <c r="L8" s="3" t="s">
        <v>24</v>
      </c>
      <c r="M8">
        <v>1</v>
      </c>
    </row>
    <row r="9" spans="1:13" x14ac:dyDescent="0.25">
      <c r="A9" s="2">
        <v>46202</v>
      </c>
      <c r="B9" s="1" t="str">
        <f ca="1">IF(Información1[[#This Row],[Fecha]]='Ajuste de fechas'!$A$2,"Día actual","Día anterior")</f>
        <v>Día anterior</v>
      </c>
      <c r="C9" s="3" t="s">
        <v>55</v>
      </c>
      <c r="D9" t="s">
        <v>56</v>
      </c>
      <c r="E9" s="3" t="s">
        <v>65</v>
      </c>
      <c r="F9" s="3" t="s">
        <v>30</v>
      </c>
      <c r="G9" s="3" t="s">
        <v>59</v>
      </c>
      <c r="H9" s="3" t="s">
        <v>8</v>
      </c>
      <c r="I9" s="3" t="s">
        <v>54</v>
      </c>
      <c r="J9" s="3" t="s">
        <v>13</v>
      </c>
      <c r="K9" s="3" t="s">
        <v>57</v>
      </c>
      <c r="L9" s="3" t="s">
        <v>25</v>
      </c>
      <c r="M9">
        <v>1</v>
      </c>
    </row>
    <row r="10" spans="1:13" x14ac:dyDescent="0.25">
      <c r="A10" s="2">
        <v>46202</v>
      </c>
      <c r="B10" s="1" t="str">
        <f ca="1">IF(Información1[[#This Row],[Fecha]]='Ajuste de fechas'!$A$2,"Día actual","Día anterior")</f>
        <v>Día anterior</v>
      </c>
      <c r="C10" s="3" t="s">
        <v>55</v>
      </c>
      <c r="D10" t="s">
        <v>56</v>
      </c>
      <c r="E10" s="3" t="s">
        <v>61</v>
      </c>
      <c r="F10" s="3" t="s">
        <v>39</v>
      </c>
      <c r="G10" s="3" t="s">
        <v>59</v>
      </c>
      <c r="H10" s="3" t="s">
        <v>8</v>
      </c>
      <c r="I10" s="3" t="s">
        <v>54</v>
      </c>
      <c r="J10" s="3" t="s">
        <v>36</v>
      </c>
      <c r="K10" s="3" t="s">
        <v>57</v>
      </c>
      <c r="L10" s="3" t="s">
        <v>25</v>
      </c>
      <c r="M10">
        <v>1</v>
      </c>
    </row>
    <row r="11" spans="1:13" x14ac:dyDescent="0.25">
      <c r="A11" s="2">
        <v>46202</v>
      </c>
      <c r="B11" s="1" t="str">
        <f ca="1">IF(Información1[[#This Row],[Fecha]]='Ajuste de fechas'!$A$2,"Día actual","Día anterior")</f>
        <v>Día anterior</v>
      </c>
      <c r="C11" s="3" t="s">
        <v>55</v>
      </c>
      <c r="D11" t="s">
        <v>56</v>
      </c>
      <c r="E11" s="3" t="s">
        <v>62</v>
      </c>
      <c r="F11" s="3" t="s">
        <v>9</v>
      </c>
      <c r="G11" s="3" t="s">
        <v>59</v>
      </c>
      <c r="H11" s="3" t="s">
        <v>8</v>
      </c>
      <c r="I11" s="3" t="s">
        <v>54</v>
      </c>
      <c r="J11" s="3" t="s">
        <v>36</v>
      </c>
      <c r="K11" s="3" t="s">
        <v>57</v>
      </c>
      <c r="L11" s="3" t="s">
        <v>25</v>
      </c>
      <c r="M11">
        <v>1</v>
      </c>
    </row>
    <row r="12" spans="1:13" x14ac:dyDescent="0.25">
      <c r="A12" s="2">
        <v>46202</v>
      </c>
      <c r="B12" s="1" t="str">
        <f ca="1">IF(Información1[[#This Row],[Fecha]]='Ajuste de fechas'!$A$2,"Día actual","Día anterior")</f>
        <v>Día anterior</v>
      </c>
      <c r="C12" s="3" t="s">
        <v>55</v>
      </c>
      <c r="D12" t="s">
        <v>56</v>
      </c>
      <c r="E12" s="3" t="s">
        <v>64</v>
      </c>
      <c r="F12" s="3" t="s">
        <v>6</v>
      </c>
      <c r="G12" s="3" t="s">
        <v>59</v>
      </c>
      <c r="H12" s="3" t="s">
        <v>8</v>
      </c>
      <c r="I12" s="3" t="s">
        <v>54</v>
      </c>
      <c r="J12" s="3" t="s">
        <v>36</v>
      </c>
      <c r="K12" s="3" t="s">
        <v>57</v>
      </c>
      <c r="L12" s="3" t="s">
        <v>25</v>
      </c>
      <c r="M12">
        <v>1</v>
      </c>
    </row>
    <row r="13" spans="1:13" x14ac:dyDescent="0.25">
      <c r="A13" s="2">
        <v>46202</v>
      </c>
      <c r="B13" s="1" t="str">
        <f ca="1">IF(Información1[[#This Row],[Fecha]]='Ajuste de fechas'!$A$2,"Día actual","Día anterior")</f>
        <v>Día anterior</v>
      </c>
      <c r="C13" s="3" t="s">
        <v>55</v>
      </c>
      <c r="D13" t="s">
        <v>56</v>
      </c>
      <c r="E13" s="3" t="s">
        <v>99</v>
      </c>
      <c r="F13" s="3" t="s">
        <v>31</v>
      </c>
      <c r="G13" s="3" t="s">
        <v>100</v>
      </c>
      <c r="H13" s="3" t="s">
        <v>8</v>
      </c>
      <c r="I13" s="3" t="s">
        <v>7</v>
      </c>
      <c r="J13" s="3" t="s">
        <v>36</v>
      </c>
      <c r="K13" s="3" t="s">
        <v>57</v>
      </c>
      <c r="L13" s="3" t="s">
        <v>26</v>
      </c>
      <c r="M13">
        <v>1</v>
      </c>
    </row>
    <row r="14" spans="1:13" x14ac:dyDescent="0.25">
      <c r="A14" s="2">
        <v>46202</v>
      </c>
      <c r="B14" s="1" t="str">
        <f ca="1">IF(Información1[[#This Row],[Fecha]]='Ajuste de fechas'!$A$2,"Día actual","Día anterior")</f>
        <v>Día anterior</v>
      </c>
      <c r="C14" s="3" t="s">
        <v>16</v>
      </c>
      <c r="D14" t="s">
        <v>85</v>
      </c>
      <c r="E14" s="3" t="s">
        <v>101</v>
      </c>
      <c r="F14" s="3" t="s">
        <v>53</v>
      </c>
      <c r="G14" s="3" t="s">
        <v>67</v>
      </c>
      <c r="H14" s="3" t="s">
        <v>8</v>
      </c>
      <c r="I14" s="3" t="s">
        <v>7</v>
      </c>
      <c r="J14" s="3" t="s">
        <v>36</v>
      </c>
      <c r="K14" s="3" t="s">
        <v>88</v>
      </c>
      <c r="L14" s="3" t="s">
        <v>24</v>
      </c>
      <c r="M14">
        <v>1</v>
      </c>
    </row>
    <row r="15" spans="1:13" x14ac:dyDescent="0.25">
      <c r="A15" s="2">
        <v>46202</v>
      </c>
      <c r="B15" s="1" t="str">
        <f ca="1">IF(Información1[[#This Row],[Fecha]]='Ajuste de fechas'!$A$2,"Día actual","Día anterior")</f>
        <v>Día anterior</v>
      </c>
      <c r="C15" s="3" t="s">
        <v>16</v>
      </c>
      <c r="D15" t="s">
        <v>85</v>
      </c>
      <c r="E15" s="3" t="s">
        <v>102</v>
      </c>
      <c r="F15" s="3" t="s">
        <v>103</v>
      </c>
      <c r="G15" s="3" t="s">
        <v>104</v>
      </c>
      <c r="H15" s="3" t="s">
        <v>8</v>
      </c>
      <c r="I15" s="3" t="s">
        <v>7</v>
      </c>
      <c r="J15" s="3" t="s">
        <v>36</v>
      </c>
      <c r="K15" s="3" t="s">
        <v>88</v>
      </c>
      <c r="L15" s="3" t="s">
        <v>24</v>
      </c>
      <c r="M15">
        <v>1</v>
      </c>
    </row>
    <row r="16" spans="1:13" x14ac:dyDescent="0.25">
      <c r="A16" s="2">
        <v>46202</v>
      </c>
      <c r="B16" s="1" t="str">
        <f ca="1">IF(Información1[[#This Row],[Fecha]]='Ajuste de fechas'!$A$2,"Día actual","Día anterior")</f>
        <v>Día anterior</v>
      </c>
      <c r="C16" s="3" t="s">
        <v>16</v>
      </c>
      <c r="D16" t="s">
        <v>85</v>
      </c>
      <c r="E16" s="3" t="s">
        <v>105</v>
      </c>
      <c r="F16" s="3" t="s">
        <v>51</v>
      </c>
      <c r="G16" s="3" t="s">
        <v>106</v>
      </c>
      <c r="H16" s="3" t="s">
        <v>8</v>
      </c>
      <c r="I16" s="3" t="s">
        <v>7</v>
      </c>
      <c r="J16" s="3" t="s">
        <v>36</v>
      </c>
      <c r="K16" s="3" t="s">
        <v>88</v>
      </c>
      <c r="L16" s="3" t="s">
        <v>24</v>
      </c>
      <c r="M16">
        <v>1</v>
      </c>
    </row>
    <row r="17" spans="1:13" x14ac:dyDescent="0.25">
      <c r="A17" s="2">
        <v>46202</v>
      </c>
      <c r="B17" s="1" t="str">
        <f ca="1">IF(Información1[[#This Row],[Fecha]]='Ajuste de fechas'!$A$2,"Día actual","Día anterior")</f>
        <v>Día anterior</v>
      </c>
      <c r="C17" s="3" t="s">
        <v>16</v>
      </c>
      <c r="D17" t="s">
        <v>85</v>
      </c>
      <c r="E17" s="3" t="s">
        <v>107</v>
      </c>
      <c r="F17" s="3" t="s">
        <v>12</v>
      </c>
      <c r="G17" s="3" t="s">
        <v>79</v>
      </c>
      <c r="H17" s="3" t="s">
        <v>8</v>
      </c>
      <c r="I17" s="3" t="s">
        <v>7</v>
      </c>
      <c r="J17" s="3" t="s">
        <v>36</v>
      </c>
      <c r="K17" s="3" t="s">
        <v>88</v>
      </c>
      <c r="L17" s="3" t="s">
        <v>24</v>
      </c>
      <c r="M17">
        <v>1</v>
      </c>
    </row>
    <row r="18" spans="1:13" x14ac:dyDescent="0.25">
      <c r="A18" s="2">
        <v>46202</v>
      </c>
      <c r="B18" s="1" t="str">
        <f ca="1">IF(Información1[[#This Row],[Fecha]]='Ajuste de fechas'!$A$2,"Día actual","Día anterior")</f>
        <v>Día anterior</v>
      </c>
      <c r="C18" s="3" t="s">
        <v>16</v>
      </c>
      <c r="D18" t="s">
        <v>85</v>
      </c>
      <c r="E18" s="3" t="s">
        <v>108</v>
      </c>
      <c r="F18" s="3" t="s">
        <v>39</v>
      </c>
      <c r="G18" s="3" t="s">
        <v>109</v>
      </c>
      <c r="H18" s="3" t="s">
        <v>8</v>
      </c>
      <c r="I18" s="3" t="s">
        <v>7</v>
      </c>
      <c r="J18" s="3" t="s">
        <v>36</v>
      </c>
      <c r="K18" s="3" t="s">
        <v>88</v>
      </c>
      <c r="L18" s="3" t="s">
        <v>24</v>
      </c>
      <c r="M18">
        <v>1</v>
      </c>
    </row>
    <row r="19" spans="1:13" x14ac:dyDescent="0.25">
      <c r="A19" s="2">
        <v>46202</v>
      </c>
      <c r="B19" s="1" t="str">
        <f ca="1">IF(Información1[[#This Row],[Fecha]]='Ajuste de fechas'!$A$2,"Día actual","Día anterior")</f>
        <v>Día anterior</v>
      </c>
      <c r="C19" s="3" t="s">
        <v>55</v>
      </c>
      <c r="D19" t="s">
        <v>56</v>
      </c>
      <c r="E19" s="3" t="s">
        <v>110</v>
      </c>
      <c r="F19" s="3" t="s">
        <v>17</v>
      </c>
      <c r="G19" s="3" t="s">
        <v>75</v>
      </c>
      <c r="H19" s="3" t="s">
        <v>8</v>
      </c>
      <c r="I19" s="3" t="s">
        <v>7</v>
      </c>
      <c r="J19" s="3" t="s">
        <v>36</v>
      </c>
      <c r="K19" s="3" t="s">
        <v>57</v>
      </c>
      <c r="L19" s="3" t="s">
        <v>26</v>
      </c>
      <c r="M19">
        <v>1</v>
      </c>
    </row>
    <row r="20" spans="1:13" x14ac:dyDescent="0.25">
      <c r="A20" s="2">
        <v>46202</v>
      </c>
      <c r="B20" s="1" t="str">
        <f ca="1">IF(Información1[[#This Row],[Fecha]]='Ajuste de fechas'!$A$2,"Día actual","Día anterior")</f>
        <v>Día anterior</v>
      </c>
      <c r="C20" s="3" t="s">
        <v>111</v>
      </c>
      <c r="D20" t="s">
        <v>112</v>
      </c>
      <c r="E20" s="3" t="s">
        <v>113</v>
      </c>
      <c r="F20" s="3" t="s">
        <v>31</v>
      </c>
      <c r="G20" s="3" t="s">
        <v>114</v>
      </c>
      <c r="H20" s="3" t="s">
        <v>8</v>
      </c>
      <c r="I20" s="3" t="s">
        <v>7</v>
      </c>
      <c r="J20" s="3" t="s">
        <v>36</v>
      </c>
      <c r="K20" s="3" t="s">
        <v>115</v>
      </c>
      <c r="L20" s="3" t="s">
        <v>26</v>
      </c>
      <c r="M20">
        <v>1</v>
      </c>
    </row>
    <row r="21" spans="1:13" x14ac:dyDescent="0.25">
      <c r="A21" s="2">
        <v>46202</v>
      </c>
      <c r="B21" s="1" t="str">
        <f ca="1">IF(Información1[[#This Row],[Fecha]]='Ajuste de fechas'!$A$2,"Día actual","Día anterior")</f>
        <v>Día anterior</v>
      </c>
      <c r="C21" s="3" t="s">
        <v>16</v>
      </c>
      <c r="D21" t="s">
        <v>85</v>
      </c>
      <c r="E21" s="3" t="s">
        <v>116</v>
      </c>
      <c r="F21" s="3" t="s">
        <v>31</v>
      </c>
      <c r="G21" s="3" t="s">
        <v>114</v>
      </c>
      <c r="H21" s="3" t="s">
        <v>8</v>
      </c>
      <c r="I21" s="3" t="s">
        <v>7</v>
      </c>
      <c r="J21" s="3" t="s">
        <v>36</v>
      </c>
      <c r="K21" s="3" t="s">
        <v>88</v>
      </c>
      <c r="L21" s="3" t="s">
        <v>24</v>
      </c>
      <c r="M21">
        <v>1</v>
      </c>
    </row>
    <row r="22" spans="1:13" x14ac:dyDescent="0.25">
      <c r="A22" s="2">
        <v>46202</v>
      </c>
      <c r="B22" s="1" t="str">
        <f ca="1">IF(Información1[[#This Row],[Fecha]]='Ajuste de fechas'!$A$2,"Día actual","Día anterior")</f>
        <v>Día anterior</v>
      </c>
      <c r="C22" s="3" t="s">
        <v>16</v>
      </c>
      <c r="D22" t="s">
        <v>85</v>
      </c>
      <c r="E22" s="3" t="s">
        <v>117</v>
      </c>
      <c r="F22" s="3" t="s">
        <v>43</v>
      </c>
      <c r="G22" s="3" t="s">
        <v>118</v>
      </c>
      <c r="H22" s="3" t="s">
        <v>8</v>
      </c>
      <c r="I22" s="3" t="s">
        <v>7</v>
      </c>
      <c r="J22" s="3" t="s">
        <v>36</v>
      </c>
      <c r="K22" s="3" t="s">
        <v>88</v>
      </c>
      <c r="L22" s="3" t="s">
        <v>24</v>
      </c>
      <c r="M22">
        <v>1</v>
      </c>
    </row>
    <row r="23" spans="1:13" x14ac:dyDescent="0.25">
      <c r="A23" s="2">
        <v>46202</v>
      </c>
      <c r="B23" s="1" t="str">
        <f ca="1">IF(Información1[[#This Row],[Fecha]]='Ajuste de fechas'!$A$2,"Día actual","Día anterior")</f>
        <v>Día anterior</v>
      </c>
      <c r="C23" s="3" t="s">
        <v>55</v>
      </c>
      <c r="D23" t="s">
        <v>56</v>
      </c>
      <c r="E23" s="3" t="s">
        <v>119</v>
      </c>
      <c r="F23" s="3" t="s">
        <v>10</v>
      </c>
      <c r="G23" s="3" t="s">
        <v>120</v>
      </c>
      <c r="H23" s="3" t="s">
        <v>8</v>
      </c>
      <c r="I23" s="3" t="s">
        <v>7</v>
      </c>
      <c r="J23" s="3" t="s">
        <v>38</v>
      </c>
      <c r="K23" s="3" t="s">
        <v>57</v>
      </c>
      <c r="L23" s="3" t="s">
        <v>49</v>
      </c>
      <c r="M23">
        <v>1</v>
      </c>
    </row>
    <row r="24" spans="1:13" x14ac:dyDescent="0.25">
      <c r="A24" s="2">
        <v>46202</v>
      </c>
      <c r="B24" s="1" t="str">
        <f ca="1">IF(Información1[[#This Row],[Fecha]]='Ajuste de fechas'!$A$2,"Día actual","Día anterior")</f>
        <v>Día anterior</v>
      </c>
      <c r="C24" s="3" t="s">
        <v>55</v>
      </c>
      <c r="D24" t="s">
        <v>56</v>
      </c>
      <c r="E24" s="3" t="s">
        <v>121</v>
      </c>
      <c r="F24" s="3" t="s">
        <v>39</v>
      </c>
      <c r="G24" s="3" t="s">
        <v>77</v>
      </c>
      <c r="H24" s="3" t="s">
        <v>8</v>
      </c>
      <c r="I24" s="3" t="s">
        <v>7</v>
      </c>
      <c r="J24" s="3" t="s">
        <v>36</v>
      </c>
      <c r="K24" s="3" t="s">
        <v>57</v>
      </c>
      <c r="L24" s="3" t="s">
        <v>26</v>
      </c>
      <c r="M24">
        <v>1</v>
      </c>
    </row>
    <row r="25" spans="1:13" x14ac:dyDescent="0.25">
      <c r="A25" s="2">
        <v>46202</v>
      </c>
      <c r="B25" s="1" t="str">
        <f ca="1">IF(Información1[[#This Row],[Fecha]]='Ajuste de fechas'!$A$2,"Día actual","Día anterior")</f>
        <v>Día anterior</v>
      </c>
      <c r="C25" s="3" t="s">
        <v>16</v>
      </c>
      <c r="D25" t="s">
        <v>85</v>
      </c>
      <c r="E25" s="3" t="s">
        <v>122</v>
      </c>
      <c r="F25" s="3" t="s">
        <v>39</v>
      </c>
      <c r="G25" s="3" t="s">
        <v>123</v>
      </c>
      <c r="H25" s="3" t="s">
        <v>8</v>
      </c>
      <c r="I25" s="3" t="s">
        <v>7</v>
      </c>
      <c r="J25" s="3" t="s">
        <v>36</v>
      </c>
      <c r="K25" s="3" t="s">
        <v>88</v>
      </c>
      <c r="L25" s="3" t="s">
        <v>26</v>
      </c>
      <c r="M25">
        <v>1</v>
      </c>
    </row>
    <row r="26" spans="1:13" x14ac:dyDescent="0.25">
      <c r="A26" s="2">
        <v>46202</v>
      </c>
      <c r="B26" s="1" t="str">
        <f ca="1">IF(Información1[[#This Row],[Fecha]]='Ajuste de fechas'!$A$2,"Día actual","Día anterior")</f>
        <v>Día anterior</v>
      </c>
      <c r="C26" s="3" t="s">
        <v>16</v>
      </c>
      <c r="D26" t="s">
        <v>85</v>
      </c>
      <c r="E26" s="3" t="s">
        <v>124</v>
      </c>
      <c r="F26" s="3" t="s">
        <v>10</v>
      </c>
      <c r="G26" s="3" t="s">
        <v>125</v>
      </c>
      <c r="H26" s="3" t="s">
        <v>8</v>
      </c>
      <c r="I26" s="3" t="s">
        <v>7</v>
      </c>
      <c r="J26" s="3" t="s">
        <v>38</v>
      </c>
      <c r="K26" s="3" t="s">
        <v>88</v>
      </c>
      <c r="L26" s="3" t="s">
        <v>24</v>
      </c>
      <c r="M26">
        <v>1</v>
      </c>
    </row>
    <row r="27" spans="1:13" x14ac:dyDescent="0.25">
      <c r="A27" s="2">
        <v>46202</v>
      </c>
      <c r="B27" s="1" t="str">
        <f ca="1">IF(Información1[[#This Row],[Fecha]]='Ajuste de fechas'!$A$2,"Día actual","Día anterior")</f>
        <v>Día anterior</v>
      </c>
      <c r="C27" s="3" t="s">
        <v>55</v>
      </c>
      <c r="D27" t="s">
        <v>56</v>
      </c>
      <c r="E27" s="3" t="s">
        <v>126</v>
      </c>
      <c r="F27" s="3" t="s">
        <v>6</v>
      </c>
      <c r="G27" s="3" t="s">
        <v>78</v>
      </c>
      <c r="H27" s="3" t="s">
        <v>8</v>
      </c>
      <c r="I27" s="3" t="s">
        <v>14</v>
      </c>
      <c r="J27" s="3" t="s">
        <v>36</v>
      </c>
      <c r="K27" s="3" t="s">
        <v>57</v>
      </c>
      <c r="L27" s="3" t="s">
        <v>24</v>
      </c>
      <c r="M27">
        <v>1</v>
      </c>
    </row>
    <row r="28" spans="1:13" x14ac:dyDescent="0.25">
      <c r="A28" s="2">
        <v>46202</v>
      </c>
      <c r="B28" s="1" t="str">
        <f ca="1">IF(Información1[[#This Row],[Fecha]]='Ajuste de fechas'!$A$2,"Día actual","Día anterior")</f>
        <v>Día anterior</v>
      </c>
      <c r="C28" s="3" t="s">
        <v>16</v>
      </c>
      <c r="D28" t="s">
        <v>85</v>
      </c>
      <c r="E28" s="3" t="s">
        <v>127</v>
      </c>
      <c r="F28" s="3" t="s">
        <v>31</v>
      </c>
      <c r="G28" s="3" t="s">
        <v>76</v>
      </c>
      <c r="H28" s="3" t="s">
        <v>8</v>
      </c>
      <c r="I28" s="3" t="s">
        <v>7</v>
      </c>
      <c r="J28" s="3" t="s">
        <v>36</v>
      </c>
      <c r="K28" s="3" t="s">
        <v>88</v>
      </c>
      <c r="L28" s="3" t="s">
        <v>24</v>
      </c>
      <c r="M28">
        <v>1</v>
      </c>
    </row>
    <row r="29" spans="1:13" x14ac:dyDescent="0.25">
      <c r="A29" s="2">
        <v>46202</v>
      </c>
      <c r="B29" s="1" t="str">
        <f ca="1">IF(Información1[[#This Row],[Fecha]]='Ajuste de fechas'!$A$2,"Día actual","Día anterior")</f>
        <v>Día anterior</v>
      </c>
      <c r="C29" s="3" t="s">
        <v>16</v>
      </c>
      <c r="D29" t="s">
        <v>85</v>
      </c>
      <c r="E29" s="3" t="s">
        <v>128</v>
      </c>
      <c r="F29" s="3" t="s">
        <v>39</v>
      </c>
      <c r="G29" s="3" t="s">
        <v>129</v>
      </c>
      <c r="H29" s="3" t="s">
        <v>8</v>
      </c>
      <c r="I29" s="3" t="s">
        <v>7</v>
      </c>
      <c r="J29" s="3" t="s">
        <v>36</v>
      </c>
      <c r="K29" s="3" t="s">
        <v>88</v>
      </c>
      <c r="L29" s="3" t="s">
        <v>26</v>
      </c>
      <c r="M29">
        <v>1</v>
      </c>
    </row>
    <row r="30" spans="1:13" x14ac:dyDescent="0.25">
      <c r="A30" s="2">
        <v>46202</v>
      </c>
      <c r="B30" s="1" t="str">
        <f ca="1">IF(Información1[[#This Row],[Fecha]]='Ajuste de fechas'!$A$2,"Día actual","Día anterior")</f>
        <v>Día anterior</v>
      </c>
      <c r="C30" s="3" t="s">
        <v>16</v>
      </c>
      <c r="D30" t="s">
        <v>85</v>
      </c>
      <c r="E30" s="3" t="s">
        <v>130</v>
      </c>
      <c r="F30" s="3" t="s">
        <v>131</v>
      </c>
      <c r="G30" s="3" t="s">
        <v>132</v>
      </c>
      <c r="H30" s="3" t="s">
        <v>8</v>
      </c>
      <c r="I30" s="3" t="s">
        <v>7</v>
      </c>
      <c r="J30" s="3" t="s">
        <v>36</v>
      </c>
      <c r="K30" s="3" t="s">
        <v>88</v>
      </c>
      <c r="L30" s="3" t="s">
        <v>24</v>
      </c>
      <c r="M30">
        <v>1</v>
      </c>
    </row>
    <row r="31" spans="1:13" x14ac:dyDescent="0.25">
      <c r="A31" s="2">
        <v>46202</v>
      </c>
      <c r="B31" s="1" t="str">
        <f ca="1">IF(Información1[[#This Row],[Fecha]]='Ajuste de fechas'!$A$2,"Día actual","Día anterior")</f>
        <v>Día anterior</v>
      </c>
      <c r="C31" s="3" t="s">
        <v>16</v>
      </c>
      <c r="D31" t="s">
        <v>85</v>
      </c>
      <c r="E31" s="3" t="s">
        <v>133</v>
      </c>
      <c r="F31" s="3" t="s">
        <v>9</v>
      </c>
      <c r="G31" s="3" t="s">
        <v>134</v>
      </c>
      <c r="H31" s="3" t="s">
        <v>8</v>
      </c>
      <c r="I31" s="3" t="s">
        <v>7</v>
      </c>
      <c r="J31" s="3" t="s">
        <v>36</v>
      </c>
      <c r="K31" s="3" t="s">
        <v>88</v>
      </c>
      <c r="L31" s="3" t="s">
        <v>24</v>
      </c>
      <c r="M31">
        <v>1</v>
      </c>
    </row>
    <row r="32" spans="1:13" x14ac:dyDescent="0.25">
      <c r="A32" s="2">
        <v>46202</v>
      </c>
      <c r="B32" s="1" t="str">
        <f ca="1">IF(Información1[[#This Row],[Fecha]]='Ajuste de fechas'!$A$2,"Día actual","Día anterior")</f>
        <v>Día anterior</v>
      </c>
      <c r="C32" s="3" t="s">
        <v>16</v>
      </c>
      <c r="D32" t="s">
        <v>85</v>
      </c>
      <c r="E32" s="3" t="s">
        <v>135</v>
      </c>
      <c r="F32" s="3" t="s">
        <v>39</v>
      </c>
      <c r="G32" s="3" t="s">
        <v>136</v>
      </c>
      <c r="H32" s="3" t="s">
        <v>8</v>
      </c>
      <c r="I32" s="3" t="s">
        <v>7</v>
      </c>
      <c r="J32" s="3" t="s">
        <v>36</v>
      </c>
      <c r="K32" s="3" t="s">
        <v>88</v>
      </c>
      <c r="L32" s="3" t="s">
        <v>26</v>
      </c>
      <c r="M32">
        <v>1</v>
      </c>
    </row>
    <row r="33" spans="1:13" x14ac:dyDescent="0.25">
      <c r="A33" s="2">
        <v>46202</v>
      </c>
      <c r="B33" s="1" t="str">
        <f ca="1">IF(Información1[[#This Row],[Fecha]]='Ajuste de fechas'!$A$2,"Día actual","Día anterior")</f>
        <v>Día anterior</v>
      </c>
      <c r="C33" s="3" t="s">
        <v>16</v>
      </c>
      <c r="D33" t="s">
        <v>85</v>
      </c>
      <c r="E33" s="3" t="s">
        <v>137</v>
      </c>
      <c r="F33" s="3" t="s">
        <v>39</v>
      </c>
      <c r="G33" s="3" t="s">
        <v>136</v>
      </c>
      <c r="H33" s="3" t="s">
        <v>8</v>
      </c>
      <c r="I33" s="3" t="s">
        <v>7</v>
      </c>
      <c r="J33" s="3" t="s">
        <v>36</v>
      </c>
      <c r="K33" s="3" t="s">
        <v>88</v>
      </c>
      <c r="L33" s="3" t="s">
        <v>24</v>
      </c>
      <c r="M33">
        <v>1</v>
      </c>
    </row>
    <row r="34" spans="1:13" x14ac:dyDescent="0.25">
      <c r="A34" s="2">
        <v>46202</v>
      </c>
      <c r="B34" s="1" t="str">
        <f ca="1">IF(Información1[[#This Row],[Fecha]]='Ajuste de fechas'!$A$2,"Día actual","Día anterior")</f>
        <v>Día anterior</v>
      </c>
      <c r="C34" s="3" t="s">
        <v>16</v>
      </c>
      <c r="D34" t="s">
        <v>85</v>
      </c>
      <c r="E34" s="3" t="s">
        <v>138</v>
      </c>
      <c r="F34" s="3" t="s">
        <v>10</v>
      </c>
      <c r="G34" s="3" t="s">
        <v>72</v>
      </c>
      <c r="H34" s="3" t="s">
        <v>8</v>
      </c>
      <c r="I34" s="3" t="s">
        <v>7</v>
      </c>
      <c r="J34" s="3" t="s">
        <v>38</v>
      </c>
      <c r="K34" s="3" t="s">
        <v>88</v>
      </c>
      <c r="L34" s="3" t="s">
        <v>24</v>
      </c>
      <c r="M34">
        <v>1</v>
      </c>
    </row>
    <row r="35" spans="1:13" x14ac:dyDescent="0.25">
      <c r="A35" s="2">
        <v>46202</v>
      </c>
      <c r="B35" s="1" t="str">
        <f ca="1">IF(Información1[[#This Row],[Fecha]]='Ajuste de fechas'!$A$2,"Día actual","Día anterior")</f>
        <v>Día anterior</v>
      </c>
      <c r="C35" s="3" t="s">
        <v>16</v>
      </c>
      <c r="D35" t="s">
        <v>85</v>
      </c>
      <c r="E35" s="3" t="s">
        <v>139</v>
      </c>
      <c r="F35" s="3" t="s">
        <v>71</v>
      </c>
      <c r="G35" s="3" t="s">
        <v>72</v>
      </c>
      <c r="H35" s="3" t="s">
        <v>8</v>
      </c>
      <c r="I35" s="3" t="s">
        <v>7</v>
      </c>
      <c r="J35" s="3" t="s">
        <v>36</v>
      </c>
      <c r="K35" s="3" t="s">
        <v>88</v>
      </c>
      <c r="L35" s="3" t="s">
        <v>24</v>
      </c>
      <c r="M35">
        <v>1</v>
      </c>
    </row>
    <row r="36" spans="1:13" x14ac:dyDescent="0.25">
      <c r="A36" s="2">
        <v>46202</v>
      </c>
      <c r="B36" s="1" t="str">
        <f ca="1">IF(Información1[[#This Row],[Fecha]]='Ajuste de fechas'!$A$2,"Día actual","Día anterior")</f>
        <v>Día anterior</v>
      </c>
      <c r="C36" s="3" t="s">
        <v>55</v>
      </c>
      <c r="D36" t="s">
        <v>56</v>
      </c>
      <c r="E36" s="3" t="s">
        <v>140</v>
      </c>
      <c r="F36" s="3" t="s">
        <v>11</v>
      </c>
      <c r="G36" s="3" t="s">
        <v>72</v>
      </c>
      <c r="H36" s="3" t="s">
        <v>8</v>
      </c>
      <c r="I36" s="3" t="s">
        <v>7</v>
      </c>
      <c r="J36" s="3" t="s">
        <v>37</v>
      </c>
      <c r="K36" s="3" t="s">
        <v>57</v>
      </c>
      <c r="L36" s="3" t="s">
        <v>24</v>
      </c>
      <c r="M36">
        <v>1</v>
      </c>
    </row>
    <row r="37" spans="1:13" x14ac:dyDescent="0.25">
      <c r="A37" s="2">
        <v>46202</v>
      </c>
      <c r="B37" s="1" t="str">
        <f ca="1">IF(Información1[[#This Row],[Fecha]]='Ajuste de fechas'!$A$2,"Día actual","Día anterior")</f>
        <v>Día anterior</v>
      </c>
      <c r="C37" s="3" t="s">
        <v>16</v>
      </c>
      <c r="D37" t="s">
        <v>85</v>
      </c>
      <c r="E37" s="3" t="s">
        <v>141</v>
      </c>
      <c r="F37" s="3" t="s">
        <v>70</v>
      </c>
      <c r="G37" s="3" t="s">
        <v>142</v>
      </c>
      <c r="H37" s="3" t="s">
        <v>8</v>
      </c>
      <c r="I37" s="3" t="s">
        <v>7</v>
      </c>
      <c r="J37" s="3" t="s">
        <v>36</v>
      </c>
      <c r="K37" s="3" t="s">
        <v>88</v>
      </c>
      <c r="L37" s="3" t="s">
        <v>24</v>
      </c>
      <c r="M37">
        <v>1</v>
      </c>
    </row>
    <row r="38" spans="1:13" x14ac:dyDescent="0.25">
      <c r="A38" s="2">
        <v>46202</v>
      </c>
      <c r="B38" s="1" t="str">
        <f ca="1">IF(Información1[[#This Row],[Fecha]]='Ajuste de fechas'!$A$2,"Día actual","Día anterior")</f>
        <v>Día anterior</v>
      </c>
      <c r="C38" s="3" t="s">
        <v>55</v>
      </c>
      <c r="D38" t="s">
        <v>56</v>
      </c>
      <c r="E38" s="3" t="s">
        <v>80</v>
      </c>
      <c r="F38" s="3" t="s">
        <v>53</v>
      </c>
      <c r="G38" s="3" t="s">
        <v>81</v>
      </c>
      <c r="H38" s="3" t="s">
        <v>8</v>
      </c>
      <c r="I38" s="3" t="s">
        <v>7</v>
      </c>
      <c r="J38" s="3" t="s">
        <v>36</v>
      </c>
      <c r="K38" s="3" t="s">
        <v>57</v>
      </c>
      <c r="L38" s="3" t="s">
        <v>26</v>
      </c>
      <c r="M38">
        <v>1</v>
      </c>
    </row>
    <row r="39" spans="1:13" x14ac:dyDescent="0.25">
      <c r="A39" s="2">
        <v>46202</v>
      </c>
      <c r="B39" s="1" t="str">
        <f ca="1">IF(Información1[[#This Row],[Fecha]]='Ajuste de fechas'!$A$2,"Día actual","Día anterior")</f>
        <v>Día anterior</v>
      </c>
      <c r="C39" s="3" t="s">
        <v>16</v>
      </c>
      <c r="D39" t="s">
        <v>85</v>
      </c>
      <c r="E39" s="3" t="s">
        <v>143</v>
      </c>
      <c r="F39" s="3" t="s">
        <v>53</v>
      </c>
      <c r="G39" s="3" t="s">
        <v>144</v>
      </c>
      <c r="H39" s="3" t="s">
        <v>8</v>
      </c>
      <c r="I39" s="3" t="s">
        <v>7</v>
      </c>
      <c r="J39" s="3" t="s">
        <v>36</v>
      </c>
      <c r="K39" s="3" t="s">
        <v>88</v>
      </c>
      <c r="L39" s="3" t="s">
        <v>24</v>
      </c>
      <c r="M39">
        <v>1</v>
      </c>
    </row>
    <row r="40" spans="1:13" x14ac:dyDescent="0.25">
      <c r="A40" s="2">
        <v>46202</v>
      </c>
      <c r="B40" s="1" t="str">
        <f ca="1">IF(Información1[[#This Row],[Fecha]]='Ajuste de fechas'!$A$2,"Día actual","Día anterior")</f>
        <v>Día anterior</v>
      </c>
      <c r="C40" s="3" t="s">
        <v>16</v>
      </c>
      <c r="D40" t="s">
        <v>85</v>
      </c>
      <c r="E40" s="3" t="s">
        <v>145</v>
      </c>
      <c r="F40" s="3" t="s">
        <v>53</v>
      </c>
      <c r="G40" s="3" t="s">
        <v>74</v>
      </c>
      <c r="H40" s="3" t="s">
        <v>8</v>
      </c>
      <c r="I40" s="3" t="s">
        <v>7</v>
      </c>
      <c r="J40" s="3" t="s">
        <v>36</v>
      </c>
      <c r="K40" s="3" t="s">
        <v>88</v>
      </c>
      <c r="L40" s="3" t="s">
        <v>24</v>
      </c>
      <c r="M40">
        <v>1</v>
      </c>
    </row>
    <row r="41" spans="1:13" x14ac:dyDescent="0.25">
      <c r="A41" s="2">
        <v>46202</v>
      </c>
      <c r="B41" s="1" t="str">
        <f ca="1">IF(Información1[[#This Row],[Fecha]]='Ajuste de fechas'!$A$2,"Día actual","Día anterior")</f>
        <v>Día anterior</v>
      </c>
      <c r="C41" s="3" t="s">
        <v>16</v>
      </c>
      <c r="D41" t="s">
        <v>85</v>
      </c>
      <c r="E41" s="3" t="s">
        <v>146</v>
      </c>
      <c r="F41" s="3" t="s">
        <v>53</v>
      </c>
      <c r="G41" s="3" t="s">
        <v>74</v>
      </c>
      <c r="H41" s="3" t="s">
        <v>8</v>
      </c>
      <c r="I41" s="3" t="s">
        <v>7</v>
      </c>
      <c r="J41" s="3" t="s">
        <v>36</v>
      </c>
      <c r="K41" s="3" t="s">
        <v>88</v>
      </c>
      <c r="L41" s="3" t="s">
        <v>24</v>
      </c>
      <c r="M41">
        <v>1</v>
      </c>
    </row>
    <row r="42" spans="1:13" x14ac:dyDescent="0.25">
      <c r="A42" s="2">
        <v>46202</v>
      </c>
      <c r="B42" s="1" t="str">
        <f ca="1">IF(Información1[[#This Row],[Fecha]]='Ajuste de fechas'!$A$2,"Día actual","Día anterior")</f>
        <v>Día anterior</v>
      </c>
      <c r="C42" s="3" t="s">
        <v>55</v>
      </c>
      <c r="D42" t="s">
        <v>56</v>
      </c>
      <c r="E42" s="3" t="s">
        <v>147</v>
      </c>
      <c r="F42" s="3" t="s">
        <v>6</v>
      </c>
      <c r="G42" s="3" t="s">
        <v>148</v>
      </c>
      <c r="H42" s="3" t="s">
        <v>8</v>
      </c>
      <c r="I42" s="3" t="s">
        <v>7</v>
      </c>
      <c r="J42" s="3" t="s">
        <v>36</v>
      </c>
      <c r="K42" s="3" t="s">
        <v>50</v>
      </c>
      <c r="L42" s="3" t="s">
        <v>25</v>
      </c>
      <c r="M42">
        <v>1</v>
      </c>
    </row>
    <row r="43" spans="1:13" x14ac:dyDescent="0.25">
      <c r="A43" s="2">
        <v>46203</v>
      </c>
      <c r="B43" s="1" t="str">
        <f ca="1">IF(Información1[[#This Row],[Fecha]]='Ajuste de fechas'!$A$2,"Día actual","Día anterior")</f>
        <v>Día actual</v>
      </c>
      <c r="C43" s="3" t="s">
        <v>16</v>
      </c>
      <c r="D43" t="s">
        <v>68</v>
      </c>
      <c r="E43" s="3" t="s">
        <v>149</v>
      </c>
      <c r="F43" s="3" t="s">
        <v>84</v>
      </c>
      <c r="G43" s="3" t="s">
        <v>150</v>
      </c>
      <c r="H43" s="3" t="s">
        <v>8</v>
      </c>
      <c r="I43" s="3" t="s">
        <v>7</v>
      </c>
      <c r="J43" s="3" t="s">
        <v>13</v>
      </c>
      <c r="K43" s="3" t="s">
        <v>69</v>
      </c>
      <c r="L43" s="3" t="s">
        <v>24</v>
      </c>
      <c r="M43">
        <v>1</v>
      </c>
    </row>
    <row r="44" spans="1:13" x14ac:dyDescent="0.25">
      <c r="A44" s="2">
        <v>46203</v>
      </c>
      <c r="B44" s="1" t="str">
        <f ca="1">IF(Información1[[#This Row],[Fecha]]='Ajuste de fechas'!$A$2,"Día actual","Día anterior")</f>
        <v>Día actual</v>
      </c>
      <c r="C44" s="3" t="s">
        <v>16</v>
      </c>
      <c r="D44" t="s">
        <v>68</v>
      </c>
      <c r="E44" s="3" t="s">
        <v>151</v>
      </c>
      <c r="F44" s="3" t="s">
        <v>152</v>
      </c>
      <c r="G44" s="3" t="s">
        <v>150</v>
      </c>
      <c r="H44" s="3" t="s">
        <v>8</v>
      </c>
      <c r="I44" s="3" t="s">
        <v>7</v>
      </c>
      <c r="J44" s="3" t="s">
        <v>13</v>
      </c>
      <c r="K44" s="3" t="s">
        <v>69</v>
      </c>
      <c r="L44" s="3" t="s">
        <v>24</v>
      </c>
      <c r="M44">
        <v>1</v>
      </c>
    </row>
    <row r="45" spans="1:13" x14ac:dyDescent="0.25">
      <c r="A45" s="2">
        <v>46203</v>
      </c>
      <c r="B45" s="1" t="str">
        <f ca="1">IF(Información1[[#This Row],[Fecha]]='Ajuste de fechas'!$A$2,"Día actual","Día anterior")</f>
        <v>Día actual</v>
      </c>
      <c r="C45" s="3" t="s">
        <v>16</v>
      </c>
      <c r="D45" t="s">
        <v>68</v>
      </c>
      <c r="E45" s="3" t="s">
        <v>153</v>
      </c>
      <c r="F45" s="3" t="s">
        <v>10</v>
      </c>
      <c r="G45" s="3" t="s">
        <v>154</v>
      </c>
      <c r="H45" s="3" t="s">
        <v>8</v>
      </c>
      <c r="I45" s="3" t="s">
        <v>7</v>
      </c>
      <c r="J45" s="3" t="s">
        <v>38</v>
      </c>
      <c r="K45" s="3" t="s">
        <v>69</v>
      </c>
      <c r="L45" s="3" t="s">
        <v>24</v>
      </c>
      <c r="M45">
        <v>1</v>
      </c>
    </row>
    <row r="46" spans="1:13" x14ac:dyDescent="0.25">
      <c r="A46" s="2">
        <v>46203</v>
      </c>
      <c r="B46" s="1" t="str">
        <f ca="1">IF(Información1[[#This Row],[Fecha]]='Ajuste de fechas'!$A$2,"Día actual","Día anterior")</f>
        <v>Día actual</v>
      </c>
      <c r="C46" s="3" t="s">
        <v>16</v>
      </c>
      <c r="D46" t="s">
        <v>68</v>
      </c>
      <c r="E46" s="3" t="s">
        <v>155</v>
      </c>
      <c r="F46" s="3" t="s">
        <v>12</v>
      </c>
      <c r="G46" s="3" t="s">
        <v>52</v>
      </c>
      <c r="H46" s="3" t="s">
        <v>8</v>
      </c>
      <c r="I46" s="3" t="s">
        <v>7</v>
      </c>
      <c r="J46" s="3" t="s">
        <v>36</v>
      </c>
      <c r="K46" s="3" t="s">
        <v>69</v>
      </c>
      <c r="L46" s="3" t="s">
        <v>24</v>
      </c>
      <c r="M46">
        <v>1</v>
      </c>
    </row>
    <row r="47" spans="1:13" x14ac:dyDescent="0.25">
      <c r="A47" s="2">
        <v>46203</v>
      </c>
      <c r="B47" s="1" t="str">
        <f ca="1">IF(Información1[[#This Row],[Fecha]]='Ajuste de fechas'!$A$2,"Día actual","Día anterior")</f>
        <v>Día actual</v>
      </c>
      <c r="C47" s="3" t="s">
        <v>16</v>
      </c>
      <c r="D47" t="s">
        <v>68</v>
      </c>
      <c r="E47" s="3" t="s">
        <v>156</v>
      </c>
      <c r="F47" s="3" t="s">
        <v>15</v>
      </c>
      <c r="G47" s="3" t="s">
        <v>157</v>
      </c>
      <c r="H47" s="3" t="s">
        <v>8</v>
      </c>
      <c r="I47" s="3" t="s">
        <v>7</v>
      </c>
      <c r="J47" s="3" t="s">
        <v>36</v>
      </c>
      <c r="K47" s="3" t="s">
        <v>69</v>
      </c>
      <c r="L47" s="3" t="s">
        <v>24</v>
      </c>
      <c r="M47">
        <v>1</v>
      </c>
    </row>
    <row r="48" spans="1:13" x14ac:dyDescent="0.25">
      <c r="A48" s="2">
        <v>46203</v>
      </c>
      <c r="B48" s="1" t="str">
        <f ca="1">IF(Información1[[#This Row],[Fecha]]='Ajuste de fechas'!$A$2,"Día actual","Día anterior")</f>
        <v>Día actual</v>
      </c>
      <c r="C48" s="3" t="s">
        <v>16</v>
      </c>
      <c r="D48" t="s">
        <v>68</v>
      </c>
      <c r="E48" s="3" t="s">
        <v>158</v>
      </c>
      <c r="F48" s="3" t="s">
        <v>10</v>
      </c>
      <c r="G48" s="3" t="s">
        <v>159</v>
      </c>
      <c r="H48" s="3" t="s">
        <v>8</v>
      </c>
      <c r="I48" s="3" t="s">
        <v>7</v>
      </c>
      <c r="J48" s="3" t="s">
        <v>38</v>
      </c>
      <c r="K48" s="3" t="s">
        <v>69</v>
      </c>
      <c r="L48" s="3" t="s">
        <v>24</v>
      </c>
      <c r="M48">
        <v>1</v>
      </c>
    </row>
    <row r="49" spans="1:13" x14ac:dyDescent="0.25">
      <c r="A49" s="2">
        <v>46203</v>
      </c>
      <c r="B49" s="1" t="str">
        <f ca="1">IF(Información1[[#This Row],[Fecha]]='Ajuste de fechas'!$A$2,"Día actual","Día anterior")</f>
        <v>Día actual</v>
      </c>
      <c r="C49" s="3" t="s">
        <v>16</v>
      </c>
      <c r="D49" t="s">
        <v>68</v>
      </c>
      <c r="E49" s="3" t="s">
        <v>160</v>
      </c>
      <c r="F49" s="3" t="s">
        <v>10</v>
      </c>
      <c r="G49" s="3" t="s">
        <v>161</v>
      </c>
      <c r="H49" s="3" t="s">
        <v>8</v>
      </c>
      <c r="I49" s="3" t="s">
        <v>7</v>
      </c>
      <c r="J49" s="3" t="s">
        <v>38</v>
      </c>
      <c r="K49" s="3" t="s">
        <v>69</v>
      </c>
      <c r="L49" s="3" t="s">
        <v>24</v>
      </c>
      <c r="M49">
        <v>1</v>
      </c>
    </row>
    <row r="50" spans="1:13" x14ac:dyDescent="0.25">
      <c r="A50" s="2">
        <v>46203</v>
      </c>
      <c r="B50" s="1" t="str">
        <f ca="1">IF(Información1[[#This Row],[Fecha]]='Ajuste de fechas'!$A$2,"Día actual","Día anterior")</f>
        <v>Día actual</v>
      </c>
      <c r="C50" s="3" t="s">
        <v>16</v>
      </c>
      <c r="D50" t="s">
        <v>68</v>
      </c>
      <c r="E50" s="3" t="s">
        <v>162</v>
      </c>
      <c r="F50" s="3" t="s">
        <v>11</v>
      </c>
      <c r="G50" s="3" t="s">
        <v>163</v>
      </c>
      <c r="H50" s="3" t="s">
        <v>8</v>
      </c>
      <c r="I50" s="3" t="s">
        <v>7</v>
      </c>
      <c r="J50" s="3" t="s">
        <v>37</v>
      </c>
      <c r="K50" s="3" t="s">
        <v>69</v>
      </c>
      <c r="L50" s="3" t="s">
        <v>24</v>
      </c>
      <c r="M50">
        <v>1</v>
      </c>
    </row>
    <row r="51" spans="1:13" x14ac:dyDescent="0.25">
      <c r="A51" s="2">
        <v>46203</v>
      </c>
      <c r="B51" s="1" t="str">
        <f ca="1">IF(Información1[[#This Row],[Fecha]]='Ajuste de fechas'!$A$2,"Día actual","Día anterior")</f>
        <v>Día actual</v>
      </c>
      <c r="C51" s="3" t="s">
        <v>16</v>
      </c>
      <c r="D51" t="s">
        <v>68</v>
      </c>
      <c r="E51" s="3" t="s">
        <v>164</v>
      </c>
      <c r="F51" s="3" t="s">
        <v>15</v>
      </c>
      <c r="G51" s="3" t="s">
        <v>165</v>
      </c>
      <c r="H51" s="3" t="s">
        <v>8</v>
      </c>
      <c r="I51" s="3" t="s">
        <v>7</v>
      </c>
      <c r="J51" s="3" t="s">
        <v>36</v>
      </c>
      <c r="K51" s="3" t="s">
        <v>69</v>
      </c>
      <c r="L51" s="3" t="s">
        <v>24</v>
      </c>
      <c r="M51">
        <v>1</v>
      </c>
    </row>
    <row r="52" spans="1:13" x14ac:dyDescent="0.25">
      <c r="A52" s="2">
        <v>46203</v>
      </c>
      <c r="B52" s="1" t="str">
        <f ca="1">IF(Información1[[#This Row],[Fecha]]='Ajuste de fechas'!$A$2,"Día actual","Día anterior")</f>
        <v>Día actual</v>
      </c>
      <c r="C52" s="3" t="s">
        <v>16</v>
      </c>
      <c r="D52" t="s">
        <v>68</v>
      </c>
      <c r="E52" s="3" t="s">
        <v>166</v>
      </c>
      <c r="F52" s="3" t="s">
        <v>15</v>
      </c>
      <c r="G52" s="3" t="s">
        <v>165</v>
      </c>
      <c r="H52" s="3" t="s">
        <v>8</v>
      </c>
      <c r="I52" s="3" t="s">
        <v>7</v>
      </c>
      <c r="J52" s="3" t="s">
        <v>36</v>
      </c>
      <c r="K52" s="3" t="s">
        <v>69</v>
      </c>
      <c r="L52" s="3" t="s">
        <v>24</v>
      </c>
      <c r="M52">
        <v>1</v>
      </c>
    </row>
    <row r="53" spans="1:13" x14ac:dyDescent="0.25">
      <c r="A53" s="2">
        <v>46203</v>
      </c>
      <c r="B53" s="1" t="str">
        <f ca="1">IF(Información1[[#This Row],[Fecha]]='Ajuste de fechas'!$A$2,"Día actual","Día anterior")</f>
        <v>Día actual</v>
      </c>
      <c r="C53" s="3" t="s">
        <v>16</v>
      </c>
      <c r="D53" t="s">
        <v>68</v>
      </c>
      <c r="E53" s="3" t="s">
        <v>167</v>
      </c>
      <c r="F53" s="3" t="s">
        <v>15</v>
      </c>
      <c r="G53" s="3" t="s">
        <v>168</v>
      </c>
      <c r="H53" s="3" t="s">
        <v>8</v>
      </c>
      <c r="I53" s="3" t="s">
        <v>7</v>
      </c>
      <c r="J53" s="3" t="s">
        <v>36</v>
      </c>
      <c r="K53" s="3" t="s">
        <v>69</v>
      </c>
      <c r="L53" s="3" t="s">
        <v>26</v>
      </c>
      <c r="M53">
        <v>1</v>
      </c>
    </row>
    <row r="54" spans="1:13" x14ac:dyDescent="0.25">
      <c r="A54" s="2">
        <v>46203</v>
      </c>
      <c r="B54" s="1" t="str">
        <f ca="1">IF(Información1[[#This Row],[Fecha]]='Ajuste de fechas'!$A$2,"Día actual","Día anterior")</f>
        <v>Día actual</v>
      </c>
      <c r="C54" s="3" t="s">
        <v>16</v>
      </c>
      <c r="D54" t="s">
        <v>68</v>
      </c>
      <c r="E54" s="3" t="s">
        <v>169</v>
      </c>
      <c r="F54" s="3" t="s">
        <v>15</v>
      </c>
      <c r="G54" s="3" t="s">
        <v>76</v>
      </c>
      <c r="H54" s="3" t="s">
        <v>8</v>
      </c>
      <c r="I54" s="3" t="s">
        <v>7</v>
      </c>
      <c r="J54" s="3" t="s">
        <v>36</v>
      </c>
      <c r="K54" s="3" t="s">
        <v>69</v>
      </c>
      <c r="L54" s="3" t="s">
        <v>26</v>
      </c>
      <c r="M54">
        <v>1</v>
      </c>
    </row>
    <row r="55" spans="1:13" x14ac:dyDescent="0.25">
      <c r="A55" s="2">
        <v>46203</v>
      </c>
      <c r="B55" s="1" t="str">
        <f ca="1">IF(Información1[[#This Row],[Fecha]]='Ajuste de fechas'!$A$2,"Día actual","Día anterior")</f>
        <v>Día actual</v>
      </c>
      <c r="C55" s="3" t="s">
        <v>33</v>
      </c>
      <c r="D55" t="s">
        <v>34</v>
      </c>
      <c r="E55" s="3" t="s">
        <v>170</v>
      </c>
      <c r="F55" s="3" t="s">
        <v>31</v>
      </c>
      <c r="G55" s="3" t="s">
        <v>72</v>
      </c>
      <c r="H55" s="3" t="s">
        <v>8</v>
      </c>
      <c r="I55" s="3" t="s">
        <v>7</v>
      </c>
      <c r="J55" s="3" t="s">
        <v>36</v>
      </c>
      <c r="K55" s="3" t="s">
        <v>35</v>
      </c>
      <c r="L55" s="3" t="s">
        <v>26</v>
      </c>
      <c r="M55">
        <v>1</v>
      </c>
    </row>
    <row r="56" spans="1:13" x14ac:dyDescent="0.25">
      <c r="A56" s="2">
        <v>46203</v>
      </c>
      <c r="B56" s="1" t="str">
        <f ca="1">IF(Información1[[#This Row],[Fecha]]='Ajuste de fechas'!$A$2,"Día actual","Día anterior")</f>
        <v>Día actual</v>
      </c>
      <c r="C56" s="3" t="s">
        <v>33</v>
      </c>
      <c r="D56" t="s">
        <v>34</v>
      </c>
      <c r="E56" s="3" t="s">
        <v>171</v>
      </c>
      <c r="F56" s="3" t="s">
        <v>31</v>
      </c>
      <c r="G56" s="3" t="s">
        <v>172</v>
      </c>
      <c r="H56" s="3" t="s">
        <v>8</v>
      </c>
      <c r="I56" s="3" t="s">
        <v>7</v>
      </c>
      <c r="J56" s="3" t="s">
        <v>36</v>
      </c>
      <c r="K56" s="3" t="s">
        <v>35</v>
      </c>
      <c r="L56" s="3" t="s">
        <v>26</v>
      </c>
      <c r="M56">
        <v>1</v>
      </c>
    </row>
    <row r="57" spans="1:13" x14ac:dyDescent="0.25">
      <c r="A57" s="2">
        <v>46203</v>
      </c>
      <c r="B57" s="1" t="str">
        <f ca="1">IF(Información1[[#This Row],[Fecha]]='Ajuste de fechas'!$A$2,"Día actual","Día anterior")</f>
        <v>Día actual</v>
      </c>
      <c r="C57" s="3" t="s">
        <v>33</v>
      </c>
      <c r="D57" t="s">
        <v>34</v>
      </c>
      <c r="E57" s="3" t="s">
        <v>173</v>
      </c>
      <c r="F57" s="3" t="s">
        <v>31</v>
      </c>
      <c r="G57" s="3" t="s">
        <v>75</v>
      </c>
      <c r="H57" s="3" t="s">
        <v>8</v>
      </c>
      <c r="I57" s="3" t="s">
        <v>7</v>
      </c>
      <c r="J57" s="3" t="s">
        <v>36</v>
      </c>
      <c r="K57" s="3" t="s">
        <v>35</v>
      </c>
      <c r="L57" s="3" t="s">
        <v>26</v>
      </c>
      <c r="M57">
        <v>1</v>
      </c>
    </row>
    <row r="58" spans="1:13" x14ac:dyDescent="0.25">
      <c r="A58" s="2">
        <v>46203</v>
      </c>
      <c r="B58" s="1" t="str">
        <f ca="1">IF(Información1[[#This Row],[Fecha]]='Ajuste de fechas'!$A$2,"Día actual","Día anterior")</f>
        <v>Día actual</v>
      </c>
      <c r="C58" s="3" t="s">
        <v>33</v>
      </c>
      <c r="D58" t="s">
        <v>34</v>
      </c>
      <c r="E58" s="3" t="s">
        <v>169</v>
      </c>
      <c r="F58" s="3" t="s">
        <v>15</v>
      </c>
      <c r="G58" s="3" t="s">
        <v>76</v>
      </c>
      <c r="H58" s="3" t="s">
        <v>8</v>
      </c>
      <c r="I58" s="3" t="s">
        <v>7</v>
      </c>
      <c r="J58" s="3" t="s">
        <v>36</v>
      </c>
      <c r="K58" s="3" t="s">
        <v>35</v>
      </c>
      <c r="L58" s="3" t="s">
        <v>26</v>
      </c>
      <c r="M58">
        <v>1</v>
      </c>
    </row>
    <row r="59" spans="1:13" x14ac:dyDescent="0.25">
      <c r="A59" s="2">
        <v>46203</v>
      </c>
      <c r="B59" s="1" t="str">
        <f ca="1">IF(Información1[[#This Row],[Fecha]]='Ajuste de fechas'!$A$2,"Día actual","Día anterior")</f>
        <v>Día actual</v>
      </c>
      <c r="C59" s="3" t="s">
        <v>16</v>
      </c>
      <c r="D59" t="s">
        <v>174</v>
      </c>
      <c r="E59" s="3" t="s">
        <v>175</v>
      </c>
      <c r="F59" s="3" t="s">
        <v>6</v>
      </c>
      <c r="G59" s="3" t="s">
        <v>176</v>
      </c>
      <c r="H59" s="3" t="s">
        <v>8</v>
      </c>
      <c r="I59" s="3" t="s">
        <v>7</v>
      </c>
      <c r="J59" s="3" t="s">
        <v>36</v>
      </c>
      <c r="K59" s="3" t="s">
        <v>88</v>
      </c>
      <c r="L59" s="3" t="s">
        <v>24</v>
      </c>
      <c r="M59">
        <v>1</v>
      </c>
    </row>
    <row r="60" spans="1:13" x14ac:dyDescent="0.25">
      <c r="A60" s="2">
        <v>46203</v>
      </c>
      <c r="B60" s="1" t="str">
        <f ca="1">IF(Información1[[#This Row],[Fecha]]='Ajuste de fechas'!$A$2,"Día actual","Día anterior")</f>
        <v>Día actual</v>
      </c>
      <c r="C60" s="3" t="s">
        <v>16</v>
      </c>
      <c r="D60" t="s">
        <v>174</v>
      </c>
      <c r="E60" s="3" t="s">
        <v>177</v>
      </c>
      <c r="F60" s="3" t="s">
        <v>10</v>
      </c>
      <c r="G60" s="3" t="s">
        <v>178</v>
      </c>
      <c r="H60" s="3" t="s">
        <v>8</v>
      </c>
      <c r="I60" s="3" t="s">
        <v>7</v>
      </c>
      <c r="J60" s="3" t="s">
        <v>38</v>
      </c>
      <c r="K60" s="3" t="s">
        <v>88</v>
      </c>
      <c r="L60" s="3" t="s">
        <v>24</v>
      </c>
      <c r="M60">
        <v>1</v>
      </c>
    </row>
    <row r="61" spans="1:13" x14ac:dyDescent="0.25">
      <c r="A61" s="2">
        <v>46203</v>
      </c>
      <c r="B61" s="1" t="str">
        <f ca="1">IF(Información1[[#This Row],[Fecha]]='Ajuste de fechas'!$A$2,"Día actual","Día anterior")</f>
        <v>Día actual</v>
      </c>
      <c r="C61" s="3" t="s">
        <v>16</v>
      </c>
      <c r="D61" t="s">
        <v>174</v>
      </c>
      <c r="E61" s="3" t="s">
        <v>179</v>
      </c>
      <c r="F61" s="3" t="s">
        <v>51</v>
      </c>
      <c r="G61" s="3" t="s">
        <v>96</v>
      </c>
      <c r="H61" s="3" t="s">
        <v>8</v>
      </c>
      <c r="I61" s="3" t="s">
        <v>7</v>
      </c>
      <c r="J61" s="3" t="s">
        <v>36</v>
      </c>
      <c r="K61" s="3" t="s">
        <v>88</v>
      </c>
      <c r="L61" s="3" t="s">
        <v>24</v>
      </c>
      <c r="M61">
        <v>1</v>
      </c>
    </row>
    <row r="62" spans="1:13" x14ac:dyDescent="0.25">
      <c r="A62" s="2">
        <v>46203</v>
      </c>
      <c r="B62" s="1" t="str">
        <f ca="1">IF(Información1[[#This Row],[Fecha]]='Ajuste de fechas'!$A$2,"Día actual","Día anterior")</f>
        <v>Día actual</v>
      </c>
      <c r="C62" s="3" t="s">
        <v>16</v>
      </c>
      <c r="D62" t="s">
        <v>174</v>
      </c>
      <c r="E62" s="3" t="s">
        <v>180</v>
      </c>
      <c r="F62" s="3" t="s">
        <v>15</v>
      </c>
      <c r="G62" s="3" t="s">
        <v>165</v>
      </c>
      <c r="H62" s="3" t="s">
        <v>8</v>
      </c>
      <c r="I62" s="3" t="s">
        <v>7</v>
      </c>
      <c r="J62" s="3" t="s">
        <v>36</v>
      </c>
      <c r="K62" s="3" t="s">
        <v>88</v>
      </c>
      <c r="L62" s="3" t="s">
        <v>24</v>
      </c>
      <c r="M62">
        <v>1</v>
      </c>
    </row>
    <row r="63" spans="1:13" x14ac:dyDescent="0.25">
      <c r="A63" s="2">
        <v>46203</v>
      </c>
      <c r="B63" s="1" t="str">
        <f ca="1">IF(Información1[[#This Row],[Fecha]]='Ajuste de fechas'!$A$2,"Día actual","Día anterior")</f>
        <v>Día actual</v>
      </c>
      <c r="C63" s="3" t="s">
        <v>16</v>
      </c>
      <c r="D63" t="s">
        <v>174</v>
      </c>
      <c r="E63" s="3" t="s">
        <v>181</v>
      </c>
      <c r="F63" s="3" t="s">
        <v>15</v>
      </c>
      <c r="G63" s="3" t="s">
        <v>104</v>
      </c>
      <c r="H63" s="3" t="s">
        <v>8</v>
      </c>
      <c r="I63" s="3" t="s">
        <v>7</v>
      </c>
      <c r="J63" s="3" t="s">
        <v>36</v>
      </c>
      <c r="K63" s="3" t="s">
        <v>88</v>
      </c>
      <c r="L63" s="3" t="s">
        <v>24</v>
      </c>
      <c r="M63">
        <v>1</v>
      </c>
    </row>
    <row r="64" spans="1:13" x14ac:dyDescent="0.25">
      <c r="A64" s="2">
        <v>46203</v>
      </c>
      <c r="B64" s="1" t="str">
        <f ca="1">IF(Información1[[#This Row],[Fecha]]='Ajuste de fechas'!$A$2,"Día actual","Día anterior")</f>
        <v>Día actual</v>
      </c>
      <c r="C64" s="3" t="s">
        <v>16</v>
      </c>
      <c r="D64" t="s">
        <v>174</v>
      </c>
      <c r="E64" s="3" t="s">
        <v>182</v>
      </c>
      <c r="F64" s="3" t="s">
        <v>15</v>
      </c>
      <c r="G64" s="3" t="s">
        <v>76</v>
      </c>
      <c r="H64" s="3" t="s">
        <v>8</v>
      </c>
      <c r="I64" s="3" t="s">
        <v>7</v>
      </c>
      <c r="J64" s="3" t="s">
        <v>36</v>
      </c>
      <c r="K64" s="3" t="s">
        <v>88</v>
      </c>
      <c r="L64" s="3" t="s">
        <v>24</v>
      </c>
      <c r="M64">
        <v>1</v>
      </c>
    </row>
    <row r="65" spans="1:13" x14ac:dyDescent="0.25">
      <c r="A65" s="2">
        <v>46203</v>
      </c>
      <c r="B65" s="1" t="str">
        <f ca="1">IF(Información1[[#This Row],[Fecha]]='Ajuste de fechas'!$A$2,"Día actual","Día anterior")</f>
        <v>Día actual</v>
      </c>
      <c r="C65" s="3" t="s">
        <v>16</v>
      </c>
      <c r="D65" t="s">
        <v>174</v>
      </c>
      <c r="E65" s="3" t="s">
        <v>183</v>
      </c>
      <c r="F65" s="3" t="s">
        <v>15</v>
      </c>
      <c r="G65" s="3" t="s">
        <v>168</v>
      </c>
      <c r="H65" s="3" t="s">
        <v>8</v>
      </c>
      <c r="I65" s="3" t="s">
        <v>7</v>
      </c>
      <c r="J65" s="3" t="s">
        <v>36</v>
      </c>
      <c r="K65" s="3" t="s">
        <v>88</v>
      </c>
      <c r="L65" s="3" t="s">
        <v>24</v>
      </c>
      <c r="M65">
        <v>1</v>
      </c>
    </row>
    <row r="66" spans="1:13" x14ac:dyDescent="0.25">
      <c r="A66" s="2">
        <v>46203</v>
      </c>
      <c r="B66" s="1" t="str">
        <f ca="1">IF(Información1[[#This Row],[Fecha]]='Ajuste de fechas'!$A$2,"Día actual","Día anterior")</f>
        <v>Día actual</v>
      </c>
      <c r="C66" s="3" t="s">
        <v>55</v>
      </c>
      <c r="D66" t="s">
        <v>56</v>
      </c>
      <c r="E66" s="3" t="s">
        <v>184</v>
      </c>
      <c r="F66" s="3" t="s">
        <v>51</v>
      </c>
      <c r="G66" s="3" t="s">
        <v>185</v>
      </c>
      <c r="H66" s="3" t="s">
        <v>8</v>
      </c>
      <c r="I66" s="3" t="s">
        <v>14</v>
      </c>
      <c r="J66" s="3" t="s">
        <v>36</v>
      </c>
      <c r="K66" s="3" t="s">
        <v>57</v>
      </c>
      <c r="L66" s="3" t="s">
        <v>25</v>
      </c>
      <c r="M66">
        <v>1</v>
      </c>
    </row>
    <row r="67" spans="1:13" x14ac:dyDescent="0.25">
      <c r="A67" s="2">
        <v>46203</v>
      </c>
      <c r="B67" s="1" t="str">
        <f ca="1">IF(Información1[[#This Row],[Fecha]]='Ajuste de fechas'!$A$2,"Día actual","Día anterior")</f>
        <v>Día actual</v>
      </c>
      <c r="C67" s="3" t="s">
        <v>55</v>
      </c>
      <c r="D67" t="s">
        <v>56</v>
      </c>
      <c r="E67" s="3" t="s">
        <v>186</v>
      </c>
      <c r="F67" s="3" t="s">
        <v>71</v>
      </c>
      <c r="G67" s="3" t="s">
        <v>187</v>
      </c>
      <c r="H67" s="3" t="s">
        <v>8</v>
      </c>
      <c r="I67" s="3" t="s">
        <v>14</v>
      </c>
      <c r="J67" s="3" t="s">
        <v>36</v>
      </c>
      <c r="K67" s="3" t="s">
        <v>57</v>
      </c>
      <c r="L67" s="3" t="s">
        <v>25</v>
      </c>
      <c r="M67">
        <v>1</v>
      </c>
    </row>
    <row r="68" spans="1:13" x14ac:dyDescent="0.25">
      <c r="A68" s="2">
        <v>46203</v>
      </c>
      <c r="B68" s="1" t="str">
        <f ca="1">IF(Información1[[#This Row],[Fecha]]='Ajuste de fechas'!$A$2,"Día actual","Día anterior")</f>
        <v>Día actual</v>
      </c>
      <c r="C68" s="3" t="s">
        <v>55</v>
      </c>
      <c r="D68" t="s">
        <v>56</v>
      </c>
      <c r="E68" s="3" t="s">
        <v>188</v>
      </c>
      <c r="F68" s="3" t="s">
        <v>6</v>
      </c>
      <c r="G68" s="3" t="s">
        <v>82</v>
      </c>
      <c r="H68" s="3" t="s">
        <v>8</v>
      </c>
      <c r="I68" s="3" t="s">
        <v>14</v>
      </c>
      <c r="J68" s="3" t="s">
        <v>36</v>
      </c>
      <c r="K68" s="3" t="s">
        <v>50</v>
      </c>
      <c r="L68" s="3" t="s">
        <v>25</v>
      </c>
      <c r="M68">
        <v>1</v>
      </c>
    </row>
    <row r="69" spans="1:13" x14ac:dyDescent="0.25">
      <c r="A69" s="2">
        <v>46203</v>
      </c>
      <c r="B69" s="1" t="str">
        <f ca="1">IF(Información1[[#This Row],[Fecha]]='Ajuste de fechas'!$A$2,"Día actual","Día anterior")</f>
        <v>Día actual</v>
      </c>
      <c r="C69" s="3" t="s">
        <v>55</v>
      </c>
      <c r="D69" t="s">
        <v>56</v>
      </c>
      <c r="E69" s="3" t="s">
        <v>189</v>
      </c>
      <c r="F69" s="3" t="s">
        <v>6</v>
      </c>
      <c r="G69" s="3" t="s">
        <v>82</v>
      </c>
      <c r="H69" s="3" t="s">
        <v>8</v>
      </c>
      <c r="I69" s="3" t="s">
        <v>54</v>
      </c>
      <c r="J69" s="3" t="s">
        <v>36</v>
      </c>
      <c r="K69" s="3" t="s">
        <v>50</v>
      </c>
      <c r="L69" s="3" t="s">
        <v>25</v>
      </c>
      <c r="M69">
        <v>1</v>
      </c>
    </row>
    <row r="70" spans="1:13" x14ac:dyDescent="0.25">
      <c r="A70" s="2">
        <v>46203</v>
      </c>
      <c r="B70" s="1" t="str">
        <f ca="1">IF(Información1[[#This Row],[Fecha]]='Ajuste de fechas'!$A$2,"Día actual","Día anterior")</f>
        <v>Día actual</v>
      </c>
      <c r="C70" s="3" t="s">
        <v>55</v>
      </c>
      <c r="D70" t="s">
        <v>56</v>
      </c>
      <c r="E70" s="3" t="s">
        <v>190</v>
      </c>
      <c r="F70" s="3" t="s">
        <v>11</v>
      </c>
      <c r="G70" s="3" t="s">
        <v>73</v>
      </c>
      <c r="H70" s="3" t="s">
        <v>8</v>
      </c>
      <c r="I70" s="3" t="s">
        <v>7</v>
      </c>
      <c r="J70" s="3" t="s">
        <v>37</v>
      </c>
      <c r="K70" s="3" t="s">
        <v>50</v>
      </c>
      <c r="L70" s="3" t="s">
        <v>25</v>
      </c>
      <c r="M70">
        <v>1</v>
      </c>
    </row>
    <row r="71" spans="1:13" x14ac:dyDescent="0.25">
      <c r="A71" s="2">
        <v>46203</v>
      </c>
      <c r="B71" s="1" t="str">
        <f ca="1">IF(Información1[[#This Row],[Fecha]]='Ajuste de fechas'!$A$2,"Día actual","Día anterior")</f>
        <v>Día actual</v>
      </c>
      <c r="C71" s="3" t="s">
        <v>55</v>
      </c>
      <c r="D71" t="s">
        <v>56</v>
      </c>
      <c r="E71" s="3" t="s">
        <v>191</v>
      </c>
      <c r="F71" s="3" t="s">
        <v>11</v>
      </c>
      <c r="G71" s="3" t="s">
        <v>192</v>
      </c>
      <c r="H71" s="3" t="s">
        <v>8</v>
      </c>
      <c r="I71" s="3" t="s">
        <v>7</v>
      </c>
      <c r="J71" s="3" t="s">
        <v>37</v>
      </c>
      <c r="K71" s="3" t="s">
        <v>57</v>
      </c>
      <c r="L71" s="3" t="s">
        <v>24</v>
      </c>
      <c r="M71">
        <v>1</v>
      </c>
    </row>
    <row r="72" spans="1:13" x14ac:dyDescent="0.25">
      <c r="A72" s="2">
        <v>46203</v>
      </c>
      <c r="B72" s="1" t="str">
        <f ca="1">IF(Información1[[#This Row],[Fecha]]='Ajuste de fechas'!$A$2,"Día actual","Día anterior")</f>
        <v>Día actual</v>
      </c>
      <c r="C72" s="3" t="s">
        <v>55</v>
      </c>
      <c r="D72" t="s">
        <v>56</v>
      </c>
      <c r="E72" s="3" t="s">
        <v>193</v>
      </c>
      <c r="F72" s="3" t="s">
        <v>11</v>
      </c>
      <c r="G72" s="3" t="s">
        <v>194</v>
      </c>
      <c r="H72" s="3" t="s">
        <v>8</v>
      </c>
      <c r="I72" s="3" t="s">
        <v>7</v>
      </c>
      <c r="J72" s="3" t="s">
        <v>37</v>
      </c>
      <c r="K72" s="3" t="s">
        <v>57</v>
      </c>
      <c r="L72" s="3" t="s">
        <v>24</v>
      </c>
      <c r="M72">
        <v>1</v>
      </c>
    </row>
    <row r="73" spans="1:13" x14ac:dyDescent="0.25">
      <c r="A73" s="2">
        <v>46203</v>
      </c>
      <c r="B73" s="1" t="str">
        <f ca="1">IF(Información1[[#This Row],[Fecha]]='Ajuste de fechas'!$A$2,"Día actual","Día anterior")</f>
        <v>Día actual</v>
      </c>
      <c r="C73" s="3" t="s">
        <v>55</v>
      </c>
      <c r="D73" t="s">
        <v>56</v>
      </c>
      <c r="E73" s="3" t="s">
        <v>195</v>
      </c>
      <c r="F73" s="3" t="s">
        <v>53</v>
      </c>
      <c r="G73" s="3" t="s">
        <v>196</v>
      </c>
      <c r="H73" s="3" t="s">
        <v>8</v>
      </c>
      <c r="I73" s="3" t="s">
        <v>7</v>
      </c>
      <c r="J73" s="3" t="s">
        <v>36</v>
      </c>
      <c r="K73" s="3" t="s">
        <v>57</v>
      </c>
      <c r="L73" s="3" t="s">
        <v>24</v>
      </c>
      <c r="M73">
        <v>1</v>
      </c>
    </row>
    <row r="74" spans="1:13" x14ac:dyDescent="0.25">
      <c r="A74" s="2">
        <v>46203</v>
      </c>
      <c r="B74" s="1" t="str">
        <f ca="1">IF(Información1[[#This Row],[Fecha]]='Ajuste de fechas'!$A$2,"Día actual","Día anterior")</f>
        <v>Día actual</v>
      </c>
      <c r="C74" s="3" t="s">
        <v>55</v>
      </c>
      <c r="D74" t="s">
        <v>56</v>
      </c>
      <c r="E74" s="3" t="s">
        <v>171</v>
      </c>
      <c r="F74" s="3" t="s">
        <v>31</v>
      </c>
      <c r="G74" s="3" t="s">
        <v>172</v>
      </c>
      <c r="H74" s="3" t="s">
        <v>8</v>
      </c>
      <c r="I74" s="3" t="s">
        <v>7</v>
      </c>
      <c r="J74" s="3" t="s">
        <v>36</v>
      </c>
      <c r="K74" s="3" t="s">
        <v>57</v>
      </c>
      <c r="L74" s="3" t="s">
        <v>26</v>
      </c>
      <c r="M74">
        <v>1</v>
      </c>
    </row>
    <row r="75" spans="1:13" x14ac:dyDescent="0.25">
      <c r="A75" s="2">
        <v>46203</v>
      </c>
      <c r="B75" s="1" t="str">
        <f ca="1">IF(Información1[[#This Row],[Fecha]]='Ajuste de fechas'!$A$2,"Día actual","Día anterior")</f>
        <v>Día actual</v>
      </c>
      <c r="C75" s="3" t="s">
        <v>55</v>
      </c>
      <c r="D75" t="s">
        <v>56</v>
      </c>
      <c r="E75" s="3" t="s">
        <v>197</v>
      </c>
      <c r="F75" s="3" t="s">
        <v>9</v>
      </c>
      <c r="G75" s="3" t="s">
        <v>198</v>
      </c>
      <c r="H75" s="3" t="s">
        <v>8</v>
      </c>
      <c r="I75" s="3" t="s">
        <v>7</v>
      </c>
      <c r="J75" s="3" t="s">
        <v>36</v>
      </c>
      <c r="K75" s="3" t="s">
        <v>57</v>
      </c>
      <c r="L75" s="3" t="s">
        <v>24</v>
      </c>
      <c r="M75">
        <v>1</v>
      </c>
    </row>
    <row r="76" spans="1:13" x14ac:dyDescent="0.25">
      <c r="A76" s="2">
        <v>46203</v>
      </c>
      <c r="B76" s="1" t="str">
        <f ca="1">IF(Información1[[#This Row],[Fecha]]='Ajuste de fechas'!$A$2,"Día actual","Día anterior")</f>
        <v>Día actual</v>
      </c>
      <c r="C76" s="3" t="s">
        <v>55</v>
      </c>
      <c r="D76" t="s">
        <v>56</v>
      </c>
      <c r="E76" s="3" t="s">
        <v>199</v>
      </c>
      <c r="F76" s="3" t="s">
        <v>15</v>
      </c>
      <c r="G76" s="3" t="s">
        <v>165</v>
      </c>
      <c r="H76" s="3" t="s">
        <v>8</v>
      </c>
      <c r="I76" s="3" t="s">
        <v>7</v>
      </c>
      <c r="J76" s="3" t="s">
        <v>36</v>
      </c>
      <c r="K76" s="3" t="s">
        <v>57</v>
      </c>
      <c r="L76" s="3" t="s">
        <v>24</v>
      </c>
      <c r="M76">
        <v>1</v>
      </c>
    </row>
    <row r="77" spans="1:13" x14ac:dyDescent="0.25">
      <c r="A77" s="2">
        <v>46203</v>
      </c>
      <c r="B77" s="1" t="str">
        <f ca="1">IF(Información1[[#This Row],[Fecha]]='Ajuste de fechas'!$A$2,"Día actual","Día anterior")</f>
        <v>Día actual</v>
      </c>
      <c r="C77" s="3" t="s">
        <v>55</v>
      </c>
      <c r="D77" t="s">
        <v>56</v>
      </c>
      <c r="E77" s="3" t="s">
        <v>58</v>
      </c>
      <c r="F77" s="3" t="s">
        <v>10</v>
      </c>
      <c r="G77" s="3" t="s">
        <v>200</v>
      </c>
      <c r="H77" s="3" t="s">
        <v>8</v>
      </c>
      <c r="I77" s="3" t="s">
        <v>54</v>
      </c>
      <c r="J77" s="3" t="s">
        <v>38</v>
      </c>
      <c r="K77" s="3" t="s">
        <v>57</v>
      </c>
      <c r="L77" s="3" t="s">
        <v>25</v>
      </c>
      <c r="M77">
        <v>1</v>
      </c>
    </row>
    <row r="78" spans="1:13" x14ac:dyDescent="0.25">
      <c r="A78" s="2">
        <v>46203</v>
      </c>
      <c r="B78" s="1" t="str">
        <f ca="1">IF(Información1[[#This Row],[Fecha]]='Ajuste de fechas'!$A$2,"Día actual","Día anterior")</f>
        <v>Día actual</v>
      </c>
      <c r="C78" s="3" t="s">
        <v>55</v>
      </c>
      <c r="D78" t="s">
        <v>56</v>
      </c>
      <c r="E78" s="3" t="s">
        <v>60</v>
      </c>
      <c r="F78" s="3" t="s">
        <v>10</v>
      </c>
      <c r="G78" s="3" t="s">
        <v>200</v>
      </c>
      <c r="H78" s="3" t="s">
        <v>8</v>
      </c>
      <c r="I78" s="3" t="s">
        <v>54</v>
      </c>
      <c r="J78" s="3" t="s">
        <v>38</v>
      </c>
      <c r="K78" s="3" t="s">
        <v>57</v>
      </c>
      <c r="L78" s="3" t="s">
        <v>25</v>
      </c>
      <c r="M78">
        <v>1</v>
      </c>
    </row>
    <row r="79" spans="1:13" x14ac:dyDescent="0.25">
      <c r="A79" s="2">
        <v>46203</v>
      </c>
      <c r="B79" s="1" t="str">
        <f ca="1">IF(Información1[[#This Row],[Fecha]]='Ajuste de fechas'!$A$2,"Día actual","Día anterior")</f>
        <v>Día actual</v>
      </c>
      <c r="C79" s="3" t="s">
        <v>55</v>
      </c>
      <c r="D79" t="s">
        <v>56</v>
      </c>
      <c r="E79" s="3" t="s">
        <v>61</v>
      </c>
      <c r="F79" s="3" t="s">
        <v>39</v>
      </c>
      <c r="G79" s="3" t="s">
        <v>200</v>
      </c>
      <c r="H79" s="3" t="s">
        <v>8</v>
      </c>
      <c r="I79" s="3" t="s">
        <v>54</v>
      </c>
      <c r="J79" s="3" t="s">
        <v>36</v>
      </c>
      <c r="K79" s="3" t="s">
        <v>57</v>
      </c>
      <c r="L79" s="3" t="s">
        <v>25</v>
      </c>
      <c r="M79">
        <v>1</v>
      </c>
    </row>
    <row r="80" spans="1:13" x14ac:dyDescent="0.25">
      <c r="A80" s="2">
        <v>46203</v>
      </c>
      <c r="B80" s="1" t="str">
        <f ca="1">IF(Información1[[#This Row],[Fecha]]='Ajuste de fechas'!$A$2,"Día actual","Día anterior")</f>
        <v>Día actual</v>
      </c>
      <c r="C80" s="3" t="s">
        <v>55</v>
      </c>
      <c r="D80" t="s">
        <v>56</v>
      </c>
      <c r="E80" s="3" t="s">
        <v>65</v>
      </c>
      <c r="F80" s="3" t="s">
        <v>30</v>
      </c>
      <c r="G80" s="3" t="s">
        <v>200</v>
      </c>
      <c r="H80" s="3" t="s">
        <v>8</v>
      </c>
      <c r="I80" s="3" t="s">
        <v>54</v>
      </c>
      <c r="J80" s="3" t="s">
        <v>13</v>
      </c>
      <c r="K80" s="3" t="s">
        <v>57</v>
      </c>
      <c r="L80" s="3" t="s">
        <v>25</v>
      </c>
      <c r="M80">
        <v>1</v>
      </c>
    </row>
    <row r="81" spans="1:13" x14ac:dyDescent="0.25">
      <c r="A81" s="2">
        <v>46203</v>
      </c>
      <c r="B81" s="1" t="str">
        <f ca="1">IF(Información1[[#This Row],[Fecha]]='Ajuste de fechas'!$A$2,"Día actual","Día anterior")</f>
        <v>Día actual</v>
      </c>
      <c r="C81" s="3" t="s">
        <v>55</v>
      </c>
      <c r="D81" t="s">
        <v>56</v>
      </c>
      <c r="E81" s="3" t="s">
        <v>201</v>
      </c>
      <c r="F81" s="3" t="s">
        <v>9</v>
      </c>
      <c r="G81" s="3" t="s">
        <v>200</v>
      </c>
      <c r="H81" s="3" t="s">
        <v>8</v>
      </c>
      <c r="I81" s="3" t="s">
        <v>54</v>
      </c>
      <c r="J81" s="3" t="s">
        <v>36</v>
      </c>
      <c r="K81" s="3" t="s">
        <v>57</v>
      </c>
      <c r="L81" s="3" t="s">
        <v>25</v>
      </c>
      <c r="M81">
        <v>1</v>
      </c>
    </row>
    <row r="82" spans="1:13" x14ac:dyDescent="0.25">
      <c r="A82" s="2">
        <v>46203</v>
      </c>
      <c r="B82" s="1" t="str">
        <f ca="1">IF(Información1[[#This Row],[Fecha]]='Ajuste de fechas'!$A$2,"Día actual","Día anterior")</f>
        <v>Día actual</v>
      </c>
      <c r="C82" s="3" t="s">
        <v>55</v>
      </c>
      <c r="D82" t="s">
        <v>56</v>
      </c>
      <c r="E82" s="3" t="s">
        <v>63</v>
      </c>
      <c r="F82" s="3" t="s">
        <v>51</v>
      </c>
      <c r="G82" s="3" t="s">
        <v>200</v>
      </c>
      <c r="H82" s="3" t="s">
        <v>8</v>
      </c>
      <c r="I82" s="3" t="s">
        <v>54</v>
      </c>
      <c r="J82" s="3" t="s">
        <v>36</v>
      </c>
      <c r="K82" s="3" t="s">
        <v>57</v>
      </c>
      <c r="L82" s="3" t="s">
        <v>25</v>
      </c>
      <c r="M82">
        <v>1</v>
      </c>
    </row>
    <row r="83" spans="1:13" x14ac:dyDescent="0.25">
      <c r="A83" s="2">
        <v>46203</v>
      </c>
      <c r="B83" s="1" t="str">
        <f ca="1">IF(Información1[[#This Row],[Fecha]]='Ajuste de fechas'!$A$2,"Día actual","Día anterior")</f>
        <v>Día actual</v>
      </c>
      <c r="C83" s="3" t="s">
        <v>55</v>
      </c>
      <c r="D83" t="s">
        <v>56</v>
      </c>
      <c r="E83" s="3" t="s">
        <v>64</v>
      </c>
      <c r="F83" s="3" t="s">
        <v>6</v>
      </c>
      <c r="G83" s="3" t="s">
        <v>200</v>
      </c>
      <c r="H83" s="3" t="s">
        <v>8</v>
      </c>
      <c r="I83" s="3" t="s">
        <v>54</v>
      </c>
      <c r="J83" s="3" t="s">
        <v>36</v>
      </c>
      <c r="K83" s="3" t="s">
        <v>57</v>
      </c>
      <c r="L83" s="3" t="s">
        <v>25</v>
      </c>
      <c r="M83">
        <v>1</v>
      </c>
    </row>
    <row r="84" spans="1:13" x14ac:dyDescent="0.25">
      <c r="A84" s="2">
        <v>46203</v>
      </c>
      <c r="B84" s="1" t="str">
        <f ca="1">IF(Información1[[#This Row],[Fecha]]='Ajuste de fechas'!$A$2,"Día actual","Día anterior")</f>
        <v>Día actual</v>
      </c>
      <c r="C84" s="3" t="s">
        <v>16</v>
      </c>
      <c r="D84" t="s">
        <v>174</v>
      </c>
      <c r="E84" s="3" t="s">
        <v>202</v>
      </c>
      <c r="F84" s="3" t="s">
        <v>53</v>
      </c>
      <c r="G84" s="3" t="s">
        <v>74</v>
      </c>
      <c r="H84" s="3" t="s">
        <v>8</v>
      </c>
      <c r="I84" s="3" t="s">
        <v>54</v>
      </c>
      <c r="J84" s="3" t="s">
        <v>36</v>
      </c>
      <c r="K84" s="3" t="s">
        <v>88</v>
      </c>
      <c r="L84" s="3" t="s">
        <v>203</v>
      </c>
      <c r="M84">
        <v>1</v>
      </c>
    </row>
    <row r="85" spans="1:13" x14ac:dyDescent="0.25">
      <c r="A85" s="2">
        <v>46202</v>
      </c>
      <c r="B85" s="1" t="str">
        <f ca="1">IF(Información1[[#This Row],[Fecha]]='Ajuste de fechas'!$A$2,"Día actual","Día anterior")</f>
        <v>Día anterior</v>
      </c>
      <c r="C85" s="3" t="s">
        <v>204</v>
      </c>
      <c r="D85" t="s">
        <v>205</v>
      </c>
      <c r="E85" s="3" t="s">
        <v>206</v>
      </c>
      <c r="F85" s="3" t="s">
        <v>12</v>
      </c>
      <c r="G85" s="3" t="s">
        <v>79</v>
      </c>
      <c r="H85" s="3" t="s">
        <v>40</v>
      </c>
      <c r="I85" s="3" t="s">
        <v>7</v>
      </c>
      <c r="J85" s="3" t="s">
        <v>36</v>
      </c>
      <c r="K85" s="3" t="s">
        <v>207</v>
      </c>
      <c r="L85" s="3" t="s">
        <v>26</v>
      </c>
      <c r="M85">
        <v>1</v>
      </c>
    </row>
    <row r="86" spans="1:13" x14ac:dyDescent="0.25">
      <c r="A86" s="2">
        <v>46202</v>
      </c>
      <c r="B86" s="1" t="str">
        <f ca="1">IF(Información1[[#This Row],[Fecha]]='Ajuste de fechas'!$A$2,"Día actual","Día anterior")</f>
        <v>Día anterior</v>
      </c>
      <c r="C86" s="3" t="s">
        <v>204</v>
      </c>
      <c r="D86" t="s">
        <v>205</v>
      </c>
      <c r="E86" s="3" t="s">
        <v>208</v>
      </c>
      <c r="F86" s="3" t="s">
        <v>12</v>
      </c>
      <c r="G86" s="3" t="s">
        <v>98</v>
      </c>
      <c r="H86" s="3" t="s">
        <v>40</v>
      </c>
      <c r="I86" s="3" t="s">
        <v>7</v>
      </c>
      <c r="J86" s="3" t="s">
        <v>36</v>
      </c>
      <c r="K86" s="3" t="s">
        <v>207</v>
      </c>
      <c r="L86" s="3" t="s">
        <v>26</v>
      </c>
      <c r="M86">
        <v>1</v>
      </c>
    </row>
    <row r="87" spans="1:13" x14ac:dyDescent="0.25">
      <c r="A87" s="2">
        <v>46203</v>
      </c>
      <c r="B87" s="1" t="str">
        <f ca="1">IF(Información1[[#This Row],[Fecha]]='Ajuste de fechas'!$A$2,"Día actual","Día anterior")</f>
        <v>Día actual</v>
      </c>
      <c r="C87" s="3" t="s">
        <v>204</v>
      </c>
      <c r="D87" t="s">
        <v>205</v>
      </c>
      <c r="E87" s="3" t="s">
        <v>135</v>
      </c>
      <c r="F87" s="3" t="s">
        <v>39</v>
      </c>
      <c r="G87" s="3" t="s">
        <v>136</v>
      </c>
      <c r="H87" s="3" t="s">
        <v>8</v>
      </c>
      <c r="I87" s="3" t="s">
        <v>7</v>
      </c>
      <c r="J87" s="3" t="s">
        <v>36</v>
      </c>
      <c r="K87" s="3" t="s">
        <v>207</v>
      </c>
      <c r="L87" s="3" t="s">
        <v>26</v>
      </c>
      <c r="M87">
        <v>1</v>
      </c>
    </row>
    <row r="88" spans="1:13" x14ac:dyDescent="0.25">
      <c r="A88" s="2">
        <v>46203</v>
      </c>
      <c r="B88" s="1" t="str">
        <f ca="1">IF(Información1[[#This Row],[Fecha]]='Ajuste de fechas'!$A$2,"Día actual","Día anterior")</f>
        <v>Día actual</v>
      </c>
      <c r="C88" s="3" t="s">
        <v>204</v>
      </c>
      <c r="D88" t="s">
        <v>205</v>
      </c>
      <c r="E88" s="3" t="s">
        <v>209</v>
      </c>
      <c r="F88" s="3" t="s">
        <v>210</v>
      </c>
      <c r="G88" s="3" t="s">
        <v>211</v>
      </c>
      <c r="H88" s="3" t="s">
        <v>8</v>
      </c>
      <c r="I88" s="3" t="s">
        <v>7</v>
      </c>
      <c r="J88" s="3" t="s">
        <v>36</v>
      </c>
      <c r="K88" s="3" t="s">
        <v>207</v>
      </c>
      <c r="L88" s="3" t="s">
        <v>26</v>
      </c>
      <c r="M88">
        <v>1</v>
      </c>
    </row>
    <row r="89" spans="1:13" x14ac:dyDescent="0.25">
      <c r="A89" s="2">
        <v>46203</v>
      </c>
      <c r="B89" s="1" t="str">
        <f ca="1">IF(Información1[[#This Row],[Fecha]]='Ajuste de fechas'!$A$2,"Día actual","Día anterior")</f>
        <v>Día actual</v>
      </c>
      <c r="C89" s="3" t="s">
        <v>204</v>
      </c>
      <c r="D89" t="s">
        <v>205</v>
      </c>
      <c r="E89" s="3" t="s">
        <v>212</v>
      </c>
      <c r="F89" s="3" t="s">
        <v>213</v>
      </c>
      <c r="G89" s="3" t="s">
        <v>214</v>
      </c>
      <c r="H89" s="3" t="s">
        <v>8</v>
      </c>
      <c r="I89" s="3" t="s">
        <v>7</v>
      </c>
      <c r="J89" s="3" t="s">
        <v>36</v>
      </c>
      <c r="K89" s="3" t="s">
        <v>207</v>
      </c>
      <c r="L89" s="3" t="s">
        <v>26</v>
      </c>
      <c r="M89">
        <v>1</v>
      </c>
    </row>
    <row r="90" spans="1:13" x14ac:dyDescent="0.25">
      <c r="A90" s="2">
        <v>46203</v>
      </c>
      <c r="B90" s="1" t="str">
        <f ca="1">IF(Información1[[#This Row],[Fecha]]='Ajuste de fechas'!$A$2,"Día actual","Día anterior")</f>
        <v>Día actual</v>
      </c>
      <c r="C90" s="3" t="s">
        <v>204</v>
      </c>
      <c r="D90" t="s">
        <v>205</v>
      </c>
      <c r="E90" s="3" t="s">
        <v>215</v>
      </c>
      <c r="F90" s="3" t="s">
        <v>70</v>
      </c>
      <c r="G90" s="3" t="s">
        <v>142</v>
      </c>
      <c r="H90" s="3" t="s">
        <v>8</v>
      </c>
      <c r="I90" s="3" t="s">
        <v>7</v>
      </c>
      <c r="J90" s="3" t="s">
        <v>36</v>
      </c>
      <c r="K90" s="3" t="s">
        <v>207</v>
      </c>
      <c r="L90" s="3" t="s">
        <v>26</v>
      </c>
      <c r="M90">
        <v>1</v>
      </c>
    </row>
    <row r="91" spans="1:13" x14ac:dyDescent="0.25">
      <c r="A91" s="2">
        <v>46202</v>
      </c>
      <c r="B91" s="1" t="str">
        <f ca="1">IF(Información1[[#This Row],[Fecha]]='Ajuste de fechas'!$A$2,"Día actual","Día anterior")</f>
        <v>Día anterior</v>
      </c>
      <c r="C91" s="3" t="s">
        <v>204</v>
      </c>
      <c r="D91" t="s">
        <v>205</v>
      </c>
      <c r="E91" s="3" t="s">
        <v>216</v>
      </c>
      <c r="F91" s="3" t="s">
        <v>71</v>
      </c>
      <c r="G91" s="3" t="s">
        <v>87</v>
      </c>
      <c r="H91" s="3" t="s">
        <v>40</v>
      </c>
      <c r="I91" s="3" t="s">
        <v>7</v>
      </c>
      <c r="J91" s="3" t="s">
        <v>36</v>
      </c>
      <c r="K91" s="3" t="s">
        <v>207</v>
      </c>
      <c r="L91" s="3" t="s">
        <v>26</v>
      </c>
      <c r="M91">
        <v>1</v>
      </c>
    </row>
    <row r="92" spans="1:13" x14ac:dyDescent="0.25">
      <c r="A92" s="2">
        <v>46202</v>
      </c>
      <c r="B92" s="1" t="str">
        <f ca="1">IF(Información1[[#This Row],[Fecha]]='Ajuste de fechas'!$A$2,"Día actual","Día anterior")</f>
        <v>Día anterior</v>
      </c>
      <c r="C92" s="3" t="s">
        <v>204</v>
      </c>
      <c r="D92" t="s">
        <v>205</v>
      </c>
      <c r="E92" s="3" t="s">
        <v>113</v>
      </c>
      <c r="F92" s="3" t="s">
        <v>31</v>
      </c>
      <c r="G92" s="3" t="s">
        <v>114</v>
      </c>
      <c r="H92" s="3" t="s">
        <v>40</v>
      </c>
      <c r="I92" s="3" t="s">
        <v>7</v>
      </c>
      <c r="J92" s="3" t="s">
        <v>36</v>
      </c>
      <c r="K92" s="3" t="s">
        <v>207</v>
      </c>
      <c r="L92" s="3" t="s">
        <v>26</v>
      </c>
      <c r="M92">
        <v>1</v>
      </c>
    </row>
    <row r="93" spans="1:13" x14ac:dyDescent="0.25">
      <c r="A93" s="2">
        <v>46202</v>
      </c>
      <c r="B93" s="1" t="str">
        <f ca="1">IF(Información1[[#This Row],[Fecha]]='Ajuste de fechas'!$A$2,"Día actual","Día anterior")</f>
        <v>Día anterior</v>
      </c>
      <c r="C93" s="3" t="s">
        <v>204</v>
      </c>
      <c r="D93" t="s">
        <v>205</v>
      </c>
      <c r="E93" s="3" t="s">
        <v>217</v>
      </c>
      <c r="F93" s="3" t="s">
        <v>31</v>
      </c>
      <c r="G93" s="3" t="s">
        <v>72</v>
      </c>
      <c r="H93" s="3" t="s">
        <v>40</v>
      </c>
      <c r="I93" s="3" t="s">
        <v>7</v>
      </c>
      <c r="J93" s="3" t="s">
        <v>36</v>
      </c>
      <c r="K93" s="3" t="s">
        <v>207</v>
      </c>
      <c r="L93" s="3" t="s">
        <v>26</v>
      </c>
      <c r="M93">
        <v>1</v>
      </c>
    </row>
    <row r="94" spans="1:13" x14ac:dyDescent="0.25">
      <c r="A94" s="2">
        <v>46202</v>
      </c>
      <c r="B94" s="1" t="str">
        <f ca="1">IF(Información1[[#This Row],[Fecha]]='Ajuste de fechas'!$A$2,"Día actual","Día anterior")</f>
        <v>Día anterior</v>
      </c>
      <c r="C94" s="3" t="s">
        <v>204</v>
      </c>
      <c r="D94" t="s">
        <v>205</v>
      </c>
      <c r="E94" s="3" t="s">
        <v>218</v>
      </c>
      <c r="F94" s="3" t="s">
        <v>31</v>
      </c>
      <c r="G94" s="3" t="s">
        <v>219</v>
      </c>
      <c r="H94" s="3" t="s">
        <v>40</v>
      </c>
      <c r="I94" s="3" t="s">
        <v>7</v>
      </c>
      <c r="J94" s="3" t="s">
        <v>36</v>
      </c>
      <c r="K94" s="3" t="s">
        <v>207</v>
      </c>
      <c r="L94" s="3" t="s">
        <v>24</v>
      </c>
      <c r="M94">
        <v>1</v>
      </c>
    </row>
    <row r="95" spans="1:13" x14ac:dyDescent="0.25">
      <c r="A95" s="2">
        <v>46202</v>
      </c>
      <c r="B95" s="1" t="str">
        <f ca="1">IF(Información1[[#This Row],[Fecha]]='Ajuste de fechas'!$A$2,"Día actual","Día anterior")</f>
        <v>Día anterior</v>
      </c>
      <c r="C95" s="3" t="s">
        <v>204</v>
      </c>
      <c r="D95" t="s">
        <v>205</v>
      </c>
      <c r="E95" s="3" t="s">
        <v>220</v>
      </c>
      <c r="F95" s="3" t="s">
        <v>15</v>
      </c>
      <c r="G95" s="3" t="s">
        <v>165</v>
      </c>
      <c r="H95" s="3" t="s">
        <v>40</v>
      </c>
      <c r="I95" s="3" t="s">
        <v>7</v>
      </c>
      <c r="J95" s="3" t="s">
        <v>36</v>
      </c>
      <c r="K95" s="3" t="s">
        <v>207</v>
      </c>
      <c r="L95" s="3" t="s">
        <v>24</v>
      </c>
      <c r="M95">
        <v>1</v>
      </c>
    </row>
    <row r="96" spans="1:13" x14ac:dyDescent="0.25">
      <c r="A96" s="2">
        <v>46202</v>
      </c>
      <c r="B96" s="1" t="str">
        <f ca="1">IF(Información1[[#This Row],[Fecha]]='Ajuste de fechas'!$A$2,"Día actual","Día anterior")</f>
        <v>Día anterior</v>
      </c>
      <c r="C96" s="3" t="s">
        <v>204</v>
      </c>
      <c r="D96" t="s">
        <v>205</v>
      </c>
      <c r="E96" s="3" t="s">
        <v>221</v>
      </c>
      <c r="F96" s="3" t="s">
        <v>15</v>
      </c>
      <c r="G96" s="3" t="s">
        <v>76</v>
      </c>
      <c r="H96" s="3" t="s">
        <v>40</v>
      </c>
      <c r="I96" s="3" t="s">
        <v>7</v>
      </c>
      <c r="J96" s="3" t="s">
        <v>36</v>
      </c>
      <c r="K96" s="3" t="s">
        <v>207</v>
      </c>
      <c r="L96" s="3" t="s">
        <v>24</v>
      </c>
      <c r="M96">
        <v>1</v>
      </c>
    </row>
    <row r="97" spans="1:13" x14ac:dyDescent="0.25">
      <c r="A97" s="2">
        <v>46203</v>
      </c>
      <c r="B97" s="1" t="str">
        <f ca="1">IF(Información1[[#This Row],[Fecha]]='Ajuste de fechas'!$A$2,"Día actual","Día anterior")</f>
        <v>Día actual</v>
      </c>
      <c r="C97" s="3" t="s">
        <v>41</v>
      </c>
      <c r="D97" t="s">
        <v>42</v>
      </c>
      <c r="E97" s="3" t="s">
        <v>208</v>
      </c>
      <c r="F97" s="3" t="s">
        <v>12</v>
      </c>
      <c r="G97" s="3" t="s">
        <v>98</v>
      </c>
      <c r="H97" s="3" t="s">
        <v>8</v>
      </c>
      <c r="I97" s="3" t="s">
        <v>7</v>
      </c>
      <c r="J97" s="3" t="s">
        <v>36</v>
      </c>
      <c r="K97" s="3" t="s">
        <v>66</v>
      </c>
      <c r="L97" s="3" t="s">
        <v>26</v>
      </c>
      <c r="M97">
        <v>1</v>
      </c>
    </row>
    <row r="98" spans="1:13" x14ac:dyDescent="0.25">
      <c r="A98" s="2">
        <v>46203</v>
      </c>
      <c r="B98" s="1" t="str">
        <f ca="1">IF(Información1[[#This Row],[Fecha]]='Ajuste de fechas'!$A$2,"Día actual","Día anterior")</f>
        <v>Día actual</v>
      </c>
      <c r="C98" s="3" t="s">
        <v>41</v>
      </c>
      <c r="D98" t="s">
        <v>42</v>
      </c>
      <c r="E98" s="3" t="s">
        <v>167</v>
      </c>
      <c r="F98" s="3" t="s">
        <v>15</v>
      </c>
      <c r="G98" s="3" t="s">
        <v>168</v>
      </c>
      <c r="H98" s="3" t="s">
        <v>8</v>
      </c>
      <c r="I98" s="3" t="s">
        <v>7</v>
      </c>
      <c r="J98" s="3" t="s">
        <v>36</v>
      </c>
      <c r="K98" s="3" t="s">
        <v>66</v>
      </c>
      <c r="L98" s="3" t="s">
        <v>26</v>
      </c>
      <c r="M98">
        <v>1</v>
      </c>
    </row>
    <row r="99" spans="1:13" x14ac:dyDescent="0.25">
      <c r="A99" s="2">
        <v>46203</v>
      </c>
      <c r="B99" s="1" t="str">
        <f ca="1">IF(Información1[[#This Row],[Fecha]]='Ajuste de fechas'!$A$2,"Día actual","Día anterior")</f>
        <v>Día actual</v>
      </c>
      <c r="C99" s="3" t="s">
        <v>41</v>
      </c>
      <c r="D99" t="s">
        <v>42</v>
      </c>
      <c r="E99" s="3" t="s">
        <v>222</v>
      </c>
      <c r="F99" s="3" t="s">
        <v>10</v>
      </c>
      <c r="G99" s="3" t="s">
        <v>223</v>
      </c>
      <c r="H99" s="3" t="s">
        <v>8</v>
      </c>
      <c r="I99" s="3" t="s">
        <v>7</v>
      </c>
      <c r="J99" s="3" t="s">
        <v>38</v>
      </c>
      <c r="K99" s="3" t="s">
        <v>66</v>
      </c>
      <c r="L99" s="3" t="s">
        <v>24</v>
      </c>
      <c r="M99">
        <v>1</v>
      </c>
    </row>
    <row r="100" spans="1:13" x14ac:dyDescent="0.25">
      <c r="A100" s="2">
        <v>46203</v>
      </c>
      <c r="B100" s="1" t="str">
        <f ca="1">IF(Información1[[#This Row],[Fecha]]='Ajuste de fechas'!$A$2,"Día actual","Día anterior")</f>
        <v>Día actual</v>
      </c>
      <c r="C100" s="3" t="s">
        <v>41</v>
      </c>
      <c r="D100" t="s">
        <v>42</v>
      </c>
      <c r="E100" s="3" t="s">
        <v>224</v>
      </c>
      <c r="F100" s="3" t="s">
        <v>10</v>
      </c>
      <c r="G100" s="3" t="s">
        <v>87</v>
      </c>
      <c r="H100" s="3" t="s">
        <v>8</v>
      </c>
      <c r="I100" s="3" t="s">
        <v>7</v>
      </c>
      <c r="J100" s="3" t="s">
        <v>38</v>
      </c>
      <c r="K100" s="3" t="s">
        <v>66</v>
      </c>
      <c r="L100" s="3" t="s">
        <v>49</v>
      </c>
      <c r="M100">
        <v>1</v>
      </c>
    </row>
    <row r="101" spans="1:13" x14ac:dyDescent="0.25">
      <c r="A101" s="2">
        <v>46203</v>
      </c>
      <c r="B101" s="1" t="str">
        <f ca="1">IF(Información1[[#This Row],[Fecha]]='Ajuste de fechas'!$A$2,"Día actual","Día anterior")</f>
        <v>Día actual</v>
      </c>
      <c r="C101" s="3" t="s">
        <v>41</v>
      </c>
      <c r="D101" t="s">
        <v>42</v>
      </c>
      <c r="E101" s="3" t="s">
        <v>225</v>
      </c>
      <c r="F101" s="3" t="s">
        <v>39</v>
      </c>
      <c r="G101" s="3" t="s">
        <v>226</v>
      </c>
      <c r="H101" s="3" t="s">
        <v>8</v>
      </c>
      <c r="I101" s="3" t="s">
        <v>7</v>
      </c>
      <c r="J101" s="3" t="s">
        <v>36</v>
      </c>
      <c r="K101" s="3" t="s">
        <v>66</v>
      </c>
      <c r="L101" s="3" t="s">
        <v>26</v>
      </c>
      <c r="M101">
        <v>1</v>
      </c>
    </row>
    <row r="102" spans="1:13" x14ac:dyDescent="0.25">
      <c r="A102" s="2">
        <v>46203</v>
      </c>
      <c r="B102" s="1" t="str">
        <f ca="1">IF(Información1[[#This Row],[Fecha]]='Ajuste de fechas'!$A$2,"Día actual","Día anterior")</f>
        <v>Día actual</v>
      </c>
      <c r="C102" s="3" t="s">
        <v>41</v>
      </c>
      <c r="D102" t="s">
        <v>42</v>
      </c>
      <c r="E102" s="3" t="s">
        <v>227</v>
      </c>
      <c r="F102" s="3" t="s">
        <v>53</v>
      </c>
      <c r="G102" s="3" t="s">
        <v>74</v>
      </c>
      <c r="H102" s="3" t="s">
        <v>8</v>
      </c>
      <c r="I102" s="3" t="s">
        <v>7</v>
      </c>
      <c r="J102" s="3" t="s">
        <v>36</v>
      </c>
      <c r="K102" s="3" t="s">
        <v>66</v>
      </c>
      <c r="L102" s="3" t="s">
        <v>24</v>
      </c>
      <c r="M102">
        <v>1</v>
      </c>
    </row>
    <row r="103" spans="1:13" x14ac:dyDescent="0.25">
      <c r="A103" s="2">
        <v>46203</v>
      </c>
      <c r="B103" s="1" t="str">
        <f ca="1">IF(Información1[[#This Row],[Fecha]]='Ajuste de fechas'!$A$2,"Día actual","Día anterior")</f>
        <v>Día actual</v>
      </c>
      <c r="C103" s="3" t="s">
        <v>41</v>
      </c>
      <c r="D103" t="s">
        <v>42</v>
      </c>
      <c r="E103" s="3" t="s">
        <v>228</v>
      </c>
      <c r="F103" s="3" t="s">
        <v>53</v>
      </c>
      <c r="G103" s="3" t="s">
        <v>74</v>
      </c>
      <c r="H103" s="3" t="s">
        <v>8</v>
      </c>
      <c r="I103" s="3" t="s">
        <v>7</v>
      </c>
      <c r="J103" s="3" t="s">
        <v>36</v>
      </c>
      <c r="K103" s="3" t="s">
        <v>66</v>
      </c>
      <c r="L103" s="3" t="s">
        <v>24</v>
      </c>
      <c r="M103">
        <v>1</v>
      </c>
    </row>
    <row r="104" spans="1:13" x14ac:dyDescent="0.25">
      <c r="A104" s="2">
        <v>46203</v>
      </c>
      <c r="B104" s="1" t="str">
        <f ca="1">IF(Información1[[#This Row],[Fecha]]='Ajuste de fechas'!$A$2,"Día actual","Día anterior")</f>
        <v>Día actual</v>
      </c>
      <c r="C104" s="3" t="s">
        <v>41</v>
      </c>
      <c r="D104" t="s">
        <v>42</v>
      </c>
      <c r="E104" s="3" t="s">
        <v>229</v>
      </c>
      <c r="F104" s="3" t="s">
        <v>230</v>
      </c>
      <c r="G104" s="3" t="s">
        <v>231</v>
      </c>
      <c r="H104" s="3" t="s">
        <v>8</v>
      </c>
      <c r="I104" s="3" t="s">
        <v>14</v>
      </c>
      <c r="J104" s="3" t="s">
        <v>36</v>
      </c>
      <c r="K104" s="3" t="s">
        <v>66</v>
      </c>
      <c r="L104" s="3" t="s">
        <v>25</v>
      </c>
      <c r="M104">
        <v>1</v>
      </c>
    </row>
    <row r="105" spans="1:13" x14ac:dyDescent="0.25">
      <c r="A105" s="2">
        <v>46203</v>
      </c>
      <c r="B105" s="1" t="str">
        <f ca="1">IF(Información1[[#This Row],[Fecha]]='Ajuste de fechas'!$A$2,"Día actual","Día anterior")</f>
        <v>Día actual</v>
      </c>
      <c r="C105" s="3" t="s">
        <v>41</v>
      </c>
      <c r="D105" t="s">
        <v>42</v>
      </c>
      <c r="E105" s="3" t="s">
        <v>229</v>
      </c>
      <c r="F105" s="3" t="s">
        <v>232</v>
      </c>
      <c r="G105" s="3" t="s">
        <v>231</v>
      </c>
      <c r="H105" s="3" t="s">
        <v>8</v>
      </c>
      <c r="I105" s="3" t="s">
        <v>14</v>
      </c>
      <c r="J105" s="3" t="s">
        <v>36</v>
      </c>
      <c r="K105" s="3" t="s">
        <v>66</v>
      </c>
      <c r="L105" s="3" t="s">
        <v>25</v>
      </c>
      <c r="M105">
        <v>1</v>
      </c>
    </row>
    <row r="106" spans="1:13" x14ac:dyDescent="0.25">
      <c r="A106" s="2">
        <v>46203</v>
      </c>
      <c r="B106" s="1" t="str">
        <f ca="1">IF(Información1[[#This Row],[Fecha]]='Ajuste de fechas'!$A$2,"Día actual","Día anterior")</f>
        <v>Día actual</v>
      </c>
      <c r="C106" s="3" t="s">
        <v>41</v>
      </c>
      <c r="D106" t="s">
        <v>42</v>
      </c>
      <c r="E106" s="3" t="s">
        <v>233</v>
      </c>
      <c r="F106" s="3" t="s">
        <v>11</v>
      </c>
      <c r="G106" s="3" t="s">
        <v>231</v>
      </c>
      <c r="H106" s="3" t="s">
        <v>8</v>
      </c>
      <c r="I106" s="3" t="s">
        <v>14</v>
      </c>
      <c r="J106" s="3" t="s">
        <v>37</v>
      </c>
      <c r="K106" s="3" t="s">
        <v>66</v>
      </c>
      <c r="L106" s="3" t="s">
        <v>24</v>
      </c>
      <c r="M106">
        <v>1</v>
      </c>
    </row>
    <row r="107" spans="1:13" x14ac:dyDescent="0.25">
      <c r="A107" s="2">
        <v>46203</v>
      </c>
      <c r="B107" s="1" t="str">
        <f ca="1">IF(Información1[[#This Row],[Fecha]]='Ajuste de fechas'!$A$2,"Día actual","Día anterior")</f>
        <v>Día actual</v>
      </c>
      <c r="C107" s="3" t="s">
        <v>41</v>
      </c>
      <c r="D107" t="s">
        <v>42</v>
      </c>
      <c r="E107" s="3" t="s">
        <v>234</v>
      </c>
      <c r="F107" s="3" t="s">
        <v>30</v>
      </c>
      <c r="G107" s="3" t="s">
        <v>235</v>
      </c>
      <c r="H107" s="3" t="s">
        <v>8</v>
      </c>
      <c r="I107" s="3" t="s">
        <v>7</v>
      </c>
      <c r="J107" s="3" t="s">
        <v>13</v>
      </c>
      <c r="K107" s="3" t="s">
        <v>66</v>
      </c>
      <c r="L107" s="3" t="s">
        <v>24</v>
      </c>
      <c r="M107">
        <v>1</v>
      </c>
    </row>
    <row r="108" spans="1:13" x14ac:dyDescent="0.25">
      <c r="A108" s="2">
        <v>46203</v>
      </c>
      <c r="B108" s="1" t="str">
        <f ca="1">IF(Información1[[#This Row],[Fecha]]='Ajuste de fechas'!$A$2,"Día actual","Día anterior")</f>
        <v>Día actual</v>
      </c>
      <c r="C108" s="3" t="s">
        <v>41</v>
      </c>
      <c r="D108" t="s">
        <v>42</v>
      </c>
      <c r="E108" s="3" t="s">
        <v>236</v>
      </c>
      <c r="F108" s="3" t="s">
        <v>10</v>
      </c>
      <c r="G108" s="3" t="s">
        <v>237</v>
      </c>
      <c r="H108" s="3" t="s">
        <v>8</v>
      </c>
      <c r="I108" s="3" t="s">
        <v>7</v>
      </c>
      <c r="J108" s="3" t="s">
        <v>38</v>
      </c>
      <c r="K108" s="3" t="s">
        <v>66</v>
      </c>
      <c r="L108" s="3" t="s">
        <v>24</v>
      </c>
      <c r="M108">
        <v>1</v>
      </c>
    </row>
    <row r="109" spans="1:13" x14ac:dyDescent="0.25">
      <c r="A109" s="2">
        <v>46203</v>
      </c>
      <c r="B109" s="1" t="str">
        <f ca="1">IF(Información1[[#This Row],[Fecha]]='Ajuste de fechas'!$A$2,"Día actual","Día anterior")</f>
        <v>Día actual</v>
      </c>
      <c r="C109" s="3" t="s">
        <v>41</v>
      </c>
      <c r="D109" t="s">
        <v>42</v>
      </c>
      <c r="E109" s="3" t="s">
        <v>238</v>
      </c>
      <c r="F109" s="3" t="s">
        <v>131</v>
      </c>
      <c r="G109" s="3" t="s">
        <v>76</v>
      </c>
      <c r="H109" s="3" t="s">
        <v>8</v>
      </c>
      <c r="I109" s="3" t="s">
        <v>14</v>
      </c>
      <c r="J109" s="3" t="s">
        <v>36</v>
      </c>
      <c r="K109" s="3" t="s">
        <v>50</v>
      </c>
      <c r="L109" s="3" t="s">
        <v>25</v>
      </c>
      <c r="M109">
        <v>1</v>
      </c>
    </row>
    <row r="110" spans="1:13" x14ac:dyDescent="0.25">
      <c r="A110" s="2">
        <v>46203</v>
      </c>
      <c r="B110" s="1" t="str">
        <f ca="1">IF(Información1[[#This Row],[Fecha]]='Ajuste de fechas'!$A$2,"Día actual","Día anterior")</f>
        <v>Día actual</v>
      </c>
      <c r="C110" s="3" t="s">
        <v>41</v>
      </c>
      <c r="D110" t="s">
        <v>42</v>
      </c>
      <c r="E110" s="3" t="s">
        <v>239</v>
      </c>
      <c r="F110" s="3" t="s">
        <v>15</v>
      </c>
      <c r="G110" s="3" t="s">
        <v>76</v>
      </c>
      <c r="H110" s="3" t="s">
        <v>8</v>
      </c>
      <c r="I110" s="3" t="s">
        <v>7</v>
      </c>
      <c r="J110" s="3" t="s">
        <v>36</v>
      </c>
      <c r="K110" s="3" t="s">
        <v>66</v>
      </c>
      <c r="L110" s="3" t="s">
        <v>26</v>
      </c>
      <c r="M110">
        <v>1</v>
      </c>
    </row>
    <row r="111" spans="1:13" x14ac:dyDescent="0.25">
      <c r="A111" s="2">
        <v>46203</v>
      </c>
      <c r="B111" s="1" t="str">
        <f ca="1">IF(Información1[[#This Row],[Fecha]]='Ajuste de fechas'!$A$2,"Día actual","Día anterior")</f>
        <v>Día actual</v>
      </c>
      <c r="C111" s="3" t="s">
        <v>41</v>
      </c>
      <c r="D111" t="s">
        <v>42</v>
      </c>
      <c r="E111" s="3" t="s">
        <v>44</v>
      </c>
      <c r="F111" s="3" t="s">
        <v>10</v>
      </c>
      <c r="G111" s="3" t="s">
        <v>48</v>
      </c>
      <c r="H111" s="3" t="s">
        <v>8</v>
      </c>
      <c r="I111" s="3" t="s">
        <v>7</v>
      </c>
      <c r="J111" s="3" t="s">
        <v>38</v>
      </c>
      <c r="K111" s="3" t="s">
        <v>66</v>
      </c>
      <c r="L111" s="3" t="s">
        <v>24</v>
      </c>
      <c r="M111">
        <v>1</v>
      </c>
    </row>
    <row r="112" spans="1:13" x14ac:dyDescent="0.25">
      <c r="A112" s="2">
        <v>46203</v>
      </c>
      <c r="B112" s="1" t="str">
        <f ca="1">IF(Información1[[#This Row],[Fecha]]='Ajuste de fechas'!$A$2,"Día actual","Día anterior")</f>
        <v>Día actual</v>
      </c>
      <c r="C112" s="3" t="s">
        <v>41</v>
      </c>
      <c r="D112" t="s">
        <v>42</v>
      </c>
      <c r="E112" s="3" t="s">
        <v>240</v>
      </c>
      <c r="F112" s="3" t="s">
        <v>10</v>
      </c>
      <c r="G112" s="3" t="s">
        <v>241</v>
      </c>
      <c r="H112" s="3" t="s">
        <v>8</v>
      </c>
      <c r="I112" s="3" t="s">
        <v>7</v>
      </c>
      <c r="J112" s="3" t="s">
        <v>38</v>
      </c>
      <c r="K112" s="3" t="s">
        <v>66</v>
      </c>
      <c r="L112" s="3" t="s">
        <v>24</v>
      </c>
      <c r="M112">
        <v>1</v>
      </c>
    </row>
    <row r="113" spans="1:13" x14ac:dyDescent="0.25">
      <c r="A113" s="2">
        <v>46203</v>
      </c>
      <c r="B113" s="1" t="str">
        <f ca="1">IF(Información1[[#This Row],[Fecha]]='Ajuste de fechas'!$A$2,"Día actual","Día anterior")</f>
        <v>Día actual</v>
      </c>
      <c r="C113" s="3" t="s">
        <v>41</v>
      </c>
      <c r="D113" t="s">
        <v>42</v>
      </c>
      <c r="E113" s="3" t="s">
        <v>242</v>
      </c>
      <c r="F113" s="3" t="s">
        <v>10</v>
      </c>
      <c r="G113" s="3" t="s">
        <v>243</v>
      </c>
      <c r="H113" s="3" t="s">
        <v>8</v>
      </c>
      <c r="I113" s="3" t="s">
        <v>14</v>
      </c>
      <c r="J113" s="3" t="s">
        <v>38</v>
      </c>
      <c r="K113" s="3" t="s">
        <v>66</v>
      </c>
      <c r="L113" s="3" t="s">
        <v>24</v>
      </c>
      <c r="M113">
        <v>1</v>
      </c>
    </row>
    <row r="114" spans="1:13" x14ac:dyDescent="0.25">
      <c r="A114" s="2">
        <v>46203</v>
      </c>
      <c r="B114" s="1" t="str">
        <f ca="1">IF(Información1[[#This Row],[Fecha]]='Ajuste de fechas'!$A$2,"Día actual","Día anterior")</f>
        <v>Día actual</v>
      </c>
      <c r="C114" s="3" t="s">
        <v>41</v>
      </c>
      <c r="D114" t="s">
        <v>42</v>
      </c>
      <c r="E114" s="3" t="s">
        <v>244</v>
      </c>
      <c r="F114" s="3" t="s">
        <v>15</v>
      </c>
      <c r="G114" s="3" t="s">
        <v>165</v>
      </c>
      <c r="H114" s="3" t="s">
        <v>8</v>
      </c>
      <c r="I114" s="3" t="s">
        <v>7</v>
      </c>
      <c r="J114" s="3" t="s">
        <v>36</v>
      </c>
      <c r="K114" s="3" t="s">
        <v>66</v>
      </c>
      <c r="L114" s="3" t="s">
        <v>24</v>
      </c>
      <c r="M114">
        <v>1</v>
      </c>
    </row>
    <row r="115" spans="1:13" x14ac:dyDescent="0.25">
      <c r="A115" s="2">
        <v>46203</v>
      </c>
      <c r="B115" s="1" t="str">
        <f ca="1">IF(Información1[[#This Row],[Fecha]]='Ajuste de fechas'!$A$2,"Día actual","Día anterior")</f>
        <v>Día actual</v>
      </c>
      <c r="C115" s="3" t="s">
        <v>41</v>
      </c>
      <c r="D115" t="s">
        <v>42</v>
      </c>
      <c r="E115" s="3" t="s">
        <v>245</v>
      </c>
      <c r="F115" s="3" t="s">
        <v>15</v>
      </c>
      <c r="G115" s="3" t="s">
        <v>165</v>
      </c>
      <c r="H115" s="3" t="s">
        <v>8</v>
      </c>
      <c r="I115" s="3" t="s">
        <v>7</v>
      </c>
      <c r="J115" s="3" t="s">
        <v>36</v>
      </c>
      <c r="K115" s="3" t="s">
        <v>66</v>
      </c>
      <c r="L115" s="3" t="s">
        <v>24</v>
      </c>
      <c r="M115">
        <v>1</v>
      </c>
    </row>
    <row r="116" spans="1:13" x14ac:dyDescent="0.25">
      <c r="A116" s="2">
        <v>46203</v>
      </c>
      <c r="B116" s="1" t="str">
        <f ca="1">IF(Información1[[#This Row],[Fecha]]='Ajuste de fechas'!$A$2,"Día actual","Día anterior")</f>
        <v>Día actual</v>
      </c>
      <c r="C116" s="3" t="s">
        <v>45</v>
      </c>
      <c r="D116" t="s">
        <v>46</v>
      </c>
      <c r="E116" s="3" t="s">
        <v>246</v>
      </c>
      <c r="F116" s="3" t="s">
        <v>10</v>
      </c>
      <c r="G116" s="3" t="s">
        <v>82</v>
      </c>
      <c r="H116" s="3" t="s">
        <v>40</v>
      </c>
      <c r="I116" s="3" t="s">
        <v>14</v>
      </c>
      <c r="J116" s="3" t="s">
        <v>38</v>
      </c>
      <c r="K116" s="3" t="s">
        <v>83</v>
      </c>
      <c r="L116" s="3" t="s">
        <v>24</v>
      </c>
      <c r="M116">
        <v>1</v>
      </c>
    </row>
    <row r="117" spans="1:13" x14ac:dyDescent="0.25">
      <c r="A117" s="2">
        <v>46203</v>
      </c>
      <c r="B117" s="1" t="str">
        <f ca="1">IF(Información1[[#This Row],[Fecha]]='Ajuste de fechas'!$A$2,"Día actual","Día anterior")</f>
        <v>Día actual</v>
      </c>
      <c r="C117" s="3" t="s">
        <v>45</v>
      </c>
      <c r="D117" t="s">
        <v>46</v>
      </c>
      <c r="E117" s="3" t="s">
        <v>247</v>
      </c>
      <c r="F117" s="3" t="s">
        <v>10</v>
      </c>
      <c r="G117" s="3" t="s">
        <v>248</v>
      </c>
      <c r="H117" s="3" t="s">
        <v>40</v>
      </c>
      <c r="I117" s="3" t="s">
        <v>14</v>
      </c>
      <c r="J117" s="3" t="s">
        <v>38</v>
      </c>
      <c r="K117" s="3" t="s">
        <v>47</v>
      </c>
      <c r="L117" s="3" t="s">
        <v>24</v>
      </c>
      <c r="M117">
        <v>1</v>
      </c>
    </row>
    <row r="118" spans="1:13" x14ac:dyDescent="0.25">
      <c r="A118" s="2">
        <v>46203</v>
      </c>
      <c r="B118" s="1" t="str">
        <f ca="1">IF(Información1[[#This Row],[Fecha]]='Ajuste de fechas'!$A$2,"Día actual","Día anterior")</f>
        <v>Día actual</v>
      </c>
      <c r="C118" s="3" t="s">
        <v>45</v>
      </c>
      <c r="D118" t="s">
        <v>46</v>
      </c>
      <c r="E118" s="3" t="s">
        <v>249</v>
      </c>
      <c r="F118" s="3" t="s">
        <v>9</v>
      </c>
      <c r="G118" s="3" t="s">
        <v>250</v>
      </c>
      <c r="H118" s="3" t="s">
        <v>40</v>
      </c>
      <c r="I118" s="3" t="s">
        <v>14</v>
      </c>
      <c r="J118" s="3" t="s">
        <v>36</v>
      </c>
      <c r="K118" s="3" t="s">
        <v>47</v>
      </c>
      <c r="L118" s="3" t="s">
        <v>24</v>
      </c>
      <c r="M118">
        <v>1</v>
      </c>
    </row>
    <row r="119" spans="1:13" x14ac:dyDescent="0.25">
      <c r="A119" s="2">
        <v>46203</v>
      </c>
      <c r="B119" s="1" t="str">
        <f ca="1">IF(Información1[[#This Row],[Fecha]]='Ajuste de fechas'!$A$2,"Día actual","Día anterior")</f>
        <v>Día actual</v>
      </c>
      <c r="C119" s="3" t="s">
        <v>45</v>
      </c>
      <c r="D119" t="s">
        <v>46</v>
      </c>
      <c r="E119" s="3" t="s">
        <v>251</v>
      </c>
      <c r="F119" s="3" t="s">
        <v>9</v>
      </c>
      <c r="G119" s="3" t="s">
        <v>250</v>
      </c>
      <c r="H119" s="3" t="s">
        <v>40</v>
      </c>
      <c r="I119" s="3" t="s">
        <v>14</v>
      </c>
      <c r="J119" s="3" t="s">
        <v>36</v>
      </c>
      <c r="K119" s="3" t="s">
        <v>47</v>
      </c>
      <c r="L119" s="3" t="s">
        <v>24</v>
      </c>
      <c r="M119">
        <v>1</v>
      </c>
    </row>
    <row r="120" spans="1:13" x14ac:dyDescent="0.25">
      <c r="A120" s="2">
        <v>46203</v>
      </c>
      <c r="B120" s="1" t="str">
        <f ca="1">IF(Información1[[#This Row],[Fecha]]='Ajuste de fechas'!$A$2,"Día actual","Día anterior")</f>
        <v>Día actual</v>
      </c>
      <c r="C120" s="3" t="s">
        <v>45</v>
      </c>
      <c r="D120" t="s">
        <v>46</v>
      </c>
      <c r="E120" s="3" t="s">
        <v>252</v>
      </c>
      <c r="F120" s="3" t="s">
        <v>10</v>
      </c>
      <c r="G120" s="3" t="s">
        <v>237</v>
      </c>
      <c r="H120" s="3" t="s">
        <v>40</v>
      </c>
      <c r="I120" s="3" t="s">
        <v>7</v>
      </c>
      <c r="J120" s="3" t="s">
        <v>38</v>
      </c>
      <c r="K120" s="3" t="s">
        <v>47</v>
      </c>
      <c r="L120" s="3" t="s">
        <v>24</v>
      </c>
      <c r="M120">
        <v>1</v>
      </c>
    </row>
    <row r="121" spans="1:13" x14ac:dyDescent="0.25">
      <c r="A121" s="2">
        <v>46203</v>
      </c>
      <c r="B121" s="1" t="str">
        <f ca="1">IF(Información1[[#This Row],[Fecha]]='Ajuste de fechas'!$A$2,"Día actual","Día anterior")</f>
        <v>Día actual</v>
      </c>
      <c r="C121" s="3" t="s">
        <v>45</v>
      </c>
      <c r="D121" t="s">
        <v>46</v>
      </c>
      <c r="E121" s="3" t="s">
        <v>253</v>
      </c>
      <c r="F121" s="3" t="s">
        <v>43</v>
      </c>
      <c r="G121" s="3" t="s">
        <v>125</v>
      </c>
      <c r="H121" s="3" t="s">
        <v>40</v>
      </c>
      <c r="I121" s="3" t="s">
        <v>7</v>
      </c>
      <c r="J121" s="3" t="s">
        <v>36</v>
      </c>
      <c r="K121" s="3" t="s">
        <v>47</v>
      </c>
      <c r="L121" s="3" t="s">
        <v>24</v>
      </c>
      <c r="M121">
        <v>1</v>
      </c>
    </row>
    <row r="122" spans="1:13" x14ac:dyDescent="0.25">
      <c r="A122" s="2">
        <v>46203</v>
      </c>
      <c r="B122" s="1" t="str">
        <f ca="1">IF(Información1[[#This Row],[Fecha]]='Ajuste de fechas'!$A$2,"Día actual","Día anterior")</f>
        <v>Día actual</v>
      </c>
      <c r="C122" s="3" t="s">
        <v>45</v>
      </c>
      <c r="D122" t="s">
        <v>46</v>
      </c>
      <c r="E122" s="3" t="s">
        <v>254</v>
      </c>
      <c r="F122" s="3" t="s">
        <v>10</v>
      </c>
      <c r="G122" s="3" t="s">
        <v>255</v>
      </c>
      <c r="H122" s="3" t="s">
        <v>40</v>
      </c>
      <c r="I122" s="3" t="s">
        <v>7</v>
      </c>
      <c r="J122" s="3" t="s">
        <v>38</v>
      </c>
      <c r="K122" s="3" t="s">
        <v>83</v>
      </c>
      <c r="L122" s="3" t="s">
        <v>24</v>
      </c>
      <c r="M122">
        <v>1</v>
      </c>
    </row>
    <row r="123" spans="1:13" x14ac:dyDescent="0.25">
      <c r="A123" s="2">
        <v>46203</v>
      </c>
      <c r="B123" s="1" t="str">
        <f ca="1">IF(Información1[[#This Row],[Fecha]]='Ajuste de fechas'!$A$2,"Día actual","Día anterior")</f>
        <v>Día actual</v>
      </c>
      <c r="C123" s="3" t="s">
        <v>45</v>
      </c>
      <c r="D123" t="s">
        <v>46</v>
      </c>
      <c r="E123" s="3" t="s">
        <v>256</v>
      </c>
      <c r="F123" s="3" t="s">
        <v>17</v>
      </c>
      <c r="G123" s="3" t="s">
        <v>257</v>
      </c>
      <c r="H123" s="3" t="s">
        <v>40</v>
      </c>
      <c r="I123" s="3" t="s">
        <v>7</v>
      </c>
      <c r="J123" s="3" t="s">
        <v>36</v>
      </c>
      <c r="K123" s="3" t="s">
        <v>47</v>
      </c>
      <c r="L123" s="3" t="s">
        <v>26</v>
      </c>
      <c r="M123">
        <v>1</v>
      </c>
    </row>
    <row r="124" spans="1:13" x14ac:dyDescent="0.25">
      <c r="A124" s="2">
        <v>46203</v>
      </c>
      <c r="B124" s="1" t="str">
        <f ca="1">IF(Información1[[#This Row],[Fecha]]='Ajuste de fechas'!$A$2,"Día actual","Día anterior")</f>
        <v>Día actual</v>
      </c>
      <c r="C124" s="3" t="s">
        <v>45</v>
      </c>
      <c r="D124" t="s">
        <v>46</v>
      </c>
      <c r="E124" s="3" t="s">
        <v>258</v>
      </c>
      <c r="F124" s="3" t="s">
        <v>39</v>
      </c>
      <c r="G124" s="3" t="s">
        <v>259</v>
      </c>
      <c r="H124" s="3" t="s">
        <v>40</v>
      </c>
      <c r="I124" s="3" t="s">
        <v>7</v>
      </c>
      <c r="J124" s="3" t="s">
        <v>36</v>
      </c>
      <c r="K124" s="3" t="s">
        <v>47</v>
      </c>
      <c r="L124" s="3" t="s">
        <v>26</v>
      </c>
      <c r="M124">
        <v>1</v>
      </c>
    </row>
    <row r="125" spans="1:13" x14ac:dyDescent="0.25">
      <c r="A125" s="2">
        <v>46203</v>
      </c>
      <c r="B125" s="1" t="str">
        <f ca="1">IF(Información1[[#This Row],[Fecha]]='Ajuste de fechas'!$A$2,"Día actual","Día anterior")</f>
        <v>Día actual</v>
      </c>
      <c r="C125" s="3" t="s">
        <v>45</v>
      </c>
      <c r="D125" t="s">
        <v>46</v>
      </c>
      <c r="E125" s="3" t="s">
        <v>260</v>
      </c>
      <c r="F125" s="3" t="s">
        <v>10</v>
      </c>
      <c r="G125" s="3" t="s">
        <v>125</v>
      </c>
      <c r="H125" s="3" t="s">
        <v>40</v>
      </c>
      <c r="I125" s="3" t="s">
        <v>14</v>
      </c>
      <c r="J125" s="3" t="s">
        <v>38</v>
      </c>
      <c r="K125" s="3" t="s">
        <v>47</v>
      </c>
      <c r="L125" s="3" t="s">
        <v>24</v>
      </c>
      <c r="M125">
        <v>1</v>
      </c>
    </row>
    <row r="126" spans="1:13" x14ac:dyDescent="0.25">
      <c r="A126" s="2">
        <v>46203</v>
      </c>
      <c r="B126" s="1" t="str">
        <f ca="1">IF(Información1[[#This Row],[Fecha]]='Ajuste de fechas'!$A$2,"Día actual","Día anterior")</f>
        <v>Día actual</v>
      </c>
      <c r="C126" s="3" t="s">
        <v>45</v>
      </c>
      <c r="D126" t="s">
        <v>46</v>
      </c>
      <c r="E126" s="3" t="s">
        <v>261</v>
      </c>
      <c r="F126" s="3" t="s">
        <v>12</v>
      </c>
      <c r="G126" s="3" t="s">
        <v>52</v>
      </c>
      <c r="H126" s="3" t="s">
        <v>40</v>
      </c>
      <c r="I126" s="3" t="s">
        <v>7</v>
      </c>
      <c r="J126" s="3" t="s">
        <v>36</v>
      </c>
      <c r="K126" s="3" t="s">
        <v>47</v>
      </c>
      <c r="L126" s="3" t="s">
        <v>26</v>
      </c>
      <c r="M126">
        <v>1</v>
      </c>
    </row>
    <row r="127" spans="1:13" x14ac:dyDescent="0.25">
      <c r="A127" s="2">
        <v>46203</v>
      </c>
      <c r="B127" s="1" t="str">
        <f ca="1">IF(Información1[[#This Row],[Fecha]]='Ajuste de fechas'!$A$2,"Día actual","Día anterior")</f>
        <v>Día actual</v>
      </c>
      <c r="C127" s="3" t="s">
        <v>45</v>
      </c>
      <c r="D127" t="s">
        <v>46</v>
      </c>
      <c r="E127" s="3" t="s">
        <v>167</v>
      </c>
      <c r="F127" s="3" t="s">
        <v>15</v>
      </c>
      <c r="G127" s="3" t="s">
        <v>168</v>
      </c>
      <c r="H127" s="3" t="s">
        <v>40</v>
      </c>
      <c r="I127" s="3" t="s">
        <v>7</v>
      </c>
      <c r="J127" s="3" t="s">
        <v>36</v>
      </c>
      <c r="K127" s="3" t="s">
        <v>47</v>
      </c>
      <c r="L127" s="3" t="s">
        <v>26</v>
      </c>
      <c r="M127">
        <v>1</v>
      </c>
    </row>
    <row r="128" spans="1:13" x14ac:dyDescent="0.25">
      <c r="A128" s="2">
        <v>46203</v>
      </c>
      <c r="B128" s="1" t="str">
        <f ca="1">IF(Información1[[#This Row],[Fecha]]='Ajuste de fechas'!$A$2,"Día actual","Día anterior")</f>
        <v>Día actual</v>
      </c>
      <c r="C128" s="3" t="s">
        <v>45</v>
      </c>
      <c r="D128" t="s">
        <v>46</v>
      </c>
      <c r="E128" s="3" t="s">
        <v>239</v>
      </c>
      <c r="F128" s="3" t="s">
        <v>15</v>
      </c>
      <c r="G128" s="3" t="s">
        <v>76</v>
      </c>
      <c r="H128" s="3" t="s">
        <v>40</v>
      </c>
      <c r="I128" s="3" t="s">
        <v>7</v>
      </c>
      <c r="J128" s="3" t="s">
        <v>36</v>
      </c>
      <c r="K128" s="3" t="s">
        <v>47</v>
      </c>
      <c r="L128" s="3" t="s">
        <v>26</v>
      </c>
      <c r="M128">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46203</v>
      </c>
      <c r="B2" s="2">
        <f ca="1">A2-1</f>
        <v>46202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2026-07-01T00:40:51Z</dcterms:modified>
</cp:coreProperties>
</file>