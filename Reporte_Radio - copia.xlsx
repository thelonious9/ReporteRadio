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446E27B0-FAF6-489F-A596-18BFAAC3060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86" i="2"/>
  <c r="B88" i="2"/>
  <c r="B90" i="2"/>
  <c r="B92" i="2"/>
  <c r="B94" i="2"/>
  <c r="B96" i="2"/>
  <c r="B98" i="2"/>
  <c r="B100" i="2"/>
  <c r="B101" i="2"/>
  <c r="B103" i="2"/>
  <c r="B106" i="2"/>
  <c r="B108" i="2"/>
  <c r="B110" i="2"/>
  <c r="B111" i="2"/>
  <c r="B114" i="2"/>
  <c r="B116" i="2"/>
  <c r="B118" i="2"/>
  <c r="B119" i="2"/>
  <c r="B121" i="2"/>
  <c r="B123" i="2"/>
  <c r="B126" i="2"/>
  <c r="B127" i="2"/>
  <c r="B129" i="2"/>
  <c r="B131" i="2"/>
  <c r="B133" i="2"/>
  <c r="B135" i="2"/>
  <c r="B136" i="2"/>
  <c r="B138" i="2"/>
  <c r="B140" i="2"/>
  <c r="B141" i="2"/>
  <c r="B143" i="2"/>
  <c r="B145" i="2"/>
  <c r="B147" i="2"/>
  <c r="B149" i="2"/>
  <c r="B151" i="2"/>
  <c r="B153" i="2"/>
  <c r="B154" i="2"/>
  <c r="B156" i="2"/>
  <c r="B158" i="2"/>
  <c r="B160" i="2"/>
  <c r="B162" i="2"/>
  <c r="B164" i="2"/>
  <c r="B174" i="2"/>
  <c r="B176" i="2"/>
  <c r="B178"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7" i="2"/>
  <c r="B89" i="2"/>
  <c r="B91" i="2"/>
  <c r="B93" i="2"/>
  <c r="B95" i="2"/>
  <c r="B97" i="2"/>
  <c r="B99" i="2"/>
  <c r="B102" i="2"/>
  <c r="B104" i="2"/>
  <c r="B105" i="2"/>
  <c r="B107" i="2"/>
  <c r="B109" i="2"/>
  <c r="B112" i="2"/>
  <c r="B113" i="2"/>
  <c r="B115" i="2"/>
  <c r="B117" i="2"/>
  <c r="B120" i="2"/>
  <c r="B122" i="2"/>
  <c r="B124" i="2"/>
  <c r="B125" i="2"/>
  <c r="B128" i="2"/>
  <c r="B130" i="2"/>
  <c r="B132" i="2"/>
  <c r="B134" i="2"/>
  <c r="B137" i="2"/>
  <c r="B139" i="2"/>
  <c r="B142" i="2"/>
  <c r="B144" i="2"/>
  <c r="B146" i="2"/>
  <c r="B148" i="2"/>
  <c r="B150" i="2"/>
  <c r="B152" i="2"/>
  <c r="B155" i="2"/>
  <c r="B157" i="2"/>
  <c r="B159" i="2"/>
  <c r="B161" i="2"/>
  <c r="B163" i="2"/>
  <c r="B165" i="2"/>
  <c r="B166" i="2"/>
  <c r="B167" i="2"/>
  <c r="B168" i="2"/>
  <c r="B169" i="2"/>
  <c r="B170" i="2"/>
  <c r="B171" i="2"/>
  <c r="B172" i="2"/>
  <c r="B173" i="2"/>
  <c r="B175" i="2"/>
  <c r="B177"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<sst xmlns="http://schemas.openxmlformats.org/spreadsheetml/2006/main" count="1785" uniqueCount="346">
  <si>
    <t>Fecha</t>
  </si>
  <si>
    <t>Titular</t>
  </si>
  <si>
    <t>Dependencia</t>
  </si>
  <si>
    <t>Canal</t>
  </si>
  <si>
    <t>Tema</t>
  </si>
  <si>
    <t>Estatus</t>
  </si>
  <si>
    <t>Sipdus</t>
  </si>
  <si>
    <t>Informativa</t>
  </si>
  <si>
    <t>Radio local</t>
  </si>
  <si>
    <t>Segobh</t>
  </si>
  <si>
    <t>Ayuntamiento</t>
  </si>
  <si>
    <t>Presidencia</t>
  </si>
  <si>
    <t>SSPH</t>
  </si>
  <si>
    <t>Otros</t>
  </si>
  <si>
    <t>Negativa</t>
  </si>
  <si>
    <t>Gobernador</t>
  </si>
  <si>
    <t>Súper Stéreo 100.5 FM</t>
  </si>
  <si>
    <t>Planeación</t>
  </si>
  <si>
    <t>Día</t>
  </si>
  <si>
    <t>Radiodifusora</t>
  </si>
  <si>
    <t>Programa</t>
  </si>
  <si>
    <t>Clasificación</t>
  </si>
  <si>
    <t>Autor</t>
  </si>
  <si>
    <t>Género</t>
  </si>
  <si>
    <t>Noticia</t>
  </si>
  <si>
    <t>Opinión</t>
  </si>
  <si>
    <t>Boletín</t>
  </si>
  <si>
    <t>Recuento</t>
  </si>
  <si>
    <t>Día actual</t>
  </si>
  <si>
    <t>Día anterior</t>
  </si>
  <si>
    <t>Congreso</t>
  </si>
  <si>
    <t>La Poderosa Tuxpan 93.1 FM</t>
  </si>
  <si>
    <t>NN Nuestras Noticias Zona Norte</t>
  </si>
  <si>
    <t>Liz Argüelles</t>
  </si>
  <si>
    <t>Gobierno del estado</t>
  </si>
  <si>
    <t>Presidencia de la República</t>
  </si>
  <si>
    <t>Alcaldías</t>
  </si>
  <si>
    <t>SEPH</t>
  </si>
  <si>
    <t>TV local</t>
  </si>
  <si>
    <t>Ultra 102.9 FM</t>
  </si>
  <si>
    <t>Ultra Noticias1</t>
  </si>
  <si>
    <t>PGJEH</t>
  </si>
  <si>
    <t>Vía telefónica el reporte de Bombero y Protección Civil con Abner Yáñez informa de las diversas emergencias reportadas por la ciudadanía y que fueron atendidas.</t>
  </si>
  <si>
    <t>Canal del Pueblo</t>
  </si>
  <si>
    <t>Vocales Radio</t>
  </si>
  <si>
    <t>Andrés Torres</t>
  </si>
  <si>
    <t>Auxilio a la ciudadanía</t>
  </si>
  <si>
    <t>Entrevista</t>
  </si>
  <si>
    <t>Radioescucha</t>
  </si>
  <si>
    <t>Semot</t>
  </si>
  <si>
    <t>Semarnath</t>
  </si>
  <si>
    <t>Positiva</t>
  </si>
  <si>
    <t>Acir 92.5 FM</t>
  </si>
  <si>
    <t>Panorama Informativo Pachuca</t>
  </si>
  <si>
    <t>Eulalio Larrieta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</si>
  <si>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</si>
  <si>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</si>
  <si>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</si>
  <si>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Edith Balderas de la Secretaria de Educación Pública.</t>
  </si>
  <si>
    <t>Eulalio Larrieta agradece a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</si>
  <si>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</si>
  <si>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</si>
  <si>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Eulalio Larrieta agradece a Carlos Gamiño por estar al pendiente de temas</t>
  </si>
  <si>
    <t>Daniel Martínez</t>
  </si>
  <si>
    <t>Enfoque Regional Meridiano</t>
  </si>
  <si>
    <t>Jesús González</t>
  </si>
  <si>
    <t>Mundial De Futbol</t>
  </si>
  <si>
    <t>Relleno Sanitario</t>
  </si>
  <si>
    <t>Exigencia de obra</t>
  </si>
  <si>
    <t>Abasto De Agua</t>
  </si>
  <si>
    <t>Enfoque Regional Matutino</t>
  </si>
  <si>
    <t>Rodolfo López</t>
  </si>
  <si>
    <t>Asistencia de parto</t>
  </si>
  <si>
    <t>DIFH</t>
  </si>
  <si>
    <t>Radio Lobo 96.7 FM</t>
  </si>
  <si>
    <t>Enlace Noticias</t>
  </si>
  <si>
    <t>Gina Lorenzo</t>
  </si>
  <si>
    <t>Mesas de acercamiento</t>
  </si>
  <si>
    <t>Muralismo</t>
  </si>
  <si>
    <t>Atropellamiento</t>
  </si>
  <si>
    <t>Rehabilitación Vial</t>
  </si>
  <si>
    <t>Búsqueda de personas</t>
  </si>
  <si>
    <t>Queja transporte público</t>
  </si>
  <si>
    <t>Prevención De Enfermedades</t>
  </si>
  <si>
    <t>TV Cable hidalguense Canal 6</t>
  </si>
  <si>
    <t>Contigo Noticias</t>
  </si>
  <si>
    <t>Juan Carlos Santamaria</t>
  </si>
  <si>
    <t>Contraloría</t>
  </si>
  <si>
    <t>Atención A Manifestantes</t>
  </si>
  <si>
    <t>Radiodifusoras</t>
  </si>
  <si>
    <t>SSH</t>
  </si>
  <si>
    <t>Huachitúnel</t>
  </si>
  <si>
    <t>Inatención</t>
  </si>
  <si>
    <t>NQ 90.1 FM</t>
  </si>
  <si>
    <t>Enlace Hidalgo2</t>
  </si>
  <si>
    <t>Jesús Riveros</t>
  </si>
  <si>
    <t>Cuenta pública</t>
  </si>
  <si>
    <t>Ke Buena 106.7 FM</t>
  </si>
  <si>
    <t>Noticias 106.7</t>
  </si>
  <si>
    <t>David Cárdenas</t>
  </si>
  <si>
    <t>Enlace Hidalgo1</t>
  </si>
  <si>
    <t>Combate Al Narcomenudeo</t>
  </si>
  <si>
    <t>Reparación De Tubería</t>
  </si>
  <si>
    <t>Observaciones ASEH</t>
  </si>
  <si>
    <t>Incidencia Delictiva</t>
  </si>
  <si>
    <t>El gobernador de Hidalgo, Julio Menchaca Salazar, descartó la aplicación de Ley Seca en el estado. A pesar de incidentes ocurridos en Zempoala durante los festejos de la Selección Mexicana, el mandatario apeló a la responsabilidad ciudadana, afirmando que las prohibiciones no garantizan un menor número de incidentes y prefirió no restringir la venta de bebidas alcohólicas.</t>
  </si>
  <si>
    <t>Ley seca</t>
  </si>
  <si>
    <t>Entrega de instalaciones</t>
  </si>
  <si>
    <t>Ejecuciones</t>
  </si>
  <si>
    <t>Vialidad En Mal Estado</t>
  </si>
  <si>
    <t>Iniciativa</t>
  </si>
  <si>
    <t>Uplaph trabaja en alternativas para mejorar la movilidad en Pachuca</t>
  </si>
  <si>
    <t>Ordenamiento Territorial</t>
  </si>
  <si>
    <t>Menchaca Salazar fortalece capacidad operativa del gobierno de Hidalgo</t>
  </si>
  <si>
    <t>Video Mapping</t>
  </si>
  <si>
    <t>Partidos</t>
  </si>
  <si>
    <t>En sesión ordinaria, diputadas y diputados integrantes de la LXVI Legislatura avalaron con 24 votos a favor, cero en contra y cero abstenciones, el acuerdo económico que exhorta a los 84 ayuntamientos en materia de supervisión de ferias, promovido por la legisladora Cynthia Citlali Delgado Mendoza (Morena), emitido por la primera Comisión Permanente de Fortalecimiento y Desarrollo Municipal. La legisladora María del Rosario Guerrero Martínez (Morena) recordó que se les solicita fortalecer acciones de supervisión y vigilancia en ferias y otros eventos, además de promover mecanismos de información y coordinación con los comités organizadores para prevenir conductas que afecten el orden público, la seguridad, la protección de las personas consumidoras o generar afectaciones económicas.</t>
  </si>
  <si>
    <t>Exhorto</t>
  </si>
  <si>
    <t>Secretaría de Cultura abre convocatoria del Programa Muralismo 2026</t>
  </si>
  <si>
    <t>Cultura</t>
  </si>
  <si>
    <t>Uplaph trabaja en alternativas para mejorar la movilidad en Pachuca.</t>
  </si>
  <si>
    <t>Videollamada permite asistir con éxito un parto de emergencia en Pachuca</t>
  </si>
  <si>
    <t>Habitantes de Tepeji del Río se manifestaron por segundo día y tomaron las instalaciones de la presidencia municipal para exigir una mesa de diálogo, el cumplimiento de acuerdos con la comunidad y para infomar que no</t>
  </si>
  <si>
    <t>Toma de alcaldía</t>
  </si>
  <si>
    <t>Debido a las manifestaciones por parte de habitantes del municipio, Tania Valdez Cuéllar es la presidenta municipal de Tepeji del Río, dijo que esta abierta al dialogo con los manifestantes, AUDIO APOYO</t>
  </si>
  <si>
    <t>La señora Laura Cortés Villa de aquí de Tula, dice que no tienen agua en todo el centro del municipio, ella pues pregunta cuándo será restablecido el servicio, cuándo podrán reparar el tubo que abastece al centro de Tula.</t>
  </si>
  <si>
    <t>Radioescucha reporta que en Fraccionamiento La Reforma llevan más de una semana sin agua y nos comentan los de Caasim que es por las obras del tren.</t>
  </si>
  <si>
    <t>En otros temas, a partir de 2007 las alumnas de la Casa de la Mujer Hidalguense podrán incorporarse al programa becas para la transformación. Así lo anunció la Presidenta del Patronato del Sistema Hidalgo, Edda Vite Ramos, durante la graduación de 103 estudiantes. La funcionaria explicó que este apoyo económico busca fortalecer la permanencia escolar y ayudar a las jóvenes a cubrir gastos como útiles, materiales e instrumentos necesarios para continuar con sus estudios. Durante la ceremonia, Edda Vite reconoció el esfuerzo y la dedicación de las egresadas a quienes exhortó a seguir preparándose profesionalmente y no renunciar a sus metas. AUDIO DE APOYO</t>
  </si>
  <si>
    <t>Apoyo A La Mujer</t>
  </si>
  <si>
    <t>Julio Menchaca Salazar apareció en el primer lugar nacional de aprobación entre gobernadores en la medición de junio de 2026 difundida por Demoscopia Digital, donde registró 69.8%. El resultado coloca al mandatario de Hidalgo por encima de Alfonso Durazo, de Sonora, quien alcanzó 69.2%, y de Mauricio Kuri, gobernador de Querétaro, con 68.9%. En esta medición, la diferencia entre los primeros lugares es reducida, pero Menchaca encabeza la lista de las 32 entidades evaluadas.</t>
  </si>
  <si>
    <t>Aprobación Gobernador</t>
  </si>
  <si>
    <t>El encargado del despacho de la Procuraduría General de Justicia de Hidalgo, Francisco Fernández Hasbún, aseguró que ya existen líneas de investigación y coordinación permanente con más de 400 sujetos afectados del balneario Dios Padre en Ixmiquilpan, luego del asalto cometido la semana pasada. Hay que recordar que un grupo de sujetos encapuchados armados ingresaron la noche de la semana pasada a las oficinas de este parque acuático de este balneario allá en la comunidad del Dios Padre y se llevaron al parecer la cuenta del día. Se hablaba de hasta 9 millones de pesos. AUDIO DE APOYO</t>
  </si>
  <si>
    <t>Asalto de balneario</t>
  </si>
  <si>
    <t>Hoy ya tenemos información, hace un ratito nos hablaba una radioescucha, Laura Cortés Villas, nos preguntaba la situación que se vive aquí en centro de Tula y el gobierno municipal de Tula de Allende encabezado por el presidente Cristian Martínez, ha informado a través del área de comunicación que tanto Protección Civil, Seguridad Pública y la CAPyAT continúan trabajando de manera coordinada con las colonias Jalpa y los Fresnos para realizar labores de atención a los daños ocasionados por el deslave y limpieza de la zona que resultó afectada. De hecho, este tramo carretero de la Tula-Tepeji ha presentado reducción de carriles para velar por la seguridad de todos los que transitan por la zona.Asimismo, también se informan que las colonias, El Centro, La Malinche y Jalpa presentan interrupciones en el servicio de agua debido a que esta línea que abastece la zona resultó dañada. Hay que tener paciencia, ya le mencionaba hace unos minutos. Cabe señalar que el gobierno municipal ya ha solicitado el material necesario para reparar a la brevedad el tramo dañado con el objetivo de poder restablecer este servicio en el menor tiempo posible.</t>
  </si>
  <si>
    <t>Atención Afectaciones Por Lluvias</t>
  </si>
  <si>
    <t>Vía telefónica, el presidente municipal de Pachuca, Jorge Alberto Reyes, informó sobre el inicio de la campaña “Colonia x Colonia”, la cual busca llevar servicios de gobierno municipal directamente a las colonias de Pachuca. Ayer iniciaron en la colonia San Miguel Cerezo, sigue la colonia Santa Matilde el día 15 de julio. Hace una invitación a las personas que vayan a festejar con prudencia, ya que es un domingo familiar. Vamos a traer una gran coordinación con diferentes autoridades para prevenir accidentes en el reloj monumental, se vale festejar, pero de manera ordenada.</t>
  </si>
  <si>
    <t>Debido al incidentes ocurridos en Zempoala durante los festejos de la Selección Mexicana, el encargado de despachos de la Procuraduría de Hidalgo informó que el conductor fue puesto a disposición de la autoridad competente por el delito de lesiones, en tanto la víctima recibió atención médica y de acuerdo con el reporte más reciente se encuentra fuera de peligro., AUDIO APOYO</t>
  </si>
  <si>
    <t>CEDSPI entrega 31 sanitarios con biodigestor a comunidades indígenas de Tulancingo y Acaxochitlán</t>
  </si>
  <si>
    <t>Biodigestor</t>
  </si>
  <si>
    <t>Durante la segunda sesión ordinaria del sistema de búsqueda de personas en Tizayuca, el titular de la Comisión de Búsqueda de Personas del Estado de Hidalgo, Francisco García Reyes, informó que de 1 al 30 de junio se reportó la desaparición de 261 personas, de las cuales 245 ya fueron localizadas. Del total, 178 corresponden al mismo periodo y 67 de periodos anteriores.</t>
  </si>
  <si>
    <t>La ciudad deportiva de alto rendimiento de Hidalgo fortalece la preparación de atletas al consolidarse como un espacio especializado para el desarrollo de más de 29 disciplinas deportivas. A través del Instituto Hidalguense del Deporte, el complejo ofrece de manera gratuita escuelas de iniciación en nueve disciplinas judo, atletismo, taekwondo, tenis, tenis de mesa, patines sobre ruedas, esgrima, tiro con arco y pádel dirigidas a niños, niñas, jóvenes de entre 6 y 18 años con cupo limitado. Además, el centro brinda seguimiento a deportistas de alto rendimiento que representa Hidalgo en competencias nacionales, mientras que la futura villa deportiva permitirá concentrar a talentos de distintas regiones del estado.</t>
  </si>
  <si>
    <t>CDHAR</t>
  </si>
  <si>
    <t>SSPH desmantela tres puntos de venta de narcóticos en Tepeji del Río</t>
  </si>
  <si>
    <t>La Auditoría Superior del Estado de Hidalgo presentó la primera entrega de la cuenta pública 2025 con un total de 42 entidades fiscalizadas, de las cuales 14 son para estatales, 14 organismos descentralizados municipales, 10 municipios, un organismo autónomo, así como 10 auditorías al desempeño. El auditor Jorge Valverde Islas les explicó que las solventaciones alcanzan los 46 millones de pesos. AUDIO DE APOYO.</t>
  </si>
  <si>
    <t>Habitantes de Tepeji del Río se manifestaron por segundo día y tomaron las instalaciones de la presidencia municipal para exigir una mesa de diálogo, el cumplimiento de acuerdos con la comunidad y la destitución de la presidenta municipal.Como primer punto traemos juicio político para la presidenta. ¿Qué quiere decir? No la queremos más. El segundo punto, tampoco queremos ya al secretario municipal. Más tarde, varios habitantes de Tepeji fueron a la caseta de Tepotzotlán para levantar las plumas en manera de protesta.</t>
  </si>
  <si>
    <t>Destitución de alcalde</t>
  </si>
  <si>
    <t>Durante la madrugada de este viernes 3 de julio se reportó el asesinato de una persona, los hechos ocurrieron en la comunidad de El Cardonal, en el municipio de Atitalaquia, en donde personas desconocidas dispararon contra un hombre que hasta ahora permanece en calidad de desconocido.Según los reportes disponibles, los hechos se reportaron alrededor de las 2:30 de la madrugada de este viernes, sobre la calle Mariano Matamoros, donde vecinos reportaron disparos con arma de fuego.</t>
  </si>
  <si>
    <t>Luego de casi seis horas de bloqueo en la carretera de la refinería a la altura de la colonia El Cielito, en el lugar conocido como El Conchal, vecinos de la calle Osa Mayor, se retiraron. El bloqueo se debió a que andan obras hidráulicas urgentes ya que cada vez que llueve se inunda todo ese tramo afectando viviendas y hasta el paso vehicular. Los manifestantes fueron atendidos por las autoridades municipales de Tula, quienes les ofrecieron una alternativa de solución. Presidencia, se tiene que organizar con agua y tiene que hacer estudios técnicos. Entonces démosle esa oportunidad de que lo organicen, pero que sí, que la verdad sí iba a lo mejor. AUDIO DE APOYO.</t>
  </si>
  <si>
    <t>Siguiendo con los temas de seguridad, el subsecretario de Protección Civil y Gestión de Riesgos, Román Bernal Díaz, informó que hasta el momento han sido inhabilitados cuatro de los 18 túneles localizados en distintos municipios de la entidad, una vez que concluyeron los procesos de investigación correspondientes, hay que recordar que Hidalgo ya suma 18 túneles que son utilizados para la extracción de hidrocarburo. AUDIO DE APOYO.</t>
  </si>
  <si>
    <t>La Universidad Tecnológica de Tulancingo fue sede del Tercer Encuentro Nacional de Niñas STEM-UTIP 2026, donde alumnas de educación básica participaron en actividades científicas y tecnológicas para despertar su interés por las áreas de ciencia, tecnología, ingeniería y matemáticas.Durante la jornada, las participantes realizaron experimentos, ejercicios de razonamiento matemático y un taller de robótica que las acercó a los programas y al uso de nuevas tecnologías, fortaleciendo habilidades como el pensamiento crítico, la creatividad y el trabajo en equipo. Este encuentro, impulsado por la Dirección General de Universidades Tecnológicas y Políticas, se llevó a cabo de manera simultánea en universidades del subsistema en todo el país con el objetivo de fomentar vocaciones científicas y reducir la lucha de género en estas disciplinas.</t>
  </si>
  <si>
    <t>Impulso a la mujer</t>
  </si>
  <si>
    <t>Más de 22.000 delitos fueron denunciados en Hidalgo durante los primeros cinco meses del año. Pachuca encabeza la incidencia mientras la violencia familiar se mantiene como el delito más frecuente.</t>
  </si>
  <si>
    <t>CECYTE Hidalgo desraca en el Ecuentro Nacional Deportivo</t>
  </si>
  <si>
    <t>Justa Académica</t>
  </si>
  <si>
    <t>Justa Deportiva</t>
  </si>
  <si>
    <t>Radioescucha Sr. Fidel, pide que quiten el escombro que dejaron en una obra en Ferrocarril Central y Calle Canal; por la lluvia se va a las coladeras y por eso luego se tapan.</t>
  </si>
  <si>
    <t>Limpieza Urbana</t>
  </si>
  <si>
    <t>Radioescucha que no arreglan la lámpara de la calle Jorge Rojo Lugo a la altura del 108 en las calles del cinturón de seguridad Prolongación Simón Bolívar.</t>
  </si>
  <si>
    <t>Luminarias</t>
  </si>
  <si>
    <t>Secretaría de Gobierno abre diálogo en Acaxochitlán con las Mesas de Acercamiento de Bienestar y Paz</t>
  </si>
  <si>
    <t>La Secretaría de Gobierno abre diálogo en Acaxochitlán con las Mesas de Acercamiento de Bienestar y Paz. La información con José Joselyn Sánchez. El municipio de Acaxochitlán fue sede de la primera Mesa de Acercamiento de Bienestar y Paz. Estrategia del gobierno de Hidalgo para escuchar de manera directa las necesidades de la población y dar seguimiento a sus principales demandas. El secretario de gobierno, Guillermo Olivares Reyna, encabezó la jornada en la que participaron autoridades de los tres órdenes de gobierno. Les atendieron planteamientos relacionados con seguridad, salud, infraestructura, educación, servicios públicos y desarrollo social. El funcionario destacó que estas mesas buscan fortalecer la atención cercana a la ciudadanía, mejorar la coordinación entre instituciones y ofrecer soluciones desde el territorio. La Secretaría de Gobierno, como parte de la política del gobernador Julio Menchaca, va a mantener un gobierno de puertas abiertas y con atención directa a las comunidades. AUDIOS DE APOYO.</t>
  </si>
  <si>
    <t>La celebración por el triunfo de la Selección Mexicana dejó ocho toneladas de basura en el primer cuadro de Pachuca.El secretario de Servicios Municipales, Gilberto López, informó que el ayuntamiento desplegó cuadrillas adicionales para limpiar la explanada del Reloj Monumental y calles aledañas, donde se concentraron cientos de aficionados.</t>
  </si>
  <si>
    <t>Comenta conductor que espera que con los futuros festejos del mundial, poder respetar lo de los demás y estar de la manera más tranquila, sea el marcador que sea, no hacer destrozos; es lo que pedimos respetar, disfrutar de la forma más tranquila y positiva</t>
  </si>
  <si>
    <t>El gobierno de Hidalgo lanzó la convocatoria del programa Muralismo 2026 para impulsar el talento de artistas visuales y recuperar espacios públicos mediante el arte. La Secretaría de Cultura informó que podrán participar personas mayores de 18 años y colectivos con al menos cinco años de residencia en la entidad, quienes deberán presentar un proyecto de mural con propuesta artística y plan de ejecución. El programa contempla la entrega de 22 estímulos económicos de 10 mil pesos para los proyectos seleccionados. La recepción de propuestas de los proyectos permanecerá abierta hasta el 30 de julio.</t>
  </si>
  <si>
    <t>Con relación a un altercado suscitado el día 2 de julio del año en curso, sobre el bulevar Nuevo Hidalgo esquina con circuito Tulipán Norte, Pachuca en donde se vieron involucradas dos personas operadoras de transporte convencional modalidad individual (taxi), la Semot, a través de su organismo sectorizado STCH, informa lo siguiente:</t>
  </si>
  <si>
    <t>Pelea transportistas</t>
  </si>
  <si>
    <t>Ayer, se presentó un movimiento policial importante sobre el lugar Nuevo Hidalgo en los límites con Mineral de la Reforma. Esto en la zona metropolitana de Hidalgo, de la capital hidalguense, a la altura del Puente del Venado, en donde llegaron patrullas de la Policía Estatal debido a un presunto confrontamiento entre un grupo de taxistas. Afortunadamente no pasó a mayores, fue oportuna la intención de la policía y no hubo detenidos.</t>
  </si>
  <si>
    <t>Hidalgo acumula 33.366 casos de enfermedades diarreicas agudas hasta la semana epidemiológica 23 de este año. Los municipios con mayor incidencia son Pachuca, La Capital, Hidalguense, Tulancingo, Ixmiquilpan, Actopan y Tula.</t>
  </si>
  <si>
    <t>SEBISO prepara jornadas de entrfa de tarjetas de programas sociales</t>
  </si>
  <si>
    <t>Bienestar</t>
  </si>
  <si>
    <t>Programas Del Pueblo</t>
  </si>
  <si>
    <t>Radioescucha reporta a colectiva que va con la musica a todo volumen, hablando por el celular y ni pone atención, su matricula es A55513k con la ruta Campestre – Centro, color café con dorado</t>
  </si>
  <si>
    <t>El presidente municipal de Tula, Cristhian Martínez da arranque a los trabajos de rehabilitación de la duela de la Unidad Deportiva, AUDIO APOYO</t>
  </si>
  <si>
    <t>Rehabilitación de espacios públicos</t>
  </si>
  <si>
    <t>En otra información, el Frente por la Vida y la Justicia para la Región Tolteca es una agrupación formada en enero de 2016 por 12 organizaciones ambientalistas y sociales del sur del Valle del Mezquital. Su objetivo central es frenar megaproyectos que amenazan el medioambiente y exigir un plan de justicia ambiental y saneamiento integral para la región de Tula. Ayer sostuvieron una conferencia de prensa donde destacaron que CONAGUA no ha cumplido con el saneamiento del río y la presa Endhó. Pidieron la unificación de todas las organizaciones ambientalistas para hacer un frente común.</t>
  </si>
  <si>
    <t>Restauración Ecológica</t>
  </si>
  <si>
    <t>Comenta colaborador, que en algunas escuelas ya empezaron las clausuras, que entrega de boletas y cambio de escoltas y hasta tiene hoy sus famosas tardeadas</t>
  </si>
  <si>
    <t>Suspensión De Clases</t>
  </si>
  <si>
    <t>Comenta conductor Eulalio Larrieta que aun las clases terminan hasta la otra semana, pero muchos agarraron el pretexto la lluvia, no la lluvia, por ejemplo, en la Escuela Secundaria General número 2, ayer suspendieron clases por la lluvia, pero citaron alumnos y padres más tarde para entregar trabajos ¿cómo está esa situación?.</t>
  </si>
  <si>
    <t>La Conagua, a través de su Dirección Local Hidalgo, impulsó importantes obras de tecnificación hidroagrícola en la localidad del Pedregal, en el municipio de Metztitlán, a fin de optimizar el uso del agua en el campo.Estas obras son el resultado de la coordinación entre el Gobierno de México, el gobierno estatal y usuarios, quienes en conjunto destinaron más de un millón de pesos para beneficiar a decenas de productores en una superficie de 56 hectáreas pertenecientes a la Asociación de Usuarios del Módulo 2, del Distrito de Riego 008 Metztitlán A.C. trabajos consistieron en la tecnificación mediante el revestimiento con concreto de 120 metros del canal principal Pedregal, del kilómetro (km) 10+650 al 10+770.</t>
  </si>
  <si>
    <t>Tecnificación De Riego</t>
  </si>
  <si>
    <t>Radioescucha reporta muchos baches en el bulevar Felipe Ángeles, a la altura de la Normal Superior. ¡AYÚDENOS, YA QUE SE DESCOMPONEN RÁPIDAS LAS SUSPENSIONES!</t>
  </si>
  <si>
    <t>Radioescucha reporta y pide apoyo por parte de las autoridades municipales para ayudar a rehabilitar la entrada de la calle Leona Vicario en Santa Julia; está intransitable.</t>
  </si>
  <si>
    <t>Julio Menchaca invita a disfrutar video mapping en el Parque Cultural Hidalguense</t>
  </si>
  <si>
    <t>Reproducen audio de video de asistentes al evento de videomapping el día de ayer; agradecen al área de comunicación social de gobierno de Hidalgo por mandar este tipo de material.</t>
  </si>
  <si>
    <t>OCSAD</t>
  </si>
  <si>
    <t>Como parte de las actividades, la temporada mundialista, el gobernador de Hidalgo, Julio Menchaca Salazar, asistió a la proyección del video mapping Pachuca Viento Fútbol y Corazón de Plata, realizada en el Balón del Salón de la Fama del Fútbol dentro del Parque Cultural Hidalguense. Acompañado de visitantes y servidores públicos, el mandatario presenció el espectáculo que recorre la historia del fútbol y rindió homenaje a las figuras destacadas de este deporte, además de invitar a la población a conocer este atractivo turco. Las próximas funciones serán el 8, 11, 15, 16 y 19 de julio a partir de las 7.30 de la noche.</t>
  </si>
  <si>
    <t>Con motivo del encuentro entre las selecciones de México e Inglaterra, que se disputará el próximo domingo, 5 de julio, el Gobierno de Tulancingo implementará un operativo especial en la zona de La Floresta para salvaguardar la integridad de las familias y proteger el patrimonio de la ciudadanía. Como parte de este dispositivo, el acceso de vehículos al primer cuadro de la ciudad será restringido de manera temporal, a fin de que los festejos se desarrollen en un entorno ordenado y seguro. Se exhorta a las y los asistentes a actuar con responsabilidad, evitar conductas que pongan en riesgo su integridad o la de terceros y abstenerse de ocasionar daños a bienes públicos o privados. Cualquier afectación derivada de actos individuales será responsabilidad de quien la provoque, conforme a la legislación</t>
  </si>
  <si>
    <t>Las presas y bordos del municipio de Chapantongo registran un 98 por ciento (98%) de su capacidad, de acuerdo con información del gobierno municipal de Chapantongo, derivado de las lluvias registradas durante los últimos días. El ayuntamiento informó que, ante el incremento en el nivel de estos cuerpos de agua, el área de Protección Civil mantiene recorridos y monitoreos permanentes en presas, bordos, ríos, arroyos y demás cauces del municipio, con el objetivo de detectar oportunamente cualquier situación que pudiera representar un riesgo para la población. Estas acciones forman parte de las medidas preventivas implementadas para dar seguimiento al comportamiento de los cuerpos de agua y estar en condiciones de actuar de manera inmediata en caso de presentarse alguna contingencia. Hasta el momento, las autoridades municipales han descartado la existencia de riesgo para la población; sin embargo, exhortaron a la ciudadanía a mantenerse atenta a la información y recomendaciones emitidas por las autoridades, ya que las lluvias podrían continuar en los próximos días.</t>
  </si>
  <si>
    <t>Monitoreo De Presas</t>
  </si>
  <si>
    <t>Vecinos de distintas localidades de este municipio se manifestaron la mañana de este jueves frente a la sede del Palacio Municipal, en protesta por presuntas irregularidades y falta de atención por parte de la administración que encabeza la alcaldesa Tania Valdez Cuéllar.</t>
  </si>
  <si>
    <t>Con relación a un altercado suscitado el día 2 de julio del año en curso, sobre el bulevar Nuevo Hidalgo esquina con circuito Tulipán Norte, Pachuca en donde se vieron involucradas dos personas operadoras de transporte convencional modalidad individual (taxi), la Semot, a través de su organismo sectorizado STCH, informa lo siguiente.</t>
  </si>
  <si>
    <t>La Secretaría de Medio Ambiente y Recursos Naturales de Hidalgo (Semarnath) descartó que el insecto de gran tamaño parecido a una libélula color negro observado por habitantes de comunidades cercanas a la presa Endhó en los municipios de Tula de Allende y Tepetitlán, corresponda a una mutación del mosco Cúlex, luego de que imágenes del ejemplar generaran especulaciones y alarma entre la población. La secretaria Mónica Patricia Mixtega Trejo, afirmó que no existen reportes sobre otra especie relacionada con la plaga que afecta la zona. «No, no, no, nada más el Cúlex», respondió al ser cuestionada sobre la presencia de otros insectos en la presa.</t>
  </si>
  <si>
    <t>Mosco Culex</t>
  </si>
  <si>
    <t>Sebiso prepara jornadas de entrega de tarjetas de programas sociales</t>
  </si>
  <si>
    <t>UTEC realiza el Encuentro Nacional de Niñas STEM 2026</t>
  </si>
  <si>
    <t>Impulso a Mujeres Investigadoras</t>
  </si>
  <si>
    <t>Desmantelan tres puntos de venta de narcóticos en Tepeji del Río</t>
  </si>
  <si>
    <t>Más de un centenar de estudiantes de la escuela primaria Leona Vicario, ubicada en la colonia El Paraíso, participaron en el programa “Súper Agentes de la Legalidad”, una estrategia que busca fortalecer la formación cívica de la niñez mediante actividades lúdicas enfocadas en la promoción de los valores y la prevención de la corrupción. Alumnos de tercero, cuarto y quinto grado formaron parte de una jornada interactiva en la que, a través de una puesta en escena y diversas dinámicas, reflexionaron sobre la importancia de la honestidad, el respeto, la responsabilidad y la integridad como pilares para una mejor convivencia. Uno de los momentos más destacados fue el nombramiento de seis estudiantes como “Contralorcitos de los Valores”, reconocimiento otorgado por su desempeño académico, liderazgo y compromiso con la promoción de la convivencia armónica, el desarrollo social y el cuidado del medio ambiente.</t>
  </si>
  <si>
    <t>Súper Agentes</t>
  </si>
  <si>
    <t>La Feria Nuestra Señora del Refugio Omitlán 2026 se llevará a cabo del 3 al 6 de julio en el municipio de Omitlán, esta feria es una de las más significativas del calendario municipal y rinde homenaje a la Virgen del Refugio, patrona de la comunidad. El programa de este año ofrece actividades culturales, religiosas y artísticas para todos los públicos. Las celebraciones inician el 3 de julio con conciertos en el teatro del pueblo.</t>
  </si>
  <si>
    <t>Feria Patronal</t>
  </si>
  <si>
    <t>El Gobierno Municipal de Tulancingo ejecuta actualmente la obra de reencarpetamiento asfáltico en el acceso principal del fraccionamiento Rincones de la Hacienda, proyecto al que se destina una inversión total de 1 millón 735 mil pesos. Con esta intervención, la administración municipal busca atender una demanda histórica de la población, ya que la vialidad presentaba un severo deterioro y, tras las recientes lluvias, había quedado prácticamente reducida a terracería, afectando la movilidad y la seguridad de habitantes, automovilistas y transportistas.</t>
  </si>
  <si>
    <t>Con motivo del encuentro entre las selecciones de México e Inglaterra, que se disputará el próximo domingo, 5 de julio, el Gobierno de Tulancingo implementará un operativo especial en la zona de La Floresta para salvaguardar la integridad de las familias y proteger el patrimonio de la ciudadanía. Como parte de este dispositivo, el acceso de vehículos al primer cuadro de la ciudad será restringido de manera temporal, a fin de que los festejos se desarrollen en un entorno ordenado y seguro. Se exhorta a las y los asistentes a actuar con responsabilidad, evitar conductas que pongan en riesgo su integridad o la de terceros y abstenerse de ocasionar daños a bienes públicos o privados. Cualquier afectación derivada de actos individuales será responsabilidad de quien la provoque, conforme a la legislación aplicable.</t>
  </si>
  <si>
    <t>Imparte SSPH conferencia sobre prevención de delitos cibernéticos en Tula</t>
  </si>
  <si>
    <t>Ciberseguridad</t>
  </si>
  <si>
    <t>Una obra de reencarpetamiento asfáltico se ejecuta actualmente en el acceso principal del fraccionamiento Rincones de la Hacienda, para la cual se destina una inversión total de 1 millón 735 mil pesos. A través de este proyecto, el Gobierno Municipal de Tulancingo da cumplimiento a una demanda histórica de la población al intervenir de manera integral una vialidad que durante años presentó un severo deterioro y que, debido a las recientes lluvias, había quedado reducida prácticamente a terracería, afectando la movilidad y seguridad de habitantes y transportistas. Como parte de las acciones técnicas inmediatas, la Secretaría de Desarrollo Urbano, Obras Públicas y Medio Ambiente realizó trabajos previos de mayor profundidad antes de colocar la nueva carpeta asfáltica debido al avanzado daño del suelo, al tiempo que habilitó un camino alterno acondicionado para no interrumpir el tránsito de los vecinos. Estos recursos fueron gestionados directamente por la presidenta municipal, Lorena García Cázares, a través del Fondo de Aportaciones para la Infraestructura Social Municipal (FAISM), reafirmando la política de la actual administración de rescatar la infraestructura prioritaria que permaneció en el olvido por años. De manera complementaria, el gobierno local anunció que mantiene activas otras obras en el municipio y se encuentra en condiciones financieras de contratar nuevos proyectos de desarrollo urbano, según lo expuesto en la Sexta Sesión Ordinaria del Comité de Planeación para el Desarrollo Municipal (COPLADEM). Asimismo, la alcaldía adelantó que en los próximos días trabajará de la mano con la Comisión de Hacienda del Ayuntamiento para someter a aprobación recursos, con el firme propósito de fortalecer la ejecución de más obra pública en beneficio de todas las familias tulancinguenses.</t>
  </si>
  <si>
    <t>En 15 días iniciará la construcción del Salón del Plenos del Congreso de Hidalgo, la cual costará casi 100 millones de pesos y contará con dos plantas, cuya edificación estará a cargo de la empresa local Grupo Arsan Constructores. De acuerdo con el fallo de la licitación pública con número EO-SIPDUS-N33-2026, la obra del inmueble tendrá un costo de 99 millones 955 mil 233.22 pesos, que incluye el 16 por ciento del impuesto al valor agregado (IVA) y la fecha estimada de arranque es el 16 de julio. La empresa seleccionada fue la única que presentó su propuesta por más de 86.1 millones de pesos sin IVA, de los tres contratistas que se inscribieron en el proceso de licitación emitido por la Secretaría de Infraestructura Pública y Desarrollo Urbano Sostenible (SIPDUS). El proyecto de construcción está estimado para ejecutarse en 366 días naturales, para concluir en julio de 2027, y contempla la edificación de dos plantas a diferencia del viejo inmueble que fue derribado a principios de este año, que solo tenía un piso. La planta baja tendrá espacio para seis curules de la mesa directiva, 30 curules, 642 butacas fijas para visitas en salón de plenos, más espacios para personas con capacidades diferentes, butacas para invitados de apoyo y para área de apoyo y comunicación social. Además contará con un salón de usos múltiples con capacidad de 320 butacas móviles, baños, cuatro oficinas, una para la presidencia de sala de juntas, otra de apoyo, una general, y una más para coordinación, así como un cuarto eléctrico y un comedor. Mientras que en la segunda planta habrá 12 cubículos para área de trabajo, dos oficinas generales, una sala de juntas , un desayunador, un cuarto de limpieza, sanitarios, y tres cabinas, de las cuales dos son de sonido y una de tiro de cámara, además de un balcón.</t>
  </si>
  <si>
    <t>Salón De Plenos</t>
  </si>
  <si>
    <t>Con motivo del encuentro entre las selecciones de México e Inglaterra, que se disputará el próximo domingo, 5 de julio, el Gobierno de Tulancingo implementará un operativo especial en la zona de La Floresta para salvaguardar la integridad de las familias y proteger el patrimonio de la ciudadanía. Como parte de este dispositivo, el acceso de vehículos al primer cuadro de la ciudad será restringido de manera temporal, a fin de que los festejos se desarrollen en un entorno ordenado y seguro. Se exhorta a las y los asistentes a actuar con responsabilidad, evitar conductas que pongan en riesgo su integridad o la de terceros y abstenerse de ocasionar daños a bienes públicos o privados. Cualquier afectación derivada de actos individuales será responsabilidad de quien la provoque, conforme a la legislación aplicable. Agradecemos la comprensión y colaboración de la ciudadanía para disfrutar esta celebración de manera segura y en un ambiente de respeto.</t>
  </si>
  <si>
    <t>Daniel Martínez comenta que han pedido una entrevista con Enrique Romero Alcantar, Secretario de Seguridad Pública Ciudadana para pedir datos que son básicos de seguridad. No le estamos pidiendo la fórmula de "la bomba H", ni los mecanismos o protocolos para detener rateros, sino asuntos de prevención. Ya nos hicieron favor de mandar la tarjeta informativa y están dando a conocer los mecanismos que se van a hacer. que bueno, ya hay una reacción ante algo que le está preguntando un medio de comunicación, pero también la autoridad tienen que sumir la responsabilidad que le toca. No estamos pidiendo nada extraordinarios, solo que se le informe a la población y de viva voz ayuda a la confianza de la ciudadanía en las autoridades. Que sea la autoridad la que dé la información, en fin, no pueden, no quieren hablar. No los deja el Mando Único Coordinado. No le estamos pidiendo nada que ponga en peligro a la estabilidad de la nación, al contrario, sino cosas que sirvan para prevenir desgracias, incluso.</t>
  </si>
  <si>
    <t>Comunicación gubernamental</t>
  </si>
  <si>
    <t>Una camioneta cayó la noche de este miércoles en un agujero formado en Pachuca sobre la calle Felipe Carrillo Puerto, en la colonia Morelos, donde vecinos reportaron desde días antes una fuga de agua que habría deteriorado el pavimento. La unidad quedó atrapada en la cavidad y estuvo a punto de volcarse, de acuerdo con los reportes difundidos por habitantes de la zona. Aunque el vehículo presentó daños, hasta el momento no se reportaron personas lesionadas. Vecinos señalaron que la fuga era visible desde días atrás y que habían pedido atención para evitar que el reblandecimiento del suelo provocara un accidente. También expusieron que en el lugar no habría alumbrado público suficiente ni señalización preventiva visible, lo que redujo la visibilidad durante la noche. Por ahora, no se ha precisado si el agujero se originó únicamente por la fuga o si influyeron otros factores, como el paso de vehículos, las lluvias recientes o las condiciones previas de la vialidad. La Comisión de Agua y Alcantarillado de Sistemas Intermunicipales (Caasim) informó que personal operativo realizó trabajos de sustitución en el tramo de tubería afectado durante el 30 de junio y el 1 de julio. Según la versión de la dependencia, el punto permanecía delimitado con cintas de precaución para advertir a peatones y automovilistas sobre los trabajos en curso. Caasim atribuyó el incidente a la falta de alumbrado en la zona y a la falta de previsión del conductor de la camioneta. Sin embargo, vecinos sostienen que la señalización preventiva era insuficiente y que el problema de la fuga ya había sido reportado con anterioridad. Asimismo, el organismo indicó que las labores de compactación y bacheo se realizarán una vez que concluyan las pruebas hidráulicas y siempre que las condiciones climatológicas lo permitan; mientras continúan los trabajos, Caasim pidió a la población respetar la delimitación del área y, de ser posible, utilizar rutas alternas.</t>
  </si>
  <si>
    <t>El municipio de Actopan puso en operación su primer Centro de Inteligencia, Control y Comando (C2), desde donde se monitorearán 124 cámaras de videovigilancia instaladas en puntos estratégicos para reforzar las labores de prevención y respuesta ante hechos delictivos. Durante la inauguración, la presidenta municipal, Imelda Cuéllar Cano, señaló que se trata del primer centro de inteligencia propio del municipio, equipado con tecnología de monitoreo, coordinación y respuesta. El sistema cuenta con cámaras de última generación que incorporan herramientas de inteligencia artificial, reconocimiento de placas vehiculares y funciones de análisis que, de acuerdo con la administración municipal, permitirán agilizar la atención de incidentes y fortalecer la vigilancia. La alcaldesa informó que esta infraestructura forma parte de la estrategia de seguridad implementada por el gobierno municipal y adelantó que habrá una segunda etapa para ampliar la red de videovigilancia con la instalación de más cámaras. Las 124 cámaras del C2 operarán de manera coordinada con el sistema de videovigilancia del C5 del estado, con el objetivo de mejorar el monitoreo y la capacidad de respuesta de las corporaciones de seguridad. Como parte de las acciones en materia de seguridad, el gobierno municipal recordó que al inicio de la administración se incorporaron nuevas patrullas y anunció que próximamente se sumarán más unidades al parque vehicular. Asimismo, continúa abierta la convocatoria para contratar nuevos elementos de la Policía Municipal. Durante el acto inaugural, Cuéllar Cano afirmó que el nuevo C2 representa un paso para fortalecer la prevención del delito y mejorar la capacidad operativa de las autoridades municipales. Al evento asistieron representantes del Gobierno de Hidalgo, entre ellos Diana Belén Elizalde Franco, quien acudió en representación del secretario de Gobierno, Guillermo Olivares Reyna, además de integrantes del Cabildo, delegados municipales y representantes de los sectores empresarial, educativo y social.</t>
  </si>
  <si>
    <t>Videovigilancia</t>
  </si>
  <si>
    <t>Respecto al video difundido en redes sociales el 29 de junio del año en curso, en donde testigos refieren que un operador del trasporte público convencional cerró de manera imprudente la puerta de la unidad que conducía, causando lesiones a una persona usuaria que descendía del vehículo y presuntamente fue arrastrada por varios metros en la colonia Morelos de esta ciudad, la Semot, a través de su organismo sectorizado STCH, informa lo siguiente:</t>
  </si>
  <si>
    <t>Supervisión de Transporte</t>
  </si>
  <si>
    <t>El fallecimiento del alcalde en funciones de Tepeapulco, Alfredo González Quiroz fue derivado del accidente automovilístico ocurrido el 26 de diciembre del año pasado, por lo que la Procuraduría General de Justicia del Estado de Hidalgo (PGJEH) finalizó la investigación respectiva. Lo anterior fue confirmado por el encargado de despacho de la dependencia estatal, Francisco Fernández Hasbun, señalando que los familiares del alcalde fallecido otorgó el perdón a la empresa responsable del blindaje del vehículo automotor. Señaló que los peritajes practicados a la camioneta en la que viajaba el edil confirmaron que la unidad, una Chevrolet Tahoe 2026 blindada, no contaba con bolsas de aire en la parte trasera debido a las modificaciones realizadas durante el proceso de blindaje. Por lo que la carpeta relacionada con una posible responsabilidad derivada de las condiciones de la camioneta fue cerrada y el vehículo ya fue devuelto a la compañía. Por lo cual se descarta que exista alguna línea de investigación por homicidio o por un presunto atentado. Cabe recordar que tras el presidente municipal fallecido había denunciado semanas antes que había sufrido una persecución vial por parte de un grupo de hombres armados Sin embargo, dichas versiones nunca fueron acreditadas por las investigaciones oficiales, las cuales ya fueron cerradas por la PGJEH. Incluso, en distintos momentos también circuló la versión de que la compra de una camioneta blindada de alta gama habría sido justificada por ese supuesto riesgo a la seguridad del alcalde, aunque esa hipótesis tampoco fue comprobada por las autoridades. Fernández Hasbun agregó que entre la empresa y los familiares aún existe un asunto de carácter mercantil, pero aclaró que ese procedimiento no corresponde al ámbito penal. Aclaró que la unidad siniestrada era propiedad de González Quiroz y no del Gobierno municipal de Tepeapulco, como se había especulado.</t>
  </si>
  <si>
    <t>Deceso alcalde</t>
  </si>
  <si>
    <t>En caso de que un verificentro de Hidalgo permita o facilite prácticas anómalas con instrumentos, herramientas, equipos o cualquier artefacto no autorizado por la Secretaría de Medio Ambiente, será sancionado con 2 millones 346 mil 200 pesos, que equivale a 20 mil Unidades de Medida y Actualización (UMA). Además, no podrá prestar sus servicios y será boletinado en Estado de México, Hidalgo, Morelos, Puebla, Tlaxcala, la Ciudad de México y Querétaro, estados que conforman la Comisión Ambiental de la Megalópolis. Actualmente hay 11 de estos centros de verificación vehicular en la entidad hidalguense, cantidad que se elevaría a 15 con la licitación que emitió la Semarnath para concesionar otros cuatro en: Atotonilco el Grande, Ixmiquilpan, Tepeapulco y Los espacios funcionarán de acuerdo con los lineamientos recién publicados en el Periódico Oficial del Estado (POEH) para el segundo semestre del 2026. Dichos parámetros contemplan sanciones como el cierre de líneas hasta por 15 días naturales; la suspensión de papelería o de operaciones, además de multas. En el caso de las sanciones económicas, entre las más costosas es de 117 mil 310 pesos (mil UMAS) por operar sin concesión. En caso de registrar desconexión de cámaras, evidencia de imágenes impresas, imágenes en digital o video de las operaciones realizadas en el centro de verificación, recibirán una sanción de 586 mil 550 pesos (5 mil UMAS), independientemente de la revocación. Mientras que, si el centro no coloca en el acceso y área de espera los costos respectivos en pesos, se le impondrá una sanción de 58 mil 655 pesos (500 UMAS).</t>
  </si>
  <si>
    <t>Verificentros</t>
  </si>
  <si>
    <t>Daniel Martínez comenta antes de dar la nota de "Verificentros en Hidalgo enfrentarán multas de hasta 2.3 mdp por incurrir en prácticas irregulares", comentó; "algo encontró o se está poniendo el curita antes de la cortada obviamente la Secretaria de Recursos Naturales del Estado de Hidalgo o está haciendo advertencia hacia los responsables de los verificentros en caso de que tengan irregularidades. Les van a meter unas multas pero canijitas.</t>
  </si>
  <si>
    <t>Luego de poco más de dos meses sin registro de casos de sarampión en el Estado de Hidalgo, autoridades estatales en materia de salud confirmaron uno nuevo, registrado en el municipio de Santiago Tulantepec. El paciente es un bebé de ocho meses de edad, con lo cual el acumulado es de 23 casos en el periodo 2025-2026, de los cuales uno se registró el año pasado, de acuerdo al reporte de la Dirección General de Epidemiología, dependiente de la Secretaría de Salud federal. De acuerdo a la estadística, de los 22 casos registrados de enero a junio de este año, 6 ocurrieron en enero, 5 en febrero, 6 en marzo, 4 en abril, y el caso más reciente a finales de junio. Hasta la primera quincena de junio, la SSH reportó que sumaban más de 486 mil vacunas aplicadas entre doble viral Sarampión y Rubéola y triple viral Sarampión, Rubéola y Parotiditis. Hace unos días, la titular de la Secretaría de Salud en Hidalgo, Vanesa Escalante Arroyo, aseguró que la situación epidemiológica se encuentra estable, pues no sé han registrado decesos por el padecimiento. Los contagios confirmados previo al más reciente, se identificaron principalmente en los municipios de Pachuca y Santiago de Anaya, y corresponden al genotipo D8 del virus. Además, la entidad reporta 200 casos notificados de Enfermedad Febril Exantemática, con una tasa de 6 casos por cada 100 mil habitantes. “La mayor incidencia que hemos tenido ha sido en su gran mayoría en pacientes de la segunda y la tercera década de la vida”, comentó la funcionaria estatal. Escalante Arroyo exhortó a la población a revisar sus cartillas de vacunación, ya que muchas personas desconocen si cuentan con el esquema completo. “Las personas te dicen: ‘mi mamá dice que me vacunaron’, pero cuando preguntamos si les consta o si tienen la cartilla, muchas veces no la encuentran o no la tienen. Por eso pedimos que se acerquen a las unidades de salud para revisar sus esquemas”, enfatizó.</t>
  </si>
  <si>
    <t>Sarampión</t>
  </si>
  <si>
    <t>El gobierno municipal de Tulancingo no otorgará permisos para la colocación de vendimias o tianguis de temporada en la vía pública, y mucho menos se permitirá el cierre de calles con dichos motivos comerciales. Así lo aseguró Edmundo Aguilar Aranda, Secretario General del Ayuntamiento, ante la próxima celebración de la tradicional feria de los Angelitos, así como festejos patrios, de Día de Muertos, y Navidad, entre otros. Señaló que hasta el momento no se han presentado solicitudes para vendimias o tianguis de temporada, enfatizando que en caso de recibirse, no habrá autorización alguna para ocupar calles con dicho fin. En los festejos de la Virgen de Guadalupe del año pasado, la vendimia cercana al templo de La Villita, ubicado en el centro de la ciudad, se extendió en una cuadra más. Mientras que en la temporada navideña y de festejos de inicio o fin de año, fue cerrado totalmente un tramo de avenida Manuel Fernando Soto, para la instalación de puestos ambulantes. Aguilar Aranda aseguró que “lo que menos se quiere es afectar las vialidades”, por lo que insistió que el gobierno municipal no dará permiso alguno para comercio ambulante de temporada, vendimias, tianguis especiales o verbenas populares. En el caso de las ferias temáticas o de temporada que organice el gobierno de Tulancingo, seguirán realizando en espacios cerrados, ordenados, y por tanto, sin usar u ocupar calles o vialidades de la ciudad.</t>
  </si>
  <si>
    <t>Ambulantaje</t>
  </si>
  <si>
    <t>Personal de la Secretaría de Servicios Municipales en Tulancingo, detectó y retiró conexiones de energía eléctrica realizadas en forma ilegal a la altura del Crucero de Acatlán. Por medio de un comunicado oficial, el gobierno municipal confirmó que durante recorridos de supervisión, fue como se localizaron instalaciones clandestinas conectadas de manera ilegal a la infraestructura eléctrica municipal. Dicha infraestructura abastece de energía eléctrica a semáforos y luminarias públicas ubicadas en la vialidad; previo al hallazgo de la conexión ilegal se habían registrado afectaciones al sistema de semáforos del Crucero Acatlán y apagones en el alumbrado público, particularmente en la colonia Magisterio. Las conexiones fueron retiradas de la zona de inmediato con el apoyo de elementos de la Secretaría de Seguridad Ciudadana. El secretario de Servicios Municipales, Alberto Santuario Elías, informó que estas prácticas representan un delito y generan daños directos a la infraestructura pública, además de poner en riesgo la seguridad de peatones y automovilistas al provocar fallas en el sistema de control vial. El comunicado no establece si se aplicará alguna sanción hacia los responsables de realizar la conexión ilegal, o se si iniciará algún proceso legal por el caso. Sin embargo, se señala que se dará a las autoridades competentes para que se actúe conforme a la ley. El funcionario explicó que el robo de energía ocasiona variaciones de voltaje que dañan equipos, desprograman los semáforos y generan interrupciones en el servicio de alumbrado público, afectando a miles de ciudadanos. Señaló que se reforzará la vigilancia y continuará realizando inspecciones para detectar y retirar cualquier conexión irregular, y en caso necesario, proceder legalmente.</t>
  </si>
  <si>
    <t>Robo de luz</t>
  </si>
  <si>
    <t>Por medio de ligas enviadas a cuentas de whatsapp, así como en redes sociales, se promete la entrega de dinero a cambio de ver películas y publicidad y elegir las preferidas, siendo en realidad un fraude. Testimonios de víctimas señalan que tras abrir las ligas electrónicas que les llegaron o localizaron en redes sociales, llegaron a instrucciones donde se les decía que “sólo deberían elegir sus películas favoritas”, o productos diversos. Las personas que son enganchadas, registran datos incluso personales, tras lo cual comienza a recibir películas o publicidad de los productos que deberá revisar. En las primeras ocasiones, las personas comienzan a recibir alguna cantidad de dinero tras dar a conocer sus elecciones o dar likes; pero a continuación comienza la estafa. Desde la misma liga con la que se hizo el primer contacto, se le invita a la víctima a incrementar sus ingresos: para ello, se le señala que debe depositar diversas cantidades de dinero, a modo de inversión, con la promesa de que tendrá un regreso con ganancia económica. Del mismo modo, en primeras ocasiones se hacen los depósitos en cuentas que otorgan los enganchados, pero de forma paulatina, se les invita a depositar cantidades mayores de dinero, con la promesa de mayores ganancias económicas. Es entonces cuando se dejan de hacer depósitos, explicando los defraudadores por medio de mensajes electrónicos que se sigan haciendo más depósitos, pues con los que se tienen retenidos, en algún momento obtendrán en algún momento una importante cantidad de dinero. Por lo cual las autoridades piden que no se atiendan este tipo de invitaciones, así como denunciar los sitios electrónicos, plataformas digitales o ligas electrónicas de donde provengan.</t>
  </si>
  <si>
    <t>Alerta De Fraude</t>
  </si>
  <si>
    <t>Andrés Torres en respuesta a un radioescucha que menciona que e Huautla seguido se va la luz y afecta la señal (al parecer se refiere a la de la radio), le comenta que por temas administrativos ya no los abastecen de diesel para las plantas de energía, y entonces, si se va la luz sale del aire la estación. Antes cuando se iba la luz, en automático entraban las plantas de energía que se abastecen con diesel, pero ya no. Esa es la nueva política de Radio y Televisión de Hidalgo y nosotros nos avenimos a lo que hay.</t>
  </si>
  <si>
    <t>Andrés Torres durante la entrevista con Daniel Andrade Zurutuza, Diputado Federal por el Distrito 1 al hablar de que el legislador federal se ha reunido con la CFE para gestionar soluciones sobre los cortes de energía eléctrica, hace mención que "hay gente que cree que es culpa de Andrés Torres que se vaya la luz en Huejutla y que la próxima vez lo van a correr si se va la luz".</t>
  </si>
  <si>
    <t>Hostigamiento Laboral</t>
  </si>
  <si>
    <t>En cabina Daniel Andrade Zurutuza es el Diputado Federal por el Distrito 1, a pregunta expresa que si será candidato a una secretaría o se reelegirá, asevera que él está enfocado en cumplir con su trabajo actual y hay que esperar. Por otra parte habla de su labor como legislador y dentro de la Comisión de Vigilancia y Auditoría Superior. Asimismo, indicó que este año continuará la segunda etapa de la carretera Huejutla- Tamazunchale con una inversión de 2 mil 500 millones de pesos y servirá a comunicar a los serranos. Destaca que el gobernador ha superado los 30 mil millones de pesos en infraestructura carretera comparados con los 15 mil millones de pesos que invirtió la administración anterior y se espera alcanzar más de 45 mil millones de pesos. Habló de más obras carreteras que se tienen programadas en la huasteca.</t>
  </si>
  <si>
    <t>Obras De Infraestructura</t>
  </si>
  <si>
    <t>Radioescucha, Rafa López: cuándo tendremos un estado de Hidalgo con empleos que ofrezcan sueldos competitivos. Estamos muy rezagados en varios aspectos.</t>
  </si>
  <si>
    <t>Sedeco</t>
  </si>
  <si>
    <t>Bajos salarios</t>
  </si>
  <si>
    <t>En cabina Daniel Andrade Zurutuza es el Diputado Federal por el Distrito 1 a pregunta expresa que so será candidato a una secretaría o se reelegirá, asevera que él está enfocado en cumplir con su trabajo actual y hay que esperar. Por otra parte habla de su labor como legislador y dentro de la Comisión de Vigilancia y Auditoría Superior. Asimismo, indicó que este año continuará la segunda etapa de la carretera Huejutla- Tamazunchale con una inversión de 2 mil 500 millones de pesos y servirá a comunicar a los serranos. Destaca que el gobernador ha superado los 30 mil millones de pesos en infraestructura carretera comparados con los 15 mil millones de pesos que invirtió la administración anterior y se espera alcanzar más de 45 mil millones de pesos. Habló de más obras carreteras que se tienen programadas en la huasteca. Habla de su labor con la CFE para solucionar los cortes de energía eléctrica.</t>
  </si>
  <si>
    <t>Trabajo legislativo</t>
  </si>
  <si>
    <t>Radioescucha, Olga islas: a dónde se puede acudir para hacer un llamado porque en la Unidad de Rehabilitación que pertenece al DIF municipal no hay médico que atienda desde hace varios meses, eso hace mucha falta en el municipio, y tal parece que no le interesa al presidente municipal.</t>
  </si>
  <si>
    <t>Déficit De Personal</t>
  </si>
  <si>
    <t>Andrés Torres invita a la población en general a estar pendientes de las fecha del Video Mapping y acudir a disfrutar de este espectáculo en el Parque Cultural Hidalguense, que comparó con el que se exhibe en Las Vegas.</t>
  </si>
  <si>
    <t>Finalmente abrieron el bulevar Santa Catarina, abrieron la lateral, lo que hizo que esta vía se desahogara mucho. Ayudó en mucho ayer con la lluvia.</t>
  </si>
  <si>
    <t>Rehabilitación carretera</t>
  </si>
  <si>
    <t>Andrés Torres informa que su página https://www.vocalesonline.com.mx fue hackeada. Asimismo comenta: "Parte de los riesgos que tiene este asunto de las redes sociales, pero me encanta porque nos van a acusar a Gobierno, pasan las carpetas y prácticamente en todos lados están diciendo-hay, porque Andrés dice la verdad, dice lo que está sucediendo-, que no les guste o que sean torpes es diferente. El asunto es que nuestra página hoy está hackeada y lo vamos a solucionar y si no se puede, pues hacemos otra. Tan sencillo como eso y nosotros seguiremos trabajando el periodismo, no la propaganda, no alabanzas gratis y facilotas".</t>
  </si>
  <si>
    <t>Hackeo</t>
  </si>
  <si>
    <t>CECyTE Hidalgo destaca en el Encuentro Nacional Deportivo</t>
  </si>
  <si>
    <t>El Congreso del Estado de Hidalgo albergó el evento “Talento 07, creatividad, esfuerzo y excelencia”, con el objetivo de reconocer y visibilizar a las niñas, niños y jóvenes del distrito VII que han destacado en los ámbitos académico, deportivo y cultural, quienes, mediante su esfuerzo, disciplina y talento, han representado a sus instituciones educativas, municipios y a la entidad en competencias, concursos, encuentros y actividades de carácter estatal y nacional, promoviendo una cultura de excelencia, participación y orgullo comunitario. La diputada Diana Rangel Zúñiga, representante del distrito VII con cabecera en Mixquiahuala, expresó su orgullo por reunir al talento integrado por jóvenes de municipios como Progreso de Obregón, Francisco I. Madero y Atitalaquia, reconociendo que sus logros representan el esfuerzo, la disciplina y la perseverancia de la región.</t>
  </si>
  <si>
    <t>Reconocimiento</t>
  </si>
  <si>
    <t>El diputado Miguel Moreno presentó una iniciativa para declarar el segundo domingo de julio como el Día Estatal de la Barbacoa, con el propósito de reconocer y preservar esta tradición gastronómica que forma parte de la identidad, cultura e historia del estado. La propuesta también busca fortalecer el turismo y reconocer el trabajo de las familias que mantienen vivo este legado ancestral.</t>
  </si>
  <si>
    <t>El gobernador Julio Menchaca Salazar informó que tras el reciente aumento de la tarifa del transporte público, los operadores asumieron el compromiso de mejorar las condiciones de seguridad y la calidad del servicio para las y los usuarios.</t>
  </si>
  <si>
    <t>Aumento Tarifa De Transporte</t>
  </si>
  <si>
    <t>El gobernador Julio Menchaca Salazar reconoció el trabajo de la Secretaría de Seguridad Pública de Hidalgo y afirmó que, pese a los retos en la materia, continúan las acciones para fortalecer la seguridad en la entidad. Bajo ese mismo tenor, informó que sostuvo un diálogo con empresarios que recientemente invirtieron en Hidalgo, quienes destacaron que la seguridad fue uno de los factores que influyó en su decisión de apostar por el Estado.</t>
  </si>
  <si>
    <t>Respaldo a Secretario</t>
  </si>
  <si>
    <t>Esta mañana el gobernador de Hidalgo, Julio Menchaca Salazar, encabezó la entrega de tarjetas de diversos programas sociales a beneficiarias y beneficiarios provenientes de distintos municipios de la entidad, al evento también asistieron presidentas y presidentes municipales quienes acompañaron esta jornada de entrega de apoyos. Durante el evento, Ricardo Gómez Moreno, Secretario de Bienestar e Inclusión Social de Hidalgo, presentó un balance de los programas sociales que impulsa la administración estatal, destacando el alcance de las acciones implementadas, el número de personas beneficiadas y la inversión destinada para fortalecer el bienestar de diversos sectores de la población. Por último, el gobernador Julio Menchaca Salazar comparó los apoyos sociales otorgados en administraciones anteriores con los que actualmente se entregan en Hidalgo y destacó la importancia de estos programas para beneficiar de manera directa a la población.</t>
  </si>
  <si>
    <t>Participan estudiantes de UTVM en proyecto turístico para Tasquillo</t>
  </si>
  <si>
    <t>Participación social</t>
  </si>
  <si>
    <t>La Comisión Estatal para el Desarrollo Sostenible de los Pueblos Indígenas (CEDSPI) entregó 16 sanitarios equipados con biodigestor y tinaco multicapa, gestionados por el Gobierno de Tulancingo, en beneficio de 80 habitantes de las comunidades indígenas de San Nicolás Cebolletas, Laguna del Cerrito y San Vidal. La entrega fue encabezada por el titular de la CEDSPI, Prisco Manuel Gutiérrez, quien reconoció al Gobierno de Tulancingo por su permanente labor de gestión. Asimismo, informó que la inversión destinada por el Gobierno del Estado asciende a 1 millón 448 mil 228 pesos con un centavo, recursos que permitieron la instalación de seis módulos sanitarios en San Nicolás Cebolletas, cinco en Laguna del Cerrito y cinco más en San Vidal. Estas acciones reflejan el compromiso compartido de los gobiernos estatal y municipal por impulsar el desarrollo sostenible de los pueblos y comunidades indígenas, mediante obras que atienden necesidades prioritarias y generan mejores condiciones para una vida más digna, saludable y con mayores oportunidades. Los sanitarios cuentan con un sistema de biodigestor que permite el tratamiento de los desechos sin necesidad de conexión a la red de drenaje, contribuyendo al saneamiento básico, la protección de la salud pública y la conservación del agua, el suelo y los mantos freáticos. Con ello, además de prevenir focos de infección, se incorporan soluciones sustentables para localidades rurales y de difícil acceso. Los principales beneficiarios son familias que habitan en condiciones de vulnerabilidad, quienes ahora disponen de infraestructura sanitaria moderna, segura y respetuosa del medio ambiente, fortaleciendo su bienestar y mejorando sus condiciones de vida.</t>
  </si>
  <si>
    <t>Un hombre de 47 años y un adolescente de 15 resultaron lesionados luego de que la camioneta en la que viajaban cayó al Río San Lorenzo, en las inmediaciones del acceso a la Ciudad Universitaria, conocida como el Instituto de Ciencias Agropecuarias (ICAP), en el municipio de Tulancingo. Se dice que estas dos persona iban alcoholizadas y fueron trasladadas para recibir atención médica.</t>
  </si>
  <si>
    <t>Un hombre fue detenido en el fraccionamiento Héroes de Tizayuca tras el aseguramiento de más de 40 dosis y cápsulas con características de droga estimulante. De acuerdo con información oficial, el hecho ocurrió en el fraccionamiento Héroes de Tizayuca, donde elementos de la Secretaría de Seguridad Ciudadana atendieron un reporte canalizado por el C2. La intervención se realizó en coordinación con la Subsecretaría de Operación Policial y la Jefatura Regional Pachuca, como parte de las acciones de monitoreo, inteligencia y análisis operativo en la zona. Al llegar al sitio, los elementos ubicaron a un masculino señalado en el reporte, quien presuntamente mostró resistencia durante la intervención. Durante la inspección preventiva, realizada conforme a los protocolos establecidos, los agentes aseguraron diversos indicios. Tras el hallazgo, el individuo fue detenido en el lugar y trasladado junto con los indicios ante el Ministerio Público.</t>
  </si>
  <si>
    <t>Detención</t>
  </si>
  <si>
    <t>De manera simultánea, la Fiscalía General de la República (FGR) ejecutó una orden de cateo en dos inmuebles ubicados en la colonia 21 de Julio, en la localidad de Ciudad Sahagún, municipio de Tepeapulco, en donde se aseguró hidrocarburo, contenedores, 22 cartuchos y un arma de fuego tipo escopeta. En atención a una denuncia anónima, realizada a la Policía Federal Ministerial (PFM) de la Agencia de Investigación Criminal (AIC), en la que sus elementos alertaron a la Fiscalía Federal en hidalgo, sobre un predio en el que, presuntamente, se almacenaba hidrocarburo de forma ilícita, por lo que el Fiscal Federal inició las investigaciones correspondientes para investigar los hechos denunciados. Mediante actos de inteligencia hechos por parte de la PFM, se corroboró la veracidad de los datos puestos en la denuncia, por lo que, el MPF solicitó autorización judicial para ejecutar la diligencia de cateo, la cual fue autorizada por el juez de Control, y ejecutada en coordinación con peritos especializados de la institución y agentes de la PFM.</t>
  </si>
  <si>
    <t>Combate Al Huachicol</t>
  </si>
  <si>
    <t>Derivado de una denuncia anónima recibida por la Policía Federal Ministerial (PFM), en la que se informó sobre robos de vehículos, transporte de drogas, armas e hidrocarburo ilícito, la Fiscalía General de la República (FGR) instaló un punto de revisión sobre la autopista Arco Norte. Durante las diligencias realizadas en dicho punto, elementos de la PFM detuvieron a una persona que viajaba a bordo de una camioneta de pasajeros. En el interior del vehículo localizaron un compartimiento oculto donde encontraron 50 envoltorios, de aproximadamente un kilogramo cada uno, con una sustancia granulosa con características de clorhidrato de metanfetamina</t>
  </si>
  <si>
    <t>La Secretaría de Seguridad Ciudadana de Tizayuca informó sobre la detención de un hombre señalado como el presunto responsable del robo a una tienda de conveniencia en el fraccionamiento Haciendas de Tizayuca. Durante la intervención, el sujeto agredió y lesionó con un arma punzocortante a dos de los oficiales que participaron en el operativo. ​De acuerdo con el reporte oficial de la dependencia, la movilización policial se originó tras una alerta emitida por el Centro de Control y Comando (C2). Tras el reporte, se desplegó un operativo de búsqueda y localización en la zona, logrando ubicar a un individuo que coincidía plenamente con las características del sospechoso. ​ Al momento de ser interceptado, el sujeto opuso resistencia y agredió a los uniformados con un cuchillo. Pese a la agresión, los policías lograron contener la situación con el apoyo de otras unidades que llegaron al punto. El presunto responsable fue detenido y el arma blanca quedó asegurada como parte de la intervención.</t>
  </si>
  <si>
    <t>Durante la noche de este sábado se registró un accidente en el que se vio involucrada una camioneta particular y una pipa de transporte de gas lp. Los hechos sucedieron en los límites del municipio de Tizayuca, con Tecámac, Estado de México, sobre la carretera federal Mexico-Pachuca, donde la unidad que transportaba gas con número económico T-01 impactó el costado izquierdo de la camioneta Chevrolet Trax color negro placas de circulación MNW-578-A. Por los hechos dos personas resultaron con lesiones y tuvieron que ser atendidas por paramédicos, sin requerir traslado a algún hospital. Elementos de la guardia nacional y policía municipal atendieron el hecho y coordinaron las labores para retirar las unidades, que fueron puestas ante el Ministerio Público, en tanto se deslindan responsabilidades.</t>
  </si>
  <si>
    <t>Accidente De Pipa</t>
  </si>
  <si>
    <t>El cuerpo de una persona con signos de haber sido calcinado, fue localizado al interior de un domicilio ubicado sobre la calle Allende, en la colonia Centro de Tlanalapa. Elementos policiacos acudieron al sitio luego de recibir reporte al respecto, confirmando el hallazgo, pero sin que hasta el momento se hayan brindado datos de identificación. Posteriormente se conoció de la detención de dos hombres y una mujer, quienes fueron puestos a disposición de las autoridades correspondientes, para establecer o descartar su posible participación en los hechos relatados. El domicilio fue acordonado y resguardado por los elementos policiacos, en tanto que personal de la Procuraduría General de Justicia del Estado de Hidalgo inició el levantamiento de pruebas y testimonios, para desarrollar las investigaciones sobre el caso. A partir del desarrollo de dichas investigaciones eventualmente se darían a conocer los resultados respectivos.</t>
  </si>
  <si>
    <t>Localización de cuerpo</t>
  </si>
  <si>
    <t>Un hombre fue localizado sin vida, con lesiones provocadas por arma de fuego, dentro de la localidad de El Cardonal, dentro del municipio de Atitalaquia, la madrugada del viernes 3 de julio. Previamente, fueron reportadas detonaciones por arma de fuego, por lo cual elementos de seguridad pública acudieron al sitio, localizando el cuerpo de la persona. Tras revisión por parte de paramédicos, se confirmó que el cuerpo localizado, correspondiente a un hombre aún sin identificar, ya no presentaba signos vitales, siendo ubicadas lesiones por arma de fuego en su cuerpo. La zona fue resguardada mientras se solicitaba la intervención de personal de la Procuraduría General de Justicia del Estado de Hidalgo, que quedó a cargo de las investigaciones sobre el caso, así como del levantamiento del cuerpo. De acuerdo con los primeros reportes disponibles, personas desconocidas habrían disparado contra el hombre y huyeron después del ataque. Hasta el momento no se conoce de personas detenidas, relacionadas con el fallecimiento del hombre.</t>
  </si>
  <si>
    <t>Ataque Armado</t>
  </si>
  <si>
    <t>El director general de la Unidad Especializada en el Combate al Secuestro (UECS), Manuel García Guzmán, fue suspendido durante 30 días sin goce de sueldo por participar en una convivencia con bebidas alcohólicas dentro de instalaciones de la Procuraduría General de Justicia del Estado de Hidalgo (PGJEH). La sanción también alcanzó a otros seis servidores públicos que aparecieron o participaron en la reunión realizada dentro de una oficina de la unidad especializada. En total, siete funcionarios recibieron la misma medida administrativa tras concluir la investigación interna. La confirmación de la suspensión fue dada a conocer por el contralor de Hidalgo, Álvaro Bardales Ramírez, en entrevista con Acrópolis Noticias. De acuerdo con la información difundida por ese medio, el Órgano Interno de Control determinó que la conducta representó una falta administrativa grave, al utilizar espacios oficiales para una celebración en la que hubo consumo de alcohol. El caso se hizo público el pasado 29 de mayo, cuando comenzaron a circular videos en redes sociales donde se observaba a personal de la Unidad Especializada en el Combate al Secuestro reunido dentro de una oficina. En las imágenes se apreciaban bebidas alcohólicas, mientras algunos asistentes animaban a uno de los presentes a consumir alcohol. Entre las personas captadas se encontraba García Guzmán, quien aparecía sosteniendo una botella de licor. La difusión de las grabaciones e imágenes generó críticas debido a que se trataba de una unidad encargada de investigar y perseguir uno de los delitos de mayor impacto para las víctimas y sus familias. La suspensión, según lo informado por el contralor estatal a Acrópolis Noticias, ya se encuentra en cumplimiento. La resolución habría sido emitida aproximadamente dos semanas antes de que se confirmara públicamente la sanción.</t>
  </si>
  <si>
    <t>Sanción a funcionario</t>
  </si>
  <si>
    <t>Sin intermediarios, Julio Menchaca arranca entrega de los Programas del Pueblo</t>
  </si>
  <si>
    <t>A más de 3 meses del colapso del relleno sanitario regional de Tula, Atitalaquia no tiene un sitio de disposición final propio. El ayuntamiento tuvo que rentar un patio de transferencia para trasladar diariamente sus desechos al Estado de México, lo que ha generado gastos extraordinarios. Mientras tanto, El municipio trabaja en campañas de concientización y separación de residuos para disminuir la cantidad de basura que se genera. actualente no exuste un proyecto para la construcción de un relleno sanitario.</t>
  </si>
  <si>
    <t>Un grupo de pobladores de Tepeji del Río bloquearon de manera parcial la autopista México- Querétaro, es te viernes 6 de julio en protesta por servicios públicos, transparencia en el uso de recursos públicos, así como falta de transparencia en el uso de recursos. El gobierno municipal de Tepeji del Río emitió un comunicado, donde señala que la alcaldesa, Tania Valdez Cuellar está en disposición de dialogar con los manifestantes siempre y cuando se garanticen las condiciones de seguridad. también los manifestantes se trasladaron a la entrada de Tepotzotlán, donde continuaron con sus protestas. La alcaldesa asevera que ha dado la cara desde el inicio, y por su parte, el Secretario de Gobierno, Guillermo Olivares dio a conocer el fin de semana que se llegó a a cuerdos con lo que las protestas finalizaron. Uno de los representantes vecinales indicó que de nos ver cumplidas sus peticiones acudirán nuevamente a la alcaldía a exigir ser escuchados.</t>
  </si>
  <si>
    <t>En el transcurso del mes de julio iniciará la segunda etapa de la modernización y ampliación a cuatro carriles de la autopista México-Tuxpan en el tramo Tulancingo-Nueva Necaxa. La obra, respaldada por autoridades municipales y estatales, contempla una inversión de 9 mil 609 millones de pesos e incluye acciones directas de modernización en la zona de Tulancingo. A finales del año pasado, la alcaldesa de Tulancingo, Lorena García Cázares, confirmó la ampliación de carriles con la construcción de un segundo cuerpo, a partir del crucero Pitula y hasta San Alejo. La ejecución de obra inició a principios del presente año, tras la gestión y seguimiento por parte del gobierno municipal de Tulancingo, que también otorga acompañamiento técnico y operativo para su desarrollo. La alcaldesa García Cázares señaló en su momento que la modernización y ampliación de la autopista es un proyecto de adecuación vial muy ambicioso, que llegará hasta el Estado de Puebla, siendo Tulancingo la zona donde se realiza la primera etapa de obra. Durante varios años se había solicitado la ampliación de la vialidad con objetivo de disminuir la incidencia de accidentes en la zona citada, algunos de ellos de consecuencias fatales. Dichos accidentes en su mayoría han ocurrido precisamente por el ensanchamiento de la vialidad, lo que confunde sobre todo a los automovilistas que no la usan con frecuencia. A inicios del pasado mes de junio de este año, el director general de Banco Nacional de Obras y Servicios Públicos, Jorge Alberto Mendoza Sánchez, anunció el inicio de la segunda etapa de la obra en la autopista México-Tuxpan. Durante una de las conferencias de prensa del Gobierno de México, el funcionario señaló que el objetivo general de la obra es consolidar un corredor de alta capacidad que permita una conexión más eficiente entre la Ciudad de México y el puerto de Tuxpan, Veracruz. Ello para facilitar el transporte de mercancías y reduciendo los tiempos de traslado para miles de automovilistas, así como disminuir la incidencia de accidentes, luego de que durante 2024 se registraran más de 490 percances en distintos tramos de dicha vialidad. Además de las acciones en Hidalgo, el plan contempla la ampliación del tramo Tihuatlán-Tuxpan, donde se construirán nuevos carriles, puentes, entronques y estructuras complementarias para mejorar la movilidad y la seguridad vial. En la primera etapa de la obra, se abarcan 22.2 kilómetros dentro de la región Tulancingo. La alcaldesa García Cázares ha señalado previamente que con la obra de ampliación y modernización, además de abatir accidentes viales, se abren posibilidades de desarrollo, incluso para la región, al tener una vialidad adecuada.</t>
  </si>
  <si>
    <t>Ampliación carretera</t>
  </si>
  <si>
    <t>“Vamos a ser partido político nacional y vamos a estar en la boleta de 2027” señaló Víctor Osmind Guerrero Trejo, coordinador estatal de Que Siga la Democracia en Hidalgo, quien dio a conocer las acciones que emprenderá la agrupación política ante la negativa del registro como partido político nacional. Tras el no reconocimiento como partido político por parte del Instituto Nacional Electoral (INE), el coordinador estatal y los delegados políticos en el estado, anunciaron este viernes en conferencia de prensa que el próximo lunes acudirán ante la Sala Superior del Tribunal Electoral del Poder Judicial de la Federación (TEPJF) para impugnar la negativa de registro. “Tenemos la certeza de que vamos a ser partido político nacional y vamos a estar en la boleta electoral de 2027. Por ello todos los liderazgos estatales de diversas entidades del país hemos cerrado filas en torno a esta acción legal con la confianza de que nuestros derechos serán restituidos", expresó. El también exdiputado local, pidió a los ciudadanos que confiaron en la propuesta de partido durante las asambleas, a que tengan confianza de que el Tribunal les dará la razón, y que la organización política seguirá trabajando para que ese proyecto se consolide.</t>
  </si>
  <si>
    <t>Registro partidos</t>
  </si>
  <si>
    <t>Por medio de un comunicado oficial, el Gobierno Municipal de Tulancingo informó que el procedimiento de aclaración a observaciones a su Cuenta Pública 2025 no ha iniciado formalmente, aun cuando el informe haya sido publicado en el sitio electrónico de la Auditoría Superior del Estado de Hidalgo (ASEH). A inicios de esta semana, la instancia estatal entregó dicho informe, donde el Municipio de Tulancingo registra observaciones en recursos públicos ejercidos por 5 millones 743 mil 297.26 pesos. Al fijar postura al respecto, el gobierno municipal señala que “el procedimiento de fiscalización aún se encuentra en curso”. El municipio contará con 30 días hábiles para presentar la información y documentación correspondiente, una vez que sea notificado oficialmente. De acuerdo a lo señalado, el gobierno local aún no ha recibido la notificación respectiva. “Es importante precisar que el plazo legal de 30 días hábiles para atender dichas observaciones comenzará a correr a partir de la notificación oficial del informe correspondiente, la cual aún no ha sido realizada”, se enfatiza en el comunicado. “La administración municipal revisará de manera exhaustiva cada una de las observaciones y presentará la información, documentación y elementos técnicos que resulten procedentes para acreditar el correcto ejercicio de los recursos públicos, siempre con transparencia, responsabilidad y estricto apego a la normatividad vigente”. Se agrega en el posicionamiento oficial que “las observaciones contenidas en el informe de resultados no constituyen, por sí mismas, una resolución definitiva ni acreditan la existencia de un daño o perjuicio a la hacienda pública o al patrimonio municipal”. Tampoco significan que exista un faltante de recursos públicos, ya que forman parte de un procedimiento legal que contempla etapas de aclaración, valoración documental y, en su caso, solventación”. Al entregar el documento al Congreso del Estado de Hidalgo con las observaciones realizadas a diversos entes públicos, el titular de la ASEH, Jorge Valverde Islas, afirmó que la rendición de cuentas “no constituye una alternativa, sino un deber ineludible” de todo servidor público. El municipio con la mayor cantidad de observaciones es Tula de Allende, con 17 millones 671 mil 86.16 pesos; le siguen Tulancingo de Bravo, con 5 millones 743 mil 297.26 pesos; Pachuca de Soto, con 5 millones 43 mil 614.20 pesos; Zapotlán de Juárez, con un millón 586 mil 999.88 pesos, y Mineral del Monte, con 851 mil 473.08 pesos. En conjunto, los cinco ayuntamientos concentran 30 millones 895 mil 470.58 pesos de los 32 millones 39 mil 832.49 pesos observados a los municipios. En total, la ASEH determinó observaciones por 46 millones 367 mil 64.76 pesos susceptibles de solventarse como resultado de la primera etapa de fiscalización de la Cuenta Pública 2025.</t>
  </si>
  <si>
    <t>Vía telefónica Nicolás Aguirre Trejo, habitante de Santiago Tultepec indicó que ya están cansados de la alcaldesa, pues la entrada de Santiago está en pésimo estado y ayer la barranca de El salado se desbordó y el agua se medió a su casa y la presidenta ni Protección Civil fueron a ver qué había sucedido. Asevera que la entrada a Santiago Tultepec está completamente destrozada y recuerda que la alcaldesa se comprometió con los vecinos, para que se aportara el recursos para la ampliación del puente y el municipio terminaría la pavimentación del tramo de aproximadamente 80 metros de este puente y hasta el momento no ha hecho nada. Pide a la alcaldesa, voltear a verlos y que ante situaciones como la de ayer que Protección Civil haga recorridos para apoyar a la gente. Asimismo, pide que se haga limpieza n la Barranca de El Salado, porque tiene años que no la limpian. (señala haber enviado al conductor del programa un video sobre lo que comentó)</t>
  </si>
  <si>
    <t>Un vehículo particular impactó contra una unidad del Sistema de Transporte Metropolitano (Tuzobús), resultando tres personas con lesiones. El accidente se registró la mañana del sábado 4 de julio a la altura de la Zona Plateada, dentro de la ciudad de Pachuca, en el carril sur del sistema de transporte masivo de pasajeros. El Sistema Integrado de Transporte Masivo de Hidalgo (Sitmah) informó que el percance ocurrió cuando el automóvil particular no respetó la luz roja del semáforo, impactando contra la unidad correspondiente al servicio T01 del Transporte Metropolitano. Como consecuencia del frenado de emergencia, tres pasajeros resultaron con lesiones menores y recibieron atención médica conforme a los protocolos establecidos. Personal operativo del Sitmah acudió al lugar para brindar apoyo y garantizar la seguridad de los usuarios. Las lesiones en los pasajeros afectados derivaron de la puesta en marcha del sistema de frenado de emergencia por parte del operador de la unidad de transporte de pasajeros. En el comunicado emitido por las autoridades no se establece si el conductor de la unidad motora que no respetó la luz del semáforo fue sancionado.</t>
  </si>
  <si>
    <t>Accidente Tuzobús</t>
  </si>
  <si>
    <t>El operador de una unidad para transporte colectivo de pasajeros atropelló a un adulto mayor que en ese momento intentaba cruzar la Avenida Juárez, en el centro de Tizayuca. De acuerdo a testigos de los hechos ocurridos la mañana del sábado 4 de julio, el operador de la unidad para transporte de pasajeros ignoró la luz roja del semáforo, pues se encontraba atendiendo su teléfono celular Como resultado, el adulto mayor resultó atropellado; personal de atención a emergencias acudió para atender al lesionado, quien tras ser valorado en su estado físico y de salud, fue trasladado al Hospital General de Pachuca. Se informó que la unidad para transporte colectivo de pasajeros no contaba con placas de circulación, por lo que operaba de forma irregular, lo cual fue informado a personal de la Secretaria de Movilidad y Transporte de Hidalgo. El operador de la unidad fue puesto a disposición del Ministerio Público para el seguimiento de la investigación al caso, al tiempo que la unidad también fue retenida, con el mismo objetivo. Hasta el momento no se conoce sobre la evolución en el estado de salud de la persona adulta mayor atropellada. .</t>
  </si>
  <si>
    <t>Accidente transporte público</t>
  </si>
  <si>
    <t>La Secretaría de Movilidad y Transporte de Hidalgo (Semot) informó que fueron sancionados los dos operadores de taxi involucrados en un altercado registrado el pasado 2 de julio sobre el bulevar Nuevo Hidalgo, esquina con Circuito Tulipán Norte, en el municipio de Pachuca. De acuerdo con la dependencia, elementos de la Policía Estatal atendieron inicialmente el incidente como primeros respondientes y, posteriormente, personal de la Dirección de Vigilancia y Supervisión del Sistema de Transporte Convencional de Hidalgo (STCH) acudió al sitio para realizar las diligencias correspondientes. Una vez confirmada la participación de ambos operadores en la riña, los inspectores levantaron las boletas de infracción por incurrir en actos violentos, conforme a la normativa vigente. Asimismo, las unidades con placas A-555-FUX y A-304-FVA, adscritas a los sitios 01 PCH S y 11 ZEM S, respectivamente, fueron aseguradas y trasladadas al depósito vehicular, donde permanecerán mientras se desarrollan los procedimientos administrativos correspondientes. La Semot reiteró que mantendrá la vigilancia para garantizar que el servicio de transporte público se preste en condiciones de legalidad, seguridad y respeto hacia la ciudadanía.</t>
  </si>
  <si>
    <t>De continuar el mal servicio y abusos por parte de operadores de servicio de transporte público de pasajeros, podrían realizarse modificaciones legales que permitan el ingreso de plataformas digitales para prestar dicho servicio. La declaración fue ofrecida por el Gobernador de Hidalgo, Julio Menchaca Salazar, al ser cuestionado en entrevista sobre las quejas de los usuarios en dichos servicios. “Hoy la Ley no permite otras formas de transporte como existen otras entidades, pero eso no quiere decir que no pueda cambiar en un presente cercano si no se ponen las pilas”, expresó. Recordó que recientemente los transportistas obtuvieron un incremento en la tarifa luego de años sin ajustes, lo que debería traducirse en la mejora general del servicio. También recordó que fueron los propios concesionarios quienes asumieron el compromiso de mejorar la atención a los pasajeros. Señaló que el acuerdo fue establecido con la participación de la Secretaría de Gobierno y la Secretaría de Movilidad y Transporte. “Si se rompe el hilo de estar prestando un buen servicio y hay abusos, podrá haber posibilidades de modificar la ley”, enfatizó el Gobernador de Hidalgo. Entre las quejas más recurrentes que se presentan en el servicio de transporte público de pasajeros, se encuentran exceso de velocidad, sobrecupo y presiones laborales hacia los operadores. Señaló que constantemente se realizan revisiones a las unidades de transporte público, tanto para verificar que estén en buenas condiciones mecánicas, así como que cuenten con la documentación completa. Sin embargo, reconoció que la Secretaría de Movilidad y Transporte estatal no cuenta con el personal suficiente para realizar dichas revisiones.</t>
  </si>
  <si>
    <t>Apps de transporte</t>
  </si>
  <si>
    <t>En Cabina Alberto González y Andrés Torres hablan de las encuestas de los aspirantes a las alcaldías en Hidalgo, mismas que han perdido credibilidad, pues es cierto que las gana quien la paga; por lo que se debería hacer una reforma de ley para que estas encuestas se consideren como actos anticipados de campaña, lo que ven difícil pues muchos de los que legislan son aspirantes. Mencionan que en las encuestas lidera el actual alcalde Jorge Reyes, seguido por Osiris Leines y Sahadia Martínez Lozada. Mencionan que ante el recorte en el presupuesto para las campañas el tema económico de los aspirantes pesará mucho. en Morena los candidatos se definirán por encuestas. Asimismo hablan de que los aspirantes deberán renunciar a su cargo en agosto.</t>
  </si>
  <si>
    <t>Morena</t>
  </si>
  <si>
    <t>Aspirantes</t>
  </si>
  <si>
    <t>Alberto González</t>
  </si>
  <si>
    <t>Durante los comerciales en televisión, Andrés Torres comenta que le hackearon su página y que "lo bueno es que no hay censura...(inaudible".</t>
  </si>
  <si>
    <t>Andrés Torres informa que su página https://www.vocalesonline.com.mx fue hackeada e invita a seguirlos a través de las otras plataformas.</t>
  </si>
  <si>
    <t>Lleva IHE Ferias para la Convivencia Escolar a Tepetitlán y Zapotlán de Juárez</t>
  </si>
  <si>
    <t>Convivencia Escolar</t>
  </si>
  <si>
    <t>Una fuga de combustible generó una intensa movilización de cuerpos de emergencia la mañana de ayer sobre la carretera Pachuca-Sahagún, en el municipio de Mineral de la Reforma, luego de que se detectara una presunta toma clandestina en un ducto de Petróleos Mexicanos (Pemex). Persnal de la paraestatal se encargó del control y reparación de la fuga.</t>
  </si>
  <si>
    <t>Fuga de hidrocarburo</t>
  </si>
  <si>
    <t>Andrés Torres comenta que en 1010 AM "El Vocero Huasteco" tiene casi 3 meses fuera del aire, debido a problemas técnicos y por falta de diesel.</t>
  </si>
  <si>
    <t>Andrés Torres da lectura a su columna "Vocales Extraviadas que se intitula "Ensayo y error": La importancia de Mineral de la Reforma en el contexto político y electoral de Hidalgo es significativa, ya que es el segundo lugar más poblado y con mayor votación en la zona metropolitana. Representa el 6.4 por ciento de la lista de votantes del estado. Su rápido crecimiento urbano lo hace crucial para las elecciones de gobernador y diputaciones. A enero de 2026, cuenta con 152 mil 564 electores, solo superado por Pachuca. Casi el 38 por ciento de los votantes son jóvenes entre 18 y 34 años. Su cercanía a Pachuca lo convierte en un laboratorio electoral para los partidos. Ganar este municipio no solo asegura muchos votos, sino también influencia en el área económica y política de Hidalgo. Los principales candidatos a la alcaldía son Eduardo Medécigo Rubio, Osiris Leines Medécigo y Shadia Martínez Lozada.</t>
  </si>
  <si>
    <t>Se registró un fuerte accidente en el Corredor de la Montaña donde se vieron involucrados un tráiler, un taxi y un auto particular, el fuerte encontronazo ha dejado varias personas lesionadas, el taxi terminó totalmente destrozado, cuerpos de emergencia atendieron a los 3 lesionados.</t>
  </si>
  <si>
    <t>CEDSPI llevará campaña de salud visual “¡A ver… a ver!” a cuatro municipios más</t>
  </si>
  <si>
    <t>Salud Visual</t>
  </si>
  <si>
    <t>Con celebración futbolera, DIF Hidalgo clausura el ciclo escolar 2025-2026 de los Centros de Atención Infantil</t>
  </si>
  <si>
    <t>Graduación</t>
  </si>
  <si>
    <t>Arranca entrega de los Programas del Pueblo</t>
  </si>
  <si>
    <t>La Subsecretaría de Protección Civil del Estado de Hidalgo informa que, ante el pronóstico de lluvias fuertes a muy fuertes de 50 a 75 mm en las regiones norte y centro de Hidalgo, así como rachas de viento de 30 a 50 km/h, exhortamos a la población a extremar precauciones. Evita cruzar corrientes de agua, mantente alejado de zonas de riesgo y asegura objetos que puedan desprenderse. En zonas de ladera y caminos con derrumbes recurrentes, permanece alerta y atiende las indicaciones de la autoridad.</t>
  </si>
  <si>
    <t>Alerta Meteorológica</t>
  </si>
  <si>
    <t>Con el propósito de incentivar la participación ciudadana, el Gobierno de Tulancingo llevó a cabo la capacitación de nuevos Comités de Contraloría Social, integrados por vecinos y representantes ciudadanos de las colonias donde próximamente se ejecutarán obras de pavimento hidráulico, guarniciones y banquetas, redes de agua potable, alcantarillado sanitario y dren pluvial. Los comités corresponden a las comunidades y colonias de San Nicolás Cebolletas, La Lagunilla, Plan de Ayala, Nuevo Tulancingo, La Morena, El Paraíso y La Cruz, cuyos integrantes tendrán la responsabilidad de dar seguimiento al desarrollo de las obras, verificar el cumplimiento de los proyectos y promover una comunicación permanente entre la ciudadanía y las autoridades. La jornada de capacitación fue encabezada por Diego López Martínez, subdirector de Contraloría Social del estado de Hidalgo, el secretario de Desarrollo Urbano, Armando Pérez Alcíbar, y el titular del Órgano Interno de Control en Tulancingo, Miguel Ángel Romero Mejía. Durante la capacitación se destacó que la función de estos comités va más allá del cumplimiento de una disposición normativa, ya que constituye un ejercicio de participación ciudadana que permite a los propios beneficiarios involucrarse de manera activa en la supervisión de las obras públicas, contribuyendo a que los recursos públicos se ejerzan con responsabilidad, eficiencia y transparencia. La alcaldesa Lorena García Cázares reafirma su compromiso de impulsar una gestión cercana a la población, en la que sociedad y gobierno trabajen de manera conjunta para asegurar que cada obra pública genere beneficios reales, fortalezca la confianza ciudadana y contribuya al desarrollo ordenado y sostenible del municipio.</t>
  </si>
  <si>
    <t>Contraloría Social</t>
  </si>
  <si>
    <t>A unas semanas del inicio de la Feria de los Angelitos 2026, comerciantes y ciudadanos interesados en obtener un espacio para vender enfrentan un panorama de incertidumbre, ya que además de las presuntas reventas con costos elevados, en redes sociales circulan ofertas que podrían derivar en posibles fraudes. De acuerdo con comerciantes consultados, algunos espacios que oficialmente tienen un costo de dos mil 100 pesos por metro son revendidos o rentados de manera irregular desde ocho mil hasta 12 mil pesos por metro, incrementando considerablemente el precio para quienes buscan participar en la tradicional festividad patronal. De acuerdo al nuevo comité de ferias, comerciantes han denunciado que algunos espacios se ofrecen en reventa en seis mil 300 pesos por un metro, 10 mil pesos por dos metros y 14 mil pesos por tres metros, cuando el costo oficial es de dos mil 100 pesos por metro. Esto representa un sobreprecio de entre cuatro mil 200 y siete mil 700 pesos, dependiendo de las dimensiones del espacio ofertado. Estas prácticas representan un riesgo para los compradores, ya que el Gobierno Municipal ha reiterado que los espacios de la Feria de los Angelitos ya fueron asignados mediante el padrón del Comité de Feria, por lo que no existen nuevos lugares disponibles para su venta al público.</t>
  </si>
  <si>
    <t>Locutor Jesús Riveros da lectura a comentario de radioescucha que reporta al transporte público de la ruta San José-Habitacional porque son muy prepotentes, hablan por teléfono desde que salen de la base, hacen paradas en donde quieren, son groseros con las personas de la tercera edad, no es posible que gente así conduzca un vehículo del transporte público, hasta cuándo debemos seguir soportando esta actitud, las autoridades hacen oídos sordos a las quejas que se hacen porque no hay sanciones. Locutor Jesús Riveros responde que le va a compartir el número de la Semot para que pueda realizar su queja de manera formal.</t>
  </si>
  <si>
    <t>Con celebración futbolera, DIF Hidalgo clausura el ciclo escolar 2025-2026 de los Centros de Atención Infantil (CAI)</t>
  </si>
  <si>
    <t>Montserrat Oliver estuvo grabando cápsulas en el estado de Hidalgo para la gran fiesta del fútbol internacional y su programa "México Increíble". Durante su visita, exploró la riqueza natural, oficios tradicionales y la gastronomía de municipios como Santiago de Anaya.</t>
  </si>
  <si>
    <t>Producción audiovisual</t>
  </si>
  <si>
    <t>La Auditoría Superior del Estado de Hidalgo (ASEH) detectó cobros excesivos e irregulares en el estacionamiento municipal de la Explanada de Dolores en Real del Monte. Durante los fines de semana y días festivos, el ayuntamiento cobraba a los turistas tarifas superiores a las autorizadas en su propia Ley de Ingreso.</t>
  </si>
  <si>
    <t>La Auditoría Superior del Estado de Hidalgo (ASEH) detectó cobros excesivos e irregulares en el estacionamiento municipal de la Explanada de Dolores en Real del Monte. Durante los fines de semana y días festivos, el ayuntamiento cobraba a los turistas tarifas superiores a las autorizadas en su propia Ley de Ingreso</t>
  </si>
  <si>
    <t>El secretario de Gobierno del estado, Guillermo Olivares Reyna, dio a conocer ante medios de comunicación que “la tranquilidad y la paz regresaron al municipio de Tepeji del Río”, al llegar a un acuerdo entre autoridades y colonos. Lo anterior derivó de manifestaciones realizadas por habitantes que solicitaban atención a diversas obras y otras peticiones. Cabe recordar que pobladores de más de 30 localidades, algunas de origen indígena, señalaron que sus solicitudes no eran atendidas por la alcaldesa Tania Valdez Cuéllar. “Se atendió con diligencia y disposición de las partes, tras una reunión en Pachuca en la que todos mostraron voluntad para construir una solución. Además, se continuará dialogando sobre los casos que así lo requieran, se dio un paso importante y pudiera decirse que la tranquilidad y la paz regresan al municipio”, señaló. Olivares Reyna precisó que se dio respuesta a los planteamientos expuestos por la ciudadanía y confió en que, durante los próximos encuentros con autoridades ejidales, delegados y regidores, existan mejores perspectivas para atender las inquietudes pendientes. El funcionario estatal reconoció que algunos habitantes consideraban que sus planteamientos no habían recibido respuesta, no obstante, aseguró que se instalarán más mesas de trabajo “donde se requiera y cuando se requiera”, siempre que exista disposición y voluntad de las partes.</t>
  </si>
  <si>
    <t>Gobernabilidad</t>
  </si>
  <si>
    <t>Ante la situación que atraviesa el municipio de Tepeji del Río de Ocampo, el diputado local por el Distrito XV, Aldo Meza Hernández, del grupo legislativo de Morena, manifiesta lo siguiente: Como representante popular, mi responsabilidad es legislar, gestionar y vigilar que los recursos públicos se ejerzan con transparencia y en beneficio de la población. Rechazo cualquier señalamiento que pretenda responsabilizarme de la gobernabilidad del municipio o del ejercicio de atribuciones que corresponden al ayuntamiento. Las recientes manifestaciones de integrantes de diversas localidades, quienes expresaron su inconformidad por la falta de obra pública y exigieron mayor transparencia en el uso del presupuesto municipal, reflejan una demanda ciudadana legítima que debe ser atendida con diálogo, apertura y rendición de cuentas por parte de la autoridad competente. Desde el Congreso del Estado de Hidalgo, he impulsado acciones concretas para fortalecer la transparencia municipal. En abril de 2025 presenté un exhorto dirigido a los 84 ayuntamientos para que actualizaran y publicaran de manera permanente la información correspondiente a sus presupuestos de egresos en los portales de transparencia, con el propósito de garantizar que la ciudadanía conozca cómo y en qué se ejercen los recursos públicos.</t>
  </si>
  <si>
    <t>Gobierno de Hidalgo fortalece la preservación del chile rayado, patrimonio gastronómico de la Sierra Gorda.</t>
  </si>
  <si>
    <t>Conservación del Patrimonio Cultural</t>
  </si>
  <si>
    <t>El Congreso del Estado de Hidalgo albergó el Parlamento LGBTTTIQ+ Hidalgo, un espacio institucional de participación ciudadana, diálogo plural e incidencia legislativa que permitió a las personas de la diversidad sexogenérica, organizaciones de la sociedad civil, academia y personas aliadas, presentar, analizar y fortalecer propuestas orientadas a la construcción de una Agenda Legislativa de la Diversidad para el Estado de Hidalgo. El diputado Andrés Velázquez Vázquez, presidente de la Junta de Gobierno, precisó que la felicidad, el respeto y la inclusión son valores esenciales para construir una sociedad más justa, reiterando que el Congreso es un espacio abierto para todas las personas sin distinción. El legislador afirmó que el parlamento representa una oportunidad para escuchar directamente las voces de las personas de la diversidad sexogenérica y convertir sus propuestas en acciones legislativas concretas para prevenir y erradicar la discriminación. Asimismo, asumió el compromiso de dar seguimiento institucional a los acuerdos que surjan de este ejercicio, fortaleciendo el diálogo entre el Poder Legislativo, los niveles de gobierno y la sociedad civil.</t>
  </si>
  <si>
    <t>Respuesta inmediata de la SSPH permite recuperar 64 toneladas de vino robadas en carretera federal</t>
  </si>
  <si>
    <t>Combate a la delincuencia</t>
  </si>
  <si>
    <t>SSPH fortalece estrategia de seguridad conjunta con 11 municipios de Hidalgo</t>
  </si>
  <si>
    <t>Estrategia de seguridad</t>
  </si>
  <si>
    <t>El Programa Vivienda para el Bienestar mantiene en construcción 434 mil 319 viviendas en todo el país y coloca a Hidalgo como la sexta entidad con mayor número de casas proyectadas, al registrar 20 mil 090 nuevos hogares. De ese total, 7 mil 474 viviendas están a cargo de la Comisión Nacional de Vivienda (CONAVI), mientras que 12 mil 616 corresponden al Instituto del Fondo Nacional de la Vivienda para los Trabajadores (INFONAVIT). Con estas cifras, ocho de cada diez viviendas actualmente en proceso corresponden al INFONAVIT, mientras que las dos restantes son desarrolladas por la CONAVI. Hasta marzo de 2026, el avance nacional reportado era de 434 mil 319 viviendas: 350 mil 529 del INFONAVIT y 83 mil 790 de la CONAVI. En el ranking nacional, Tamaulipas encabeza la lista con 49 mil 651 viviendas, seguido de Yucatán con 40 mil 669; Veracruz, con 40 mil 629; Quintana Roo, con 37 mil 011; Tabasco, con 31 mil 922; Hidalgo, con 20 mil 090; Baja California, con 20 mil 080; Guanajuato, con 19 mil 325, y Chiapas, con 19 mil 168. En contraste, las entidades con menor número de viviendas proyectadas son Ciudad de México, con apenas 44; Nayarit, con mil 134; Aguascalientes, con mil 192; Baja California Sur, con mil 481; Jalisco, con 2 mil 706; Tlaxcala, con 2 mil 939, y Morelos, con 3 mil 397. De acuerdo con la Secretaría de Desarrollo Agrario, Territorial y Urbano (SEDATU), en Hidalgo ya fueron asignados predios o iniciaron las obras de conjuntos habitacionales en San Agustín Tlaxiaca, Mineral del Monte, Progreso de Obregón, Mixquiahuala, Huejutla, El Arenal, Tepeapulco, Tepeji del Río, Atotonilco de Tula y Tulancingo. Las viviendas tendrán una superficie aproximada de 60 metros cuadrados y contarán con dos recámaras, sala, comedor, cocina, baño completo y patio de servicio, aunque el diseño podrá variar según el proyecto. Además, estarán ubicadas estratégicamente cerca de centros de trabajo, hospitales y escuelas. También incorporarán ecotecnologías básicas, como calentador, lavadero de granito y espacios funcionales. El costo estimado de cada vivienda es de alrededor de 500 mil pesos. En el caso de las viviendas construidas por la CONAVI, el Gobierno federal absorberá el 100 por ciento del costo de edificación y prevé recuperar únicamente el 30 por ciento de la inversión mediante los esquemas de financiamiento establecidos.</t>
  </si>
  <si>
    <t>Plan Nacional De Vivienda</t>
  </si>
  <si>
    <t>Mediante enlace telefónico en su participación, David Cárdenas informó que, durante la conferencia mañanera de la presidenta Claudia Sheinbaum se le recordó sobre la reciente inauguración de la Ciudad Deportiva de Alto Rendimiento en Pachuca realizad por el gobernador Julio Menchaca Salazar, se le preguntó sobre la posibilidad de que la próxima Olimpiada Juvenil 2027 se pudiera realizar en Pachuca a lo que respondió, que es una de las sedes que se están planteando. (AUDIO CSP).</t>
  </si>
  <si>
    <t>Nacionales Conade</t>
  </si>
  <si>
    <t>Para fortalecer las condiciones laborales del personal operativo de la administración municipal de Cuautepec de Hinojosa, el alcalde Jorge Hernández Araus encabezó la entrega de uniformes y equipo de protección a trabajadores de distintas áreas de Servicios Municipales. Las y los trabajadores de departamentos como Limpias y Recolección de Residuos, Parques y Jardines y Alumbrado Público recibieron prendas y equipo de trabajo, entre ellos playeras, camisolas, pantalones, botas, calzado especializado, guantes e impermeables, con el propósito de que desempeñen sus labores con mayor seguridad, comodidad y eficiencia.</t>
  </si>
  <si>
    <t>Entrega De Equipo</t>
  </si>
  <si>
    <t>CEDSPI entrega 31 sanitarios con biodigestor a comunidades indígenas de Tulancingo y Acaxochitlán.</t>
  </si>
  <si>
    <t>Biodigesto</t>
  </si>
  <si>
    <t>A través de un video, se tuvo la participación de Román Bernal Díaz, subsecretario de Protección Civil y Gestión de Riesgos del Gobierno del Estado, en donde informó que se atendieron las afectaciones por las lluvias de la semana pasada que fueron fuertes en casi todo el Estado y todavía más intensas en la Sierra Alta y en la Otomí-Tepehua sin que se presentaran mayores complicaciones, más que la caída de algunos árboles y severos encharcamientos en algunos lugares. Dijo que para esta semana se esperan lluvias de menor intensidad que la anterior, pero que es importante tener en cuenta la posibilidad de deslaves por lo que pidió a la población tomar las precauciones adecuadas.</t>
  </si>
  <si>
    <t>Mañanera de Hidalgo</t>
  </si>
  <si>
    <t>Durante la sesión de preguntas y respuestas de la conferencia matutina, Napoleón González Pérez, secretario de agricultura y Desarrollo Rural, fue cuestionado sobre el regreso de la plaga del gusano barrenador del ganado, explicando que, a nivel nacional, este regreso se dio por ganado proveniente de Panamá y dijo que, luego de que se presentaron los primeros casos a nivel nacional fueron 15 meses lo que pasaron para que en Hidalgo empezar a presentarse y destacó el acompañamiento de autoridades de diferentes instituciones, así como el trabajo de los propios ganaderos para evitar la propagación.</t>
  </si>
  <si>
    <t>Saderh</t>
  </si>
  <si>
    <t>Durante su participación en la conferencia matutina, el secretario de Contraloría, Álvaro Bardales Ramírez informó sobre el hecho de que no hay observaciones en el informe de la entrega de la Cuenta Pública por parte de la ASF, así como la participación de los funcionarios públicos en la presentación de la declaración patrimonial, destacando que son 112 mil 698 personas obligadas y en este universo, en el Poder Judicial y en el Poder Legislativo tuvieron un cumplimiento del 100 por ciento, mientras que, en el Poder Ejecutivo el cumplimiento fue del 99.47 por ciento.</t>
  </si>
  <si>
    <t>En vivo desde la conferencia matutina, Juan Carlos Santamaría informó sobre la participación del secretario de Bienestar e Inclusión Social, Ricardo Gómez Moreno quien se refirió a la especial atención que se brinda en materia de programas sociales a las y los habitantes de 307 comunidades de 28 municipios afectados por las lluvias de octubre pasado.</t>
  </si>
  <si>
    <t>Estudiantes de Ingeniería Civil fortalecen su formación en obra carretera</t>
  </si>
  <si>
    <t>Vinculación Académica</t>
  </si>
  <si>
    <t>Locutor Juan Carlos Santamaría Transmite en vivo desde la conferencia mañanera de Gobierno del Estado, informó sobre los funcionarios que estarán brindado información esta mañana de lunes 6 de julio, entre los que destacan: Napoleón González Pérez, secretario de Agricultura y de Desarrollo Rural; Óscar Javier González, secretario del Trabajo y Previsión Social y Ricardo Gómez Moreno, secretario de Bienestar e Inclusión Social, además del titular de la Oficina de Comunicación, Edmundo Pineda López quien es el encargado de presentar esta conferencia cada semana.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</si>
</sst>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8" tableType="queryTable" totalsRowShown="0">
  <autoFilter ref="A1:M178"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8"/>
  <sheetViews>
    <sheetView tabSelected="1" topLeftCell="A143" workbookViewId="0">
      <selection activeCell="A178" sqref="A178"/>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4.4257812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27</v>
      </c>
    </row>
    <row r="2" spans="1:13" x14ac:dyDescent="0.25">
      <c r="A2" s="2">
        <v>46206</v>
      </c>
      <c r="B2" s="1" t="str">
        <f ca="1">IF(Información1[[#This Row],[Fecha]]='Ajuste de fechas'!$A$2,"Día actual","Día anterior")</f>
        <v>Día anterior</v>
      </c>
      <c r="C2" t="s">
        <v>16</v>
      </c>
      <c r="D2" t="s">
        <v>64</v>
      </c>
      <c r="E2" t="s">
        <v>122</v>
      </c>
      <c r="F2" t="s">
        <v>10</v>
      </c>
      <c r="G2" t="s">
        <v>123</v>
      </c>
      <c r="H2" t="s">
        <v>8</v>
      </c>
      <c r="I2" t="s">
        <v>14</v>
      </c>
      <c r="J2" t="s">
        <v>36</v>
      </c>
      <c r="K2" t="s">
        <v>65</v>
      </c>
      <c r="L2" t="s">
        <v>24</v>
      </c>
      <c r="M2">
        <v>1</v>
      </c>
    </row>
    <row r="3" spans="1:13" x14ac:dyDescent="0.25">
      <c r="A3" s="2">
        <v>46206</v>
      </c>
      <c r="B3" s="1" t="str">
        <f ca="1">IF(Información1[[#This Row],[Fecha]]='Ajuste de fechas'!$A$2,"Día actual","Día anterior")</f>
        <v>Día anterior</v>
      </c>
      <c r="C3" t="s">
        <v>16</v>
      </c>
      <c r="D3" t="s">
        <v>64</v>
      </c>
      <c r="E3" t="s">
        <v>124</v>
      </c>
      <c r="F3" t="s">
        <v>10</v>
      </c>
      <c r="G3" t="s">
        <v>123</v>
      </c>
      <c r="H3" t="s">
        <v>8</v>
      </c>
      <c r="I3" t="s">
        <v>7</v>
      </c>
      <c r="J3" t="s">
        <v>36</v>
      </c>
      <c r="K3" t="s">
        <v>65</v>
      </c>
      <c r="L3" t="s">
        <v>24</v>
      </c>
      <c r="M3">
        <v>1</v>
      </c>
    </row>
    <row r="4" spans="1:13" x14ac:dyDescent="0.25">
      <c r="A4" s="2">
        <v>46206</v>
      </c>
      <c r="B4" s="1" t="str">
        <f ca="1">IF(Información1[[#This Row],[Fecha]]='Ajuste de fechas'!$A$2,"Día actual","Día anterior")</f>
        <v>Día anterior</v>
      </c>
      <c r="C4" t="s">
        <v>16</v>
      </c>
      <c r="D4" t="s">
        <v>70</v>
      </c>
      <c r="E4" t="s">
        <v>125</v>
      </c>
      <c r="F4" t="s">
        <v>10</v>
      </c>
      <c r="G4" t="s">
        <v>69</v>
      </c>
      <c r="H4" t="s">
        <v>8</v>
      </c>
      <c r="I4" t="s">
        <v>14</v>
      </c>
      <c r="J4" t="s">
        <v>36</v>
      </c>
      <c r="K4" t="s">
        <v>71</v>
      </c>
      <c r="L4" t="s">
        <v>24</v>
      </c>
      <c r="M4">
        <v>1</v>
      </c>
    </row>
    <row r="5" spans="1:13" x14ac:dyDescent="0.25">
      <c r="A5" s="2">
        <v>46206</v>
      </c>
      <c r="B5" s="1" t="str">
        <f ca="1">IF(Información1[[#This Row],[Fecha]]='Ajuste de fechas'!$A$2,"Día actual","Día anterior")</f>
        <v>Día anterior</v>
      </c>
      <c r="C5" t="s">
        <v>52</v>
      </c>
      <c r="D5" t="s">
        <v>53</v>
      </c>
      <c r="E5" t="s">
        <v>126</v>
      </c>
      <c r="F5" t="s">
        <v>6</v>
      </c>
      <c r="G5" t="s">
        <v>69</v>
      </c>
      <c r="H5" t="s">
        <v>8</v>
      </c>
      <c r="I5" t="s">
        <v>14</v>
      </c>
      <c r="J5" t="s">
        <v>34</v>
      </c>
      <c r="K5" t="s">
        <v>48</v>
      </c>
      <c r="L5" t="s">
        <v>25</v>
      </c>
      <c r="M5">
        <v>1</v>
      </c>
    </row>
    <row r="6" spans="1:13" x14ac:dyDescent="0.25">
      <c r="A6" s="2">
        <v>46206</v>
      </c>
      <c r="B6" s="1" t="str">
        <f ca="1">IF(Información1[[#This Row],[Fecha]]='Ajuste de fechas'!$A$2,"Día actual","Día anterior")</f>
        <v>Día anterior</v>
      </c>
      <c r="C6" t="s">
        <v>16</v>
      </c>
      <c r="D6" t="s">
        <v>70</v>
      </c>
      <c r="E6" t="s">
        <v>127</v>
      </c>
      <c r="F6" t="s">
        <v>73</v>
      </c>
      <c r="G6" t="s">
        <v>128</v>
      </c>
      <c r="H6" t="s">
        <v>8</v>
      </c>
      <c r="I6" t="s">
        <v>7</v>
      </c>
      <c r="J6" t="s">
        <v>34</v>
      </c>
      <c r="K6" t="s">
        <v>71</v>
      </c>
      <c r="L6" t="s">
        <v>24</v>
      </c>
      <c r="M6">
        <v>1</v>
      </c>
    </row>
    <row r="7" spans="1:13" x14ac:dyDescent="0.25">
      <c r="A7" s="2">
        <v>46206</v>
      </c>
      <c r="B7" s="1" t="str">
        <f ca="1">IF(Información1[[#This Row],[Fecha]]='Ajuste de fechas'!$A$2,"Día actual","Día anterior")</f>
        <v>Día anterior</v>
      </c>
      <c r="C7" t="s">
        <v>16</v>
      </c>
      <c r="D7" t="s">
        <v>64</v>
      </c>
      <c r="E7" t="s">
        <v>129</v>
      </c>
      <c r="F7" t="s">
        <v>15</v>
      </c>
      <c r="G7" t="s">
        <v>130</v>
      </c>
      <c r="H7" t="s">
        <v>8</v>
      </c>
      <c r="I7" t="s">
        <v>7</v>
      </c>
      <c r="J7" t="s">
        <v>34</v>
      </c>
      <c r="K7" t="s">
        <v>65</v>
      </c>
      <c r="L7" t="s">
        <v>24</v>
      </c>
      <c r="M7">
        <v>1</v>
      </c>
    </row>
    <row r="8" spans="1:13" x14ac:dyDescent="0.25">
      <c r="A8" s="2">
        <v>46206</v>
      </c>
      <c r="B8" s="1" t="str">
        <f ca="1">IF(Información1[[#This Row],[Fecha]]='Ajuste de fechas'!$A$2,"Día actual","Día anterior")</f>
        <v>Día anterior</v>
      </c>
      <c r="C8" t="s">
        <v>16</v>
      </c>
      <c r="D8" t="s">
        <v>70</v>
      </c>
      <c r="E8" t="s">
        <v>131</v>
      </c>
      <c r="F8" t="s">
        <v>41</v>
      </c>
      <c r="G8" t="s">
        <v>132</v>
      </c>
      <c r="H8" t="s">
        <v>8</v>
      </c>
      <c r="I8" t="s">
        <v>7</v>
      </c>
      <c r="J8" t="s">
        <v>34</v>
      </c>
      <c r="K8" t="s">
        <v>71</v>
      </c>
      <c r="L8" t="s">
        <v>24</v>
      </c>
      <c r="M8">
        <v>1</v>
      </c>
    </row>
    <row r="9" spans="1:13" x14ac:dyDescent="0.25">
      <c r="A9" s="2">
        <v>46206</v>
      </c>
      <c r="B9" s="1" t="str">
        <f ca="1">IF(Información1[[#This Row],[Fecha]]='Ajuste de fechas'!$A$2,"Día actual","Día anterior")</f>
        <v>Día anterior</v>
      </c>
      <c r="C9" t="s">
        <v>52</v>
      </c>
      <c r="D9" t="s">
        <v>53</v>
      </c>
      <c r="E9" t="s">
        <v>121</v>
      </c>
      <c r="F9" t="s">
        <v>12</v>
      </c>
      <c r="G9" t="s">
        <v>72</v>
      </c>
      <c r="H9" t="s">
        <v>8</v>
      </c>
      <c r="I9" t="s">
        <v>7</v>
      </c>
      <c r="J9" t="s">
        <v>34</v>
      </c>
      <c r="K9" t="s">
        <v>54</v>
      </c>
      <c r="L9" t="s">
        <v>26</v>
      </c>
      <c r="M9">
        <v>1</v>
      </c>
    </row>
    <row r="10" spans="1:13" x14ac:dyDescent="0.25">
      <c r="A10" s="2">
        <v>46206</v>
      </c>
      <c r="B10" s="1" t="str">
        <f ca="1">IF(Información1[[#This Row],[Fecha]]='Ajuste de fechas'!$A$2,"Día actual","Día anterior")</f>
        <v>Día anterior</v>
      </c>
      <c r="C10" t="s">
        <v>16</v>
      </c>
      <c r="D10" t="s">
        <v>70</v>
      </c>
      <c r="E10" t="s">
        <v>133</v>
      </c>
      <c r="F10" t="s">
        <v>10</v>
      </c>
      <c r="G10" t="s">
        <v>134</v>
      </c>
      <c r="H10" t="s">
        <v>8</v>
      </c>
      <c r="I10" t="s">
        <v>7</v>
      </c>
      <c r="J10" t="s">
        <v>36</v>
      </c>
      <c r="K10" t="s">
        <v>71</v>
      </c>
      <c r="L10" t="s">
        <v>24</v>
      </c>
      <c r="M10">
        <v>1</v>
      </c>
    </row>
    <row r="11" spans="1:13" x14ac:dyDescent="0.25">
      <c r="A11" s="2">
        <v>46206</v>
      </c>
      <c r="B11" s="1" t="str">
        <f ca="1">IF(Información1[[#This Row],[Fecha]]='Ajuste de fechas'!$A$2,"Día actual","Día anterior")</f>
        <v>Día anterior</v>
      </c>
      <c r="C11" t="s">
        <v>52</v>
      </c>
      <c r="D11" t="s">
        <v>53</v>
      </c>
      <c r="E11" t="s">
        <v>135</v>
      </c>
      <c r="F11" t="s">
        <v>10</v>
      </c>
      <c r="G11" t="s">
        <v>56</v>
      </c>
      <c r="H11" t="s">
        <v>8</v>
      </c>
      <c r="I11" t="s">
        <v>7</v>
      </c>
      <c r="J11" t="s">
        <v>36</v>
      </c>
      <c r="K11" t="s">
        <v>54</v>
      </c>
      <c r="L11" t="s">
        <v>47</v>
      </c>
      <c r="M11">
        <v>1</v>
      </c>
    </row>
    <row r="12" spans="1:13" x14ac:dyDescent="0.25">
      <c r="A12" s="2">
        <v>46206</v>
      </c>
      <c r="B12" s="1" t="str">
        <f ca="1">IF(Información1[[#This Row],[Fecha]]='Ajuste de fechas'!$A$2,"Día actual","Día anterior")</f>
        <v>Día anterior</v>
      </c>
      <c r="C12" t="s">
        <v>52</v>
      </c>
      <c r="D12" t="s">
        <v>53</v>
      </c>
      <c r="E12" t="s">
        <v>55</v>
      </c>
      <c r="F12" t="s">
        <v>10</v>
      </c>
      <c r="G12" t="s">
        <v>56</v>
      </c>
      <c r="H12" t="s">
        <v>8</v>
      </c>
      <c r="I12" t="s">
        <v>51</v>
      </c>
      <c r="J12" t="s">
        <v>36</v>
      </c>
      <c r="K12" t="s">
        <v>54</v>
      </c>
      <c r="L12" t="s">
        <v>25</v>
      </c>
      <c r="M12">
        <v>1</v>
      </c>
    </row>
    <row r="13" spans="1:13" x14ac:dyDescent="0.25">
      <c r="A13" s="2">
        <v>46206</v>
      </c>
      <c r="B13" s="1" t="str">
        <f ca="1">IF(Información1[[#This Row],[Fecha]]='Ajuste de fechas'!$A$2,"Día actual","Día anterior")</f>
        <v>Día anterior</v>
      </c>
      <c r="C13" t="s">
        <v>52</v>
      </c>
      <c r="D13" t="s">
        <v>53</v>
      </c>
      <c r="E13" t="s">
        <v>57</v>
      </c>
      <c r="F13" t="s">
        <v>10</v>
      </c>
      <c r="G13" t="s">
        <v>56</v>
      </c>
      <c r="H13" t="s">
        <v>8</v>
      </c>
      <c r="I13" t="s">
        <v>51</v>
      </c>
      <c r="J13" t="s">
        <v>36</v>
      </c>
      <c r="K13" t="s">
        <v>54</v>
      </c>
      <c r="L13" t="s">
        <v>25</v>
      </c>
      <c r="M13">
        <v>1</v>
      </c>
    </row>
    <row r="14" spans="1:13" x14ac:dyDescent="0.25">
      <c r="A14" s="2">
        <v>46206</v>
      </c>
      <c r="B14" s="1" t="str">
        <f ca="1">IF(Información1[[#This Row],[Fecha]]='Ajuste de fechas'!$A$2,"Día actual","Día anterior")</f>
        <v>Día anterior</v>
      </c>
      <c r="C14" t="s">
        <v>52</v>
      </c>
      <c r="D14" t="s">
        <v>53</v>
      </c>
      <c r="E14" t="s">
        <v>58</v>
      </c>
      <c r="F14" t="s">
        <v>37</v>
      </c>
      <c r="G14" t="s">
        <v>56</v>
      </c>
      <c r="H14" t="s">
        <v>8</v>
      </c>
      <c r="I14" t="s">
        <v>51</v>
      </c>
      <c r="J14" t="s">
        <v>34</v>
      </c>
      <c r="K14" t="s">
        <v>54</v>
      </c>
      <c r="L14" t="s">
        <v>25</v>
      </c>
      <c r="M14">
        <v>1</v>
      </c>
    </row>
    <row r="15" spans="1:13" x14ac:dyDescent="0.25">
      <c r="A15" s="2">
        <v>46206</v>
      </c>
      <c r="B15" s="1" t="str">
        <f ca="1">IF(Información1[[#This Row],[Fecha]]='Ajuste de fechas'!$A$2,"Día actual","Día anterior")</f>
        <v>Día anterior</v>
      </c>
      <c r="C15" t="s">
        <v>52</v>
      </c>
      <c r="D15" t="s">
        <v>53</v>
      </c>
      <c r="E15" t="s">
        <v>62</v>
      </c>
      <c r="F15" t="s">
        <v>30</v>
      </c>
      <c r="G15" t="s">
        <v>56</v>
      </c>
      <c r="H15" t="s">
        <v>8</v>
      </c>
      <c r="I15" t="s">
        <v>51</v>
      </c>
      <c r="J15" t="s">
        <v>13</v>
      </c>
      <c r="K15" t="s">
        <v>54</v>
      </c>
      <c r="L15" t="s">
        <v>25</v>
      </c>
      <c r="M15">
        <v>1</v>
      </c>
    </row>
    <row r="16" spans="1:13" x14ac:dyDescent="0.25">
      <c r="A16" s="2">
        <v>46206</v>
      </c>
      <c r="B16" s="1" t="str">
        <f ca="1">IF(Información1[[#This Row],[Fecha]]='Ajuste de fechas'!$A$2,"Día actual","Día anterior")</f>
        <v>Día anterior</v>
      </c>
      <c r="C16" t="s">
        <v>52</v>
      </c>
      <c r="D16" t="s">
        <v>53</v>
      </c>
      <c r="E16" t="s">
        <v>59</v>
      </c>
      <c r="F16" t="s">
        <v>9</v>
      </c>
      <c r="G16" t="s">
        <v>56</v>
      </c>
      <c r="H16" t="s">
        <v>8</v>
      </c>
      <c r="I16" t="s">
        <v>51</v>
      </c>
      <c r="J16" t="s">
        <v>34</v>
      </c>
      <c r="K16" t="s">
        <v>54</v>
      </c>
      <c r="L16" t="s">
        <v>25</v>
      </c>
      <c r="M16">
        <v>1</v>
      </c>
    </row>
    <row r="17" spans="1:13" x14ac:dyDescent="0.25">
      <c r="A17" s="2">
        <v>46206</v>
      </c>
      <c r="B17" s="1" t="str">
        <f ca="1">IF(Información1[[#This Row],[Fecha]]='Ajuste de fechas'!$A$2,"Día actual","Día anterior")</f>
        <v>Día anterior</v>
      </c>
      <c r="C17" t="s">
        <v>52</v>
      </c>
      <c r="D17" t="s">
        <v>53</v>
      </c>
      <c r="E17" t="s">
        <v>60</v>
      </c>
      <c r="F17" t="s">
        <v>49</v>
      </c>
      <c r="G17" t="s">
        <v>56</v>
      </c>
      <c r="H17" t="s">
        <v>8</v>
      </c>
      <c r="I17" t="s">
        <v>51</v>
      </c>
      <c r="J17" t="s">
        <v>34</v>
      </c>
      <c r="K17" t="s">
        <v>54</v>
      </c>
      <c r="L17" t="s">
        <v>25</v>
      </c>
      <c r="M17">
        <v>1</v>
      </c>
    </row>
    <row r="18" spans="1:13" x14ac:dyDescent="0.25">
      <c r="A18" s="2">
        <v>46206</v>
      </c>
      <c r="B18" s="1" t="str">
        <f ca="1">IF(Información1[[#This Row],[Fecha]]='Ajuste de fechas'!$A$2,"Día actual","Día anterior")</f>
        <v>Día anterior</v>
      </c>
      <c r="C18" t="s">
        <v>52</v>
      </c>
      <c r="D18" t="s">
        <v>53</v>
      </c>
      <c r="E18" t="s">
        <v>61</v>
      </c>
      <c r="F18" t="s">
        <v>6</v>
      </c>
      <c r="G18" t="s">
        <v>56</v>
      </c>
      <c r="H18" t="s">
        <v>8</v>
      </c>
      <c r="I18" t="s">
        <v>51</v>
      </c>
      <c r="J18" t="s">
        <v>34</v>
      </c>
      <c r="K18" t="s">
        <v>54</v>
      </c>
      <c r="L18" t="s">
        <v>25</v>
      </c>
      <c r="M18">
        <v>1</v>
      </c>
    </row>
    <row r="19" spans="1:13" x14ac:dyDescent="0.25">
      <c r="A19" s="2">
        <v>46206</v>
      </c>
      <c r="B19" s="1" t="str">
        <f ca="1">IF(Información1[[#This Row],[Fecha]]='Ajuste de fechas'!$A$2,"Día actual","Día anterior")</f>
        <v>Día anterior</v>
      </c>
      <c r="C19" t="s">
        <v>16</v>
      </c>
      <c r="D19" t="s">
        <v>64</v>
      </c>
      <c r="E19" t="s">
        <v>136</v>
      </c>
      <c r="F19" t="s">
        <v>41</v>
      </c>
      <c r="G19" t="s">
        <v>79</v>
      </c>
      <c r="H19" t="s">
        <v>8</v>
      </c>
      <c r="I19" t="s">
        <v>7</v>
      </c>
      <c r="J19" t="s">
        <v>34</v>
      </c>
      <c r="K19" t="s">
        <v>65</v>
      </c>
      <c r="L19" t="s">
        <v>24</v>
      </c>
      <c r="M19">
        <v>1</v>
      </c>
    </row>
    <row r="20" spans="1:13" x14ac:dyDescent="0.25">
      <c r="A20" s="2">
        <v>46206</v>
      </c>
      <c r="B20" s="1" t="str">
        <f ca="1">IF(Información1[[#This Row],[Fecha]]='Ajuste de fechas'!$A$2,"Día actual","Día anterior")</f>
        <v>Día anterior</v>
      </c>
      <c r="C20" t="s">
        <v>74</v>
      </c>
      <c r="D20" t="s">
        <v>75</v>
      </c>
      <c r="E20" t="s">
        <v>137</v>
      </c>
      <c r="F20" t="s">
        <v>17</v>
      </c>
      <c r="G20" t="s">
        <v>138</v>
      </c>
      <c r="H20" t="s">
        <v>8</v>
      </c>
      <c r="I20" t="s">
        <v>7</v>
      </c>
      <c r="J20" t="s">
        <v>34</v>
      </c>
      <c r="K20" t="s">
        <v>76</v>
      </c>
      <c r="L20" t="s">
        <v>26</v>
      </c>
      <c r="M20">
        <v>1</v>
      </c>
    </row>
    <row r="21" spans="1:13" x14ac:dyDescent="0.25">
      <c r="A21" s="2">
        <v>46206</v>
      </c>
      <c r="B21" s="1" t="str">
        <f ca="1">IF(Información1[[#This Row],[Fecha]]='Ajuste de fechas'!$A$2,"Día actual","Día anterior")</f>
        <v>Día anterior</v>
      </c>
      <c r="C21" t="s">
        <v>16</v>
      </c>
      <c r="D21" t="s">
        <v>70</v>
      </c>
      <c r="E21" t="s">
        <v>139</v>
      </c>
      <c r="F21" t="s">
        <v>9</v>
      </c>
      <c r="G21" t="s">
        <v>81</v>
      </c>
      <c r="H21" t="s">
        <v>8</v>
      </c>
      <c r="I21" t="s">
        <v>7</v>
      </c>
      <c r="J21" t="s">
        <v>34</v>
      </c>
      <c r="K21" t="s">
        <v>71</v>
      </c>
      <c r="L21" t="s">
        <v>24</v>
      </c>
      <c r="M21">
        <v>1</v>
      </c>
    </row>
    <row r="22" spans="1:13" x14ac:dyDescent="0.25">
      <c r="A22" s="2">
        <v>46206</v>
      </c>
      <c r="B22" s="1" t="str">
        <f ca="1">IF(Información1[[#This Row],[Fecha]]='Ajuste de fechas'!$A$2,"Día actual","Día anterior")</f>
        <v>Día anterior</v>
      </c>
      <c r="C22" t="s">
        <v>16</v>
      </c>
      <c r="D22" t="s">
        <v>70</v>
      </c>
      <c r="E22" t="s">
        <v>140</v>
      </c>
      <c r="F22" t="s">
        <v>37</v>
      </c>
      <c r="G22" t="s">
        <v>141</v>
      </c>
      <c r="H22" t="s">
        <v>8</v>
      </c>
      <c r="I22" t="s">
        <v>7</v>
      </c>
      <c r="J22" t="s">
        <v>34</v>
      </c>
      <c r="K22" t="s">
        <v>71</v>
      </c>
      <c r="L22" t="s">
        <v>24</v>
      </c>
      <c r="M22">
        <v>1</v>
      </c>
    </row>
    <row r="23" spans="1:13" x14ac:dyDescent="0.25">
      <c r="A23" s="2">
        <v>46206</v>
      </c>
      <c r="B23" s="1" t="str">
        <f ca="1">IF(Información1[[#This Row],[Fecha]]='Ajuste de fechas'!$A$2,"Día actual","Día anterior")</f>
        <v>Día anterior</v>
      </c>
      <c r="C23" t="s">
        <v>16</v>
      </c>
      <c r="D23" t="s">
        <v>64</v>
      </c>
      <c r="E23" t="s">
        <v>142</v>
      </c>
      <c r="F23" t="s">
        <v>12</v>
      </c>
      <c r="G23" t="s">
        <v>101</v>
      </c>
      <c r="H23" t="s">
        <v>8</v>
      </c>
      <c r="I23" t="s">
        <v>7</v>
      </c>
      <c r="J23" t="s">
        <v>34</v>
      </c>
      <c r="K23" t="s">
        <v>65</v>
      </c>
      <c r="L23" t="s">
        <v>26</v>
      </c>
      <c r="M23">
        <v>1</v>
      </c>
    </row>
    <row r="24" spans="1:13" x14ac:dyDescent="0.25">
      <c r="A24" s="2">
        <v>46206</v>
      </c>
      <c r="B24" s="1" t="str">
        <f ca="1">IF(Información1[[#This Row],[Fecha]]='Ajuste de fechas'!$A$2,"Día actual","Día anterior")</f>
        <v>Día anterior</v>
      </c>
      <c r="C24" t="s">
        <v>16</v>
      </c>
      <c r="D24" t="s">
        <v>70</v>
      </c>
      <c r="E24" t="s">
        <v>143</v>
      </c>
      <c r="F24" t="s">
        <v>30</v>
      </c>
      <c r="G24" t="s">
        <v>96</v>
      </c>
      <c r="H24" t="s">
        <v>8</v>
      </c>
      <c r="I24" t="s">
        <v>7</v>
      </c>
      <c r="J24" t="s">
        <v>13</v>
      </c>
      <c r="K24" t="s">
        <v>71</v>
      </c>
      <c r="L24" t="s">
        <v>24</v>
      </c>
      <c r="M24">
        <v>1</v>
      </c>
    </row>
    <row r="25" spans="1:13" x14ac:dyDescent="0.25">
      <c r="A25" s="2">
        <v>46206</v>
      </c>
      <c r="B25" s="1" t="str">
        <f ca="1">IF(Información1[[#This Row],[Fecha]]='Ajuste de fechas'!$A$2,"Día actual","Día anterior")</f>
        <v>Día anterior</v>
      </c>
      <c r="C25" t="s">
        <v>16</v>
      </c>
      <c r="D25" t="s">
        <v>70</v>
      </c>
      <c r="E25" t="s">
        <v>144</v>
      </c>
      <c r="F25" t="s">
        <v>10</v>
      </c>
      <c r="G25" t="s">
        <v>145</v>
      </c>
      <c r="H25" t="s">
        <v>8</v>
      </c>
      <c r="I25" t="s">
        <v>14</v>
      </c>
      <c r="J25" t="s">
        <v>36</v>
      </c>
      <c r="K25" t="s">
        <v>71</v>
      </c>
      <c r="L25" t="s">
        <v>24</v>
      </c>
      <c r="M25">
        <v>1</v>
      </c>
    </row>
    <row r="26" spans="1:13" x14ac:dyDescent="0.25">
      <c r="A26" s="2">
        <v>46206</v>
      </c>
      <c r="B26" s="1" t="str">
        <f ca="1">IF(Información1[[#This Row],[Fecha]]='Ajuste de fechas'!$A$2,"Día actual","Día anterior")</f>
        <v>Día anterior</v>
      </c>
      <c r="C26" t="s">
        <v>16</v>
      </c>
      <c r="D26" t="s">
        <v>64</v>
      </c>
      <c r="E26" t="s">
        <v>146</v>
      </c>
      <c r="F26" t="s">
        <v>10</v>
      </c>
      <c r="G26" t="s">
        <v>108</v>
      </c>
      <c r="H26" t="s">
        <v>8</v>
      </c>
      <c r="I26" t="s">
        <v>14</v>
      </c>
      <c r="J26" t="s">
        <v>36</v>
      </c>
      <c r="K26" t="s">
        <v>65</v>
      </c>
      <c r="L26" t="s">
        <v>24</v>
      </c>
      <c r="M26">
        <v>1</v>
      </c>
    </row>
    <row r="27" spans="1:13" x14ac:dyDescent="0.25">
      <c r="A27" s="2">
        <v>46206</v>
      </c>
      <c r="B27" s="1" t="str">
        <f ca="1">IF(Información1[[#This Row],[Fecha]]='Ajuste de fechas'!$A$2,"Día actual","Día anterior")</f>
        <v>Día anterior</v>
      </c>
      <c r="C27" t="s">
        <v>16</v>
      </c>
      <c r="D27" t="s">
        <v>64</v>
      </c>
      <c r="E27" t="s">
        <v>116</v>
      </c>
      <c r="F27" t="s">
        <v>30</v>
      </c>
      <c r="G27" t="s">
        <v>117</v>
      </c>
      <c r="H27" t="s">
        <v>8</v>
      </c>
      <c r="I27" t="s">
        <v>7</v>
      </c>
      <c r="J27" t="s">
        <v>13</v>
      </c>
      <c r="K27" t="s">
        <v>65</v>
      </c>
      <c r="L27" t="s">
        <v>24</v>
      </c>
      <c r="M27">
        <v>1</v>
      </c>
    </row>
    <row r="28" spans="1:13" x14ac:dyDescent="0.25">
      <c r="A28" s="2">
        <v>46206</v>
      </c>
      <c r="B28" s="1" t="str">
        <f ca="1">IF(Información1[[#This Row],[Fecha]]='Ajuste de fechas'!$A$2,"Día actual","Día anterior")</f>
        <v>Día anterior</v>
      </c>
      <c r="C28" t="s">
        <v>16</v>
      </c>
      <c r="D28" t="s">
        <v>70</v>
      </c>
      <c r="E28" t="s">
        <v>147</v>
      </c>
      <c r="F28" t="s">
        <v>10</v>
      </c>
      <c r="G28" t="s">
        <v>68</v>
      </c>
      <c r="H28" t="s">
        <v>8</v>
      </c>
      <c r="I28" t="s">
        <v>7</v>
      </c>
      <c r="J28" t="s">
        <v>36</v>
      </c>
      <c r="K28" t="s">
        <v>71</v>
      </c>
      <c r="L28" t="s">
        <v>24</v>
      </c>
      <c r="M28">
        <v>1</v>
      </c>
    </row>
    <row r="29" spans="1:13" x14ac:dyDescent="0.25">
      <c r="A29" s="2">
        <v>46206</v>
      </c>
      <c r="B29" s="1" t="str">
        <f ca="1">IF(Información1[[#This Row],[Fecha]]='Ajuste de fechas'!$A$2,"Día actual","Día anterior")</f>
        <v>Día anterior</v>
      </c>
      <c r="C29" t="s">
        <v>16</v>
      </c>
      <c r="D29" t="s">
        <v>70</v>
      </c>
      <c r="E29" t="s">
        <v>148</v>
      </c>
      <c r="F29" t="s">
        <v>9</v>
      </c>
      <c r="G29" t="s">
        <v>91</v>
      </c>
      <c r="H29" t="s">
        <v>8</v>
      </c>
      <c r="I29" t="s">
        <v>7</v>
      </c>
      <c r="J29" t="s">
        <v>34</v>
      </c>
      <c r="K29" t="s">
        <v>71</v>
      </c>
      <c r="L29" t="s">
        <v>24</v>
      </c>
      <c r="M29">
        <v>1</v>
      </c>
    </row>
    <row r="30" spans="1:13" x14ac:dyDescent="0.25">
      <c r="A30" s="2">
        <v>46206</v>
      </c>
      <c r="B30" s="1" t="str">
        <f ca="1">IF(Información1[[#This Row],[Fecha]]='Ajuste de fechas'!$A$2,"Día actual","Día anterior")</f>
        <v>Día anterior</v>
      </c>
      <c r="C30" t="s">
        <v>16</v>
      </c>
      <c r="D30" t="s">
        <v>70</v>
      </c>
      <c r="E30" t="s">
        <v>149</v>
      </c>
      <c r="F30" t="s">
        <v>37</v>
      </c>
      <c r="G30" t="s">
        <v>150</v>
      </c>
      <c r="H30" t="s">
        <v>8</v>
      </c>
      <c r="I30" t="s">
        <v>7</v>
      </c>
      <c r="J30" t="s">
        <v>34</v>
      </c>
      <c r="K30" t="s">
        <v>71</v>
      </c>
      <c r="L30" t="s">
        <v>24</v>
      </c>
      <c r="M30">
        <v>1</v>
      </c>
    </row>
    <row r="31" spans="1:13" x14ac:dyDescent="0.25">
      <c r="A31" s="2">
        <v>46206</v>
      </c>
      <c r="B31" s="1" t="str">
        <f ca="1">IF(Información1[[#This Row],[Fecha]]='Ajuste de fechas'!$A$2,"Día actual","Día anterior")</f>
        <v>Día anterior</v>
      </c>
      <c r="C31" t="s">
        <v>16</v>
      </c>
      <c r="D31" t="s">
        <v>70</v>
      </c>
      <c r="E31" t="s">
        <v>151</v>
      </c>
      <c r="F31" t="s">
        <v>41</v>
      </c>
      <c r="G31" t="s">
        <v>104</v>
      </c>
      <c r="H31" t="s">
        <v>8</v>
      </c>
      <c r="I31" t="s">
        <v>7</v>
      </c>
      <c r="J31" t="s">
        <v>34</v>
      </c>
      <c r="K31" t="s">
        <v>71</v>
      </c>
      <c r="L31" t="s">
        <v>24</v>
      </c>
      <c r="M31">
        <v>1</v>
      </c>
    </row>
    <row r="32" spans="1:13" x14ac:dyDescent="0.25">
      <c r="A32" s="2">
        <v>46206</v>
      </c>
      <c r="B32" s="1" t="str">
        <f ca="1">IF(Información1[[#This Row],[Fecha]]='Ajuste de fechas'!$A$2,"Día actual","Día anterior")</f>
        <v>Día anterior</v>
      </c>
      <c r="C32" t="s">
        <v>52</v>
      </c>
      <c r="D32" t="s">
        <v>53</v>
      </c>
      <c r="E32" t="s">
        <v>152</v>
      </c>
      <c r="F32" t="s">
        <v>37</v>
      </c>
      <c r="G32" t="s">
        <v>153</v>
      </c>
      <c r="H32" t="s">
        <v>8</v>
      </c>
      <c r="I32" t="s">
        <v>7</v>
      </c>
      <c r="J32" t="s">
        <v>34</v>
      </c>
      <c r="K32" t="s">
        <v>54</v>
      </c>
      <c r="L32" t="s">
        <v>26</v>
      </c>
      <c r="M32">
        <v>1</v>
      </c>
    </row>
    <row r="33" spans="1:13" x14ac:dyDescent="0.25">
      <c r="A33" s="2">
        <v>46206</v>
      </c>
      <c r="B33" s="1" t="str">
        <f ca="1">IF(Información1[[#This Row],[Fecha]]='Ajuste de fechas'!$A$2,"Día actual","Día anterior")</f>
        <v>Día anterior</v>
      </c>
      <c r="C33" t="s">
        <v>16</v>
      </c>
      <c r="D33" t="s">
        <v>64</v>
      </c>
      <c r="E33" t="s">
        <v>152</v>
      </c>
      <c r="F33" t="s">
        <v>37</v>
      </c>
      <c r="G33" t="s">
        <v>154</v>
      </c>
      <c r="H33" t="s">
        <v>8</v>
      </c>
      <c r="I33" t="s">
        <v>7</v>
      </c>
      <c r="J33" t="s">
        <v>34</v>
      </c>
      <c r="K33" t="s">
        <v>65</v>
      </c>
      <c r="L33" t="s">
        <v>26</v>
      </c>
      <c r="M33">
        <v>1</v>
      </c>
    </row>
    <row r="34" spans="1:13" x14ac:dyDescent="0.25">
      <c r="A34" s="2">
        <v>46206</v>
      </c>
      <c r="B34" s="1" t="str">
        <f ca="1">IF(Información1[[#This Row],[Fecha]]='Ajuste de fechas'!$A$2,"Día actual","Día anterior")</f>
        <v>Día anterior</v>
      </c>
      <c r="C34" t="s">
        <v>16</v>
      </c>
      <c r="D34" t="s">
        <v>64</v>
      </c>
      <c r="E34" t="s">
        <v>105</v>
      </c>
      <c r="F34" t="s">
        <v>15</v>
      </c>
      <c r="G34" t="s">
        <v>106</v>
      </c>
      <c r="H34" t="s">
        <v>8</v>
      </c>
      <c r="I34" t="s">
        <v>7</v>
      </c>
      <c r="J34" t="s">
        <v>34</v>
      </c>
      <c r="K34" t="s">
        <v>65</v>
      </c>
      <c r="L34" t="s">
        <v>24</v>
      </c>
      <c r="M34">
        <v>1</v>
      </c>
    </row>
    <row r="35" spans="1:13" x14ac:dyDescent="0.25">
      <c r="A35" s="2">
        <v>46206</v>
      </c>
      <c r="B35" s="1" t="str">
        <f ca="1">IF(Información1[[#This Row],[Fecha]]='Ajuste de fechas'!$A$2,"Día actual","Día anterior")</f>
        <v>Día anterior</v>
      </c>
      <c r="C35" t="s">
        <v>52</v>
      </c>
      <c r="D35" t="s">
        <v>53</v>
      </c>
      <c r="E35" t="s">
        <v>155</v>
      </c>
      <c r="F35" t="s">
        <v>10</v>
      </c>
      <c r="G35" t="s">
        <v>156</v>
      </c>
      <c r="H35" t="s">
        <v>8</v>
      </c>
      <c r="I35" t="s">
        <v>7</v>
      </c>
      <c r="J35" t="s">
        <v>36</v>
      </c>
      <c r="K35" t="s">
        <v>48</v>
      </c>
      <c r="L35" t="s">
        <v>25</v>
      </c>
      <c r="M35">
        <v>1</v>
      </c>
    </row>
    <row r="36" spans="1:13" x14ac:dyDescent="0.25">
      <c r="A36" s="2">
        <v>46206</v>
      </c>
      <c r="B36" s="1" t="str">
        <f ca="1">IF(Información1[[#This Row],[Fecha]]='Ajuste de fechas'!$A$2,"Día actual","Día anterior")</f>
        <v>Día anterior</v>
      </c>
      <c r="C36" t="s">
        <v>52</v>
      </c>
      <c r="D36" t="s">
        <v>53</v>
      </c>
      <c r="E36" t="s">
        <v>157</v>
      </c>
      <c r="F36" t="s">
        <v>10</v>
      </c>
      <c r="G36" t="s">
        <v>158</v>
      </c>
      <c r="H36" t="s">
        <v>8</v>
      </c>
      <c r="I36" t="s">
        <v>14</v>
      </c>
      <c r="J36" t="s">
        <v>36</v>
      </c>
      <c r="K36" t="s">
        <v>48</v>
      </c>
      <c r="L36" t="s">
        <v>25</v>
      </c>
      <c r="M36">
        <v>1</v>
      </c>
    </row>
    <row r="37" spans="1:13" x14ac:dyDescent="0.25">
      <c r="A37" s="2">
        <v>46206</v>
      </c>
      <c r="B37" s="1" t="str">
        <f ca="1">IF(Información1[[#This Row],[Fecha]]='Ajuste de fechas'!$A$2,"Día actual","Día anterior")</f>
        <v>Día anterior</v>
      </c>
      <c r="C37" t="s">
        <v>31</v>
      </c>
      <c r="D37" t="s">
        <v>32</v>
      </c>
      <c r="E37" t="s">
        <v>159</v>
      </c>
      <c r="F37" t="s">
        <v>9</v>
      </c>
      <c r="G37" t="s">
        <v>77</v>
      </c>
      <c r="H37" t="s">
        <v>8</v>
      </c>
      <c r="I37" t="s">
        <v>7</v>
      </c>
      <c r="J37" t="s">
        <v>34</v>
      </c>
      <c r="K37" t="s">
        <v>33</v>
      </c>
      <c r="L37" t="s">
        <v>26</v>
      </c>
      <c r="M37">
        <v>1</v>
      </c>
    </row>
    <row r="38" spans="1:13" x14ac:dyDescent="0.25">
      <c r="A38" s="2">
        <v>46206</v>
      </c>
      <c r="B38" s="1" t="str">
        <f ca="1">IF(Información1[[#This Row],[Fecha]]='Ajuste de fechas'!$A$2,"Día actual","Día anterior")</f>
        <v>Día anterior</v>
      </c>
      <c r="C38" t="s">
        <v>16</v>
      </c>
      <c r="D38" t="s">
        <v>70</v>
      </c>
      <c r="E38" t="s">
        <v>160</v>
      </c>
      <c r="F38" t="s">
        <v>37</v>
      </c>
      <c r="G38" t="s">
        <v>77</v>
      </c>
      <c r="H38" t="s">
        <v>8</v>
      </c>
      <c r="I38" t="s">
        <v>7</v>
      </c>
      <c r="J38" t="s">
        <v>34</v>
      </c>
      <c r="K38" t="s">
        <v>71</v>
      </c>
      <c r="L38" t="s">
        <v>24</v>
      </c>
      <c r="M38">
        <v>1</v>
      </c>
    </row>
    <row r="39" spans="1:13" x14ac:dyDescent="0.25">
      <c r="A39" s="2">
        <v>46206</v>
      </c>
      <c r="B39" s="1" t="str">
        <f ca="1">IF(Información1[[#This Row],[Fecha]]='Ajuste de fechas'!$A$2,"Día actual","Día anterior")</f>
        <v>Día anterior</v>
      </c>
      <c r="C39" t="s">
        <v>16</v>
      </c>
      <c r="D39" t="s">
        <v>64</v>
      </c>
      <c r="E39" t="s">
        <v>161</v>
      </c>
      <c r="F39" t="s">
        <v>10</v>
      </c>
      <c r="G39" t="s">
        <v>66</v>
      </c>
      <c r="H39" t="s">
        <v>8</v>
      </c>
      <c r="I39" t="s">
        <v>7</v>
      </c>
      <c r="J39" t="s">
        <v>36</v>
      </c>
      <c r="K39" t="s">
        <v>65</v>
      </c>
      <c r="L39" t="s">
        <v>24</v>
      </c>
      <c r="M39">
        <v>1</v>
      </c>
    </row>
    <row r="40" spans="1:13" x14ac:dyDescent="0.25">
      <c r="A40" s="2">
        <v>46206</v>
      </c>
      <c r="B40" s="1" t="str">
        <f ca="1">IF(Información1[[#This Row],[Fecha]]='Ajuste de fechas'!$A$2,"Día actual","Día anterior")</f>
        <v>Día anterior</v>
      </c>
      <c r="C40" t="s">
        <v>52</v>
      </c>
      <c r="D40" t="s">
        <v>53</v>
      </c>
      <c r="E40" t="s">
        <v>162</v>
      </c>
      <c r="F40" t="s">
        <v>13</v>
      </c>
      <c r="G40" t="s">
        <v>66</v>
      </c>
      <c r="H40" t="s">
        <v>8</v>
      </c>
      <c r="I40" t="s">
        <v>7</v>
      </c>
      <c r="J40" t="s">
        <v>13</v>
      </c>
      <c r="K40" t="s">
        <v>54</v>
      </c>
      <c r="L40" t="s">
        <v>25</v>
      </c>
      <c r="M40">
        <v>1</v>
      </c>
    </row>
    <row r="41" spans="1:13" x14ac:dyDescent="0.25">
      <c r="A41" s="2">
        <v>46206</v>
      </c>
      <c r="B41" s="1" t="str">
        <f ca="1">IF(Información1[[#This Row],[Fecha]]='Ajuste de fechas'!$A$2,"Día actual","Día anterior")</f>
        <v>Día anterior</v>
      </c>
      <c r="C41" t="s">
        <v>16</v>
      </c>
      <c r="D41" t="s">
        <v>70</v>
      </c>
      <c r="E41" t="s">
        <v>163</v>
      </c>
      <c r="F41" t="s">
        <v>119</v>
      </c>
      <c r="G41" t="s">
        <v>78</v>
      </c>
      <c r="H41" t="s">
        <v>8</v>
      </c>
      <c r="I41" t="s">
        <v>7</v>
      </c>
      <c r="J41" t="s">
        <v>34</v>
      </c>
      <c r="K41" t="s">
        <v>71</v>
      </c>
      <c r="L41" t="s">
        <v>24</v>
      </c>
      <c r="M41">
        <v>1</v>
      </c>
    </row>
    <row r="42" spans="1:13" x14ac:dyDescent="0.25">
      <c r="A42" s="2">
        <v>46206</v>
      </c>
      <c r="B42" s="1" t="str">
        <f ca="1">IF(Información1[[#This Row],[Fecha]]='Ajuste de fechas'!$A$2,"Día actual","Día anterior")</f>
        <v>Día anterior</v>
      </c>
      <c r="C42" t="s">
        <v>52</v>
      </c>
      <c r="D42" t="s">
        <v>53</v>
      </c>
      <c r="E42" t="s">
        <v>118</v>
      </c>
      <c r="F42" t="s">
        <v>119</v>
      </c>
      <c r="G42" t="s">
        <v>78</v>
      </c>
      <c r="H42" t="s">
        <v>8</v>
      </c>
      <c r="I42" t="s">
        <v>7</v>
      </c>
      <c r="J42" t="s">
        <v>34</v>
      </c>
      <c r="K42" t="s">
        <v>54</v>
      </c>
      <c r="L42" t="s">
        <v>26</v>
      </c>
      <c r="M42">
        <v>1</v>
      </c>
    </row>
    <row r="43" spans="1:13" x14ac:dyDescent="0.25">
      <c r="A43" s="2">
        <v>46206</v>
      </c>
      <c r="B43" s="1" t="str">
        <f ca="1">IF(Información1[[#This Row],[Fecha]]='Ajuste de fechas'!$A$2,"Día actual","Día anterior")</f>
        <v>Día anterior</v>
      </c>
      <c r="C43" t="s">
        <v>52</v>
      </c>
      <c r="D43" t="s">
        <v>53</v>
      </c>
      <c r="E43" t="s">
        <v>120</v>
      </c>
      <c r="F43" t="s">
        <v>17</v>
      </c>
      <c r="G43" t="s">
        <v>112</v>
      </c>
      <c r="H43" t="s">
        <v>8</v>
      </c>
      <c r="I43" t="s">
        <v>7</v>
      </c>
      <c r="J43" t="s">
        <v>34</v>
      </c>
      <c r="K43" t="s">
        <v>54</v>
      </c>
      <c r="L43" t="s">
        <v>26</v>
      </c>
      <c r="M43">
        <v>1</v>
      </c>
    </row>
    <row r="44" spans="1:13" x14ac:dyDescent="0.25">
      <c r="A44" s="2">
        <v>46206</v>
      </c>
      <c r="B44" s="1" t="str">
        <f ca="1">IF(Información1[[#This Row],[Fecha]]='Ajuste de fechas'!$A$2,"Día actual","Día anterior")</f>
        <v>Día anterior</v>
      </c>
      <c r="C44" t="s">
        <v>31</v>
      </c>
      <c r="D44" t="s">
        <v>32</v>
      </c>
      <c r="E44" t="s">
        <v>164</v>
      </c>
      <c r="F44" t="s">
        <v>49</v>
      </c>
      <c r="G44" t="s">
        <v>165</v>
      </c>
      <c r="H44" t="s">
        <v>8</v>
      </c>
      <c r="I44" t="s">
        <v>7</v>
      </c>
      <c r="J44" t="s">
        <v>34</v>
      </c>
      <c r="K44" t="s">
        <v>33</v>
      </c>
      <c r="L44" t="s">
        <v>26</v>
      </c>
      <c r="M44">
        <v>1</v>
      </c>
    </row>
    <row r="45" spans="1:13" x14ac:dyDescent="0.25">
      <c r="A45" s="2">
        <v>46206</v>
      </c>
      <c r="B45" s="1" t="str">
        <f ca="1">IF(Información1[[#This Row],[Fecha]]='Ajuste de fechas'!$A$2,"Día actual","Día anterior")</f>
        <v>Día anterior</v>
      </c>
      <c r="C45" t="s">
        <v>16</v>
      </c>
      <c r="D45" t="s">
        <v>70</v>
      </c>
      <c r="E45" t="s">
        <v>166</v>
      </c>
      <c r="F45" t="s">
        <v>12</v>
      </c>
      <c r="G45" t="s">
        <v>165</v>
      </c>
      <c r="H45" t="s">
        <v>8</v>
      </c>
      <c r="I45" t="s">
        <v>7</v>
      </c>
      <c r="J45" t="s">
        <v>34</v>
      </c>
      <c r="K45" t="s">
        <v>71</v>
      </c>
      <c r="L45" t="s">
        <v>24</v>
      </c>
      <c r="M45">
        <v>1</v>
      </c>
    </row>
    <row r="46" spans="1:13" x14ac:dyDescent="0.25">
      <c r="A46" s="2">
        <v>46206</v>
      </c>
      <c r="B46" s="1" t="str">
        <f ca="1">IF(Información1[[#This Row],[Fecha]]='Ajuste de fechas'!$A$2,"Día actual","Día anterior")</f>
        <v>Día anterior</v>
      </c>
      <c r="C46" t="s">
        <v>16</v>
      </c>
      <c r="D46" t="s">
        <v>70</v>
      </c>
      <c r="E46" t="s">
        <v>167</v>
      </c>
      <c r="F46" t="s">
        <v>90</v>
      </c>
      <c r="G46" t="s">
        <v>83</v>
      </c>
      <c r="H46" t="s">
        <v>8</v>
      </c>
      <c r="I46" t="s">
        <v>7</v>
      </c>
      <c r="J46" t="s">
        <v>34</v>
      </c>
      <c r="K46" t="s">
        <v>71</v>
      </c>
      <c r="L46" t="s">
        <v>24</v>
      </c>
      <c r="M46">
        <v>1</v>
      </c>
    </row>
    <row r="47" spans="1:13" x14ac:dyDescent="0.25">
      <c r="A47" s="2">
        <v>46206</v>
      </c>
      <c r="B47" s="1" t="str">
        <f ca="1">IF(Información1[[#This Row],[Fecha]]='Ajuste de fechas'!$A$2,"Día actual","Día anterior")</f>
        <v>Día anterior</v>
      </c>
      <c r="C47" t="s">
        <v>52</v>
      </c>
      <c r="D47" t="s">
        <v>53</v>
      </c>
      <c r="E47" t="s">
        <v>168</v>
      </c>
      <c r="F47" t="s">
        <v>169</v>
      </c>
      <c r="G47" t="s">
        <v>170</v>
      </c>
      <c r="H47" t="s">
        <v>8</v>
      </c>
      <c r="I47" t="s">
        <v>7</v>
      </c>
      <c r="J47" t="s">
        <v>34</v>
      </c>
      <c r="K47" t="s">
        <v>54</v>
      </c>
      <c r="L47" t="s">
        <v>26</v>
      </c>
      <c r="M47">
        <v>1</v>
      </c>
    </row>
    <row r="48" spans="1:13" x14ac:dyDescent="0.25">
      <c r="A48" s="2">
        <v>46206</v>
      </c>
      <c r="B48" s="1" t="str">
        <f ca="1">IF(Información1[[#This Row],[Fecha]]='Ajuste de fechas'!$A$2,"Día actual","Día anterior")</f>
        <v>Día anterior</v>
      </c>
      <c r="C48" t="s">
        <v>52</v>
      </c>
      <c r="D48" t="s">
        <v>53</v>
      </c>
      <c r="E48" t="s">
        <v>171</v>
      </c>
      <c r="F48" t="s">
        <v>49</v>
      </c>
      <c r="G48" t="s">
        <v>82</v>
      </c>
      <c r="H48" t="s">
        <v>8</v>
      </c>
      <c r="I48" t="s">
        <v>14</v>
      </c>
      <c r="J48" t="s">
        <v>34</v>
      </c>
      <c r="K48" t="s">
        <v>48</v>
      </c>
      <c r="L48" t="s">
        <v>25</v>
      </c>
      <c r="M48">
        <v>1</v>
      </c>
    </row>
    <row r="49" spans="1:13" x14ac:dyDescent="0.25">
      <c r="A49" s="2">
        <v>46206</v>
      </c>
      <c r="B49" s="1" t="str">
        <f ca="1">IF(Información1[[#This Row],[Fecha]]='Ajuste de fechas'!$A$2,"Día actual","Día anterior")</f>
        <v>Día anterior</v>
      </c>
      <c r="C49" t="s">
        <v>16</v>
      </c>
      <c r="D49" t="s">
        <v>64</v>
      </c>
      <c r="E49" t="s">
        <v>172</v>
      </c>
      <c r="F49" t="s">
        <v>10</v>
      </c>
      <c r="G49" t="s">
        <v>173</v>
      </c>
      <c r="H49" t="s">
        <v>8</v>
      </c>
      <c r="I49" t="s">
        <v>7</v>
      </c>
      <c r="J49" t="s">
        <v>36</v>
      </c>
      <c r="K49" t="s">
        <v>65</v>
      </c>
      <c r="L49" t="s">
        <v>24</v>
      </c>
      <c r="M49">
        <v>1</v>
      </c>
    </row>
    <row r="50" spans="1:13" x14ac:dyDescent="0.25">
      <c r="A50" s="2">
        <v>46206</v>
      </c>
      <c r="B50" s="1" t="str">
        <f ca="1">IF(Información1[[#This Row],[Fecha]]='Ajuste de fechas'!$A$2,"Día actual","Día anterior")</f>
        <v>Día anterior</v>
      </c>
      <c r="C50" t="s">
        <v>16</v>
      </c>
      <c r="D50" t="s">
        <v>70</v>
      </c>
      <c r="E50" t="s">
        <v>174</v>
      </c>
      <c r="F50" t="s">
        <v>11</v>
      </c>
      <c r="G50" t="s">
        <v>175</v>
      </c>
      <c r="H50" t="s">
        <v>8</v>
      </c>
      <c r="I50" t="s">
        <v>7</v>
      </c>
      <c r="J50" t="s">
        <v>35</v>
      </c>
      <c r="K50" t="s">
        <v>71</v>
      </c>
      <c r="L50" t="s">
        <v>24</v>
      </c>
      <c r="M50">
        <v>1</v>
      </c>
    </row>
    <row r="51" spans="1:13" x14ac:dyDescent="0.25">
      <c r="A51" s="2">
        <v>46206</v>
      </c>
      <c r="B51" s="1" t="str">
        <f ca="1">IF(Información1[[#This Row],[Fecha]]='Ajuste de fechas'!$A$2,"Día actual","Día anterior")</f>
        <v>Día anterior</v>
      </c>
      <c r="C51" t="s">
        <v>52</v>
      </c>
      <c r="D51" t="s">
        <v>53</v>
      </c>
      <c r="E51" t="s">
        <v>176</v>
      </c>
      <c r="F51" t="s">
        <v>37</v>
      </c>
      <c r="G51" t="s">
        <v>177</v>
      </c>
      <c r="H51" t="s">
        <v>8</v>
      </c>
      <c r="I51" t="s">
        <v>14</v>
      </c>
      <c r="J51" t="s">
        <v>34</v>
      </c>
      <c r="K51" t="s">
        <v>54</v>
      </c>
      <c r="L51" t="s">
        <v>25</v>
      </c>
      <c r="M51">
        <v>1</v>
      </c>
    </row>
    <row r="52" spans="1:13" x14ac:dyDescent="0.25">
      <c r="A52" s="2">
        <v>46206</v>
      </c>
      <c r="B52" s="1" t="str">
        <f ca="1">IF(Información1[[#This Row],[Fecha]]='Ajuste de fechas'!$A$2,"Día actual","Día anterior")</f>
        <v>Día anterior</v>
      </c>
      <c r="C52" t="s">
        <v>52</v>
      </c>
      <c r="D52" t="s">
        <v>53</v>
      </c>
      <c r="E52" t="s">
        <v>178</v>
      </c>
      <c r="F52" t="s">
        <v>37</v>
      </c>
      <c r="G52" t="s">
        <v>177</v>
      </c>
      <c r="H52" t="s">
        <v>8</v>
      </c>
      <c r="I52" t="s">
        <v>14</v>
      </c>
      <c r="J52" t="s">
        <v>34</v>
      </c>
      <c r="K52" t="s">
        <v>54</v>
      </c>
      <c r="L52" t="s">
        <v>25</v>
      </c>
      <c r="M52">
        <v>1</v>
      </c>
    </row>
    <row r="53" spans="1:13" x14ac:dyDescent="0.25">
      <c r="A53" s="2">
        <v>46206</v>
      </c>
      <c r="B53" s="1" t="str">
        <f ca="1">IF(Información1[[#This Row],[Fecha]]='Ajuste de fechas'!$A$2,"Día actual","Día anterior")</f>
        <v>Día anterior</v>
      </c>
      <c r="C53" t="s">
        <v>52</v>
      </c>
      <c r="D53" t="s">
        <v>53</v>
      </c>
      <c r="E53" t="s">
        <v>179</v>
      </c>
      <c r="F53" t="s">
        <v>11</v>
      </c>
      <c r="G53" t="s">
        <v>180</v>
      </c>
      <c r="H53" t="s">
        <v>8</v>
      </c>
      <c r="I53" t="s">
        <v>7</v>
      </c>
      <c r="J53" t="s">
        <v>35</v>
      </c>
      <c r="K53" t="s">
        <v>54</v>
      </c>
      <c r="L53" t="s">
        <v>24</v>
      </c>
      <c r="M53">
        <v>1</v>
      </c>
    </row>
    <row r="54" spans="1:13" x14ac:dyDescent="0.25">
      <c r="A54" s="2">
        <v>46206</v>
      </c>
      <c r="B54" s="1" t="str">
        <f ca="1">IF(Información1[[#This Row],[Fecha]]='Ajuste de fechas'!$A$2,"Día actual","Día anterior")</f>
        <v>Día anterior</v>
      </c>
      <c r="C54" t="s">
        <v>52</v>
      </c>
      <c r="D54" t="s">
        <v>53</v>
      </c>
      <c r="E54" t="s">
        <v>181</v>
      </c>
      <c r="F54" t="s">
        <v>10</v>
      </c>
      <c r="G54" t="s">
        <v>109</v>
      </c>
      <c r="H54" t="s">
        <v>8</v>
      </c>
      <c r="I54" t="s">
        <v>14</v>
      </c>
      <c r="J54" t="s">
        <v>36</v>
      </c>
      <c r="K54" t="s">
        <v>48</v>
      </c>
      <c r="L54" t="s">
        <v>25</v>
      </c>
      <c r="M54">
        <v>1</v>
      </c>
    </row>
    <row r="55" spans="1:13" x14ac:dyDescent="0.25">
      <c r="A55" s="2">
        <v>46206</v>
      </c>
      <c r="B55" s="1" t="str">
        <f ca="1">IF(Información1[[#This Row],[Fecha]]='Ajuste de fechas'!$A$2,"Día actual","Día anterior")</f>
        <v>Día anterior</v>
      </c>
      <c r="C55" t="s">
        <v>52</v>
      </c>
      <c r="D55" t="s">
        <v>53</v>
      </c>
      <c r="E55" t="s">
        <v>182</v>
      </c>
      <c r="F55" t="s">
        <v>10</v>
      </c>
      <c r="G55" t="s">
        <v>109</v>
      </c>
      <c r="H55" t="s">
        <v>8</v>
      </c>
      <c r="I55" t="s">
        <v>14</v>
      </c>
      <c r="J55" t="s">
        <v>36</v>
      </c>
      <c r="K55" t="s">
        <v>48</v>
      </c>
      <c r="L55" t="s">
        <v>25</v>
      </c>
      <c r="M55">
        <v>1</v>
      </c>
    </row>
    <row r="56" spans="1:13" x14ac:dyDescent="0.25">
      <c r="A56" s="2">
        <v>46206</v>
      </c>
      <c r="B56" s="1" t="str">
        <f ca="1">IF(Información1[[#This Row],[Fecha]]='Ajuste de fechas'!$A$2,"Día actual","Día anterior")</f>
        <v>Día anterior</v>
      </c>
      <c r="C56" t="s">
        <v>31</v>
      </c>
      <c r="D56" t="s">
        <v>32</v>
      </c>
      <c r="E56" t="s">
        <v>183</v>
      </c>
      <c r="F56" t="s">
        <v>15</v>
      </c>
      <c r="G56" t="s">
        <v>114</v>
      </c>
      <c r="H56" t="s">
        <v>8</v>
      </c>
      <c r="I56" t="s">
        <v>7</v>
      </c>
      <c r="J56" t="s">
        <v>34</v>
      </c>
      <c r="K56" t="s">
        <v>33</v>
      </c>
      <c r="L56" t="s">
        <v>26</v>
      </c>
      <c r="M56">
        <v>1</v>
      </c>
    </row>
    <row r="57" spans="1:13" x14ac:dyDescent="0.25">
      <c r="A57" s="2">
        <v>46206</v>
      </c>
      <c r="B57" s="1" t="str">
        <f ca="1">IF(Información1[[#This Row],[Fecha]]='Ajuste de fechas'!$A$2,"Día actual","Día anterior")</f>
        <v>Día anterior</v>
      </c>
      <c r="C57" t="s">
        <v>16</v>
      </c>
      <c r="D57" t="s">
        <v>64</v>
      </c>
      <c r="E57" t="s">
        <v>184</v>
      </c>
      <c r="F57" t="s">
        <v>185</v>
      </c>
      <c r="G57" t="s">
        <v>114</v>
      </c>
      <c r="H57" t="s">
        <v>8</v>
      </c>
      <c r="I57" t="s">
        <v>7</v>
      </c>
      <c r="J57" t="s">
        <v>34</v>
      </c>
      <c r="K57" t="s">
        <v>65</v>
      </c>
      <c r="L57" t="s">
        <v>24</v>
      </c>
      <c r="M57">
        <v>1</v>
      </c>
    </row>
    <row r="58" spans="1:13" x14ac:dyDescent="0.25">
      <c r="A58" s="2">
        <v>46206</v>
      </c>
      <c r="B58" s="1" t="str">
        <f ca="1">IF(Información1[[#This Row],[Fecha]]='Ajuste de fechas'!$A$2,"Día actual","Día anterior")</f>
        <v>Día anterior</v>
      </c>
      <c r="C58" t="s">
        <v>16</v>
      </c>
      <c r="D58" t="s">
        <v>64</v>
      </c>
      <c r="E58" t="s">
        <v>183</v>
      </c>
      <c r="F58" t="s">
        <v>15</v>
      </c>
      <c r="G58" t="s">
        <v>114</v>
      </c>
      <c r="H58" t="s">
        <v>8</v>
      </c>
      <c r="I58" t="s">
        <v>7</v>
      </c>
      <c r="J58" t="s">
        <v>34</v>
      </c>
      <c r="K58" t="s">
        <v>65</v>
      </c>
      <c r="L58" t="s">
        <v>26</v>
      </c>
      <c r="M58">
        <v>1</v>
      </c>
    </row>
    <row r="59" spans="1:13" x14ac:dyDescent="0.25">
      <c r="A59" s="2">
        <v>46206</v>
      </c>
      <c r="B59" s="1" t="str">
        <f ca="1">IF(Información1[[#This Row],[Fecha]]='Ajuste de fechas'!$A$2,"Día actual","Día anterior")</f>
        <v>Día anterior</v>
      </c>
      <c r="C59" t="s">
        <v>16</v>
      </c>
      <c r="D59" t="s">
        <v>70</v>
      </c>
      <c r="E59" t="s">
        <v>186</v>
      </c>
      <c r="F59" t="s">
        <v>15</v>
      </c>
      <c r="G59" t="s">
        <v>114</v>
      </c>
      <c r="H59" t="s">
        <v>8</v>
      </c>
      <c r="I59" t="s">
        <v>7</v>
      </c>
      <c r="J59" t="s">
        <v>34</v>
      </c>
      <c r="K59" t="s">
        <v>71</v>
      </c>
      <c r="L59" t="s">
        <v>24</v>
      </c>
      <c r="M59">
        <v>1</v>
      </c>
    </row>
    <row r="60" spans="1:13" x14ac:dyDescent="0.25">
      <c r="A60" s="2">
        <v>46206</v>
      </c>
      <c r="B60" s="1" t="str">
        <f ca="1">IF(Información1[[#This Row],[Fecha]]='Ajuste de fechas'!$A$2,"Día actual","Día anterior")</f>
        <v>Día anterior</v>
      </c>
      <c r="C60" t="s">
        <v>93</v>
      </c>
      <c r="D60" t="s">
        <v>94</v>
      </c>
      <c r="E60" t="s">
        <v>187</v>
      </c>
      <c r="F60" t="s">
        <v>10</v>
      </c>
      <c r="G60" t="s">
        <v>66</v>
      </c>
      <c r="H60" t="s">
        <v>8</v>
      </c>
      <c r="I60" t="s">
        <v>7</v>
      </c>
      <c r="J60" t="s">
        <v>36</v>
      </c>
      <c r="K60" t="s">
        <v>95</v>
      </c>
      <c r="L60" t="s">
        <v>24</v>
      </c>
      <c r="M60">
        <v>1</v>
      </c>
    </row>
    <row r="61" spans="1:13" x14ac:dyDescent="0.25">
      <c r="A61" s="2">
        <v>46206</v>
      </c>
      <c r="B61" s="1" t="str">
        <f ca="1">IF(Información1[[#This Row],[Fecha]]='Ajuste de fechas'!$A$2,"Día actual","Día anterior")</f>
        <v>Día anterior</v>
      </c>
      <c r="C61" t="s">
        <v>97</v>
      </c>
      <c r="D61" t="s">
        <v>98</v>
      </c>
      <c r="E61" t="s">
        <v>188</v>
      </c>
      <c r="F61" t="s">
        <v>10</v>
      </c>
      <c r="G61" t="s">
        <v>189</v>
      </c>
      <c r="H61" t="s">
        <v>8</v>
      </c>
      <c r="I61" t="s">
        <v>7</v>
      </c>
      <c r="J61" t="s">
        <v>36</v>
      </c>
      <c r="K61" t="s">
        <v>99</v>
      </c>
      <c r="L61" t="s">
        <v>24</v>
      </c>
      <c r="M61">
        <v>1</v>
      </c>
    </row>
    <row r="62" spans="1:13" x14ac:dyDescent="0.25">
      <c r="A62" s="2">
        <v>46206</v>
      </c>
      <c r="B62" s="1" t="str">
        <f ca="1">IF(Información1[[#This Row],[Fecha]]='Ajuste de fechas'!$A$2,"Día actual","Día anterior")</f>
        <v>Día anterior</v>
      </c>
      <c r="C62" t="s">
        <v>97</v>
      </c>
      <c r="D62" t="s">
        <v>98</v>
      </c>
      <c r="E62" t="s">
        <v>190</v>
      </c>
      <c r="F62" t="s">
        <v>10</v>
      </c>
      <c r="G62" t="s">
        <v>92</v>
      </c>
      <c r="H62" t="s">
        <v>8</v>
      </c>
      <c r="I62" t="s">
        <v>14</v>
      </c>
      <c r="J62" t="s">
        <v>36</v>
      </c>
      <c r="K62" t="s">
        <v>99</v>
      </c>
      <c r="L62" t="s">
        <v>24</v>
      </c>
      <c r="M62">
        <v>1</v>
      </c>
    </row>
    <row r="63" spans="1:13" x14ac:dyDescent="0.25">
      <c r="A63" s="2">
        <v>46206</v>
      </c>
      <c r="B63" s="1" t="str">
        <f ca="1">IF(Información1[[#This Row],[Fecha]]='Ajuste de fechas'!$A$2,"Día actual","Día anterior")</f>
        <v>Día anterior</v>
      </c>
      <c r="C63" t="s">
        <v>97</v>
      </c>
      <c r="D63" t="s">
        <v>98</v>
      </c>
      <c r="E63" t="s">
        <v>191</v>
      </c>
      <c r="F63" t="s">
        <v>49</v>
      </c>
      <c r="G63" t="s">
        <v>165</v>
      </c>
      <c r="H63" t="s">
        <v>8</v>
      </c>
      <c r="I63" t="s">
        <v>7</v>
      </c>
      <c r="J63" t="s">
        <v>34</v>
      </c>
      <c r="K63" t="s">
        <v>99</v>
      </c>
      <c r="L63" t="s">
        <v>26</v>
      </c>
      <c r="M63">
        <v>1</v>
      </c>
    </row>
    <row r="64" spans="1:13" x14ac:dyDescent="0.25">
      <c r="A64" s="2">
        <v>46206</v>
      </c>
      <c r="B64" s="1" t="str">
        <f ca="1">IF(Información1[[#This Row],[Fecha]]='Ajuste de fechas'!$A$2,"Día actual","Día anterior")</f>
        <v>Día anterior</v>
      </c>
      <c r="C64" t="s">
        <v>97</v>
      </c>
      <c r="D64" t="s">
        <v>98</v>
      </c>
      <c r="E64" t="s">
        <v>192</v>
      </c>
      <c r="F64" t="s">
        <v>50</v>
      </c>
      <c r="G64" t="s">
        <v>193</v>
      </c>
      <c r="H64" t="s">
        <v>8</v>
      </c>
      <c r="I64" t="s">
        <v>7</v>
      </c>
      <c r="J64" t="s">
        <v>34</v>
      </c>
      <c r="K64" t="s">
        <v>99</v>
      </c>
      <c r="L64" t="s">
        <v>24</v>
      </c>
      <c r="M64">
        <v>1</v>
      </c>
    </row>
    <row r="65" spans="1:13" x14ac:dyDescent="0.25">
      <c r="A65" s="2">
        <v>46206</v>
      </c>
      <c r="B65" s="1" t="str">
        <f ca="1">IF(Información1[[#This Row],[Fecha]]='Ajuste de fechas'!$A$2,"Día actual","Día anterior")</f>
        <v>Día anterior</v>
      </c>
      <c r="C65" t="s">
        <v>97</v>
      </c>
      <c r="D65" t="s">
        <v>98</v>
      </c>
      <c r="E65" t="s">
        <v>194</v>
      </c>
      <c r="F65" t="s">
        <v>169</v>
      </c>
      <c r="G65" t="s">
        <v>170</v>
      </c>
      <c r="H65" t="s">
        <v>8</v>
      </c>
      <c r="I65" t="s">
        <v>7</v>
      </c>
      <c r="J65" t="s">
        <v>34</v>
      </c>
      <c r="K65" t="s">
        <v>99</v>
      </c>
      <c r="L65" t="s">
        <v>26</v>
      </c>
      <c r="M65">
        <v>1</v>
      </c>
    </row>
    <row r="66" spans="1:13" x14ac:dyDescent="0.25">
      <c r="A66" s="2">
        <v>46206</v>
      </c>
      <c r="B66" s="1" t="str">
        <f ca="1">IF(Información1[[#This Row],[Fecha]]='Ajuste de fechas'!$A$2,"Día actual","Día anterior")</f>
        <v>Día anterior</v>
      </c>
      <c r="C66" t="s">
        <v>97</v>
      </c>
      <c r="D66" t="s">
        <v>98</v>
      </c>
      <c r="E66" t="s">
        <v>195</v>
      </c>
      <c r="F66" t="s">
        <v>37</v>
      </c>
      <c r="G66" t="s">
        <v>196</v>
      </c>
      <c r="H66" t="s">
        <v>8</v>
      </c>
      <c r="I66" t="s">
        <v>7</v>
      </c>
      <c r="J66" t="s">
        <v>34</v>
      </c>
      <c r="K66" t="s">
        <v>99</v>
      </c>
      <c r="L66" t="s">
        <v>26</v>
      </c>
      <c r="M66">
        <v>1</v>
      </c>
    </row>
    <row r="67" spans="1:13" x14ac:dyDescent="0.25">
      <c r="A67" s="2">
        <v>46206</v>
      </c>
      <c r="B67" s="1" t="str">
        <f ca="1">IF(Información1[[#This Row],[Fecha]]='Ajuste de fechas'!$A$2,"Día actual","Día anterior")</f>
        <v>Día anterior</v>
      </c>
      <c r="C67" t="s">
        <v>97</v>
      </c>
      <c r="D67" t="s">
        <v>98</v>
      </c>
      <c r="E67" t="s">
        <v>159</v>
      </c>
      <c r="F67" t="s">
        <v>9</v>
      </c>
      <c r="G67" t="s">
        <v>77</v>
      </c>
      <c r="H67" t="s">
        <v>8</v>
      </c>
      <c r="I67" t="s">
        <v>7</v>
      </c>
      <c r="J67" t="s">
        <v>34</v>
      </c>
      <c r="K67" t="s">
        <v>99</v>
      </c>
      <c r="L67" t="s">
        <v>26</v>
      </c>
      <c r="M67">
        <v>1</v>
      </c>
    </row>
    <row r="68" spans="1:13" x14ac:dyDescent="0.25">
      <c r="A68" s="2">
        <v>46206</v>
      </c>
      <c r="B68" s="1" t="str">
        <f ca="1">IF(Información1[[#This Row],[Fecha]]='Ajuste de fechas'!$A$2,"Día actual","Día anterior")</f>
        <v>Día anterior</v>
      </c>
      <c r="C68" t="s">
        <v>97</v>
      </c>
      <c r="D68" t="s">
        <v>98</v>
      </c>
      <c r="E68" t="s">
        <v>111</v>
      </c>
      <c r="F68" t="s">
        <v>17</v>
      </c>
      <c r="G68" t="s">
        <v>112</v>
      </c>
      <c r="H68" t="s">
        <v>8</v>
      </c>
      <c r="I68" t="s">
        <v>7</v>
      </c>
      <c r="J68" t="s">
        <v>34</v>
      </c>
      <c r="K68" t="s">
        <v>99</v>
      </c>
      <c r="L68" t="s">
        <v>26</v>
      </c>
      <c r="M68">
        <v>1</v>
      </c>
    </row>
    <row r="69" spans="1:13" x14ac:dyDescent="0.25">
      <c r="A69" s="2">
        <v>46206</v>
      </c>
      <c r="B69" s="1" t="str">
        <f ca="1">IF(Información1[[#This Row],[Fecha]]='Ajuste de fechas'!$A$2,"Día actual","Día anterior")</f>
        <v>Día anterior</v>
      </c>
      <c r="C69" t="s">
        <v>97</v>
      </c>
      <c r="D69" t="s">
        <v>98</v>
      </c>
      <c r="E69" t="s">
        <v>137</v>
      </c>
      <c r="F69" t="s">
        <v>17</v>
      </c>
      <c r="G69" t="s">
        <v>138</v>
      </c>
      <c r="H69" t="s">
        <v>8</v>
      </c>
      <c r="I69" t="s">
        <v>7</v>
      </c>
      <c r="J69" t="s">
        <v>34</v>
      </c>
      <c r="K69" t="s">
        <v>99</v>
      </c>
      <c r="L69" t="s">
        <v>26</v>
      </c>
      <c r="M69">
        <v>1</v>
      </c>
    </row>
    <row r="70" spans="1:13" x14ac:dyDescent="0.25">
      <c r="A70" s="2">
        <v>46206</v>
      </c>
      <c r="B70" s="1" t="str">
        <f ca="1">IF(Información1[[#This Row],[Fecha]]='Ajuste de fechas'!$A$2,"Día actual","Día anterior")</f>
        <v>Día anterior</v>
      </c>
      <c r="C70" t="s">
        <v>97</v>
      </c>
      <c r="D70" t="s">
        <v>98</v>
      </c>
      <c r="E70" t="s">
        <v>197</v>
      </c>
      <c r="F70" t="s">
        <v>12</v>
      </c>
      <c r="G70" t="s">
        <v>101</v>
      </c>
      <c r="H70" t="s">
        <v>8</v>
      </c>
      <c r="I70" t="s">
        <v>7</v>
      </c>
      <c r="J70" t="s">
        <v>34</v>
      </c>
      <c r="K70" t="s">
        <v>99</v>
      </c>
      <c r="L70" t="s">
        <v>26</v>
      </c>
      <c r="M70">
        <v>1</v>
      </c>
    </row>
    <row r="71" spans="1:13" x14ac:dyDescent="0.25">
      <c r="A71" s="2">
        <v>46206</v>
      </c>
      <c r="B71" s="1" t="str">
        <f ca="1">IF(Información1[[#This Row],[Fecha]]='Ajuste de fechas'!$A$2,"Día actual","Día anterior")</f>
        <v>Día anterior</v>
      </c>
      <c r="C71" t="s">
        <v>93</v>
      </c>
      <c r="D71" t="s">
        <v>100</v>
      </c>
      <c r="E71" t="s">
        <v>198</v>
      </c>
      <c r="F71" t="s">
        <v>10</v>
      </c>
      <c r="G71" t="s">
        <v>199</v>
      </c>
      <c r="H71" t="s">
        <v>8</v>
      </c>
      <c r="I71" t="s">
        <v>7</v>
      </c>
      <c r="J71" t="s">
        <v>36</v>
      </c>
      <c r="K71" t="s">
        <v>95</v>
      </c>
      <c r="L71" t="s">
        <v>24</v>
      </c>
      <c r="M71">
        <v>1</v>
      </c>
    </row>
    <row r="72" spans="1:13" x14ac:dyDescent="0.25">
      <c r="A72" s="2">
        <v>46206</v>
      </c>
      <c r="B72" s="1" t="str">
        <f ca="1">IF(Información1[[#This Row],[Fecha]]='Ajuste de fechas'!$A$2,"Día actual","Día anterior")</f>
        <v>Día anterior</v>
      </c>
      <c r="C72" t="s">
        <v>93</v>
      </c>
      <c r="D72" t="s">
        <v>100</v>
      </c>
      <c r="E72" t="s">
        <v>200</v>
      </c>
      <c r="F72" t="s">
        <v>10</v>
      </c>
      <c r="G72" t="s">
        <v>201</v>
      </c>
      <c r="H72" t="s">
        <v>8</v>
      </c>
      <c r="I72" t="s">
        <v>7</v>
      </c>
      <c r="J72" t="s">
        <v>36</v>
      </c>
      <c r="K72" t="s">
        <v>95</v>
      </c>
      <c r="L72" t="s">
        <v>24</v>
      </c>
      <c r="M72">
        <v>1</v>
      </c>
    </row>
    <row r="73" spans="1:13" x14ac:dyDescent="0.25">
      <c r="A73" s="2">
        <v>46206</v>
      </c>
      <c r="B73" s="1" t="str">
        <f ca="1">IF(Información1[[#This Row],[Fecha]]='Ajuste de fechas'!$A$2,"Día actual","Día anterior")</f>
        <v>Día anterior</v>
      </c>
      <c r="C73" t="s">
        <v>93</v>
      </c>
      <c r="D73" t="s">
        <v>100</v>
      </c>
      <c r="E73" t="s">
        <v>202</v>
      </c>
      <c r="F73" t="s">
        <v>10</v>
      </c>
      <c r="G73" t="s">
        <v>80</v>
      </c>
      <c r="H73" t="s">
        <v>8</v>
      </c>
      <c r="I73" t="s">
        <v>7</v>
      </c>
      <c r="J73" t="s">
        <v>36</v>
      </c>
      <c r="K73" t="s">
        <v>95</v>
      </c>
      <c r="L73" t="s">
        <v>24</v>
      </c>
      <c r="M73">
        <v>1</v>
      </c>
    </row>
    <row r="74" spans="1:13" x14ac:dyDescent="0.25">
      <c r="A74" s="2">
        <v>46206</v>
      </c>
      <c r="B74" s="1" t="str">
        <f ca="1">IF(Información1[[#This Row],[Fecha]]='Ajuste de fechas'!$A$2,"Día actual","Día anterior")</f>
        <v>Día anterior</v>
      </c>
      <c r="C74" t="s">
        <v>93</v>
      </c>
      <c r="D74" t="s">
        <v>100</v>
      </c>
      <c r="E74" t="s">
        <v>203</v>
      </c>
      <c r="F74" t="s">
        <v>10</v>
      </c>
      <c r="G74" t="s">
        <v>66</v>
      </c>
      <c r="H74" t="s">
        <v>8</v>
      </c>
      <c r="I74" t="s">
        <v>7</v>
      </c>
      <c r="J74" t="s">
        <v>36</v>
      </c>
      <c r="K74" t="s">
        <v>95</v>
      </c>
      <c r="L74" t="s">
        <v>24</v>
      </c>
      <c r="M74">
        <v>1</v>
      </c>
    </row>
    <row r="75" spans="1:13" x14ac:dyDescent="0.25">
      <c r="A75" s="2">
        <v>46206</v>
      </c>
      <c r="B75" s="1" t="str">
        <f ca="1">IF(Información1[[#This Row],[Fecha]]='Ajuste de fechas'!$A$2,"Día actual","Día anterior")</f>
        <v>Día anterior</v>
      </c>
      <c r="C75" t="s">
        <v>93</v>
      </c>
      <c r="D75" t="s">
        <v>100</v>
      </c>
      <c r="E75" t="s">
        <v>204</v>
      </c>
      <c r="F75" t="s">
        <v>12</v>
      </c>
      <c r="G75" t="s">
        <v>205</v>
      </c>
      <c r="H75" t="s">
        <v>8</v>
      </c>
      <c r="I75" t="s">
        <v>7</v>
      </c>
      <c r="J75" t="s">
        <v>34</v>
      </c>
      <c r="K75" t="s">
        <v>86</v>
      </c>
      <c r="L75" t="s">
        <v>26</v>
      </c>
      <c r="M75">
        <v>1</v>
      </c>
    </row>
    <row r="76" spans="1:13" x14ac:dyDescent="0.25">
      <c r="A76" s="2">
        <v>46206</v>
      </c>
      <c r="B76" s="1" t="str">
        <f ca="1">IF(Información1[[#This Row],[Fecha]]='Ajuste de fechas'!$A$2,"Día actual","Día anterior")</f>
        <v>Día anterior</v>
      </c>
      <c r="C76" t="s">
        <v>93</v>
      </c>
      <c r="D76" t="s">
        <v>100</v>
      </c>
      <c r="E76" t="s">
        <v>197</v>
      </c>
      <c r="F76" t="s">
        <v>12</v>
      </c>
      <c r="G76" t="s">
        <v>101</v>
      </c>
      <c r="H76" t="s">
        <v>8</v>
      </c>
      <c r="I76" t="s">
        <v>7</v>
      </c>
      <c r="J76" t="s">
        <v>34</v>
      </c>
      <c r="K76" t="s">
        <v>86</v>
      </c>
      <c r="L76" t="s">
        <v>26</v>
      </c>
      <c r="M76">
        <v>1</v>
      </c>
    </row>
    <row r="77" spans="1:13" x14ac:dyDescent="0.25">
      <c r="A77" s="2">
        <v>46206</v>
      </c>
      <c r="B77" s="1" t="str">
        <f ca="1">IF(Información1[[#This Row],[Fecha]]='Ajuste de fechas'!$A$2,"Día actual","Día anterior")</f>
        <v>Día anterior</v>
      </c>
      <c r="C77" t="s">
        <v>39</v>
      </c>
      <c r="D77" t="s">
        <v>40</v>
      </c>
      <c r="E77" t="s">
        <v>206</v>
      </c>
      <c r="F77" t="s">
        <v>10</v>
      </c>
      <c r="G77" t="s">
        <v>80</v>
      </c>
      <c r="H77" t="s">
        <v>8</v>
      </c>
      <c r="I77" t="s">
        <v>7</v>
      </c>
      <c r="J77" t="s">
        <v>36</v>
      </c>
      <c r="K77" t="s">
        <v>63</v>
      </c>
      <c r="L77" t="s">
        <v>24</v>
      </c>
      <c r="M77">
        <v>1</v>
      </c>
    </row>
    <row r="78" spans="1:13" x14ac:dyDescent="0.25">
      <c r="A78" s="2">
        <v>46206</v>
      </c>
      <c r="B78" s="1" t="str">
        <f ca="1">IF(Información1[[#This Row],[Fecha]]='Ajuste de fechas'!$A$2,"Día actual","Día anterior")</f>
        <v>Día anterior</v>
      </c>
      <c r="C78" t="s">
        <v>39</v>
      </c>
      <c r="D78" t="s">
        <v>40</v>
      </c>
      <c r="E78" t="s">
        <v>113</v>
      </c>
      <c r="F78" t="s">
        <v>15</v>
      </c>
      <c r="G78" t="s">
        <v>107</v>
      </c>
      <c r="H78" t="s">
        <v>8</v>
      </c>
      <c r="I78" t="s">
        <v>7</v>
      </c>
      <c r="J78" t="s">
        <v>34</v>
      </c>
      <c r="K78" t="s">
        <v>63</v>
      </c>
      <c r="L78" t="s">
        <v>26</v>
      </c>
      <c r="M78">
        <v>1</v>
      </c>
    </row>
    <row r="79" spans="1:13" x14ac:dyDescent="0.25">
      <c r="A79" s="2">
        <v>46206</v>
      </c>
      <c r="B79" s="1" t="str">
        <f ca="1">IF(Información1[[#This Row],[Fecha]]='Ajuste de fechas'!$A$2,"Día actual","Día anterior")</f>
        <v>Día anterior</v>
      </c>
      <c r="C79" t="s">
        <v>39</v>
      </c>
      <c r="D79" t="s">
        <v>40</v>
      </c>
      <c r="E79" t="s">
        <v>207</v>
      </c>
      <c r="F79" t="s">
        <v>30</v>
      </c>
      <c r="G79" t="s">
        <v>208</v>
      </c>
      <c r="H79" t="s">
        <v>8</v>
      </c>
      <c r="I79" t="s">
        <v>7</v>
      </c>
      <c r="J79" t="s">
        <v>13</v>
      </c>
      <c r="K79" t="s">
        <v>63</v>
      </c>
      <c r="L79" t="s">
        <v>24</v>
      </c>
      <c r="M79">
        <v>1</v>
      </c>
    </row>
    <row r="80" spans="1:13" x14ac:dyDescent="0.25">
      <c r="A80" s="2">
        <v>46206</v>
      </c>
      <c r="B80" s="1" t="str">
        <f ca="1">IF(Información1[[#This Row],[Fecha]]='Ajuste de fechas'!$A$2,"Día actual","Día anterior")</f>
        <v>Día anterior</v>
      </c>
      <c r="C80" t="s">
        <v>39</v>
      </c>
      <c r="D80" t="s">
        <v>40</v>
      </c>
      <c r="E80" t="s">
        <v>209</v>
      </c>
      <c r="F80" t="s">
        <v>10</v>
      </c>
      <c r="G80" t="s">
        <v>66</v>
      </c>
      <c r="H80" t="s">
        <v>8</v>
      </c>
      <c r="I80" t="s">
        <v>7</v>
      </c>
      <c r="J80" t="s">
        <v>36</v>
      </c>
      <c r="K80" t="s">
        <v>63</v>
      </c>
      <c r="L80" t="s">
        <v>24</v>
      </c>
      <c r="M80">
        <v>1</v>
      </c>
    </row>
    <row r="81" spans="1:13" x14ac:dyDescent="0.25">
      <c r="A81" s="2">
        <v>46206</v>
      </c>
      <c r="B81" s="1" t="str">
        <f ca="1">IF(Información1[[#This Row],[Fecha]]='Ajuste de fechas'!$A$2,"Día actual","Día anterior")</f>
        <v>Día anterior</v>
      </c>
      <c r="C81" t="s">
        <v>39</v>
      </c>
      <c r="D81" t="s">
        <v>40</v>
      </c>
      <c r="E81" t="s">
        <v>210</v>
      </c>
      <c r="F81" t="s">
        <v>10</v>
      </c>
      <c r="G81" t="s">
        <v>211</v>
      </c>
      <c r="H81" t="s">
        <v>8</v>
      </c>
      <c r="I81" t="s">
        <v>14</v>
      </c>
      <c r="J81" t="s">
        <v>36</v>
      </c>
      <c r="K81" t="s">
        <v>63</v>
      </c>
      <c r="L81" t="s">
        <v>25</v>
      </c>
      <c r="M81">
        <v>1</v>
      </c>
    </row>
    <row r="82" spans="1:13" x14ac:dyDescent="0.25">
      <c r="A82" s="2">
        <v>46206</v>
      </c>
      <c r="B82" s="1" t="str">
        <f ca="1">IF(Información1[[#This Row],[Fecha]]='Ajuste de fechas'!$A$2,"Día actual","Día anterior")</f>
        <v>Día anterior</v>
      </c>
      <c r="C82" t="s">
        <v>39</v>
      </c>
      <c r="D82" t="s">
        <v>40</v>
      </c>
      <c r="E82" t="s">
        <v>212</v>
      </c>
      <c r="F82" t="s">
        <v>6</v>
      </c>
      <c r="G82" t="s">
        <v>102</v>
      </c>
      <c r="H82" t="s">
        <v>8</v>
      </c>
      <c r="I82" t="s">
        <v>7</v>
      </c>
      <c r="J82" t="s">
        <v>34</v>
      </c>
      <c r="K82" t="s">
        <v>63</v>
      </c>
      <c r="L82" t="s">
        <v>24</v>
      </c>
      <c r="M82">
        <v>1</v>
      </c>
    </row>
    <row r="83" spans="1:13" x14ac:dyDescent="0.25">
      <c r="A83" s="2">
        <v>46206</v>
      </c>
      <c r="B83" s="1" t="str">
        <f ca="1">IF(Información1[[#This Row],[Fecha]]='Ajuste de fechas'!$A$2,"Día actual","Día anterior")</f>
        <v>Día anterior</v>
      </c>
      <c r="C83" t="s">
        <v>39</v>
      </c>
      <c r="D83" t="s">
        <v>40</v>
      </c>
      <c r="E83" t="s">
        <v>213</v>
      </c>
      <c r="F83" t="s">
        <v>10</v>
      </c>
      <c r="G83" t="s">
        <v>214</v>
      </c>
      <c r="H83" t="s">
        <v>8</v>
      </c>
      <c r="I83" t="s">
        <v>7</v>
      </c>
      <c r="J83" t="s">
        <v>36</v>
      </c>
      <c r="K83" t="s">
        <v>63</v>
      </c>
      <c r="L83" t="s">
        <v>24</v>
      </c>
      <c r="M83">
        <v>1</v>
      </c>
    </row>
    <row r="84" spans="1:13" x14ac:dyDescent="0.25">
      <c r="A84" s="2">
        <v>46206</v>
      </c>
      <c r="B84" s="1" t="str">
        <f ca="1">IF(Información1[[#This Row],[Fecha]]='Ajuste de fechas'!$A$2,"Día actual","Día anterior")</f>
        <v>Día anterior</v>
      </c>
      <c r="C84" t="s">
        <v>39</v>
      </c>
      <c r="D84" t="s">
        <v>40</v>
      </c>
      <c r="E84" t="s">
        <v>215</v>
      </c>
      <c r="F84" t="s">
        <v>49</v>
      </c>
      <c r="G84" t="s">
        <v>216</v>
      </c>
      <c r="H84" t="s">
        <v>8</v>
      </c>
      <c r="I84" t="s">
        <v>7</v>
      </c>
      <c r="J84" t="s">
        <v>34</v>
      </c>
      <c r="K84" t="s">
        <v>63</v>
      </c>
      <c r="L84" t="s">
        <v>26</v>
      </c>
      <c r="M84">
        <v>1</v>
      </c>
    </row>
    <row r="85" spans="1:13" x14ac:dyDescent="0.25">
      <c r="A85" s="2">
        <v>46206</v>
      </c>
      <c r="B85" s="1" t="str">
        <f ca="1">IF(Información1[[#This Row],[Fecha]]='Ajuste de fechas'!$A$2,"Día actual","Día anterior")</f>
        <v>Día anterior</v>
      </c>
      <c r="C85" t="s">
        <v>39</v>
      </c>
      <c r="D85" t="s">
        <v>40</v>
      </c>
      <c r="E85" t="s">
        <v>217</v>
      </c>
      <c r="F85" t="s">
        <v>41</v>
      </c>
      <c r="G85" t="s">
        <v>218</v>
      </c>
      <c r="H85" t="s">
        <v>8</v>
      </c>
      <c r="I85" t="s">
        <v>7</v>
      </c>
      <c r="J85" t="s">
        <v>34</v>
      </c>
      <c r="K85" t="s">
        <v>63</v>
      </c>
      <c r="L85" t="s">
        <v>24</v>
      </c>
      <c r="M85">
        <v>1</v>
      </c>
    </row>
    <row r="86" spans="1:13" x14ac:dyDescent="0.25">
      <c r="A86" s="2">
        <v>46206</v>
      </c>
      <c r="B86" s="1" t="str">
        <f ca="1">IF(Información1[[#This Row],[Fecha]]='Ajuste de fechas'!$A$2,"Día actual","Día anterior")</f>
        <v>Día anterior</v>
      </c>
      <c r="C86" t="s">
        <v>39</v>
      </c>
      <c r="D86" t="s">
        <v>40</v>
      </c>
      <c r="E86" t="s">
        <v>219</v>
      </c>
      <c r="F86" t="s">
        <v>50</v>
      </c>
      <c r="G86" t="s">
        <v>220</v>
      </c>
      <c r="H86" t="s">
        <v>8</v>
      </c>
      <c r="I86" t="s">
        <v>7</v>
      </c>
      <c r="J86" t="s">
        <v>34</v>
      </c>
      <c r="K86" t="s">
        <v>63</v>
      </c>
      <c r="L86" t="s">
        <v>24</v>
      </c>
      <c r="M86">
        <v>1</v>
      </c>
    </row>
    <row r="87" spans="1:13" x14ac:dyDescent="0.25">
      <c r="A87" s="2">
        <v>46206</v>
      </c>
      <c r="B87" s="1" t="str">
        <f ca="1">IF(Información1[[#This Row],[Fecha]]='Ajuste de fechas'!$A$2,"Día actual","Día anterior")</f>
        <v>Día anterior</v>
      </c>
      <c r="C87" t="s">
        <v>39</v>
      </c>
      <c r="D87" t="s">
        <v>40</v>
      </c>
      <c r="E87" t="s">
        <v>221</v>
      </c>
      <c r="F87" t="s">
        <v>50</v>
      </c>
      <c r="G87" t="s">
        <v>220</v>
      </c>
      <c r="H87" t="s">
        <v>8</v>
      </c>
      <c r="I87" t="s">
        <v>7</v>
      </c>
      <c r="J87" t="s">
        <v>34</v>
      </c>
      <c r="K87" t="s">
        <v>63</v>
      </c>
      <c r="L87" t="s">
        <v>25</v>
      </c>
      <c r="M87">
        <v>1</v>
      </c>
    </row>
    <row r="88" spans="1:13" x14ac:dyDescent="0.25">
      <c r="A88" s="2">
        <v>46206</v>
      </c>
      <c r="B88" s="1" t="str">
        <f ca="1">IF(Información1[[#This Row],[Fecha]]='Ajuste de fechas'!$A$2,"Día actual","Día anterior")</f>
        <v>Día anterior</v>
      </c>
      <c r="C88" t="s">
        <v>39</v>
      </c>
      <c r="D88" t="s">
        <v>40</v>
      </c>
      <c r="E88" t="s">
        <v>222</v>
      </c>
      <c r="F88" t="s">
        <v>90</v>
      </c>
      <c r="G88" t="s">
        <v>223</v>
      </c>
      <c r="H88" t="s">
        <v>8</v>
      </c>
      <c r="I88" t="s">
        <v>7</v>
      </c>
      <c r="J88" t="s">
        <v>34</v>
      </c>
      <c r="K88" t="s">
        <v>63</v>
      </c>
      <c r="L88" t="s">
        <v>24</v>
      </c>
      <c r="M88">
        <v>1</v>
      </c>
    </row>
    <row r="89" spans="1:13" x14ac:dyDescent="0.25">
      <c r="A89" s="2">
        <v>46206</v>
      </c>
      <c r="B89" s="1" t="str">
        <f ca="1">IF(Información1[[#This Row],[Fecha]]='Ajuste de fechas'!$A$2,"Día actual","Día anterior")</f>
        <v>Día anterior</v>
      </c>
      <c r="C89" t="s">
        <v>39</v>
      </c>
      <c r="D89" t="s">
        <v>40</v>
      </c>
      <c r="E89" t="s">
        <v>42</v>
      </c>
      <c r="F89" t="s">
        <v>10</v>
      </c>
      <c r="G89" t="s">
        <v>46</v>
      </c>
      <c r="H89" t="s">
        <v>8</v>
      </c>
      <c r="I89" t="s">
        <v>7</v>
      </c>
      <c r="J89" t="s">
        <v>36</v>
      </c>
      <c r="K89" t="s">
        <v>63</v>
      </c>
      <c r="L89" t="s">
        <v>24</v>
      </c>
      <c r="M89">
        <v>1</v>
      </c>
    </row>
    <row r="90" spans="1:13" x14ac:dyDescent="0.25">
      <c r="A90" s="2">
        <v>46206</v>
      </c>
      <c r="B90" s="1" t="str">
        <f ca="1">IF(Información1[[#This Row],[Fecha]]='Ajuste de fechas'!$A$2,"Día actual","Día anterior")</f>
        <v>Día anterior</v>
      </c>
      <c r="C90" t="s">
        <v>39</v>
      </c>
      <c r="D90" t="s">
        <v>40</v>
      </c>
      <c r="E90" t="s">
        <v>224</v>
      </c>
      <c r="F90" t="s">
        <v>10</v>
      </c>
      <c r="G90" t="s">
        <v>225</v>
      </c>
      <c r="H90" t="s">
        <v>8</v>
      </c>
      <c r="I90" t="s">
        <v>7</v>
      </c>
      <c r="J90" t="s">
        <v>36</v>
      </c>
      <c r="K90" t="s">
        <v>63</v>
      </c>
      <c r="L90" t="s">
        <v>24</v>
      </c>
      <c r="M90">
        <v>1</v>
      </c>
    </row>
    <row r="91" spans="1:13" x14ac:dyDescent="0.25">
      <c r="A91" s="2">
        <v>46206</v>
      </c>
      <c r="B91" s="1" t="str">
        <f ca="1">IF(Información1[[#This Row],[Fecha]]='Ajuste de fechas'!$A$2,"Día actual","Día anterior")</f>
        <v>Día anterior</v>
      </c>
      <c r="C91" t="s">
        <v>39</v>
      </c>
      <c r="D91" t="s">
        <v>40</v>
      </c>
      <c r="E91" t="s">
        <v>226</v>
      </c>
      <c r="F91" t="s">
        <v>10</v>
      </c>
      <c r="G91" t="s">
        <v>227</v>
      </c>
      <c r="H91" t="s">
        <v>8</v>
      </c>
      <c r="I91" t="s">
        <v>7</v>
      </c>
      <c r="J91" t="s">
        <v>36</v>
      </c>
      <c r="K91" t="s">
        <v>63</v>
      </c>
      <c r="L91" t="s">
        <v>24</v>
      </c>
      <c r="M91">
        <v>1</v>
      </c>
    </row>
    <row r="92" spans="1:13" x14ac:dyDescent="0.25">
      <c r="A92" s="2">
        <v>46206</v>
      </c>
      <c r="B92" s="1" t="str">
        <f ca="1">IF(Información1[[#This Row],[Fecha]]='Ajuste de fechas'!$A$2,"Día actual","Día anterior")</f>
        <v>Día anterior</v>
      </c>
      <c r="C92" t="s">
        <v>39</v>
      </c>
      <c r="D92" t="s">
        <v>40</v>
      </c>
      <c r="E92" t="s">
        <v>204</v>
      </c>
      <c r="F92" t="s">
        <v>12</v>
      </c>
      <c r="G92" t="s">
        <v>205</v>
      </c>
      <c r="H92" t="s">
        <v>8</v>
      </c>
      <c r="I92" t="s">
        <v>7</v>
      </c>
      <c r="J92" t="s">
        <v>34</v>
      </c>
      <c r="K92" t="s">
        <v>63</v>
      </c>
      <c r="L92" t="s">
        <v>26</v>
      </c>
      <c r="M92">
        <v>1</v>
      </c>
    </row>
    <row r="93" spans="1:13" x14ac:dyDescent="0.25">
      <c r="A93" s="2">
        <v>46206</v>
      </c>
      <c r="B93" s="1" t="str">
        <f ca="1">IF(Información1[[#This Row],[Fecha]]='Ajuste de fechas'!$A$2,"Día actual","Día anterior")</f>
        <v>Día anterior</v>
      </c>
      <c r="C93" t="s">
        <v>39</v>
      </c>
      <c r="D93" t="s">
        <v>40</v>
      </c>
      <c r="E93" t="s">
        <v>228</v>
      </c>
      <c r="F93" t="s">
        <v>10</v>
      </c>
      <c r="G93" t="s">
        <v>229</v>
      </c>
      <c r="H93" t="s">
        <v>8</v>
      </c>
      <c r="I93" t="s">
        <v>7</v>
      </c>
      <c r="J93" t="s">
        <v>36</v>
      </c>
      <c r="K93" t="s">
        <v>63</v>
      </c>
      <c r="L93" t="s">
        <v>24</v>
      </c>
      <c r="M93">
        <v>1</v>
      </c>
    </row>
    <row r="94" spans="1:13" x14ac:dyDescent="0.25">
      <c r="A94" s="2">
        <v>46206</v>
      </c>
      <c r="B94" s="1" t="str">
        <f ca="1">IF(Información1[[#This Row],[Fecha]]='Ajuste de fechas'!$A$2,"Día actual","Día anterior")</f>
        <v>Día anterior</v>
      </c>
      <c r="C94" t="s">
        <v>43</v>
      </c>
      <c r="D94" t="s">
        <v>44</v>
      </c>
      <c r="E94" t="s">
        <v>230</v>
      </c>
      <c r="F94" t="s">
        <v>9</v>
      </c>
      <c r="G94" t="s">
        <v>89</v>
      </c>
      <c r="H94" t="s">
        <v>38</v>
      </c>
      <c r="I94" t="s">
        <v>14</v>
      </c>
      <c r="J94" t="s">
        <v>34</v>
      </c>
      <c r="K94" t="s">
        <v>45</v>
      </c>
      <c r="L94" t="s">
        <v>25</v>
      </c>
      <c r="M94">
        <v>1</v>
      </c>
    </row>
    <row r="95" spans="1:13" x14ac:dyDescent="0.25">
      <c r="A95" s="2">
        <v>46206</v>
      </c>
      <c r="B95" s="1" t="str">
        <f ca="1">IF(Información1[[#This Row],[Fecha]]='Ajuste de fechas'!$A$2,"Día actual","Día anterior")</f>
        <v>Día anterior</v>
      </c>
      <c r="C95" t="s">
        <v>43</v>
      </c>
      <c r="D95" t="s">
        <v>44</v>
      </c>
      <c r="E95" t="s">
        <v>231</v>
      </c>
      <c r="F95" t="s">
        <v>9</v>
      </c>
      <c r="G95" t="s">
        <v>232</v>
      </c>
      <c r="H95" t="s">
        <v>38</v>
      </c>
      <c r="I95" t="s">
        <v>14</v>
      </c>
      <c r="J95" t="s">
        <v>34</v>
      </c>
      <c r="K95" t="s">
        <v>45</v>
      </c>
      <c r="L95" t="s">
        <v>25</v>
      </c>
      <c r="M95">
        <v>1</v>
      </c>
    </row>
    <row r="96" spans="1:13" x14ac:dyDescent="0.25">
      <c r="A96" s="2">
        <v>46206</v>
      </c>
      <c r="B96" s="1" t="str">
        <f ca="1">IF(Información1[[#This Row],[Fecha]]='Ajuste de fechas'!$A$2,"Día actual","Día anterior")</f>
        <v>Día anterior</v>
      </c>
      <c r="C96" t="s">
        <v>43</v>
      </c>
      <c r="D96" t="s">
        <v>44</v>
      </c>
      <c r="E96" t="s">
        <v>233</v>
      </c>
      <c r="F96" t="s">
        <v>15</v>
      </c>
      <c r="G96" t="s">
        <v>234</v>
      </c>
      <c r="H96" t="s">
        <v>38</v>
      </c>
      <c r="I96" t="s">
        <v>51</v>
      </c>
      <c r="J96" t="s">
        <v>34</v>
      </c>
      <c r="K96" t="s">
        <v>45</v>
      </c>
      <c r="L96" t="s">
        <v>25</v>
      </c>
      <c r="M96">
        <v>1</v>
      </c>
    </row>
    <row r="97" spans="1:13" x14ac:dyDescent="0.25">
      <c r="A97" s="2">
        <v>46206</v>
      </c>
      <c r="B97" s="1" t="str">
        <f ca="1">IF(Información1[[#This Row],[Fecha]]='Ajuste de fechas'!$A$2,"Día actual","Día anterior")</f>
        <v>Día anterior</v>
      </c>
      <c r="C97" t="s">
        <v>43</v>
      </c>
      <c r="D97" t="s">
        <v>44</v>
      </c>
      <c r="E97" t="s">
        <v>235</v>
      </c>
      <c r="F97" t="s">
        <v>236</v>
      </c>
      <c r="G97" t="s">
        <v>237</v>
      </c>
      <c r="H97" t="s">
        <v>38</v>
      </c>
      <c r="I97" t="s">
        <v>14</v>
      </c>
      <c r="J97" t="s">
        <v>34</v>
      </c>
      <c r="K97" t="s">
        <v>48</v>
      </c>
      <c r="L97" t="s">
        <v>25</v>
      </c>
      <c r="M97">
        <v>1</v>
      </c>
    </row>
    <row r="98" spans="1:13" x14ac:dyDescent="0.25">
      <c r="A98" s="2">
        <v>46206</v>
      </c>
      <c r="B98" s="1" t="str">
        <f ca="1">IF(Información1[[#This Row],[Fecha]]='Ajuste de fechas'!$A$2,"Día actual","Día anterior")</f>
        <v>Día anterior</v>
      </c>
      <c r="C98" t="s">
        <v>43</v>
      </c>
      <c r="D98" t="s">
        <v>44</v>
      </c>
      <c r="E98" t="s">
        <v>238</v>
      </c>
      <c r="F98" t="s">
        <v>13</v>
      </c>
      <c r="G98" t="s">
        <v>239</v>
      </c>
      <c r="H98" t="s">
        <v>38</v>
      </c>
      <c r="I98" t="s">
        <v>7</v>
      </c>
      <c r="J98" t="s">
        <v>13</v>
      </c>
      <c r="K98" t="s">
        <v>45</v>
      </c>
      <c r="L98" t="s">
        <v>47</v>
      </c>
      <c r="M98">
        <v>1</v>
      </c>
    </row>
    <row r="99" spans="1:13" x14ac:dyDescent="0.25">
      <c r="A99" s="2">
        <v>46206</v>
      </c>
      <c r="B99" s="1" t="str">
        <f ca="1">IF(Información1[[#This Row],[Fecha]]='Ajuste de fechas'!$A$2,"Día actual","Día anterior")</f>
        <v>Día anterior</v>
      </c>
      <c r="C99" t="s">
        <v>43</v>
      </c>
      <c r="D99" t="s">
        <v>44</v>
      </c>
      <c r="E99" t="s">
        <v>240</v>
      </c>
      <c r="F99" t="s">
        <v>10</v>
      </c>
      <c r="G99" t="s">
        <v>241</v>
      </c>
      <c r="H99" t="s">
        <v>38</v>
      </c>
      <c r="I99" t="s">
        <v>14</v>
      </c>
      <c r="J99" t="s">
        <v>36</v>
      </c>
      <c r="K99" t="s">
        <v>48</v>
      </c>
      <c r="L99" t="s">
        <v>25</v>
      </c>
      <c r="M99">
        <v>1</v>
      </c>
    </row>
    <row r="100" spans="1:13" x14ac:dyDescent="0.25">
      <c r="A100" s="2">
        <v>46206</v>
      </c>
      <c r="B100" s="1" t="str">
        <f ca="1">IF(Información1[[#This Row],[Fecha]]='Ajuste de fechas'!$A$2,"Día actual","Día anterior")</f>
        <v>Día anterior</v>
      </c>
      <c r="C100" t="s">
        <v>43</v>
      </c>
      <c r="D100" t="s">
        <v>44</v>
      </c>
      <c r="E100" t="s">
        <v>195</v>
      </c>
      <c r="F100" t="s">
        <v>37</v>
      </c>
      <c r="G100" t="s">
        <v>196</v>
      </c>
      <c r="H100" t="s">
        <v>38</v>
      </c>
      <c r="I100" t="s">
        <v>7</v>
      </c>
      <c r="J100" t="s">
        <v>34</v>
      </c>
      <c r="K100" t="s">
        <v>45</v>
      </c>
      <c r="L100" t="s">
        <v>26</v>
      </c>
      <c r="M100">
        <v>1</v>
      </c>
    </row>
    <row r="101" spans="1:13" x14ac:dyDescent="0.25">
      <c r="A101" s="2">
        <v>46206</v>
      </c>
      <c r="B101" s="1" t="str">
        <f ca="1">IF(Información1[[#This Row],[Fecha]]='Ajuste de fechas'!$A$2,"Día actual","Día anterior")</f>
        <v>Día anterior</v>
      </c>
      <c r="C101" t="s">
        <v>43</v>
      </c>
      <c r="D101" t="s">
        <v>44</v>
      </c>
      <c r="E101" t="s">
        <v>242</v>
      </c>
      <c r="F101" t="s">
        <v>15</v>
      </c>
      <c r="G101" t="s">
        <v>114</v>
      </c>
      <c r="H101" t="s">
        <v>38</v>
      </c>
      <c r="I101" t="s">
        <v>7</v>
      </c>
      <c r="J101" t="s">
        <v>34</v>
      </c>
      <c r="K101" t="s">
        <v>45</v>
      </c>
      <c r="L101" t="s">
        <v>24</v>
      </c>
      <c r="M101">
        <v>1</v>
      </c>
    </row>
    <row r="102" spans="1:13" x14ac:dyDescent="0.25">
      <c r="A102" s="2">
        <v>46206</v>
      </c>
      <c r="B102" s="1" t="str">
        <f ca="1">IF(Información1[[#This Row],[Fecha]]='Ajuste de fechas'!$A$2,"Día actual","Día anterior")</f>
        <v>Día anterior</v>
      </c>
      <c r="C102" t="s">
        <v>43</v>
      </c>
      <c r="D102" t="s">
        <v>44</v>
      </c>
      <c r="E102" t="s">
        <v>183</v>
      </c>
      <c r="F102" t="s">
        <v>15</v>
      </c>
      <c r="G102" t="s">
        <v>114</v>
      </c>
      <c r="H102" t="s">
        <v>38</v>
      </c>
      <c r="I102" t="s">
        <v>7</v>
      </c>
      <c r="J102" t="s">
        <v>34</v>
      </c>
      <c r="K102" t="s">
        <v>45</v>
      </c>
      <c r="L102" t="s">
        <v>26</v>
      </c>
      <c r="M102">
        <v>1</v>
      </c>
    </row>
    <row r="103" spans="1:13" x14ac:dyDescent="0.25">
      <c r="A103" s="2">
        <v>46206</v>
      </c>
      <c r="B103" s="1" t="str">
        <f ca="1">IF(Información1[[#This Row],[Fecha]]='Ajuste de fechas'!$A$2,"Día actual","Día anterior")</f>
        <v>Día anterior</v>
      </c>
      <c r="C103" t="s">
        <v>43</v>
      </c>
      <c r="D103" t="s">
        <v>44</v>
      </c>
      <c r="E103" t="s">
        <v>243</v>
      </c>
      <c r="F103" t="s">
        <v>6</v>
      </c>
      <c r="G103" t="s">
        <v>244</v>
      </c>
      <c r="H103" t="s">
        <v>38</v>
      </c>
      <c r="I103" t="s">
        <v>51</v>
      </c>
      <c r="J103" t="s">
        <v>34</v>
      </c>
      <c r="K103" t="s">
        <v>45</v>
      </c>
      <c r="L103" t="s">
        <v>24</v>
      </c>
      <c r="M103">
        <v>1</v>
      </c>
    </row>
    <row r="104" spans="1:13" x14ac:dyDescent="0.25">
      <c r="A104" s="2">
        <v>46206</v>
      </c>
      <c r="B104" s="1" t="str">
        <f ca="1">IF(Información1[[#This Row],[Fecha]]='Ajuste de fechas'!$A$2,"Día actual","Día anterior")</f>
        <v>Día anterior</v>
      </c>
      <c r="C104" t="s">
        <v>43</v>
      </c>
      <c r="D104" t="s">
        <v>44</v>
      </c>
      <c r="E104" t="s">
        <v>245</v>
      </c>
      <c r="F104" t="s">
        <v>9</v>
      </c>
      <c r="G104" t="s">
        <v>246</v>
      </c>
      <c r="H104" t="s">
        <v>38</v>
      </c>
      <c r="I104" t="s">
        <v>7</v>
      </c>
      <c r="J104" t="s">
        <v>34</v>
      </c>
      <c r="K104" t="s">
        <v>45</v>
      </c>
      <c r="L104" t="s">
        <v>25</v>
      </c>
      <c r="M104">
        <v>1</v>
      </c>
    </row>
    <row r="105" spans="1:13" x14ac:dyDescent="0.25">
      <c r="A105" s="2">
        <v>46206</v>
      </c>
      <c r="B105" s="1" t="str">
        <f ca="1">IF(Información1[[#This Row],[Fecha]]='Ajuste de fechas'!$A$2,"Día actual","Día anterior")</f>
        <v>Día anterior</v>
      </c>
      <c r="C105" t="s">
        <v>84</v>
      </c>
      <c r="D105" t="s">
        <v>85</v>
      </c>
      <c r="E105" t="s">
        <v>142</v>
      </c>
      <c r="F105" t="s">
        <v>12</v>
      </c>
      <c r="G105" t="s">
        <v>101</v>
      </c>
      <c r="H105" t="s">
        <v>38</v>
      </c>
      <c r="I105" t="s">
        <v>7</v>
      </c>
      <c r="J105" t="s">
        <v>34</v>
      </c>
      <c r="K105" t="s">
        <v>86</v>
      </c>
      <c r="L105" t="s">
        <v>26</v>
      </c>
      <c r="M105">
        <v>1</v>
      </c>
    </row>
    <row r="106" spans="1:13" x14ac:dyDescent="0.25">
      <c r="A106" s="2">
        <v>46206</v>
      </c>
      <c r="B106" s="1" t="str">
        <f ca="1">IF(Información1[[#This Row],[Fecha]]='Ajuste de fechas'!$A$2,"Día actual","Día anterior")</f>
        <v>Día anterior</v>
      </c>
      <c r="C106" t="s">
        <v>84</v>
      </c>
      <c r="D106" t="s">
        <v>85</v>
      </c>
      <c r="E106" t="s">
        <v>204</v>
      </c>
      <c r="F106" t="s">
        <v>12</v>
      </c>
      <c r="G106" t="s">
        <v>205</v>
      </c>
      <c r="H106" t="s">
        <v>38</v>
      </c>
      <c r="I106" t="s">
        <v>7</v>
      </c>
      <c r="J106" t="s">
        <v>34</v>
      </c>
      <c r="K106" t="s">
        <v>86</v>
      </c>
      <c r="L106" t="s">
        <v>26</v>
      </c>
      <c r="M106">
        <v>1</v>
      </c>
    </row>
    <row r="107" spans="1:13" x14ac:dyDescent="0.25">
      <c r="A107" s="2">
        <v>46206</v>
      </c>
      <c r="B107" s="1" t="str">
        <f ca="1">IF(Información1[[#This Row],[Fecha]]='Ajuste de fechas'!$A$2,"Día actual","Día anterior")</f>
        <v>Día anterior</v>
      </c>
      <c r="C107" t="s">
        <v>84</v>
      </c>
      <c r="D107" t="s">
        <v>85</v>
      </c>
      <c r="E107" t="s">
        <v>247</v>
      </c>
      <c r="F107" t="s">
        <v>37</v>
      </c>
      <c r="G107" t="s">
        <v>153</v>
      </c>
      <c r="H107" t="s">
        <v>38</v>
      </c>
      <c r="I107" t="s">
        <v>7</v>
      </c>
      <c r="J107" t="s">
        <v>34</v>
      </c>
      <c r="K107" t="s">
        <v>86</v>
      </c>
      <c r="L107" t="s">
        <v>26</v>
      </c>
      <c r="M107">
        <v>1</v>
      </c>
    </row>
    <row r="108" spans="1:13" x14ac:dyDescent="0.25">
      <c r="A108" s="2">
        <v>46206</v>
      </c>
      <c r="B108" s="1" t="str">
        <f ca="1">IF(Información1[[#This Row],[Fecha]]='Ajuste de fechas'!$A$2,"Día actual","Día anterior")</f>
        <v>Día anterior</v>
      </c>
      <c r="C108" t="s">
        <v>84</v>
      </c>
      <c r="D108" t="s">
        <v>85</v>
      </c>
      <c r="E108" t="s">
        <v>195</v>
      </c>
      <c r="F108" t="s">
        <v>37</v>
      </c>
      <c r="G108" t="s">
        <v>196</v>
      </c>
      <c r="H108" t="s">
        <v>38</v>
      </c>
      <c r="I108" t="s">
        <v>7</v>
      </c>
      <c r="J108" t="s">
        <v>34</v>
      </c>
      <c r="K108" t="s">
        <v>86</v>
      </c>
      <c r="L108" t="s">
        <v>26</v>
      </c>
      <c r="M108">
        <v>1</v>
      </c>
    </row>
    <row r="109" spans="1:13" x14ac:dyDescent="0.25">
      <c r="A109" s="2">
        <v>46206</v>
      </c>
      <c r="B109" s="1" t="str">
        <f ca="1">IF(Información1[[#This Row],[Fecha]]='Ajuste de fechas'!$A$2,"Día actual","Día anterior")</f>
        <v>Día anterior</v>
      </c>
      <c r="C109" t="s">
        <v>84</v>
      </c>
      <c r="D109" t="s">
        <v>85</v>
      </c>
      <c r="E109" t="s">
        <v>194</v>
      </c>
      <c r="F109" t="s">
        <v>169</v>
      </c>
      <c r="G109" t="s">
        <v>170</v>
      </c>
      <c r="H109" t="s">
        <v>38</v>
      </c>
      <c r="I109" t="s">
        <v>7</v>
      </c>
      <c r="J109" t="s">
        <v>34</v>
      </c>
      <c r="K109" t="s">
        <v>86</v>
      </c>
      <c r="L109" t="s">
        <v>26</v>
      </c>
      <c r="M109">
        <v>1</v>
      </c>
    </row>
    <row r="110" spans="1:13" x14ac:dyDescent="0.25">
      <c r="A110" s="2">
        <v>46206</v>
      </c>
      <c r="B110" s="1" t="str">
        <f ca="1">IF(Información1[[#This Row],[Fecha]]='Ajuste de fechas'!$A$2,"Día actual","Día anterior")</f>
        <v>Día anterior</v>
      </c>
      <c r="C110" t="s">
        <v>84</v>
      </c>
      <c r="D110" t="s">
        <v>85</v>
      </c>
      <c r="E110" t="s">
        <v>248</v>
      </c>
      <c r="F110" t="s">
        <v>30</v>
      </c>
      <c r="G110" t="s">
        <v>249</v>
      </c>
      <c r="H110" t="s">
        <v>38</v>
      </c>
      <c r="I110" t="s">
        <v>7</v>
      </c>
      <c r="J110" t="s">
        <v>13</v>
      </c>
      <c r="K110" t="s">
        <v>86</v>
      </c>
      <c r="L110" t="s">
        <v>24</v>
      </c>
      <c r="M110">
        <v>1</v>
      </c>
    </row>
    <row r="111" spans="1:13" x14ac:dyDescent="0.25">
      <c r="A111" s="2">
        <v>46206</v>
      </c>
      <c r="B111" s="1" t="str">
        <f ca="1">IF(Información1[[#This Row],[Fecha]]='Ajuste de fechas'!$A$2,"Día actual","Día anterior")</f>
        <v>Día anterior</v>
      </c>
      <c r="C111" t="s">
        <v>84</v>
      </c>
      <c r="D111" t="s">
        <v>85</v>
      </c>
      <c r="E111" t="s">
        <v>250</v>
      </c>
      <c r="F111" t="s">
        <v>30</v>
      </c>
      <c r="G111" t="s">
        <v>110</v>
      </c>
      <c r="H111" t="s">
        <v>38</v>
      </c>
      <c r="I111" t="s">
        <v>7</v>
      </c>
      <c r="J111" t="s">
        <v>13</v>
      </c>
      <c r="K111" t="s">
        <v>86</v>
      </c>
      <c r="L111" t="s">
        <v>24</v>
      </c>
      <c r="M111">
        <v>1</v>
      </c>
    </row>
    <row r="112" spans="1:13" x14ac:dyDescent="0.25">
      <c r="A112" s="2">
        <v>46206</v>
      </c>
      <c r="B112" s="1" t="str">
        <f ca="1">IF(Información1[[#This Row],[Fecha]]='Ajuste de fechas'!$A$2,"Día actual","Día anterior")</f>
        <v>Día anterior</v>
      </c>
      <c r="C112" t="s">
        <v>84</v>
      </c>
      <c r="D112" t="s">
        <v>85</v>
      </c>
      <c r="E112" t="s">
        <v>251</v>
      </c>
      <c r="F112" t="s">
        <v>15</v>
      </c>
      <c r="G112" t="s">
        <v>252</v>
      </c>
      <c r="H112" t="s">
        <v>38</v>
      </c>
      <c r="I112" t="s">
        <v>7</v>
      </c>
      <c r="J112" t="s">
        <v>34</v>
      </c>
      <c r="K112" t="s">
        <v>86</v>
      </c>
      <c r="L112" t="s">
        <v>24</v>
      </c>
      <c r="M112">
        <v>1</v>
      </c>
    </row>
    <row r="113" spans="1:13" x14ac:dyDescent="0.25">
      <c r="A113" s="2">
        <v>46206</v>
      </c>
      <c r="B113" s="1" t="str">
        <f ca="1">IF(Información1[[#This Row],[Fecha]]='Ajuste de fechas'!$A$2,"Día actual","Día anterior")</f>
        <v>Día anterior</v>
      </c>
      <c r="C113" t="s">
        <v>84</v>
      </c>
      <c r="D113" t="s">
        <v>85</v>
      </c>
      <c r="E113" t="s">
        <v>253</v>
      </c>
      <c r="F113" t="s">
        <v>15</v>
      </c>
      <c r="G113" t="s">
        <v>254</v>
      </c>
      <c r="H113" t="s">
        <v>38</v>
      </c>
      <c r="I113" t="s">
        <v>51</v>
      </c>
      <c r="J113" t="s">
        <v>34</v>
      </c>
      <c r="K113" t="s">
        <v>86</v>
      </c>
      <c r="L113" t="s">
        <v>24</v>
      </c>
      <c r="M113">
        <v>1</v>
      </c>
    </row>
    <row r="114" spans="1:13" x14ac:dyDescent="0.25">
      <c r="A114" s="2">
        <v>46206</v>
      </c>
      <c r="B114" s="1" t="str">
        <f ca="1">IF(Información1[[#This Row],[Fecha]]='Ajuste de fechas'!$A$2,"Día actual","Día anterior")</f>
        <v>Día anterior</v>
      </c>
      <c r="C114" t="s">
        <v>84</v>
      </c>
      <c r="D114" t="s">
        <v>85</v>
      </c>
      <c r="E114" t="s">
        <v>255</v>
      </c>
      <c r="F114" t="s">
        <v>15</v>
      </c>
      <c r="G114" t="s">
        <v>170</v>
      </c>
      <c r="H114" t="s">
        <v>38</v>
      </c>
      <c r="I114" t="s">
        <v>7</v>
      </c>
      <c r="J114" t="s">
        <v>34</v>
      </c>
      <c r="K114" t="s">
        <v>86</v>
      </c>
      <c r="L114" t="s">
        <v>24</v>
      </c>
      <c r="M114">
        <v>1</v>
      </c>
    </row>
    <row r="115" spans="1:13" x14ac:dyDescent="0.25">
      <c r="A115" s="2">
        <v>46206</v>
      </c>
      <c r="B115" s="1" t="str">
        <f ca="1">IF(Información1[[#This Row],[Fecha]]='Ajuste de fechas'!$A$2,"Día actual","Día anterior")</f>
        <v>Día anterior</v>
      </c>
      <c r="C115" t="s">
        <v>84</v>
      </c>
      <c r="D115" t="s">
        <v>85</v>
      </c>
      <c r="E115" t="s">
        <v>183</v>
      </c>
      <c r="F115" t="s">
        <v>15</v>
      </c>
      <c r="G115" t="s">
        <v>114</v>
      </c>
      <c r="H115" t="s">
        <v>38</v>
      </c>
      <c r="I115" t="s">
        <v>7</v>
      </c>
      <c r="J115" t="s">
        <v>34</v>
      </c>
      <c r="K115" t="s">
        <v>86</v>
      </c>
      <c r="L115" t="s">
        <v>26</v>
      </c>
      <c r="M115">
        <v>1</v>
      </c>
    </row>
    <row r="116" spans="1:13" x14ac:dyDescent="0.25">
      <c r="A116" s="2">
        <v>46209</v>
      </c>
      <c r="B116" s="1" t="str">
        <f ca="1">IF(Información1[[#This Row],[Fecha]]='Ajuste de fechas'!$A$2,"Día actual","Día anterior")</f>
        <v>Día actual</v>
      </c>
      <c r="C116" t="s">
        <v>39</v>
      </c>
      <c r="D116" t="s">
        <v>40</v>
      </c>
      <c r="E116" t="s">
        <v>256</v>
      </c>
      <c r="F116" t="s">
        <v>37</v>
      </c>
      <c r="G116" t="s">
        <v>257</v>
      </c>
      <c r="H116" t="s">
        <v>8</v>
      </c>
      <c r="I116" t="s">
        <v>7</v>
      </c>
      <c r="J116" t="s">
        <v>34</v>
      </c>
      <c r="K116" t="s">
        <v>63</v>
      </c>
      <c r="L116" t="s">
        <v>26</v>
      </c>
      <c r="M116">
        <v>1</v>
      </c>
    </row>
    <row r="117" spans="1:13" x14ac:dyDescent="0.25">
      <c r="A117" s="2">
        <v>46209</v>
      </c>
      <c r="B117" s="1" t="str">
        <f ca="1">IF(Información1[[#This Row],[Fecha]]='Ajuste de fechas'!$A$2,"Día actual","Día anterior")</f>
        <v>Día actual</v>
      </c>
      <c r="C117" t="s">
        <v>39</v>
      </c>
      <c r="D117" t="s">
        <v>40</v>
      </c>
      <c r="E117" t="s">
        <v>258</v>
      </c>
      <c r="F117" t="s">
        <v>17</v>
      </c>
      <c r="G117" t="s">
        <v>138</v>
      </c>
      <c r="H117" t="s">
        <v>8</v>
      </c>
      <c r="I117" t="s">
        <v>7</v>
      </c>
      <c r="J117" t="s">
        <v>34</v>
      </c>
      <c r="K117" t="s">
        <v>63</v>
      </c>
      <c r="L117" t="s">
        <v>24</v>
      </c>
      <c r="M117">
        <v>1</v>
      </c>
    </row>
    <row r="118" spans="1:13" x14ac:dyDescent="0.25">
      <c r="A118" s="2">
        <v>46209</v>
      </c>
      <c r="B118" s="1" t="str">
        <f ca="1">IF(Información1[[#This Row],[Fecha]]='Ajuste de fechas'!$A$2,"Día actual","Día anterior")</f>
        <v>Día actual</v>
      </c>
      <c r="C118" t="s">
        <v>39</v>
      </c>
      <c r="D118" t="s">
        <v>40</v>
      </c>
      <c r="E118" t="s">
        <v>259</v>
      </c>
      <c r="F118" t="s">
        <v>10</v>
      </c>
      <c r="G118" t="s">
        <v>46</v>
      </c>
      <c r="H118" t="s">
        <v>8</v>
      </c>
      <c r="I118" t="s">
        <v>7</v>
      </c>
      <c r="J118" t="s">
        <v>36</v>
      </c>
      <c r="K118" t="s">
        <v>63</v>
      </c>
      <c r="L118" t="s">
        <v>24</v>
      </c>
      <c r="M118">
        <v>1</v>
      </c>
    </row>
    <row r="119" spans="1:13" x14ac:dyDescent="0.25">
      <c r="A119" s="2">
        <v>46209</v>
      </c>
      <c r="B119" s="1" t="str">
        <f ca="1">IF(Información1[[#This Row],[Fecha]]='Ajuste de fechas'!$A$2,"Día actual","Día anterior")</f>
        <v>Día actual</v>
      </c>
      <c r="C119" t="s">
        <v>39</v>
      </c>
      <c r="D119" t="s">
        <v>40</v>
      </c>
      <c r="E119" t="s">
        <v>260</v>
      </c>
      <c r="F119" t="s">
        <v>10</v>
      </c>
      <c r="G119" t="s">
        <v>261</v>
      </c>
      <c r="H119" t="s">
        <v>8</v>
      </c>
      <c r="I119" t="s">
        <v>7</v>
      </c>
      <c r="J119" t="s">
        <v>36</v>
      </c>
      <c r="K119" t="s">
        <v>63</v>
      </c>
      <c r="L119" t="s">
        <v>24</v>
      </c>
      <c r="M119">
        <v>1</v>
      </c>
    </row>
    <row r="120" spans="1:13" x14ac:dyDescent="0.25">
      <c r="A120" s="2">
        <v>46209</v>
      </c>
      <c r="B120" s="1" t="str">
        <f ca="1">IF(Información1[[#This Row],[Fecha]]='Ajuste de fechas'!$A$2,"Día actual","Día anterior")</f>
        <v>Día actual</v>
      </c>
      <c r="C120" t="s">
        <v>39</v>
      </c>
      <c r="D120" t="s">
        <v>40</v>
      </c>
      <c r="E120" t="s">
        <v>262</v>
      </c>
      <c r="F120" t="s">
        <v>11</v>
      </c>
      <c r="G120" t="s">
        <v>263</v>
      </c>
      <c r="H120" t="s">
        <v>8</v>
      </c>
      <c r="I120" t="s">
        <v>7</v>
      </c>
      <c r="J120" t="s">
        <v>35</v>
      </c>
      <c r="K120" t="s">
        <v>63</v>
      </c>
      <c r="L120" t="s">
        <v>24</v>
      </c>
      <c r="M120">
        <v>1</v>
      </c>
    </row>
    <row r="121" spans="1:13" x14ac:dyDescent="0.25">
      <c r="A121" s="2">
        <v>46209</v>
      </c>
      <c r="B121" s="1" t="str">
        <f ca="1">IF(Información1[[#This Row],[Fecha]]='Ajuste de fechas'!$A$2,"Día actual","Día anterior")</f>
        <v>Día actual</v>
      </c>
      <c r="C121" t="s">
        <v>39</v>
      </c>
      <c r="D121" t="s">
        <v>40</v>
      </c>
      <c r="E121" t="s">
        <v>264</v>
      </c>
      <c r="F121" t="s">
        <v>11</v>
      </c>
      <c r="G121" t="s">
        <v>101</v>
      </c>
      <c r="H121" t="s">
        <v>8</v>
      </c>
      <c r="I121" t="s">
        <v>7</v>
      </c>
      <c r="J121" t="s">
        <v>35</v>
      </c>
      <c r="K121" t="s">
        <v>63</v>
      </c>
      <c r="L121" t="s">
        <v>24</v>
      </c>
      <c r="M121">
        <v>1</v>
      </c>
    </row>
    <row r="122" spans="1:13" x14ac:dyDescent="0.25">
      <c r="A122" s="2">
        <v>46209</v>
      </c>
      <c r="B122" s="1" t="str">
        <f ca="1">IF(Información1[[#This Row],[Fecha]]='Ajuste de fechas'!$A$2,"Día actual","Día anterior")</f>
        <v>Día actual</v>
      </c>
      <c r="C122" t="s">
        <v>39</v>
      </c>
      <c r="D122" t="s">
        <v>40</v>
      </c>
      <c r="E122" t="s">
        <v>265</v>
      </c>
      <c r="F122" t="s">
        <v>10</v>
      </c>
      <c r="G122" t="s">
        <v>261</v>
      </c>
      <c r="H122" t="s">
        <v>8</v>
      </c>
      <c r="I122" t="s">
        <v>7</v>
      </c>
      <c r="J122" t="s">
        <v>36</v>
      </c>
      <c r="K122" t="s">
        <v>63</v>
      </c>
      <c r="L122" t="s">
        <v>24</v>
      </c>
      <c r="M122">
        <v>1</v>
      </c>
    </row>
    <row r="123" spans="1:13" x14ac:dyDescent="0.25">
      <c r="A123" s="2">
        <v>46209</v>
      </c>
      <c r="B123" s="1" t="str">
        <f ca="1">IF(Información1[[#This Row],[Fecha]]='Ajuste de fechas'!$A$2,"Día actual","Día anterior")</f>
        <v>Día actual</v>
      </c>
      <c r="C123" t="s">
        <v>39</v>
      </c>
      <c r="D123" t="s">
        <v>40</v>
      </c>
      <c r="E123" t="s">
        <v>266</v>
      </c>
      <c r="F123" t="s">
        <v>10</v>
      </c>
      <c r="G123" t="s">
        <v>267</v>
      </c>
      <c r="H123" t="s">
        <v>8</v>
      </c>
      <c r="I123" t="s">
        <v>7</v>
      </c>
      <c r="J123" t="s">
        <v>36</v>
      </c>
      <c r="K123" t="s">
        <v>63</v>
      </c>
      <c r="L123" t="s">
        <v>24</v>
      </c>
      <c r="M123">
        <v>1</v>
      </c>
    </row>
    <row r="124" spans="1:13" x14ac:dyDescent="0.25">
      <c r="A124" s="2">
        <v>46209</v>
      </c>
      <c r="B124" s="1" t="str">
        <f ca="1">IF(Información1[[#This Row],[Fecha]]='Ajuste de fechas'!$A$2,"Día actual","Día anterior")</f>
        <v>Día actual</v>
      </c>
      <c r="C124" t="s">
        <v>39</v>
      </c>
      <c r="D124" t="s">
        <v>40</v>
      </c>
      <c r="E124" t="s">
        <v>268</v>
      </c>
      <c r="F124" t="s">
        <v>41</v>
      </c>
      <c r="G124" t="s">
        <v>269</v>
      </c>
      <c r="H124" t="s">
        <v>8</v>
      </c>
      <c r="I124" t="s">
        <v>7</v>
      </c>
      <c r="J124" t="s">
        <v>34</v>
      </c>
      <c r="K124" t="s">
        <v>63</v>
      </c>
      <c r="L124" t="s">
        <v>24</v>
      </c>
      <c r="M124">
        <v>1</v>
      </c>
    </row>
    <row r="125" spans="1:13" x14ac:dyDescent="0.25">
      <c r="A125" s="2">
        <v>46209</v>
      </c>
      <c r="B125" s="1" t="str">
        <f ca="1">IF(Información1[[#This Row],[Fecha]]='Ajuste de fechas'!$A$2,"Día actual","Día anterior")</f>
        <v>Día actual</v>
      </c>
      <c r="C125" t="s">
        <v>39</v>
      </c>
      <c r="D125" t="s">
        <v>40</v>
      </c>
      <c r="E125" t="s">
        <v>270</v>
      </c>
      <c r="F125" t="s">
        <v>41</v>
      </c>
      <c r="G125" t="s">
        <v>271</v>
      </c>
      <c r="H125" t="s">
        <v>8</v>
      </c>
      <c r="I125" t="s">
        <v>14</v>
      </c>
      <c r="J125" t="s">
        <v>34</v>
      </c>
      <c r="K125" t="s">
        <v>63</v>
      </c>
      <c r="L125" t="s">
        <v>24</v>
      </c>
      <c r="M125">
        <v>1</v>
      </c>
    </row>
    <row r="126" spans="1:13" x14ac:dyDescent="0.25">
      <c r="A126" s="2">
        <v>46209</v>
      </c>
      <c r="B126" s="1" t="str">
        <f ca="1">IF(Información1[[#This Row],[Fecha]]='Ajuste de fechas'!$A$2,"Día actual","Día anterior")</f>
        <v>Día actual</v>
      </c>
      <c r="C126" t="s">
        <v>39</v>
      </c>
      <c r="D126" t="s">
        <v>40</v>
      </c>
      <c r="E126" t="s">
        <v>272</v>
      </c>
      <c r="F126" t="s">
        <v>87</v>
      </c>
      <c r="G126" t="s">
        <v>273</v>
      </c>
      <c r="H126" t="s">
        <v>8</v>
      </c>
      <c r="I126" t="s">
        <v>7</v>
      </c>
      <c r="J126" t="s">
        <v>34</v>
      </c>
      <c r="K126" t="s">
        <v>63</v>
      </c>
      <c r="L126" t="s">
        <v>24</v>
      </c>
      <c r="M126">
        <v>1</v>
      </c>
    </row>
    <row r="127" spans="1:13" x14ac:dyDescent="0.25">
      <c r="A127" s="2">
        <v>46209</v>
      </c>
      <c r="B127" s="1" t="str">
        <f ca="1">IF(Información1[[#This Row],[Fecha]]='Ajuste de fechas'!$A$2,"Día actual","Día anterior")</f>
        <v>Día actual</v>
      </c>
      <c r="C127" t="s">
        <v>39</v>
      </c>
      <c r="D127" t="s">
        <v>40</v>
      </c>
      <c r="E127" t="s">
        <v>274</v>
      </c>
      <c r="F127" t="s">
        <v>15</v>
      </c>
      <c r="G127" t="s">
        <v>170</v>
      </c>
      <c r="H127" t="s">
        <v>8</v>
      </c>
      <c r="I127" t="s">
        <v>7</v>
      </c>
      <c r="J127" t="s">
        <v>34</v>
      </c>
      <c r="K127" t="s">
        <v>63</v>
      </c>
      <c r="L127" t="s">
        <v>26</v>
      </c>
      <c r="M127">
        <v>1</v>
      </c>
    </row>
    <row r="128" spans="1:13" x14ac:dyDescent="0.25">
      <c r="A128" s="2">
        <v>46209</v>
      </c>
      <c r="B128" s="1" t="str">
        <f ca="1">IF(Información1[[#This Row],[Fecha]]='Ajuste de fechas'!$A$2,"Día actual","Día anterior")</f>
        <v>Día actual</v>
      </c>
      <c r="C128" t="s">
        <v>39</v>
      </c>
      <c r="D128" t="s">
        <v>40</v>
      </c>
      <c r="E128" t="s">
        <v>275</v>
      </c>
      <c r="F128" t="s">
        <v>10</v>
      </c>
      <c r="G128" t="s">
        <v>67</v>
      </c>
      <c r="H128" t="s">
        <v>8</v>
      </c>
      <c r="I128" t="s">
        <v>7</v>
      </c>
      <c r="J128" t="s">
        <v>36</v>
      </c>
      <c r="K128" t="s">
        <v>63</v>
      </c>
      <c r="L128" t="s">
        <v>24</v>
      </c>
      <c r="M128">
        <v>1</v>
      </c>
    </row>
    <row r="129" spans="1:13" x14ac:dyDescent="0.25">
      <c r="A129" s="2">
        <v>46209</v>
      </c>
      <c r="B129" s="1" t="str">
        <f ca="1">IF(Información1[[#This Row],[Fecha]]='Ajuste de fechas'!$A$2,"Día actual","Día anterior")</f>
        <v>Día actual</v>
      </c>
      <c r="C129" t="s">
        <v>39</v>
      </c>
      <c r="D129" t="s">
        <v>40</v>
      </c>
      <c r="E129" t="s">
        <v>276</v>
      </c>
      <c r="F129" t="s">
        <v>10</v>
      </c>
      <c r="G129" t="s">
        <v>88</v>
      </c>
      <c r="H129" t="s">
        <v>8</v>
      </c>
      <c r="I129" t="s">
        <v>7</v>
      </c>
      <c r="J129" t="s">
        <v>36</v>
      </c>
      <c r="K129" t="s">
        <v>63</v>
      </c>
      <c r="L129" t="s">
        <v>24</v>
      </c>
      <c r="M129">
        <v>1</v>
      </c>
    </row>
    <row r="130" spans="1:13" x14ac:dyDescent="0.25">
      <c r="A130" s="2">
        <v>46209</v>
      </c>
      <c r="B130" s="1" t="str">
        <f ca="1">IF(Información1[[#This Row],[Fecha]]='Ajuste de fechas'!$A$2,"Día actual","Día anterior")</f>
        <v>Día actual</v>
      </c>
      <c r="C130" t="s">
        <v>39</v>
      </c>
      <c r="D130" t="s">
        <v>40</v>
      </c>
      <c r="E130" t="s">
        <v>276</v>
      </c>
      <c r="F130" t="s">
        <v>9</v>
      </c>
      <c r="G130" t="s">
        <v>88</v>
      </c>
      <c r="H130" t="s">
        <v>8</v>
      </c>
      <c r="I130" t="s">
        <v>7</v>
      </c>
      <c r="J130" t="s">
        <v>34</v>
      </c>
      <c r="K130" t="s">
        <v>63</v>
      </c>
      <c r="L130" t="s">
        <v>24</v>
      </c>
      <c r="M130">
        <v>1</v>
      </c>
    </row>
    <row r="131" spans="1:13" x14ac:dyDescent="0.25">
      <c r="A131" s="2">
        <v>46209</v>
      </c>
      <c r="B131" s="1" t="str">
        <f ca="1">IF(Información1[[#This Row],[Fecha]]='Ajuste de fechas'!$A$2,"Día actual","Día anterior")</f>
        <v>Día actual</v>
      </c>
      <c r="C131" t="s">
        <v>39</v>
      </c>
      <c r="D131" t="s">
        <v>40</v>
      </c>
      <c r="E131" t="s">
        <v>277</v>
      </c>
      <c r="F131" t="s">
        <v>10</v>
      </c>
      <c r="G131" t="s">
        <v>278</v>
      </c>
      <c r="H131" t="s">
        <v>8</v>
      </c>
      <c r="I131" t="s">
        <v>7</v>
      </c>
      <c r="J131" t="s">
        <v>36</v>
      </c>
      <c r="K131" t="s">
        <v>63</v>
      </c>
      <c r="L131" t="s">
        <v>24</v>
      </c>
      <c r="M131">
        <v>1</v>
      </c>
    </row>
    <row r="132" spans="1:13" x14ac:dyDescent="0.25">
      <c r="A132" s="2">
        <v>46209</v>
      </c>
      <c r="B132" s="1" t="str">
        <f ca="1">IF(Información1[[#This Row],[Fecha]]='Ajuste de fechas'!$A$2,"Día actual","Día anterior")</f>
        <v>Día actual</v>
      </c>
      <c r="C132" t="s">
        <v>39</v>
      </c>
      <c r="D132" t="s">
        <v>40</v>
      </c>
      <c r="E132" t="s">
        <v>279</v>
      </c>
      <c r="F132" t="s">
        <v>13</v>
      </c>
      <c r="G132" t="s">
        <v>280</v>
      </c>
      <c r="H132" t="s">
        <v>8</v>
      </c>
      <c r="I132" t="s">
        <v>7</v>
      </c>
      <c r="J132" t="s">
        <v>13</v>
      </c>
      <c r="K132" t="s">
        <v>63</v>
      </c>
      <c r="L132" t="s">
        <v>24</v>
      </c>
      <c r="M132">
        <v>1</v>
      </c>
    </row>
    <row r="133" spans="1:13" x14ac:dyDescent="0.25">
      <c r="A133" s="2">
        <v>46209</v>
      </c>
      <c r="B133" s="1" t="str">
        <f ca="1">IF(Información1[[#This Row],[Fecha]]='Ajuste de fechas'!$A$2,"Día actual","Día anterior")</f>
        <v>Día actual</v>
      </c>
      <c r="C133" t="s">
        <v>39</v>
      </c>
      <c r="D133" t="s">
        <v>40</v>
      </c>
      <c r="E133" t="s">
        <v>281</v>
      </c>
      <c r="F133" t="s">
        <v>10</v>
      </c>
      <c r="G133" t="s">
        <v>103</v>
      </c>
      <c r="H133" t="s">
        <v>8</v>
      </c>
      <c r="I133" t="s">
        <v>7</v>
      </c>
      <c r="J133" t="s">
        <v>36</v>
      </c>
      <c r="K133" t="s">
        <v>63</v>
      </c>
      <c r="L133" t="s">
        <v>24</v>
      </c>
      <c r="M133">
        <v>1</v>
      </c>
    </row>
    <row r="134" spans="1:13" x14ac:dyDescent="0.25">
      <c r="A134" s="2">
        <v>46209</v>
      </c>
      <c r="B134" s="1" t="str">
        <f ca="1">IF(Información1[[#This Row],[Fecha]]='Ajuste de fechas'!$A$2,"Día actual","Día anterior")</f>
        <v>Día actual</v>
      </c>
      <c r="C134" t="s">
        <v>39</v>
      </c>
      <c r="D134" t="s">
        <v>40</v>
      </c>
      <c r="E134" t="s">
        <v>42</v>
      </c>
      <c r="F134" t="s">
        <v>10</v>
      </c>
      <c r="G134" t="s">
        <v>46</v>
      </c>
      <c r="H134" t="s">
        <v>8</v>
      </c>
      <c r="I134" t="s">
        <v>7</v>
      </c>
      <c r="J134" t="s">
        <v>36</v>
      </c>
      <c r="K134" t="s">
        <v>63</v>
      </c>
      <c r="L134" t="s">
        <v>24</v>
      </c>
      <c r="M134">
        <v>1</v>
      </c>
    </row>
    <row r="135" spans="1:13" x14ac:dyDescent="0.25">
      <c r="A135" s="2">
        <v>46209</v>
      </c>
      <c r="B135" s="1" t="str">
        <f ca="1">IF(Información1[[#This Row],[Fecha]]='Ajuste de fechas'!$A$2,"Día actual","Día anterior")</f>
        <v>Día actual</v>
      </c>
      <c r="C135" t="s">
        <v>39</v>
      </c>
      <c r="D135" t="s">
        <v>40</v>
      </c>
      <c r="E135" t="s">
        <v>282</v>
      </c>
      <c r="F135" t="s">
        <v>10</v>
      </c>
      <c r="G135" t="s">
        <v>134</v>
      </c>
      <c r="H135" t="s">
        <v>8</v>
      </c>
      <c r="I135" t="s">
        <v>14</v>
      </c>
      <c r="J135" t="s">
        <v>36</v>
      </c>
      <c r="K135" t="s">
        <v>63</v>
      </c>
      <c r="L135" t="s">
        <v>25</v>
      </c>
      <c r="M135">
        <v>1</v>
      </c>
    </row>
    <row r="136" spans="1:13" x14ac:dyDescent="0.25">
      <c r="A136" s="2">
        <v>46209</v>
      </c>
      <c r="B136" s="1" t="str">
        <f ca="1">IF(Información1[[#This Row],[Fecha]]='Ajuste de fechas'!$A$2,"Día actual","Día anterior")</f>
        <v>Día actual</v>
      </c>
      <c r="C136" t="s">
        <v>39</v>
      </c>
      <c r="D136" t="s">
        <v>40</v>
      </c>
      <c r="E136" t="s">
        <v>283</v>
      </c>
      <c r="F136" t="s">
        <v>49</v>
      </c>
      <c r="G136" t="s">
        <v>284</v>
      </c>
      <c r="H136" t="s">
        <v>8</v>
      </c>
      <c r="I136" t="s">
        <v>7</v>
      </c>
      <c r="J136" t="s">
        <v>34</v>
      </c>
      <c r="K136" t="s">
        <v>63</v>
      </c>
      <c r="L136" t="s">
        <v>24</v>
      </c>
      <c r="M136">
        <v>1</v>
      </c>
    </row>
    <row r="137" spans="1:13" x14ac:dyDescent="0.25">
      <c r="A137" s="2">
        <v>46209</v>
      </c>
      <c r="B137" s="1" t="str">
        <f ca="1">IF(Información1[[#This Row],[Fecha]]='Ajuste de fechas'!$A$2,"Día actual","Día anterior")</f>
        <v>Día actual</v>
      </c>
      <c r="C137" t="s">
        <v>39</v>
      </c>
      <c r="D137" t="s">
        <v>40</v>
      </c>
      <c r="E137" t="s">
        <v>285</v>
      </c>
      <c r="F137" t="s">
        <v>49</v>
      </c>
      <c r="G137" t="s">
        <v>286</v>
      </c>
      <c r="H137" t="s">
        <v>8</v>
      </c>
      <c r="I137" t="s">
        <v>7</v>
      </c>
      <c r="J137" t="s">
        <v>34</v>
      </c>
      <c r="K137" t="s">
        <v>63</v>
      </c>
      <c r="L137" t="s">
        <v>24</v>
      </c>
      <c r="M137">
        <v>1</v>
      </c>
    </row>
    <row r="138" spans="1:13" x14ac:dyDescent="0.25">
      <c r="A138" s="2">
        <v>46209</v>
      </c>
      <c r="B138" s="1" t="str">
        <f ca="1">IF(Información1[[#This Row],[Fecha]]='Ajuste de fechas'!$A$2,"Día actual","Día anterior")</f>
        <v>Día actual</v>
      </c>
      <c r="C138" t="s">
        <v>39</v>
      </c>
      <c r="D138" t="s">
        <v>40</v>
      </c>
      <c r="E138" t="s">
        <v>287</v>
      </c>
      <c r="F138" t="s">
        <v>49</v>
      </c>
      <c r="G138" t="s">
        <v>165</v>
      </c>
      <c r="H138" t="s">
        <v>8</v>
      </c>
      <c r="I138" t="s">
        <v>7</v>
      </c>
      <c r="J138" t="s">
        <v>34</v>
      </c>
      <c r="K138" t="s">
        <v>63</v>
      </c>
      <c r="L138" t="s">
        <v>24</v>
      </c>
      <c r="M138">
        <v>1</v>
      </c>
    </row>
    <row r="139" spans="1:13" x14ac:dyDescent="0.25">
      <c r="A139" s="2">
        <v>46209</v>
      </c>
      <c r="B139" s="1" t="str">
        <f ca="1">IF(Información1[[#This Row],[Fecha]]='Ajuste de fechas'!$A$2,"Día actual","Día anterior")</f>
        <v>Día actual</v>
      </c>
      <c r="C139" t="s">
        <v>39</v>
      </c>
      <c r="D139" t="s">
        <v>40</v>
      </c>
      <c r="E139" t="s">
        <v>288</v>
      </c>
      <c r="F139" t="s">
        <v>15</v>
      </c>
      <c r="G139" t="s">
        <v>289</v>
      </c>
      <c r="H139" t="s">
        <v>8</v>
      </c>
      <c r="I139" t="s">
        <v>7</v>
      </c>
      <c r="J139" t="s">
        <v>34</v>
      </c>
      <c r="K139" t="s">
        <v>63</v>
      </c>
      <c r="L139" t="s">
        <v>24</v>
      </c>
      <c r="M139">
        <v>1</v>
      </c>
    </row>
    <row r="140" spans="1:13" x14ac:dyDescent="0.25">
      <c r="A140" s="2">
        <v>46209</v>
      </c>
      <c r="B140" s="1" t="str">
        <f ca="1">IF(Información1[[#This Row],[Fecha]]='Ajuste de fechas'!$A$2,"Día actual","Día anterior")</f>
        <v>Día actual</v>
      </c>
      <c r="C140" t="s">
        <v>43</v>
      </c>
      <c r="D140" t="s">
        <v>44</v>
      </c>
      <c r="E140" t="s">
        <v>290</v>
      </c>
      <c r="F140" t="s">
        <v>291</v>
      </c>
      <c r="G140" t="s">
        <v>292</v>
      </c>
      <c r="H140" t="s">
        <v>38</v>
      </c>
      <c r="I140" t="s">
        <v>7</v>
      </c>
      <c r="J140" t="s">
        <v>115</v>
      </c>
      <c r="K140" t="s">
        <v>293</v>
      </c>
      <c r="L140" t="s">
        <v>25</v>
      </c>
      <c r="M140">
        <v>1</v>
      </c>
    </row>
    <row r="141" spans="1:13" x14ac:dyDescent="0.25">
      <c r="A141" s="2">
        <v>46209</v>
      </c>
      <c r="B141" s="1" t="str">
        <f ca="1">IF(Información1[[#This Row],[Fecha]]='Ajuste de fechas'!$A$2,"Día actual","Día anterior")</f>
        <v>Día actual</v>
      </c>
      <c r="C141" t="s">
        <v>43</v>
      </c>
      <c r="D141" t="s">
        <v>44</v>
      </c>
      <c r="E141" t="s">
        <v>294</v>
      </c>
      <c r="F141" t="s">
        <v>9</v>
      </c>
      <c r="G141" t="s">
        <v>246</v>
      </c>
      <c r="H141" t="s">
        <v>38</v>
      </c>
      <c r="I141" t="s">
        <v>14</v>
      </c>
      <c r="J141" t="s">
        <v>34</v>
      </c>
      <c r="K141" t="s">
        <v>45</v>
      </c>
      <c r="L141" t="s">
        <v>25</v>
      </c>
      <c r="M141">
        <v>1</v>
      </c>
    </row>
    <row r="142" spans="1:13" x14ac:dyDescent="0.25">
      <c r="A142" s="2">
        <v>46209</v>
      </c>
      <c r="B142" s="1" t="str">
        <f ca="1">IF(Información1[[#This Row],[Fecha]]='Ajuste de fechas'!$A$2,"Día actual","Día anterior")</f>
        <v>Día actual</v>
      </c>
      <c r="C142" t="s">
        <v>43</v>
      </c>
      <c r="D142" t="s">
        <v>44</v>
      </c>
      <c r="E142" t="s">
        <v>295</v>
      </c>
      <c r="F142" t="s">
        <v>13</v>
      </c>
      <c r="G142" t="s">
        <v>246</v>
      </c>
      <c r="H142" t="s">
        <v>38</v>
      </c>
      <c r="I142" t="s">
        <v>7</v>
      </c>
      <c r="J142" t="s">
        <v>13</v>
      </c>
      <c r="K142" t="s">
        <v>45</v>
      </c>
      <c r="L142" t="s">
        <v>24</v>
      </c>
      <c r="M142">
        <v>1</v>
      </c>
    </row>
    <row r="143" spans="1:13" x14ac:dyDescent="0.25">
      <c r="A143" s="2">
        <v>46209</v>
      </c>
      <c r="B143" s="1" t="str">
        <f ca="1">IF(Información1[[#This Row],[Fecha]]='Ajuste de fechas'!$A$2,"Día actual","Día anterior")</f>
        <v>Día actual</v>
      </c>
      <c r="C143" t="s">
        <v>43</v>
      </c>
      <c r="D143" t="s">
        <v>44</v>
      </c>
      <c r="E143" t="s">
        <v>296</v>
      </c>
      <c r="F143" t="s">
        <v>37</v>
      </c>
      <c r="G143" t="s">
        <v>297</v>
      </c>
      <c r="H143" t="s">
        <v>38</v>
      </c>
      <c r="I143" t="s">
        <v>7</v>
      </c>
      <c r="J143" t="s">
        <v>34</v>
      </c>
      <c r="K143" t="s">
        <v>45</v>
      </c>
      <c r="L143" t="s">
        <v>26</v>
      </c>
      <c r="M143">
        <v>1</v>
      </c>
    </row>
    <row r="144" spans="1:13" x14ac:dyDescent="0.25">
      <c r="A144" s="2">
        <v>46209</v>
      </c>
      <c r="B144" s="1" t="str">
        <f ca="1">IF(Información1[[#This Row],[Fecha]]='Ajuste de fechas'!$A$2,"Día actual","Día anterior")</f>
        <v>Día actual</v>
      </c>
      <c r="C144" t="s">
        <v>43</v>
      </c>
      <c r="D144" t="s">
        <v>44</v>
      </c>
      <c r="E144" t="s">
        <v>298</v>
      </c>
      <c r="F144" t="s">
        <v>11</v>
      </c>
      <c r="G144" t="s">
        <v>299</v>
      </c>
      <c r="H144" t="s">
        <v>38</v>
      </c>
      <c r="I144" t="s">
        <v>7</v>
      </c>
      <c r="J144" t="s">
        <v>35</v>
      </c>
      <c r="K144" t="s">
        <v>45</v>
      </c>
      <c r="L144" t="s">
        <v>24</v>
      </c>
      <c r="M144">
        <v>1</v>
      </c>
    </row>
    <row r="145" spans="1:13" x14ac:dyDescent="0.25">
      <c r="A145" s="2">
        <v>46209</v>
      </c>
      <c r="B145" s="1" t="str">
        <f ca="1">IF(Información1[[#This Row],[Fecha]]='Ajuste de fechas'!$A$2,"Día actual","Día anterior")</f>
        <v>Día actual</v>
      </c>
      <c r="C145" t="s">
        <v>43</v>
      </c>
      <c r="D145" t="s">
        <v>44</v>
      </c>
      <c r="E145" t="s">
        <v>300</v>
      </c>
      <c r="F145" t="s">
        <v>9</v>
      </c>
      <c r="G145" t="s">
        <v>89</v>
      </c>
      <c r="H145" t="s">
        <v>38</v>
      </c>
      <c r="I145" t="s">
        <v>7</v>
      </c>
      <c r="J145" t="s">
        <v>34</v>
      </c>
      <c r="K145" t="s">
        <v>45</v>
      </c>
      <c r="L145" t="s">
        <v>24</v>
      </c>
      <c r="M145">
        <v>1</v>
      </c>
    </row>
    <row r="146" spans="1:13" x14ac:dyDescent="0.25">
      <c r="A146" s="2">
        <v>46209</v>
      </c>
      <c r="B146" s="1" t="str">
        <f ca="1">IF(Información1[[#This Row],[Fecha]]='Ajuste de fechas'!$A$2,"Día actual","Día anterior")</f>
        <v>Día actual</v>
      </c>
      <c r="C146" t="s">
        <v>43</v>
      </c>
      <c r="D146" t="s">
        <v>44</v>
      </c>
      <c r="E146" t="s">
        <v>301</v>
      </c>
      <c r="F146" t="s">
        <v>291</v>
      </c>
      <c r="G146" t="s">
        <v>292</v>
      </c>
      <c r="H146" t="s">
        <v>38</v>
      </c>
      <c r="I146" t="s">
        <v>7</v>
      </c>
      <c r="J146" t="s">
        <v>115</v>
      </c>
      <c r="K146" t="s">
        <v>45</v>
      </c>
      <c r="L146" t="s">
        <v>25</v>
      </c>
      <c r="M146">
        <v>1</v>
      </c>
    </row>
    <row r="147" spans="1:13" x14ac:dyDescent="0.25">
      <c r="A147" s="2">
        <v>46209</v>
      </c>
      <c r="B147" s="1" t="str">
        <f ca="1">IF(Información1[[#This Row],[Fecha]]='Ajuste de fechas'!$A$2,"Día actual","Día anterior")</f>
        <v>Día actual</v>
      </c>
      <c r="C147" t="s">
        <v>43</v>
      </c>
      <c r="D147" t="s">
        <v>44</v>
      </c>
      <c r="E147" t="s">
        <v>302</v>
      </c>
      <c r="F147" t="s">
        <v>10</v>
      </c>
      <c r="G147" t="s">
        <v>46</v>
      </c>
      <c r="H147" t="s">
        <v>38</v>
      </c>
      <c r="I147" t="s">
        <v>7</v>
      </c>
      <c r="J147" t="s">
        <v>36</v>
      </c>
      <c r="K147" t="s">
        <v>45</v>
      </c>
      <c r="L147" t="s">
        <v>24</v>
      </c>
      <c r="M147">
        <v>1</v>
      </c>
    </row>
    <row r="148" spans="1:13" x14ac:dyDescent="0.25">
      <c r="A148" s="2">
        <v>46209</v>
      </c>
      <c r="B148" s="1" t="str">
        <f ca="1">IF(Información1[[#This Row],[Fecha]]='Ajuste de fechas'!$A$2,"Día actual","Día anterior")</f>
        <v>Día actual</v>
      </c>
      <c r="C148" t="s">
        <v>43</v>
      </c>
      <c r="D148" t="s">
        <v>44</v>
      </c>
      <c r="E148" t="s">
        <v>303</v>
      </c>
      <c r="F148" t="s">
        <v>17</v>
      </c>
      <c r="G148" t="s">
        <v>304</v>
      </c>
      <c r="H148" t="s">
        <v>38</v>
      </c>
      <c r="I148" t="s">
        <v>7</v>
      </c>
      <c r="J148" t="s">
        <v>34</v>
      </c>
      <c r="K148" t="s">
        <v>45</v>
      </c>
      <c r="L148" t="s">
        <v>26</v>
      </c>
      <c r="M148">
        <v>1</v>
      </c>
    </row>
    <row r="149" spans="1:13" x14ac:dyDescent="0.25">
      <c r="A149" s="2">
        <v>46209</v>
      </c>
      <c r="B149" s="1" t="str">
        <f ca="1">IF(Información1[[#This Row],[Fecha]]='Ajuste de fechas'!$A$2,"Día actual","Día anterior")</f>
        <v>Día actual</v>
      </c>
      <c r="C149" t="s">
        <v>43</v>
      </c>
      <c r="D149" t="s">
        <v>44</v>
      </c>
      <c r="E149" t="s">
        <v>305</v>
      </c>
      <c r="F149" t="s">
        <v>73</v>
      </c>
      <c r="G149" t="s">
        <v>306</v>
      </c>
      <c r="H149" t="s">
        <v>38</v>
      </c>
      <c r="I149" t="s">
        <v>7</v>
      </c>
      <c r="J149" t="s">
        <v>34</v>
      </c>
      <c r="K149" t="s">
        <v>45</v>
      </c>
      <c r="L149" t="s">
        <v>26</v>
      </c>
      <c r="M149">
        <v>1</v>
      </c>
    </row>
    <row r="150" spans="1:13" x14ac:dyDescent="0.25">
      <c r="A150" s="2">
        <v>46209</v>
      </c>
      <c r="B150" s="1" t="str">
        <f ca="1">IF(Información1[[#This Row],[Fecha]]='Ajuste de fechas'!$A$2,"Día actual","Día anterior")</f>
        <v>Día actual</v>
      </c>
      <c r="C150" t="s">
        <v>43</v>
      </c>
      <c r="D150" t="s">
        <v>44</v>
      </c>
      <c r="E150" t="s">
        <v>256</v>
      </c>
      <c r="F150" t="s">
        <v>37</v>
      </c>
      <c r="G150" t="s">
        <v>257</v>
      </c>
      <c r="H150" t="s">
        <v>38</v>
      </c>
      <c r="I150" t="s">
        <v>7</v>
      </c>
      <c r="J150" t="s">
        <v>34</v>
      </c>
      <c r="K150" t="s">
        <v>45</v>
      </c>
      <c r="L150" t="s">
        <v>26</v>
      </c>
      <c r="M150">
        <v>1</v>
      </c>
    </row>
    <row r="151" spans="1:13" x14ac:dyDescent="0.25">
      <c r="A151" s="2">
        <v>46209</v>
      </c>
      <c r="B151" s="1" t="str">
        <f ca="1">IF(Información1[[#This Row],[Fecha]]='Ajuste de fechas'!$A$2,"Día actual","Día anterior")</f>
        <v>Día actual</v>
      </c>
      <c r="C151" t="s">
        <v>43</v>
      </c>
      <c r="D151" t="s">
        <v>44</v>
      </c>
      <c r="E151" t="s">
        <v>307</v>
      </c>
      <c r="F151" t="s">
        <v>15</v>
      </c>
      <c r="G151" t="s">
        <v>170</v>
      </c>
      <c r="H151" t="s">
        <v>38</v>
      </c>
      <c r="I151" t="s">
        <v>7</v>
      </c>
      <c r="J151" t="s">
        <v>34</v>
      </c>
      <c r="K151" t="s">
        <v>45</v>
      </c>
      <c r="L151" t="s">
        <v>26</v>
      </c>
      <c r="M151">
        <v>1</v>
      </c>
    </row>
    <row r="152" spans="1:13" x14ac:dyDescent="0.25">
      <c r="A152" s="2">
        <v>46209</v>
      </c>
      <c r="B152" s="1" t="str">
        <f ca="1">IF(Información1[[#This Row],[Fecha]]='Ajuste de fechas'!$A$2,"Día actual","Día anterior")</f>
        <v>Día actual</v>
      </c>
      <c r="C152" t="s">
        <v>43</v>
      </c>
      <c r="D152" t="s">
        <v>44</v>
      </c>
      <c r="E152" t="s">
        <v>308</v>
      </c>
      <c r="F152" t="s">
        <v>9</v>
      </c>
      <c r="G152" t="s">
        <v>309</v>
      </c>
      <c r="H152" t="s">
        <v>38</v>
      </c>
      <c r="I152" t="s">
        <v>7</v>
      </c>
      <c r="J152" t="s">
        <v>34</v>
      </c>
      <c r="K152" t="s">
        <v>45</v>
      </c>
      <c r="L152" t="s">
        <v>24</v>
      </c>
      <c r="M152">
        <v>1</v>
      </c>
    </row>
    <row r="153" spans="1:13" x14ac:dyDescent="0.25">
      <c r="A153" s="2">
        <v>46209</v>
      </c>
      <c r="B153" s="1" t="str">
        <f ca="1">IF(Información1[[#This Row],[Fecha]]='Ajuste de fechas'!$A$2,"Día actual","Día anterior")</f>
        <v>Día actual</v>
      </c>
      <c r="C153" t="s">
        <v>93</v>
      </c>
      <c r="D153" t="s">
        <v>94</v>
      </c>
      <c r="E153" t="s">
        <v>310</v>
      </c>
      <c r="F153" t="s">
        <v>10</v>
      </c>
      <c r="G153" t="s">
        <v>311</v>
      </c>
      <c r="H153" t="s">
        <v>8</v>
      </c>
      <c r="I153" t="s">
        <v>7</v>
      </c>
      <c r="J153" t="s">
        <v>36</v>
      </c>
      <c r="K153" t="s">
        <v>95</v>
      </c>
      <c r="L153" t="s">
        <v>24</v>
      </c>
      <c r="M153">
        <v>1</v>
      </c>
    </row>
    <row r="154" spans="1:13" x14ac:dyDescent="0.25">
      <c r="A154" s="2">
        <v>46209</v>
      </c>
      <c r="B154" s="1" t="str">
        <f ca="1">IF(Información1[[#This Row],[Fecha]]='Ajuste de fechas'!$A$2,"Día actual","Día anterior")</f>
        <v>Día actual</v>
      </c>
      <c r="C154" t="s">
        <v>93</v>
      </c>
      <c r="D154" t="s">
        <v>94</v>
      </c>
      <c r="E154" t="s">
        <v>312</v>
      </c>
      <c r="F154" t="s">
        <v>10</v>
      </c>
      <c r="G154" t="s">
        <v>201</v>
      </c>
      <c r="H154" t="s">
        <v>8</v>
      </c>
      <c r="I154" t="s">
        <v>7</v>
      </c>
      <c r="J154" t="s">
        <v>36</v>
      </c>
      <c r="K154" t="s">
        <v>95</v>
      </c>
      <c r="L154" t="s">
        <v>24</v>
      </c>
      <c r="M154">
        <v>1</v>
      </c>
    </row>
    <row r="155" spans="1:13" x14ac:dyDescent="0.25">
      <c r="A155" s="2">
        <v>46209</v>
      </c>
      <c r="B155" s="1" t="str">
        <f ca="1">IF(Información1[[#This Row],[Fecha]]='Ajuste de fechas'!$A$2,"Día actual","Día anterior")</f>
        <v>Día actual</v>
      </c>
      <c r="C155" t="s">
        <v>93</v>
      </c>
      <c r="D155" t="s">
        <v>94</v>
      </c>
      <c r="E155" t="s">
        <v>313</v>
      </c>
      <c r="F155" t="s">
        <v>49</v>
      </c>
      <c r="G155" t="s">
        <v>82</v>
      </c>
      <c r="H155" t="s">
        <v>8</v>
      </c>
      <c r="I155" t="s">
        <v>14</v>
      </c>
      <c r="J155" t="s">
        <v>34</v>
      </c>
      <c r="K155" t="s">
        <v>48</v>
      </c>
      <c r="L155" t="s">
        <v>25</v>
      </c>
      <c r="M155">
        <v>1</v>
      </c>
    </row>
    <row r="156" spans="1:13" x14ac:dyDescent="0.25">
      <c r="A156" s="2">
        <v>46209</v>
      </c>
      <c r="B156" s="1" t="str">
        <f ca="1">IF(Información1[[#This Row],[Fecha]]='Ajuste de fechas'!$A$2,"Día actual","Día anterior")</f>
        <v>Día actual</v>
      </c>
      <c r="C156" t="s">
        <v>74</v>
      </c>
      <c r="D156" t="s">
        <v>75</v>
      </c>
      <c r="E156" t="s">
        <v>314</v>
      </c>
      <c r="F156" t="s">
        <v>73</v>
      </c>
      <c r="G156" t="s">
        <v>306</v>
      </c>
      <c r="H156" t="s">
        <v>8</v>
      </c>
      <c r="I156" t="s">
        <v>7</v>
      </c>
      <c r="J156" t="s">
        <v>34</v>
      </c>
      <c r="K156" t="s">
        <v>76</v>
      </c>
      <c r="L156" t="s">
        <v>26</v>
      </c>
      <c r="M156">
        <v>1</v>
      </c>
    </row>
    <row r="157" spans="1:13" x14ac:dyDescent="0.25">
      <c r="A157" s="2">
        <v>46209</v>
      </c>
      <c r="B157" s="1" t="str">
        <f ca="1">IF(Información1[[#This Row],[Fecha]]='Ajuste de fechas'!$A$2,"Día actual","Día anterior")</f>
        <v>Día actual</v>
      </c>
      <c r="C157" t="s">
        <v>97</v>
      </c>
      <c r="D157" t="s">
        <v>98</v>
      </c>
      <c r="E157" t="s">
        <v>315</v>
      </c>
      <c r="F157" t="s">
        <v>13</v>
      </c>
      <c r="G157" t="s">
        <v>316</v>
      </c>
      <c r="H157" t="s">
        <v>8</v>
      </c>
      <c r="I157" t="s">
        <v>7</v>
      </c>
      <c r="J157" t="s">
        <v>13</v>
      </c>
      <c r="K157" t="s">
        <v>99</v>
      </c>
      <c r="L157" t="s">
        <v>24</v>
      </c>
      <c r="M157">
        <v>1</v>
      </c>
    </row>
    <row r="158" spans="1:13" x14ac:dyDescent="0.25">
      <c r="A158" s="2">
        <v>46209</v>
      </c>
      <c r="B158" s="1" t="str">
        <f ca="1">IF(Información1[[#This Row],[Fecha]]='Ajuste de fechas'!$A$2,"Día actual","Día anterior")</f>
        <v>Día actual</v>
      </c>
      <c r="C158" t="s">
        <v>97</v>
      </c>
      <c r="D158" t="s">
        <v>98</v>
      </c>
      <c r="E158" t="s">
        <v>317</v>
      </c>
      <c r="F158" t="s">
        <v>10</v>
      </c>
      <c r="G158" t="s">
        <v>103</v>
      </c>
      <c r="H158" t="s">
        <v>8</v>
      </c>
      <c r="I158" t="s">
        <v>14</v>
      </c>
      <c r="J158" t="s">
        <v>36</v>
      </c>
      <c r="K158" t="s">
        <v>99</v>
      </c>
      <c r="L158" t="s">
        <v>24</v>
      </c>
      <c r="M158">
        <v>1</v>
      </c>
    </row>
    <row r="159" spans="1:13" x14ac:dyDescent="0.25">
      <c r="A159" s="2">
        <v>46209</v>
      </c>
      <c r="B159" s="1" t="str">
        <f ca="1">IF(Información1[[#This Row],[Fecha]]='Ajuste de fechas'!$A$2,"Día actual","Día anterior")</f>
        <v>Día actual</v>
      </c>
      <c r="C159" t="s">
        <v>97</v>
      </c>
      <c r="D159" t="s">
        <v>98</v>
      </c>
      <c r="E159" t="s">
        <v>318</v>
      </c>
      <c r="F159" t="s">
        <v>30</v>
      </c>
      <c r="G159" t="s">
        <v>103</v>
      </c>
      <c r="H159" t="s">
        <v>8</v>
      </c>
      <c r="I159" t="s">
        <v>7</v>
      </c>
      <c r="J159" t="s">
        <v>13</v>
      </c>
      <c r="K159" t="s">
        <v>99</v>
      </c>
      <c r="L159" t="s">
        <v>24</v>
      </c>
      <c r="M159">
        <v>1</v>
      </c>
    </row>
    <row r="160" spans="1:13" x14ac:dyDescent="0.25">
      <c r="A160" s="2">
        <v>46209</v>
      </c>
      <c r="B160" s="1" t="str">
        <f ca="1">IF(Información1[[#This Row],[Fecha]]='Ajuste de fechas'!$A$2,"Día actual","Día anterior")</f>
        <v>Día actual</v>
      </c>
      <c r="C160" t="s">
        <v>97</v>
      </c>
      <c r="D160" t="s">
        <v>98</v>
      </c>
      <c r="E160" t="s">
        <v>319</v>
      </c>
      <c r="F160" t="s">
        <v>9</v>
      </c>
      <c r="G160" t="s">
        <v>320</v>
      </c>
      <c r="H160" t="s">
        <v>8</v>
      </c>
      <c r="I160" t="s">
        <v>7</v>
      </c>
      <c r="J160" t="s">
        <v>34</v>
      </c>
      <c r="K160" t="s">
        <v>99</v>
      </c>
      <c r="L160" t="s">
        <v>24</v>
      </c>
      <c r="M160">
        <v>1</v>
      </c>
    </row>
    <row r="161" spans="1:13" x14ac:dyDescent="0.25">
      <c r="A161" s="2">
        <v>46209</v>
      </c>
      <c r="B161" s="1" t="str">
        <f ca="1">IF(Información1[[#This Row],[Fecha]]='Ajuste de fechas'!$A$2,"Día actual","Día anterior")</f>
        <v>Día actual</v>
      </c>
      <c r="C161" t="s">
        <v>97</v>
      </c>
      <c r="D161" t="s">
        <v>98</v>
      </c>
      <c r="E161" t="s">
        <v>321</v>
      </c>
      <c r="F161" t="s">
        <v>30</v>
      </c>
      <c r="G161" t="s">
        <v>320</v>
      </c>
      <c r="H161" t="s">
        <v>8</v>
      </c>
      <c r="I161" t="s">
        <v>7</v>
      </c>
      <c r="J161" t="s">
        <v>13</v>
      </c>
      <c r="K161" t="s">
        <v>99</v>
      </c>
      <c r="L161" t="s">
        <v>24</v>
      </c>
      <c r="M161">
        <v>1</v>
      </c>
    </row>
    <row r="162" spans="1:13" x14ac:dyDescent="0.25">
      <c r="A162" s="2">
        <v>46209</v>
      </c>
      <c r="B162" s="1" t="str">
        <f ca="1">IF(Información1[[#This Row],[Fecha]]='Ajuste de fechas'!$A$2,"Día actual","Día anterior")</f>
        <v>Día actual</v>
      </c>
      <c r="C162" t="s">
        <v>97</v>
      </c>
      <c r="D162" t="s">
        <v>98</v>
      </c>
      <c r="E162" t="s">
        <v>322</v>
      </c>
      <c r="F162" t="s">
        <v>185</v>
      </c>
      <c r="G162" t="s">
        <v>323</v>
      </c>
      <c r="H162" t="s">
        <v>8</v>
      </c>
      <c r="I162" t="s">
        <v>7</v>
      </c>
      <c r="J162" t="s">
        <v>34</v>
      </c>
      <c r="K162" t="s">
        <v>99</v>
      </c>
      <c r="L162" t="s">
        <v>26</v>
      </c>
      <c r="M162">
        <v>1</v>
      </c>
    </row>
    <row r="163" spans="1:13" x14ac:dyDescent="0.25">
      <c r="A163" s="2">
        <v>46209</v>
      </c>
      <c r="B163" s="1" t="str">
        <f ca="1">IF(Información1[[#This Row],[Fecha]]='Ajuste de fechas'!$A$2,"Día actual","Día anterior")</f>
        <v>Día actual</v>
      </c>
      <c r="C163" t="s">
        <v>97</v>
      </c>
      <c r="D163" t="s">
        <v>98</v>
      </c>
      <c r="E163" t="s">
        <v>324</v>
      </c>
      <c r="F163" t="s">
        <v>30</v>
      </c>
      <c r="G163" t="s">
        <v>239</v>
      </c>
      <c r="H163" t="s">
        <v>8</v>
      </c>
      <c r="I163" t="s">
        <v>7</v>
      </c>
      <c r="J163" t="s">
        <v>13</v>
      </c>
      <c r="K163" t="s">
        <v>99</v>
      </c>
      <c r="L163" t="s">
        <v>24</v>
      </c>
      <c r="M163">
        <v>1</v>
      </c>
    </row>
    <row r="164" spans="1:13" x14ac:dyDescent="0.25">
      <c r="A164" s="2">
        <v>46209</v>
      </c>
      <c r="B164" s="1" t="str">
        <f ca="1">IF(Información1[[#This Row],[Fecha]]='Ajuste de fechas'!$A$2,"Día actual","Día anterior")</f>
        <v>Día actual</v>
      </c>
      <c r="C164" t="s">
        <v>97</v>
      </c>
      <c r="D164" t="s">
        <v>98</v>
      </c>
      <c r="E164" t="s">
        <v>274</v>
      </c>
      <c r="F164" t="s">
        <v>15</v>
      </c>
      <c r="G164" t="s">
        <v>170</v>
      </c>
      <c r="H164" t="s">
        <v>8</v>
      </c>
      <c r="I164" t="s">
        <v>7</v>
      </c>
      <c r="J164" t="s">
        <v>34</v>
      </c>
      <c r="K164" t="s">
        <v>99</v>
      </c>
      <c r="L164" t="s">
        <v>26</v>
      </c>
      <c r="M164">
        <v>1</v>
      </c>
    </row>
    <row r="165" spans="1:13" x14ac:dyDescent="0.25">
      <c r="A165" s="2">
        <v>46209</v>
      </c>
      <c r="B165" s="1" t="str">
        <f ca="1">IF(Información1[[#This Row],[Fecha]]='Ajuste de fechas'!$A$2,"Día actual","Día anterior")</f>
        <v>Día actual</v>
      </c>
      <c r="C165" t="s">
        <v>97</v>
      </c>
      <c r="D165" t="s">
        <v>98</v>
      </c>
      <c r="E165" t="s">
        <v>314</v>
      </c>
      <c r="F165" t="s">
        <v>73</v>
      </c>
      <c r="G165" t="s">
        <v>306</v>
      </c>
      <c r="H165" t="s">
        <v>8</v>
      </c>
      <c r="I165" t="s">
        <v>7</v>
      </c>
      <c r="J165" t="s">
        <v>34</v>
      </c>
      <c r="K165" t="s">
        <v>99</v>
      </c>
      <c r="L165" t="s">
        <v>26</v>
      </c>
      <c r="M165">
        <v>1</v>
      </c>
    </row>
    <row r="166" spans="1:13" x14ac:dyDescent="0.25">
      <c r="A166" s="2">
        <v>46209</v>
      </c>
      <c r="B166" s="1" t="str">
        <f ca="1">IF(Información1[[#This Row],[Fecha]]='Ajuste de fechas'!$A$2,"Día actual","Día anterior")</f>
        <v>Día actual</v>
      </c>
      <c r="C166" t="s">
        <v>97</v>
      </c>
      <c r="D166" t="s">
        <v>98</v>
      </c>
      <c r="E166" t="s">
        <v>296</v>
      </c>
      <c r="F166" t="s">
        <v>37</v>
      </c>
      <c r="G166" t="s">
        <v>297</v>
      </c>
      <c r="H166" t="s">
        <v>8</v>
      </c>
      <c r="I166" t="s">
        <v>7</v>
      </c>
      <c r="J166" t="s">
        <v>34</v>
      </c>
      <c r="K166" t="s">
        <v>99</v>
      </c>
      <c r="L166" t="s">
        <v>26</v>
      </c>
      <c r="M166">
        <v>1</v>
      </c>
    </row>
    <row r="167" spans="1:13" x14ac:dyDescent="0.25">
      <c r="A167" s="2">
        <v>46209</v>
      </c>
      <c r="B167" s="1" t="str">
        <f ca="1">IF(Información1[[#This Row],[Fecha]]='Ajuste de fechas'!$A$2,"Día actual","Día anterior")</f>
        <v>Día actual</v>
      </c>
      <c r="C167" t="s">
        <v>97</v>
      </c>
      <c r="D167" t="s">
        <v>98</v>
      </c>
      <c r="E167" t="s">
        <v>325</v>
      </c>
      <c r="F167" t="s">
        <v>12</v>
      </c>
      <c r="G167" t="s">
        <v>326</v>
      </c>
      <c r="H167" t="s">
        <v>8</v>
      </c>
      <c r="I167" t="s">
        <v>7</v>
      </c>
      <c r="J167" t="s">
        <v>34</v>
      </c>
      <c r="K167" t="s">
        <v>99</v>
      </c>
      <c r="L167" t="s">
        <v>26</v>
      </c>
      <c r="M167">
        <v>1</v>
      </c>
    </row>
    <row r="168" spans="1:13" x14ac:dyDescent="0.25">
      <c r="A168" s="2">
        <v>46209</v>
      </c>
      <c r="B168" s="1" t="str">
        <f ca="1">IF(Información1[[#This Row],[Fecha]]='Ajuste de fechas'!$A$2,"Día actual","Día anterior")</f>
        <v>Día actual</v>
      </c>
      <c r="C168" t="s">
        <v>97</v>
      </c>
      <c r="D168" t="s">
        <v>98</v>
      </c>
      <c r="E168" t="s">
        <v>327</v>
      </c>
      <c r="F168" t="s">
        <v>12</v>
      </c>
      <c r="G168" t="s">
        <v>328</v>
      </c>
      <c r="H168" t="s">
        <v>8</v>
      </c>
      <c r="I168" t="s">
        <v>7</v>
      </c>
      <c r="J168" t="s">
        <v>34</v>
      </c>
      <c r="K168" t="s">
        <v>99</v>
      </c>
      <c r="L168" t="s">
        <v>26</v>
      </c>
      <c r="M168">
        <v>1</v>
      </c>
    </row>
    <row r="169" spans="1:13" x14ac:dyDescent="0.25">
      <c r="A169" s="2">
        <v>46209</v>
      </c>
      <c r="B169" s="1" t="str">
        <f ca="1">IF(Información1[[#This Row],[Fecha]]='Ajuste de fechas'!$A$2,"Día actual","Día anterior")</f>
        <v>Día actual</v>
      </c>
      <c r="C169" t="s">
        <v>93</v>
      </c>
      <c r="D169" t="s">
        <v>100</v>
      </c>
      <c r="E169" t="s">
        <v>329</v>
      </c>
      <c r="F169" t="s">
        <v>11</v>
      </c>
      <c r="G169" t="s">
        <v>330</v>
      </c>
      <c r="H169" t="s">
        <v>8</v>
      </c>
      <c r="I169" t="s">
        <v>7</v>
      </c>
      <c r="J169" t="s">
        <v>35</v>
      </c>
      <c r="K169" t="s">
        <v>95</v>
      </c>
      <c r="L169" t="s">
        <v>24</v>
      </c>
      <c r="M169">
        <v>1</v>
      </c>
    </row>
    <row r="170" spans="1:13" x14ac:dyDescent="0.25">
      <c r="A170" s="2">
        <v>46209</v>
      </c>
      <c r="B170" s="1" t="str">
        <f ca="1">IF(Información1[[#This Row],[Fecha]]='Ajuste de fechas'!$A$2,"Día actual","Día anterior")</f>
        <v>Día actual</v>
      </c>
      <c r="C170" t="s">
        <v>93</v>
      </c>
      <c r="D170" t="s">
        <v>100</v>
      </c>
      <c r="E170" t="s">
        <v>331</v>
      </c>
      <c r="F170" t="s">
        <v>11</v>
      </c>
      <c r="G170" t="s">
        <v>332</v>
      </c>
      <c r="H170" t="s">
        <v>8</v>
      </c>
      <c r="I170" t="s">
        <v>7</v>
      </c>
      <c r="J170" t="s">
        <v>35</v>
      </c>
      <c r="K170" t="s">
        <v>95</v>
      </c>
      <c r="L170" t="s">
        <v>24</v>
      </c>
      <c r="M170">
        <v>1</v>
      </c>
    </row>
    <row r="171" spans="1:13" x14ac:dyDescent="0.25">
      <c r="A171" s="2">
        <v>46209</v>
      </c>
      <c r="B171" s="1" t="str">
        <f ca="1">IF(Información1[[#This Row],[Fecha]]='Ajuste de fechas'!$A$2,"Día actual","Día anterior")</f>
        <v>Día actual</v>
      </c>
      <c r="C171" t="s">
        <v>93</v>
      </c>
      <c r="D171" t="s">
        <v>100</v>
      </c>
      <c r="E171" t="s">
        <v>333</v>
      </c>
      <c r="F171" t="s">
        <v>10</v>
      </c>
      <c r="G171" t="s">
        <v>334</v>
      </c>
      <c r="H171" t="s">
        <v>8</v>
      </c>
      <c r="I171" t="s">
        <v>7</v>
      </c>
      <c r="J171" t="s">
        <v>36</v>
      </c>
      <c r="K171" t="s">
        <v>95</v>
      </c>
      <c r="L171" t="s">
        <v>24</v>
      </c>
      <c r="M171">
        <v>1</v>
      </c>
    </row>
    <row r="172" spans="1:13" x14ac:dyDescent="0.25">
      <c r="A172" s="2">
        <v>46209</v>
      </c>
      <c r="B172" s="1" t="str">
        <f ca="1">IF(Información1[[#This Row],[Fecha]]='Ajuste de fechas'!$A$2,"Día actual","Día anterior")</f>
        <v>Día actual</v>
      </c>
      <c r="C172" t="s">
        <v>93</v>
      </c>
      <c r="D172" t="s">
        <v>100</v>
      </c>
      <c r="E172" t="s">
        <v>335</v>
      </c>
      <c r="F172" t="s">
        <v>17</v>
      </c>
      <c r="G172" t="s">
        <v>336</v>
      </c>
      <c r="H172" t="s">
        <v>8</v>
      </c>
      <c r="I172" t="s">
        <v>7</v>
      </c>
      <c r="J172" t="s">
        <v>34</v>
      </c>
      <c r="K172" t="s">
        <v>95</v>
      </c>
      <c r="L172" t="s">
        <v>26</v>
      </c>
      <c r="M172">
        <v>1</v>
      </c>
    </row>
    <row r="173" spans="1:13" x14ac:dyDescent="0.25">
      <c r="A173" s="2">
        <v>46209</v>
      </c>
      <c r="B173" s="1" t="str">
        <f ca="1">IF(Información1[[#This Row],[Fecha]]='Ajuste de fechas'!$A$2,"Día actual","Día anterior")</f>
        <v>Día actual</v>
      </c>
      <c r="C173" t="s">
        <v>93</v>
      </c>
      <c r="D173" t="s">
        <v>100</v>
      </c>
      <c r="E173" t="s">
        <v>337</v>
      </c>
      <c r="F173" t="s">
        <v>9</v>
      </c>
      <c r="G173" t="s">
        <v>338</v>
      </c>
      <c r="H173" t="s">
        <v>8</v>
      </c>
      <c r="I173" t="s">
        <v>7</v>
      </c>
      <c r="J173" t="s">
        <v>34</v>
      </c>
      <c r="K173" t="s">
        <v>86</v>
      </c>
      <c r="L173" t="s">
        <v>24</v>
      </c>
      <c r="M173">
        <v>1</v>
      </c>
    </row>
    <row r="174" spans="1:13" x14ac:dyDescent="0.25">
      <c r="A174" s="2">
        <v>46209</v>
      </c>
      <c r="B174" s="1" t="str">
        <f ca="1">IF(Información1[[#This Row],[Fecha]]='Ajuste de fechas'!$A$2,"Día actual","Día anterior")</f>
        <v>Día actual</v>
      </c>
      <c r="C174" t="s">
        <v>93</v>
      </c>
      <c r="D174" t="s">
        <v>100</v>
      </c>
      <c r="E174" t="s">
        <v>339</v>
      </c>
      <c r="F174" t="s">
        <v>340</v>
      </c>
      <c r="G174" t="s">
        <v>338</v>
      </c>
      <c r="H174" t="s">
        <v>8</v>
      </c>
      <c r="I174" t="s">
        <v>7</v>
      </c>
      <c r="J174" t="s">
        <v>34</v>
      </c>
      <c r="K174" t="s">
        <v>86</v>
      </c>
      <c r="L174" t="s">
        <v>24</v>
      </c>
      <c r="M174">
        <v>1</v>
      </c>
    </row>
    <row r="175" spans="1:13" x14ac:dyDescent="0.25">
      <c r="A175" s="2">
        <v>46209</v>
      </c>
      <c r="B175" s="1" t="str">
        <f ca="1">IF(Información1[[#This Row],[Fecha]]='Ajuste de fechas'!$A$2,"Día actual","Día anterior")</f>
        <v>Día actual</v>
      </c>
      <c r="C175" t="s">
        <v>93</v>
      </c>
      <c r="D175" t="s">
        <v>100</v>
      </c>
      <c r="E175" t="s">
        <v>341</v>
      </c>
      <c r="F175" t="s">
        <v>87</v>
      </c>
      <c r="G175" t="s">
        <v>338</v>
      </c>
      <c r="H175" t="s">
        <v>8</v>
      </c>
      <c r="I175" t="s">
        <v>7</v>
      </c>
      <c r="J175" t="s">
        <v>34</v>
      </c>
      <c r="K175" t="s">
        <v>86</v>
      </c>
      <c r="L175" t="s">
        <v>24</v>
      </c>
      <c r="M175">
        <v>1</v>
      </c>
    </row>
    <row r="176" spans="1:13" x14ac:dyDescent="0.25">
      <c r="A176" s="2">
        <v>46209</v>
      </c>
      <c r="B176" s="1" t="str">
        <f ca="1">IF(Información1[[#This Row],[Fecha]]='Ajuste de fechas'!$A$2,"Día actual","Día anterior")</f>
        <v>Día actual</v>
      </c>
      <c r="C176" t="s">
        <v>93</v>
      </c>
      <c r="D176" t="s">
        <v>100</v>
      </c>
      <c r="E176" t="s">
        <v>342</v>
      </c>
      <c r="F176" t="s">
        <v>169</v>
      </c>
      <c r="G176" t="s">
        <v>338</v>
      </c>
      <c r="H176" t="s">
        <v>8</v>
      </c>
      <c r="I176" t="s">
        <v>7</v>
      </c>
      <c r="J176" t="s">
        <v>34</v>
      </c>
      <c r="K176" t="s">
        <v>86</v>
      </c>
      <c r="L176" t="s">
        <v>24</v>
      </c>
      <c r="M176">
        <v>1</v>
      </c>
    </row>
    <row r="177" spans="1:13" x14ac:dyDescent="0.25">
      <c r="A177" s="2">
        <v>46209</v>
      </c>
      <c r="B177" s="1" t="str">
        <f ca="1">IF(Información1[[#This Row],[Fecha]]='Ajuste de fechas'!$A$2,"Día actual","Día anterior")</f>
        <v>Día actual</v>
      </c>
      <c r="C177" t="s">
        <v>93</v>
      </c>
      <c r="D177" t="s">
        <v>100</v>
      </c>
      <c r="E177" t="s">
        <v>343</v>
      </c>
      <c r="F177" t="s">
        <v>37</v>
      </c>
      <c r="G177" t="s">
        <v>344</v>
      </c>
      <c r="H177" t="s">
        <v>8</v>
      </c>
      <c r="I177" t="s">
        <v>7</v>
      </c>
      <c r="J177" t="s">
        <v>34</v>
      </c>
      <c r="K177" t="s">
        <v>86</v>
      </c>
      <c r="L177" t="s">
        <v>26</v>
      </c>
      <c r="M177">
        <v>1</v>
      </c>
    </row>
    <row r="178" spans="1:13" x14ac:dyDescent="0.25">
      <c r="A178" s="2">
        <v>46209</v>
      </c>
      <c r="B178" s="1" t="str">
        <f ca="1">IF(Información1[[#This Row],[Fecha]]='Ajuste de fechas'!$A$2,"Día actual","Día anterior")</f>
        <v>Día actual</v>
      </c>
      <c r="C178" t="s">
        <v>93</v>
      </c>
      <c r="D178" t="s">
        <v>100</v>
      </c>
      <c r="E178" t="s">
        <v>345</v>
      </c>
      <c r="F178" t="s">
        <v>185</v>
      </c>
      <c r="G178" t="s">
        <v>338</v>
      </c>
      <c r="H178" t="s">
        <v>8</v>
      </c>
      <c r="I178" t="s">
        <v>7</v>
      </c>
      <c r="J178" t="s">
        <v>34</v>
      </c>
      <c r="K178" t="s">
        <v>86</v>
      </c>
      <c r="L178" t="s">
        <v>24</v>
      </c>
      <c r="M17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3" sqref="A3"/>
    </sheetView>
  </sheetViews>
  <sheetFormatPr baseColWidth="10" defaultRowHeight="15" x14ac:dyDescent="0.25"/>
  <sheetData>
    <row r="1" spans="1:2" x14ac:dyDescent="0.25">
      <c r="A1" t="s">
        <v>28</v>
      </c>
      <c r="B1" t="s">
        <v>29</v>
      </c>
    </row>
    <row r="2" spans="1:2" x14ac:dyDescent="0.25">
      <c r="A2" s="2">
        <f ca="1">TODAY()</f>
        <v>46209</v>
      </c>
      <c r="B2" s="2">
        <f ca="1">A2-1</f>
        <v>46208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2026-07-06T22:59:42Z</dcterms:modified>
</cp:coreProperties>
</file>