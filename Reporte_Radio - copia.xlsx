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Users\vivie\ReporteRadio\"/>
    </mc:Choice>
  </mc:AlternateContent>
  <xr:revisionPtr revIDLastSave="0" documentId="13_ncr:1_{4801C09D-F254-4E15-943C-2BD7416D254F}" xr6:coauthVersionLast="47" xr6:coauthVersionMax="47" xr10:uidLastSave="{00000000-0000-0000-0000-000000000000}"/>
  <bookViews>
    <workbookView xWindow="-120" yWindow="-120" windowWidth="29040" windowHeight="15720" xr2:uid="{5C0A4D95-2E1C-48C6-BF5D-23E5933B5009}"/>
  </bookViews>
  <sheets>
    <sheet name="Radio" sheetId="2" r:id="rId1"/>
    <sheet name="Ajuste de fechas" sheetId="1" r:id="rId2"/>
  </sheets>
  <definedNames>
    <definedName name="DatosExternos_1" localSheetId="0" hidden="1">Radio!$A$1:$M$188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1" l="1"/>
  <c r="B2" i="2" l="1"/>
  <c r="B3" i="2"/>
  <c r="B4" i="2"/>
  <c r="B5"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155" i="2"/>
  <c r="B158" i="2"/>
  <c r="B161" i="2"/>
  <c r="B164" i="2"/>
  <c r="B166" i="2"/>
  <c r="B168" i="2"/>
  <c r="B171" i="2"/>
  <c r="B174" i="2"/>
  <c r="B177" i="2"/>
  <c r="B178" i="2"/>
  <c r="B181" i="2"/>
  <c r="B184" i="2"/>
  <c r="B187"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143" i="2"/>
  <c r="B146" i="2"/>
  <c r="B148" i="2"/>
  <c r="B150" i="2"/>
  <c r="B151" i="2"/>
  <c r="B153" i="2"/>
  <c r="B156" i="2"/>
  <c r="B160" i="2"/>
  <c r="B163" i="2"/>
  <c r="B165" i="2"/>
  <c r="B170" i="2"/>
  <c r="B172" i="2"/>
  <c r="B176" i="2"/>
  <c r="B180" i="2"/>
  <c r="B183" i="2"/>
  <c r="B186" i="2"/>
  <c r="B188"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4" i="2"/>
  <c r="B145" i="2"/>
  <c r="B147" i="2"/>
  <c r="B149" i="2"/>
  <c r="B152" i="2"/>
  <c r="B154" i="2"/>
  <c r="B157" i="2"/>
  <c r="B159" i="2"/>
  <c r="B162" i="2"/>
  <c r="B167" i="2"/>
  <c r="B169" i="2"/>
  <c r="B173" i="2"/>
  <c r="B175" i="2"/>
  <c r="B179" i="2"/>
  <c r="B182" i="2"/>
  <c r="B185" i="2"/>
  <c r="B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7D715E1-36B2-47EA-B501-47E1D0A03250}" keepAlive="1" name="Consulta - Información1" description="Conexión a la consulta 'Información1' en el libro." type="5" refreshedVersion="8" background="1" saveData="1">
    <dbPr connection="Provider=Microsoft.Mashup.OleDb.1;Data Source=$Workbook$;Location=Información1;Extended Properties=&quot;&quot;" command="SELECT * FROM [Información1]"/>
  </connection>
</connections>
</file>

<file path=xl/sharedStrings.xml><?xml version="1.0" encoding="utf-8"?>
<sst xmlns="http://schemas.openxmlformats.org/spreadsheetml/2006/main" count="1885" uniqueCount="341">
  <si>
    <t>Fecha</t>
  </si>
  <si>
    <t>Titular</t>
  </si>
  <si>
    <t>Dependencia</t>
  </si>
  <si>
    <t>Canal</t>
  </si>
  <si>
    <t>Tema</t>
  </si>
  <si>
    <t>Estatus</t>
  </si>
  <si>
    <t>Sipdus</t>
  </si>
  <si>
    <t>Informativa</t>
  </si>
  <si>
    <t>Radio local</t>
  </si>
  <si>
    <t>Segobh</t>
  </si>
  <si>
    <t>Ayuntamiento</t>
  </si>
  <si>
    <t>Presidencia</t>
  </si>
  <si>
    <t>SSPH</t>
  </si>
  <si>
    <t>Otros</t>
  </si>
  <si>
    <t>Negativa</t>
  </si>
  <si>
    <t>Gobernador</t>
  </si>
  <si>
    <t>Súper Stéreo 100.5 FM</t>
  </si>
  <si>
    <t>Planeación</t>
  </si>
  <si>
    <t>Día</t>
  </si>
  <si>
    <t>Radiodifusora</t>
  </si>
  <si>
    <t>Programa</t>
  </si>
  <si>
    <t>Clasificación</t>
  </si>
  <si>
    <t>Autor</t>
  </si>
  <si>
    <t>Género</t>
  </si>
  <si>
    <t>Noticia</t>
  </si>
  <si>
    <t>Opinión</t>
  </si>
  <si>
    <t>Boletín</t>
  </si>
  <si>
    <t>Recuento</t>
  </si>
  <si>
    <t>Día actual</t>
  </si>
  <si>
    <t>Día anterior</t>
  </si>
  <si>
    <t>Congreso</t>
  </si>
  <si>
    <t>OCSAD</t>
  </si>
  <si>
    <t>Alerta Meteorológica</t>
  </si>
  <si>
    <t>La Poderosa Tuxpan 93.1 FM</t>
  </si>
  <si>
    <t>NN Nuestras Noticias Zona Norte</t>
  </si>
  <si>
    <t>Liz Argüelles</t>
  </si>
  <si>
    <t>Gobierno del estado</t>
  </si>
  <si>
    <t>Presidencia de la República</t>
  </si>
  <si>
    <t>Alcaldías</t>
  </si>
  <si>
    <t>SEPH</t>
  </si>
  <si>
    <t>TV local</t>
  </si>
  <si>
    <t>Ultra 102.9 FM</t>
  </si>
  <si>
    <t>Ultra Noticias1</t>
  </si>
  <si>
    <t>PGJEH</t>
  </si>
  <si>
    <t>Vía telefónica el reporte de Bombero y Protección Civil con Abner Yáñez informa de las diversas emergencias reportadas por la ciudadanía y que fueron atendidas.</t>
  </si>
  <si>
    <t>Canal del Pueblo</t>
  </si>
  <si>
    <t>Vocales Radio</t>
  </si>
  <si>
    <t>Andrés Torres</t>
  </si>
  <si>
    <t>Auxilio a la ciudadanía</t>
  </si>
  <si>
    <t>Entrevista</t>
  </si>
  <si>
    <t>Radioescucha</t>
  </si>
  <si>
    <t>Semot</t>
  </si>
  <si>
    <t>Combate a la delincuencia</t>
  </si>
  <si>
    <t>Semarnath</t>
  </si>
  <si>
    <t>Positiva</t>
  </si>
  <si>
    <t>Acir 92.5 FM</t>
  </si>
  <si>
    <t>Panorama Informativo Pachuca</t>
  </si>
  <si>
    <t>Eulalio Larrieta</t>
  </si>
  <si>
    <t>Eulalio Larrieta agradece Hans Islas del ayuntamiento de Mineral de la Reforma , por su apoyo en pasar los reportes.</t>
  </si>
  <si>
    <t>Atención Ciudadana</t>
  </si>
  <si>
    <t>Eulalio Larrieta informa que Jorge Hernández del ayuntamiento de Pachuca, esta al pendiente de todos los reportes de la ciudadania del Municipio de Pachuca</t>
  </si>
  <si>
    <t>Eulalio Larrieta agradece a Edith Balderas de la Secretaria de Educación Pública.</t>
  </si>
  <si>
    <t>Eulalio Larrieta agradece a Jair Martínez de la SEGOBH, porque esta al pendiente de lo que se necesite y los reportes.</t>
  </si>
  <si>
    <t>Eulalio Larrieta agradece a Cristian Yahir Castañeda supervisor de la región Pachuca quien nos va atender los reportes que correspondan a la SEMOT</t>
  </si>
  <si>
    <t>Eulalio Larrieta agradece Paola García y Lic. Sarahi Pineda, por estar atentas a los mensajes de la ciudadanía y por atenderlos.</t>
  </si>
  <si>
    <t>Eulalio Larrieta agradece a Carlos Gamiño por estar al pendiente de temas</t>
  </si>
  <si>
    <t>Daniel Martínez</t>
  </si>
  <si>
    <t>Enfoque Regional Meridiano</t>
  </si>
  <si>
    <t>Jesús González</t>
  </si>
  <si>
    <t>Bienestar</t>
  </si>
  <si>
    <t>Turismo</t>
  </si>
  <si>
    <t>Mundial De Futbol</t>
  </si>
  <si>
    <t>Registro de celulares</t>
  </si>
  <si>
    <t>Relleno Sanitario</t>
  </si>
  <si>
    <t>Conservación Biodiversidad</t>
  </si>
  <si>
    <t>Inclusión</t>
  </si>
  <si>
    <t>Exigencia de obra</t>
  </si>
  <si>
    <t>Combate Al Huachicol</t>
  </si>
  <si>
    <t>Abasto De Agua</t>
  </si>
  <si>
    <t>Milton Cortés</t>
  </si>
  <si>
    <t>IEEH</t>
  </si>
  <si>
    <t>Enfoque Regional Matutino</t>
  </si>
  <si>
    <t>Turismo inclusivo</t>
  </si>
  <si>
    <t>Rodolfo López</t>
  </si>
  <si>
    <t>Alteración tarifa de transporte</t>
  </si>
  <si>
    <t>Asistencia de parto</t>
  </si>
  <si>
    <t>DIFH</t>
  </si>
  <si>
    <t>Centros De Acopio</t>
  </si>
  <si>
    <t>Radio Lobo 96.7 FM</t>
  </si>
  <si>
    <t>Enlace Noticias</t>
  </si>
  <si>
    <t>Gina Lorenzo</t>
  </si>
  <si>
    <t>Exigen seguridad</t>
  </si>
  <si>
    <t>Gobierno</t>
  </si>
  <si>
    <t>Mesas de acercamiento</t>
  </si>
  <si>
    <t>Alumno de la UTTT participará en programa para futuros líderes de México</t>
  </si>
  <si>
    <t>Movilidad Académica</t>
  </si>
  <si>
    <t>Muralismo</t>
  </si>
  <si>
    <t>El conductor Jesús Gonzalez recordo que la consulta popular fue aprobada por el Congreso de Hidalgo y será organizada por el Instituto Estatal Electoral del Estado de Hidalgo. Está programada para llevarse a cabo el 6 de junio de 2027, de manera simultánea con la jornada electoral y la ciudadanía responderá a la pregunta ¿deben prohibirse las corridas de toros en el estado de Hidalgo con las opciones sí o no?</t>
  </si>
  <si>
    <t>Tauromaquia</t>
  </si>
  <si>
    <t>La presidenta de la Comisión de Derechos Humanos del Estado de Hidalgo, Ana Karen Parra Bonilla, señaló que el organismo no puede, por el momento, impugnar el proceso de consulta popular relacionado con la permanencia o eventual prohibición de la tauromaquia aquí en el estado, al precisar que dicha acción no se encuentra dentro de sus facultades legales, AUDIO APOYO</t>
  </si>
  <si>
    <t>CDHEH</t>
  </si>
  <si>
    <t>Un joven de 16 años de edad resultó lesionado tras un incidente ocurrido operativo relámpago de la Policía Municipal de Tizayuca en el fraccionamiento Rancho Don Antonio Quma. El hecho es investigado por las autoridades. En redes sociales circuló un video en el que se observa el momento en que una patrulla municipal impacta una motocicleta en la que viajaba el adolescente, quien derrapa sobre la vialidad y posteriormente es llevado a una clínica con una posible fractura.Sobre lo ocurrido, el gobierno municipal de Tizayuca informó que elementos de tránsito marcaron el alto al conductor de la motocicleta al señalar que circulaba a exceso de velocidad, sin placas y sin el equipo de seguridad obligatorio. Según la versión oficial, el joven ignoró la indicación de detenerse, intentó escapar y perdió el control de la unidad, lo que provocó el derrape.</t>
  </si>
  <si>
    <t>Atropellamiento</t>
  </si>
  <si>
    <t>Elementos de la Secretaría de Seguridad Pública del Estado de Hidalgo (SSPH) detuvieron a un hombre identificado como presunto generador de violencia en la región de Tula de Allende, a quien le fueron aseguradas diversas dosis de presunta droga, un arma de fuego y cartuchos útiles.De acuerdo con información oficial, mediante trabajos de inteligencia operativa, personal del Centro de Control, Comando, Comunicaciones, Cómputo, Coordinación e Inteligencia (C5i) identificó a un objetivo prioritario que se desplazaba a bordo de una camioneta con vidrios polarizados.Tras obtener la información, agentes estatales implementaron acciones de búsqueda y localización en la colonia El Carmen, donde ubicaron la unidad circulando presuntamente a exceso de velocidad, motivo por el cual le marcaron el alto para efectuar una inspección preventiva.Durante la revisión, los oficiales localizaron un arma corta calibre 9 milímetros abastecida con cartuchos útiles, además de 166 dosis de una sustancia con características similares a la cocaína y 150 dosis de hierba verde con características propias de la marihuana.En total, las autoridades aseguraron 316 dosis de presunta droga, así como el arma de fuego y la camioneta en la que viajaba el individuo.</t>
  </si>
  <si>
    <t>Sobre el tema de la manifestacion de vecinos de la colonia Javier Rojo Gómez . El gobernador Julio Menchaca Salazar afirmó que su administración mantendrá el respeto al derecho de manifestación. Sin embargo, subrayó que también es responsabilidad del gobierno garantizar el libre tránsito de la población.</t>
  </si>
  <si>
    <t>Desalojo de manifestantes</t>
  </si>
  <si>
    <t>Hoy la Unidad de Pemex se encuentra frente a la presidencia municipal de Tula y en los siguientes días va a recorrer algunas comunidades. La directora de Salud Municipal de Tula, María Fernanda Sánchez Segura, informó sobre de los servicios que brindan la Unidad de Pemex y que es un servicio gratuito conjunto a la presidencia municipal y Pemex, AUDIO APOYO</t>
  </si>
  <si>
    <t>Atención médica</t>
  </si>
  <si>
    <t>El presidente municipal de Tula, Cristhian Martínez, anunció la rehabilitación del bulevar Refinería a cargo de PEMEX y el Gobierno de Hidalgo. AUDIO APOYO</t>
  </si>
  <si>
    <t>Rehabilitación Vial</t>
  </si>
  <si>
    <t>Especialistas del Instituto Nacional de Antropología e Historia (INAH) realizaron un importante hallazgo arqueológico durante trabajos de salvamento en Tula de Allende, Hidalgo, donde fue localizada una gran estructura prehispánica, además de relieves procedentes de la Pirámide B y diversos entierros humanos que aportan nueva información sobre la continuidad de la tradición tolteca.Las excavaciones, efectuadas en la colonia 16 de Enero, a pocos metros de la Zona Arqueológica de Tula, permitieron identificar un edificio de aproximadamente 3 mil 200 metros cuadrados, decorado con representaciones de chalchihuites, símbolo asociado con el agua y la fertilidad.Entre las piezas recuperadas destacan dos lápidas esculpidas con las imágenes de Tlahuizcalpantecuhtli y un felino, las cuales, según los investigadores, fueron retiradas en la antigüedad de la Pirámide B y reutilizadas por habitantes de la periferia para reforzar su vínculo con el legado tolteca.Los trabajos también revelaron una amplia variedad de materiales fechados entre los años 1100 y 1521 d.C., entre ellos cerámica, herramientas de hueso, cuentas ornamentales, sellos y figurillas relacionadas con prácticas rituales, AUDIO APOYO</t>
  </si>
  <si>
    <t>Vestigios Arqueológicos</t>
  </si>
  <si>
    <t>Al respecto de la Búsqueda de trabajadores de CFE, el gobernador Julio Menchaca confirmó que las labores de búsqueda permitieron localizar las camionetas en las que viajaban ambos trabajadores en Acaxochitlán, AUDIO APOYO JMS</t>
  </si>
  <si>
    <t>Búsqueda de personas</t>
  </si>
  <si>
    <t>El Comité de Seguridad mantiene coordinación con la Fiscalía General de la República y autoridades de Puebla para localizar a dos trabajadores de la Comisión Federal de Electricidad desaparecidos. Como parte de las investigaciones ya fueron ubicados dos vehículos en Acaxochitlá, mientras familiares de las víctimas realizaron una protesta para exigir avances en la investigación, AUDIO FAMILIARES</t>
  </si>
  <si>
    <t>Gabinete de Seguridad de Hidalgo consolida atención a emergencias mediante el C5i</t>
  </si>
  <si>
    <t>Reunión Gabinete De Seguridad</t>
  </si>
  <si>
    <t>Julio Menchaca promueve un Hidalgo incluyente, AUDIO APOYO</t>
  </si>
  <si>
    <t>Mundial Social deja inversión histórica y nuevos espacios para miles de jóvenes en Hidalgo, AUDIO APOYO</t>
  </si>
  <si>
    <t>Gobierno de Hidalgo refuerza acciones preventivas ante pronóstico de lluvias fuertes</t>
  </si>
  <si>
    <t>Prevención De Riesgos</t>
  </si>
  <si>
    <t>Con presupuesto récord, Hidalgo fortalece la protección de su riqueza natural, AUDIO APOYO</t>
  </si>
  <si>
    <t>Enfoque Regional Vespertino</t>
  </si>
  <si>
    <t>Vecinos de la colonia Rojo Gómez bloquearon los bulevares del Minero y Colosio en Pachuca para exigir la atención inmediata al colapso del drenaje en la vía Tierra y Libertad. Los manifestantes denunciaron que las aguas negras han ingresado a sus viviendas desde la primera inundación registrada el pasado 3 de junio, lo que representa un grave riesgo sanitario para las familias e infiltraciones en las paredes y pisos. Demandaron una solución urgente y la verificación de los daños materiales por parte de las autoridades municipales y de las dependencias estatales correspondientes. El cierre vial provocó molestias entre los automovilistas y requirió la presencia de elementos de la policía municipal. AUDIO APOYO</t>
  </si>
  <si>
    <t>Obra inconclusa</t>
  </si>
  <si>
    <t>Una fuerte movilización de los cuerpos de emergencia se registró tras el reporte de un incendio en un deshuesadero de autos ubicado sobre la carretera Mixquiahuala-Tlahuelilpan. El siniestro fue detectado durante la madrugada de este martes por recorridos de vigilancia de la policía municipal, al observar que el fuego consumía varios vehículos almacenados en el inmueble. Elementos de Protección Civil y Bomberos de Mixquiahuala acudieron prontamente al sitio para controlar las llamas y evitar que se propagaran a áreas aledañas. Hasta el momento, las causas que originaron el incendio siguen siendo desconocidas y, afortunadamente, no se reportan personas lesionadas.</t>
  </si>
  <si>
    <t>Control de incendios</t>
  </si>
  <si>
    <t>Pobladores y vecinos de Santa María Magdalena realizaron un bloqueo al transporte público en rechazo a un incremento irregular en la tarifa del servicio, el cual alcanzó un 40% en el costo del pasaje. El conductor del espacio, Rodolfo López Mera, señaló que esta situación de abusos tarifarios se ha repetido en municipios del Valle del Mezquital y de la región de Tula. Mientras que el gobierno estatal y la SEMOT autorizaron un ajuste del 20%, los concesionarios de esta localidad elevaron el pasaje de forma arbitraria de 12 a 17 pesos. Los manifestantes ya fueron atendidos por las autoridades correspondientes. Se reiteró el llamado a la ciudadanía a denunciar formalmente ante la SEMOT cualquier cobro excesivo y se recordó que las unidades deben exhibir los documentos oficiales del aviso de incremento, censurando prácticas como las de Actopan, donde los choferes imprimieron hojas improvisadas para imponer tarifas ilegales.</t>
  </si>
  <si>
    <t>Las labores de búsqueda continúan en la zona limítrofe entre Puebla e Hidalgo tras la desaparición de Marco Antonio Sarmiento García, de 60 años, y Adolfo López Saldaña, de 40 años, ambos trabajadores de la Comisión Federal de Electricidad (CFE). Los empleados perdieron comunicación mientras se trasladaban en una camioneta oficial para realizar labores en la red eléctrica; salieron desde el municipio de Huauchinango la mañana del pasado 26 de junio y dejaron de responder llamadas y mensajes. Al respecto, el gobernador Julio Menchaca Salazar informó que el director regional de la CFE mantiene contacto directo con él y que, según los reportes, se sabe que los trabajadores sufrieron la ponchadura de una llanta antes de perder el contacto. Confirmó que los vehículos ya fueron localizados y que la Secretaría de Seguridad Pública de Hidalgo trabaja en coordinación con las autoridades de Puebla para hacer todos los esfuerzos por localizarlos.</t>
  </si>
  <si>
    <t>El gobernador de Hidalgo, Julio Menchaca Salazar, hizo un llamado de solidaridad para apoyar a Venezuela tras los terremotos que devastaron varias regiones de ese país. Recordó que el pueblo de México ha sido beneficiario de la solidaridad de otras entidades y grupos sociales durante contingencias pasadas, como la vaguada del año pasado, por lo que invitó a corresponder el apoyo. Vinculado a este tema, un rescatista hidalguense de la brigada Topos Azteca forma parte de la misión humanitaria mexicana que ya brinda apoyo en la zona de desastre. El voluntario Miguel Jiménez, de profesión veterinario y originario del estado de Hidalgo, se integró al contingente internacional especializado en búsqueda y rescate en estructuras colapsadas con el objetivo de localizar sobrevivientes y ayudar a las comunidades afectadas por la emergencia. Se prevé que las tareas de rescate se extiendan por al menos tres meses. AUDIO DE APOYO</t>
  </si>
  <si>
    <t>En Hidalgo se fortalece la política de inclusión para las personas con discapacidad. Durante el Segundo Congreso de las Personas Servidoras Públicas con Discapacidad, el gobernador Julio Menchaca Salazar aseguró que la entidad impulsa acciones pioneras como el apoyo para personas cuidadoras y convenios para respaldar a este sector. El mandatario informó que en el estado viven cerca de 166,000 personas con discapacidad y destacó la creación de la primera Dirección General de Atención a este sector, además de infraestructura deportiva accesible para el desarrollo e inclusión. El estado se encuentra dentro de las entidades federativas que tienen convenio para el respaldo y apoyo a las becas con personas con discapacidad. En el encuentro, autoridades federales, estatales y municipales coincidieron en que el Congreso permitirá impulsar nuevas políticas públicas y mecanismos de seguimiento para garantizar una participación plena de este sector en la vida pública. AUDIO DE APOYO</t>
  </si>
  <si>
    <t>El Gabinete de Seguridad de Hidalgo destacó los resultados obtenidos a través del C5i en la atención y combate a la delincuencia. El gobernador Julio Menchaca Salazar informó que, mediante una videollamada al 911, un operador asistió con éxito el parto de una mujer, mientras que en otro caso se evitó que un hombre atentara contra su vida en Pachuca. Además, la videovigilancia permitió detener a tres presuntos responsables del robo de una motocicleta. En operativos contra el robo de hidrocarburo fueron asegurados hombres, más de 47,000 litros de combustible, vehículos y contenedores. También se detuvo a 17 personas por narcomenudeo y fue capturado un presunto generador de violencia con droga, un arma y una camioneta. En materia de protección civil, las lluvias provocaron la caída de bardas y diversos encharcamientos en diez municipios, por lo que el Comité Estatal de Emergencias permanece en sesión permanente para atender cualquier contingencia.</t>
  </si>
  <si>
    <t>Comenta el conductor Eulalio Larrieta, en Boulevard el Minero: “Necedad del transporte público”. Tiene una bahía para estacionarse y recoger pasaje, pero no les gusta; forzosamente lo hacen en arroyo vehicular. “AGUAS”, pueden ocasionar un accidente grave, esto frente a Soriana por el tutelar.Transporte público, una vuelta en ese punto.</t>
  </si>
  <si>
    <t>Queja transporte público</t>
  </si>
  <si>
    <t>Comenta el conductor Eulalio Larrita que le preguntan: "¿Qué pasó en el tianguis de venta de autos en las instalaciones de la feria?" Todos se creen dueños; tenemos que entender esa parte, solo les dan el chance de vender un rato, y resulta que ellos te tienen que designar qué puedes vender y qué no. Promotora de eventos de la feria… AGUAS CON ESO; SI AQUÍ ME LLEGAN CON UN DOCUMENTO QUE ME DIGA QUE LA OEEH ME ESTÁ DANDO LA CONCESIÓN, PUES NO PASA NADA, LES INFORMAMOS. Señores de las instalaciones de la feria, pónganse a chambear bien y no se metan en otras cosas.</t>
  </si>
  <si>
    <t>Tianguis de autos</t>
  </si>
  <si>
    <t>Radioescucha reporta falta de agua en el Mercado Francisco I.Madero</t>
  </si>
  <si>
    <t>Radioescucha solo para informar que ya tenemos agua desde las 2 de la madrugada en Nicolás Bravo y a primera hora vino Caasim a checar si teníamos agua</t>
  </si>
  <si>
    <t>Radioescucha pregunta ¿Si es verdad que dieron prologa para registrar los números de celulares?. Comenta conductor Eulalio Larrieta que si, que dieron una prologa y se tiene que registrar de acuerdo a la unicial de tu apellido</t>
  </si>
  <si>
    <t>La Comisión Nacional del Agua (Conagua), a través de su Dirección Local Hidalgo, realiza maniobras programadas y controladas de trasvase de la presa Javier Rojo Gómez a la presa Vicente Aguirre por medio de un desfogue controlado de hasta 1.9 metros cúbicos por segundo (m3/s).</t>
  </si>
  <si>
    <t>Desfogue De Presa</t>
  </si>
  <si>
    <t>El Instituto Mexicano del Seguro Social (IMSS) en Hidalgo recomienda a hombres acudir a revisión médica cada 2 años para identificar de manera oportuna alguna enfermedad relacionada con la próstata.La próstata es la glándula masculina que se encuentra debajo de la vejiga, produce el líquido que transporta los espermatozoides durante la eyaculación y rodea la uretra, que es el conducto por donde sale la orina.</t>
  </si>
  <si>
    <t>Prevención De Enfermedades</t>
  </si>
  <si>
    <t>En conferencia de prensa, Mónica Mixtega, titular de la Secretaría de Medio Ambiente y Recursos Naturales de Hidalgo, informó sobre los avances del proceso de saneamiento forestal que se lleva a cabo en el Parque Nacional El Chico, detalló que se han saneado 26.747 metros cúbicos de madera contaminada y se han intervenido hectáreas afectadas por el insecto descortezador. También se impulsa la reforestación del Parque Nacional El Chico, con una meta de 20.000 árboles de oyemel y especies nativas, de los cuales ya se han plantado 17.000 ejemplares, para fortalecer la restauración ambiental y la conservación de los servicios ecosistémicos, AUDIO APOYO</t>
  </si>
  <si>
    <t>Protección ambiental</t>
  </si>
  <si>
    <t>La Comisión de Búsqueda de Personas del Estado de Hidalgo emitió una fecha de localización para Yanely Tamar Torres Valencia, de 18 años de edad, a quien se le vio por última vez el pasado 26 de junio en el municipio de Tepeaculco, por lo que solicitan el apoyo del gobierno estatal y de la Secretaría de Seguridad Pública para revisar las cámaras que puedan aportar información para su localización. Yanely Camar Torres Valencia viste pantalón de mezclilla color azul, playera o sudadera color negro y tenis color azul con blanco, como señas particulares, usa brackets, tiene una cicatriz en la pierna izquierda, producida por una picadura de araña, y tiene cicatrices por cortadas en brazo y muñeca izquierda</t>
  </si>
  <si>
    <t>Ficha De Búsqueda</t>
  </si>
  <si>
    <t>Desde el pasado viernes 26 de junio, dos trabajadores de la Comisión Federal de Electricidad se encuentran en calidad de desaparecidos. De acuerdo con las fichas de búsqueda de la Comisión de Búsqueda del Estado de Hidalgo, fueron vistos por última vez en el municipio de Acaxochitlán, se trata de Adolfo López de 40 años de edad, y Marco Antonio Sarmiento de 60 años, quienes salieron a trabajar con dirección a Huautzinango, Puebla. La CFE emitió un comunicado en el que asegura colaborar con las autoridades y brindar todo el apoyo necesario a las familias de los trabajadores.Al respecto, el gobernador Julio Menchaca confirmó que las labores de búsqueda permitieron localizar las camionetas en las que viajaban ambos trabajadores en Acaxochitlán. En estas labores de localización participa la Comisión Nacional de Búsqueda, Comisión de Búsqueda de Puebla, SSPH, Policía Municipal de Acaxochitlán y Mineral de la Reforma, así como familiares de las personas reportadas como desaparecidas, AUDIO APOYO JMS</t>
  </si>
  <si>
    <t>Atención a la ciudadanía</t>
  </si>
  <si>
    <t>Eulalio Larrieta agradece a Jair Martínez de la SEGOBH, porque esta al pendiente de lo que se necesite y los reportes</t>
  </si>
  <si>
    <t>Vía telefónica Mónica Mixtega secretaria del Medio Ambiente y Recursos Naturales con el tema : Relleno Sanitario de Tula. La secretaria de Medio Ambiente y Recursos Naturales de Hidalgo, Mónica Mixtega Trejo, confirmó y aclaró el estatus definitivo del nuevo relleno sanitario de Tula de Allende. Explicó que este proyecto inició formalmente su solicitud en el año de 2024 y que su proceso de revisión integral tardó cerca de año y medio para el otorgamiento del permiso. Recalcó de manera contundente que este permiso no se otorgó de la noche a la mañana y que cuenta con diversos y exhaustivos estudios especializados dentro de su expediente, entre los que destacan el geológico, el geo-hidrológico, el topográfico, el geotécnico, así como los estudios de generación y composición, de generación de biogás y de generación de lixiviados. El objetivo prioritario de esta infraestructura es garantizar una disposición final segura de los residuos sólidos y prevenir de manera absoluta los riesgos tanto ambientales como sanitarios de la región. Finalmente, Mónica Mixtega lanzó una alerta sobre la alarmante situación ambiental de la zona, informando que mediante inspecciones derivadas de denuncias ciudadanas se tienen contabilizados al menos siete tiraderos a cielo abierto en la región de Tula. Denunció la gravedad de haber encontrado basureros clandestinos a escasamente 500 metros de los manantiales, lo cual representa una contaminación directa e inminente. Hizo una invitación urgente a los presidentes municipales de Tlaxcoapan, Atitalaquia, Tlahuelilpan y todas las localidades vecinas a concientizarse, coordinarse de manera regional para conjugar recursos o realizar rellenos municipales adecuados, advirtiendo que los municipios ya no pueden seguir operando con tiraderos a cielo abierto ni gastando dinero que no alcanza para trasladar sus residuos a otros estados.</t>
  </si>
  <si>
    <t>Entrevista pautada</t>
  </si>
  <si>
    <t>TV Cable hidalguense Canal 6</t>
  </si>
  <si>
    <t>Contigo Noticias</t>
  </si>
  <si>
    <t>Juan Carlos Santamaria</t>
  </si>
  <si>
    <t>Operador del 911 del C5i Hidalgo asiste parto mediante videollamada</t>
  </si>
  <si>
    <t>La Contraloría camina junto a la gente para vigilar las obras, fortalecer los valores y acompañar el desarrollo comunitario</t>
  </si>
  <si>
    <t>Contraloría</t>
  </si>
  <si>
    <t>Contraloría Social</t>
  </si>
  <si>
    <t>El Programa “Fortalecimiento de la Vinculación y Movilidad Laboral, Primero el Pueblo” apoya a 653 personas</t>
  </si>
  <si>
    <t>STPSH</t>
  </si>
  <si>
    <t>Movilidad laboral</t>
  </si>
  <si>
    <t>Inhjuve combate la delincuencia con arte mediante la Jornada Nacional de Murales y Mosaicos</t>
  </si>
  <si>
    <t>Abre Museo del Santo una exposición que todo aficionado a la lucha libre debe conocer. La muestra reúne máscaras originales utilizadas por destacados luchadores y rinde homenaje al legado del Enmascarado de Plata. Con una permanencia inicial de dos semanas, con posibilidad de extenderse debido al interés del público, este martes se inaugurará en el Museo del Santo la exposición "El Rostro del Combate: El Legado del Enmascarado de Plata", una extraordinaria colección de máscaras de lucha libre facilitada en comodato por un coleccionista tulancinguense. La exposición reúne máscaras originales utilizadas por destacados luchadores de Tulancingo, así como una réplica de la emblemática máscara de El Santo, en homenaje al máximo ícono de la lucha libre mexicana, cuyo legado trascendió el cuadrilátero para convertirse en un referente del cine y la cultura popular. Esta nueva exhibición representa un atractivo adicional para quienes visitan el Museo del Santo, recinto inaugurado el 23 de septiembre de 2009, que resguarda más de 200 piezas relacionadas con la vida y trayectoria del legendario luchador.</t>
  </si>
  <si>
    <t>Exposición cultural</t>
  </si>
  <si>
    <t>En cabina Diana Esmeralda Peña Canales, directora general de Inclusión para Personas con Discapacidad y Personas Cuidadoras en Tulancingo, informa que han dado capacitación 2 mil 600 personas sobre inclusión y detalla las labores que hacen en su área, como la otorgación de proyector productivos y vinculación laboral. Asimismo dijo que el 6 de junio a las 11 de la mañana en el Hotel La joya, junto con la Secretaría de Turismo se dará una plática sobre turismo incluyente.</t>
  </si>
  <si>
    <t>Estudiantes de la UPT destacan en Expo Regional Emprendedora</t>
  </si>
  <si>
    <t>Encuentro académico</t>
  </si>
  <si>
    <t>La secretaria de Medio Ambiente y Recursos Naturales de Hidalgo (Semarnath), Mónica Mixtega Trejo, aseguró que el nuevo relleno sanitario de Tula de Allende no será clausurado únicamente por el rechazo manifestado por un sector de la población, al sostener que el proyecto cumple con la totalidad de los requisitos establecidos en la normatividad ambiental. La funcionaria informó que la empresa responsable de la operación del sitio acreditó el cumplimiento del 100 por ciento de las disposiciones ambientales exigidas para este tipo de infraestructura. Entre las medidas implementadas, destacó la construcción de fosas para el manejo de lixiviados, sistemas de control de biogás y una ubicación que se encuentra a más de cuatro kilómetros de los manantiales de Cerro Colorado, distancia que supera ampliamente los 500 metros mínimos establecidos por la legislación aplicable. Mixtega Trejo manifestó su confianza en que el conflicto pueda resolverse mediante el diálogo y expresó su deseo de que la oposición al proyecto no responda a intereses políticos o económicos ajenos a la protección del medio ambiente. Asimismo, descartó la realización de una consulta ciudadana sobre la operación del relleno sanitario, al señalar que el proyecto ya fue ajustado para atender exclusivamente las necesidades del municipio de Tula de Allende, con una capacidad aproximada de 70 toneladas diarias de residuos sólidos urbanos.</t>
  </si>
  <si>
    <t>La Secretaría de Medio Ambiente y Recursos Naturales de Hidalgo (Semarnath) informó que en Tezontepec de Aldama existen dos tiraderos a cielo abierto y un sitio clandestino donde se realizan maniobras de manejo de residuos, situación que calificó como un problema ambiental que requiere atención inmediata. Durante la conferencia del Gobierno estatal, la titular de la dependencia, Mónica Mixtega Trejo, explicó que estos puntos se ubican en la cabecera municipal y en la comunidad de El Huitel, además de un tercer espacio donde presuntamente se realiza el traspaleo ilegal de basura. La funcionaria señaló que algunos de estos lugares operan cerca de viviendas, escuelas, comercios, manantiales y centros de salud, lo que incrementa el riesgo de contaminación para la población. Agregó que uno de los sitios carece de geomembrana y de sistemas para controlar los lixiviados y gases que generan los residuos. Las declaraciones se dieron en el contexto de la oposición que habitantes y autoridades de Tezontepec mantienen contra el relleno sanitario que se construye en Tula de Allende. Sobre este proyecto, Mixtega Trejo aseguró que la Semarnath solicitó a la Comisión Nacional del Agua la realización de estudios técnicos independientes para despejar las dudas sobre un posible impacto en los mantos acuíferos. Asimismo, indicó que la dependencia revisará los resultados de esos análisis y, en caso de que contradigan la información con la que se autorizó el proyecto, existe la posibilidad de revocar el permiso ambiental. Finalmente, la secretaria hizo un llamado a que el debate sobre el relleno sanitario se base en criterios técnicos y ambientales, al tiempo que insistió en que también deben atenderse los problemas de disposición final de residuos que actualmente enfrenta Tezontepec de Aldama.</t>
  </si>
  <si>
    <t>Daniel Martínez respecto al Parque fotovoltaico de Singuilucan dice que se contradicen en sus declaraciones el secretario de Desarrollo Económico, Carlos Henkel y el de Desarrollo Agropecuario, Napoleón González para justificar la construcción de este parque. Napoleón Gonzáles decía que las celdas iban a ser colocadas a una altura tal que no iba a afectar los cultivos y Carlos Henkel decía que en esa zona "Casi, casi, había cerro pelón".</t>
  </si>
  <si>
    <t>Saderh</t>
  </si>
  <si>
    <t>Parque Fotovoltaico</t>
  </si>
  <si>
    <t>Sedeco</t>
  </si>
  <si>
    <t>Ante la inconformidad de la población, un proyecto fotovoltaico que pretendía ocupar cerca de 196 hectáreas de terrenos agrícolas en Singuilucan, además de generar 118 megawatts de energía eléctrica y operar durante 25 años, quedará archivado luego de que la empresa Desarrollos Fotovoltaicos de México del Centro presentó el desistimiento de evaluación de impacto ambiental. Según la organización El maguey, la casa de todos, en Singuilucan, Epazoyucan y Zempoala hay siete proyectos más en diferentes fases, que ocuparían 3 mil hectáreas, con más de 3 millones de paneles solares. Los más avanzados son Saturno Solar, Akuwa Solar y Delfín Solar, de Dhamma Energy. De acuerdo a la Dirección General de Impacto y Riesgo Ambiental (DGIRA), Desarrollos Fotovoltaicos de México del Centro se desistió de la evaluación de impacto ambiental del proyecto Parque Solar Tulancingo. Durante noviembre de 2025, la empresa buscaba obtener la autorización; sin embargo, en el análisis técnico la DGIRA solicitó información adicional. Antes de que concluyera ese procedimiento, la firma optó por desistirse de la solicitud. El estudio detalla que el Parque Solar Tulancingo contemplaba una subestación de 230 kilovoltios y conectarse a la línea de transmisión Pachuca Potencia de la Comisión Federal de Sería construido en una superficie destinada a actividades agrícolas, por lo que la empresa sostenía que no sería necesario realizar el cambio de uso de suelo en terrenos forestales. Contemplaba un trienio para la preparación del sitio y construcción, operación de 25 años y dos más adicionales para el desmantelamiento y cierre. Habitantes, campesinos, colectivos ambientales y activistas de Singuilucan y Epazoyucan han protestado bajo el lema Marcha del Color del Maguey, ante la instalación de los parques fotovoltaicos. La primera movilización fue en Epazoyucan en octubre de 2024, una segunda en Pachuca en julio de 2025 y una tercera en la Ciudad de México en octubre del mismo año. Argumentaron que la instalación de paneles solares representa una amenaza para los ecosistemas locales, los magueyales y las actividades agrícolas que sostienen la economía familiar. Señalaron posibles afectaciones a la recarga de mantos acuíferos, así como al oficio tradicional de los tlachiqueros, actividad que consideran parte fundamental de la identidad regional.</t>
  </si>
  <si>
    <t>El próximo miércoles 1 de julio se dará a conocer quién será el encargado de la obra del Salón del Plenos del Congreso de Hidalgo, en cuyo proceso de licitación sólo se recibió una propuesta por más de 86.1 millones de pesos, sin contemplar IVA. La construcción tendrá un plazo de ejecución de un año. Pese a que tras la emisión de la licitación pública tres empresas se inscribieron en el proceso, dos de ellas acudieron a la junta de aclaraciones, y al final sólo una asistió a la presentación y apertura de proposiciones que es Grupo Arsan Constructores S.A. de C.V. La propuesta que hizo la empresa local con domicilio fiscal en Pachuca, fue por un monto de 86 millones 168 mil 30.5 pesos, la cual no incluye el Impuesto de Valor Agregado (IVA), que haría subir el costo de inversión a casi los 100 millones de pesos previamente anunciados por el presidente de la Junta de Gobierno del Congreso local, Andrés Velázquez Vázquez. En el acto de presentación de propuestas realizado el pasado fin de semana, se dio a conocer que será el 1 de julio cuando se realice el acto de fallo, donde los encargados de la licitación pública con número EO-SIPDUS-N33-2026 darán a conocer si la empresa mencionada cumple o no con las especificaciones y requerimientos.</t>
  </si>
  <si>
    <t>Salón De Plenos</t>
  </si>
  <si>
    <t>Habitantes de la colonia Javier Rojo Gómez, en Pachuca, sostuvieron un diálogo con autoridades estatales y municipales luego del bloqueo realizado este lunes sobre los bulevares Colosio y Minero, donde expusieron las afectaciones que han sufrido en sus viviendas a consecuencia de las recientes lluvias y de las obras de drenaje en la zona. Durante la reunión, los vecinos señalaron la presencia de humedad en paredes, filtraciones de agua, daños en cisternas y hundimientos en algunas vialidades, situación que, advirtieron, podría representar un riesgo mayor si continúan las precipitaciones. Los habitantes solicitaron una revisión técnica de las viviendas afectadas y exigieron garantías para la reparación de los daños, además de la conclusión de las obras pendientes para evitar nuevas inundaciones en este sector de la capital hidalguense. En respuesta, autoridades municipales explicaron que durante los trabajos realizados en la colonia se detectó que la infraestructura existente únicamente contaba con drenaje sanitario, por lo que fue necesario incorporar un sistema pluvial debido al volumen de escurrimientos que se registra en la zona. Asimismo, se informó que la red sanitaria presentaba problemas de capacidad derivados del crecimiento urbano, situación que, sumada a una conexión temporal entre ambos sistemas de drenaje, provocó el desbordamiento de aguas residuales que afectó calles y viviendas. as autoridades señalaron que la primera etapa de la obra ya fue concluida, mientras que una segunda fase, a cargo del gobierno estatal, deberá pasar por el proceso de licitación y contratación para concretar la conexión definitiva del dren pluvial. Durante el encuentro, los vecinos cuestionaron cuándo iniciarán los nuevos trabajos. Al respecto, se indicó que los recursos para la obra ya fueron autorizados, aunque todavía no existe una fecha definida para el arranque de la siguiente etapa.</t>
  </si>
  <si>
    <t>Atención A Manifestantes</t>
  </si>
  <si>
    <t>Radioescucha, respecto a la información sobre que Julio Menchaca promueve un Hidalgo incluyente, comenta que si ya hubo una reunión para conocer cuáles son las políticas de trabajo que tienen consideradas directoras, directores, encargados de área, funcionarios o funcionarias que tiene algún tipo de discapacidad; si tanto preocupa que por qué no revisan el estado de las banquetas porque muchas están invadidas y es imposible moverse.</t>
  </si>
  <si>
    <t>Julio Menchaca promueve un Hidalgo incluyente</t>
  </si>
  <si>
    <t>Trabajadores de la Secretaría municipal de Desarrollo Urbano, Obras Públicas y Medio Ambiente en Tulancingo realizaron este fin de semana la colocación de malla sobre el camellón de Corredor Vial San José, a la altura de La Villita. Lo anterior para evitar que peatones crucen sobre dicha vialidad, provocando en ocasiones accidentes con personas lesionadas incluso de gravedad. En la zona donde fue colocada la malla existe un puente peatonal para permitir el paso sin riesgo a las personas que acuden a la escuela primaria “Judith H. Rueda de Villagrán”, así como a negocios y viviendas. Justamente los vecinos y comerciantes que se encuentran en la zona señalan que tan sólo en la semana más reciente se registraron entre 4 a 5 incidentes donde personas fueron golpeadas por automovilistas. Incluso en el mismo lapso de tiempo se registró un atropellamiento que no llegó a mayores, gracias a que el automovilista logró frenar al observar a la persona que en ese momento cruzaba por el Corredor Vial San José.</t>
  </si>
  <si>
    <t>Prevención de accidentes</t>
  </si>
  <si>
    <t>Una persona sin vida y una más lesionada, es el saldo de un ataque directo con arma de fuego, ocurrido en un negocio ubicado en el mercado Centilia, ubicado en la colonia Caltengo, en la ciudad de Tulancingo. El ataque armado se registró la tarde del lunes 29 de junio; extraoficialmente se conoce que el agresor o agresores llegaron al negocio realizando el ataque en forma directa, para huir de inmediato del lugar. Al sitio acudieron elementos policiacos, quienes localizaron a las víctimas; la persona fallecida quedó debajo de una camioneta que al parecer en ese momento estaba revisando. En el interior del mercado fue localizado un hombre que presentaba lesión de arma de fuego, la cual se localizaba en la pierna derecha, siendo trasladado para recibir atención médica. Se ha implementado operativo policiaco para la búsqueda y eventual localización y detención del responsable o responsables del ataque. Hasta el momento no se reporta detención alguna relacionada con la situación.</t>
  </si>
  <si>
    <t>Ataque Armado</t>
  </si>
  <si>
    <t>El Gobernador del Estado de Hidalgo, Julio Menchaca Salazar, ofreció reunirse con madres buscadoras, así como con familiares de personas desaparecidas para revisar cada uno de sus casos y darles seguimiento. Lo anterior fue declarado en entrevista, tras la manifestación realizada el domingo 28 de junio por parte de dichos familiares, así como colectivos sociales, demandando precisamente atención a los casos. En la manifestación señalaron que algunos casos tienen mucho tiempo sin que las autoridades a cargo de las investigaciones reporten avances. Al respecto, Menchaca Salazar señaló que además instruirá a sus colaboradores a dar la atención y seguimiento a los casos, de acuerdo a cada situación. Otra de las solicitudes por parte de los colectivos y familiares de personas desaparecidas es que se les permita ingresar a Ceresos, espacios de atención a la salud, entre otros espacios. Ello porque consideran que en estos podrían localizar a sus familiares con estatus de desaparecidos, o podrían existir indicios para seguir con las investigaciones respectivas. Menchaca Salazar aseguró que las denuncias por desaparición reciben seguimiento por parte de la Comisión de Búsqueda del Estado y la Procuraduría General de Justicia de Hidalgo. Agregó que cada semana el gabinete de seguridad revisa las fichas de búsqueda y los reportes de localización con objetivo de resolver cada caso que se presenta. Sobre la petición para que las personas buscadoras de sus familiares puedan contar con apoyo económico por parte de instancias gubernamentales, Menchaca Salazar reconoció que existen limitaciones presupuestales para otorgar dichos apoyos. Los manifestantes señalaron que requieren los apoyos económicos debido a que para realizar las labores de búsqueda han dejado sus empleos, o deben reducir sus actividades productivas, lo que afecta sus ingresos económicos. Menchaca Salazar aseguró que el gobierno estatal continuará brindando apoyo mediante personal especializado, equipo y coordinación con los municipios para las labores de búsqueda.</t>
  </si>
  <si>
    <t>Las labores para localizar a los trabajadores de la Comisión Federal de Electricidad (CFE), Adolfo López Saldaña y Marco Antonio Sarmiento García, continúan sin descanso en la región de Acaxochitlán, donde participan corporaciones de los tres niveles de gobierno en un operativo que se extiende por tierra y aire. El gobernador de Hidalgo, Julio Menchaca Salazar, informó que la desaparición ya es investigada por la Fiscalía General de la República (FGR), al tratarse de empleados de una empresa federal. La carpeta de investigación fue abierta por el delito de privación ilegal de la libertad. El mandatario explicó que, tras conocer el caso, sostuvo comunicación con directivos de la CFE, quienes le informaron que el último incidente reportado fue la ponchadura de una de las camionetas en las que se trasladaban los trabajadores, antes de que se perdiera todo contacto con ellos. Ante esta situación, se reforzó la coordinación entre las autoridades de Hidalgo y Puebla, ya que la desaparición ocurrió en una zona cercana a los límites de ambas entidades. En las tareas de búsqueda participan la Comisión de Búsqueda de Personas del Estado de Hidalgo, corporaciones de seguridad, autoridades federales y familiares de los trabajadores, quienes recorren distintos puntos con la esperanza de obtener información que permita encontrarlos.</t>
  </si>
  <si>
    <t>Vía telefónica Milton Cortés informa que vecinos de la Colonia de Santo Tomás en Zempoala, siguen molestos por la falta de servicios como es la falta de agua potable, esto debido al crecimiento desmedido de zonas habitaciones. Señalan que no dejarán de presionar al municipio para que mejore la seguridad y los dote servicios.</t>
  </si>
  <si>
    <t>En Héroes de Tizayuca los vecinos están preocupados por los tiraderos de basura y deshechos de fosa séptica que hay en terrenos aledaños, piden a las autoridades municipales y del Medio ambiente para que inhiban estas prácticas.</t>
  </si>
  <si>
    <t>Empresa contaminante</t>
  </si>
  <si>
    <t>Andrés Torres comenta que en Radio Tlanchinol en el 94.1 FM, no hay señal, esto debido a los cortes de energía eléctrica del lugar y tampoco se tiene combustible para las plantas de energía eléctrica.</t>
  </si>
  <si>
    <t>Radiodifusoras</t>
  </si>
  <si>
    <t>Andrés Torres comenta que el 1010 AM "El Vocero Huasteco" sigue fura del aire a más de dos meses, esto debido a que no se tiene el combustible para abastecer las plantas de energía y el transformador está averiado.</t>
  </si>
  <si>
    <t>Vecinos de la colonia Rojo Gómez bloquearon la mañana de este lunes los bulevares Minero y Colosio, a la altura del Monumento al Bombero, para exigir la reparación del drenaje que colapsó la semana pasada en la calle Tierra y Libertad y denunciar las afectaciones provocadas por el derrame de aguas negras. Horas más tardes entablaron un diálogo con personal de ayuntamiento y se retiraron del lugar.</t>
  </si>
  <si>
    <t>La tarde de este lunes habitantes de la comunidad de Dios Padre, municipio de Ixmiquilpan, se manifestaron en las instalaciones de la Procuraduría General de Justicia del Estado de Hidalgo (PGJEH), por el robo de más de un millón de pesos al administrador del Parque Acuático y por lo que piden se hagan las investigaciones correspondientes. Luego de ser atendidos se retiraron.</t>
  </si>
  <si>
    <t>Vía telefónica Milton Cortés informa que en Pachuca, la acumulación de bolsas de basura en las esquinas ha generado graves focos de infección y plagas de fauna nociva en múltiples colonias. Los vecinos afectados de las colonias Constitución y Santa Julia exigen la intervención de las autoridades para realizar recorridos de vigilancia y aplicar sanciones a quienes arrojan desechos fuera de los horarios de recolección</t>
  </si>
  <si>
    <t>Sanciones por basura</t>
  </si>
  <si>
    <t>Lleva CEDSPI atención visual gratuita a cuatro comunidades de la Huasteca hidalguense</t>
  </si>
  <si>
    <t>Salud Visual</t>
  </si>
  <si>
    <t>Impulsa IHE acciones para fortalecer la educación inicial</t>
  </si>
  <si>
    <t>Educación inicial</t>
  </si>
  <si>
    <t>Pobladores de Tasquillo mantienen bloqueos y cierres en la carretera a la altura de Portezuelo y la zona centro del municipio. La protesta inició tras el reporte del robo de una camioneta en la comunidad de San Pedro, exigiendo a las autoridades la recuperación inmediata del vehículo. La movilización busca presionar a las autoridades de seguridad para que agilicen las investigaciones, den una respuesta inmediata al caso y se logre localizar tanto la unidad como a los presuntos responsables. Al momento la circulación permanece seriamente afectada, ya que uno de los carriles se encuentra completamente cerrado, lo que ha provocado complicaciones y asentamientos para los automovilistas que transitan por dicha zona.</t>
  </si>
  <si>
    <t>SSPH asegura a 3 presuntos integrantes de una banda dedicada al robo de motocicletas en Pachuca</t>
  </si>
  <si>
    <t>El Instituto Hidalguense de Educación (IHE) impartió el taller teórico-práctico «Sensorama» a docentes de los Centros de Atención Múltiple (CAM) y de la Unidad de Servicios de Apoyo a la Educación Regular (USAER) de la región Tula-Tepeji, con el propósito de fortalecer las estrategias pedagógicas para la atención de estudiantes con discapacidad y otras condiciones que requieren apoyos específicos.El secretario de Educación Pública de Hidalgo y titular del IHE, Natividad Castrejón Valdez, destacó que la formación continua del personal docente fortalece una educación con equidad e inclusión, al brindar herramientas que permitan responder de manera pertinente a las necesidades de las y los estudiantes y favorecer su desarrollo integral.La actividad fue organizada por la Dirección General de Fortalecimiento Educativo, a través de la Subdirección de Educación Artística y Servicios Culturales, como parte de las acciones que impulsa el Instituto para fortalecer la práctica docente, en concordancia con los principios de la Nueva Escuela Mexicana (NEM).Desde la disciplina de las artes visuales, el taller abordó temas relacionados con la creatividad como herramienta pedagógica, la percepción corporal y espacial, así como estrategias para la atención de estudiantes con síndrome de Down, trastorno del espectro autista (TEA) y otras condiciones que requieren apoyos educativos específicos.</t>
  </si>
  <si>
    <t>Radioescucha reporta falta de agua en colonia Prismas</t>
  </si>
  <si>
    <t>Radioescucha manda audio y vuelve a reportar un fuerte olor en el drenaje del canal pluvial que cruza Infonavit Santa Julia; pide apoyo de Caasim o de otra autoridad.</t>
  </si>
  <si>
    <t>Enlace clima Luis García de la Conagua en la Republica Mexicana e Hidalgo, zona huasteca máxima de 32 mínima de 19, para la Sierra 26 máxima mínima de 16, Altiplano máxima de 19 mínima de 8, para Pachuca y Tizayuca 21 mínima de 10, en la Zona Tepehua máxima de 26 mínima de 16, Valle de Tulancingo máxima de 20 mínima de 9 en el Valle del Mezquital máxima 25 mínimas de 11 , Huichapan y Tecozayutla máxima 23 y mínima de 11</t>
  </si>
  <si>
    <t>Presidente Municipal de Pachuca, Jorge Alberto Reyes, están arrancando el programa “Colonia x Colonia” es una estrategia para llevar servicios de gobierno municipal directamente a las colonias de Pachuca, y hoy arranca a las 11:00 a. m. en el quiosco en San Miguel El Cerezo.</t>
  </si>
  <si>
    <t>Automovilista atropella a cinco personas durante los festejos por el triunfo de México en la glorieta principal de Viñedos, municipio de Zempoala.El conductor fue retenido y agredido por varios ciudadanos.</t>
  </si>
  <si>
    <t>Radioescucha Alejandro Tovar, se comunica y reporta que se formó una grieta por la vuelta del río en la carretera Tula-Tepeji; conduzca con precaución.</t>
  </si>
  <si>
    <t>Auxilio vial</t>
  </si>
  <si>
    <t>Radioescucha Carmen Ávila, de aquí de Tula de Allende, quien nos reporta una grieta cerca de la gasolinera de la calle Lázaro Cárdenas; menciona que no hay una patrulla o alguien que pueda estar al pendiente abanderando la zona. Hace un llamado a las autoridades municipales para que atendan esta situación. Gracias a Carmen Ávila por el reporte, ahí queda el llamado para que en la Presidencia Municipal tomen nota.</t>
  </si>
  <si>
    <t>Alianza Icathi-Canacar impulsa la profesionalización en el sector de autotransporte AUDIO APOYO</t>
  </si>
  <si>
    <t>Capacitación Para El Trabajo</t>
  </si>
  <si>
    <t>Se instalaron Los centros de acopió permanecerán habilitados en distintos puntos de Pachuca, entre ellos las oficinas centrales del sistema DIF Hidalgo, el Hospital del Niño DIF en el centro de rehabilitación de Hidalgo, AUDIO VIDEO</t>
  </si>
  <si>
    <t>El gobernador Julio Menchaca convocó a la ciudadanía a sumarse a la campaña de ayuda humanitaria para apoyar a las familias afectadas por los sismos en Venezuela en los centros de acopio instalados por el gobierno del estado., AUDIO APOYO JMS</t>
  </si>
  <si>
    <t>La Secretaría de Seguridad Pública de Hidalgo detuvo en Tula de Allende a un presunto generador de violencia durante un operativo de inteligencia. La acción fue resultado de labores de investigación y del seguimiento realizado por el C5i. El aseguramiento ocurrió en la colonia El Carmen, donde policías estatales interceptaron una camioneta que circulaba a exceso de velocidad. Durante la inspección localizaron un arma corta calibre 9 milímetros con cartuchos útiles, además de 166 dosis de presunta cocaína y 150 dosis de marihuana. El detenido, la droga, el arma y la unidad quedaron a disposición del Ministerio Público para dar seguimiento a las investigaciones y definir su situación jurídica.</t>
  </si>
  <si>
    <t>SSPH captura a presunto generador de violencia vinculado a hechos de alto impacto</t>
  </si>
  <si>
    <t>PGJEH aseguran 59 mil 409 dosis de driga en Mineral de la Refroma;hay dos personas detenidas</t>
  </si>
  <si>
    <t>Gobierno de Hidalgo refrenda coordinación con la Guardia Nacional para fortalecer la paz y la seguridad, AUDIO APOYO</t>
  </si>
  <si>
    <t>Conmemoración Aniversario</t>
  </si>
  <si>
    <t>En otros temas, en el marco del séptimo aniversario de la Guardia Nacional, el gobernador de Hidalgo, Julio Menchaca Salazar, refrendó el compromiso de mantener una coordinación permanente con esta corporación y con las Fuerzas Armadas para fortalecer la seguridad y la paz en la entidad. Durante la ceremonia, el mandatario reconoció la labor de la Guardia Nacional y recordó su apoyo a la población durante las afectaciones provocadas por la vaguada monzónica de octubre del año pasado; además, destacó que participó en el proceso legislativo que dio origen a esta institución cuando presidía la Comisión de Justicia del Senado:“La Guardia Nacional ha tenido también un proceso de incorporación a las Fuerzas Armadas. Fuerzas Armadas que el estado de Hidalgo tiene en gran aprecio, con un gran reconocimiento, porque en momentos muy complicados para nuestro estado —en una lluvia torrencial, en la vaguada monzónica de octubre del año pasado— junto con el Ejército Mexicano, con la Fuerza Aérea, la Guardia Nacional y todas las instituciones federales acudieron en apoyo de la sociedad”. AUDIOS DE APOYO</t>
  </si>
  <si>
    <t>Gobierno de Hidalgo refrenda coordinación con la Guardia Nacional para fortalecer la paz y la seguridad</t>
  </si>
  <si>
    <t>El consumo de drogas como cristal, fentanilo y cocaína registra un incremento en Hidalgo, principalmente entre adolescentes y jóvenes, de acuerdo con especialistas y datos recientes sobre adicciones en la entidad. De hecho, platicando con algunas personas que se dedican a la rehabilitación en centros especializados y autorizados, han señalado que en al menos los últimos 10 años este tipo de adicciones ya se presentan en adolescentes de 12, 13 o hasta 14 años, y que son adicciones muy profundas, difíciles de atender por el nivel de dependencia y porque son menores de edad. Los estimulantes de tipo anfetamínico, como el cristal, se mantienen como las principales causas de ingreso a estos centros de rehabilitación, por lo que es necesario participar como sociedad para frenar el consumo entre los jóvenes.Y hay un tema que hay que reconocer, y usted lo sabe si es padre o madre de familia de algún adolescentes cada vez más recurrente escuchar casos de venta y distribución de sustancias en escuelas públicas y privadas; en secundarias, telesecundarias y educación básica, donde los mismos alumnos denuncian que en sus planteles ya se vende droga. La tendencia ha ido hacia el consumo de cristal y anfetaminas, además de la cocaína y pastillas de tipo anestésico. El cristal es lo que más vemos por su facilidad de acceso y su bajo precio económico. AUDIO APOYO</t>
  </si>
  <si>
    <t>Consumo De Drogas</t>
  </si>
  <si>
    <t>Vamos a hablar ahora de la presa Endhó, que presenta la mayor concentración de microplásticos detectada en la región y niveles prácticamente nulos de oxígeno, una condición que pone en riesgo los suelos agrícolas del Valle del Mezquital, donde sus aguas se utilizan para el riego de cultivos. Estos micro y nanoplásticos se conocen como contaminantes emergentes. Desde hace ya más de 20 años a nivel mundial se están haciendo estudios para detectar este tipo de componentes en los cuerpos de agua. Sabemos que la presa Endhó y la región de Tula sufren una contaminación importante. El investigador de la Escuela Superior de Tepeji del Río, de la Universidad Autónoma del Estado de Hidalgo (UAEH), Giovanni Enrique Bornacelli Camargo, encabeza un estudio sobre la calidad del agua en la zona Tula-Tepeji: En Endhó los niveles de contaminación son casi el doble de lo que hay en Requena y en el río Tepeji. Sorpresas, digamos, no es que sean muchas, porque es algo que uno espera ya por la situación ecológica que sabemos que hay alrededor de estos cuerpos de agua. Digamos que los niveles de contaminación sí deben de ser de los más altos a nivel mundial. Uno de los datos que tenemos es que uno de los cuerpos de agua más contaminados en el mundo está en China; nuestros análisis indican que estamos rebasando por un poco a ese cuerpo de agua. Finalmente, el especialista hizo un llamado enérgico para que las autoridades gubernamentales reconozcan el valor de los grupos científicos regionales y los integren de forma activa en el diseño de soluciones para las crisis ecológicas locales. El investigador expuso las limitaciones presupuestales y la falta de infraestructura avanzada que padecen los centros de la periferia, detallando que la carencia de laboratorios equipados en la zona los obliga constantemente a realizar trayectos de hasta tres horas hacia Pachuca, el Estado de México o la Ciudad de México con el único fin de validar sus resultados y calibrar sus muestras, una barrera logística que frena el avance de las investigaciones científicas que el estado de Hidalgo requiere con urgencia.</t>
  </si>
  <si>
    <t>Contaminación Tula</t>
  </si>
  <si>
    <t>Los casos de dengue en Hidalgo registran una disminución del 88.5 por ciento en comparación con el mismo periodo del año pasado, informó la Secretaría de Salud estatal. La titular de la dependencia, Vanessa Escalante Arroyo, señaló que al corte de la semana epidemiológica 23 de este 2026 se han confirmado únicamente cuatro casos y no se reportan defunciones, frente a los 35 contagios registrados en el mismo periodo de 2025. Destacó que este resultado obedece al fortalecimiento de las acciones de prevención con control larvario en más de 427 mil viviendas, la nebulización en más de 77 mil casas y la vigilancia permanente en municipios de mayor riesgo. Los casos confirmados se ubican en Huejutla, San Felipe Orizatlán y Yahualica. La Secretaría de Salud reiteró el llamado a la población a eliminar criaderos de mosquito mediante la estrategia “Lava, tapa, voltea y tira” para evitar nuevos contagios.</t>
  </si>
  <si>
    <t>SSH</t>
  </si>
  <si>
    <t>Dengue</t>
  </si>
  <si>
    <t>La Secretaría de Salud de Hidalgo (SSH), informó que al corte de la semana epidemiológica 23, la entidad registra cuatro casos confirmados de dengue y ninguna defunción, mientras que durante el mismo periodo de 2025 se notificaron 35, lo que representa una reducción del 88.5 por ciento.Puntualizó que los casos confirmados se concentran en la Jurisdicción Sanitaria de Huejutla, en los municipios de Huejutla, San Felipe Orizatlán y Yahualica, donde se mantienen acciones permanentes de vigilancia epidemiológica y control vectorial.Al respecto la titular de la dependencia, Vanesa Escalante detalló dentro de la estrategia, el fortalecimiento de acciones de control larvario en 427 mil 289 viviendas, con lo que se protegió a 838 mil 543 personas; además, se realizaron 55 mil 35 encuestas entomológicas y 37 mil 692 verificaciones para identificar oportunamente la presencia del mosquito transmisor y reforzar las medidas preventivas en las zonas de mayor riesgo.</t>
  </si>
  <si>
    <t>Radioescucha reporta fuga de agua en Campestre Villas del Álamo, lleva ya 3 dias , previamente ya se eporto con Caasim, pero aun no vienen arreglar</t>
  </si>
  <si>
    <t>Fuga De Agua</t>
  </si>
  <si>
    <t>Radioescucha reporta que nuevamente se rompio el drenaje en Plazuela Patoni</t>
  </si>
  <si>
    <t>Fuga De Drenaje</t>
  </si>
  <si>
    <t>Gabinete de Seguridas refuerza acciones contra el robo de hidrocarburo con destrucciónde túneles</t>
  </si>
  <si>
    <t>Huachitúnel</t>
  </si>
  <si>
    <t>Radioescucha reporta que el día de ayer por la tarde se solicitó el apoyo de una patrulla para ir a checar una camioneta muy sospechosa; los tripulantes estaban observando las casas y traían escaleras. Se realizaron 4 reportes y en más de 2 horas nunca se presentó ninguna unidad y, ya que entran a robar a las casas, siempre dicen que jamás se solicitó el apoyo. Esto en la colonia Piracantos, en calle Arrayán.</t>
  </si>
  <si>
    <t>Inatención</t>
  </si>
  <si>
    <t>El gobernador Julio Menchaca Salazar lamentó que la empresa Desarrollos Fotovoltaicos del México del Centro, desistiera del proyecto parque solar Tulancingo, que contemplaba la construcción de un complejo fotovoltaico en el municipio de Singuilucan y cuyo expediente fue archivado por la autoridad ambiental federal. AUDIO APOYO JMS</t>
  </si>
  <si>
    <t>Impulsa IHM estrategia regional para fortalecer la perspectiva de género municipios</t>
  </si>
  <si>
    <t>Perspectiva de género</t>
  </si>
  <si>
    <t>Despacho del Gobernador y Pemex rehabilitarán el bulevar Refinería en Tula, AUDIO APOYO</t>
  </si>
  <si>
    <t>Despacho</t>
  </si>
  <si>
    <t>Con una inversión cercana a los 13 millones de pesos, el gobierno de Hidalgo y Petróleos Mexicanos (Pemex) rehabilitarán el bulevar Refinería en Tula de Allende, una de las principales vialidades del municipio. El coordinador de Gestión y Vinculación de Proyectos Especiales de la Secretaría del Despacho, Fernando Alvera Juárez, informó que los trabajos contemplan el reencarpetamiento con alrededor de mil toneladas de asfalto y el uso de maquinaria donada por Pemex, como resultado de las gestiones encabezadas por el secretario Alejandro Velázquez Mendoza:Durante el anuncio, autoridades estatales y municipales destacaron que la obra mejorará la movilidad y beneficiará a miles de automovilistas que diariamente transitan por esta vía. Por su parte, representantes de Pemex señalaron que estas acciones forman parte del compromiso de la empresa con las comunidades donde mantienen operaciones, mientras que el alcalde Cristian Martínez Reséndiz reconoció el trabajo conjunto entre la paraestatal y el gobierno de Hidalgo para impulsar el desarrollo en la región. AUDIO DE APOYO</t>
  </si>
  <si>
    <t>Radioescucha Sr. Juan reporta que los semáforos de Prismas y Nuevo Hidalgo con dirección a Tulipanes, ya que no funcionan bien</t>
  </si>
  <si>
    <t>Semaforización</t>
  </si>
  <si>
    <t>El presidente municipal de Mineral de la Reforma, Eduardo Medécigo Rubio, encabezó el inicio de actividades del Aprendimóvil, una unidad itinerante que durante los próximos ocho meses recorrerá distintos puntos del municipio para acercar actividades educativas, culturales, deportivas y recreativas a la población.Acompañado por la presidenta honorífica del Patronato del Sistema DIF Municipal, Samantha Esparza Hernández, y por el coordinador de la Red de Ciudades del Aprendizaje de la Unesco en Latinoamérica, Luis González Arenal, el alcalde explicó que el vehículo visitará plazas públicas, parques, mercados, centros comunitarios y otros espacios para fomentar el aprendizaje en la vida cotidiana.Durante el arranque, realizado ante estudiantes de la primaria "Cuauhtémoc" de Pachuquilla, Medécigo destacó que su administración trabaja para construir un municipio con mejores oportunidades para las nuevas generaciones mediante estrategias que combinan el aprendizaje con el juego.</t>
  </si>
  <si>
    <t>Unidad Móvil</t>
  </si>
  <si>
    <t>La Secretaría de Salud en Hidalgo reforzó las acciones de prevención y vigilancia para reducir los casos de enfermedades diarreicas agudas en la entidad mediante campañas de higiene, capacitación al personal médico y operativos en zonas de mayor riesgo. La titular de la dependencia, Vanessa Escalante Arroyo, informó que las medidas incluyen promover el lavado frecuente de manos, el consumo de agua potable o hervida, la correcta preparación de alimentos y la detección oportuna de síntomas para evitar complicaciones. De acuerdo con el Sistema Nacional de Vigilancia Epidemiológica, hasta la semana 23 Hidalgo acumula 33,366 casos de enfermedades diarreicas agudas. Los municipios con mayor incidencia son Pachuca, Tulancingo de Bravo, Ixmiquilpan, Actopan y Tula de Allende. La dependencia exhortó a la población a mantenerse bien hidratada y acudir de inmediato a la unidad médica más cercana ante diarrea persistente, vómito, fiebre, sangre en las evacuaciones o signos de deshidratación.</t>
  </si>
  <si>
    <t>Vigilancia Sanitaria</t>
  </si>
  <si>
    <t>UTSH fortalece la formación clínica de estudiantes del área de la salud</t>
  </si>
  <si>
    <t>Vinculación Académica</t>
  </si>
  <si>
    <t>NQ 90.1 FM</t>
  </si>
  <si>
    <t>Enlace Hidalgo2</t>
  </si>
  <si>
    <t>El Servicio Meteorológico Nacional (SMN) pronosticó para este lunes 29 de junio una jornada marcada por lluvias intensas, tormentas eléctricas, posible caída de granizo y fuertes rachas de viento en gran parte del país, mientras que el calor extremo continuará afectando al noroeste y norte de México con temperaturas de hasta 45 grados Celsius. Las condiciones meteorológicas son provocadas por la interacción de canales de baja presión, una circulación ciclónica, una vaguada en niveles altos de la atmósfera, el ingreso de humedad del océano Pacífico y el Golfo de México, además del avance de la onda tropical número 13 frente al Pacífico sur mexicano. El pronóstico coloca a Guerrero como la entidad con las precipitaciones más severas del día, donde se esperan lluvias intensas de 75 a 150 milímetros, principalmente en la zona este del estado. Mientras tanto, Zacatecas, Aguascalientes, San Luis Potosí, Nayarit, Querétaro, Hidalgo, Puebla, Tlaxcala, Morelos, Ciudad de México, Tamaulipas, Veracruz y Chiapas registrarán lluvias fuertes.</t>
  </si>
  <si>
    <t>Jesús Riveros</t>
  </si>
  <si>
    <t>Habitantes de Jaltepec y colonias aledañas se manifestaron en la Presidencia Municipal de Tulancingo para exigir obras de pavimentación y servicios básicos. Tras no llegar a acuerdos con los secretarios del Ayuntamiento, los inconformes amenazaron con bloquear e impedir la realización de la Expo Feria de este año.</t>
  </si>
  <si>
    <t>Sin realizarse entrevista pautada con Jorge Valverde Islas, Auditor Superior del Estado, se anunció entrevista por parte de locutor Jesús Riveros, pero auditor no se comunicó.</t>
  </si>
  <si>
    <t>Cuenta pública</t>
  </si>
  <si>
    <t>Entrevista no cumplida</t>
  </si>
  <si>
    <t>Ke Buena 106.7 FM</t>
  </si>
  <si>
    <t>Noticias 106.7</t>
  </si>
  <si>
    <t>Durante la sesión de cabildo celebrada la tarde de este martes en el municipio de Progreso de Obregón, regidores de oposición exhibieron diversas deficiencias en el servicio municipal de recolección de basura, al señalar la falta de unidades, retrasos constantes en las rutas y la necesidad de fortalecer tanto la atención a la ciudadanía como el manejo de los residuos sólidos en el municipio. El tema surgió durante la discusión de diversos puntos relacionados con el sitio de aprovechamiento de residuos sólidos del municipio, donde los integrantes de la asamblea coincidieron en la necesidad de fortalecer el sistema de recolección. El regidor José Luis Hernández Uranga expuso que son constantes las quejas de ciudadanos porque los camiones recolectores no pasan conforme a los días establecidos e, incluso, hay colonias donde el servicio llega a retrasarse por semanas. Señaló que esta situación favorece la acumulación de residuos en la vía pública, con las consecuentes afectaciones sanitarias y ambientales, además de abrir la puerta a que recolectores particulares aprovechen la necesidad de la población para cobrar entre 50 y 60 pesos por llevarse los desechos. Por ello, propuso la adquisición de nuevas unidades para Servicios Públicos y el análisis de mecanismos para regular las tarifas que aplican los particulares, así como supervisar que los residuos realmente lleguen al sitio de disposición final.</t>
  </si>
  <si>
    <t>Recolección De Basura</t>
  </si>
  <si>
    <t>David Cárdenas</t>
  </si>
  <si>
    <t>El Colegio de Bachilleres del Estado de Hidalgo iniciará el próximo ciclo de graduaciones de la generación 2023 – 2026, donde aproximadamente 10 mil estudiantes recibirán la documentación con la cual acreditan la terminación de su formación académica de nivel Medio Superior dentro de esta institución educativa. Durante este periodo de graduaciones que comprenderá del 1 al 16 de julio el director general de este organismo Rubén López Valdez, mencionó que realizará una gira de trabajo por las cinco zonas que conforman el subsistema con el objetivo de estar presente en las ceremonias de graduación de diversos centros educativos. También instruyó a personal directivo para que hagan lo propio con el resto de planteles y CEMSaDs, a fin de cubrir la mayoría de eventos cívicos y acompañar a los futuros egresados durante el proceso de entrega recepción de documentos.</t>
  </si>
  <si>
    <t>Graduación</t>
  </si>
  <si>
    <t>Entrevista vía telefónica Jorge Valverde Islas, Auditor Superior del Estado - Habló sobre las observaciones realizadas durante la primera entrega de los Informes Individuales de Auditoría de la Cuenta Pública 2025 ante la Comisión Inspectora de la Auditoría Superior del Estado de Hidalgo. Informó que se concluyeron 85 auditorías, clasificadas en 39 financieras, 39 de cumplimiento, cuatro de inversiones físicas y tres al desempeño. Como resultado, se emitieron 443 recomendaciones y 202 pliegos de observaciones derivados de auditorías financieras, de cumplimiento e inversiones físicas, los cuales se encuentran pendientes de solventar. En este sentido el auditor indicó que las entidades fiscalizadas cuentan con un plazo de 30 días hábiles a partir de la notificación de su informe individual para presentar la documentación que acredite la solventación de las observaciones correspondientes. Destacó que uno de los principales problemas es que los encargados de la administración pública municipal no cuentan con los perfiles adecuados para la ejecución de recurso público, lo anterior, lo explicó, al informar que estas observaciones las ha detectado de manera personal al asistir directamente a los municipios, “Durante mi gestión he sido un auditor de territorio y no de escritorio”, concluyó.</t>
  </si>
  <si>
    <t>Se gradúa la 16.a generación de la Casa de la Mujer Hidalguense</t>
  </si>
  <si>
    <t>Luego del robo registrado la noche del pasado jueves en el parque acuático Dios Padre, en el municipio de Ixmiquilpan, autoridades estatales acordaron reforzar la seguridad en todo el corredor turístico de balnearios con el objetivo de brindar mayor protección tanto a trabajadores como a visitantes de cara a la próxima temporada vacacional de verano. De acuerdo a información proporcionada por socios del parque acuático, el acuerdo se alcanzó tras la manifestación realizada este lunes en la ciudad de Pachuca, en donde exigieron mayor seguridad y el esclarecimiento de los hechos. Los manifestantes fueron atendidos por el titular de la Procuraduría General de Justicia del Estado de Hidalgo (PGJEH), Francisco Fernández Hasbun, con quien sostuvieron una mesa de diálogo. Como resultado de la misma, se determinó fortalecer la presencia de la policía estatal en los balnearios y parques acuáticos, así como en todo el corredor turístico de la región. Además, de manera paralela, los propios socios y representantes administrativos del parque acuático Dios Padre implementarán medidas internas para reforzar la vigilancia y garantizar la seguridad de los trabajadores y de los bañistas. Cabe recordar que fue la noche del jueves 25 de junio cuando el tesorero del parque acuático Dios Padre fue interceptado por sujetos desconocidos, quienes presuntamente lo privaron de la libertad y lo obligaron a ingresar a las instalaciones del balneario para abrir la caja fuerte y entregar el dinero en efectivo. Tras apoderarse del recurso, los responsables huyeron del lugar.</t>
  </si>
  <si>
    <t>Asalto a balneario</t>
  </si>
  <si>
    <t>SSPH captura a presunto generador de violencia vinculado a hechos de alto impacto.</t>
  </si>
  <si>
    <t>Asegura PGJEH 59 mil 409 dosis de drogas, en Mineral de la Reforma; hay dos personas detenidas.</t>
  </si>
  <si>
    <t>Fortalece Hidalgo acciones contra el dengue y reduce 88.5 % los casos</t>
  </si>
  <si>
    <t>Hidalgo plantea plan prospectivo rumbo a 2040</t>
  </si>
  <si>
    <t>Plan 2040</t>
  </si>
  <si>
    <t>Despacho del Gobernador y Pemex rehabilitarán el bulevar Refinería en Tula</t>
  </si>
  <si>
    <t>Enlace Hidalgo1</t>
  </si>
  <si>
    <t>El Gobierno Municipal de Tulancingo firmó un convenio de colaboración con el Instituto Catastral del Estado de Hidalgo para impulsar la modernización del sistema catastral del municipio. La firma del acuerdo fue encabezada por la presidenta municipal, Lorena García Cázares, y el director general del Instituto Catastral del Estado de Hidalgo, Armando Cano Moreno, quien destacó que la coordinación entre los distintos órdenes de gobierno es fundamental para consolidar un catastro moderno, eficiente y confiable, que responda a las necesidades de la ciudadanía. El convenio tendrá una vigencia de un año, con posibilidad de renovación en julio de 2027, y permitirá fortalecer la colaboración administrativa entre ambas instituciones mediante el intercambio e integración de información territorial con fines multifinalitarios. Estas herramientas facilitarán una mejor planeación urbana, el ordenamiento territorial y una toma de decisiones más eficiente en beneficio de la población.</t>
  </si>
  <si>
    <t>Firma De Convenio</t>
  </si>
  <si>
    <t>Durante los festejos por el triunfo de la Selección Mexicana, el conductor de una camioneta Toyota negra embistió a un grupo de aficionados en la glorieta del fraccionamiento Los Viñedos, en Zempoala, Hidalgo. El incidente dejó un saldo preliminar de cinco personas lesionadas y provocó la furia de la multitud.</t>
  </si>
  <si>
    <t>Ciudadanos de Tulancingo se manifiestan en la presidencia por falta de obras, puden dialogar con la presidenta pero son atendidos por el Secretario municipal. La manifestación se lleva en un marco Pacífico pero con hartazgo por la falta de obras y la poca claridad de las autoridades.</t>
  </si>
  <si>
    <t>Entrevista vía telefónica Luis García Lechuga, director del Área Electromecánica Industrial de la Universidad Tecnológica de Tulancingo - Habló sobre la nueva oferta académica en la licenciatura en Ingeniería Ambiental y Sustentabilidad, carrera está diseñada para formar profesionistas capaces de desarrollar soluciones ecológicas y proyectos sostenibles que respondan a los retos ambientales actuales.</t>
  </si>
  <si>
    <t>Oferta educativa</t>
  </si>
  <si>
    <t>SSPH ejecuta cateos simultáneos en Pachuca y Mineral de la Reforma; cuatro personas aseguradas</t>
  </si>
  <si>
    <t>Combate Al Narcomenudeo</t>
  </si>
  <si>
    <t>Gabinete de Seguridad fortalece acciones contra el robo de hidrocarburo con la destrucción de túneles.</t>
  </si>
  <si>
    <t>Capacita Sebiso a Servidores del Pueblo</t>
  </si>
  <si>
    <t>Servidores del Pueblo</t>
  </si>
  <si>
    <t>Hoy se dio a conocer en una conferencia de prensa por parte del gobierno del estado que en Hidalgo se han detectado e inhabilitado un total de 18 túneles utilizados por grupos criminales para el robo de combustible. Esto lo informó el Secretario de Gobierno del Estado, Guillermo Olivares Reina, durante la clausura y destrucción de uno de estos túneles que se han generado. De acuerdo con el funcionario, en el municipio de Cuautepec, Hinojosa, encabeza la lista con la mayor incidencia, sumando cuatro túneles asegurados. Le sigue Pachuca, Tula, Mineral de la Reforma, Tepepulco, con dos infraestructuras clandestinas que Por su parte, Tepeji del Río, Tlanalapa, Tlaxcoapan, Tepetitlán, Nopala de Villagrán, Atitalaquia registran un túnel detectado por demarcación. El hallazgo en la capital hidalguense fue parte de las acciones y las autoridades procedieron a la destrucción y sellado definitivo de un túnel localizado aquí en la capital hidalguense en agosto de 2023 a un costado de la antigua carretera a La Paz. La infraestructura operaba bajo un vivero comercial que conectaba directamente de forma subterránea a ductos de Petróleos Mexicanos. La ubicación del sitio fue posible gracias a una denuncia ciudadana, la cual alertó a las autoridades sobre irregularidades en el inmueble.</t>
  </si>
  <si>
    <t>Aldo Falcón</t>
  </si>
  <si>
    <t>Un motociclista resultó lesionado al ser impactado por una patrulla esto en Tizayuca de acuerdo con un video que circula a través de redes sociales. Dicho percance se presentó en la colonia Rancho Don Antonio, donde una patrulla impacta al motociclista. De acuerdo con las autoridades, el conductor de la motocicleta intentó huir de un punto de control, por lo que fue perseguido y lo que se produjo el incidente. Hasta el momento se desconoce el estado de salud del involucrado, así como los motivos oficiales por tal hecho. En el video que pueden ver a través de sus pantallas, se observa como el motociclista detiene en el tope, luego segundos más tarde, impacta por la parte de atrás una unidad de emergencia, dejándolo sobre el pavimento.</t>
  </si>
  <si>
    <t>Accidente de patrulla</t>
  </si>
  <si>
    <t>En entrevista, el presidente nacional de la Cámara Nacional del Autotransporte de Carga, Augusto Ramos Melo, destacó la importancia de las mesas de coordinación que mantiene el organismo con los tres órdenes de gobierno. “Estamos trabajando en mesas de coordinación con los tres niveles de gobierno, aquí en el estado de igual manera El robo al autotransporte es uno de las grandes problemáticas que tiene nuestro sector. Hidalgo no se queda atrás, está dentro de los 10 estados en donde se concentra el 96% de los robos en el país. Entonces esa coordinación que tenemos con el Estado y a nivel federal, también con Guardia Nacional, con la Secretaría de Seguridad Pública, y si bien las cifras del secretariado han marcado ya una tendencia de un 15% a la baja en el robo al autotransporte, a lo que sí estamos viendo es que siguen siendo muy violento el robo a nuestros operadores”. En otro tema, el dirigente de la CANACAR habló sobre los tramos que representan mayores riesgos para el autotransporte de carga y destacó las medidas preventivas que implementan tanto los operadores como las empresas transportistas, en coordinación con las autoridades para reducir situaciones de inseguridad durante los traslados.</t>
  </si>
  <si>
    <t>Inseguridad Carretera</t>
  </si>
  <si>
    <t>Esta mañana en el plantel mineral de la reforma del ICATI, se llevó a cabo el evento “Capacitación que transforma alianzas que impulsan” donde se realizó la entrega del simulador de tractocamión de quinta rueda Icatikanakar, con la participación de autoridades estatales y representantes nacionales de los sectores educativo, laboral y del autotransporte. La CANACAR es el organismo que representa a las empresas dedicadas al transporte de mercancías en México y promueve el desarrollo y la profesionalización del sector. Durante el evento, su presidente destacó que la colaboración entre los distintos órdenes de gobierno, las instituciones educativas y la iniciativa privada es fundamental para fortalecer la formación de talento y responder a las necesidades actuales del autotransporte en el país. Como parte de la ceremonia se realizó la entrega simbólica del simulador de tractocamión y la develación de la placa conmemorativa, con lo que se formalizó la incorporación de este equipo para fortalecer la capacitación de futuros operadores del autotransporte en este plantel de Mineral de la Reforma. En su intervención, el titular de la Secretaría del Trabajo y Previsión Social de Hidalgo, señaló que el sector del autotransporte representa una fuente importante de empleo en la entidad, por lo que destacó la necesidad de fortalecer la capacitación de quienes se incorporan en esta industria.</t>
  </si>
  <si>
    <t>Román Bernal Díaz, Subsecretario de Protección Civil y Gestión de Riesgos del Gobierno del Estado, abundó sobre los túneles y la destrucción de los mismos en la entidad. "Iniciamos esto la semana pasada, este trabajo de inhabilitación o y/o destrucción de los túneles los iniciamos el lunes pasado. Lo estamos haciendo ya en Cuautepec y hay algunos que todavía tienen un proceso administrativo legal, lo único que estamos haciendo es mitigamos el riesgo con la señalización". Pide a la población denunciar este tipo de túneles.</t>
  </si>
  <si>
    <t>Existen ya líneas de investigación respecto al robo de aproximadamente 9 millones de pesos registrado al interior del balneario Dios Padre, informó el encargado de la Procuraduría General de Justicia del Estado de Hidalgo (PGJEH), Francisco Fernández Hasbun. Señaló que desde que se inició la carpeta de investigación, la dependencia mantiene reuniones con los representantes del balneario, ubicado en el municipio de Ixmiquilpan. Fernández Hasbun confirmó que los responsables ingresaron a las oficinas administrativas del balneario, donde se encontraba el dinero. “No puedo explicar el modo de operar hasta que tengamos detenidas a las personas que cometieron el delito”, señaló.</t>
  </si>
  <si>
    <t>Como parte de las acciones para reducir riesgos a la población, autoridades estatales y federales iniciaron la destrucción de un túnel utilizado para actividades relacionadas con el robo de hidrocarburo en Hidalgo. El titular de la Subsecretaría de Protección Civil y Gestión de Riesgos, Román Bernal Díaz, informó que la intervención responde a labores de mitigación, ya que el túnel, con una antigüedad aproximada de tres años, se localiza en una zona urbana y representa un peligro para la población. Por su parte, el encargado de Pemex, Alfonso Morales Lechuga, explicó que el ducto forma parte de la línea Tuxpan Tula y advirtió que de permanecer activo, podría ser reutilizado para actividades ilícitas. Detalló que los trabajos se desarrollan con equipos especializados para detectar la trayectoria del ducto y descartar la presencia de conexiones clandestinas adicionales. El secretario de gobierno, Guillermo Olivares Reyna, señaló que estas acciones forman parte de la estrategia del gabinete de seguridad del estado, cuyo objetivo no sólo es combatir el robo de hidrocarburos, sino prevenir accidentes que puedan poner en riesgo a la población. Asimismo, informó que actualmente se tienen identificados 18 túneles relacionados con este delito, distribuidos en diferentes municipios de la entidad.</t>
  </si>
  <si>
    <t>En el marco de la conmemoración por el séptimo aniversario de la Guardia Nacional, el gobernador Julio Menchaca Salazar, refrendó el compromiso de su administración para mantener una coordinación permanente con esta institución y con las Fuerzas Armadas, a fin de fortalecer las acciones en favor de la seguridad, la paz y el bienestar de las y los hidalguenses. El mandatario estatal manifestó su reconocimiento a esta fuerza de seguridad, la cual —junto con todas las instituciones federales— acudió en apoyo de la sociedad tras la vaguada monzónica de octubre del año pasado. En ese contexto, resaltó el profesionalismo y compromiso de sus integrantes. Durante la ceremonia conmemorativa, el gobernador recordó que, como presidente de la Comisión de Justicia del Senado de la República, participó en el proceso legislativo que dio origen a esta institución, creada para atender una de las principales demandas de la ciudadanía: contar con una corporación que contribuyera al combate de la inseguridad y la impunidad. Por otra parte, Menchaca Salazar, subrayó que la seguridad es una responsabilidad compartida entre los tres órdenes de gobierno y la sociedad; por lo que llamó a fortalecer la confianza ciudadana en las instituciones encargadas de proteger a la población. En su mensaje, el coordinador estatal de la Guardia Nacional en Hidalgo, Abel Arriola Cervantes, recordó que el 30 de junio fue instituido como el Día de la Guardia Nacional, al conmemorarse el despliegue oficial de esta fuerza en 2019. Finalmente, aseveró que, a siete años de su creación, la institución mantiene firme su compromiso de actuar con honor, lealtad, disciplina, profesionalismo y respeto a los derechos humanos, contribuyendo a preservar la seguridad, el orden público y la paz social en beneficio de las y los mexicanos.</t>
  </si>
  <si>
    <t>Conmemoración aniversario</t>
  </si>
  <si>
    <t>En Zempoala aficionados que celebraban el triunfo de la Selección Mexicana en el Mundial fueron embestidos por un automóvil. Lo que comenzó como un festejo por el triunfo de la Selección Mexicana de Futbol terminó en una escena de caos la noche de este martes 30 de junio, en el fraccionamiento Viñedos, en Zempoala, donde un automóvil embistió a un grupo de aficionados, dejando cinco personas lesionadas. Tras el incidente el sujeto fue golpeado por persona que se encontraban en el lugar y la policía municipal lo rescató para ser puesto a disposición de las autoridades.</t>
  </si>
  <si>
    <t>Radioescucha pide que la Secretaría de Movilidad y Transporte a que haga presencia en el polígono de la Colonia Guadalupe, porque los micos (sic) levantan pasaje en doble fila y los autos se estacionan hasta en 3 filas.</t>
  </si>
  <si>
    <t>Sobre las quejas de habitantes que denuncian malos trabajos realizado en la zona de Las glorias en Tulancingo por parte de la CAAMT, el organismo operado señala que se realizó la reparación provisional de una fuga y está programado a terminarse el día de mañana.</t>
  </si>
  <si>
    <t>Reparación De Tubería</t>
  </si>
  <si>
    <t>Vecinos de la comunidad de Jaltepec, junto con habitantes de Vista Real y Las Glorias, se manifiestan en la Presidencia Municipal de Tulancingo para exigir obras públicas. al respecto el departamento de Comunicación del ayuntamiento de Tulancingo informa que los manifestantes ingresaron sin oposición y que en este momento se sostiene u diálogo con los manifestantes ara ver cuáles son su peticiones y cuáles son las atenciones que se brindarían.</t>
  </si>
  <si>
    <t>Un hombre fue detenido por elementos de la Secretaría de Seguridad Pública, Tránsito y Vialidad de Pachuca luego de ser señalado por presuntas actividades de narcomenudeo en la colonia Antonio del Castillo. La movilización policial se originó a partir del reporte de una ciudadana, quien alertó a los oficiales sobre un individuo que, presuntamente, comercializaba sustancias ilícitas en la vía pública. Al acudir al lugar, los agentes localizaron a la persona señalada y realizaron una inspección preventiva conforme a los protocolos establecidos. Durante la revisión encontraron seis bolsas tipo ziploc que contenían una sustancia granulada con características similares al narcótico conocido como cristal. Además de las presuntas dosis de droga, los policías aseguraron una báscula gramera y una hoja con diversas anotaciones que podrían estar relacionadas con la actividad ilícita investigada. Tras el aseguramiento, el sospechoso fue puesto a disposición del Ministerio Público junto con los indicios decomisados, a fin de que se integren las investigaciones correspondientes y se determine su situación jurídica.</t>
  </si>
  <si>
    <t>Existen ya líneas de investigación respecto al robo de aproximadamente 9 millones de pesos registrado al interior del balneario Dios Padre, informó el encargado de la Procuraduría General de Justicia del Estado de Hidalgo (PGJEH), Francisco Fernández Hasbun. Señaló que desde que se inició la carpeta de investigación, la dependencia mantiene reuniones con los representantes del balneario, ubicado en el municipio de Ixmiquilpan. Fernández Hasbun confirmó que los responsables ingresaron a las oficinas administrativas del balneario, donde se encontraba el dinero. “No puedo explicar el modo de operar hasta que tengamos detenidas a las personas que cometieron el delito”, señaló. Asimismo, indicó que ya existen indicios importantes sobre los probables responsables, pero se reservó informar si ya fueron plenamente identificados o si existen órdenes de aprehensión hacia presuntos responsables. El funcionario señaló que los socios del balneario se encuentran preocupados debido a que esos recursos corresponden, entre otros conceptos, a fondos destinados para pensiones, jubilaciones y apoyos por enfermedad.</t>
  </si>
  <si>
    <t>Asanto a balneario</t>
  </si>
  <si>
    <t>Un video grabado por una camara de seguridad ha generado polémica en redes sociales, luego de que aparentemente contradice la versión oficial emitida por la Secretaría de Seguridad Ciudadana de Tizayuca sobre el accidente de un motociclista ocurrido durante una persecución. De acuerdo con las imágenes del vídeo, una patrulla impacta al joven motociclista, provocando que saliera proyectado junto con su unidad y rodara varios metros sobre el pavimento, generándole lesiones y una fractura en la pierna. Esta versión difiere de la presentada por la autoridad municipal, la cual señaló que el conductor perdió el control de la motocicleta y derrapó mientras intentaba evadir a los oficiales. La versión oficial indica que, durante el operativo "Relámpago", elementos de Tránsito Municipal marcaron el alto a una motocicleta que circulaba presuntamente a exceso de velocidad, sin placas y sin casco de seguridad. Según el comunicado, el conductor hizo caso omiso a las indicaciones, intentó escapar y terminó derrapando. Asimismo, la autoridad informó que el motociclista, un adolescente de 16 años, fue atendido por personal de Protección Civil y trasladado a la Clínica 33 del IMSS con una probable fractura en la pierna derecha. También aseguró que la actuación de los elementos se realizó conforme a los protocolos establecidos y que el menor quedó a disposición de la autoridad competente para el deslinde de responsabilidades. Sin embargo, el video difundido por ciudadanos ha provocado que usuarios cuestionen la versión oficial y pidan que se investigue el actuar de los elementos involucrados para esclarecer cómo ocurrieron realmente los hechos.</t>
  </si>
  <si>
    <t>18 túneles para robo de hidrocarburo han sido detectados en once municipios del Estado de Hidalgo, cuatro de los cuales ya han sido inhabilitados por autoridades de seguridad pública y especialistas en el tema. Autoridades señalaron que todos los túneles detectados estaban a tomas clandestinas de gasolina o gas, con objetivo de sustraer el combustible ilegalmente. Los municipios donde se han detectado dichos túneles son Atitalaquia, Nopala, Tepeji del Río, Tlanalapa, Tlaxcoapan y Tepetitlán; en Tula, Mineral de la Reforma, Tepeapulco y Pachuca, se han detectado dos en cada caso, y en Cuautepec, cuatro en total. Lo anterior fue informado por Guillermo Olivares Reyna, titular de la Secretaría General de Gobierno en Hidalgo, durante la clausura de uno de estos túneles. Además del túnel de Pachuca, ya fueron inhabilitados dos en Cuautepec y otro más se encuentra en proceso de intervención en Tlaxcoapan. Uno de los hallazgos más recientes de túneles usados para robo de hidrocarburo ocurrió en el municipio de Pachuca, informó Román Bernal Díaz, subsecretario de Protección Civil y Gestión de Riesgos de Hidalgo, Román Bernal Díaz. Explicó que el túnel fue descubierto antes de llegar a la vialidad principal y que ya contaba con una manguera conectada a un ducto de combustible de 14 pulgadas. La excavación tenía una profundidad aproximada de tres metros, mientras que el acceso medía cuatro metros. “Es un riesgo latente porque se encuentra dentro de la zona urbana de la capital. Lo que queremos es que la población conozca que se está trabajando y que, ante cualquier excavación irregular, informe de inmediato a las autoridades”. Cuando se detecta un túnel, la entrada se cubre inicialmente con tierra para impedir el acceso; sin embargo, gran parte de la excavación permanece abierta hasta concluir el proceso judicial. Una vez liberado el sitio, explicó personal de Protección Civil, se destruye la estructura subterránea, posteriormente se rellena y compacta el terreno para evitar que vuelva a ser utilizada, especialmente cuando se ubica cerca de zonas habitacionales. En otros casos, como aquellos que pasan por debajo de viviendas, las autoridades analizan alternativas como el relleno con concreto.</t>
  </si>
  <si>
    <t>Radioescucha pregunta si es está permitido por la SEPH, que en una escuela pública se hagan actividades de reforzamiento para los alumnos, pues les dijeron que tendrán que asistir la mitad de un grupo un día y la otra mitad otro día.</t>
  </si>
  <si>
    <t>Queja padres de familia</t>
  </si>
  <si>
    <t>Hidalgo acumula 120 incendios forestales y 3 mil 130 hectáreas afectadas entre enero y el 22 de junio de 2026, cifras que colocan a la entidad cerca de igualar los daños registrados durante todo 2025, cuando se contabilizaron 144 siniestros y 3 mil 758 hectáreas impactadas por el fuego. De acuerdo con el último reporte sobre incendios de la Comisión Nacional Forestal (Conafor), la superficie dañada este año ya representa el 83.3 por ciento de las hectáreas afectadas durante todo el año pasado, mientras que el número de incendios equivale también al 83.3 por ciento de los 144 siniestros registrados en 2025. La estadística muestra que, a falta de más de seis meses para concluir el año, Hidalgo se encuentra a solo 628 hectáreas de alcanzar la superficie afectada que reportó al cierre de 2025 y a 24 incendios de igualar el número total de incidentes registrados el año pasado. Según la Conafor, durante 2026 las llamas han afectado principalmente vegetación arbustiva, con 2 mil 177 hectáreas dañadas, seguida por 719 hectáreas de vegetación herbácea, 177 hectáreas de renuevo forestal y 56 hectáreas de hojarasca. Además, Hidalgo se ubica entre las diez entidades del país con mayor número de incendios en ecosistemas sensibles al fuego, al registrar 45 eventos de este tipo durante el periodo analizado. De manera general, Hidalgo ocupa el lugar 18 en número de incendios y el lugar 20 en superficie afectada. A nivel nacional, la Conafor reportó 4 mil 933 incendios forestales y una superficie afectada de 381 mil 622 hectáreas entre enero y junio de 2026.</t>
  </si>
  <si>
    <t>Incendios forestales</t>
  </si>
  <si>
    <t>Erika Ortigoza Vázquez, titular de la Comisión Estatal de Biodiversidad de Hidalgo (Coesbioh) aseguró que hasta el momento no ha recibido ninguna notificación formal ni ha existido acercamiento alguno por parte de organizaciones vinculadas con la tauromaquia, luego de que estas anunciaran la posibilidad de emprender acciones legales por las opiniones emitidas respecto al impacto ambiental y ecológico de la tauromaquia. El pasado mes de mayo, integrantes de Tauromaquia Mexicana Hidalgo anunciaron que emprenderían acciones legales contra la titular de Coesbioh, al considerar que sus declaraciones sobre tauromaquia fueron irresponsables y sin sustento. Al respecto, la funcionaria precisó que nunca realizó declaraciones personales sobre el tema, sino que emitió una opinión técnica a solicitud del presidente de la Comisión de Medio Ambiente del Congreso de Hidalgo, Avelino Tovar, documento que, subrayó, carece de carácter obligatorio y únicamente reúne información científica previamente publicada.</t>
  </si>
  <si>
    <t>El gobernador de Hidalgo, Julio Menchaca Salazar, lamentó el desistimiento de la empresa que construiría un parque fotovoltaico en el municipio de Singuilucan y agregó que, para evitar un escenario similar en Tecozautla, el proyecto debe socializarse. Lo anterior, luego de que Desarrollos Fotovoltaicos de México del Centro S.A.P.I. de C.V. retiró el procedimiento de evaluación de impacto ambiental del “Parque Solar Tulancingo” que tendría capacidad para generar 118 megawatts durante 25 años. "Sería una lástima porque es una energía que no contamina y que han sido malinformadas algunas comunidades con algo que ecológicamente no causa ningún daño", expresó. Menchaca Salazar señaló que hasta el momento no ha recibido una notificación oficial sobre la renuncia de dicha compañía nacional. Sin embargo, explicó que la entidad cuenta con condiciones para la generación de energía porque después de Tamaulipas, Hidalgo es uno de los estados con mayor calidad de radiación solar del país, lo que despertó el interés de la industria energética. Respecto a otro parque fotovoltaico que se construirá, pero en el municipio de Tecozautla, donde habitantes de la comunidad de San Joaquín promovieron un amparo para frenar la edificación, Menchaca Salazar consideró que la oposición es por falta de información. Afirmó que los proyectos de este tipo cuentan con estudios de impacto ambiental y evaluaciones de las autoridades federales y estatales. Por ello, añadió que socializarán el tema mediante la difusión de ejemplos de parques solares que actualmente operan sin generar afectaciones ambientales.</t>
  </si>
  <si>
    <t>La Auditoría Superior de la Federación (ASF) revisó cómo el Gobierno de Hidalgo distribuyó y pagó las participaciones federales a sus municipios durante la Cuenta Pública 2025, en una operación que involucró 6 mil 567 millones 686 mil 913 pesos. Aunque la revisión concluyó que, en términos generales, el gobierno estatal realizó una gestión adecuada en la entrega de esos recursos, la ASF identificó áreas de mejora relacionadas con los criterios de transparencia y con la forma en que se administraron algunos pagos. La auditoría 968, denominada Distribución de las Participaciones Federales, revisó el 100% de los recursos asignados a Hidalgo por este concepto. Las participaciones son recursos federales que los estados reciben y posteriormente distribuyen a los municipios para financiar servicios, obras y operación pública. De acuerdo con el dictamen, la ASF determinó 20 resultados durante la revisión. En 17 de ellos no encontró irregularidades y tres fueron solventados por el Gobierno de Hidalgo antes de que se emitiera el informe final, sin embargo, el órgano fiscalizador señaló que los recursos del Fondo General de Participaciones fueron ministrados a los municipios en dos pagos, cuando ese esquema no está señalado en la normativa aplicable. También detectó que la entidad no describió el procedimiento utilizado para determinar el coeficiente de la variable del Índice de Marginación ni precisó el año del coeficiente empleado para distribuir los ajustes cuatrimestrales y las diferencias trimestrales. A esto se sumó una observación sobre la información utilizada para el Índice de Transparencia Hacendaria Municipal. Ello debido a que la fuente de datos no correspondía con lo previsto en el acuerdo que regula la distribución de recursos provenientes del Fondo de Compensación para los Municipios del Estado de Hidalgo durante el ejercicio fiscal 2025. Pese a estas observaciones, la ASF no reportó recursos pendientes por aclarar ni recuperaciones derivadas de la auditoría específica practicada a Hidalgo.</t>
  </si>
  <si>
    <t>La Auditoría Superior del Estado de Hidalgo detectó observaciones s por más de 46.3 millones de pesos durante la primera revisión de la cuenta publica 2025, siendo los municipios de Pachuca, Tula y Tulancingo los que concentran los montos más elevados. Durante la entrega de los informes individuales, el titular de la Auditoría Superior del Estado de Hidalgo, Jorge Valverde Islas informó que del monto observado poco más de 32 millones de pesos corresponden a administraciones municipales. Tula de Allende encabeza la lista por 17 17 millones 671 mil 86.16 pesos; Tulancingo de Bravo, con cinco millones 743 mil 297.26 pesos; y Pachuca, con cinco millones 43 mil 614.20 pesos. Figura también Zapotlán y Mineral del Monte con montos menores. La revisión incluyó también 85 auditorías practicadas a municipios, organismos descentralizados, entidades paraestatales y un organismo autónomo. Como parte del proceso también se evaluó el despeño de diversas instituciones públicas. en el caso de organismos descentralizados municipales las observaciones ascienden a más de 9 millones de pesos, mientas que las entidades paraestatales y organismos autónomos también acumulan poco más de 5.3 millones de pesos. Entre estas últimas destacan Radio y Televisión de Hidalgo y la Universidad Politécnica de la Energía, por registrar los montos observados más altos. Como resultado, la misma Auditoría Superior emitió 43 recomendaciones y 202 pliegos de observaciones que deberán ser atendidos por las entidades fiscalizadas. Jorge Valverde aclaró que la entidades fiscalizadas no representan por sí mismas un desvío de recursos, ya que cuentan con 30 días hábiles a partir de la notificación de su informe individual para presentar la documentación que acredite la solventación de las observaciones correspondientes.</t>
  </si>
  <si>
    <t>Observaciones ASEH</t>
  </si>
  <si>
    <t>CAAMT informa que el Pozo Rayuela 2 se encuentra fuera de operación de manera temporal por la reparación de una fuga en la línea de conducción de 8". Esta situación afecta el suministro de agua en las colonias: Ampliación Santa Teresa, Ampliación San Juan, Santa Teresa y Bella Vista. Nuestro personal ya trabaja para reparar la fuga y restablecer el servicio lo antes posible. Agradecemos su comprensión.</t>
  </si>
  <si>
    <t>Autoridades municipales de Huehuetla se comprometieron con habitantes de la zona norte de dicha demarcación, iniciar la habilitación de un puente peatonal para poder realizar movilidad. Lo anterior ocurrió luego de realizarse manifestación durante la mañana del martes 30 de junio, exigiendo a las autoridades para atender las vialidades, afectadas tras el registro de lluvias. En entrevista con Ultra Noticias Hidalgo, Felipe Naranjo Mendoza, profesor la Educación Primaria Escuela “Veintiuno de Marzo”, ubicada en la localidad de La Esperanza 1, una de las afectadas por el estado de las vialidades, señaló que la situación ya es desesperante. Ello debido a que las lluvias han provocado deslaves, que han complicado la circulación vehicular, debido a la caída de piedras y tierra. Uno de los temas más graves ha sido la caída en cuatro ocasiones desde el mes de octubre del año pasado del puente Zicatlán, dejando incomunicadas localidades en la zona norte del municipio. La caída del puente ha generado problemas para el traslado de personas que requieren atención médica, en algunos casos de emergencia; así como la movilidad en general, tanto para cuestiones personales, como laborales y educativas. El docente señaló que también existen problemas para el surtido de alimentos y productos de limpieza y sanitización, incluso teniendo por días situaciones de desabasto total. “Actualmente, el transporte da la vuelta hasta el Estado de Puebla para entrar o salir de la zona, lo que implica invertir mucho tiempo, lo que hace complicada la vida, sobre todo en la atención de emergencias o situaciones prioritarias”, enfatizó. Naranjo Mendoza señaló que en días recientes, autoridades de los tres órdenes de gobierno les presentaron a los vecinos de la zona los planos para la construcción de un puente peatonal para servicio de la población de la zona norte del municipio. La construcción del puente peatonal está proyectada para llevarse a cabo en aproximadamente siete meses, “pero van retrasadas otras obras, entonces, creemos que el tiempo de construcción puede llevar hasta un año”. Una de las propuestas es la colocación de tubos de mayor diámetro sobre el cuerpo de agua donde se ubica el puente afectado en por lo menos cuatro ocasiones para que en caso de una crecida, fluyan las descargas pluviales. Tras los acuerdos, los pobladores confiaron que paulatinamente se estén realizando el resto de las obras viales pendientes para la demarcación.</t>
  </si>
  <si>
    <t>Colapso de puente</t>
  </si>
  <si>
    <t>Hidalgo se ubicó entre las entidades con mayor número de carpetas de investigación por el delito de violación durante los primeros cinco meses de 2026, al registrar 383 expedientes, de acuerdo con cifras del Secretariado Ejecutivo del Sistema Nacional de Seguridad Pública. Los datos, reportados por la Procuraduría General de Justicia del Estado de Hidalgo (PGJEH), colocan a la entidad en el sexto lugar nacional. Del total de investigaciones, 218 corresponden al delito de violación simple y 165 a violación equiparada. A nivel nacional se iniciaron 8 mil 253 carpetas de investigación por ambos delitos entre enero y mayo. El Estado de México encabezó la lista con mil 125 casos, seguido por la Ciudad de México con 944, Nuevo León con 551, Chihuahua con 521 y Guanajuato con 464. Después aparece Hidalgo con 383 expedientes. En contraste, Tlaxcala y Yucatán fueron las entidades con menor incidencia registrada durante ese periodo, con ocho y 18 carpetas de investigación, respectivamente. De acuerdo con el Código Penal del Estado de Hidalgo, la violación se configura cuando una persona obliga a otra, mediante violencia física o moral, a sostener relaciones sexuales. Este delito contempla sanciones que van de siete a 20 años de prisión, además de una multa económica. Las autoridades federales han señalado que las cifras oficiales representan únicamente los casos denunciados, ya que existe un importante subregistro debido a que muchas víctimas no acuden ante las autoridades por temor, desconfianza o por considerar que el proceso de denuncia es complejo. Ante este panorama, el Gobierno de México ha impulsado campañas para promover la denuncia y brindar acompañamiento a las víctimas, con el objetivo de facilitar el acceso a la justicia y combatir la violencia sexual.</t>
  </si>
  <si>
    <t>Incidencia Delictiva</t>
  </si>
  <si>
    <t>El miedo, la dependencia económica y el temor a las represalias continúan siendo los principales obstáculos para que las víctimas de violencia familiar rompan el círculo de agresiones. En Tulancingo, alrededor del 25 por ciento de las mujeres que inician un proceso de atención en el Centro Especializado de Atención a la Violencia Familiar (CEAVIF) decide no continuarlo. La directora del CEAVIF, Alhexia Merchan Veytia, explicó que muchas usuarias desisten de recibir apoyo porque prefieren permanecer en el entorno donde viven la violencia o temen las consecuencias de denunciar. Ante ello, el objetivo del centro es acompañarlas para que recuperen su confianza, fortalezcan su autoestima y conozcan las herramientas con las que cuentan para salir de esa situación. De enero a junio de este año, el organismo ha otorgado 645 servicios, entre ellos 183 asesorías jurídicas, 120 atenciones psicológicas, 322 participaciones en pláticas de orientación y prevención, además del resguardo temporal de 20 personas. Aunque la atención está dirigida principalmente a mujeres, adolescentes y sus familias, la directora indicó que cerca del 7 por ciento de las personas que solicitan apoyo son hombres, quienes también reciben acompañamiento especializado. El CEAVIF ofrece de manera gratuita atención psicológica, jurídica, tanatológica y, cuando es necesario, refugio temporal para personas que enfrentan violencia familiar.</t>
  </si>
  <si>
    <t>Violencia familiar</t>
  </si>
  <si>
    <t>Tenemos el día de hoy conferencia de prensa (sic) sobre la entrega de un simulador de quinta rueda al plantel de ICATHI en Mineral de la Reforma.</t>
  </si>
  <si>
    <t>Vía telefónica Milton Cortés informa que los festejos por el triunfo de la Selección Mexicana ha dejado accidentes, personas heridas y tres personas muertas en todo el país. En Hidalgo, lamentablemente en el municipio de Zempoala un conductor perdió el control de su vehículo, luego de que al parecer le rociaron espuma en los ojos y lesionó a 5 personas.</t>
  </si>
  <si>
    <t>El día de hoy el gobernador Julio Menchaca a las 11 de la mañana en el Centro Estatal de Maquinaria y Desarrollo, hará entrega de infraestructura, maquinaria y equipamiento para el fortalecimiento de las operaciones del Poder Ejecutivo del Estado de Hidalgo.</t>
  </si>
  <si>
    <t>Agenda gobernador</t>
  </si>
  <si>
    <t>El Secretario de Gobierno, Guillermo Olivares Reyna estará el día de hoy por la tarde en el municipio de Acaxochitlán, a donde levará las Mesas por la Paz</t>
  </si>
  <si>
    <t>Se reporta fuga de hidrocarburo en una toma clandestina en la comunidad de San Juan Tizahuapan, en el municipio de Epazoyucan.</t>
  </si>
  <si>
    <t>Fuga de hidrocarburo</t>
  </si>
  <si>
    <t>Andrés Torres comenta que no hay internet en Radio y Televisión, por lo que no pueden seguir su página (vocalesonline.com. mx) que es su guía y tienen que usar sus "datos" (internet móvil).</t>
  </si>
  <si>
    <t>Conectividad a internet</t>
  </si>
  <si>
    <t>Andrés Torres respecto a la inhabilitación de un túnel localizado en Pachuca a un costado de la carretera antigua a La Paz, dice que estas acciones dan muestra de que el combate contra el crimen y prácticas ilícitas va en serio.</t>
  </si>
  <si>
    <t>En el Hidalgo se detectaron e inhabilitaron un total de 18 túneles utilizados por grupos criminales para el robo de combustible, según informó el secretario de Gobierno de la entidad, Guillermo Olivares Reyna, durante la clausura y destrucción de uno de estos pasadizos subterráneos. De acuerdo con el funcionario, el municipio de Cuautepec de Hinojosa encabeza la lista con la mayor incidencia, sumando cuatro túneles asegurados. Le siguen Pachuca, Tula de Allende, Mineral de la Reforma y Tepeapulco, con dos infraestructuras clandestinas cada uno. Por su parte, Tepeji del Río, Tlanalapa, Tlaxcoapan, Tepetitlán, Nopala de Villagrán y Atitalaquia registran un túnel detectado por demarcación. El hallazgo en la capital: un vivero como fachada Como parte de estas acciones, las autoridades procedieron a la destrucción y sellado definitivo de un túnel localizado en Pachuca, el cual fue descubierto en agosto de 2023 a un costado de la antigua carretera a La Paz. La infraestructura operaba bajo la fachada de un vivero comercial y conectaba directamente de forma subterránea con un ducto de Petróleos Mexicanos (Pemex). La ubicación del sitio fue posible gracias a una denuncia ciudadana que alertó sobre diversas irregularidades en el inmueble. Derivado de la denuncia, se desplegó un operativo coordinado entre elementos de la Secretaría de la Defensa Nacional (Sedena), la Fiscalía General de la República (FGR) y la Policía Estatal de Hidalgo y la intervención concluyó con la captura de tres personas presuntamente vinculadas al delito de robo de hidrocarburo. En su momento, en dicho lugar, las fuerzas del orden aseguraron 280 litros de gasolina almacenada, 30 metros de manguera de alta presión, diversos contenedores para la distribución del combustible, así como una camioneta marca Chevrolet. Una vez concluidas las indagatorias y peritajes correspondientes por parte del Ministerio Público Federal, el Gobierno del Estado determinó el sellado total de la estructura, con el argumento de que las condiciones del túnel representaban un riesgo latente de explosión o derrumbe para la población aledaña, por lo cual dicha acción se llevó a cabo este martes.</t>
  </si>
  <si>
    <t>Radio Tlanchinol está nuevamente al aire en el 94.1 FM, ya se reestableció la energía eléctrica. El 1010 AM El Vocero huasteco sigue fuera del aire hace más de dos meses, debido a que no hay combustible.</t>
  </si>
  <si>
    <t>Una celebración deportiva terminó en tragedia la noche de ayer, luego de que un automóvil embistió a una multitud en el fraccionamiento Viñedos, perteneciente al municipio de Zempoala, dejando un saldo de cinco personas lesionadas y civiles enardecidos. Un grupo de aficionados se encontraba reunido en la vía pública festejando el triunfo de la selección Mexicana de Fútbol, cuando el conductor de un vehículo particular avanzó contra la muchedumbre, impactando de manera directa a los asistentes. Tras el percance, los testigos alertaron de inmediato a los números de emergencia, por lo arribaron paramédicos, quienes brindaron los primeros auxilios a los lesionados. La situación se tornó tensa cuando vecinos y testigos del incidente impidieron la huida del automovilista quienes arremetió físicamente contra el conductor y causó destrozos significativos a la carrocería de la unidad. Elementos de la policía municipal intervinieron para asegurar al individuo y evitar un hecho mayor. Trasladando al responsable al ministerio público, donde se iniciará la carpeta de investigación correspondiente para deslindar responsabilidades y determinar su situación jurídica en las próximas horas.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</si>
</sst>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
  </numFmts>
  <fonts count="2" x14ac:knownFonts="1">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14" fontId="0" fillId="0" borderId="0" xfId="0" applyNumberFormat="1"/>
    <xf numFmtId="164" fontId="0" fillId="0" borderId="0" xfId="0" applyNumberFormat="1"/>
    <xf numFmtId="0" fontId="0" fillId="0" borderId="0" xfId="0" applyNumberFormat="1"/>
  </cellXfs>
  <cellStyles count="1">
    <cellStyle name="Normal" xfId="0" builtinId="0"/>
  </cellStyles>
  <dxfs count="11">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64" formatCode="d/m/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1" xr16:uid="{9EC5DF1A-B186-4054-9982-86BB894F851C}" autoFormatId="16" applyNumberFormats="0" applyBorderFormats="0" applyFontFormats="0" applyPatternFormats="0" applyAlignmentFormats="0" applyWidthHeightFormats="0">
  <queryTableRefresh nextId="21">
    <queryTableFields count="13">
      <queryTableField id="1" name="Fecha" tableColumnId="1"/>
      <queryTableField id="11" dataBound="0" tableColumnId="11"/>
      <queryTableField id="12" name="Radiodifusora" tableColumnId="12"/>
      <queryTableField id="13" name="Programa" tableColumnId="13"/>
      <queryTableField id="3" name="Titular" tableColumnId="3"/>
      <queryTableField id="6" name="Dependencia" tableColumnId="6"/>
      <queryTableField id="9" name="Tema" tableColumnId="9"/>
      <queryTableField id="8" name="Canal" tableColumnId="8"/>
      <queryTableField id="10" name="Estatus" tableColumnId="10"/>
      <queryTableField id="14" name="Clasificación" tableColumnId="14"/>
      <queryTableField id="15" name="Autor" tableColumnId="15"/>
      <queryTableField id="16" name="Género" tableColumnId="16"/>
      <queryTableField id="20" name="Recuento" tableColumnId="1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7AF3FA-E95C-4D17-A1C9-B8D7CBE34EF0}" name="Información1" displayName="Información1" ref="A1:M188" tableType="queryTable" totalsRowShown="0">
  <autoFilter ref="A1:M188" xr:uid="{717AF3FA-E95C-4D17-A1C9-B8D7CBE34EF0}"/>
  <tableColumns count="13">
    <tableColumn id="1" xr3:uid="{EB19E952-2F9B-4E64-9A19-C7B52F571890}" uniqueName="1" name="Fecha" queryTableFieldId="1" dataDxfId="10"/>
    <tableColumn id="11" xr3:uid="{A48192A8-75D4-491A-AE26-6A961BCFF6FF}" uniqueName="11" name="Día" queryTableFieldId="11" dataDxfId="9">
      <calculatedColumnFormula>IF(Información1[[#This Row],[Fecha]]='Ajuste de fechas'!$A$2,"Día actual","Día anterior")</calculatedColumnFormula>
    </tableColumn>
    <tableColumn id="12" xr3:uid="{4F30991B-1882-48AE-BBBC-64FCA8279BA1}" uniqueName="12" name="Radiodifusora" queryTableFieldId="12" dataDxfId="8"/>
    <tableColumn id="13" xr3:uid="{517B0A2C-DF6B-4794-9C97-29B5F886839A}" uniqueName="13" name="Programa" queryTableFieldId="13"/>
    <tableColumn id="3" xr3:uid="{3DD51BE0-FD5E-43FC-B095-76D2D204B603}" uniqueName="3" name="Titular" queryTableFieldId="3" dataDxfId="7"/>
    <tableColumn id="6" xr3:uid="{26FEF469-35CF-4C60-A1AE-6CF1039F413A}" uniqueName="6" name="Dependencia" queryTableFieldId="6" dataDxfId="6"/>
    <tableColumn id="9" xr3:uid="{A1DC7DCD-8016-4C54-B5CE-B9D28C1CC171}" uniqueName="9" name="Tema" queryTableFieldId="9" dataDxfId="5"/>
    <tableColumn id="8" xr3:uid="{B82BEC87-3598-42A1-B8B9-34F0762C5BB2}" uniqueName="8" name="Canal" queryTableFieldId="8" dataDxfId="4"/>
    <tableColumn id="10" xr3:uid="{692FF757-1020-40D1-A4F6-D548E7C4E980}" uniqueName="10" name="Estatus" queryTableFieldId="10" dataDxfId="3"/>
    <tableColumn id="14" xr3:uid="{C39741D3-700F-486E-B020-D2528DDA6016}" uniqueName="14" name="Clasificación" queryTableFieldId="14" dataDxfId="2"/>
    <tableColumn id="15" xr3:uid="{33A7D71D-EB15-4FD0-8031-4FF610A857BA}" uniqueName="15" name="Autor" queryTableFieldId="15" dataDxfId="1"/>
    <tableColumn id="16" xr3:uid="{B0698B4E-43A3-42F4-8099-288A9107B833}" uniqueName="16" name="Género" queryTableFieldId="16" dataDxfId="0"/>
    <tableColumn id="17" xr3:uid="{0B5B25B3-3146-48A6-884B-EBAF2D195A97}" uniqueName="17" name="Recuento" queryTableFieldId="2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50E258-ABE8-47CB-99E6-7B12678D449B}">
  <dimension ref="A1:M188"/>
  <sheetViews>
    <sheetView tabSelected="1" topLeftCell="A73" workbookViewId="0">
      <selection activeCell="D54" sqref="D54"/>
    </sheetView>
  </sheetViews>
  <sheetFormatPr baseColWidth="10" defaultRowHeight="15" x14ac:dyDescent="0.25"/>
  <cols>
    <col min="1" max="1" width="8.5703125" bestFit="1" customWidth="1"/>
    <col min="2" max="2" width="11.42578125" bestFit="1" customWidth="1"/>
    <col min="3" max="3" width="27.28515625" bestFit="1" customWidth="1"/>
    <col min="4" max="4" width="30.7109375" bestFit="1" customWidth="1"/>
    <col min="5" max="5" width="81.140625" bestFit="1" customWidth="1"/>
    <col min="6" max="6" width="15.28515625" bestFit="1" customWidth="1"/>
    <col min="7" max="7" width="29" bestFit="1" customWidth="1"/>
    <col min="8" max="8" width="11" bestFit="1" customWidth="1"/>
    <col min="9" max="9" width="11.140625" bestFit="1" customWidth="1"/>
    <col min="10" max="10" width="25.7109375" bestFit="1" customWidth="1"/>
    <col min="11" max="11" width="22.28515625" bestFit="1" customWidth="1"/>
    <col min="12" max="12" width="21.42578125" bestFit="1" customWidth="1"/>
    <col min="13" max="13" width="12" bestFit="1" customWidth="1"/>
    <col min="14" max="14" width="19.42578125" bestFit="1" customWidth="1"/>
    <col min="15" max="15" width="20.5703125" bestFit="1" customWidth="1"/>
    <col min="16" max="16" width="80.7109375" bestFit="1" customWidth="1"/>
    <col min="17" max="17" width="9.85546875" bestFit="1" customWidth="1"/>
  </cols>
  <sheetData>
    <row r="1" spans="1:13" x14ac:dyDescent="0.25">
      <c r="A1" t="s">
        <v>0</v>
      </c>
      <c r="B1" t="s">
        <v>18</v>
      </c>
      <c r="C1" t="s">
        <v>19</v>
      </c>
      <c r="D1" t="s">
        <v>20</v>
      </c>
      <c r="E1" t="s">
        <v>1</v>
      </c>
      <c r="F1" t="s">
        <v>2</v>
      </c>
      <c r="G1" t="s">
        <v>4</v>
      </c>
      <c r="H1" t="s">
        <v>3</v>
      </c>
      <c r="I1" t="s">
        <v>5</v>
      </c>
      <c r="J1" t="s">
        <v>21</v>
      </c>
      <c r="K1" t="s">
        <v>22</v>
      </c>
      <c r="L1" t="s">
        <v>23</v>
      </c>
      <c r="M1" t="s">
        <v>27</v>
      </c>
    </row>
    <row r="2" spans="1:13" x14ac:dyDescent="0.25">
      <c r="A2" s="2">
        <v>46203</v>
      </c>
      <c r="B2" s="1" t="str">
        <f ca="1">IF(Información1[[#This Row],[Fecha]]='Ajuste de fechas'!$A$2,"Día actual","Día anterior")</f>
        <v>Día anterior</v>
      </c>
      <c r="C2" s="3" t="s">
        <v>16</v>
      </c>
      <c r="D2" t="s">
        <v>67</v>
      </c>
      <c r="E2" s="3" t="s">
        <v>97</v>
      </c>
      <c r="F2" s="3" t="s">
        <v>80</v>
      </c>
      <c r="G2" s="3" t="s">
        <v>98</v>
      </c>
      <c r="H2" s="3" t="s">
        <v>8</v>
      </c>
      <c r="I2" s="3" t="s">
        <v>7</v>
      </c>
      <c r="J2" s="3" t="s">
        <v>13</v>
      </c>
      <c r="K2" s="3" t="s">
        <v>68</v>
      </c>
      <c r="L2" s="3" t="s">
        <v>24</v>
      </c>
      <c r="M2">
        <v>1</v>
      </c>
    </row>
    <row r="3" spans="1:13" x14ac:dyDescent="0.25">
      <c r="A3" s="2">
        <v>46203</v>
      </c>
      <c r="B3" s="1" t="str">
        <f ca="1">IF(Información1[[#This Row],[Fecha]]='Ajuste de fechas'!$A$2,"Día actual","Día anterior")</f>
        <v>Día anterior</v>
      </c>
      <c r="C3" s="3" t="s">
        <v>16</v>
      </c>
      <c r="D3" t="s">
        <v>67</v>
      </c>
      <c r="E3" s="3" t="s">
        <v>99</v>
      </c>
      <c r="F3" s="3" t="s">
        <v>100</v>
      </c>
      <c r="G3" s="3" t="s">
        <v>98</v>
      </c>
      <c r="H3" s="3" t="s">
        <v>8</v>
      </c>
      <c r="I3" s="3" t="s">
        <v>7</v>
      </c>
      <c r="J3" s="3" t="s">
        <v>13</v>
      </c>
      <c r="K3" s="3" t="s">
        <v>68</v>
      </c>
      <c r="L3" s="3" t="s">
        <v>24</v>
      </c>
      <c r="M3">
        <v>1</v>
      </c>
    </row>
    <row r="4" spans="1:13" x14ac:dyDescent="0.25">
      <c r="A4" s="2">
        <v>46203</v>
      </c>
      <c r="B4" s="1" t="str">
        <f ca="1">IF(Información1[[#This Row],[Fecha]]='Ajuste de fechas'!$A$2,"Día actual","Día anterior")</f>
        <v>Día anterior</v>
      </c>
      <c r="C4" s="3" t="s">
        <v>16</v>
      </c>
      <c r="D4" t="s">
        <v>67</v>
      </c>
      <c r="E4" s="3" t="s">
        <v>101</v>
      </c>
      <c r="F4" s="3" t="s">
        <v>10</v>
      </c>
      <c r="G4" s="3" t="s">
        <v>102</v>
      </c>
      <c r="H4" s="3" t="s">
        <v>8</v>
      </c>
      <c r="I4" s="3" t="s">
        <v>7</v>
      </c>
      <c r="J4" s="3" t="s">
        <v>38</v>
      </c>
      <c r="K4" s="3" t="s">
        <v>68</v>
      </c>
      <c r="L4" s="3" t="s">
        <v>24</v>
      </c>
      <c r="M4">
        <v>1</v>
      </c>
    </row>
    <row r="5" spans="1:13" x14ac:dyDescent="0.25">
      <c r="A5" s="2">
        <v>46203</v>
      </c>
      <c r="B5" s="1" t="str">
        <f ca="1">IF(Información1[[#This Row],[Fecha]]='Ajuste de fechas'!$A$2,"Día actual","Día anterior")</f>
        <v>Día anterior</v>
      </c>
      <c r="C5" s="3" t="s">
        <v>16</v>
      </c>
      <c r="D5" t="s">
        <v>67</v>
      </c>
      <c r="E5" s="3" t="s">
        <v>103</v>
      </c>
      <c r="F5" s="3" t="s">
        <v>12</v>
      </c>
      <c r="G5" s="3" t="s">
        <v>52</v>
      </c>
      <c r="H5" s="3" t="s">
        <v>8</v>
      </c>
      <c r="I5" s="3" t="s">
        <v>7</v>
      </c>
      <c r="J5" s="3" t="s">
        <v>36</v>
      </c>
      <c r="K5" s="3" t="s">
        <v>68</v>
      </c>
      <c r="L5" s="3" t="s">
        <v>24</v>
      </c>
      <c r="M5">
        <v>1</v>
      </c>
    </row>
    <row r="6" spans="1:13" x14ac:dyDescent="0.25">
      <c r="A6" s="2">
        <v>46203</v>
      </c>
      <c r="B6" s="1" t="str">
        <f ca="1">IF(Información1[[#This Row],[Fecha]]='Ajuste de fechas'!$A$2,"Día actual","Día anterior")</f>
        <v>Día anterior</v>
      </c>
      <c r="C6" s="3" t="s">
        <v>16</v>
      </c>
      <c r="D6" t="s">
        <v>67</v>
      </c>
      <c r="E6" s="3" t="s">
        <v>104</v>
      </c>
      <c r="F6" s="3" t="s">
        <v>15</v>
      </c>
      <c r="G6" s="3" t="s">
        <v>105</v>
      </c>
      <c r="H6" s="3" t="s">
        <v>8</v>
      </c>
      <c r="I6" s="3" t="s">
        <v>7</v>
      </c>
      <c r="J6" s="3" t="s">
        <v>36</v>
      </c>
      <c r="K6" s="3" t="s">
        <v>68</v>
      </c>
      <c r="L6" s="3" t="s">
        <v>24</v>
      </c>
      <c r="M6">
        <v>1</v>
      </c>
    </row>
    <row r="7" spans="1:13" x14ac:dyDescent="0.25">
      <c r="A7" s="2">
        <v>46203</v>
      </c>
      <c r="B7" s="1" t="str">
        <f ca="1">IF(Información1[[#This Row],[Fecha]]='Ajuste de fechas'!$A$2,"Día actual","Día anterior")</f>
        <v>Día anterior</v>
      </c>
      <c r="C7" s="3" t="s">
        <v>16</v>
      </c>
      <c r="D7" t="s">
        <v>67</v>
      </c>
      <c r="E7" s="3" t="s">
        <v>106</v>
      </c>
      <c r="F7" s="3" t="s">
        <v>10</v>
      </c>
      <c r="G7" s="3" t="s">
        <v>107</v>
      </c>
      <c r="H7" s="3" t="s">
        <v>8</v>
      </c>
      <c r="I7" s="3" t="s">
        <v>7</v>
      </c>
      <c r="J7" s="3" t="s">
        <v>38</v>
      </c>
      <c r="K7" s="3" t="s">
        <v>68</v>
      </c>
      <c r="L7" s="3" t="s">
        <v>24</v>
      </c>
      <c r="M7">
        <v>1</v>
      </c>
    </row>
    <row r="8" spans="1:13" x14ac:dyDescent="0.25">
      <c r="A8" s="2">
        <v>46203</v>
      </c>
      <c r="B8" s="1" t="str">
        <f ca="1">IF(Información1[[#This Row],[Fecha]]='Ajuste de fechas'!$A$2,"Día actual","Día anterior")</f>
        <v>Día anterior</v>
      </c>
      <c r="C8" s="3" t="s">
        <v>16</v>
      </c>
      <c r="D8" t="s">
        <v>67</v>
      </c>
      <c r="E8" s="3" t="s">
        <v>108</v>
      </c>
      <c r="F8" s="3" t="s">
        <v>10</v>
      </c>
      <c r="G8" s="3" t="s">
        <v>109</v>
      </c>
      <c r="H8" s="3" t="s">
        <v>8</v>
      </c>
      <c r="I8" s="3" t="s">
        <v>7</v>
      </c>
      <c r="J8" s="3" t="s">
        <v>38</v>
      </c>
      <c r="K8" s="3" t="s">
        <v>68</v>
      </c>
      <c r="L8" s="3" t="s">
        <v>24</v>
      </c>
      <c r="M8">
        <v>1</v>
      </c>
    </row>
    <row r="9" spans="1:13" x14ac:dyDescent="0.25">
      <c r="A9" s="2">
        <v>46203</v>
      </c>
      <c r="B9" s="1" t="str">
        <f ca="1">IF(Información1[[#This Row],[Fecha]]='Ajuste de fechas'!$A$2,"Día actual","Día anterior")</f>
        <v>Día anterior</v>
      </c>
      <c r="C9" s="3" t="s">
        <v>16</v>
      </c>
      <c r="D9" t="s">
        <v>67</v>
      </c>
      <c r="E9" s="3" t="s">
        <v>110</v>
      </c>
      <c r="F9" s="3" t="s">
        <v>11</v>
      </c>
      <c r="G9" s="3" t="s">
        <v>111</v>
      </c>
      <c r="H9" s="3" t="s">
        <v>8</v>
      </c>
      <c r="I9" s="3" t="s">
        <v>7</v>
      </c>
      <c r="J9" s="3" t="s">
        <v>37</v>
      </c>
      <c r="K9" s="3" t="s">
        <v>68</v>
      </c>
      <c r="L9" s="3" t="s">
        <v>24</v>
      </c>
      <c r="M9">
        <v>1</v>
      </c>
    </row>
    <row r="10" spans="1:13" x14ac:dyDescent="0.25">
      <c r="A10" s="2">
        <v>46203</v>
      </c>
      <c r="B10" s="1" t="str">
        <f ca="1">IF(Información1[[#This Row],[Fecha]]='Ajuste de fechas'!$A$2,"Día actual","Día anterior")</f>
        <v>Día anterior</v>
      </c>
      <c r="C10" s="3" t="s">
        <v>16</v>
      </c>
      <c r="D10" t="s">
        <v>67</v>
      </c>
      <c r="E10" s="3" t="s">
        <v>112</v>
      </c>
      <c r="F10" s="3" t="s">
        <v>15</v>
      </c>
      <c r="G10" s="3" t="s">
        <v>113</v>
      </c>
      <c r="H10" s="3" t="s">
        <v>8</v>
      </c>
      <c r="I10" s="3" t="s">
        <v>7</v>
      </c>
      <c r="J10" s="3" t="s">
        <v>36</v>
      </c>
      <c r="K10" s="3" t="s">
        <v>68</v>
      </c>
      <c r="L10" s="3" t="s">
        <v>24</v>
      </c>
      <c r="M10">
        <v>1</v>
      </c>
    </row>
    <row r="11" spans="1:13" x14ac:dyDescent="0.25">
      <c r="A11" s="2">
        <v>46203</v>
      </c>
      <c r="B11" s="1" t="str">
        <f ca="1">IF(Información1[[#This Row],[Fecha]]='Ajuste de fechas'!$A$2,"Día actual","Día anterior")</f>
        <v>Día anterior</v>
      </c>
      <c r="C11" s="3" t="s">
        <v>16</v>
      </c>
      <c r="D11" t="s">
        <v>67</v>
      </c>
      <c r="E11" s="3" t="s">
        <v>114</v>
      </c>
      <c r="F11" s="3" t="s">
        <v>15</v>
      </c>
      <c r="G11" s="3" t="s">
        <v>113</v>
      </c>
      <c r="H11" s="3" t="s">
        <v>8</v>
      </c>
      <c r="I11" s="3" t="s">
        <v>7</v>
      </c>
      <c r="J11" s="3" t="s">
        <v>36</v>
      </c>
      <c r="K11" s="3" t="s">
        <v>68</v>
      </c>
      <c r="L11" s="3" t="s">
        <v>24</v>
      </c>
      <c r="M11">
        <v>1</v>
      </c>
    </row>
    <row r="12" spans="1:13" x14ac:dyDescent="0.25">
      <c r="A12" s="2">
        <v>46203</v>
      </c>
      <c r="B12" s="1" t="str">
        <f ca="1">IF(Información1[[#This Row],[Fecha]]='Ajuste de fechas'!$A$2,"Día actual","Día anterior")</f>
        <v>Día anterior</v>
      </c>
      <c r="C12" s="3" t="s">
        <v>16</v>
      </c>
      <c r="D12" t="s">
        <v>67</v>
      </c>
      <c r="E12" s="3" t="s">
        <v>115</v>
      </c>
      <c r="F12" s="3" t="s">
        <v>15</v>
      </c>
      <c r="G12" s="3" t="s">
        <v>116</v>
      </c>
      <c r="H12" s="3" t="s">
        <v>8</v>
      </c>
      <c r="I12" s="3" t="s">
        <v>7</v>
      </c>
      <c r="J12" s="3" t="s">
        <v>36</v>
      </c>
      <c r="K12" s="3" t="s">
        <v>68</v>
      </c>
      <c r="L12" s="3" t="s">
        <v>26</v>
      </c>
      <c r="M12">
        <v>1</v>
      </c>
    </row>
    <row r="13" spans="1:13" x14ac:dyDescent="0.25">
      <c r="A13" s="2">
        <v>46203</v>
      </c>
      <c r="B13" s="1" t="str">
        <f ca="1">IF(Información1[[#This Row],[Fecha]]='Ajuste de fechas'!$A$2,"Día actual","Día anterior")</f>
        <v>Día anterior</v>
      </c>
      <c r="C13" s="3" t="s">
        <v>16</v>
      </c>
      <c r="D13" t="s">
        <v>67</v>
      </c>
      <c r="E13" s="3" t="s">
        <v>117</v>
      </c>
      <c r="F13" s="3" t="s">
        <v>15</v>
      </c>
      <c r="G13" s="3" t="s">
        <v>75</v>
      </c>
      <c r="H13" s="3" t="s">
        <v>8</v>
      </c>
      <c r="I13" s="3" t="s">
        <v>7</v>
      </c>
      <c r="J13" s="3" t="s">
        <v>36</v>
      </c>
      <c r="K13" s="3" t="s">
        <v>68</v>
      </c>
      <c r="L13" s="3" t="s">
        <v>26</v>
      </c>
      <c r="M13">
        <v>1</v>
      </c>
    </row>
    <row r="14" spans="1:13" x14ac:dyDescent="0.25">
      <c r="A14" s="2">
        <v>46203</v>
      </c>
      <c r="B14" s="1" t="str">
        <f ca="1">IF(Información1[[#This Row],[Fecha]]='Ajuste de fechas'!$A$2,"Día actual","Día anterior")</f>
        <v>Día anterior</v>
      </c>
      <c r="C14" s="3" t="s">
        <v>33</v>
      </c>
      <c r="D14" t="s">
        <v>34</v>
      </c>
      <c r="E14" s="3" t="s">
        <v>118</v>
      </c>
      <c r="F14" s="3" t="s">
        <v>31</v>
      </c>
      <c r="G14" s="3" t="s">
        <v>71</v>
      </c>
      <c r="H14" s="3" t="s">
        <v>8</v>
      </c>
      <c r="I14" s="3" t="s">
        <v>7</v>
      </c>
      <c r="J14" s="3" t="s">
        <v>36</v>
      </c>
      <c r="K14" s="3" t="s">
        <v>35</v>
      </c>
      <c r="L14" s="3" t="s">
        <v>26</v>
      </c>
      <c r="M14">
        <v>1</v>
      </c>
    </row>
    <row r="15" spans="1:13" x14ac:dyDescent="0.25">
      <c r="A15" s="2">
        <v>46203</v>
      </c>
      <c r="B15" s="1" t="str">
        <f ca="1">IF(Información1[[#This Row],[Fecha]]='Ajuste de fechas'!$A$2,"Día actual","Día anterior")</f>
        <v>Día anterior</v>
      </c>
      <c r="C15" s="3" t="s">
        <v>33</v>
      </c>
      <c r="D15" t="s">
        <v>34</v>
      </c>
      <c r="E15" s="3" t="s">
        <v>119</v>
      </c>
      <c r="F15" s="3" t="s">
        <v>31</v>
      </c>
      <c r="G15" s="3" t="s">
        <v>120</v>
      </c>
      <c r="H15" s="3" t="s">
        <v>8</v>
      </c>
      <c r="I15" s="3" t="s">
        <v>7</v>
      </c>
      <c r="J15" s="3" t="s">
        <v>36</v>
      </c>
      <c r="K15" s="3" t="s">
        <v>35</v>
      </c>
      <c r="L15" s="3" t="s">
        <v>26</v>
      </c>
      <c r="M15">
        <v>1</v>
      </c>
    </row>
    <row r="16" spans="1:13" x14ac:dyDescent="0.25">
      <c r="A16" s="2">
        <v>46203</v>
      </c>
      <c r="B16" s="1" t="str">
        <f ca="1">IF(Información1[[#This Row],[Fecha]]='Ajuste de fechas'!$A$2,"Día actual","Día anterior")</f>
        <v>Día anterior</v>
      </c>
      <c r="C16" s="3" t="s">
        <v>33</v>
      </c>
      <c r="D16" t="s">
        <v>34</v>
      </c>
      <c r="E16" s="3" t="s">
        <v>121</v>
      </c>
      <c r="F16" s="3" t="s">
        <v>31</v>
      </c>
      <c r="G16" s="3" t="s">
        <v>74</v>
      </c>
      <c r="H16" s="3" t="s">
        <v>8</v>
      </c>
      <c r="I16" s="3" t="s">
        <v>7</v>
      </c>
      <c r="J16" s="3" t="s">
        <v>36</v>
      </c>
      <c r="K16" s="3" t="s">
        <v>35</v>
      </c>
      <c r="L16" s="3" t="s">
        <v>26</v>
      </c>
      <c r="M16">
        <v>1</v>
      </c>
    </row>
    <row r="17" spans="1:13" x14ac:dyDescent="0.25">
      <c r="A17" s="2">
        <v>46203</v>
      </c>
      <c r="B17" s="1" t="str">
        <f ca="1">IF(Información1[[#This Row],[Fecha]]='Ajuste de fechas'!$A$2,"Día actual","Día anterior")</f>
        <v>Día anterior</v>
      </c>
      <c r="C17" s="3" t="s">
        <v>33</v>
      </c>
      <c r="D17" t="s">
        <v>34</v>
      </c>
      <c r="E17" s="3" t="s">
        <v>117</v>
      </c>
      <c r="F17" s="3" t="s">
        <v>15</v>
      </c>
      <c r="G17" s="3" t="s">
        <v>75</v>
      </c>
      <c r="H17" s="3" t="s">
        <v>8</v>
      </c>
      <c r="I17" s="3" t="s">
        <v>7</v>
      </c>
      <c r="J17" s="3" t="s">
        <v>36</v>
      </c>
      <c r="K17" s="3" t="s">
        <v>35</v>
      </c>
      <c r="L17" s="3" t="s">
        <v>26</v>
      </c>
      <c r="M17">
        <v>1</v>
      </c>
    </row>
    <row r="18" spans="1:13" x14ac:dyDescent="0.25">
      <c r="A18" s="2">
        <v>46203</v>
      </c>
      <c r="B18" s="1" t="str">
        <f ca="1">IF(Información1[[#This Row],[Fecha]]='Ajuste de fechas'!$A$2,"Día actual","Día anterior")</f>
        <v>Día anterior</v>
      </c>
      <c r="C18" s="3" t="s">
        <v>16</v>
      </c>
      <c r="D18" t="s">
        <v>122</v>
      </c>
      <c r="E18" s="3" t="s">
        <v>123</v>
      </c>
      <c r="F18" s="3" t="s">
        <v>6</v>
      </c>
      <c r="G18" s="3" t="s">
        <v>124</v>
      </c>
      <c r="H18" s="3" t="s">
        <v>8</v>
      </c>
      <c r="I18" s="3" t="s">
        <v>7</v>
      </c>
      <c r="J18" s="3" t="s">
        <v>36</v>
      </c>
      <c r="K18" s="3" t="s">
        <v>83</v>
      </c>
      <c r="L18" s="3" t="s">
        <v>24</v>
      </c>
      <c r="M18">
        <v>1</v>
      </c>
    </row>
    <row r="19" spans="1:13" x14ac:dyDescent="0.25">
      <c r="A19" s="2">
        <v>46203</v>
      </c>
      <c r="B19" s="1" t="str">
        <f ca="1">IF(Información1[[#This Row],[Fecha]]='Ajuste de fechas'!$A$2,"Día actual","Día anterior")</f>
        <v>Día anterior</v>
      </c>
      <c r="C19" s="3" t="s">
        <v>16</v>
      </c>
      <c r="D19" t="s">
        <v>122</v>
      </c>
      <c r="E19" s="3" t="s">
        <v>125</v>
      </c>
      <c r="F19" s="3" t="s">
        <v>10</v>
      </c>
      <c r="G19" s="3" t="s">
        <v>126</v>
      </c>
      <c r="H19" s="3" t="s">
        <v>8</v>
      </c>
      <c r="I19" s="3" t="s">
        <v>7</v>
      </c>
      <c r="J19" s="3" t="s">
        <v>38</v>
      </c>
      <c r="K19" s="3" t="s">
        <v>83</v>
      </c>
      <c r="L19" s="3" t="s">
        <v>24</v>
      </c>
      <c r="M19">
        <v>1</v>
      </c>
    </row>
    <row r="20" spans="1:13" x14ac:dyDescent="0.25">
      <c r="A20" s="2">
        <v>46203</v>
      </c>
      <c r="B20" s="1" t="str">
        <f ca="1">IF(Información1[[#This Row],[Fecha]]='Ajuste de fechas'!$A$2,"Día actual","Día anterior")</f>
        <v>Día anterior</v>
      </c>
      <c r="C20" s="3" t="s">
        <v>16</v>
      </c>
      <c r="D20" t="s">
        <v>122</v>
      </c>
      <c r="E20" s="3" t="s">
        <v>127</v>
      </c>
      <c r="F20" s="3" t="s">
        <v>51</v>
      </c>
      <c r="G20" s="3" t="s">
        <v>84</v>
      </c>
      <c r="H20" s="3" t="s">
        <v>8</v>
      </c>
      <c r="I20" s="3" t="s">
        <v>7</v>
      </c>
      <c r="J20" s="3" t="s">
        <v>36</v>
      </c>
      <c r="K20" s="3" t="s">
        <v>83</v>
      </c>
      <c r="L20" s="3" t="s">
        <v>24</v>
      </c>
      <c r="M20">
        <v>1</v>
      </c>
    </row>
    <row r="21" spans="1:13" x14ac:dyDescent="0.25">
      <c r="A21" s="2">
        <v>46203</v>
      </c>
      <c r="B21" s="1" t="str">
        <f ca="1">IF(Información1[[#This Row],[Fecha]]='Ajuste de fechas'!$A$2,"Día actual","Día anterior")</f>
        <v>Día anterior</v>
      </c>
      <c r="C21" s="3" t="s">
        <v>16</v>
      </c>
      <c r="D21" t="s">
        <v>122</v>
      </c>
      <c r="E21" s="3" t="s">
        <v>128</v>
      </c>
      <c r="F21" s="3" t="s">
        <v>15</v>
      </c>
      <c r="G21" s="3" t="s">
        <v>113</v>
      </c>
      <c r="H21" s="3" t="s">
        <v>8</v>
      </c>
      <c r="I21" s="3" t="s">
        <v>7</v>
      </c>
      <c r="J21" s="3" t="s">
        <v>36</v>
      </c>
      <c r="K21" s="3" t="s">
        <v>83</v>
      </c>
      <c r="L21" s="3" t="s">
        <v>24</v>
      </c>
      <c r="M21">
        <v>1</v>
      </c>
    </row>
    <row r="22" spans="1:13" x14ac:dyDescent="0.25">
      <c r="A22" s="2">
        <v>46203</v>
      </c>
      <c r="B22" s="1" t="str">
        <f ca="1">IF(Información1[[#This Row],[Fecha]]='Ajuste de fechas'!$A$2,"Día actual","Día anterior")</f>
        <v>Día anterior</v>
      </c>
      <c r="C22" s="3" t="s">
        <v>16</v>
      </c>
      <c r="D22" t="s">
        <v>122</v>
      </c>
      <c r="E22" s="3" t="s">
        <v>129</v>
      </c>
      <c r="F22" s="3" t="s">
        <v>15</v>
      </c>
      <c r="G22" s="3" t="s">
        <v>87</v>
      </c>
      <c r="H22" s="3" t="s">
        <v>8</v>
      </c>
      <c r="I22" s="3" t="s">
        <v>7</v>
      </c>
      <c r="J22" s="3" t="s">
        <v>36</v>
      </c>
      <c r="K22" s="3" t="s">
        <v>83</v>
      </c>
      <c r="L22" s="3" t="s">
        <v>24</v>
      </c>
      <c r="M22">
        <v>1</v>
      </c>
    </row>
    <row r="23" spans="1:13" x14ac:dyDescent="0.25">
      <c r="A23" s="2">
        <v>46203</v>
      </c>
      <c r="B23" s="1" t="str">
        <f ca="1">IF(Información1[[#This Row],[Fecha]]='Ajuste de fechas'!$A$2,"Día actual","Día anterior")</f>
        <v>Día anterior</v>
      </c>
      <c r="C23" s="3" t="s">
        <v>16</v>
      </c>
      <c r="D23" t="s">
        <v>122</v>
      </c>
      <c r="E23" s="3" t="s">
        <v>130</v>
      </c>
      <c r="F23" s="3" t="s">
        <v>15</v>
      </c>
      <c r="G23" s="3" t="s">
        <v>75</v>
      </c>
      <c r="H23" s="3" t="s">
        <v>8</v>
      </c>
      <c r="I23" s="3" t="s">
        <v>7</v>
      </c>
      <c r="J23" s="3" t="s">
        <v>36</v>
      </c>
      <c r="K23" s="3" t="s">
        <v>83</v>
      </c>
      <c r="L23" s="3" t="s">
        <v>24</v>
      </c>
      <c r="M23">
        <v>1</v>
      </c>
    </row>
    <row r="24" spans="1:13" x14ac:dyDescent="0.25">
      <c r="A24" s="2">
        <v>46203</v>
      </c>
      <c r="B24" s="1" t="str">
        <f ca="1">IF(Información1[[#This Row],[Fecha]]='Ajuste de fechas'!$A$2,"Día actual","Día anterior")</f>
        <v>Día anterior</v>
      </c>
      <c r="C24" s="3" t="s">
        <v>16</v>
      </c>
      <c r="D24" t="s">
        <v>122</v>
      </c>
      <c r="E24" s="3" t="s">
        <v>131</v>
      </c>
      <c r="F24" s="3" t="s">
        <v>15</v>
      </c>
      <c r="G24" s="3" t="s">
        <v>116</v>
      </c>
      <c r="H24" s="3" t="s">
        <v>8</v>
      </c>
      <c r="I24" s="3" t="s">
        <v>7</v>
      </c>
      <c r="J24" s="3" t="s">
        <v>36</v>
      </c>
      <c r="K24" s="3" t="s">
        <v>83</v>
      </c>
      <c r="L24" s="3" t="s">
        <v>24</v>
      </c>
      <c r="M24">
        <v>1</v>
      </c>
    </row>
    <row r="25" spans="1:13" x14ac:dyDescent="0.25">
      <c r="A25" s="2">
        <v>46203</v>
      </c>
      <c r="B25" s="1" t="str">
        <f ca="1">IF(Información1[[#This Row],[Fecha]]='Ajuste de fechas'!$A$2,"Día actual","Día anterior")</f>
        <v>Día anterior</v>
      </c>
      <c r="C25" s="3" t="s">
        <v>55</v>
      </c>
      <c r="D25" t="s">
        <v>56</v>
      </c>
      <c r="E25" s="3" t="s">
        <v>132</v>
      </c>
      <c r="F25" s="3" t="s">
        <v>51</v>
      </c>
      <c r="G25" s="3" t="s">
        <v>133</v>
      </c>
      <c r="H25" s="3" t="s">
        <v>8</v>
      </c>
      <c r="I25" s="3" t="s">
        <v>14</v>
      </c>
      <c r="J25" s="3" t="s">
        <v>36</v>
      </c>
      <c r="K25" s="3" t="s">
        <v>57</v>
      </c>
      <c r="L25" s="3" t="s">
        <v>25</v>
      </c>
      <c r="M25">
        <v>1</v>
      </c>
    </row>
    <row r="26" spans="1:13" x14ac:dyDescent="0.25">
      <c r="A26" s="2">
        <v>46203</v>
      </c>
      <c r="B26" s="1" t="str">
        <f ca="1">IF(Información1[[#This Row],[Fecha]]='Ajuste de fechas'!$A$2,"Día actual","Día anterior")</f>
        <v>Día anterior</v>
      </c>
      <c r="C26" s="3" t="s">
        <v>55</v>
      </c>
      <c r="D26" t="s">
        <v>56</v>
      </c>
      <c r="E26" s="3" t="s">
        <v>134</v>
      </c>
      <c r="F26" s="3" t="s">
        <v>70</v>
      </c>
      <c r="G26" s="3" t="s">
        <v>135</v>
      </c>
      <c r="H26" s="3" t="s">
        <v>8</v>
      </c>
      <c r="I26" s="3" t="s">
        <v>14</v>
      </c>
      <c r="J26" s="3" t="s">
        <v>36</v>
      </c>
      <c r="K26" s="3" t="s">
        <v>57</v>
      </c>
      <c r="L26" s="3" t="s">
        <v>25</v>
      </c>
      <c r="M26">
        <v>1</v>
      </c>
    </row>
    <row r="27" spans="1:13" x14ac:dyDescent="0.25">
      <c r="A27" s="2">
        <v>46203</v>
      </c>
      <c r="B27" s="1" t="str">
        <f ca="1">IF(Información1[[#This Row],[Fecha]]='Ajuste de fechas'!$A$2,"Día actual","Día anterior")</f>
        <v>Día anterior</v>
      </c>
      <c r="C27" s="3" t="s">
        <v>55</v>
      </c>
      <c r="D27" t="s">
        <v>56</v>
      </c>
      <c r="E27" s="3" t="s">
        <v>136</v>
      </c>
      <c r="F27" s="3" t="s">
        <v>6</v>
      </c>
      <c r="G27" s="3" t="s">
        <v>78</v>
      </c>
      <c r="H27" s="3" t="s">
        <v>8</v>
      </c>
      <c r="I27" s="3" t="s">
        <v>14</v>
      </c>
      <c r="J27" s="3" t="s">
        <v>36</v>
      </c>
      <c r="K27" s="3" t="s">
        <v>50</v>
      </c>
      <c r="L27" s="3" t="s">
        <v>25</v>
      </c>
      <c r="M27">
        <v>1</v>
      </c>
    </row>
    <row r="28" spans="1:13" x14ac:dyDescent="0.25">
      <c r="A28" s="2">
        <v>46203</v>
      </c>
      <c r="B28" s="1" t="str">
        <f ca="1">IF(Información1[[#This Row],[Fecha]]='Ajuste de fechas'!$A$2,"Día actual","Día anterior")</f>
        <v>Día anterior</v>
      </c>
      <c r="C28" s="3" t="s">
        <v>55</v>
      </c>
      <c r="D28" t="s">
        <v>56</v>
      </c>
      <c r="E28" s="3" t="s">
        <v>137</v>
      </c>
      <c r="F28" s="3" t="s">
        <v>6</v>
      </c>
      <c r="G28" s="3" t="s">
        <v>78</v>
      </c>
      <c r="H28" s="3" t="s">
        <v>8</v>
      </c>
      <c r="I28" s="3" t="s">
        <v>54</v>
      </c>
      <c r="J28" s="3" t="s">
        <v>36</v>
      </c>
      <c r="K28" s="3" t="s">
        <v>50</v>
      </c>
      <c r="L28" s="3" t="s">
        <v>25</v>
      </c>
      <c r="M28">
        <v>1</v>
      </c>
    </row>
    <row r="29" spans="1:13" x14ac:dyDescent="0.25">
      <c r="A29" s="2">
        <v>46203</v>
      </c>
      <c r="B29" s="1" t="str">
        <f ca="1">IF(Información1[[#This Row],[Fecha]]='Ajuste de fechas'!$A$2,"Día actual","Día anterior")</f>
        <v>Día anterior</v>
      </c>
      <c r="C29" s="3" t="s">
        <v>55</v>
      </c>
      <c r="D29" t="s">
        <v>56</v>
      </c>
      <c r="E29" s="3" t="s">
        <v>138</v>
      </c>
      <c r="F29" s="3" t="s">
        <v>11</v>
      </c>
      <c r="G29" s="3" t="s">
        <v>72</v>
      </c>
      <c r="H29" s="3" t="s">
        <v>8</v>
      </c>
      <c r="I29" s="3" t="s">
        <v>7</v>
      </c>
      <c r="J29" s="3" t="s">
        <v>37</v>
      </c>
      <c r="K29" s="3" t="s">
        <v>50</v>
      </c>
      <c r="L29" s="3" t="s">
        <v>25</v>
      </c>
      <c r="M29">
        <v>1</v>
      </c>
    </row>
    <row r="30" spans="1:13" x14ac:dyDescent="0.25">
      <c r="A30" s="2">
        <v>46203</v>
      </c>
      <c r="B30" s="1" t="str">
        <f ca="1">IF(Información1[[#This Row],[Fecha]]='Ajuste de fechas'!$A$2,"Día actual","Día anterior")</f>
        <v>Día anterior</v>
      </c>
      <c r="C30" s="3" t="s">
        <v>55</v>
      </c>
      <c r="D30" t="s">
        <v>56</v>
      </c>
      <c r="E30" s="3" t="s">
        <v>139</v>
      </c>
      <c r="F30" s="3" t="s">
        <v>11</v>
      </c>
      <c r="G30" s="3" t="s">
        <v>140</v>
      </c>
      <c r="H30" s="3" t="s">
        <v>8</v>
      </c>
      <c r="I30" s="3" t="s">
        <v>7</v>
      </c>
      <c r="J30" s="3" t="s">
        <v>37</v>
      </c>
      <c r="K30" s="3" t="s">
        <v>57</v>
      </c>
      <c r="L30" s="3" t="s">
        <v>24</v>
      </c>
      <c r="M30">
        <v>1</v>
      </c>
    </row>
    <row r="31" spans="1:13" x14ac:dyDescent="0.25">
      <c r="A31" s="2">
        <v>46203</v>
      </c>
      <c r="B31" s="1" t="str">
        <f ca="1">IF(Información1[[#This Row],[Fecha]]='Ajuste de fechas'!$A$2,"Día actual","Día anterior")</f>
        <v>Día anterior</v>
      </c>
      <c r="C31" s="3" t="s">
        <v>55</v>
      </c>
      <c r="D31" t="s">
        <v>56</v>
      </c>
      <c r="E31" s="3" t="s">
        <v>141</v>
      </c>
      <c r="F31" s="3" t="s">
        <v>11</v>
      </c>
      <c r="G31" s="3" t="s">
        <v>142</v>
      </c>
      <c r="H31" s="3" t="s">
        <v>8</v>
      </c>
      <c r="I31" s="3" t="s">
        <v>7</v>
      </c>
      <c r="J31" s="3" t="s">
        <v>37</v>
      </c>
      <c r="K31" s="3" t="s">
        <v>57</v>
      </c>
      <c r="L31" s="3" t="s">
        <v>24</v>
      </c>
      <c r="M31">
        <v>1</v>
      </c>
    </row>
    <row r="32" spans="1:13" x14ac:dyDescent="0.25">
      <c r="A32" s="2">
        <v>46203</v>
      </c>
      <c r="B32" s="1" t="str">
        <f ca="1">IF(Información1[[#This Row],[Fecha]]='Ajuste de fechas'!$A$2,"Día actual","Día anterior")</f>
        <v>Día anterior</v>
      </c>
      <c r="C32" s="3" t="s">
        <v>55</v>
      </c>
      <c r="D32" t="s">
        <v>56</v>
      </c>
      <c r="E32" s="3" t="s">
        <v>143</v>
      </c>
      <c r="F32" s="3" t="s">
        <v>53</v>
      </c>
      <c r="G32" s="3" t="s">
        <v>144</v>
      </c>
      <c r="H32" s="3" t="s">
        <v>8</v>
      </c>
      <c r="I32" s="3" t="s">
        <v>7</v>
      </c>
      <c r="J32" s="3" t="s">
        <v>36</v>
      </c>
      <c r="K32" s="3" t="s">
        <v>57</v>
      </c>
      <c r="L32" s="3" t="s">
        <v>24</v>
      </c>
      <c r="M32">
        <v>1</v>
      </c>
    </row>
    <row r="33" spans="1:13" x14ac:dyDescent="0.25">
      <c r="A33" s="2">
        <v>46203</v>
      </c>
      <c r="B33" s="1" t="str">
        <f ca="1">IF(Información1[[#This Row],[Fecha]]='Ajuste de fechas'!$A$2,"Día actual","Día anterior")</f>
        <v>Día anterior</v>
      </c>
      <c r="C33" s="3" t="s">
        <v>55</v>
      </c>
      <c r="D33" t="s">
        <v>56</v>
      </c>
      <c r="E33" s="3" t="s">
        <v>119</v>
      </c>
      <c r="F33" s="3" t="s">
        <v>31</v>
      </c>
      <c r="G33" s="3" t="s">
        <v>120</v>
      </c>
      <c r="H33" s="3" t="s">
        <v>8</v>
      </c>
      <c r="I33" s="3" t="s">
        <v>7</v>
      </c>
      <c r="J33" s="3" t="s">
        <v>36</v>
      </c>
      <c r="K33" s="3" t="s">
        <v>57</v>
      </c>
      <c r="L33" s="3" t="s">
        <v>26</v>
      </c>
      <c r="M33">
        <v>1</v>
      </c>
    </row>
    <row r="34" spans="1:13" x14ac:dyDescent="0.25">
      <c r="A34" s="2">
        <v>46203</v>
      </c>
      <c r="B34" s="1" t="str">
        <f ca="1">IF(Información1[[#This Row],[Fecha]]='Ajuste de fechas'!$A$2,"Día actual","Día anterior")</f>
        <v>Día anterior</v>
      </c>
      <c r="C34" s="3" t="s">
        <v>55</v>
      </c>
      <c r="D34" t="s">
        <v>56</v>
      </c>
      <c r="E34" s="3" t="s">
        <v>145</v>
      </c>
      <c r="F34" s="3" t="s">
        <v>9</v>
      </c>
      <c r="G34" s="3" t="s">
        <v>146</v>
      </c>
      <c r="H34" s="3" t="s">
        <v>8</v>
      </c>
      <c r="I34" s="3" t="s">
        <v>7</v>
      </c>
      <c r="J34" s="3" t="s">
        <v>36</v>
      </c>
      <c r="K34" s="3" t="s">
        <v>57</v>
      </c>
      <c r="L34" s="3" t="s">
        <v>24</v>
      </c>
      <c r="M34">
        <v>1</v>
      </c>
    </row>
    <row r="35" spans="1:13" x14ac:dyDescent="0.25">
      <c r="A35" s="2">
        <v>46203</v>
      </c>
      <c r="B35" s="1" t="str">
        <f ca="1">IF(Información1[[#This Row],[Fecha]]='Ajuste de fechas'!$A$2,"Día actual","Día anterior")</f>
        <v>Día anterior</v>
      </c>
      <c r="C35" s="3" t="s">
        <v>55</v>
      </c>
      <c r="D35" t="s">
        <v>56</v>
      </c>
      <c r="E35" s="3" t="s">
        <v>147</v>
      </c>
      <c r="F35" s="3" t="s">
        <v>15</v>
      </c>
      <c r="G35" s="3" t="s">
        <v>113</v>
      </c>
      <c r="H35" s="3" t="s">
        <v>8</v>
      </c>
      <c r="I35" s="3" t="s">
        <v>7</v>
      </c>
      <c r="J35" s="3" t="s">
        <v>36</v>
      </c>
      <c r="K35" s="3" t="s">
        <v>57</v>
      </c>
      <c r="L35" s="3" t="s">
        <v>24</v>
      </c>
      <c r="M35">
        <v>1</v>
      </c>
    </row>
    <row r="36" spans="1:13" x14ac:dyDescent="0.25">
      <c r="A36" s="2">
        <v>46203</v>
      </c>
      <c r="B36" s="1" t="str">
        <f ca="1">IF(Información1[[#This Row],[Fecha]]='Ajuste de fechas'!$A$2,"Día actual","Día anterior")</f>
        <v>Día anterior</v>
      </c>
      <c r="C36" s="3" t="s">
        <v>55</v>
      </c>
      <c r="D36" t="s">
        <v>56</v>
      </c>
      <c r="E36" s="3" t="s">
        <v>58</v>
      </c>
      <c r="F36" s="3" t="s">
        <v>10</v>
      </c>
      <c r="G36" s="3" t="s">
        <v>148</v>
      </c>
      <c r="H36" s="3" t="s">
        <v>8</v>
      </c>
      <c r="I36" s="3" t="s">
        <v>54</v>
      </c>
      <c r="J36" s="3" t="s">
        <v>38</v>
      </c>
      <c r="K36" s="3" t="s">
        <v>57</v>
      </c>
      <c r="L36" s="3" t="s">
        <v>25</v>
      </c>
      <c r="M36">
        <v>1</v>
      </c>
    </row>
    <row r="37" spans="1:13" x14ac:dyDescent="0.25">
      <c r="A37" s="2">
        <v>46203</v>
      </c>
      <c r="B37" s="1" t="str">
        <f ca="1">IF(Información1[[#This Row],[Fecha]]='Ajuste de fechas'!$A$2,"Día actual","Día anterior")</f>
        <v>Día anterior</v>
      </c>
      <c r="C37" s="3" t="s">
        <v>55</v>
      </c>
      <c r="D37" t="s">
        <v>56</v>
      </c>
      <c r="E37" s="3" t="s">
        <v>60</v>
      </c>
      <c r="F37" s="3" t="s">
        <v>10</v>
      </c>
      <c r="G37" s="3" t="s">
        <v>148</v>
      </c>
      <c r="H37" s="3" t="s">
        <v>8</v>
      </c>
      <c r="I37" s="3" t="s">
        <v>54</v>
      </c>
      <c r="J37" s="3" t="s">
        <v>38</v>
      </c>
      <c r="K37" s="3" t="s">
        <v>57</v>
      </c>
      <c r="L37" s="3" t="s">
        <v>25</v>
      </c>
      <c r="M37">
        <v>1</v>
      </c>
    </row>
    <row r="38" spans="1:13" x14ac:dyDescent="0.25">
      <c r="A38" s="2">
        <v>46203</v>
      </c>
      <c r="B38" s="1" t="str">
        <f ca="1">IF(Información1[[#This Row],[Fecha]]='Ajuste de fechas'!$A$2,"Día actual","Día anterior")</f>
        <v>Día anterior</v>
      </c>
      <c r="C38" s="3" t="s">
        <v>55</v>
      </c>
      <c r="D38" t="s">
        <v>56</v>
      </c>
      <c r="E38" s="3" t="s">
        <v>61</v>
      </c>
      <c r="F38" s="3" t="s">
        <v>39</v>
      </c>
      <c r="G38" s="3" t="s">
        <v>148</v>
      </c>
      <c r="H38" s="3" t="s">
        <v>8</v>
      </c>
      <c r="I38" s="3" t="s">
        <v>54</v>
      </c>
      <c r="J38" s="3" t="s">
        <v>36</v>
      </c>
      <c r="K38" s="3" t="s">
        <v>57</v>
      </c>
      <c r="L38" s="3" t="s">
        <v>25</v>
      </c>
      <c r="M38">
        <v>1</v>
      </c>
    </row>
    <row r="39" spans="1:13" x14ac:dyDescent="0.25">
      <c r="A39" s="2">
        <v>46203</v>
      </c>
      <c r="B39" s="1" t="str">
        <f ca="1">IF(Información1[[#This Row],[Fecha]]='Ajuste de fechas'!$A$2,"Día actual","Día anterior")</f>
        <v>Día anterior</v>
      </c>
      <c r="C39" s="3" t="s">
        <v>55</v>
      </c>
      <c r="D39" t="s">
        <v>56</v>
      </c>
      <c r="E39" s="3" t="s">
        <v>65</v>
      </c>
      <c r="F39" s="3" t="s">
        <v>30</v>
      </c>
      <c r="G39" s="3" t="s">
        <v>148</v>
      </c>
      <c r="H39" s="3" t="s">
        <v>8</v>
      </c>
      <c r="I39" s="3" t="s">
        <v>54</v>
      </c>
      <c r="J39" s="3" t="s">
        <v>13</v>
      </c>
      <c r="K39" s="3" t="s">
        <v>57</v>
      </c>
      <c r="L39" s="3" t="s">
        <v>25</v>
      </c>
      <c r="M39">
        <v>1</v>
      </c>
    </row>
    <row r="40" spans="1:13" x14ac:dyDescent="0.25">
      <c r="A40" s="2">
        <v>46203</v>
      </c>
      <c r="B40" s="1" t="str">
        <f ca="1">IF(Información1[[#This Row],[Fecha]]='Ajuste de fechas'!$A$2,"Día actual","Día anterior")</f>
        <v>Día anterior</v>
      </c>
      <c r="C40" s="3" t="s">
        <v>55</v>
      </c>
      <c r="D40" t="s">
        <v>56</v>
      </c>
      <c r="E40" s="3" t="s">
        <v>149</v>
      </c>
      <c r="F40" s="3" t="s">
        <v>9</v>
      </c>
      <c r="G40" s="3" t="s">
        <v>148</v>
      </c>
      <c r="H40" s="3" t="s">
        <v>8</v>
      </c>
      <c r="I40" s="3" t="s">
        <v>54</v>
      </c>
      <c r="J40" s="3" t="s">
        <v>36</v>
      </c>
      <c r="K40" s="3" t="s">
        <v>57</v>
      </c>
      <c r="L40" s="3" t="s">
        <v>25</v>
      </c>
      <c r="M40">
        <v>1</v>
      </c>
    </row>
    <row r="41" spans="1:13" x14ac:dyDescent="0.25">
      <c r="A41" s="2">
        <v>46203</v>
      </c>
      <c r="B41" s="1" t="str">
        <f ca="1">IF(Información1[[#This Row],[Fecha]]='Ajuste de fechas'!$A$2,"Día actual","Día anterior")</f>
        <v>Día anterior</v>
      </c>
      <c r="C41" s="3" t="s">
        <v>55</v>
      </c>
      <c r="D41" t="s">
        <v>56</v>
      </c>
      <c r="E41" s="3" t="s">
        <v>63</v>
      </c>
      <c r="F41" s="3" t="s">
        <v>51</v>
      </c>
      <c r="G41" s="3" t="s">
        <v>148</v>
      </c>
      <c r="H41" s="3" t="s">
        <v>8</v>
      </c>
      <c r="I41" s="3" t="s">
        <v>54</v>
      </c>
      <c r="J41" s="3" t="s">
        <v>36</v>
      </c>
      <c r="K41" s="3" t="s">
        <v>57</v>
      </c>
      <c r="L41" s="3" t="s">
        <v>25</v>
      </c>
      <c r="M41">
        <v>1</v>
      </c>
    </row>
    <row r="42" spans="1:13" x14ac:dyDescent="0.25">
      <c r="A42" s="2">
        <v>46203</v>
      </c>
      <c r="B42" s="1" t="str">
        <f ca="1">IF(Información1[[#This Row],[Fecha]]='Ajuste de fechas'!$A$2,"Día actual","Día anterior")</f>
        <v>Día anterior</v>
      </c>
      <c r="C42" s="3" t="s">
        <v>55</v>
      </c>
      <c r="D42" t="s">
        <v>56</v>
      </c>
      <c r="E42" s="3" t="s">
        <v>64</v>
      </c>
      <c r="F42" s="3" t="s">
        <v>6</v>
      </c>
      <c r="G42" s="3" t="s">
        <v>148</v>
      </c>
      <c r="H42" s="3" t="s">
        <v>8</v>
      </c>
      <c r="I42" s="3" t="s">
        <v>54</v>
      </c>
      <c r="J42" s="3" t="s">
        <v>36</v>
      </c>
      <c r="K42" s="3" t="s">
        <v>57</v>
      </c>
      <c r="L42" s="3" t="s">
        <v>25</v>
      </c>
      <c r="M42">
        <v>1</v>
      </c>
    </row>
    <row r="43" spans="1:13" x14ac:dyDescent="0.25">
      <c r="A43" s="2">
        <v>46203</v>
      </c>
      <c r="B43" s="1" t="str">
        <f ca="1">IF(Información1[[#This Row],[Fecha]]='Ajuste de fechas'!$A$2,"Día actual","Día anterior")</f>
        <v>Día anterior</v>
      </c>
      <c r="C43" s="3" t="s">
        <v>16</v>
      </c>
      <c r="D43" t="s">
        <v>122</v>
      </c>
      <c r="E43" s="3" t="s">
        <v>150</v>
      </c>
      <c r="F43" s="3" t="s">
        <v>53</v>
      </c>
      <c r="G43" s="3" t="s">
        <v>73</v>
      </c>
      <c r="H43" s="3" t="s">
        <v>8</v>
      </c>
      <c r="I43" s="3" t="s">
        <v>54</v>
      </c>
      <c r="J43" s="3" t="s">
        <v>36</v>
      </c>
      <c r="K43" s="3" t="s">
        <v>83</v>
      </c>
      <c r="L43" s="3" t="s">
        <v>151</v>
      </c>
      <c r="M43">
        <v>1</v>
      </c>
    </row>
    <row r="44" spans="1:13" x14ac:dyDescent="0.25">
      <c r="A44" s="2">
        <v>46203</v>
      </c>
      <c r="B44" s="1" t="str">
        <f ca="1">IF(Información1[[#This Row],[Fecha]]='Ajuste de fechas'!$A$2,"Día actual","Día anterior")</f>
        <v>Día anterior</v>
      </c>
      <c r="C44" s="3" t="s">
        <v>152</v>
      </c>
      <c r="D44" t="s">
        <v>153</v>
      </c>
      <c r="E44" s="3" t="s">
        <v>94</v>
      </c>
      <c r="F44" s="3" t="s">
        <v>39</v>
      </c>
      <c r="G44" s="3" t="s">
        <v>95</v>
      </c>
      <c r="H44" s="3" t="s">
        <v>8</v>
      </c>
      <c r="I44" s="3" t="s">
        <v>7</v>
      </c>
      <c r="J44" s="3" t="s">
        <v>36</v>
      </c>
      <c r="K44" s="3" t="s">
        <v>154</v>
      </c>
      <c r="L44" s="3" t="s">
        <v>26</v>
      </c>
      <c r="M44">
        <v>1</v>
      </c>
    </row>
    <row r="45" spans="1:13" x14ac:dyDescent="0.25">
      <c r="A45" s="2">
        <v>46203</v>
      </c>
      <c r="B45" s="1" t="str">
        <f ca="1">IF(Información1[[#This Row],[Fecha]]='Ajuste de fechas'!$A$2,"Día actual","Día anterior")</f>
        <v>Día anterior</v>
      </c>
      <c r="C45" s="3" t="s">
        <v>152</v>
      </c>
      <c r="D45" t="s">
        <v>153</v>
      </c>
      <c r="E45" s="3" t="s">
        <v>156</v>
      </c>
      <c r="F45" s="3" t="s">
        <v>157</v>
      </c>
      <c r="G45" s="3" t="s">
        <v>158</v>
      </c>
      <c r="H45" s="3" t="s">
        <v>8</v>
      </c>
      <c r="I45" s="3" t="s">
        <v>7</v>
      </c>
      <c r="J45" s="3" t="s">
        <v>36</v>
      </c>
      <c r="K45" s="3" t="s">
        <v>154</v>
      </c>
      <c r="L45" s="3" t="s">
        <v>26</v>
      </c>
      <c r="M45">
        <v>1</v>
      </c>
    </row>
    <row r="46" spans="1:13" x14ac:dyDescent="0.25">
      <c r="A46" s="2">
        <v>46203</v>
      </c>
      <c r="B46" s="1" t="str">
        <f ca="1">IF(Información1[[#This Row],[Fecha]]='Ajuste de fechas'!$A$2,"Día actual","Día anterior")</f>
        <v>Día anterior</v>
      </c>
      <c r="C46" s="3" t="s">
        <v>152</v>
      </c>
      <c r="D46" t="s">
        <v>153</v>
      </c>
      <c r="E46" s="3" t="s">
        <v>159</v>
      </c>
      <c r="F46" s="3" t="s">
        <v>160</v>
      </c>
      <c r="G46" s="3" t="s">
        <v>161</v>
      </c>
      <c r="H46" s="3" t="s">
        <v>8</v>
      </c>
      <c r="I46" s="3" t="s">
        <v>7</v>
      </c>
      <c r="J46" s="3" t="s">
        <v>36</v>
      </c>
      <c r="K46" s="3" t="s">
        <v>154</v>
      </c>
      <c r="L46" s="3" t="s">
        <v>26</v>
      </c>
      <c r="M46">
        <v>1</v>
      </c>
    </row>
    <row r="47" spans="1:13" x14ac:dyDescent="0.25">
      <c r="A47" s="2">
        <v>46203</v>
      </c>
      <c r="B47" s="1" t="str">
        <f ca="1">IF(Información1[[#This Row],[Fecha]]='Ajuste de fechas'!$A$2,"Día actual","Día anterior")</f>
        <v>Día anterior</v>
      </c>
      <c r="C47" s="3" t="s">
        <v>152</v>
      </c>
      <c r="D47" t="s">
        <v>153</v>
      </c>
      <c r="E47" s="3" t="s">
        <v>162</v>
      </c>
      <c r="F47" s="3" t="s">
        <v>69</v>
      </c>
      <c r="G47" s="3" t="s">
        <v>96</v>
      </c>
      <c r="H47" s="3" t="s">
        <v>8</v>
      </c>
      <c r="I47" s="3" t="s">
        <v>7</v>
      </c>
      <c r="J47" s="3" t="s">
        <v>36</v>
      </c>
      <c r="K47" s="3" t="s">
        <v>154</v>
      </c>
      <c r="L47" s="3" t="s">
        <v>26</v>
      </c>
      <c r="M47">
        <v>1</v>
      </c>
    </row>
    <row r="48" spans="1:13" x14ac:dyDescent="0.25">
      <c r="A48" s="2">
        <v>46203</v>
      </c>
      <c r="B48" s="1" t="str">
        <f ca="1">IF(Información1[[#This Row],[Fecha]]='Ajuste de fechas'!$A$2,"Día actual","Día anterior")</f>
        <v>Día anterior</v>
      </c>
      <c r="C48" s="3" t="s">
        <v>41</v>
      </c>
      <c r="D48" t="s">
        <v>42</v>
      </c>
      <c r="E48" s="3" t="s">
        <v>155</v>
      </c>
      <c r="F48" s="3" t="s">
        <v>12</v>
      </c>
      <c r="G48" s="3" t="s">
        <v>85</v>
      </c>
      <c r="H48" s="3" t="s">
        <v>8</v>
      </c>
      <c r="I48" s="3" t="s">
        <v>7</v>
      </c>
      <c r="J48" s="3" t="s">
        <v>36</v>
      </c>
      <c r="K48" s="3" t="s">
        <v>66</v>
      </c>
      <c r="L48" s="3" t="s">
        <v>26</v>
      </c>
      <c r="M48">
        <v>1</v>
      </c>
    </row>
    <row r="49" spans="1:13" x14ac:dyDescent="0.25">
      <c r="A49" s="2">
        <v>46203</v>
      </c>
      <c r="B49" s="1" t="str">
        <f ca="1">IF(Información1[[#This Row],[Fecha]]='Ajuste de fechas'!$A$2,"Día actual","Día anterior")</f>
        <v>Día anterior</v>
      </c>
      <c r="C49" s="3" t="s">
        <v>41</v>
      </c>
      <c r="D49" t="s">
        <v>42</v>
      </c>
      <c r="E49" s="3" t="s">
        <v>115</v>
      </c>
      <c r="F49" s="3" t="s">
        <v>15</v>
      </c>
      <c r="G49" s="3" t="s">
        <v>116</v>
      </c>
      <c r="H49" s="3" t="s">
        <v>8</v>
      </c>
      <c r="I49" s="3" t="s">
        <v>7</v>
      </c>
      <c r="J49" s="3" t="s">
        <v>36</v>
      </c>
      <c r="K49" s="3" t="s">
        <v>66</v>
      </c>
      <c r="L49" s="3" t="s">
        <v>26</v>
      </c>
      <c r="M49">
        <v>1</v>
      </c>
    </row>
    <row r="50" spans="1:13" x14ac:dyDescent="0.25">
      <c r="A50" s="2">
        <v>46203</v>
      </c>
      <c r="B50" s="1" t="str">
        <f ca="1">IF(Información1[[#This Row],[Fecha]]='Ajuste de fechas'!$A$2,"Día actual","Día anterior")</f>
        <v>Día anterior</v>
      </c>
      <c r="C50" s="3" t="s">
        <v>41</v>
      </c>
      <c r="D50" t="s">
        <v>42</v>
      </c>
      <c r="E50" s="3" t="s">
        <v>163</v>
      </c>
      <c r="F50" s="3" t="s">
        <v>10</v>
      </c>
      <c r="G50" s="3" t="s">
        <v>164</v>
      </c>
      <c r="H50" s="3" t="s">
        <v>8</v>
      </c>
      <c r="I50" s="3" t="s">
        <v>7</v>
      </c>
      <c r="J50" s="3" t="s">
        <v>38</v>
      </c>
      <c r="K50" s="3" t="s">
        <v>66</v>
      </c>
      <c r="L50" s="3" t="s">
        <v>24</v>
      </c>
      <c r="M50">
        <v>1</v>
      </c>
    </row>
    <row r="51" spans="1:13" x14ac:dyDescent="0.25">
      <c r="A51" s="2">
        <v>46203</v>
      </c>
      <c r="B51" s="1" t="str">
        <f ca="1">IF(Información1[[#This Row],[Fecha]]='Ajuste de fechas'!$A$2,"Día actual","Día anterior")</f>
        <v>Día anterior</v>
      </c>
      <c r="C51" s="3" t="s">
        <v>41</v>
      </c>
      <c r="D51" t="s">
        <v>42</v>
      </c>
      <c r="E51" s="3" t="s">
        <v>165</v>
      </c>
      <c r="F51" s="3" t="s">
        <v>10</v>
      </c>
      <c r="G51" s="3" t="s">
        <v>82</v>
      </c>
      <c r="H51" s="3" t="s">
        <v>8</v>
      </c>
      <c r="I51" s="3" t="s">
        <v>7</v>
      </c>
      <c r="J51" s="3" t="s">
        <v>38</v>
      </c>
      <c r="K51" s="3" t="s">
        <v>66</v>
      </c>
      <c r="L51" s="3" t="s">
        <v>49</v>
      </c>
      <c r="M51">
        <v>1</v>
      </c>
    </row>
    <row r="52" spans="1:13" x14ac:dyDescent="0.25">
      <c r="A52" s="2">
        <v>46203</v>
      </c>
      <c r="B52" s="1" t="str">
        <f ca="1">IF(Información1[[#This Row],[Fecha]]='Ajuste de fechas'!$A$2,"Día actual","Día anterior")</f>
        <v>Día anterior</v>
      </c>
      <c r="C52" s="3" t="s">
        <v>41</v>
      </c>
      <c r="D52" t="s">
        <v>42</v>
      </c>
      <c r="E52" s="3" t="s">
        <v>166</v>
      </c>
      <c r="F52" s="3" t="s">
        <v>39</v>
      </c>
      <c r="G52" s="3" t="s">
        <v>167</v>
      </c>
      <c r="H52" s="3" t="s">
        <v>8</v>
      </c>
      <c r="I52" s="3" t="s">
        <v>7</v>
      </c>
      <c r="J52" s="3" t="s">
        <v>36</v>
      </c>
      <c r="K52" s="3" t="s">
        <v>66</v>
      </c>
      <c r="L52" s="3" t="s">
        <v>26</v>
      </c>
      <c r="M52">
        <v>1</v>
      </c>
    </row>
    <row r="53" spans="1:13" x14ac:dyDescent="0.25">
      <c r="A53" s="2">
        <v>46203</v>
      </c>
      <c r="B53" s="1" t="str">
        <f ca="1">IF(Información1[[#This Row],[Fecha]]='Ajuste de fechas'!$A$2,"Día actual","Día anterior")</f>
        <v>Día anterior</v>
      </c>
      <c r="C53" s="3" t="s">
        <v>41</v>
      </c>
      <c r="D53" t="s">
        <v>42</v>
      </c>
      <c r="E53" s="3" t="s">
        <v>168</v>
      </c>
      <c r="F53" s="3" t="s">
        <v>53</v>
      </c>
      <c r="G53" s="3" t="s">
        <v>73</v>
      </c>
      <c r="H53" s="3" t="s">
        <v>8</v>
      </c>
      <c r="I53" s="3" t="s">
        <v>7</v>
      </c>
      <c r="J53" s="3" t="s">
        <v>36</v>
      </c>
      <c r="K53" s="3" t="s">
        <v>66</v>
      </c>
      <c r="L53" s="3" t="s">
        <v>24</v>
      </c>
      <c r="M53">
        <v>1</v>
      </c>
    </row>
    <row r="54" spans="1:13" x14ac:dyDescent="0.25">
      <c r="A54" s="2">
        <v>46203</v>
      </c>
      <c r="B54" s="1" t="str">
        <f ca="1">IF(Información1[[#This Row],[Fecha]]='Ajuste de fechas'!$A$2,"Día actual","Día anterior")</f>
        <v>Día anterior</v>
      </c>
      <c r="C54" s="3" t="s">
        <v>41</v>
      </c>
      <c r="D54" t="s">
        <v>42</v>
      </c>
      <c r="E54" s="3" t="s">
        <v>169</v>
      </c>
      <c r="F54" s="3" t="s">
        <v>53</v>
      </c>
      <c r="G54" s="3" t="s">
        <v>73</v>
      </c>
      <c r="H54" s="3" t="s">
        <v>8</v>
      </c>
      <c r="I54" s="3" t="s">
        <v>7</v>
      </c>
      <c r="J54" s="3" t="s">
        <v>36</v>
      </c>
      <c r="K54" s="3" t="s">
        <v>66</v>
      </c>
      <c r="L54" s="3" t="s">
        <v>24</v>
      </c>
      <c r="M54">
        <v>1</v>
      </c>
    </row>
    <row r="55" spans="1:13" x14ac:dyDescent="0.25">
      <c r="A55" s="2">
        <v>46203</v>
      </c>
      <c r="B55" s="1" t="str">
        <f ca="1">IF(Información1[[#This Row],[Fecha]]='Ajuste de fechas'!$A$2,"Día actual","Día anterior")</f>
        <v>Día anterior</v>
      </c>
      <c r="C55" s="3" t="s">
        <v>41</v>
      </c>
      <c r="D55" t="s">
        <v>42</v>
      </c>
      <c r="E55" s="3" t="s">
        <v>170</v>
      </c>
      <c r="F55" s="3" t="s">
        <v>171</v>
      </c>
      <c r="G55" s="3" t="s">
        <v>172</v>
      </c>
      <c r="H55" s="3" t="s">
        <v>8</v>
      </c>
      <c r="I55" s="3" t="s">
        <v>14</v>
      </c>
      <c r="J55" s="3" t="s">
        <v>36</v>
      </c>
      <c r="K55" s="3" t="s">
        <v>66</v>
      </c>
      <c r="L55" s="3" t="s">
        <v>25</v>
      </c>
      <c r="M55">
        <v>1</v>
      </c>
    </row>
    <row r="56" spans="1:13" x14ac:dyDescent="0.25">
      <c r="A56" s="2">
        <v>46203</v>
      </c>
      <c r="B56" s="1" t="str">
        <f ca="1">IF(Información1[[#This Row],[Fecha]]='Ajuste de fechas'!$A$2,"Día actual","Día anterior")</f>
        <v>Día anterior</v>
      </c>
      <c r="C56" s="3" t="s">
        <v>41</v>
      </c>
      <c r="D56" t="s">
        <v>42</v>
      </c>
      <c r="E56" s="3" t="s">
        <v>170</v>
      </c>
      <c r="F56" s="3" t="s">
        <v>173</v>
      </c>
      <c r="G56" s="3" t="s">
        <v>172</v>
      </c>
      <c r="H56" s="3" t="s">
        <v>8</v>
      </c>
      <c r="I56" s="3" t="s">
        <v>14</v>
      </c>
      <c r="J56" s="3" t="s">
        <v>36</v>
      </c>
      <c r="K56" s="3" t="s">
        <v>66</v>
      </c>
      <c r="L56" s="3" t="s">
        <v>25</v>
      </c>
      <c r="M56">
        <v>1</v>
      </c>
    </row>
    <row r="57" spans="1:13" x14ac:dyDescent="0.25">
      <c r="A57" s="2">
        <v>46203</v>
      </c>
      <c r="B57" s="1" t="str">
        <f ca="1">IF(Información1[[#This Row],[Fecha]]='Ajuste de fechas'!$A$2,"Día actual","Día anterior")</f>
        <v>Día anterior</v>
      </c>
      <c r="C57" s="3" t="s">
        <v>41</v>
      </c>
      <c r="D57" t="s">
        <v>42</v>
      </c>
      <c r="E57" s="3" t="s">
        <v>174</v>
      </c>
      <c r="F57" s="3" t="s">
        <v>11</v>
      </c>
      <c r="G57" s="3" t="s">
        <v>172</v>
      </c>
      <c r="H57" s="3" t="s">
        <v>8</v>
      </c>
      <c r="I57" s="3" t="s">
        <v>14</v>
      </c>
      <c r="J57" s="3" t="s">
        <v>37</v>
      </c>
      <c r="K57" s="3" t="s">
        <v>66</v>
      </c>
      <c r="L57" s="3" t="s">
        <v>24</v>
      </c>
      <c r="M57">
        <v>1</v>
      </c>
    </row>
    <row r="58" spans="1:13" x14ac:dyDescent="0.25">
      <c r="A58" s="2">
        <v>46203</v>
      </c>
      <c r="B58" s="1" t="str">
        <f ca="1">IF(Información1[[#This Row],[Fecha]]='Ajuste de fechas'!$A$2,"Día actual","Día anterior")</f>
        <v>Día anterior</v>
      </c>
      <c r="C58" s="3" t="s">
        <v>41</v>
      </c>
      <c r="D58" t="s">
        <v>42</v>
      </c>
      <c r="E58" s="3" t="s">
        <v>175</v>
      </c>
      <c r="F58" s="3" t="s">
        <v>30</v>
      </c>
      <c r="G58" s="3" t="s">
        <v>176</v>
      </c>
      <c r="H58" s="3" t="s">
        <v>8</v>
      </c>
      <c r="I58" s="3" t="s">
        <v>7</v>
      </c>
      <c r="J58" s="3" t="s">
        <v>13</v>
      </c>
      <c r="K58" s="3" t="s">
        <v>66</v>
      </c>
      <c r="L58" s="3" t="s">
        <v>24</v>
      </c>
      <c r="M58">
        <v>1</v>
      </c>
    </row>
    <row r="59" spans="1:13" x14ac:dyDescent="0.25">
      <c r="A59" s="2">
        <v>46203</v>
      </c>
      <c r="B59" s="1" t="str">
        <f ca="1">IF(Información1[[#This Row],[Fecha]]='Ajuste de fechas'!$A$2,"Día actual","Día anterior")</f>
        <v>Día anterior</v>
      </c>
      <c r="C59" s="3" t="s">
        <v>41</v>
      </c>
      <c r="D59" t="s">
        <v>42</v>
      </c>
      <c r="E59" s="3" t="s">
        <v>177</v>
      </c>
      <c r="F59" s="3" t="s">
        <v>10</v>
      </c>
      <c r="G59" s="3" t="s">
        <v>178</v>
      </c>
      <c r="H59" s="3" t="s">
        <v>8</v>
      </c>
      <c r="I59" s="3" t="s">
        <v>7</v>
      </c>
      <c r="J59" s="3" t="s">
        <v>38</v>
      </c>
      <c r="K59" s="3" t="s">
        <v>66</v>
      </c>
      <c r="L59" s="3" t="s">
        <v>24</v>
      </c>
      <c r="M59">
        <v>1</v>
      </c>
    </row>
    <row r="60" spans="1:13" x14ac:dyDescent="0.25">
      <c r="A60" s="2">
        <v>46203</v>
      </c>
      <c r="B60" s="1" t="str">
        <f ca="1">IF(Información1[[#This Row],[Fecha]]='Ajuste de fechas'!$A$2,"Día actual","Día anterior")</f>
        <v>Día anterior</v>
      </c>
      <c r="C60" s="3" t="s">
        <v>41</v>
      </c>
      <c r="D60" t="s">
        <v>42</v>
      </c>
      <c r="E60" s="3" t="s">
        <v>179</v>
      </c>
      <c r="F60" s="3" t="s">
        <v>92</v>
      </c>
      <c r="G60" s="3" t="s">
        <v>75</v>
      </c>
      <c r="H60" s="3" t="s">
        <v>8</v>
      </c>
      <c r="I60" s="3" t="s">
        <v>14</v>
      </c>
      <c r="J60" s="3" t="s">
        <v>36</v>
      </c>
      <c r="K60" s="3" t="s">
        <v>50</v>
      </c>
      <c r="L60" s="3" t="s">
        <v>25</v>
      </c>
      <c r="M60">
        <v>1</v>
      </c>
    </row>
    <row r="61" spans="1:13" x14ac:dyDescent="0.25">
      <c r="A61" s="2">
        <v>46203</v>
      </c>
      <c r="B61" s="1" t="str">
        <f ca="1">IF(Información1[[#This Row],[Fecha]]='Ajuste de fechas'!$A$2,"Día actual","Día anterior")</f>
        <v>Día anterior</v>
      </c>
      <c r="C61" s="3" t="s">
        <v>41</v>
      </c>
      <c r="D61" t="s">
        <v>42</v>
      </c>
      <c r="E61" s="3" t="s">
        <v>180</v>
      </c>
      <c r="F61" s="3" t="s">
        <v>15</v>
      </c>
      <c r="G61" s="3" t="s">
        <v>75</v>
      </c>
      <c r="H61" s="3" t="s">
        <v>8</v>
      </c>
      <c r="I61" s="3" t="s">
        <v>7</v>
      </c>
      <c r="J61" s="3" t="s">
        <v>36</v>
      </c>
      <c r="K61" s="3" t="s">
        <v>66</v>
      </c>
      <c r="L61" s="3" t="s">
        <v>26</v>
      </c>
      <c r="M61">
        <v>1</v>
      </c>
    </row>
    <row r="62" spans="1:13" x14ac:dyDescent="0.25">
      <c r="A62" s="2">
        <v>46203</v>
      </c>
      <c r="B62" s="1" t="str">
        <f ca="1">IF(Información1[[#This Row],[Fecha]]='Ajuste de fechas'!$A$2,"Día actual","Día anterior")</f>
        <v>Día anterior</v>
      </c>
      <c r="C62" s="3" t="s">
        <v>41</v>
      </c>
      <c r="D62" t="s">
        <v>42</v>
      </c>
      <c r="E62" s="3" t="s">
        <v>44</v>
      </c>
      <c r="F62" s="3" t="s">
        <v>10</v>
      </c>
      <c r="G62" s="3" t="s">
        <v>48</v>
      </c>
      <c r="H62" s="3" t="s">
        <v>8</v>
      </c>
      <c r="I62" s="3" t="s">
        <v>7</v>
      </c>
      <c r="J62" s="3" t="s">
        <v>38</v>
      </c>
      <c r="K62" s="3" t="s">
        <v>66</v>
      </c>
      <c r="L62" s="3" t="s">
        <v>24</v>
      </c>
      <c r="M62">
        <v>1</v>
      </c>
    </row>
    <row r="63" spans="1:13" x14ac:dyDescent="0.25">
      <c r="A63" s="2">
        <v>46203</v>
      </c>
      <c r="B63" s="1" t="str">
        <f ca="1">IF(Información1[[#This Row],[Fecha]]='Ajuste de fechas'!$A$2,"Día actual","Día anterior")</f>
        <v>Día anterior</v>
      </c>
      <c r="C63" s="3" t="s">
        <v>41</v>
      </c>
      <c r="D63" t="s">
        <v>42</v>
      </c>
      <c r="E63" s="3" t="s">
        <v>181</v>
      </c>
      <c r="F63" s="3" t="s">
        <v>10</v>
      </c>
      <c r="G63" s="3" t="s">
        <v>182</v>
      </c>
      <c r="H63" s="3" t="s">
        <v>8</v>
      </c>
      <c r="I63" s="3" t="s">
        <v>7</v>
      </c>
      <c r="J63" s="3" t="s">
        <v>38</v>
      </c>
      <c r="K63" s="3" t="s">
        <v>66</v>
      </c>
      <c r="L63" s="3" t="s">
        <v>24</v>
      </c>
      <c r="M63">
        <v>1</v>
      </c>
    </row>
    <row r="64" spans="1:13" x14ac:dyDescent="0.25">
      <c r="A64" s="2">
        <v>46203</v>
      </c>
      <c r="B64" s="1" t="str">
        <f ca="1">IF(Información1[[#This Row],[Fecha]]='Ajuste de fechas'!$A$2,"Día actual","Día anterior")</f>
        <v>Día anterior</v>
      </c>
      <c r="C64" s="3" t="s">
        <v>41</v>
      </c>
      <c r="D64" t="s">
        <v>42</v>
      </c>
      <c r="E64" s="3" t="s">
        <v>183</v>
      </c>
      <c r="F64" s="3" t="s">
        <v>10</v>
      </c>
      <c r="G64" s="3" t="s">
        <v>184</v>
      </c>
      <c r="H64" s="3" t="s">
        <v>8</v>
      </c>
      <c r="I64" s="3" t="s">
        <v>14</v>
      </c>
      <c r="J64" s="3" t="s">
        <v>38</v>
      </c>
      <c r="K64" s="3" t="s">
        <v>66</v>
      </c>
      <c r="L64" s="3" t="s">
        <v>24</v>
      </c>
      <c r="M64">
        <v>1</v>
      </c>
    </row>
    <row r="65" spans="1:13" x14ac:dyDescent="0.25">
      <c r="A65" s="2">
        <v>46203</v>
      </c>
      <c r="B65" s="1" t="str">
        <f ca="1">IF(Información1[[#This Row],[Fecha]]='Ajuste de fechas'!$A$2,"Día actual","Día anterior")</f>
        <v>Día anterior</v>
      </c>
      <c r="C65" s="3" t="s">
        <v>41</v>
      </c>
      <c r="D65" t="s">
        <v>42</v>
      </c>
      <c r="E65" s="3" t="s">
        <v>185</v>
      </c>
      <c r="F65" s="3" t="s">
        <v>15</v>
      </c>
      <c r="G65" s="3" t="s">
        <v>113</v>
      </c>
      <c r="H65" s="3" t="s">
        <v>8</v>
      </c>
      <c r="I65" s="3" t="s">
        <v>7</v>
      </c>
      <c r="J65" s="3" t="s">
        <v>36</v>
      </c>
      <c r="K65" s="3" t="s">
        <v>66</v>
      </c>
      <c r="L65" s="3" t="s">
        <v>24</v>
      </c>
      <c r="M65">
        <v>1</v>
      </c>
    </row>
    <row r="66" spans="1:13" x14ac:dyDescent="0.25">
      <c r="A66" s="2">
        <v>46203</v>
      </c>
      <c r="B66" s="1" t="str">
        <f ca="1">IF(Información1[[#This Row],[Fecha]]='Ajuste de fechas'!$A$2,"Día actual","Día anterior")</f>
        <v>Día anterior</v>
      </c>
      <c r="C66" s="3" t="s">
        <v>41</v>
      </c>
      <c r="D66" t="s">
        <v>42</v>
      </c>
      <c r="E66" s="3" t="s">
        <v>186</v>
      </c>
      <c r="F66" s="3" t="s">
        <v>15</v>
      </c>
      <c r="G66" s="3" t="s">
        <v>113</v>
      </c>
      <c r="H66" s="3" t="s">
        <v>8</v>
      </c>
      <c r="I66" s="3" t="s">
        <v>7</v>
      </c>
      <c r="J66" s="3" t="s">
        <v>36</v>
      </c>
      <c r="K66" s="3" t="s">
        <v>66</v>
      </c>
      <c r="L66" s="3" t="s">
        <v>24</v>
      </c>
      <c r="M66">
        <v>1</v>
      </c>
    </row>
    <row r="67" spans="1:13" x14ac:dyDescent="0.25">
      <c r="A67" s="2">
        <v>46203</v>
      </c>
      <c r="B67" s="1" t="str">
        <f ca="1">IF(Información1[[#This Row],[Fecha]]='Ajuste de fechas'!$A$2,"Día actual","Día anterior")</f>
        <v>Día anterior</v>
      </c>
      <c r="C67" s="3" t="s">
        <v>45</v>
      </c>
      <c r="D67" t="s">
        <v>46</v>
      </c>
      <c r="E67" s="3" t="s">
        <v>187</v>
      </c>
      <c r="F67" s="3" t="s">
        <v>10</v>
      </c>
      <c r="G67" s="3" t="s">
        <v>78</v>
      </c>
      <c r="H67" s="3" t="s">
        <v>40</v>
      </c>
      <c r="I67" s="3" t="s">
        <v>14</v>
      </c>
      <c r="J67" s="3" t="s">
        <v>38</v>
      </c>
      <c r="K67" s="3" t="s">
        <v>79</v>
      </c>
      <c r="L67" s="3" t="s">
        <v>24</v>
      </c>
      <c r="M67">
        <v>1</v>
      </c>
    </row>
    <row r="68" spans="1:13" x14ac:dyDescent="0.25">
      <c r="A68" s="2">
        <v>46203</v>
      </c>
      <c r="B68" s="1" t="str">
        <f ca="1">IF(Información1[[#This Row],[Fecha]]='Ajuste de fechas'!$A$2,"Día actual","Día anterior")</f>
        <v>Día anterior</v>
      </c>
      <c r="C68" s="3" t="s">
        <v>45</v>
      </c>
      <c r="D68" t="s">
        <v>46</v>
      </c>
      <c r="E68" s="3" t="s">
        <v>188</v>
      </c>
      <c r="F68" s="3" t="s">
        <v>10</v>
      </c>
      <c r="G68" s="3" t="s">
        <v>189</v>
      </c>
      <c r="H68" s="3" t="s">
        <v>40</v>
      </c>
      <c r="I68" s="3" t="s">
        <v>14</v>
      </c>
      <c r="J68" s="3" t="s">
        <v>38</v>
      </c>
      <c r="K68" s="3" t="s">
        <v>47</v>
      </c>
      <c r="L68" s="3" t="s">
        <v>24</v>
      </c>
      <c r="M68">
        <v>1</v>
      </c>
    </row>
    <row r="69" spans="1:13" x14ac:dyDescent="0.25">
      <c r="A69" s="2">
        <v>46203</v>
      </c>
      <c r="B69" s="1" t="str">
        <f ca="1">IF(Información1[[#This Row],[Fecha]]='Ajuste de fechas'!$A$2,"Día actual","Día anterior")</f>
        <v>Día anterior</v>
      </c>
      <c r="C69" s="3" t="s">
        <v>45</v>
      </c>
      <c r="D69" t="s">
        <v>46</v>
      </c>
      <c r="E69" s="3" t="s">
        <v>190</v>
      </c>
      <c r="F69" s="3" t="s">
        <v>9</v>
      </c>
      <c r="G69" s="3" t="s">
        <v>191</v>
      </c>
      <c r="H69" s="3" t="s">
        <v>40</v>
      </c>
      <c r="I69" s="3" t="s">
        <v>14</v>
      </c>
      <c r="J69" s="3" t="s">
        <v>36</v>
      </c>
      <c r="K69" s="3" t="s">
        <v>47</v>
      </c>
      <c r="L69" s="3" t="s">
        <v>24</v>
      </c>
      <c r="M69">
        <v>1</v>
      </c>
    </row>
    <row r="70" spans="1:13" x14ac:dyDescent="0.25">
      <c r="A70" s="2">
        <v>46203</v>
      </c>
      <c r="B70" s="1" t="str">
        <f ca="1">IF(Información1[[#This Row],[Fecha]]='Ajuste de fechas'!$A$2,"Día actual","Día anterior")</f>
        <v>Día anterior</v>
      </c>
      <c r="C70" s="3" t="s">
        <v>45</v>
      </c>
      <c r="D70" t="s">
        <v>46</v>
      </c>
      <c r="E70" s="3" t="s">
        <v>192</v>
      </c>
      <c r="F70" s="3" t="s">
        <v>9</v>
      </c>
      <c r="G70" s="3" t="s">
        <v>191</v>
      </c>
      <c r="H70" s="3" t="s">
        <v>40</v>
      </c>
      <c r="I70" s="3" t="s">
        <v>14</v>
      </c>
      <c r="J70" s="3" t="s">
        <v>36</v>
      </c>
      <c r="K70" s="3" t="s">
        <v>47</v>
      </c>
      <c r="L70" s="3" t="s">
        <v>24</v>
      </c>
      <c r="M70">
        <v>1</v>
      </c>
    </row>
    <row r="71" spans="1:13" x14ac:dyDescent="0.25">
      <c r="A71" s="2">
        <v>46203</v>
      </c>
      <c r="B71" s="1" t="str">
        <f ca="1">IF(Información1[[#This Row],[Fecha]]='Ajuste de fechas'!$A$2,"Día actual","Día anterior")</f>
        <v>Día anterior</v>
      </c>
      <c r="C71" s="3" t="s">
        <v>45</v>
      </c>
      <c r="D71" t="s">
        <v>46</v>
      </c>
      <c r="E71" s="3" t="s">
        <v>193</v>
      </c>
      <c r="F71" s="3" t="s">
        <v>10</v>
      </c>
      <c r="G71" s="3" t="s">
        <v>178</v>
      </c>
      <c r="H71" s="3" t="s">
        <v>40</v>
      </c>
      <c r="I71" s="3" t="s">
        <v>7</v>
      </c>
      <c r="J71" s="3" t="s">
        <v>38</v>
      </c>
      <c r="K71" s="3" t="s">
        <v>47</v>
      </c>
      <c r="L71" s="3" t="s">
        <v>24</v>
      </c>
      <c r="M71">
        <v>1</v>
      </c>
    </row>
    <row r="72" spans="1:13" x14ac:dyDescent="0.25">
      <c r="A72" s="2">
        <v>46203</v>
      </c>
      <c r="B72" s="1" t="str">
        <f ca="1">IF(Información1[[#This Row],[Fecha]]='Ajuste de fechas'!$A$2,"Día actual","Día anterior")</f>
        <v>Día anterior</v>
      </c>
      <c r="C72" s="3" t="s">
        <v>45</v>
      </c>
      <c r="D72" t="s">
        <v>46</v>
      </c>
      <c r="E72" s="3" t="s">
        <v>194</v>
      </c>
      <c r="F72" s="3" t="s">
        <v>43</v>
      </c>
      <c r="G72" s="3" t="s">
        <v>91</v>
      </c>
      <c r="H72" s="3" t="s">
        <v>40</v>
      </c>
      <c r="I72" s="3" t="s">
        <v>7</v>
      </c>
      <c r="J72" s="3" t="s">
        <v>36</v>
      </c>
      <c r="K72" s="3" t="s">
        <v>47</v>
      </c>
      <c r="L72" s="3" t="s">
        <v>24</v>
      </c>
      <c r="M72">
        <v>1</v>
      </c>
    </row>
    <row r="73" spans="1:13" x14ac:dyDescent="0.25">
      <c r="A73" s="2">
        <v>46203</v>
      </c>
      <c r="B73" s="1" t="str">
        <f ca="1">IF(Información1[[#This Row],[Fecha]]='Ajuste de fechas'!$A$2,"Día actual","Día anterior")</f>
        <v>Día anterior</v>
      </c>
      <c r="C73" s="3" t="s">
        <v>45</v>
      </c>
      <c r="D73" t="s">
        <v>46</v>
      </c>
      <c r="E73" s="3" t="s">
        <v>195</v>
      </c>
      <c r="F73" s="3" t="s">
        <v>10</v>
      </c>
      <c r="G73" s="3" t="s">
        <v>196</v>
      </c>
      <c r="H73" s="3" t="s">
        <v>40</v>
      </c>
      <c r="I73" s="3" t="s">
        <v>7</v>
      </c>
      <c r="J73" s="3" t="s">
        <v>38</v>
      </c>
      <c r="K73" s="3" t="s">
        <v>79</v>
      </c>
      <c r="L73" s="3" t="s">
        <v>24</v>
      </c>
      <c r="M73">
        <v>1</v>
      </c>
    </row>
    <row r="74" spans="1:13" x14ac:dyDescent="0.25">
      <c r="A74" s="2">
        <v>46203</v>
      </c>
      <c r="B74" s="1" t="str">
        <f ca="1">IF(Información1[[#This Row],[Fecha]]='Ajuste de fechas'!$A$2,"Día actual","Día anterior")</f>
        <v>Día anterior</v>
      </c>
      <c r="C74" s="3" t="s">
        <v>45</v>
      </c>
      <c r="D74" t="s">
        <v>46</v>
      </c>
      <c r="E74" s="3" t="s">
        <v>197</v>
      </c>
      <c r="F74" s="3" t="s">
        <v>17</v>
      </c>
      <c r="G74" s="3" t="s">
        <v>198</v>
      </c>
      <c r="H74" s="3" t="s">
        <v>40</v>
      </c>
      <c r="I74" s="3" t="s">
        <v>7</v>
      </c>
      <c r="J74" s="3" t="s">
        <v>36</v>
      </c>
      <c r="K74" s="3" t="s">
        <v>47</v>
      </c>
      <c r="L74" s="3" t="s">
        <v>26</v>
      </c>
      <c r="M74">
        <v>1</v>
      </c>
    </row>
    <row r="75" spans="1:13" x14ac:dyDescent="0.25">
      <c r="A75" s="2">
        <v>46203</v>
      </c>
      <c r="B75" s="1" t="str">
        <f ca="1">IF(Información1[[#This Row],[Fecha]]='Ajuste de fechas'!$A$2,"Día actual","Día anterior")</f>
        <v>Día anterior</v>
      </c>
      <c r="C75" s="3" t="s">
        <v>45</v>
      </c>
      <c r="D75" t="s">
        <v>46</v>
      </c>
      <c r="E75" s="3" t="s">
        <v>199</v>
      </c>
      <c r="F75" s="3" t="s">
        <v>39</v>
      </c>
      <c r="G75" s="3" t="s">
        <v>200</v>
      </c>
      <c r="H75" s="3" t="s">
        <v>40</v>
      </c>
      <c r="I75" s="3" t="s">
        <v>7</v>
      </c>
      <c r="J75" s="3" t="s">
        <v>36</v>
      </c>
      <c r="K75" s="3" t="s">
        <v>47</v>
      </c>
      <c r="L75" s="3" t="s">
        <v>26</v>
      </c>
      <c r="M75">
        <v>1</v>
      </c>
    </row>
    <row r="76" spans="1:13" x14ac:dyDescent="0.25">
      <c r="A76" s="2">
        <v>46203</v>
      </c>
      <c r="B76" s="1" t="str">
        <f ca="1">IF(Información1[[#This Row],[Fecha]]='Ajuste de fechas'!$A$2,"Día actual","Día anterior")</f>
        <v>Día anterior</v>
      </c>
      <c r="C76" s="3" t="s">
        <v>45</v>
      </c>
      <c r="D76" t="s">
        <v>46</v>
      </c>
      <c r="E76" s="3" t="s">
        <v>201</v>
      </c>
      <c r="F76" s="3" t="s">
        <v>10</v>
      </c>
      <c r="G76" s="3" t="s">
        <v>91</v>
      </c>
      <c r="H76" s="3" t="s">
        <v>40</v>
      </c>
      <c r="I76" s="3" t="s">
        <v>14</v>
      </c>
      <c r="J76" s="3" t="s">
        <v>38</v>
      </c>
      <c r="K76" s="3" t="s">
        <v>47</v>
      </c>
      <c r="L76" s="3" t="s">
        <v>24</v>
      </c>
      <c r="M76">
        <v>1</v>
      </c>
    </row>
    <row r="77" spans="1:13" x14ac:dyDescent="0.25">
      <c r="A77" s="2">
        <v>46203</v>
      </c>
      <c r="B77" s="1" t="str">
        <f ca="1">IF(Información1[[#This Row],[Fecha]]='Ajuste de fechas'!$A$2,"Día actual","Día anterior")</f>
        <v>Día anterior</v>
      </c>
      <c r="C77" s="3" t="s">
        <v>45</v>
      </c>
      <c r="D77" t="s">
        <v>46</v>
      </c>
      <c r="E77" s="3" t="s">
        <v>202</v>
      </c>
      <c r="F77" s="3" t="s">
        <v>12</v>
      </c>
      <c r="G77" s="3" t="s">
        <v>52</v>
      </c>
      <c r="H77" s="3" t="s">
        <v>40</v>
      </c>
      <c r="I77" s="3" t="s">
        <v>7</v>
      </c>
      <c r="J77" s="3" t="s">
        <v>36</v>
      </c>
      <c r="K77" s="3" t="s">
        <v>47</v>
      </c>
      <c r="L77" s="3" t="s">
        <v>26</v>
      </c>
      <c r="M77">
        <v>1</v>
      </c>
    </row>
    <row r="78" spans="1:13" x14ac:dyDescent="0.25">
      <c r="A78" s="2">
        <v>46203</v>
      </c>
      <c r="B78" s="1" t="str">
        <f ca="1">IF(Información1[[#This Row],[Fecha]]='Ajuste de fechas'!$A$2,"Día actual","Día anterior")</f>
        <v>Día anterior</v>
      </c>
      <c r="C78" s="3" t="s">
        <v>45</v>
      </c>
      <c r="D78" t="s">
        <v>46</v>
      </c>
      <c r="E78" s="3" t="s">
        <v>115</v>
      </c>
      <c r="F78" s="3" t="s">
        <v>15</v>
      </c>
      <c r="G78" s="3" t="s">
        <v>116</v>
      </c>
      <c r="H78" s="3" t="s">
        <v>40</v>
      </c>
      <c r="I78" s="3" t="s">
        <v>7</v>
      </c>
      <c r="J78" s="3" t="s">
        <v>36</v>
      </c>
      <c r="K78" s="3" t="s">
        <v>47</v>
      </c>
      <c r="L78" s="3" t="s">
        <v>26</v>
      </c>
      <c r="M78">
        <v>1</v>
      </c>
    </row>
    <row r="79" spans="1:13" x14ac:dyDescent="0.25">
      <c r="A79" s="2">
        <v>46203</v>
      </c>
      <c r="B79" s="1" t="str">
        <f ca="1">IF(Información1[[#This Row],[Fecha]]='Ajuste de fechas'!$A$2,"Día actual","Día anterior")</f>
        <v>Día anterior</v>
      </c>
      <c r="C79" s="3" t="s">
        <v>45</v>
      </c>
      <c r="D79" t="s">
        <v>46</v>
      </c>
      <c r="E79" s="3" t="s">
        <v>180</v>
      </c>
      <c r="F79" s="3" t="s">
        <v>15</v>
      </c>
      <c r="G79" s="3" t="s">
        <v>75</v>
      </c>
      <c r="H79" s="3" t="s">
        <v>40</v>
      </c>
      <c r="I79" s="3" t="s">
        <v>7</v>
      </c>
      <c r="J79" s="3" t="s">
        <v>36</v>
      </c>
      <c r="K79" s="3" t="s">
        <v>47</v>
      </c>
      <c r="L79" s="3" t="s">
        <v>26</v>
      </c>
      <c r="M79">
        <v>1</v>
      </c>
    </row>
    <row r="80" spans="1:13" x14ac:dyDescent="0.25">
      <c r="A80" s="2">
        <v>46204</v>
      </c>
      <c r="B80" s="1" t="str">
        <f ca="1">IF(Información1[[#This Row],[Fecha]]='Ajuste de fechas'!$A$2,"Día actual","Día anterior")</f>
        <v>Día actual</v>
      </c>
      <c r="C80" s="3" t="s">
        <v>16</v>
      </c>
      <c r="D80" t="s">
        <v>67</v>
      </c>
      <c r="E80" s="3" t="s">
        <v>203</v>
      </c>
      <c r="F80" s="3" t="s">
        <v>39</v>
      </c>
      <c r="G80" s="3" t="s">
        <v>75</v>
      </c>
      <c r="H80" s="3" t="s">
        <v>8</v>
      </c>
      <c r="I80" s="3" t="s">
        <v>7</v>
      </c>
      <c r="J80" s="3" t="s">
        <v>36</v>
      </c>
      <c r="K80" s="3" t="s">
        <v>68</v>
      </c>
      <c r="L80" s="3" t="s">
        <v>24</v>
      </c>
      <c r="M80">
        <v>1</v>
      </c>
    </row>
    <row r="81" spans="1:13" x14ac:dyDescent="0.25">
      <c r="A81" s="2">
        <v>46204</v>
      </c>
      <c r="B81" s="1" t="str">
        <f ca="1">IF(Información1[[#This Row],[Fecha]]='Ajuste de fechas'!$A$2,"Día actual","Día anterior")</f>
        <v>Día actual</v>
      </c>
      <c r="C81" s="3" t="s">
        <v>55</v>
      </c>
      <c r="D81" t="s">
        <v>56</v>
      </c>
      <c r="E81" s="3" t="s">
        <v>204</v>
      </c>
      <c r="F81" s="3" t="s">
        <v>6</v>
      </c>
      <c r="G81" s="3" t="s">
        <v>78</v>
      </c>
      <c r="H81" s="3" t="s">
        <v>8</v>
      </c>
      <c r="I81" s="3" t="s">
        <v>14</v>
      </c>
      <c r="J81" s="3" t="s">
        <v>36</v>
      </c>
      <c r="K81" s="3" t="s">
        <v>50</v>
      </c>
      <c r="L81" s="3" t="s">
        <v>25</v>
      </c>
      <c r="M81">
        <v>1</v>
      </c>
    </row>
    <row r="82" spans="1:13" x14ac:dyDescent="0.25">
      <c r="A82" s="2">
        <v>46204</v>
      </c>
      <c r="B82" s="1" t="str">
        <f ca="1">IF(Información1[[#This Row],[Fecha]]='Ajuste de fechas'!$A$2,"Día actual","Día anterior")</f>
        <v>Día actual</v>
      </c>
      <c r="C82" s="3" t="s">
        <v>55</v>
      </c>
      <c r="D82" t="s">
        <v>56</v>
      </c>
      <c r="E82" s="3" t="s">
        <v>205</v>
      </c>
      <c r="F82" s="3" t="s">
        <v>6</v>
      </c>
      <c r="G82" s="3" t="s">
        <v>78</v>
      </c>
      <c r="H82" s="3" t="s">
        <v>8</v>
      </c>
      <c r="I82" s="3" t="s">
        <v>14</v>
      </c>
      <c r="J82" s="3" t="s">
        <v>36</v>
      </c>
      <c r="K82" s="3" t="s">
        <v>50</v>
      </c>
      <c r="L82" s="3" t="s">
        <v>25</v>
      </c>
      <c r="M82">
        <v>1</v>
      </c>
    </row>
    <row r="83" spans="1:13" x14ac:dyDescent="0.25">
      <c r="A83" s="2">
        <v>46204</v>
      </c>
      <c r="B83" s="1" t="str">
        <f ca="1">IF(Información1[[#This Row],[Fecha]]='Ajuste de fechas'!$A$2,"Día actual","Día anterior")</f>
        <v>Día actual</v>
      </c>
      <c r="C83" s="3" t="s">
        <v>16</v>
      </c>
      <c r="D83" t="s">
        <v>67</v>
      </c>
      <c r="E83" s="3" t="s">
        <v>206</v>
      </c>
      <c r="F83" s="3" t="s">
        <v>11</v>
      </c>
      <c r="G83" s="3" t="s">
        <v>32</v>
      </c>
      <c r="H83" s="3" t="s">
        <v>8</v>
      </c>
      <c r="I83" s="3" t="s">
        <v>7</v>
      </c>
      <c r="J83" s="3" t="s">
        <v>37</v>
      </c>
      <c r="K83" s="3" t="s">
        <v>68</v>
      </c>
      <c r="L83" s="3" t="s">
        <v>24</v>
      </c>
      <c r="M83">
        <v>1</v>
      </c>
    </row>
    <row r="84" spans="1:13" x14ac:dyDescent="0.25">
      <c r="A84" s="2">
        <v>46204</v>
      </c>
      <c r="B84" s="1" t="str">
        <f ca="1">IF(Información1[[#This Row],[Fecha]]='Ajuste de fechas'!$A$2,"Día actual","Día anterior")</f>
        <v>Día actual</v>
      </c>
      <c r="C84" s="3" t="s">
        <v>55</v>
      </c>
      <c r="D84" t="s">
        <v>56</v>
      </c>
      <c r="E84" s="3" t="s">
        <v>207</v>
      </c>
      <c r="F84" s="3" t="s">
        <v>10</v>
      </c>
      <c r="G84" s="3" t="s">
        <v>59</v>
      </c>
      <c r="H84" s="3" t="s">
        <v>8</v>
      </c>
      <c r="I84" s="3" t="s">
        <v>7</v>
      </c>
      <c r="J84" s="3" t="s">
        <v>38</v>
      </c>
      <c r="K84" s="3" t="s">
        <v>57</v>
      </c>
      <c r="L84" s="3" t="s">
        <v>24</v>
      </c>
      <c r="M84">
        <v>1</v>
      </c>
    </row>
    <row r="85" spans="1:13" x14ac:dyDescent="0.25">
      <c r="A85" s="2">
        <v>46204</v>
      </c>
      <c r="B85" s="1" t="str">
        <f ca="1">IF(Información1[[#This Row],[Fecha]]='Ajuste de fechas'!$A$2,"Día actual","Día anterior")</f>
        <v>Día actual</v>
      </c>
      <c r="C85" s="3" t="s">
        <v>55</v>
      </c>
      <c r="D85" t="s">
        <v>56</v>
      </c>
      <c r="E85" s="3" t="s">
        <v>58</v>
      </c>
      <c r="F85" s="3" t="s">
        <v>10</v>
      </c>
      <c r="G85" s="3" t="s">
        <v>59</v>
      </c>
      <c r="H85" s="3" t="s">
        <v>8</v>
      </c>
      <c r="I85" s="3" t="s">
        <v>54</v>
      </c>
      <c r="J85" s="3" t="s">
        <v>38</v>
      </c>
      <c r="K85" s="3" t="s">
        <v>57</v>
      </c>
      <c r="L85" s="3" t="s">
        <v>25</v>
      </c>
      <c r="M85">
        <v>1</v>
      </c>
    </row>
    <row r="86" spans="1:13" x14ac:dyDescent="0.25">
      <c r="A86" s="2">
        <v>46204</v>
      </c>
      <c r="B86" s="1" t="str">
        <f ca="1">IF(Información1[[#This Row],[Fecha]]='Ajuste de fechas'!$A$2,"Día actual","Día anterior")</f>
        <v>Día actual</v>
      </c>
      <c r="C86" s="3" t="s">
        <v>55</v>
      </c>
      <c r="D86" t="s">
        <v>56</v>
      </c>
      <c r="E86" s="3" t="s">
        <v>60</v>
      </c>
      <c r="F86" s="3" t="s">
        <v>10</v>
      </c>
      <c r="G86" s="3" t="s">
        <v>59</v>
      </c>
      <c r="H86" s="3" t="s">
        <v>8</v>
      </c>
      <c r="I86" s="3" t="s">
        <v>54</v>
      </c>
      <c r="J86" s="3" t="s">
        <v>38</v>
      </c>
      <c r="K86" s="3" t="s">
        <v>57</v>
      </c>
      <c r="L86" s="3" t="s">
        <v>25</v>
      </c>
      <c r="M86">
        <v>1</v>
      </c>
    </row>
    <row r="87" spans="1:13" x14ac:dyDescent="0.25">
      <c r="A87" s="2">
        <v>46204</v>
      </c>
      <c r="B87" s="1" t="str">
        <f ca="1">IF(Información1[[#This Row],[Fecha]]='Ajuste de fechas'!$A$2,"Día actual","Día anterior")</f>
        <v>Día actual</v>
      </c>
      <c r="C87" s="3" t="s">
        <v>55</v>
      </c>
      <c r="D87" t="s">
        <v>56</v>
      </c>
      <c r="E87" s="3" t="s">
        <v>61</v>
      </c>
      <c r="F87" s="3" t="s">
        <v>39</v>
      </c>
      <c r="G87" s="3" t="s">
        <v>59</v>
      </c>
      <c r="H87" s="3" t="s">
        <v>8</v>
      </c>
      <c r="I87" s="3" t="s">
        <v>54</v>
      </c>
      <c r="J87" s="3" t="s">
        <v>36</v>
      </c>
      <c r="K87" s="3" t="s">
        <v>57</v>
      </c>
      <c r="L87" s="3" t="s">
        <v>25</v>
      </c>
      <c r="M87">
        <v>1</v>
      </c>
    </row>
    <row r="88" spans="1:13" x14ac:dyDescent="0.25">
      <c r="A88" s="2">
        <v>46204</v>
      </c>
      <c r="B88" s="1" t="str">
        <f ca="1">IF(Información1[[#This Row],[Fecha]]='Ajuste de fechas'!$A$2,"Día actual","Día anterior")</f>
        <v>Día actual</v>
      </c>
      <c r="C88" s="3" t="s">
        <v>55</v>
      </c>
      <c r="D88" t="s">
        <v>56</v>
      </c>
      <c r="E88" s="3" t="s">
        <v>65</v>
      </c>
      <c r="F88" s="3" t="s">
        <v>30</v>
      </c>
      <c r="G88" s="3" t="s">
        <v>59</v>
      </c>
      <c r="H88" s="3" t="s">
        <v>8</v>
      </c>
      <c r="I88" s="3" t="s">
        <v>54</v>
      </c>
      <c r="J88" s="3" t="s">
        <v>13</v>
      </c>
      <c r="K88" s="3" t="s">
        <v>57</v>
      </c>
      <c r="L88" s="3" t="s">
        <v>25</v>
      </c>
      <c r="M88">
        <v>1</v>
      </c>
    </row>
    <row r="89" spans="1:13" x14ac:dyDescent="0.25">
      <c r="A89" s="2">
        <v>46204</v>
      </c>
      <c r="B89" s="1" t="str">
        <f ca="1">IF(Información1[[#This Row],[Fecha]]='Ajuste de fechas'!$A$2,"Día actual","Día anterior")</f>
        <v>Día actual</v>
      </c>
      <c r="C89" s="3" t="s">
        <v>55</v>
      </c>
      <c r="D89" t="s">
        <v>56</v>
      </c>
      <c r="E89" s="3" t="s">
        <v>62</v>
      </c>
      <c r="F89" s="3" t="s">
        <v>9</v>
      </c>
      <c r="G89" s="3" t="s">
        <v>59</v>
      </c>
      <c r="H89" s="3" t="s">
        <v>8</v>
      </c>
      <c r="I89" s="3" t="s">
        <v>54</v>
      </c>
      <c r="J89" s="3" t="s">
        <v>36</v>
      </c>
      <c r="K89" s="3" t="s">
        <v>57</v>
      </c>
      <c r="L89" s="3" t="s">
        <v>25</v>
      </c>
      <c r="M89">
        <v>1</v>
      </c>
    </row>
    <row r="90" spans="1:13" x14ac:dyDescent="0.25">
      <c r="A90" s="2">
        <v>46204</v>
      </c>
      <c r="B90" s="1" t="str">
        <f ca="1">IF(Información1[[#This Row],[Fecha]]='Ajuste de fechas'!$A$2,"Día actual","Día anterior")</f>
        <v>Día actual</v>
      </c>
      <c r="C90" s="3" t="s">
        <v>55</v>
      </c>
      <c r="D90" t="s">
        <v>56</v>
      </c>
      <c r="E90" s="3" t="s">
        <v>63</v>
      </c>
      <c r="F90" s="3" t="s">
        <v>51</v>
      </c>
      <c r="G90" s="3" t="s">
        <v>59</v>
      </c>
      <c r="H90" s="3" t="s">
        <v>8</v>
      </c>
      <c r="I90" s="3" t="s">
        <v>54</v>
      </c>
      <c r="J90" s="3" t="s">
        <v>36</v>
      </c>
      <c r="K90" s="3" t="s">
        <v>57</v>
      </c>
      <c r="L90" s="3" t="s">
        <v>25</v>
      </c>
      <c r="M90">
        <v>1</v>
      </c>
    </row>
    <row r="91" spans="1:13" x14ac:dyDescent="0.25">
      <c r="A91" s="2">
        <v>46204</v>
      </c>
      <c r="B91" s="1" t="str">
        <f ca="1">IF(Información1[[#This Row],[Fecha]]='Ajuste de fechas'!$A$2,"Día actual","Día anterior")</f>
        <v>Día actual</v>
      </c>
      <c r="C91" s="3" t="s">
        <v>55</v>
      </c>
      <c r="D91" t="s">
        <v>56</v>
      </c>
      <c r="E91" s="3" t="s">
        <v>64</v>
      </c>
      <c r="F91" s="3" t="s">
        <v>6</v>
      </c>
      <c r="G91" s="3" t="s">
        <v>59</v>
      </c>
      <c r="H91" s="3" t="s">
        <v>8</v>
      </c>
      <c r="I91" s="3" t="s">
        <v>54</v>
      </c>
      <c r="J91" s="3" t="s">
        <v>36</v>
      </c>
      <c r="K91" s="3" t="s">
        <v>57</v>
      </c>
      <c r="L91" s="3" t="s">
        <v>25</v>
      </c>
      <c r="M91">
        <v>1</v>
      </c>
    </row>
    <row r="92" spans="1:13" x14ac:dyDescent="0.25">
      <c r="A92" s="2">
        <v>46204</v>
      </c>
      <c r="B92" s="1" t="str">
        <f ca="1">IF(Información1[[#This Row],[Fecha]]='Ajuste de fechas'!$A$2,"Día actual","Día anterior")</f>
        <v>Día actual</v>
      </c>
      <c r="C92" s="3" t="s">
        <v>55</v>
      </c>
      <c r="D92" t="s">
        <v>56</v>
      </c>
      <c r="E92" s="3" t="s">
        <v>208</v>
      </c>
      <c r="F92" s="3" t="s">
        <v>10</v>
      </c>
      <c r="G92" s="3" t="s">
        <v>102</v>
      </c>
      <c r="H92" s="3" t="s">
        <v>8</v>
      </c>
      <c r="I92" s="3" t="s">
        <v>7</v>
      </c>
      <c r="J92" s="3" t="s">
        <v>38</v>
      </c>
      <c r="K92" s="3" t="s">
        <v>57</v>
      </c>
      <c r="L92" s="3" t="s">
        <v>24</v>
      </c>
      <c r="M92">
        <v>1</v>
      </c>
    </row>
    <row r="93" spans="1:13" x14ac:dyDescent="0.25">
      <c r="A93" s="2">
        <v>46204</v>
      </c>
      <c r="B93" s="1" t="str">
        <f ca="1">IF(Información1[[#This Row],[Fecha]]='Ajuste de fechas'!$A$2,"Día actual","Día anterior")</f>
        <v>Día actual</v>
      </c>
      <c r="C93" s="3" t="s">
        <v>16</v>
      </c>
      <c r="D93" t="s">
        <v>81</v>
      </c>
      <c r="E93" s="3" t="s">
        <v>209</v>
      </c>
      <c r="F93" s="3" t="s">
        <v>10</v>
      </c>
      <c r="G93" s="3" t="s">
        <v>210</v>
      </c>
      <c r="H93" s="3" t="s">
        <v>8</v>
      </c>
      <c r="I93" s="3" t="s">
        <v>7</v>
      </c>
      <c r="J93" s="3" t="s">
        <v>38</v>
      </c>
      <c r="K93" s="3" t="s">
        <v>50</v>
      </c>
      <c r="L93" s="3" t="s">
        <v>24</v>
      </c>
      <c r="M93">
        <v>1</v>
      </c>
    </row>
    <row r="94" spans="1:13" x14ac:dyDescent="0.25">
      <c r="A94" s="2">
        <v>46204</v>
      </c>
      <c r="B94" s="1" t="str">
        <f ca="1">IF(Información1[[#This Row],[Fecha]]='Ajuste de fechas'!$A$2,"Día actual","Día anterior")</f>
        <v>Día actual</v>
      </c>
      <c r="C94" s="3" t="s">
        <v>16</v>
      </c>
      <c r="D94" t="s">
        <v>81</v>
      </c>
      <c r="E94" s="3" t="s">
        <v>211</v>
      </c>
      <c r="F94" s="3" t="s">
        <v>10</v>
      </c>
      <c r="G94" s="3" t="s">
        <v>210</v>
      </c>
      <c r="H94" s="3" t="s">
        <v>8</v>
      </c>
      <c r="I94" s="3" t="s">
        <v>7</v>
      </c>
      <c r="J94" s="3" t="s">
        <v>38</v>
      </c>
      <c r="K94" s="3" t="s">
        <v>83</v>
      </c>
      <c r="L94" s="3" t="s">
        <v>24</v>
      </c>
      <c r="M94">
        <v>1</v>
      </c>
    </row>
    <row r="95" spans="1:13" x14ac:dyDescent="0.25">
      <c r="A95" s="2">
        <v>46204</v>
      </c>
      <c r="B95" s="1" t="str">
        <f ca="1">IF(Información1[[#This Row],[Fecha]]='Ajuste de fechas'!$A$2,"Día actual","Día anterior")</f>
        <v>Día actual</v>
      </c>
      <c r="C95" s="3" t="s">
        <v>33</v>
      </c>
      <c r="D95" t="s">
        <v>34</v>
      </c>
      <c r="E95" s="3" t="s">
        <v>212</v>
      </c>
      <c r="F95" s="3" t="s">
        <v>160</v>
      </c>
      <c r="G95" s="3" t="s">
        <v>213</v>
      </c>
      <c r="H95" s="3" t="s">
        <v>8</v>
      </c>
      <c r="I95" s="3" t="s">
        <v>7</v>
      </c>
      <c r="J95" s="3" t="s">
        <v>36</v>
      </c>
      <c r="K95" s="3" t="s">
        <v>35</v>
      </c>
      <c r="L95" s="3" t="s">
        <v>26</v>
      </c>
      <c r="M95">
        <v>1</v>
      </c>
    </row>
    <row r="96" spans="1:13" x14ac:dyDescent="0.25">
      <c r="A96" s="2">
        <v>46204</v>
      </c>
      <c r="B96" s="1" t="str">
        <f ca="1">IF(Información1[[#This Row],[Fecha]]='Ajuste de fechas'!$A$2,"Día actual","Día anterior")</f>
        <v>Día actual</v>
      </c>
      <c r="C96" s="3" t="s">
        <v>16</v>
      </c>
      <c r="D96" t="s">
        <v>67</v>
      </c>
      <c r="E96" s="3" t="s">
        <v>214</v>
      </c>
      <c r="F96" s="3" t="s">
        <v>86</v>
      </c>
      <c r="G96" s="3" t="s">
        <v>87</v>
      </c>
      <c r="H96" s="3" t="s">
        <v>8</v>
      </c>
      <c r="I96" s="3" t="s">
        <v>7</v>
      </c>
      <c r="J96" s="3" t="s">
        <v>36</v>
      </c>
      <c r="K96" s="3" t="s">
        <v>68</v>
      </c>
      <c r="L96" s="3" t="s">
        <v>24</v>
      </c>
      <c r="M96">
        <v>1</v>
      </c>
    </row>
    <row r="97" spans="1:13" x14ac:dyDescent="0.25">
      <c r="A97" s="2">
        <v>46204</v>
      </c>
      <c r="B97" s="1" t="str">
        <f ca="1">IF(Información1[[#This Row],[Fecha]]='Ajuste de fechas'!$A$2,"Día actual","Día anterior")</f>
        <v>Día actual</v>
      </c>
      <c r="C97" s="3" t="s">
        <v>16</v>
      </c>
      <c r="D97" t="s">
        <v>67</v>
      </c>
      <c r="E97" s="3" t="s">
        <v>215</v>
      </c>
      <c r="F97" s="3" t="s">
        <v>15</v>
      </c>
      <c r="G97" s="3" t="s">
        <v>87</v>
      </c>
      <c r="H97" s="3" t="s">
        <v>8</v>
      </c>
      <c r="I97" s="3" t="s">
        <v>7</v>
      </c>
      <c r="J97" s="3" t="s">
        <v>36</v>
      </c>
      <c r="K97" s="3" t="s">
        <v>68</v>
      </c>
      <c r="L97" s="3" t="s">
        <v>24</v>
      </c>
      <c r="M97">
        <v>1</v>
      </c>
    </row>
    <row r="98" spans="1:13" x14ac:dyDescent="0.25">
      <c r="A98" s="2">
        <v>46204</v>
      </c>
      <c r="B98" s="1" t="str">
        <f ca="1">IF(Información1[[#This Row],[Fecha]]='Ajuste de fechas'!$A$2,"Día actual","Día anterior")</f>
        <v>Día actual</v>
      </c>
      <c r="C98" s="3" t="s">
        <v>16</v>
      </c>
      <c r="D98" t="s">
        <v>81</v>
      </c>
      <c r="E98" s="3" t="s">
        <v>216</v>
      </c>
      <c r="F98" s="3" t="s">
        <v>12</v>
      </c>
      <c r="G98" s="3" t="s">
        <v>52</v>
      </c>
      <c r="H98" s="3" t="s">
        <v>8</v>
      </c>
      <c r="I98" s="3" t="s">
        <v>7</v>
      </c>
      <c r="J98" s="3" t="s">
        <v>36</v>
      </c>
      <c r="K98" s="3" t="s">
        <v>83</v>
      </c>
      <c r="L98" s="3" t="s">
        <v>24</v>
      </c>
      <c r="M98">
        <v>1</v>
      </c>
    </row>
    <row r="99" spans="1:13" x14ac:dyDescent="0.25">
      <c r="A99" s="2">
        <v>46204</v>
      </c>
      <c r="B99" s="1" t="str">
        <f ca="1">IF(Información1[[#This Row],[Fecha]]='Ajuste de fechas'!$A$2,"Día actual","Día anterior")</f>
        <v>Día actual</v>
      </c>
      <c r="C99" s="3" t="s">
        <v>55</v>
      </c>
      <c r="D99" t="s">
        <v>56</v>
      </c>
      <c r="E99" s="3" t="s">
        <v>217</v>
      </c>
      <c r="F99" s="3" t="s">
        <v>12</v>
      </c>
      <c r="G99" s="3" t="s">
        <v>52</v>
      </c>
      <c r="H99" s="3" t="s">
        <v>8</v>
      </c>
      <c r="I99" s="3" t="s">
        <v>7</v>
      </c>
      <c r="J99" s="3" t="s">
        <v>36</v>
      </c>
      <c r="K99" s="3" t="s">
        <v>57</v>
      </c>
      <c r="L99" s="3" t="s">
        <v>26</v>
      </c>
      <c r="M99">
        <v>1</v>
      </c>
    </row>
    <row r="100" spans="1:13" x14ac:dyDescent="0.25">
      <c r="A100" s="2">
        <v>46204</v>
      </c>
      <c r="B100" s="1" t="str">
        <f ca="1">IF(Información1[[#This Row],[Fecha]]='Ajuste de fechas'!$A$2,"Día actual","Día anterior")</f>
        <v>Día actual</v>
      </c>
      <c r="C100" s="3" t="s">
        <v>55</v>
      </c>
      <c r="D100" t="s">
        <v>56</v>
      </c>
      <c r="E100" s="3" t="s">
        <v>218</v>
      </c>
      <c r="F100" s="3" t="s">
        <v>43</v>
      </c>
      <c r="G100" s="3" t="s">
        <v>77</v>
      </c>
      <c r="H100" s="3" t="s">
        <v>8</v>
      </c>
      <c r="I100" s="3" t="s">
        <v>7</v>
      </c>
      <c r="J100" s="3" t="s">
        <v>36</v>
      </c>
      <c r="K100" s="3" t="s">
        <v>57</v>
      </c>
      <c r="L100" s="3" t="s">
        <v>26</v>
      </c>
      <c r="M100">
        <v>1</v>
      </c>
    </row>
    <row r="101" spans="1:13" x14ac:dyDescent="0.25">
      <c r="A101" s="2">
        <v>46204</v>
      </c>
      <c r="B101" s="1" t="str">
        <f ca="1">IF(Información1[[#This Row],[Fecha]]='Ajuste de fechas'!$A$2,"Día actual","Día anterior")</f>
        <v>Día actual</v>
      </c>
      <c r="C101" s="3" t="s">
        <v>33</v>
      </c>
      <c r="D101" t="s">
        <v>34</v>
      </c>
      <c r="E101" s="3" t="s">
        <v>219</v>
      </c>
      <c r="F101" s="3" t="s">
        <v>15</v>
      </c>
      <c r="G101" s="3" t="s">
        <v>220</v>
      </c>
      <c r="H101" s="3" t="s">
        <v>8</v>
      </c>
      <c r="I101" s="3" t="s">
        <v>7</v>
      </c>
      <c r="J101" s="3" t="s">
        <v>36</v>
      </c>
      <c r="K101" s="3" t="s">
        <v>35</v>
      </c>
      <c r="L101" s="3" t="s">
        <v>26</v>
      </c>
      <c r="M101">
        <v>1</v>
      </c>
    </row>
    <row r="102" spans="1:13" x14ac:dyDescent="0.25">
      <c r="A102" s="2">
        <v>46204</v>
      </c>
      <c r="B102" s="1" t="str">
        <f ca="1">IF(Información1[[#This Row],[Fecha]]='Ajuste de fechas'!$A$2,"Día actual","Día anterior")</f>
        <v>Día actual</v>
      </c>
      <c r="C102" s="3" t="s">
        <v>16</v>
      </c>
      <c r="D102" t="s">
        <v>81</v>
      </c>
      <c r="E102" s="3" t="s">
        <v>221</v>
      </c>
      <c r="F102" s="3" t="s">
        <v>15</v>
      </c>
      <c r="G102" s="3" t="s">
        <v>220</v>
      </c>
      <c r="H102" s="3" t="s">
        <v>8</v>
      </c>
      <c r="I102" s="3" t="s">
        <v>7</v>
      </c>
      <c r="J102" s="3" t="s">
        <v>36</v>
      </c>
      <c r="K102" s="3" t="s">
        <v>83</v>
      </c>
      <c r="L102" s="3" t="s">
        <v>24</v>
      </c>
      <c r="M102">
        <v>1</v>
      </c>
    </row>
    <row r="103" spans="1:13" x14ac:dyDescent="0.25">
      <c r="A103" s="2">
        <v>46204</v>
      </c>
      <c r="B103" s="1" t="str">
        <f ca="1">IF(Información1[[#This Row],[Fecha]]='Ajuste de fechas'!$A$2,"Día actual","Día anterior")</f>
        <v>Día actual</v>
      </c>
      <c r="C103" s="3" t="s">
        <v>55</v>
      </c>
      <c r="D103" t="s">
        <v>56</v>
      </c>
      <c r="E103" s="3" t="s">
        <v>222</v>
      </c>
      <c r="F103" s="3" t="s">
        <v>15</v>
      </c>
      <c r="G103" s="3" t="s">
        <v>220</v>
      </c>
      <c r="H103" s="3" t="s">
        <v>8</v>
      </c>
      <c r="I103" s="3" t="s">
        <v>7</v>
      </c>
      <c r="J103" s="3" t="s">
        <v>36</v>
      </c>
      <c r="K103" s="3" t="s">
        <v>57</v>
      </c>
      <c r="L103" s="3" t="s">
        <v>26</v>
      </c>
      <c r="M103">
        <v>1</v>
      </c>
    </row>
    <row r="104" spans="1:13" x14ac:dyDescent="0.25">
      <c r="A104" s="2">
        <v>46204</v>
      </c>
      <c r="B104" s="1" t="str">
        <f ca="1">IF(Información1[[#This Row],[Fecha]]='Ajuste de fechas'!$A$2,"Día actual","Día anterior")</f>
        <v>Día actual</v>
      </c>
      <c r="C104" s="3" t="s">
        <v>16</v>
      </c>
      <c r="D104" t="s">
        <v>81</v>
      </c>
      <c r="E104" s="3" t="s">
        <v>223</v>
      </c>
      <c r="F104" s="3" t="s">
        <v>13</v>
      </c>
      <c r="G104" s="3" t="s">
        <v>224</v>
      </c>
      <c r="H104" s="3" t="s">
        <v>8</v>
      </c>
      <c r="I104" s="3" t="s">
        <v>7</v>
      </c>
      <c r="J104" s="3" t="s">
        <v>13</v>
      </c>
      <c r="K104" s="3" t="s">
        <v>83</v>
      </c>
      <c r="L104" s="3" t="s">
        <v>24</v>
      </c>
      <c r="M104">
        <v>1</v>
      </c>
    </row>
    <row r="105" spans="1:13" x14ac:dyDescent="0.25">
      <c r="A105" s="2">
        <v>46204</v>
      </c>
      <c r="B105" s="1" t="str">
        <f ca="1">IF(Información1[[#This Row],[Fecha]]='Ajuste de fechas'!$A$2,"Día actual","Día anterior")</f>
        <v>Día actual</v>
      </c>
      <c r="C105" s="3" t="s">
        <v>16</v>
      </c>
      <c r="D105" t="s">
        <v>81</v>
      </c>
      <c r="E105" s="3" t="s">
        <v>225</v>
      </c>
      <c r="F105" s="3" t="s">
        <v>13</v>
      </c>
      <c r="G105" s="3" t="s">
        <v>226</v>
      </c>
      <c r="H105" s="3" t="s">
        <v>8</v>
      </c>
      <c r="I105" s="3" t="s">
        <v>7</v>
      </c>
      <c r="J105" s="3" t="s">
        <v>13</v>
      </c>
      <c r="K105" s="3" t="s">
        <v>83</v>
      </c>
      <c r="L105" s="3" t="s">
        <v>24</v>
      </c>
      <c r="M105">
        <v>1</v>
      </c>
    </row>
    <row r="106" spans="1:13" x14ac:dyDescent="0.25">
      <c r="A106" s="2">
        <v>46204</v>
      </c>
      <c r="B106" s="1" t="str">
        <f ca="1">IF(Información1[[#This Row],[Fecha]]='Ajuste de fechas'!$A$2,"Día actual","Día anterior")</f>
        <v>Día actual</v>
      </c>
      <c r="C106" s="3" t="s">
        <v>16</v>
      </c>
      <c r="D106" t="s">
        <v>81</v>
      </c>
      <c r="E106" s="3" t="s">
        <v>227</v>
      </c>
      <c r="F106" s="3" t="s">
        <v>228</v>
      </c>
      <c r="G106" s="3" t="s">
        <v>229</v>
      </c>
      <c r="H106" s="3" t="s">
        <v>8</v>
      </c>
      <c r="I106" s="3" t="s">
        <v>7</v>
      </c>
      <c r="J106" s="3" t="s">
        <v>36</v>
      </c>
      <c r="K106" s="3" t="s">
        <v>83</v>
      </c>
      <c r="L106" s="3" t="s">
        <v>24</v>
      </c>
      <c r="M106">
        <v>1</v>
      </c>
    </row>
    <row r="107" spans="1:13" x14ac:dyDescent="0.25">
      <c r="A107" s="2">
        <v>46204</v>
      </c>
      <c r="B107" s="1" t="str">
        <f ca="1">IF(Información1[[#This Row],[Fecha]]='Ajuste de fechas'!$A$2,"Día actual","Día anterior")</f>
        <v>Día actual</v>
      </c>
      <c r="C107" s="3" t="s">
        <v>55</v>
      </c>
      <c r="D107" t="s">
        <v>56</v>
      </c>
      <c r="E107" s="3" t="s">
        <v>230</v>
      </c>
      <c r="F107" s="3" t="s">
        <v>228</v>
      </c>
      <c r="G107" s="3" t="s">
        <v>229</v>
      </c>
      <c r="H107" s="3" t="s">
        <v>8</v>
      </c>
      <c r="I107" s="3" t="s">
        <v>7</v>
      </c>
      <c r="J107" s="3" t="s">
        <v>36</v>
      </c>
      <c r="K107" s="3" t="s">
        <v>57</v>
      </c>
      <c r="L107" s="3" t="s">
        <v>24</v>
      </c>
      <c r="M107">
        <v>1</v>
      </c>
    </row>
    <row r="108" spans="1:13" x14ac:dyDescent="0.25">
      <c r="A108" s="2">
        <v>46204</v>
      </c>
      <c r="B108" s="1" t="str">
        <f ca="1">IF(Información1[[#This Row],[Fecha]]='Ajuste de fechas'!$A$2,"Día actual","Día anterior")</f>
        <v>Día actual</v>
      </c>
      <c r="C108" s="3" t="s">
        <v>55</v>
      </c>
      <c r="D108" t="s">
        <v>56</v>
      </c>
      <c r="E108" s="3" t="s">
        <v>231</v>
      </c>
      <c r="F108" s="3" t="s">
        <v>6</v>
      </c>
      <c r="G108" s="3" t="s">
        <v>232</v>
      </c>
      <c r="H108" s="3" t="s">
        <v>8</v>
      </c>
      <c r="I108" s="3" t="s">
        <v>14</v>
      </c>
      <c r="J108" s="3" t="s">
        <v>36</v>
      </c>
      <c r="K108" s="3" t="s">
        <v>50</v>
      </c>
      <c r="L108" s="3" t="s">
        <v>25</v>
      </c>
      <c r="M108">
        <v>1</v>
      </c>
    </row>
    <row r="109" spans="1:13" x14ac:dyDescent="0.25">
      <c r="A109" s="2">
        <v>46204</v>
      </c>
      <c r="B109" s="1" t="str">
        <f ca="1">IF(Información1[[#This Row],[Fecha]]='Ajuste de fechas'!$A$2,"Día actual","Día anterior")</f>
        <v>Día actual</v>
      </c>
      <c r="C109" s="3" t="s">
        <v>55</v>
      </c>
      <c r="D109" t="s">
        <v>56</v>
      </c>
      <c r="E109" s="3" t="s">
        <v>233</v>
      </c>
      <c r="F109" s="3" t="s">
        <v>6</v>
      </c>
      <c r="G109" s="3" t="s">
        <v>234</v>
      </c>
      <c r="H109" s="3" t="s">
        <v>8</v>
      </c>
      <c r="I109" s="3" t="s">
        <v>14</v>
      </c>
      <c r="J109" s="3" t="s">
        <v>36</v>
      </c>
      <c r="K109" s="3" t="s">
        <v>50</v>
      </c>
      <c r="L109" s="3" t="s">
        <v>25</v>
      </c>
      <c r="M109">
        <v>1</v>
      </c>
    </row>
    <row r="110" spans="1:13" x14ac:dyDescent="0.25">
      <c r="A110" s="2">
        <v>46204</v>
      </c>
      <c r="B110" s="1" t="str">
        <f ca="1">IF(Información1[[#This Row],[Fecha]]='Ajuste de fechas'!$A$2,"Día actual","Día anterior")</f>
        <v>Día actual</v>
      </c>
      <c r="C110" s="3" t="s">
        <v>55</v>
      </c>
      <c r="D110" t="s">
        <v>56</v>
      </c>
      <c r="E110" s="3" t="s">
        <v>235</v>
      </c>
      <c r="F110" s="3" t="s">
        <v>9</v>
      </c>
      <c r="G110" s="3" t="s">
        <v>236</v>
      </c>
      <c r="H110" s="3" t="s">
        <v>8</v>
      </c>
      <c r="I110" s="3" t="s">
        <v>7</v>
      </c>
      <c r="J110" s="3" t="s">
        <v>36</v>
      </c>
      <c r="K110" s="3" t="s">
        <v>57</v>
      </c>
      <c r="L110" s="3" t="s">
        <v>26</v>
      </c>
      <c r="M110">
        <v>1</v>
      </c>
    </row>
    <row r="111" spans="1:13" x14ac:dyDescent="0.25">
      <c r="A111" s="2">
        <v>46204</v>
      </c>
      <c r="B111" s="1" t="str">
        <f ca="1">IF(Información1[[#This Row],[Fecha]]='Ajuste de fechas'!$A$2,"Día actual","Día anterior")</f>
        <v>Día actual</v>
      </c>
      <c r="C111" s="3" t="s">
        <v>55</v>
      </c>
      <c r="D111" t="s">
        <v>56</v>
      </c>
      <c r="E111" s="3" t="s">
        <v>237</v>
      </c>
      <c r="F111" s="3" t="s">
        <v>10</v>
      </c>
      <c r="G111" s="3" t="s">
        <v>238</v>
      </c>
      <c r="H111" s="3" t="s">
        <v>8</v>
      </c>
      <c r="I111" s="3" t="s">
        <v>14</v>
      </c>
      <c r="J111" s="3" t="s">
        <v>38</v>
      </c>
      <c r="K111" s="3" t="s">
        <v>50</v>
      </c>
      <c r="L111" s="3" t="s">
        <v>25</v>
      </c>
      <c r="M111">
        <v>1</v>
      </c>
    </row>
    <row r="112" spans="1:13" x14ac:dyDescent="0.25">
      <c r="A112" s="2">
        <v>46204</v>
      </c>
      <c r="B112" s="1" t="str">
        <f ca="1">IF(Información1[[#This Row],[Fecha]]='Ajuste de fechas'!$A$2,"Día actual","Día anterior")</f>
        <v>Día actual</v>
      </c>
      <c r="C112" s="3" t="s">
        <v>16</v>
      </c>
      <c r="D112" t="s">
        <v>67</v>
      </c>
      <c r="E112" s="3" t="s">
        <v>239</v>
      </c>
      <c r="F112" s="3" t="s">
        <v>15</v>
      </c>
      <c r="G112" s="3" t="s">
        <v>172</v>
      </c>
      <c r="H112" s="3" t="s">
        <v>8</v>
      </c>
      <c r="I112" s="3" t="s">
        <v>7</v>
      </c>
      <c r="J112" s="3" t="s">
        <v>36</v>
      </c>
      <c r="K112" s="3" t="s">
        <v>68</v>
      </c>
      <c r="L112" s="3" t="s">
        <v>24</v>
      </c>
      <c r="M112">
        <v>1</v>
      </c>
    </row>
    <row r="113" spans="1:13" x14ac:dyDescent="0.25">
      <c r="A113" s="2">
        <v>46204</v>
      </c>
      <c r="B113" s="1" t="str">
        <f ca="1">IF(Información1[[#This Row],[Fecha]]='Ajuste de fechas'!$A$2,"Día actual","Día anterior")</f>
        <v>Día actual</v>
      </c>
      <c r="C113" s="3" t="s">
        <v>16</v>
      </c>
      <c r="D113" t="s">
        <v>67</v>
      </c>
      <c r="E113" s="3" t="s">
        <v>240</v>
      </c>
      <c r="F113" s="3" t="s">
        <v>9</v>
      </c>
      <c r="G113" s="3" t="s">
        <v>241</v>
      </c>
      <c r="H113" s="3" t="s">
        <v>8</v>
      </c>
      <c r="I113" s="3" t="s">
        <v>7</v>
      </c>
      <c r="J113" s="3" t="s">
        <v>36</v>
      </c>
      <c r="K113" s="3" t="s">
        <v>68</v>
      </c>
      <c r="L113" s="3" t="s">
        <v>26</v>
      </c>
      <c r="M113">
        <v>1</v>
      </c>
    </row>
    <row r="114" spans="1:13" x14ac:dyDescent="0.25">
      <c r="A114" s="2">
        <v>46204</v>
      </c>
      <c r="B114" s="1" t="str">
        <f ca="1">IF(Información1[[#This Row],[Fecha]]='Ajuste de fechas'!$A$2,"Día actual","Día anterior")</f>
        <v>Día actual</v>
      </c>
      <c r="C114" s="3" t="s">
        <v>33</v>
      </c>
      <c r="D114" t="s">
        <v>34</v>
      </c>
      <c r="E114" s="3" t="s">
        <v>242</v>
      </c>
      <c r="F114" s="3" t="s">
        <v>243</v>
      </c>
      <c r="G114" s="3" t="s">
        <v>109</v>
      </c>
      <c r="H114" s="3" t="s">
        <v>8</v>
      </c>
      <c r="I114" s="3" t="s">
        <v>7</v>
      </c>
      <c r="J114" s="3" t="s">
        <v>36</v>
      </c>
      <c r="K114" s="3" t="s">
        <v>35</v>
      </c>
      <c r="L114" s="3" t="s">
        <v>26</v>
      </c>
      <c r="M114">
        <v>1</v>
      </c>
    </row>
    <row r="115" spans="1:13" x14ac:dyDescent="0.25">
      <c r="A115" s="2">
        <v>46204</v>
      </c>
      <c r="B115" s="1" t="str">
        <f ca="1">IF(Información1[[#This Row],[Fecha]]='Ajuste de fechas'!$A$2,"Día actual","Día anterior")</f>
        <v>Día actual</v>
      </c>
      <c r="C115" s="3" t="s">
        <v>16</v>
      </c>
      <c r="D115" t="s">
        <v>81</v>
      </c>
      <c r="E115" s="3" t="s">
        <v>244</v>
      </c>
      <c r="F115" s="3" t="s">
        <v>11</v>
      </c>
      <c r="G115" s="3" t="s">
        <v>109</v>
      </c>
      <c r="H115" s="3" t="s">
        <v>8</v>
      </c>
      <c r="I115" s="3" t="s">
        <v>7</v>
      </c>
      <c r="J115" s="3" t="s">
        <v>37</v>
      </c>
      <c r="K115" s="3" t="s">
        <v>83</v>
      </c>
      <c r="L115" s="3" t="s">
        <v>24</v>
      </c>
      <c r="M115">
        <v>1</v>
      </c>
    </row>
    <row r="116" spans="1:13" x14ac:dyDescent="0.25">
      <c r="A116" s="2">
        <v>46204</v>
      </c>
      <c r="B116" s="1" t="str">
        <f ca="1">IF(Información1[[#This Row],[Fecha]]='Ajuste de fechas'!$A$2,"Día actual","Día anterior")</f>
        <v>Día actual</v>
      </c>
      <c r="C116" s="3" t="s">
        <v>55</v>
      </c>
      <c r="D116" t="s">
        <v>56</v>
      </c>
      <c r="E116" s="3" t="s">
        <v>245</v>
      </c>
      <c r="F116" s="3" t="s">
        <v>10</v>
      </c>
      <c r="G116" s="3" t="s">
        <v>246</v>
      </c>
      <c r="H116" s="3" t="s">
        <v>8</v>
      </c>
      <c r="I116" s="3" t="s">
        <v>14</v>
      </c>
      <c r="J116" s="3" t="s">
        <v>38</v>
      </c>
      <c r="K116" s="3" t="s">
        <v>50</v>
      </c>
      <c r="L116" s="3" t="s">
        <v>25</v>
      </c>
      <c r="M116">
        <v>1</v>
      </c>
    </row>
    <row r="117" spans="1:13" x14ac:dyDescent="0.25">
      <c r="A117" s="2">
        <v>46204</v>
      </c>
      <c r="B117" s="1" t="str">
        <f ca="1">IF(Información1[[#This Row],[Fecha]]='Ajuste de fechas'!$A$2,"Día actual","Día anterior")</f>
        <v>Día actual</v>
      </c>
      <c r="C117" s="3" t="s">
        <v>55</v>
      </c>
      <c r="D117" t="s">
        <v>56</v>
      </c>
      <c r="E117" s="3" t="s">
        <v>247</v>
      </c>
      <c r="F117" s="3" t="s">
        <v>10</v>
      </c>
      <c r="G117" s="3" t="s">
        <v>248</v>
      </c>
      <c r="H117" s="3" t="s">
        <v>8</v>
      </c>
      <c r="I117" s="3" t="s">
        <v>7</v>
      </c>
      <c r="J117" s="3" t="s">
        <v>38</v>
      </c>
      <c r="K117" s="3" t="s">
        <v>57</v>
      </c>
      <c r="L117" s="3" t="s">
        <v>24</v>
      </c>
      <c r="M117">
        <v>1</v>
      </c>
    </row>
    <row r="118" spans="1:13" x14ac:dyDescent="0.25">
      <c r="A118" s="2">
        <v>46204</v>
      </c>
      <c r="B118" s="1" t="str">
        <f ca="1">IF(Información1[[#This Row],[Fecha]]='Ajuste de fechas'!$A$2,"Día actual","Día anterior")</f>
        <v>Día actual</v>
      </c>
      <c r="C118" s="3" t="s">
        <v>16</v>
      </c>
      <c r="D118" t="s">
        <v>81</v>
      </c>
      <c r="E118" s="3" t="s">
        <v>249</v>
      </c>
      <c r="F118" s="3" t="s">
        <v>228</v>
      </c>
      <c r="G118" s="3" t="s">
        <v>250</v>
      </c>
      <c r="H118" s="3" t="s">
        <v>8</v>
      </c>
      <c r="I118" s="3" t="s">
        <v>7</v>
      </c>
      <c r="J118" s="3" t="s">
        <v>36</v>
      </c>
      <c r="K118" s="3" t="s">
        <v>83</v>
      </c>
      <c r="L118" s="3" t="s">
        <v>24</v>
      </c>
      <c r="M118">
        <v>1</v>
      </c>
    </row>
    <row r="119" spans="1:13" x14ac:dyDescent="0.25">
      <c r="A119" s="2">
        <v>46204</v>
      </c>
      <c r="B119" s="1" t="str">
        <f ca="1">IF(Información1[[#This Row],[Fecha]]='Ajuste de fechas'!$A$2,"Día actual","Día anterior")</f>
        <v>Día actual</v>
      </c>
      <c r="C119" s="3" t="s">
        <v>88</v>
      </c>
      <c r="D119" t="s">
        <v>89</v>
      </c>
      <c r="E119" s="3" t="s">
        <v>251</v>
      </c>
      <c r="F119" s="3" t="s">
        <v>39</v>
      </c>
      <c r="G119" s="3" t="s">
        <v>252</v>
      </c>
      <c r="H119" s="3" t="s">
        <v>8</v>
      </c>
      <c r="I119" s="3" t="s">
        <v>7</v>
      </c>
      <c r="J119" s="3" t="s">
        <v>36</v>
      </c>
      <c r="K119" s="3" t="s">
        <v>90</v>
      </c>
      <c r="L119" s="3" t="s">
        <v>26</v>
      </c>
      <c r="M119">
        <v>1</v>
      </c>
    </row>
    <row r="120" spans="1:13" x14ac:dyDescent="0.25">
      <c r="A120" s="2">
        <v>46204</v>
      </c>
      <c r="B120" s="1" t="str">
        <f ca="1">IF(Información1[[#This Row],[Fecha]]='Ajuste de fechas'!$A$2,"Día actual","Día anterior")</f>
        <v>Día actual</v>
      </c>
      <c r="C120" s="3" t="s">
        <v>253</v>
      </c>
      <c r="D120" t="s">
        <v>254</v>
      </c>
      <c r="E120" s="3" t="s">
        <v>255</v>
      </c>
      <c r="F120" s="3" t="s">
        <v>11</v>
      </c>
      <c r="G120" s="3" t="s">
        <v>32</v>
      </c>
      <c r="H120" s="3" t="s">
        <v>8</v>
      </c>
      <c r="I120" s="3" t="s">
        <v>7</v>
      </c>
      <c r="J120" s="3" t="s">
        <v>37</v>
      </c>
      <c r="K120" s="3" t="s">
        <v>256</v>
      </c>
      <c r="L120" s="3" t="s">
        <v>24</v>
      </c>
      <c r="M120">
        <v>1</v>
      </c>
    </row>
    <row r="121" spans="1:13" x14ac:dyDescent="0.25">
      <c r="A121" s="2">
        <v>46204</v>
      </c>
      <c r="B121" s="1" t="str">
        <f ca="1">IF(Información1[[#This Row],[Fecha]]='Ajuste de fechas'!$A$2,"Día actual","Día anterior")</f>
        <v>Día actual</v>
      </c>
      <c r="C121" s="3" t="s">
        <v>253</v>
      </c>
      <c r="D121" t="s">
        <v>254</v>
      </c>
      <c r="E121" s="3" t="s">
        <v>257</v>
      </c>
      <c r="F121" s="3" t="s">
        <v>10</v>
      </c>
      <c r="G121" s="3" t="s">
        <v>76</v>
      </c>
      <c r="H121" s="3" t="s">
        <v>8</v>
      </c>
      <c r="I121" s="3" t="s">
        <v>14</v>
      </c>
      <c r="J121" s="3" t="s">
        <v>38</v>
      </c>
      <c r="K121" s="3" t="s">
        <v>256</v>
      </c>
      <c r="L121" s="3" t="s">
        <v>24</v>
      </c>
      <c r="M121">
        <v>1</v>
      </c>
    </row>
    <row r="122" spans="1:13" x14ac:dyDescent="0.25">
      <c r="A122" s="2">
        <v>46204</v>
      </c>
      <c r="B122" s="1" t="str">
        <f ca="1">IF(Información1[[#This Row],[Fecha]]='Ajuste de fechas'!$A$2,"Día actual","Día anterior")</f>
        <v>Día actual</v>
      </c>
      <c r="C122" s="3" t="s">
        <v>253</v>
      </c>
      <c r="D122" t="s">
        <v>254</v>
      </c>
      <c r="E122" s="3" t="s">
        <v>258</v>
      </c>
      <c r="F122" s="3" t="s">
        <v>30</v>
      </c>
      <c r="G122" s="3" t="s">
        <v>259</v>
      </c>
      <c r="H122" s="3" t="s">
        <v>8</v>
      </c>
      <c r="I122" s="3" t="s">
        <v>14</v>
      </c>
      <c r="J122" s="3" t="s">
        <v>13</v>
      </c>
      <c r="K122" s="3" t="s">
        <v>256</v>
      </c>
      <c r="L122" s="3" t="s">
        <v>260</v>
      </c>
      <c r="M122">
        <v>1</v>
      </c>
    </row>
    <row r="123" spans="1:13" x14ac:dyDescent="0.25">
      <c r="A123" s="2">
        <v>46204</v>
      </c>
      <c r="B123" s="1" t="str">
        <f ca="1">IF(Información1[[#This Row],[Fecha]]='Ajuste de fechas'!$A$2,"Día actual","Día anterior")</f>
        <v>Día actual</v>
      </c>
      <c r="C123" s="3" t="s">
        <v>261</v>
      </c>
      <c r="D123" t="s">
        <v>262</v>
      </c>
      <c r="E123" s="3" t="s">
        <v>263</v>
      </c>
      <c r="F123" s="3" t="s">
        <v>10</v>
      </c>
      <c r="G123" s="3" t="s">
        <v>264</v>
      </c>
      <c r="H123" s="3" t="s">
        <v>8</v>
      </c>
      <c r="I123" s="3" t="s">
        <v>7</v>
      </c>
      <c r="J123" s="3" t="s">
        <v>38</v>
      </c>
      <c r="K123" s="3" t="s">
        <v>265</v>
      </c>
      <c r="L123" s="3" t="s">
        <v>24</v>
      </c>
      <c r="M123">
        <v>1</v>
      </c>
    </row>
    <row r="124" spans="1:13" x14ac:dyDescent="0.25">
      <c r="A124" s="2">
        <v>46204</v>
      </c>
      <c r="B124" s="1" t="str">
        <f ca="1">IF(Información1[[#This Row],[Fecha]]='Ajuste de fechas'!$A$2,"Día actual","Día anterior")</f>
        <v>Día actual</v>
      </c>
      <c r="C124" s="3" t="s">
        <v>261</v>
      </c>
      <c r="D124" t="s">
        <v>262</v>
      </c>
      <c r="E124" s="3" t="s">
        <v>266</v>
      </c>
      <c r="F124" s="3" t="s">
        <v>39</v>
      </c>
      <c r="G124" s="3" t="s">
        <v>267</v>
      </c>
      <c r="H124" s="3" t="s">
        <v>8</v>
      </c>
      <c r="I124" s="3" t="s">
        <v>7</v>
      </c>
      <c r="J124" s="3" t="s">
        <v>36</v>
      </c>
      <c r="K124" s="3" t="s">
        <v>265</v>
      </c>
      <c r="L124" s="3" t="s">
        <v>24</v>
      </c>
      <c r="M124">
        <v>1</v>
      </c>
    </row>
    <row r="125" spans="1:13" x14ac:dyDescent="0.25">
      <c r="A125" s="2">
        <v>46204</v>
      </c>
      <c r="B125" s="1" t="str">
        <f ca="1">IF(Información1[[#This Row],[Fecha]]='Ajuste de fechas'!$A$2,"Día actual","Día anterior")</f>
        <v>Día actual</v>
      </c>
      <c r="C125" s="3" t="s">
        <v>261</v>
      </c>
      <c r="D125" t="s">
        <v>262</v>
      </c>
      <c r="E125" s="3" t="s">
        <v>268</v>
      </c>
      <c r="F125" s="3" t="s">
        <v>30</v>
      </c>
      <c r="G125" s="3" t="s">
        <v>259</v>
      </c>
      <c r="H125" s="3" t="s">
        <v>8</v>
      </c>
      <c r="I125" s="3" t="s">
        <v>54</v>
      </c>
      <c r="J125" s="3" t="s">
        <v>13</v>
      </c>
      <c r="K125" s="3" t="s">
        <v>265</v>
      </c>
      <c r="L125" s="3" t="s">
        <v>151</v>
      </c>
      <c r="M125">
        <v>1</v>
      </c>
    </row>
    <row r="126" spans="1:13" x14ac:dyDescent="0.25">
      <c r="A126" s="2">
        <v>46204</v>
      </c>
      <c r="B126" s="1" t="str">
        <f ca="1">IF(Información1[[#This Row],[Fecha]]='Ajuste de fechas'!$A$2,"Día actual","Día anterior")</f>
        <v>Día actual</v>
      </c>
      <c r="C126" s="3" t="s">
        <v>261</v>
      </c>
      <c r="D126" t="s">
        <v>262</v>
      </c>
      <c r="E126" s="3" t="s">
        <v>269</v>
      </c>
      <c r="F126" s="3" t="s">
        <v>86</v>
      </c>
      <c r="G126" s="3" t="s">
        <v>267</v>
      </c>
      <c r="H126" s="3" t="s">
        <v>8</v>
      </c>
      <c r="I126" s="3" t="s">
        <v>7</v>
      </c>
      <c r="J126" s="3" t="s">
        <v>36</v>
      </c>
      <c r="K126" s="3" t="s">
        <v>265</v>
      </c>
      <c r="L126" s="3" t="s">
        <v>26</v>
      </c>
      <c r="M126">
        <v>1</v>
      </c>
    </row>
    <row r="127" spans="1:13" x14ac:dyDescent="0.25">
      <c r="A127" s="2">
        <v>46204</v>
      </c>
      <c r="B127" s="1" t="str">
        <f ca="1">IF(Información1[[#This Row],[Fecha]]='Ajuste de fechas'!$A$2,"Día actual","Día anterior")</f>
        <v>Día actual</v>
      </c>
      <c r="C127" s="3" t="s">
        <v>261</v>
      </c>
      <c r="D127" t="s">
        <v>262</v>
      </c>
      <c r="E127" s="3" t="s">
        <v>270</v>
      </c>
      <c r="F127" s="3" t="s">
        <v>43</v>
      </c>
      <c r="G127" s="3" t="s">
        <v>271</v>
      </c>
      <c r="H127" s="3" t="s">
        <v>8</v>
      </c>
      <c r="I127" s="3" t="s">
        <v>7</v>
      </c>
      <c r="J127" s="3" t="s">
        <v>36</v>
      </c>
      <c r="K127" s="3" t="s">
        <v>265</v>
      </c>
      <c r="L127" s="3" t="s">
        <v>24</v>
      </c>
      <c r="M127">
        <v>1</v>
      </c>
    </row>
    <row r="128" spans="1:13" x14ac:dyDescent="0.25">
      <c r="A128" s="2">
        <v>46204</v>
      </c>
      <c r="B128" s="1" t="str">
        <f ca="1">IF(Información1[[#This Row],[Fecha]]='Ajuste de fechas'!$A$2,"Día actual","Día anterior")</f>
        <v>Día actual</v>
      </c>
      <c r="C128" s="3" t="s">
        <v>261</v>
      </c>
      <c r="D128" t="s">
        <v>262</v>
      </c>
      <c r="E128" s="3" t="s">
        <v>272</v>
      </c>
      <c r="F128" s="3" t="s">
        <v>12</v>
      </c>
      <c r="G128" s="3" t="s">
        <v>52</v>
      </c>
      <c r="H128" s="3" t="s">
        <v>8</v>
      </c>
      <c r="I128" s="3" t="s">
        <v>7</v>
      </c>
      <c r="J128" s="3" t="s">
        <v>36</v>
      </c>
      <c r="K128" s="3" t="s">
        <v>265</v>
      </c>
      <c r="L128" s="3" t="s">
        <v>26</v>
      </c>
      <c r="M128">
        <v>1</v>
      </c>
    </row>
    <row r="129" spans="1:13" x14ac:dyDescent="0.25">
      <c r="A129" s="2">
        <v>46204</v>
      </c>
      <c r="B129" s="1" t="str">
        <f ca="1">IF(Información1[[#This Row],[Fecha]]='Ajuste de fechas'!$A$2,"Día actual","Día anterior")</f>
        <v>Día actual</v>
      </c>
      <c r="C129" s="3" t="s">
        <v>261</v>
      </c>
      <c r="D129" t="s">
        <v>262</v>
      </c>
      <c r="E129" s="3" t="s">
        <v>273</v>
      </c>
      <c r="F129" s="3" t="s">
        <v>43</v>
      </c>
      <c r="G129" s="3" t="s">
        <v>77</v>
      </c>
      <c r="H129" s="3" t="s">
        <v>8</v>
      </c>
      <c r="I129" s="3" t="s">
        <v>7</v>
      </c>
      <c r="J129" s="3" t="s">
        <v>36</v>
      </c>
      <c r="K129" s="3" t="s">
        <v>265</v>
      </c>
      <c r="L129" s="3" t="s">
        <v>26</v>
      </c>
      <c r="M129">
        <v>1</v>
      </c>
    </row>
    <row r="130" spans="1:13" x14ac:dyDescent="0.25">
      <c r="A130" s="2">
        <v>46204</v>
      </c>
      <c r="B130" s="1" t="str">
        <f ca="1">IF(Información1[[#This Row],[Fecha]]='Ajuste de fechas'!$A$2,"Día actual","Día anterior")</f>
        <v>Día actual</v>
      </c>
      <c r="C130" s="3" t="s">
        <v>261</v>
      </c>
      <c r="D130" t="s">
        <v>262</v>
      </c>
      <c r="E130" s="3" t="s">
        <v>274</v>
      </c>
      <c r="F130" s="3" t="s">
        <v>228</v>
      </c>
      <c r="G130" s="3" t="s">
        <v>229</v>
      </c>
      <c r="H130" s="3" t="s">
        <v>8</v>
      </c>
      <c r="I130" s="3" t="s">
        <v>7</v>
      </c>
      <c r="J130" s="3" t="s">
        <v>36</v>
      </c>
      <c r="K130" s="3" t="s">
        <v>265</v>
      </c>
      <c r="L130" s="3" t="s">
        <v>26</v>
      </c>
      <c r="M130">
        <v>1</v>
      </c>
    </row>
    <row r="131" spans="1:13" x14ac:dyDescent="0.25">
      <c r="A131" s="2">
        <v>46204</v>
      </c>
      <c r="B131" s="1" t="str">
        <f ca="1">IF(Información1[[#This Row],[Fecha]]='Ajuste de fechas'!$A$2,"Día actual","Día anterior")</f>
        <v>Día actual</v>
      </c>
      <c r="C131" s="3" t="s">
        <v>261</v>
      </c>
      <c r="D131" t="s">
        <v>262</v>
      </c>
      <c r="E131" s="3" t="s">
        <v>275</v>
      </c>
      <c r="F131" s="3" t="s">
        <v>17</v>
      </c>
      <c r="G131" s="3" t="s">
        <v>276</v>
      </c>
      <c r="H131" s="3" t="s">
        <v>8</v>
      </c>
      <c r="I131" s="3" t="s">
        <v>7</v>
      </c>
      <c r="J131" s="3" t="s">
        <v>36</v>
      </c>
      <c r="K131" s="3" t="s">
        <v>265</v>
      </c>
      <c r="L131" s="3" t="s">
        <v>26</v>
      </c>
      <c r="M131">
        <v>1</v>
      </c>
    </row>
    <row r="132" spans="1:13" x14ac:dyDescent="0.25">
      <c r="A132" s="2">
        <v>46204</v>
      </c>
      <c r="B132" s="1" t="str">
        <f ca="1">IF(Información1[[#This Row],[Fecha]]='Ajuste de fechas'!$A$2,"Día actual","Día anterior")</f>
        <v>Día actual</v>
      </c>
      <c r="C132" s="3" t="s">
        <v>261</v>
      </c>
      <c r="D132" t="s">
        <v>262</v>
      </c>
      <c r="E132" s="3" t="s">
        <v>277</v>
      </c>
      <c r="F132" s="3" t="s">
        <v>243</v>
      </c>
      <c r="G132" s="3" t="s">
        <v>109</v>
      </c>
      <c r="H132" s="3" t="s">
        <v>8</v>
      </c>
      <c r="I132" s="3" t="s">
        <v>7</v>
      </c>
      <c r="J132" s="3" t="s">
        <v>36</v>
      </c>
      <c r="K132" s="3" t="s">
        <v>265</v>
      </c>
      <c r="L132" s="3" t="s">
        <v>26</v>
      </c>
      <c r="M132">
        <v>1</v>
      </c>
    </row>
    <row r="133" spans="1:13" x14ac:dyDescent="0.25">
      <c r="A133" s="2">
        <v>46204</v>
      </c>
      <c r="B133" s="1" t="str">
        <f ca="1">IF(Información1[[#This Row],[Fecha]]='Ajuste de fechas'!$A$2,"Día actual","Día anterior")</f>
        <v>Día actual</v>
      </c>
      <c r="C133" s="3" t="s">
        <v>261</v>
      </c>
      <c r="D133" t="s">
        <v>262</v>
      </c>
      <c r="E133" s="3" t="s">
        <v>222</v>
      </c>
      <c r="F133" s="3" t="s">
        <v>15</v>
      </c>
      <c r="G133" s="3" t="s">
        <v>220</v>
      </c>
      <c r="H133" s="3" t="s">
        <v>8</v>
      </c>
      <c r="I133" s="3" t="s">
        <v>7</v>
      </c>
      <c r="J133" s="3" t="s">
        <v>36</v>
      </c>
      <c r="K133" s="3" t="s">
        <v>265</v>
      </c>
      <c r="L133" s="3" t="s">
        <v>26</v>
      </c>
      <c r="M133">
        <v>1</v>
      </c>
    </row>
    <row r="134" spans="1:13" x14ac:dyDescent="0.25">
      <c r="A134" s="2">
        <v>46204</v>
      </c>
      <c r="B134" s="1" t="str">
        <f ca="1">IF(Información1[[#This Row],[Fecha]]='Ajuste de fechas'!$A$2,"Día actual","Día anterior")</f>
        <v>Día actual</v>
      </c>
      <c r="C134" s="3" t="s">
        <v>253</v>
      </c>
      <c r="D134" t="s">
        <v>278</v>
      </c>
      <c r="E134" s="3" t="s">
        <v>279</v>
      </c>
      <c r="F134" s="3" t="s">
        <v>10</v>
      </c>
      <c r="G134" s="3" t="s">
        <v>280</v>
      </c>
      <c r="H134" s="3" t="s">
        <v>8</v>
      </c>
      <c r="I134" s="3" t="s">
        <v>7</v>
      </c>
      <c r="J134" s="3" t="s">
        <v>38</v>
      </c>
      <c r="K134" s="3" t="s">
        <v>256</v>
      </c>
      <c r="L134" s="3" t="s">
        <v>24</v>
      </c>
      <c r="M134">
        <v>1</v>
      </c>
    </row>
    <row r="135" spans="1:13" x14ac:dyDescent="0.25">
      <c r="A135" s="2">
        <v>46204</v>
      </c>
      <c r="B135" s="1" t="str">
        <f ca="1">IF(Información1[[#This Row],[Fecha]]='Ajuste de fechas'!$A$2,"Día actual","Día anterior")</f>
        <v>Día actual</v>
      </c>
      <c r="C135" s="3" t="s">
        <v>253</v>
      </c>
      <c r="D135" t="s">
        <v>278</v>
      </c>
      <c r="E135" s="3" t="s">
        <v>281</v>
      </c>
      <c r="F135" s="3" t="s">
        <v>10</v>
      </c>
      <c r="G135" s="3" t="s">
        <v>102</v>
      </c>
      <c r="H135" s="3" t="s">
        <v>8</v>
      </c>
      <c r="I135" s="3" t="s">
        <v>7</v>
      </c>
      <c r="J135" s="3" t="s">
        <v>38</v>
      </c>
      <c r="K135" s="3" t="s">
        <v>256</v>
      </c>
      <c r="L135" s="3" t="s">
        <v>24</v>
      </c>
      <c r="M135">
        <v>1</v>
      </c>
    </row>
    <row r="136" spans="1:13" x14ac:dyDescent="0.25">
      <c r="A136" s="2">
        <v>46204</v>
      </c>
      <c r="B136" s="1" t="str">
        <f ca="1">IF(Información1[[#This Row],[Fecha]]='Ajuste de fechas'!$A$2,"Día actual","Día anterior")</f>
        <v>Día actual</v>
      </c>
      <c r="C136" s="3" t="s">
        <v>253</v>
      </c>
      <c r="D136" t="s">
        <v>278</v>
      </c>
      <c r="E136" s="3" t="s">
        <v>282</v>
      </c>
      <c r="F136" s="3" t="s">
        <v>10</v>
      </c>
      <c r="G136" s="3" t="s">
        <v>76</v>
      </c>
      <c r="H136" s="3" t="s">
        <v>8</v>
      </c>
      <c r="I136" s="3" t="s">
        <v>14</v>
      </c>
      <c r="J136" s="3" t="s">
        <v>38</v>
      </c>
      <c r="K136" s="3" t="s">
        <v>256</v>
      </c>
      <c r="L136" s="3" t="s">
        <v>24</v>
      </c>
      <c r="M136">
        <v>1</v>
      </c>
    </row>
    <row r="137" spans="1:13" x14ac:dyDescent="0.25">
      <c r="A137" s="2">
        <v>46204</v>
      </c>
      <c r="B137" s="1" t="str">
        <f ca="1">IF(Información1[[#This Row],[Fecha]]='Ajuste de fechas'!$A$2,"Día actual","Día anterior")</f>
        <v>Día actual</v>
      </c>
      <c r="C137" s="3" t="s">
        <v>253</v>
      </c>
      <c r="D137" t="s">
        <v>278</v>
      </c>
      <c r="E137" s="3" t="s">
        <v>283</v>
      </c>
      <c r="F137" s="3" t="s">
        <v>39</v>
      </c>
      <c r="G137" s="3" t="s">
        <v>284</v>
      </c>
      <c r="H137" s="3" t="s">
        <v>8</v>
      </c>
      <c r="I137" s="3" t="s">
        <v>7</v>
      </c>
      <c r="J137" s="3" t="s">
        <v>36</v>
      </c>
      <c r="K137" s="3" t="s">
        <v>154</v>
      </c>
      <c r="L137" s="3" t="s">
        <v>49</v>
      </c>
      <c r="M137">
        <v>1</v>
      </c>
    </row>
    <row r="138" spans="1:13" x14ac:dyDescent="0.25">
      <c r="A138" s="2">
        <v>46204</v>
      </c>
      <c r="B138" s="1" t="str">
        <f ca="1">IF(Información1[[#This Row],[Fecha]]='Ajuste de fechas'!$A$2,"Día actual","Día anterior")</f>
        <v>Día actual</v>
      </c>
      <c r="C138" s="3" t="s">
        <v>253</v>
      </c>
      <c r="D138" t="s">
        <v>278</v>
      </c>
      <c r="E138" s="3" t="s">
        <v>222</v>
      </c>
      <c r="F138" s="3" t="s">
        <v>15</v>
      </c>
      <c r="G138" s="3" t="s">
        <v>220</v>
      </c>
      <c r="H138" s="3" t="s">
        <v>8</v>
      </c>
      <c r="I138" s="3" t="s">
        <v>7</v>
      </c>
      <c r="J138" s="3" t="s">
        <v>36</v>
      </c>
      <c r="K138" s="3" t="s">
        <v>154</v>
      </c>
      <c r="L138" s="3" t="s">
        <v>26</v>
      </c>
      <c r="M138">
        <v>1</v>
      </c>
    </row>
    <row r="139" spans="1:13" x14ac:dyDescent="0.25">
      <c r="A139" s="2">
        <v>46204</v>
      </c>
      <c r="B139" s="1" t="str">
        <f ca="1">IF(Información1[[#This Row],[Fecha]]='Ajuste de fechas'!$A$2,"Día actual","Día anterior")</f>
        <v>Día actual</v>
      </c>
      <c r="C139" s="3" t="s">
        <v>253</v>
      </c>
      <c r="D139" t="s">
        <v>278</v>
      </c>
      <c r="E139" s="3" t="s">
        <v>285</v>
      </c>
      <c r="F139" s="3" t="s">
        <v>12</v>
      </c>
      <c r="G139" s="3" t="s">
        <v>286</v>
      </c>
      <c r="H139" s="3" t="s">
        <v>8</v>
      </c>
      <c r="I139" s="3" t="s">
        <v>7</v>
      </c>
      <c r="J139" s="3" t="s">
        <v>36</v>
      </c>
      <c r="K139" s="3" t="s">
        <v>154</v>
      </c>
      <c r="L139" s="3" t="s">
        <v>26</v>
      </c>
      <c r="M139">
        <v>1</v>
      </c>
    </row>
    <row r="140" spans="1:13" x14ac:dyDescent="0.25">
      <c r="A140" s="2">
        <v>46204</v>
      </c>
      <c r="B140" s="1" t="str">
        <f ca="1">IF(Información1[[#This Row],[Fecha]]='Ajuste de fechas'!$A$2,"Día actual","Día anterior")</f>
        <v>Día actual</v>
      </c>
      <c r="C140" s="3" t="s">
        <v>253</v>
      </c>
      <c r="D140" t="s">
        <v>278</v>
      </c>
      <c r="E140" s="3" t="s">
        <v>274</v>
      </c>
      <c r="F140" s="3" t="s">
        <v>228</v>
      </c>
      <c r="G140" s="3" t="s">
        <v>229</v>
      </c>
      <c r="H140" s="3" t="s">
        <v>8</v>
      </c>
      <c r="I140" s="3" t="s">
        <v>7</v>
      </c>
      <c r="J140" s="3" t="s">
        <v>36</v>
      </c>
      <c r="K140" s="3" t="s">
        <v>154</v>
      </c>
      <c r="L140" s="3" t="s">
        <v>26</v>
      </c>
      <c r="M140">
        <v>1</v>
      </c>
    </row>
    <row r="141" spans="1:13" x14ac:dyDescent="0.25">
      <c r="A141" s="2">
        <v>46204</v>
      </c>
      <c r="B141" s="1" t="str">
        <f ca="1">IF(Información1[[#This Row],[Fecha]]='Ajuste de fechas'!$A$2,"Día actual","Día anterior")</f>
        <v>Día actual</v>
      </c>
      <c r="C141" s="3" t="s">
        <v>253</v>
      </c>
      <c r="D141" t="s">
        <v>278</v>
      </c>
      <c r="E141" s="3" t="s">
        <v>273</v>
      </c>
      <c r="F141" s="3" t="s">
        <v>43</v>
      </c>
      <c r="G141" s="3" t="s">
        <v>77</v>
      </c>
      <c r="H141" s="3" t="s">
        <v>8</v>
      </c>
      <c r="I141" s="3" t="s">
        <v>7</v>
      </c>
      <c r="J141" s="3" t="s">
        <v>36</v>
      </c>
      <c r="K141" s="3" t="s">
        <v>154</v>
      </c>
      <c r="L141" s="3" t="s">
        <v>26</v>
      </c>
      <c r="M141">
        <v>1</v>
      </c>
    </row>
    <row r="142" spans="1:13" x14ac:dyDescent="0.25">
      <c r="A142" s="2">
        <v>46204</v>
      </c>
      <c r="B142" s="1" t="str">
        <f ca="1">IF(Información1[[#This Row],[Fecha]]='Ajuste de fechas'!$A$2,"Día actual","Día anterior")</f>
        <v>Día actual</v>
      </c>
      <c r="C142" s="3" t="s">
        <v>253</v>
      </c>
      <c r="D142" t="s">
        <v>278</v>
      </c>
      <c r="E142" s="3" t="s">
        <v>287</v>
      </c>
      <c r="F142" s="3" t="s">
        <v>9</v>
      </c>
      <c r="G142" s="3" t="s">
        <v>236</v>
      </c>
      <c r="H142" s="3" t="s">
        <v>8</v>
      </c>
      <c r="I142" s="3" t="s">
        <v>7</v>
      </c>
      <c r="J142" s="3" t="s">
        <v>36</v>
      </c>
      <c r="K142" s="3" t="s">
        <v>154</v>
      </c>
      <c r="L142" s="3" t="s">
        <v>26</v>
      </c>
      <c r="M142">
        <v>1</v>
      </c>
    </row>
    <row r="143" spans="1:13" x14ac:dyDescent="0.25">
      <c r="A143" s="2">
        <v>46204</v>
      </c>
      <c r="B143" s="1" t="str">
        <f ca="1">IF(Información1[[#This Row],[Fecha]]='Ajuste de fechas'!$A$2,"Día actual","Día anterior")</f>
        <v>Día actual</v>
      </c>
      <c r="C143" s="3" t="s">
        <v>253</v>
      </c>
      <c r="D143" t="s">
        <v>278</v>
      </c>
      <c r="E143" s="3" t="s">
        <v>272</v>
      </c>
      <c r="F143" s="3" t="s">
        <v>12</v>
      </c>
      <c r="G143" s="3" t="s">
        <v>52</v>
      </c>
      <c r="H143" s="3" t="s">
        <v>8</v>
      </c>
      <c r="I143" s="3" t="s">
        <v>7</v>
      </c>
      <c r="J143" s="3" t="s">
        <v>36</v>
      </c>
      <c r="K143" s="3" t="s">
        <v>154</v>
      </c>
      <c r="L143" s="3" t="s">
        <v>26</v>
      </c>
      <c r="M143">
        <v>1</v>
      </c>
    </row>
    <row r="144" spans="1:13" x14ac:dyDescent="0.25">
      <c r="A144" s="2">
        <v>46203</v>
      </c>
      <c r="B144" s="1" t="str">
        <f ca="1">IF(Información1[[#This Row],[Fecha]]='Ajuste de fechas'!$A$2,"Día actual","Día anterior")</f>
        <v>Día anterior</v>
      </c>
      <c r="C144" s="3" t="s">
        <v>152</v>
      </c>
      <c r="D144" t="s">
        <v>153</v>
      </c>
      <c r="E144" s="3" t="s">
        <v>202</v>
      </c>
      <c r="F144" s="3" t="s">
        <v>12</v>
      </c>
      <c r="G144" s="3" t="s">
        <v>52</v>
      </c>
      <c r="H144" s="3" t="s">
        <v>40</v>
      </c>
      <c r="I144" s="3" t="s">
        <v>7</v>
      </c>
      <c r="J144" s="3" t="s">
        <v>36</v>
      </c>
      <c r="K144" s="3" t="s">
        <v>154</v>
      </c>
      <c r="L144" s="3" t="s">
        <v>26</v>
      </c>
      <c r="M144">
        <v>1</v>
      </c>
    </row>
    <row r="145" spans="1:13" x14ac:dyDescent="0.25">
      <c r="A145" s="2">
        <v>46203</v>
      </c>
      <c r="B145" s="1" t="str">
        <f ca="1">IF(Información1[[#This Row],[Fecha]]='Ajuste de fechas'!$A$2,"Día actual","Día anterior")</f>
        <v>Día anterior</v>
      </c>
      <c r="C145" s="3" t="s">
        <v>152</v>
      </c>
      <c r="D145" t="s">
        <v>153</v>
      </c>
      <c r="E145" s="3" t="s">
        <v>115</v>
      </c>
      <c r="F145" s="3" t="s">
        <v>15</v>
      </c>
      <c r="G145" s="3" t="s">
        <v>116</v>
      </c>
      <c r="H145" s="3" t="s">
        <v>40</v>
      </c>
      <c r="I145" s="3" t="s">
        <v>7</v>
      </c>
      <c r="J145" s="3" t="s">
        <v>36</v>
      </c>
      <c r="K145" s="3" t="s">
        <v>154</v>
      </c>
      <c r="L145" s="3" t="s">
        <v>26</v>
      </c>
      <c r="M145">
        <v>1</v>
      </c>
    </row>
    <row r="146" spans="1:13" x14ac:dyDescent="0.25">
      <c r="A146" s="2">
        <v>46203</v>
      </c>
      <c r="B146" s="1" t="str">
        <f ca="1">IF(Información1[[#This Row],[Fecha]]='Ajuste de fechas'!$A$2,"Día actual","Día anterior")</f>
        <v>Día anterior</v>
      </c>
      <c r="C146" s="3" t="s">
        <v>152</v>
      </c>
      <c r="D146" t="s">
        <v>153</v>
      </c>
      <c r="E146" s="3" t="s">
        <v>288</v>
      </c>
      <c r="F146" s="3" t="s">
        <v>69</v>
      </c>
      <c r="G146" s="3" t="s">
        <v>289</v>
      </c>
      <c r="H146" s="3" t="s">
        <v>40</v>
      </c>
      <c r="I146" s="3" t="s">
        <v>7</v>
      </c>
      <c r="J146" s="3" t="s">
        <v>36</v>
      </c>
      <c r="K146" s="3" t="s">
        <v>154</v>
      </c>
      <c r="L146" s="3" t="s">
        <v>26</v>
      </c>
      <c r="M146">
        <v>1</v>
      </c>
    </row>
    <row r="147" spans="1:13" x14ac:dyDescent="0.25">
      <c r="A147" s="2">
        <v>46203</v>
      </c>
      <c r="B147" s="1" t="str">
        <f ca="1">IF(Información1[[#This Row],[Fecha]]='Ajuste de fechas'!$A$2,"Día actual","Día anterior")</f>
        <v>Día anterior</v>
      </c>
      <c r="C147" s="3" t="s">
        <v>152</v>
      </c>
      <c r="D147" t="s">
        <v>153</v>
      </c>
      <c r="E147" s="3" t="s">
        <v>290</v>
      </c>
      <c r="F147" s="3" t="s">
        <v>9</v>
      </c>
      <c r="G147" s="3" t="s">
        <v>236</v>
      </c>
      <c r="H147" s="3" t="s">
        <v>40</v>
      </c>
      <c r="I147" s="3" t="s">
        <v>7</v>
      </c>
      <c r="J147" s="3" t="s">
        <v>36</v>
      </c>
      <c r="K147" s="3" t="s">
        <v>291</v>
      </c>
      <c r="L147" s="3" t="s">
        <v>24</v>
      </c>
      <c r="M147">
        <v>1</v>
      </c>
    </row>
    <row r="148" spans="1:13" x14ac:dyDescent="0.25">
      <c r="A148" s="2">
        <v>46203</v>
      </c>
      <c r="B148" s="1" t="str">
        <f ca="1">IF(Información1[[#This Row],[Fecha]]='Ajuste de fechas'!$A$2,"Día actual","Día anterior")</f>
        <v>Día anterior</v>
      </c>
      <c r="C148" s="3" t="s">
        <v>152</v>
      </c>
      <c r="D148" t="s">
        <v>153</v>
      </c>
      <c r="E148" s="3" t="s">
        <v>292</v>
      </c>
      <c r="F148" s="3" t="s">
        <v>10</v>
      </c>
      <c r="G148" s="3" t="s">
        <v>293</v>
      </c>
      <c r="H148" s="3" t="s">
        <v>40</v>
      </c>
      <c r="I148" s="3" t="s">
        <v>14</v>
      </c>
      <c r="J148" s="3" t="s">
        <v>38</v>
      </c>
      <c r="K148" s="3" t="s">
        <v>291</v>
      </c>
      <c r="L148" s="3" t="s">
        <v>24</v>
      </c>
      <c r="M148">
        <v>1</v>
      </c>
    </row>
    <row r="149" spans="1:13" x14ac:dyDescent="0.25">
      <c r="A149" s="2">
        <v>46203</v>
      </c>
      <c r="B149" s="1" t="str">
        <f ca="1">IF(Información1[[#This Row],[Fecha]]='Ajuste de fechas'!$A$2,"Día actual","Día anterior")</f>
        <v>Día anterior</v>
      </c>
      <c r="C149" s="3" t="s">
        <v>152</v>
      </c>
      <c r="D149" t="s">
        <v>153</v>
      </c>
      <c r="E149" s="3" t="s">
        <v>294</v>
      </c>
      <c r="F149" s="3" t="s">
        <v>13</v>
      </c>
      <c r="G149" s="3" t="s">
        <v>295</v>
      </c>
      <c r="H149" s="3" t="s">
        <v>40</v>
      </c>
      <c r="I149" s="3" t="s">
        <v>7</v>
      </c>
      <c r="J149" s="3" t="s">
        <v>13</v>
      </c>
      <c r="K149" s="3" t="s">
        <v>154</v>
      </c>
      <c r="L149" s="3" t="s">
        <v>24</v>
      </c>
      <c r="M149">
        <v>1</v>
      </c>
    </row>
    <row r="150" spans="1:13" x14ac:dyDescent="0.25">
      <c r="A150" s="2">
        <v>46203</v>
      </c>
      <c r="B150" s="1" t="str">
        <f ca="1">IF(Información1[[#This Row],[Fecha]]='Ajuste de fechas'!$A$2,"Día actual","Día anterior")</f>
        <v>Día anterior</v>
      </c>
      <c r="C150" s="3" t="s">
        <v>152</v>
      </c>
      <c r="D150" t="s">
        <v>153</v>
      </c>
      <c r="E150" s="3" t="s">
        <v>296</v>
      </c>
      <c r="F150" s="3" t="s">
        <v>160</v>
      </c>
      <c r="G150" s="3" t="s">
        <v>213</v>
      </c>
      <c r="H150" s="3" t="s">
        <v>40</v>
      </c>
      <c r="I150" s="3" t="s">
        <v>7</v>
      </c>
      <c r="J150" s="3" t="s">
        <v>36</v>
      </c>
      <c r="K150" s="3" t="s">
        <v>154</v>
      </c>
      <c r="L150" s="3" t="s">
        <v>24</v>
      </c>
      <c r="M150">
        <v>1</v>
      </c>
    </row>
    <row r="151" spans="1:13" x14ac:dyDescent="0.25">
      <c r="A151" s="2">
        <v>46203</v>
      </c>
      <c r="B151" s="1" t="str">
        <f ca="1">IF(Información1[[#This Row],[Fecha]]='Ajuste de fechas'!$A$2,"Día actual","Día anterior")</f>
        <v>Día anterior</v>
      </c>
      <c r="C151" s="3" t="s">
        <v>152</v>
      </c>
      <c r="D151" t="s">
        <v>153</v>
      </c>
      <c r="E151" s="3" t="s">
        <v>297</v>
      </c>
      <c r="F151" s="3" t="s">
        <v>9</v>
      </c>
      <c r="G151" s="3" t="s">
        <v>236</v>
      </c>
      <c r="H151" s="3" t="s">
        <v>40</v>
      </c>
      <c r="I151" s="3" t="s">
        <v>7</v>
      </c>
      <c r="J151" s="3" t="s">
        <v>36</v>
      </c>
      <c r="K151" s="3" t="s">
        <v>154</v>
      </c>
      <c r="L151" s="3" t="s">
        <v>24</v>
      </c>
      <c r="M151">
        <v>1</v>
      </c>
    </row>
    <row r="152" spans="1:13" x14ac:dyDescent="0.25">
      <c r="A152" s="2">
        <v>46203</v>
      </c>
      <c r="B152" s="1" t="str">
        <f ca="1">IF(Información1[[#This Row],[Fecha]]='Ajuste de fechas'!$A$2,"Día actual","Día anterior")</f>
        <v>Día anterior</v>
      </c>
      <c r="C152" s="3" t="s">
        <v>152</v>
      </c>
      <c r="D152" t="s">
        <v>153</v>
      </c>
      <c r="E152" s="3" t="s">
        <v>298</v>
      </c>
      <c r="F152" s="3" t="s">
        <v>43</v>
      </c>
      <c r="G152" s="3" t="s">
        <v>271</v>
      </c>
      <c r="H152" s="3" t="s">
        <v>40</v>
      </c>
      <c r="I152" s="3" t="s">
        <v>7</v>
      </c>
      <c r="J152" s="3" t="s">
        <v>36</v>
      </c>
      <c r="K152" s="3" t="s">
        <v>154</v>
      </c>
      <c r="L152" s="3" t="s">
        <v>24</v>
      </c>
      <c r="M152">
        <v>1</v>
      </c>
    </row>
    <row r="153" spans="1:13" x14ac:dyDescent="0.25">
      <c r="A153" s="2">
        <v>46203</v>
      </c>
      <c r="B153" s="1" t="str">
        <f ca="1">IF(Información1[[#This Row],[Fecha]]='Ajuste de fechas'!$A$2,"Día actual","Día anterior")</f>
        <v>Día anterior</v>
      </c>
      <c r="C153" s="3" t="s">
        <v>152</v>
      </c>
      <c r="D153" t="s">
        <v>153</v>
      </c>
      <c r="E153" s="3" t="s">
        <v>299</v>
      </c>
      <c r="F153" s="3" t="s">
        <v>9</v>
      </c>
      <c r="G153" s="3" t="s">
        <v>236</v>
      </c>
      <c r="H153" s="3" t="s">
        <v>40</v>
      </c>
      <c r="I153" s="3" t="s">
        <v>7</v>
      </c>
      <c r="J153" s="3" t="s">
        <v>36</v>
      </c>
      <c r="K153" s="3" t="s">
        <v>154</v>
      </c>
      <c r="L153" s="3" t="s">
        <v>24</v>
      </c>
      <c r="M153">
        <v>1</v>
      </c>
    </row>
    <row r="154" spans="1:13" x14ac:dyDescent="0.25">
      <c r="A154" s="2">
        <v>46204</v>
      </c>
      <c r="B154" s="1" t="str">
        <f ca="1">IF(Información1[[#This Row],[Fecha]]='Ajuste de fechas'!$A$2,"Día actual","Día anterior")</f>
        <v>Día actual</v>
      </c>
      <c r="C154" s="3" t="s">
        <v>41</v>
      </c>
      <c r="D154" t="s">
        <v>42</v>
      </c>
      <c r="E154" s="3" t="s">
        <v>300</v>
      </c>
      <c r="F154" s="3" t="s">
        <v>15</v>
      </c>
      <c r="G154" s="3" t="s">
        <v>301</v>
      </c>
      <c r="H154" s="3" t="s">
        <v>8</v>
      </c>
      <c r="I154" s="3" t="s">
        <v>7</v>
      </c>
      <c r="J154" s="3" t="s">
        <v>36</v>
      </c>
      <c r="K154" s="3" t="s">
        <v>66</v>
      </c>
      <c r="L154" s="3" t="s">
        <v>24</v>
      </c>
      <c r="M154">
        <v>1</v>
      </c>
    </row>
    <row r="155" spans="1:13" x14ac:dyDescent="0.25">
      <c r="A155" s="2">
        <v>46204</v>
      </c>
      <c r="B155" s="1" t="str">
        <f ca="1">IF(Información1[[#This Row],[Fecha]]='Ajuste de fechas'!$A$2,"Día actual","Día anterior")</f>
        <v>Día actual</v>
      </c>
      <c r="C155" s="3" t="s">
        <v>41</v>
      </c>
      <c r="D155" t="s">
        <v>42</v>
      </c>
      <c r="E155" s="3" t="s">
        <v>302</v>
      </c>
      <c r="F155" s="3" t="s">
        <v>10</v>
      </c>
      <c r="G155" s="3" t="s">
        <v>102</v>
      </c>
      <c r="H155" s="3" t="s">
        <v>8</v>
      </c>
      <c r="I155" s="3" t="s">
        <v>7</v>
      </c>
      <c r="J155" s="3" t="s">
        <v>38</v>
      </c>
      <c r="K155" s="3" t="s">
        <v>66</v>
      </c>
      <c r="L155" s="3" t="s">
        <v>24</v>
      </c>
      <c r="M155">
        <v>1</v>
      </c>
    </row>
    <row r="156" spans="1:13" x14ac:dyDescent="0.25">
      <c r="A156" s="2">
        <v>46204</v>
      </c>
      <c r="B156" s="1" t="str">
        <f ca="1">IF(Información1[[#This Row],[Fecha]]='Ajuste de fechas'!$A$2,"Día actual","Día anterior")</f>
        <v>Día actual</v>
      </c>
      <c r="C156" s="3" t="s">
        <v>41</v>
      </c>
      <c r="D156" t="s">
        <v>42</v>
      </c>
      <c r="E156" s="3" t="s">
        <v>303</v>
      </c>
      <c r="F156" s="3" t="s">
        <v>51</v>
      </c>
      <c r="G156" s="3" t="s">
        <v>133</v>
      </c>
      <c r="H156" s="3" t="s">
        <v>8</v>
      </c>
      <c r="I156" s="3" t="s">
        <v>14</v>
      </c>
      <c r="J156" s="3" t="s">
        <v>36</v>
      </c>
      <c r="K156" s="3" t="s">
        <v>66</v>
      </c>
      <c r="L156" s="3" t="s">
        <v>25</v>
      </c>
      <c r="M156">
        <v>1</v>
      </c>
    </row>
    <row r="157" spans="1:13" x14ac:dyDescent="0.25">
      <c r="A157" s="2">
        <v>46204</v>
      </c>
      <c r="B157" s="1" t="str">
        <f ca="1">IF(Información1[[#This Row],[Fecha]]='Ajuste de fechas'!$A$2,"Día actual","Día anterior")</f>
        <v>Día actual</v>
      </c>
      <c r="C157" s="3" t="s">
        <v>41</v>
      </c>
      <c r="D157" t="s">
        <v>42</v>
      </c>
      <c r="E157" s="3" t="s">
        <v>304</v>
      </c>
      <c r="F157" s="3" t="s">
        <v>10</v>
      </c>
      <c r="G157" s="3" t="s">
        <v>305</v>
      </c>
      <c r="H157" s="3" t="s">
        <v>8</v>
      </c>
      <c r="I157" s="3" t="s">
        <v>7</v>
      </c>
      <c r="J157" s="3" t="s">
        <v>38</v>
      </c>
      <c r="K157" s="3" t="s">
        <v>66</v>
      </c>
      <c r="L157" s="3" t="s">
        <v>24</v>
      </c>
      <c r="M157">
        <v>1</v>
      </c>
    </row>
    <row r="158" spans="1:13" x14ac:dyDescent="0.25">
      <c r="A158" s="2">
        <v>46204</v>
      </c>
      <c r="B158" s="1" t="str">
        <f ca="1">IF(Información1[[#This Row],[Fecha]]='Ajuste de fechas'!$A$2,"Día actual","Día anterior")</f>
        <v>Día actual</v>
      </c>
      <c r="C158" s="3" t="s">
        <v>41</v>
      </c>
      <c r="D158" t="s">
        <v>42</v>
      </c>
      <c r="E158" s="3" t="s">
        <v>306</v>
      </c>
      <c r="F158" s="3" t="s">
        <v>10</v>
      </c>
      <c r="G158" s="3" t="s">
        <v>178</v>
      </c>
      <c r="H158" s="3" t="s">
        <v>8</v>
      </c>
      <c r="I158" s="3" t="s">
        <v>7</v>
      </c>
      <c r="J158" s="3" t="s">
        <v>38</v>
      </c>
      <c r="K158" s="3" t="s">
        <v>66</v>
      </c>
      <c r="L158" s="3" t="s">
        <v>24</v>
      </c>
      <c r="M158">
        <v>1</v>
      </c>
    </row>
    <row r="159" spans="1:13" x14ac:dyDescent="0.25">
      <c r="A159" s="2">
        <v>46204</v>
      </c>
      <c r="B159" s="1" t="str">
        <f ca="1">IF(Información1[[#This Row],[Fecha]]='Ajuste de fechas'!$A$2,"Día actual","Día anterior")</f>
        <v>Día actual</v>
      </c>
      <c r="C159" s="3" t="s">
        <v>41</v>
      </c>
      <c r="D159" t="s">
        <v>42</v>
      </c>
      <c r="E159" s="3" t="s">
        <v>125</v>
      </c>
      <c r="F159" s="3" t="s">
        <v>10</v>
      </c>
      <c r="G159" s="3" t="s">
        <v>126</v>
      </c>
      <c r="H159" s="3" t="s">
        <v>8</v>
      </c>
      <c r="I159" s="3" t="s">
        <v>7</v>
      </c>
      <c r="J159" s="3" t="s">
        <v>38</v>
      </c>
      <c r="K159" s="3" t="s">
        <v>66</v>
      </c>
      <c r="L159" s="3" t="s">
        <v>24</v>
      </c>
      <c r="M159">
        <v>1</v>
      </c>
    </row>
    <row r="160" spans="1:13" x14ac:dyDescent="0.25">
      <c r="A160" s="2">
        <v>46204</v>
      </c>
      <c r="B160" s="1" t="str">
        <f ca="1">IF(Información1[[#This Row],[Fecha]]='Ajuste de fechas'!$A$2,"Día actual","Día anterior")</f>
        <v>Día actual</v>
      </c>
      <c r="C160" s="3" t="s">
        <v>41</v>
      </c>
      <c r="D160" t="s">
        <v>42</v>
      </c>
      <c r="E160" s="3" t="s">
        <v>307</v>
      </c>
      <c r="F160" s="3" t="s">
        <v>10</v>
      </c>
      <c r="G160" s="3" t="s">
        <v>286</v>
      </c>
      <c r="H160" s="3" t="s">
        <v>8</v>
      </c>
      <c r="I160" s="3" t="s">
        <v>7</v>
      </c>
      <c r="J160" s="3" t="s">
        <v>38</v>
      </c>
      <c r="K160" s="3" t="s">
        <v>66</v>
      </c>
      <c r="L160" s="3" t="s">
        <v>24</v>
      </c>
      <c r="M160">
        <v>1</v>
      </c>
    </row>
    <row r="161" spans="1:13" x14ac:dyDescent="0.25">
      <c r="A161" s="2">
        <v>46204</v>
      </c>
      <c r="B161" s="1" t="str">
        <f ca="1">IF(Información1[[#This Row],[Fecha]]='Ajuste de fechas'!$A$2,"Día actual","Día anterior")</f>
        <v>Día actual</v>
      </c>
      <c r="C161" s="3" t="s">
        <v>41</v>
      </c>
      <c r="D161" t="s">
        <v>42</v>
      </c>
      <c r="E161" s="3" t="s">
        <v>217</v>
      </c>
      <c r="F161" s="3" t="s">
        <v>12</v>
      </c>
      <c r="G161" s="3" t="s">
        <v>52</v>
      </c>
      <c r="H161" s="3" t="s">
        <v>8</v>
      </c>
      <c r="I161" s="3" t="s">
        <v>7</v>
      </c>
      <c r="J161" s="3" t="s">
        <v>36</v>
      </c>
      <c r="K161" s="3" t="s">
        <v>66</v>
      </c>
      <c r="L161" s="3" t="s">
        <v>26</v>
      </c>
      <c r="M161">
        <v>1</v>
      </c>
    </row>
    <row r="162" spans="1:13" x14ac:dyDescent="0.25">
      <c r="A162" s="2">
        <v>46204</v>
      </c>
      <c r="B162" s="1" t="str">
        <f ca="1">IF(Información1[[#This Row],[Fecha]]='Ajuste de fechas'!$A$2,"Día actual","Día anterior")</f>
        <v>Día actual</v>
      </c>
      <c r="C162" s="3" t="s">
        <v>41</v>
      </c>
      <c r="D162" t="s">
        <v>42</v>
      </c>
      <c r="E162" s="3" t="s">
        <v>308</v>
      </c>
      <c r="F162" s="3" t="s">
        <v>43</v>
      </c>
      <c r="G162" s="3" t="s">
        <v>309</v>
      </c>
      <c r="H162" s="3" t="s">
        <v>8</v>
      </c>
      <c r="I162" s="3" t="s">
        <v>7</v>
      </c>
      <c r="J162" s="3" t="s">
        <v>36</v>
      </c>
      <c r="K162" s="3" t="s">
        <v>66</v>
      </c>
      <c r="L162" s="3" t="s">
        <v>24</v>
      </c>
      <c r="M162">
        <v>1</v>
      </c>
    </row>
    <row r="163" spans="1:13" x14ac:dyDescent="0.25">
      <c r="A163" s="2">
        <v>46204</v>
      </c>
      <c r="B163" s="1" t="str">
        <f ca="1">IF(Información1[[#This Row],[Fecha]]='Ajuste de fechas'!$A$2,"Día actual","Día anterior")</f>
        <v>Día actual</v>
      </c>
      <c r="C163" s="3" t="s">
        <v>41</v>
      </c>
      <c r="D163" t="s">
        <v>42</v>
      </c>
      <c r="E163" s="3" t="s">
        <v>310</v>
      </c>
      <c r="F163" s="3" t="s">
        <v>10</v>
      </c>
      <c r="G163" s="3" t="s">
        <v>293</v>
      </c>
      <c r="H163" s="3" t="s">
        <v>8</v>
      </c>
      <c r="I163" s="3" t="s">
        <v>14</v>
      </c>
      <c r="J163" s="3" t="s">
        <v>38</v>
      </c>
      <c r="K163" s="3" t="s">
        <v>66</v>
      </c>
      <c r="L163" s="3" t="s">
        <v>24</v>
      </c>
      <c r="M163">
        <v>1</v>
      </c>
    </row>
    <row r="164" spans="1:13" x14ac:dyDescent="0.25">
      <c r="A164" s="2">
        <v>46204</v>
      </c>
      <c r="B164" s="1" t="str">
        <f ca="1">IF(Información1[[#This Row],[Fecha]]='Ajuste de fechas'!$A$2,"Día actual","Día anterior")</f>
        <v>Día actual</v>
      </c>
      <c r="C164" s="3" t="s">
        <v>41</v>
      </c>
      <c r="D164" t="s">
        <v>42</v>
      </c>
      <c r="E164" s="3" t="s">
        <v>311</v>
      </c>
      <c r="F164" s="3" t="s">
        <v>9</v>
      </c>
      <c r="G164" s="3" t="s">
        <v>236</v>
      </c>
      <c r="H164" s="3" t="s">
        <v>8</v>
      </c>
      <c r="I164" s="3" t="s">
        <v>7</v>
      </c>
      <c r="J164" s="3" t="s">
        <v>36</v>
      </c>
      <c r="K164" s="3" t="s">
        <v>66</v>
      </c>
      <c r="L164" s="3" t="s">
        <v>24</v>
      </c>
      <c r="M164">
        <v>1</v>
      </c>
    </row>
    <row r="165" spans="1:13" x14ac:dyDescent="0.25">
      <c r="A165" s="2">
        <v>46204</v>
      </c>
      <c r="B165" s="1" t="str">
        <f ca="1">IF(Información1[[#This Row],[Fecha]]='Ajuste de fechas'!$A$2,"Día actual","Día anterior")</f>
        <v>Día actual</v>
      </c>
      <c r="C165" s="3" t="s">
        <v>41</v>
      </c>
      <c r="D165" t="s">
        <v>42</v>
      </c>
      <c r="E165" s="3" t="s">
        <v>312</v>
      </c>
      <c r="F165" s="3" t="s">
        <v>39</v>
      </c>
      <c r="G165" s="3" t="s">
        <v>313</v>
      </c>
      <c r="H165" s="3" t="s">
        <v>8</v>
      </c>
      <c r="I165" s="3" t="s">
        <v>7</v>
      </c>
      <c r="J165" s="3" t="s">
        <v>36</v>
      </c>
      <c r="K165" s="3" t="s">
        <v>50</v>
      </c>
      <c r="L165" s="3" t="s">
        <v>24</v>
      </c>
      <c r="M165">
        <v>1</v>
      </c>
    </row>
    <row r="166" spans="1:13" x14ac:dyDescent="0.25">
      <c r="A166" s="2">
        <v>46204</v>
      </c>
      <c r="B166" s="1" t="str">
        <f ca="1">IF(Información1[[#This Row],[Fecha]]='Ajuste de fechas'!$A$2,"Día actual","Día anterior")</f>
        <v>Día actual</v>
      </c>
      <c r="C166" s="3" t="s">
        <v>41</v>
      </c>
      <c r="D166" t="s">
        <v>42</v>
      </c>
      <c r="E166" s="3" t="s">
        <v>314</v>
      </c>
      <c r="F166" s="3" t="s">
        <v>11</v>
      </c>
      <c r="G166" s="3" t="s">
        <v>315</v>
      </c>
      <c r="H166" s="3" t="s">
        <v>8</v>
      </c>
      <c r="I166" s="3" t="s">
        <v>7</v>
      </c>
      <c r="J166" s="3" t="s">
        <v>37</v>
      </c>
      <c r="K166" s="3" t="s">
        <v>66</v>
      </c>
      <c r="L166" s="3" t="s">
        <v>24</v>
      </c>
      <c r="M166">
        <v>1</v>
      </c>
    </row>
    <row r="167" spans="1:13" x14ac:dyDescent="0.25">
      <c r="A167" s="2">
        <v>46204</v>
      </c>
      <c r="B167" s="1" t="str">
        <f ca="1">IF(Información1[[#This Row],[Fecha]]='Ajuste de fechas'!$A$2,"Día actual","Día anterior")</f>
        <v>Día actual</v>
      </c>
      <c r="C167" s="3" t="s">
        <v>41</v>
      </c>
      <c r="D167" t="s">
        <v>42</v>
      </c>
      <c r="E167" s="3" t="s">
        <v>316</v>
      </c>
      <c r="F167" s="3" t="s">
        <v>53</v>
      </c>
      <c r="G167" s="3" t="s">
        <v>98</v>
      </c>
      <c r="H167" s="3" t="s">
        <v>8</v>
      </c>
      <c r="I167" s="3" t="s">
        <v>7</v>
      </c>
      <c r="J167" s="3" t="s">
        <v>36</v>
      </c>
      <c r="K167" s="3" t="s">
        <v>66</v>
      </c>
      <c r="L167" s="3" t="s">
        <v>24</v>
      </c>
      <c r="M167">
        <v>1</v>
      </c>
    </row>
    <row r="168" spans="1:13" x14ac:dyDescent="0.25">
      <c r="A168" s="2">
        <v>46204</v>
      </c>
      <c r="B168" s="1" t="str">
        <f ca="1">IF(Información1[[#This Row],[Fecha]]='Ajuste de fechas'!$A$2,"Día actual","Día anterior")</f>
        <v>Día actual</v>
      </c>
      <c r="C168" s="3" t="s">
        <v>41</v>
      </c>
      <c r="D168" t="s">
        <v>42</v>
      </c>
      <c r="E168" s="3" t="s">
        <v>317</v>
      </c>
      <c r="F168" s="3" t="s">
        <v>15</v>
      </c>
      <c r="G168" s="3" t="s">
        <v>172</v>
      </c>
      <c r="H168" s="3" t="s">
        <v>8</v>
      </c>
      <c r="I168" s="3" t="s">
        <v>7</v>
      </c>
      <c r="J168" s="3" t="s">
        <v>36</v>
      </c>
      <c r="K168" s="3" t="s">
        <v>66</v>
      </c>
      <c r="L168" s="3" t="s">
        <v>24</v>
      </c>
      <c r="M168">
        <v>1</v>
      </c>
    </row>
    <row r="169" spans="1:13" x14ac:dyDescent="0.25">
      <c r="A169" s="2">
        <v>46204</v>
      </c>
      <c r="B169" s="1" t="str">
        <f ca="1">IF(Información1[[#This Row],[Fecha]]='Ajuste de fechas'!$A$2,"Día actual","Día anterior")</f>
        <v>Día actual</v>
      </c>
      <c r="C169" s="3" t="s">
        <v>41</v>
      </c>
      <c r="D169" t="s">
        <v>42</v>
      </c>
      <c r="E169" s="3" t="s">
        <v>318</v>
      </c>
      <c r="F169" s="3" t="s">
        <v>157</v>
      </c>
      <c r="G169" s="3" t="s">
        <v>259</v>
      </c>
      <c r="H169" s="3" t="s">
        <v>8</v>
      </c>
      <c r="I169" s="3" t="s">
        <v>54</v>
      </c>
      <c r="J169" s="3" t="s">
        <v>36</v>
      </c>
      <c r="K169" s="3" t="s">
        <v>66</v>
      </c>
      <c r="L169" s="3" t="s">
        <v>24</v>
      </c>
      <c r="M169">
        <v>1</v>
      </c>
    </row>
    <row r="170" spans="1:13" x14ac:dyDescent="0.25">
      <c r="A170" s="2">
        <v>46204</v>
      </c>
      <c r="B170" s="1" t="str">
        <f ca="1">IF(Información1[[#This Row],[Fecha]]='Ajuste de fechas'!$A$2,"Día actual","Día anterior")</f>
        <v>Día actual</v>
      </c>
      <c r="C170" s="3" t="s">
        <v>41</v>
      </c>
      <c r="D170" t="s">
        <v>42</v>
      </c>
      <c r="E170" s="3" t="s">
        <v>319</v>
      </c>
      <c r="F170" s="3" t="s">
        <v>30</v>
      </c>
      <c r="G170" s="3" t="s">
        <v>320</v>
      </c>
      <c r="H170" s="3" t="s">
        <v>8</v>
      </c>
      <c r="I170" s="3" t="s">
        <v>7</v>
      </c>
      <c r="J170" s="3" t="s">
        <v>13</v>
      </c>
      <c r="K170" s="3" t="s">
        <v>66</v>
      </c>
      <c r="L170" s="3" t="s">
        <v>24</v>
      </c>
      <c r="M170">
        <v>1</v>
      </c>
    </row>
    <row r="171" spans="1:13" x14ac:dyDescent="0.25">
      <c r="A171" s="2">
        <v>46204</v>
      </c>
      <c r="B171" s="1" t="str">
        <f ca="1">IF(Información1[[#This Row],[Fecha]]='Ajuste de fechas'!$A$2,"Día actual","Día anterior")</f>
        <v>Día actual</v>
      </c>
      <c r="C171" s="3" t="s">
        <v>41</v>
      </c>
      <c r="D171" t="s">
        <v>42</v>
      </c>
      <c r="E171" s="3" t="s">
        <v>44</v>
      </c>
      <c r="F171" s="3" t="s">
        <v>10</v>
      </c>
      <c r="G171" s="3" t="s">
        <v>48</v>
      </c>
      <c r="H171" s="3" t="s">
        <v>8</v>
      </c>
      <c r="I171" s="3" t="s">
        <v>7</v>
      </c>
      <c r="J171" s="3" t="s">
        <v>38</v>
      </c>
      <c r="K171" s="3" t="s">
        <v>66</v>
      </c>
      <c r="L171" s="3" t="s">
        <v>24</v>
      </c>
      <c r="M171">
        <v>1</v>
      </c>
    </row>
    <row r="172" spans="1:13" x14ac:dyDescent="0.25">
      <c r="A172" s="2">
        <v>46204</v>
      </c>
      <c r="B172" s="1" t="str">
        <f ca="1">IF(Información1[[#This Row],[Fecha]]='Ajuste de fechas'!$A$2,"Día actual","Día anterior")</f>
        <v>Día actual</v>
      </c>
      <c r="C172" s="3" t="s">
        <v>41</v>
      </c>
      <c r="D172" t="s">
        <v>42</v>
      </c>
      <c r="E172" s="3" t="s">
        <v>321</v>
      </c>
      <c r="F172" s="3" t="s">
        <v>10</v>
      </c>
      <c r="G172" s="3" t="s">
        <v>305</v>
      </c>
      <c r="H172" s="3" t="s">
        <v>8</v>
      </c>
      <c r="I172" s="3" t="s">
        <v>7</v>
      </c>
      <c r="J172" s="3" t="s">
        <v>38</v>
      </c>
      <c r="K172" s="3" t="s">
        <v>66</v>
      </c>
      <c r="L172" s="3" t="s">
        <v>24</v>
      </c>
      <c r="M172">
        <v>1</v>
      </c>
    </row>
    <row r="173" spans="1:13" x14ac:dyDescent="0.25">
      <c r="A173" s="2">
        <v>46204</v>
      </c>
      <c r="B173" s="1" t="str">
        <f ca="1">IF(Información1[[#This Row],[Fecha]]='Ajuste de fechas'!$A$2,"Día actual","Día anterior")</f>
        <v>Día actual</v>
      </c>
      <c r="C173" s="3" t="s">
        <v>41</v>
      </c>
      <c r="D173" t="s">
        <v>42</v>
      </c>
      <c r="E173" s="3" t="s">
        <v>322</v>
      </c>
      <c r="F173" s="3" t="s">
        <v>10</v>
      </c>
      <c r="G173" s="3" t="s">
        <v>323</v>
      </c>
      <c r="H173" s="3" t="s">
        <v>8</v>
      </c>
      <c r="I173" s="3" t="s">
        <v>7</v>
      </c>
      <c r="J173" s="3" t="s">
        <v>38</v>
      </c>
      <c r="K173" s="3" t="s">
        <v>66</v>
      </c>
      <c r="L173" s="3" t="s">
        <v>24</v>
      </c>
      <c r="M173">
        <v>1</v>
      </c>
    </row>
    <row r="174" spans="1:13" x14ac:dyDescent="0.25">
      <c r="A174" s="2">
        <v>46204</v>
      </c>
      <c r="B174" s="1" t="str">
        <f ca="1">IF(Información1[[#This Row],[Fecha]]='Ajuste de fechas'!$A$2,"Día actual","Día anterior")</f>
        <v>Día actual</v>
      </c>
      <c r="C174" s="3" t="s">
        <v>41</v>
      </c>
      <c r="D174" t="s">
        <v>42</v>
      </c>
      <c r="E174" s="3" t="s">
        <v>324</v>
      </c>
      <c r="F174" s="3" t="s">
        <v>43</v>
      </c>
      <c r="G174" s="3" t="s">
        <v>325</v>
      </c>
      <c r="H174" s="3" t="s">
        <v>8</v>
      </c>
      <c r="I174" s="3" t="s">
        <v>7</v>
      </c>
      <c r="J174" s="3" t="s">
        <v>36</v>
      </c>
      <c r="K174" s="3" t="s">
        <v>66</v>
      </c>
      <c r="L174" s="3" t="s">
        <v>24</v>
      </c>
      <c r="M174">
        <v>1</v>
      </c>
    </row>
    <row r="175" spans="1:13" x14ac:dyDescent="0.25">
      <c r="A175" s="2">
        <v>46204</v>
      </c>
      <c r="B175" s="1" t="str">
        <f ca="1">IF(Información1[[#This Row],[Fecha]]='Ajuste de fechas'!$A$2,"Día actual","Día anterior")</f>
        <v>Día actual</v>
      </c>
      <c r="C175" s="3" t="s">
        <v>41</v>
      </c>
      <c r="D175" t="s">
        <v>42</v>
      </c>
      <c r="E175" s="3" t="s">
        <v>326</v>
      </c>
      <c r="F175" s="3" t="s">
        <v>10</v>
      </c>
      <c r="G175" s="3" t="s">
        <v>327</v>
      </c>
      <c r="H175" s="3" t="s">
        <v>8</v>
      </c>
      <c r="I175" s="3" t="s">
        <v>7</v>
      </c>
      <c r="J175" s="3" t="s">
        <v>38</v>
      </c>
      <c r="K175" s="3" t="s">
        <v>66</v>
      </c>
      <c r="L175" s="3" t="s">
        <v>24</v>
      </c>
      <c r="M175">
        <v>1</v>
      </c>
    </row>
    <row r="176" spans="1:13" x14ac:dyDescent="0.25">
      <c r="A176" s="2">
        <v>46204</v>
      </c>
      <c r="B176" s="1" t="str">
        <f ca="1">IF(Información1[[#This Row],[Fecha]]='Ajuste de fechas'!$A$2,"Día actual","Día anterior")</f>
        <v>Día actual</v>
      </c>
      <c r="C176" s="3" t="s">
        <v>45</v>
      </c>
      <c r="D176" t="s">
        <v>46</v>
      </c>
      <c r="E176" s="3" t="s">
        <v>328</v>
      </c>
      <c r="F176" s="3" t="s">
        <v>160</v>
      </c>
      <c r="G176" s="3" t="s">
        <v>213</v>
      </c>
      <c r="H176" s="3" t="s">
        <v>40</v>
      </c>
      <c r="I176" s="3" t="s">
        <v>7</v>
      </c>
      <c r="J176" s="3" t="s">
        <v>36</v>
      </c>
      <c r="K176" s="3" t="s">
        <v>47</v>
      </c>
      <c r="L176" s="3" t="s">
        <v>24</v>
      </c>
      <c r="M176">
        <v>1</v>
      </c>
    </row>
    <row r="177" spans="1:13" x14ac:dyDescent="0.25">
      <c r="A177" s="2">
        <v>46204</v>
      </c>
      <c r="B177" s="1" t="str">
        <f ca="1">IF(Información1[[#This Row],[Fecha]]='Ajuste de fechas'!$A$2,"Día actual","Día anterior")</f>
        <v>Día actual</v>
      </c>
      <c r="C177" s="3" t="s">
        <v>45</v>
      </c>
      <c r="D177" t="s">
        <v>46</v>
      </c>
      <c r="E177" s="3" t="s">
        <v>329</v>
      </c>
      <c r="F177" s="3" t="s">
        <v>10</v>
      </c>
      <c r="G177" s="3" t="s">
        <v>102</v>
      </c>
      <c r="H177" s="3" t="s">
        <v>40</v>
      </c>
      <c r="I177" s="3" t="s">
        <v>7</v>
      </c>
      <c r="J177" s="3" t="s">
        <v>38</v>
      </c>
      <c r="K177" s="3" t="s">
        <v>79</v>
      </c>
      <c r="L177" s="3" t="s">
        <v>24</v>
      </c>
      <c r="M177">
        <v>1</v>
      </c>
    </row>
    <row r="178" spans="1:13" x14ac:dyDescent="0.25">
      <c r="A178" s="2">
        <v>46204</v>
      </c>
      <c r="B178" s="1" t="str">
        <f ca="1">IF(Información1[[#This Row],[Fecha]]='Ajuste de fechas'!$A$2,"Día actual","Día anterior")</f>
        <v>Día actual</v>
      </c>
      <c r="C178" s="3" t="s">
        <v>45</v>
      </c>
      <c r="D178" t="s">
        <v>46</v>
      </c>
      <c r="E178" s="3" t="s">
        <v>330</v>
      </c>
      <c r="F178" s="3" t="s">
        <v>15</v>
      </c>
      <c r="G178" s="3" t="s">
        <v>331</v>
      </c>
      <c r="H178" s="3" t="s">
        <v>40</v>
      </c>
      <c r="I178" s="3" t="s">
        <v>7</v>
      </c>
      <c r="J178" s="3" t="s">
        <v>36</v>
      </c>
      <c r="K178" s="3" t="s">
        <v>47</v>
      </c>
      <c r="L178" s="3" t="s">
        <v>24</v>
      </c>
      <c r="M178">
        <v>1</v>
      </c>
    </row>
    <row r="179" spans="1:13" x14ac:dyDescent="0.25">
      <c r="A179" s="2">
        <v>46204</v>
      </c>
      <c r="B179" s="1" t="str">
        <f ca="1">IF(Información1[[#This Row],[Fecha]]='Ajuste de fechas'!$A$2,"Día actual","Día anterior")</f>
        <v>Día actual</v>
      </c>
      <c r="C179" s="3" t="s">
        <v>45</v>
      </c>
      <c r="D179" t="s">
        <v>46</v>
      </c>
      <c r="E179" s="3" t="s">
        <v>332</v>
      </c>
      <c r="F179" s="3" t="s">
        <v>9</v>
      </c>
      <c r="G179" s="3" t="s">
        <v>93</v>
      </c>
      <c r="H179" s="3" t="s">
        <v>40</v>
      </c>
      <c r="I179" s="3" t="s">
        <v>7</v>
      </c>
      <c r="J179" s="3" t="s">
        <v>36</v>
      </c>
      <c r="K179" s="3" t="s">
        <v>47</v>
      </c>
      <c r="L179" s="3" t="s">
        <v>24</v>
      </c>
      <c r="M179">
        <v>1</v>
      </c>
    </row>
    <row r="180" spans="1:13" x14ac:dyDescent="0.25">
      <c r="A180" s="2">
        <v>46204</v>
      </c>
      <c r="B180" s="1" t="str">
        <f ca="1">IF(Información1[[#This Row],[Fecha]]='Ajuste de fechas'!$A$2,"Día actual","Día anterior")</f>
        <v>Día actual</v>
      </c>
      <c r="C180" s="3" t="s">
        <v>45</v>
      </c>
      <c r="D180" t="s">
        <v>46</v>
      </c>
      <c r="E180" s="3" t="s">
        <v>275</v>
      </c>
      <c r="F180" s="3" t="s">
        <v>17</v>
      </c>
      <c r="G180" s="3" t="s">
        <v>276</v>
      </c>
      <c r="H180" s="3" t="s">
        <v>40</v>
      </c>
      <c r="I180" s="3" t="s">
        <v>7</v>
      </c>
      <c r="J180" s="3" t="s">
        <v>36</v>
      </c>
      <c r="K180" s="3" t="s">
        <v>47</v>
      </c>
      <c r="L180" s="3" t="s">
        <v>26</v>
      </c>
      <c r="M180">
        <v>1</v>
      </c>
    </row>
    <row r="181" spans="1:13" x14ac:dyDescent="0.25">
      <c r="A181" s="2">
        <v>46204</v>
      </c>
      <c r="B181" s="1" t="str">
        <f ca="1">IF(Información1[[#This Row],[Fecha]]='Ajuste de fechas'!$A$2,"Día actual","Día anterior")</f>
        <v>Día actual</v>
      </c>
      <c r="C181" s="3" t="s">
        <v>45</v>
      </c>
      <c r="D181" t="s">
        <v>46</v>
      </c>
      <c r="E181" s="3" t="s">
        <v>217</v>
      </c>
      <c r="F181" s="3" t="s">
        <v>12</v>
      </c>
      <c r="G181" s="3" t="s">
        <v>52</v>
      </c>
      <c r="H181" s="3" t="s">
        <v>40</v>
      </c>
      <c r="I181" s="3" t="s">
        <v>7</v>
      </c>
      <c r="J181" s="3" t="s">
        <v>36</v>
      </c>
      <c r="K181" s="3" t="s">
        <v>47</v>
      </c>
      <c r="L181" s="3" t="s">
        <v>26</v>
      </c>
      <c r="M181">
        <v>1</v>
      </c>
    </row>
    <row r="182" spans="1:13" x14ac:dyDescent="0.25">
      <c r="A182" s="2">
        <v>46204</v>
      </c>
      <c r="B182" s="1" t="str">
        <f ca="1">IF(Información1[[#This Row],[Fecha]]='Ajuste de fechas'!$A$2,"Día actual","Día anterior")</f>
        <v>Día actual</v>
      </c>
      <c r="C182" s="3" t="s">
        <v>45</v>
      </c>
      <c r="D182" t="s">
        <v>46</v>
      </c>
      <c r="E182" s="3" t="s">
        <v>333</v>
      </c>
      <c r="F182" s="3" t="s">
        <v>11</v>
      </c>
      <c r="G182" s="3" t="s">
        <v>334</v>
      </c>
      <c r="H182" s="3" t="s">
        <v>40</v>
      </c>
      <c r="I182" s="3" t="s">
        <v>7</v>
      </c>
      <c r="J182" s="3" t="s">
        <v>37</v>
      </c>
      <c r="K182" s="3" t="s">
        <v>47</v>
      </c>
      <c r="L182" s="3" t="s">
        <v>24</v>
      </c>
      <c r="M182">
        <v>1</v>
      </c>
    </row>
    <row r="183" spans="1:13" x14ac:dyDescent="0.25">
      <c r="A183" s="2">
        <v>46204</v>
      </c>
      <c r="B183" s="1" t="str">
        <f ca="1">IF(Información1[[#This Row],[Fecha]]='Ajuste de fechas'!$A$2,"Día actual","Día anterior")</f>
        <v>Día actual</v>
      </c>
      <c r="C183" s="3" t="s">
        <v>45</v>
      </c>
      <c r="D183" t="s">
        <v>46</v>
      </c>
      <c r="E183" s="3" t="s">
        <v>335</v>
      </c>
      <c r="F183" s="3" t="s">
        <v>9</v>
      </c>
      <c r="G183" s="3" t="s">
        <v>336</v>
      </c>
      <c r="H183" s="3" t="s">
        <v>40</v>
      </c>
      <c r="I183" s="3" t="s">
        <v>14</v>
      </c>
      <c r="J183" s="3" t="s">
        <v>36</v>
      </c>
      <c r="K183" s="3" t="s">
        <v>47</v>
      </c>
      <c r="L183" s="3" t="s">
        <v>25</v>
      </c>
      <c r="M183">
        <v>1</v>
      </c>
    </row>
    <row r="184" spans="1:13" x14ac:dyDescent="0.25">
      <c r="A184" s="2">
        <v>46204</v>
      </c>
      <c r="B184" s="1" t="str">
        <f ca="1">IF(Información1[[#This Row],[Fecha]]='Ajuste de fechas'!$A$2,"Día actual","Día anterior")</f>
        <v>Día actual</v>
      </c>
      <c r="C184" s="3" t="s">
        <v>45</v>
      </c>
      <c r="D184" t="s">
        <v>46</v>
      </c>
      <c r="E184" s="3" t="s">
        <v>337</v>
      </c>
      <c r="F184" s="3" t="s">
        <v>92</v>
      </c>
      <c r="G184" s="3" t="s">
        <v>236</v>
      </c>
      <c r="H184" s="3" t="s">
        <v>40</v>
      </c>
      <c r="I184" s="3" t="s">
        <v>54</v>
      </c>
      <c r="J184" s="3" t="s">
        <v>36</v>
      </c>
      <c r="K184" s="3" t="s">
        <v>47</v>
      </c>
      <c r="L184" s="3" t="s">
        <v>25</v>
      </c>
      <c r="M184">
        <v>1</v>
      </c>
    </row>
    <row r="185" spans="1:13" x14ac:dyDescent="0.25">
      <c r="A185" s="2">
        <v>46204</v>
      </c>
      <c r="B185" s="1" t="str">
        <f ca="1">IF(Información1[[#This Row],[Fecha]]='Ajuste de fechas'!$A$2,"Día actual","Día anterior")</f>
        <v>Día actual</v>
      </c>
      <c r="C185" s="3" t="s">
        <v>45</v>
      </c>
      <c r="D185" t="s">
        <v>46</v>
      </c>
      <c r="E185" s="3" t="s">
        <v>338</v>
      </c>
      <c r="F185" s="3" t="s">
        <v>9</v>
      </c>
      <c r="G185" s="3" t="s">
        <v>236</v>
      </c>
      <c r="H185" s="3" t="s">
        <v>40</v>
      </c>
      <c r="I185" s="3" t="s">
        <v>7</v>
      </c>
      <c r="J185" s="3" t="s">
        <v>36</v>
      </c>
      <c r="K185" s="3" t="s">
        <v>47</v>
      </c>
      <c r="L185" s="3" t="s">
        <v>24</v>
      </c>
      <c r="M185">
        <v>1</v>
      </c>
    </row>
    <row r="186" spans="1:13" x14ac:dyDescent="0.25">
      <c r="A186" s="2">
        <v>46204</v>
      </c>
      <c r="B186" s="1" t="str">
        <f ca="1">IF(Información1[[#This Row],[Fecha]]='Ajuste de fechas'!$A$2,"Día actual","Día anterior")</f>
        <v>Día actual</v>
      </c>
      <c r="C186" s="3" t="s">
        <v>45</v>
      </c>
      <c r="D186" t="s">
        <v>46</v>
      </c>
      <c r="E186" s="3" t="s">
        <v>222</v>
      </c>
      <c r="F186" s="3" t="s">
        <v>15</v>
      </c>
      <c r="G186" s="3" t="s">
        <v>301</v>
      </c>
      <c r="H186" s="3" t="s">
        <v>40</v>
      </c>
      <c r="I186" s="3" t="s">
        <v>7</v>
      </c>
      <c r="J186" s="3" t="s">
        <v>36</v>
      </c>
      <c r="K186" s="3" t="s">
        <v>47</v>
      </c>
      <c r="L186" s="3" t="s">
        <v>26</v>
      </c>
      <c r="M186">
        <v>1</v>
      </c>
    </row>
    <row r="187" spans="1:13" x14ac:dyDescent="0.25">
      <c r="A187" s="2">
        <v>46204</v>
      </c>
      <c r="B187" s="1" t="str">
        <f ca="1">IF(Información1[[#This Row],[Fecha]]='Ajuste de fechas'!$A$2,"Día actual","Día anterior")</f>
        <v>Día actual</v>
      </c>
      <c r="C187" s="3" t="s">
        <v>45</v>
      </c>
      <c r="D187" t="s">
        <v>46</v>
      </c>
      <c r="E187" s="3" t="s">
        <v>339</v>
      </c>
      <c r="F187" s="3" t="s">
        <v>9</v>
      </c>
      <c r="G187" s="3" t="s">
        <v>191</v>
      </c>
      <c r="H187" s="3" t="s">
        <v>40</v>
      </c>
      <c r="I187" s="3" t="s">
        <v>7</v>
      </c>
      <c r="J187" s="3" t="s">
        <v>36</v>
      </c>
      <c r="K187" s="3" t="s">
        <v>47</v>
      </c>
      <c r="L187" s="3" t="s">
        <v>24</v>
      </c>
      <c r="M187">
        <v>1</v>
      </c>
    </row>
    <row r="188" spans="1:13" x14ac:dyDescent="0.25">
      <c r="A188" s="2">
        <v>46204</v>
      </c>
      <c r="B188" s="1" t="str">
        <f ca="1">IF(Información1[[#This Row],[Fecha]]='Ajuste de fechas'!$A$2,"Día actual","Día anterior")</f>
        <v>Día actual</v>
      </c>
      <c r="C188" s="3" t="s">
        <v>45</v>
      </c>
      <c r="D188" t="s">
        <v>46</v>
      </c>
      <c r="E188" s="3" t="s">
        <v>340</v>
      </c>
      <c r="F188" s="3" t="s">
        <v>10</v>
      </c>
      <c r="G188" s="3" t="s">
        <v>102</v>
      </c>
      <c r="H188" s="3" t="s">
        <v>40</v>
      </c>
      <c r="I188" s="3" t="s">
        <v>7</v>
      </c>
      <c r="J188" s="3" t="s">
        <v>38</v>
      </c>
      <c r="K188" s="3" t="s">
        <v>47</v>
      </c>
      <c r="L188" s="3" t="s">
        <v>24</v>
      </c>
      <c r="M188">
        <v>1</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2B2386-6258-484E-8101-12D045481F45}">
  <dimension ref="A1:B2"/>
  <sheetViews>
    <sheetView workbookViewId="0">
      <selection activeCell="A3" sqref="A3"/>
    </sheetView>
  </sheetViews>
  <sheetFormatPr baseColWidth="10" defaultRowHeight="15" x14ac:dyDescent="0.25"/>
  <sheetData>
    <row r="1" spans="1:2" x14ac:dyDescent="0.25">
      <c r="A1" t="s">
        <v>28</v>
      </c>
      <c r="B1" t="s">
        <v>29</v>
      </c>
    </row>
    <row r="2" spans="1:2" x14ac:dyDescent="0.25">
      <c r="A2" s="2">
        <f ca="1">TODAY()</f>
        <v>46204</v>
      </c>
      <c r="B2" s="2">
        <f ca="1">A2-1</f>
        <v>46203</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B2EDC08-6C78-43A4-B375-F21756B4101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Radio</vt:lpstr>
      <vt:lpstr>Ajuste de fechas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2026-04-13T21:10:05Z</dcterms:created>
  <dcterms:modified xsi:type="dcterms:W3CDTF">2026-07-02T00:38:30Z</dcterms:modified>
</cp:coreProperties>
</file>