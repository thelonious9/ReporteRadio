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5BAA186-E17E-497E-A554-F2B14EF6DB9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61" i="2"/>
  <c r="B64" i="2"/>
  <c r="B68" i="2"/>
  <c r="B71" i="2"/>
  <c r="B74" i="2"/>
  <c r="B77" i="2"/>
  <c r="B80" i="2"/>
  <c r="B83" i="2"/>
  <c r="B23" i="2"/>
  <c r="B24" i="2"/>
  <c r="B25" i="2"/>
  <c r="B26" i="2"/>
  <c r="B27" i="2"/>
  <c r="B28" i="2"/>
  <c r="B29" i="2"/>
  <c r="B30" i="2"/>
  <c r="B31" i="2"/>
  <c r="B32" i="2"/>
  <c r="B33" i="2"/>
  <c r="B34" i="2"/>
  <c r="B35" i="2"/>
  <c r="B36" i="2"/>
  <c r="B37" i="2"/>
  <c r="B38" i="2"/>
  <c r="B39" i="2"/>
  <c r="B40" i="2"/>
  <c r="B41" i="2"/>
  <c r="B42" i="2"/>
  <c r="B43" i="2"/>
  <c r="B63" i="2"/>
  <c r="B66" i="2"/>
  <c r="B69" i="2"/>
  <c r="B72" i="2"/>
  <c r="B75" i="2"/>
  <c r="B78" i="2"/>
  <c r="B81" i="2"/>
  <c r="B85" i="2"/>
  <c r="B44" i="2"/>
  <c r="B45" i="2"/>
  <c r="B46" i="2"/>
  <c r="B47" i="2"/>
  <c r="B48" i="2"/>
  <c r="B49" i="2"/>
  <c r="B50" i="2"/>
  <c r="B51" i="2"/>
  <c r="B52" i="2"/>
  <c r="B53" i="2"/>
  <c r="B54" i="2"/>
  <c r="B55" i="2"/>
  <c r="B56" i="2"/>
  <c r="B57" i="2"/>
  <c r="B58" i="2"/>
  <c r="B59" i="2"/>
  <c r="B60" i="2"/>
  <c r="B62" i="2"/>
  <c r="B65" i="2"/>
  <c r="B67" i="2"/>
  <c r="B70" i="2"/>
  <c r="B73" i="2"/>
  <c r="B76" i="2"/>
  <c r="B79" i="2"/>
  <c r="B82" i="2"/>
  <c r="B8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<sst xmlns="http://schemas.openxmlformats.org/spreadsheetml/2006/main" count="855" uniqueCount="206">
  <si>
    <t>Fecha</t>
  </si>
  <si>
    <t>Titular</t>
  </si>
  <si>
    <t>Dependencia</t>
  </si>
  <si>
    <t>Canal</t>
  </si>
  <si>
    <t>Tema</t>
  </si>
  <si>
    <t>Estatus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</si>
  <si>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</si>
  <si>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</si>
  <si>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</si>
  <si>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</si>
  <si>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</si>
  <si>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</si>
  <si>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</si>
  <si>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</si>
  <si>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</si>
  <si>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</si>
  <si>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</si>
  <si>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</si>
  <si>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</si>
  <si>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</si>
  <si>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</si>
  <si>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</si>
  <si>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</si>
  <si>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</si>
  <si>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</si>
  <si>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</si>
  <si>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</si>
  <si>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</si>
  <si>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</si>
  <si>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</si>
  <si>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</si>
  <si>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</si>
  <si>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</si>
  <si>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</si>
  <si>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</si>
  <si>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</si>
  <si>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</si>
  <si>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</si>
  <si>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</si>
  <si>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</si>
  <si>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</si>
  <si>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</si>
  <si>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</si>
  <si>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</si>
  <si>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</si>
  <si>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</si>
  <si>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SSPH</t>
  </si>
  <si>
    <t>Radiodifusoras</t>
  </si>
  <si>
    <t>Comparecencias</t>
  </si>
  <si>
    <t>Saderh</t>
  </si>
  <si>
    <t>Planeación</t>
  </si>
  <si>
    <t>Vacunación</t>
  </si>
  <si>
    <t>Izza Hernández</t>
  </si>
  <si>
    <t>Jessenia Romero</t>
  </si>
  <si>
    <t>Ayuntamiento</t>
  </si>
  <si>
    <t>Alcaldías</t>
  </si>
  <si>
    <t>Otros</t>
  </si>
  <si>
    <t>Presidencia</t>
  </si>
  <si>
    <t>Presidencia de la República</t>
  </si>
  <si>
    <t>Gobernador</t>
  </si>
  <si>
    <t>Alerta Meteorológica</t>
  </si>
  <si>
    <t>Reforma a contrataciones municipales</t>
  </si>
  <si>
    <t>Radio Lobo 96.7 FM</t>
  </si>
  <si>
    <t>Enlace Noticias</t>
  </si>
  <si>
    <t>Gina Lorenzo</t>
  </si>
  <si>
    <t>Apoyo Al Agro</t>
  </si>
  <si>
    <t>Recorrido por instalaciones</t>
  </si>
  <si>
    <t>Apps de transporte</t>
  </si>
  <si>
    <t>UAEH</t>
  </si>
  <si>
    <t>Autonomía UAEH</t>
  </si>
  <si>
    <t>Plan Nacional De Vivienda</t>
  </si>
  <si>
    <t>Precariedad laboral</t>
  </si>
  <si>
    <t>Prevención De Enfermedades</t>
  </si>
  <si>
    <t>Hidalgo consolida liderazgo en indicadores educativos a nivel nacional</t>
  </si>
  <si>
    <t>Testamento</t>
  </si>
  <si>
    <t>Cultura</t>
  </si>
  <si>
    <t>LA CAAMT informa que derivado de un reporte ciudadano, ya se intervino una parte de la red de alcantarillado que presentaba un colapso, esto en la Colonia Indeco. Asimismo, indicó que en cuanto lo permita el clima se continuará con la reposición de la banqueta.</t>
  </si>
  <si>
    <t>Alcantarillado</t>
  </si>
  <si>
    <t>Recordándoles que tenemos una advertencia, tenemos la alerta que nos da la Subsecretaría de Protección Civil y Gestión de Riesgos del Gobierno del Estado de Hidalgo, dependiente de la Secretaría de Gobierno, respecto a los temas del clima. Se esperan descensos de temperatura nuevamente y lluvias, lluvias moderadas en buena parte del estado. Sin embargo, la Subsecretaría de Protección Civil nos dice, "Hay que estar muy atentos, por favor, no hay que bajar la guardia en estos días que, bueno, pues el clima está en esta situación cambiante". La Subsecretaría de Protección Civil y Gestión de Riesgos informa a la población que para este 22 de octubre de 2026, de acuerdo con el aviso número 587 del Pronóstico Meteorológico General del Servicio Meteorológico Nacional, se prevén intervalos de chubascos de 5 a 25 milímetros. Asimismo, se pronostican temperaturas mínimas de 0 a 5 grados, con vientos de 10 a 20 kilómetros por hora y con rachas de 30 a 50 kilómetros por hora.</t>
  </si>
  <si>
    <t>La Subsecretaría de Protección Civil y Gestión de Riesgos informó que se pronostican lluvias fuertes, chubascos, así como un descenso en las temperaturas y vientos con rachas de hasta 50 km/h, afectando principalmente las regiones norte y este de Hidalgo. Debido a la acumulación previa de humedad en los suelos, las autoridades advirtieron sobre el riesgo latente de deslaves, derrumbes, inundaciones y crecidas de ríos. Ante este panorama, se emitieron diversas recomendaciones a la población, tales como evitar cruzar cuerpos de agua o calles inundadas, respetar los cierres carreteros y mantenerse informados ante cualquier señal de peligro.</t>
  </si>
  <si>
    <t>En cabina Diana Peña, titular de la Dirección de Inclusión de Tulancingo señala que la persona que hace unos días se quejó porque un operador de transporte público se negó a darle servicio a su familiar con capacidades diferentes, puede acudir a esta dependencia para darle acompañamiento para que el operador sea sancionado. Asimismo, informó que por ley no deben de negar el servicio a este sector. Asimismo, habló de las labores que hacen beneficio de las personas con discapacidad a través de programas y diferentes actividades.</t>
  </si>
  <si>
    <t>Apoyo a personas con discapacidad</t>
  </si>
  <si>
    <t>Impulsa Saderh transformación integral de la región Otomí-Tepehua y Valle de Tulancingo</t>
  </si>
  <si>
    <t>Radioescucha: es increíble que sabiendo el nefasto servicio que tiene el transporte público, con autos ya de 20 años, con vidrios polarizados, sucios y a veces sin cinturón de seguridad, muchos taxistas sin tarjetón o licencia, no permitan la entrada de plataformas.</t>
  </si>
  <si>
    <t>Radioescucha: ojalá que entren las plataformas porque el servicio que se ofrece actualmente en taxis es muy deficiente, hay operadores que son muy despotados.</t>
  </si>
  <si>
    <t>Daniel Martínez hablando sobre la llega de plataformas de transporte a Hidalgo comenta: me quedo también con las palabras de Andrés Velázquez Vázquez, presidente de la Junta de Gobierno del Congreso del Estado de Hidalgo. Al final de cuentas, la tecnología ya llegó. Más adelante señala que no se debe satanizar un servicio, sino adecuarlo a las necesidades.</t>
  </si>
  <si>
    <t>Nuevamente, por acá nos están mandando mensajes de que consideran que el tema de no permitir las plataformas, además de que no les permite tener otras opciones a quien busca otros servicios que no sean los taxis ordinarios, le está cerrando las puertas a quien quiere llevarse una lanita, un ingreso extra. Ese es el pensamiento o el punto de vista que nos están compartiendo por acá por WhatsApp.</t>
  </si>
  <si>
    <t>Didi en Tula comenzó a promocionarse mediante una convocatoria dirigida a personas con automóvil propio que estén interesadas en registrarse como socios conductores. La publicidad difundida anuncia la llegada de la plataforma Tula, ahí ofrece como promoción una ganancia garantizada superior superior a 10,000 pesos durante la primera semana de lanzamiento, sujeta a las condiciones establecidas por la empresa. La convocatoria aparece apenas unos días después de que Uber habilitara la posibilidad de solicitar viajes en Pachuca, y esta convocatoria ha sido difundida para Tula de Allende y estaría dirigida a propietarios de vehículos. Entre los principales atractivos promocionales se encuentra la comisión del 9%, horarios flexibles, demanda de viajes y más de 20 funciones de seguridad. La publicidad también ofrece una ganancia garantizada de 10,000 pesos durante la primera semana de lanzamiento y al tratarse de una promoción comercial, el acceso a este beneficio puede estar sujeto a términos y condiciones. Entre los requisitos anunciados para registrarse se encuentran el INE, la licencia de conducir, tarjeta de circulación, una fotografía tomada mediante la aplicación. La empresa también habilitó un número de WhatsApp para poder brindar asesoría a las personas que estén interesadas en registrarse. El día lunes Uber habilitó dentro de su aplicación la posibilidad de consultar y solicitar viajes en Pachuca y como ya lo mencionabas Daniel, el Gobierno del Estado de Hidalgo ha fijado su posicionamiento y ha sostenido que el modelo bajo el cual estas plataformas pretenden prestar el servicio no estaría contemplado actualmente como una modalidad autorizada por la legislación estatal.</t>
  </si>
  <si>
    <t>Entre septiembre del año pasado y el mismo mes de este 2026, la Secretaría de Movilidad y Transporte en Hidalgo (Semoth) ha detectado 129 vehículos que realizaban servicio de transporte para pasajeros por medio de plataformas digitales. El dato fue ofrecido por la titular de la dependencia estatal, Lyzbeth Robles Gutiérrez, durante su comparecencia ante el Congreso de Hidalgo, realizada el miércoles 21 de octubre. La funcionaria agregó que se aplicaron 50 sanciones por prestar el servicio sin contar con la autorización, lo que significó una recaudación por 4 millones 399 mil 125 pesos. En el Estado de Hidalgo se han detectado varias empresas que prestan el servicio, pese a que las actuales normativas en materia de transporte para pasajeros no las tiene contempladas, y por tanto, no están autorizadas para operar. La detección de las 129 unidades particulares que fueron remitidas al corralón, han sido detectadas en varios municipios de la entidad. En cuanto a las sanciones, en Pachuca se han aplicado 26; seguido de Mineral de la Reforma, 11; Tizayuca, 4; Ixmiquilpan, 3; Villa de Tezontepec, 2; así como uno en Tepeapulco, otro en Zempoala y otro en Tolcayuca. No fueron precisados más municipios. La titular de Semoth recordó que con anterioridad Uber promovió diversos juicios de amparo para obtener autorización y así operar en la entidad, pero no consiguió resoluciones favorables; asimismo, aseguró que no hay juicios de garantía vigentes. Respecto al anuncio del gobernador Julio Menchaca Salazar sobre la presentación de denuncias por los viajes que oferta Uber, la secretaria señaló que se trata de una estrategia del Poder Ejecutivo en la que también participa la dependencia a su cargo. Puntualizó que las acciones podrían ocurrir en dos sentidos, tanto en el ámbito administrativo como en la vía penal..</t>
  </si>
  <si>
    <t>El Sindicato Nacional de Trabajadores del Seguro Social aprobó la propuesta del Instituto Mexicano del Seguro Social de un alza del 8% al salario, sin embargo, trabajadores disidentes del instituto informaron que rechazaron este aumento. Esta propuesta se realizó luego de la aprobación por parte del Consejo Técnico del Instituto en una conferencia más temprano. Zoé Robledo, director general del IMSS, explicó que del 8%, 4% iba al salario y 4% a prestaciones. Entonces, en entrevista para el programa de Javier Solórzano, resulta que el vocero de los trabajadores del IMSS, Rafael Soto, informó sobre el descontento por el aumento. Dijo lo siguiente en esta entrevista: "Otra vez nos quieren ver la cara y no lo vamos a permitir, se mantiene la movilización, exigimos la renuncia de Rafael Olivos", así lo dijo el vocero en esta entrevista y pues afirmó que no van a dejar de movilizarse y explicó que aunque hasta el momento solamente se tiene en cuenta una movilización en la Ciudad de México, se estaría realizando también un llamado para poder comenzar movilizaciones en distintas partes del país y pues en la marcha que se tiene planteada precisamente para este este día, bueno el día de ayer que precisamente se llevó a cabo pues se estaba esperando entre 3,000 y 5,000 personas aproximadamente, sin embargo pues sí, obviamente tienen planeada una nueva movilización para finales de este mes, entonces vamos a estar ahí al pendiente. Pero bien, de manera previa el Sindicato Nacional de Trabajadores del Seguro Social informó que estarían aprobando el aumento del 8% a través de un comunicado, informaron luego de la negociación que se había alcanzado el acuerdo salarial.</t>
  </si>
  <si>
    <t>Aumento salarial</t>
  </si>
  <si>
    <t>El día de ayer se llevó a cabo una marcha de la UAEH, la cual tuvo una connotación política, al viejo estilo de enseñar el músculo por parte de la Familia Sosa Castelán, que además están ligados al Partido del Trabajo. La señal política es muy clara. Al salir a las calles, al movilizar a los alumnos y a los maestros de la Universidad Autónoma del Estado de Hidalgo para mostrar el músculo, para dar cuenta de "mira cuántos votos tengo aquí disponibles, dispuestos". Está mandando una señal no solamente de que quiero negociar, no solamente de fuerza, no solamente mostrar el músculo, sino también vamos a negociar.</t>
  </si>
  <si>
    <t>La Secretaría de Movilidad y Transporte en Hidalgo (Semoth) considera la implementación de un sistema integral de trámites y gestión de la información para transporte convencional. Lo anterior fue informado por Lyzbeth Robles Gutiérrez, titular de la dependencia estatal durante su comparecencia ante el Congreso de Hidalgo, realizada el miércoles 21 de octubre. Señaló que también está considerada la modernización tecnológica del servicio y la adquisición de equipo especializado para la inspección vehicular. También se considera un sistema para aplicar pruebas psicométricas a personas conductoras, un estudio de impacto vial en el bulevar Luis Donaldo Colosio, dentro de la Zona Metropolitana de Pachuca, junto con el equipamiento de una unidad móvil para realizar pruebas toxicológicas. La funcionaria señaló que también está considerada la elaboración de los planes de movilidad urbana sustentable de Ixmiquilpan y Huejutla, así como en el Plan Estratégico de Seguridad Vial para el Estado de Hidalgo. Robles Gutiérrez informó que en transporte público convencional, la Semoth desde el año 2022, ha realizado mil 830 operativos de vigilancia y supervisión. Asimismo, explicó que el gobierno estatal destinó 9 millones 500 mil pesos al censo de transporte en Hidalgo. El censo permitió identificar mil 272 rutas de transporte colectivo y 633 sitios de transporte individual. En cuanto al Sistema de Transporte Metropolitano, conocido como Tuzobús, se destacó que se registró un incremento de 24 por ciento de viajes, tras la renovación de unidades. Con la modernización de la flota vehicular, el número de personas usuarias pasó de 75 mil a casi 93 mil, tanto en la ruta troncal como en las alimentadoras. De acuerdo con la funcionaria, el sistema registra una eficiencia operativa de 99 por ciento y una disminución de 56 por ciento en las quejas. La Semoth desarrolla proyectos de renovación de la red semafórica, elaboración de dictámenes estructurales de los puentes a cargo del sistema, mantenimiento y rehabilitación integral de las estaciones del Sistema de Transporte Metropolitano.</t>
  </si>
  <si>
    <t>Hoy es un día muy importante porque por primera vez en la historia, un Oficial Mayor comparecerá ante el Congreso. Esto forma parte de una tradición que inició el ex gobernador Jesús Murillo Canan en los años 90, donde los miembros del gabinete del gobernador presentan sus informes ante los diputados. El gobernador Julio Menchaca Salazar presentó su cuarto informe de actividades en septiembre, el cual incluye los logros y metas de su equipo. Este proceso de comparecencias siempre ha generado diversas opiniones entre los diputados y la población, ya que a algunos les interesa y a otros no. Sin embargo, la comparecencia de hoy se destaca porque busca mejorar la transparencia y la rendición de cuentas. Orlando Ángeles, el Oficial Mayor, comparecerá a las 4 de la tarde, y es una oportunidad para que se expliquen los detalles sobre el gasto y la aplicación de recursos del gobierno. Este evento resalta la intención de las autoridades de resolver dudas y proporcionar claridad sobre el uso del dinero público. Se espera que esto contribuya a un mejor entendimiento de las responsabilidades del gobierno y fomente el diálogo entre autoridades y representantes populares. Mañana se discutirá en este espacio qué resultados dejó la comparecencia de Orlando Ángeles.</t>
  </si>
  <si>
    <t>Oficialía Mayor</t>
  </si>
  <si>
    <t>Durante su comparecencia ante la sexagésima sexta Legislatura local, la titular de la Secretaría de Movilidad y Transporte (Semot), Lyzbeth Robles Gutiérrez, destacó la incorporación de tecnología avanzada —como cámaras con inteligencia artificial y sistemas de videovigilancia— en las unidades de transporte masivo. Asimismo, abordó las problemáticas viales de la zona metropolitana, enfatizando la importancia de respetar el carril exclusivo del Tuzobús para garantizar la seguridad vial, optimizar las frecuencias de paso y evitar el congestionamiento generado por la invasión de vehículos particulares.</t>
  </si>
  <si>
    <t>El titular de la Secretaría de Bienestar e Inclusión Social (Sebiso), Ricardo Gómez Moreno, compareció ante el Congreso del Estado para detallar los avances del cuarto informe de gobierno. Destacó que los programas sociales se triplicaron de 4 a 12 acciones directas, alcanzando un presupuesto de 400 millones de pesos destinados a combatir la pobreza y apoyar a sectores vulnerables, incluidos adultos mayores, personas con discapacidad y cuidadoras. Asimismo, resaltó la cobertura territorial mediante las "Casas del Pueblo" para eliminar intermediarios en la entrega de apoyos. No obstante, señaló los retos en el registro e integración de artesanos en ciertas demarcaciones como la comarca minera y parte del Valle del Mezquital, a pesar de los 15 millones de pesos asignados a este sector.</t>
  </si>
  <si>
    <t>Bienestar</t>
  </si>
  <si>
    <t>Triplicó Sebiso apoyos para sectores vulnerables de Hidalgo: Ricardo Gómez Moreno durante su comparecencia ante representantes del Congreso del Estado.</t>
  </si>
  <si>
    <t>A cuatro años de este gobierno, la SEMOT avanza en la ejecución de acciones necesarias tendientes a planificar la movilidad</t>
  </si>
  <si>
    <t>En entrevista en cabina, la directora de la Oficina de Inclusión para Personas con Discapacidad y Personas Cuidadoras del municipio de Tulancingo, Diana Esmeralda Peña Canales, invitó a la ciudadanía a participar en la "Caminata y Carrera con Causa", programada para el próximo domingo 25 de octubre a las 08:00 horas con salida en la calle Riva Palacio. El evento tiene como propósito recaudar fondos destinados íntegramente a la adquisición de ayudas técnicas (tales como sillas de ruedas, bastones, andaderas y cojines antiescaras) gestionadas a través del organizador e ابن Díaz Rosas. La inscripción es gratuita para personas con discapacidad y cuidadoras, mientras que el público general y competidores infantiles deberán cubrir una cuota de recuperación.</t>
  </si>
  <si>
    <t>Evento Con Causa</t>
  </si>
  <si>
    <t>Ejidatarios de Palma Gorda, en Mineral de la Reforma, se manifestaron este miércoles en la zona donde se realizaron trabajos para la construcción del tren México-Pachuca, con el objetivo de exigir el pago de los terrenos expropiados para el proyecto. Los inconformes se concentraron en las inmediaciones de las obras ejecutadas por el Ejército Mexicano y colocaron lonas con mensajes dirigidos a las autoridades, mediante los cuales solicitaron una indemnización por las tierras utilizadas para la construcción de la vía ferroviaria. Desde horas de la mañana, los ejidatarios habían advertido que podrían realizar un bloqueo en el bulevar Las Torres como medida de protesta; sin embargo, finalmente esta acción no se llevó a cabo. La manifestación permaneció en el área de los trabajos, donde los ejidatarios mantuvieron su exigencia de que las autoridades atendieran sus demandas y agilizaran el proceso para recibir el pago correspondiente por sus terrenos.</t>
  </si>
  <si>
    <t>Expropiación</t>
  </si>
  <si>
    <t>Ciudadanos y comerciantes han reportado robos en la plaza central de Tulancingo, donde, de acuerdo con los testimonios, se han identificado distintas formas de operar para sustraer pertenencias, una problemática que lleva tiempo presente, pero que habría aumentado durante las últimas semanas. Según los reportes, entre las prácticas que afectan a los compradores se encuentra el corte de bolsas y mochilas para extraer objetos de valor sin que las víctimas lo adviertan de inmediato. En el caso de los comerciantes, señalaron que presuntamente algunas personas recurren a distracciones para desviar su atención y aprovechar esos momentos para tomar dinero, mercancía u otras pertenencias. Los ciudadanos manifestaron su preocupación ante la recurrencia de estos hechos en uno de los espacios comerciales más concurridos del municipio, por lo que consideran importante reforzar las medidas de prevención y vigilancia en la zona. Ante esta situación, se buscó a la Secretaría de Seguridad Pública de Tulancingo para conocer su posicionamiento sobre los reportes, así como las posibles acciones para atenderlos; sin embargo, hasta el momento sin respuesta favorable.</t>
  </si>
  <si>
    <t>Inseguridad</t>
  </si>
  <si>
    <t>En su colaboración semanal, el especialista Gustavo Rosales compartió los pormenores del Epic Travers Hidalgo 2026, una exigente competencia multideportiva programada del 23 al 25 de octubre que contará con la participación de 150 atletas nacionales e internacionales. El recorrido constará de 230 kilómetros distribuidos en 9 municipios del estado (Mineral del Chico, Atotonilco el Grande, Actopan, Santiago de Anaya, Cardonal, Metztitlán, Ixmiquilpan, Tasquillo y Zimapán), e incluirá 30 km de trail, cañón, 35 km de ciclismo de montaña y 20 km de paddle board en aguas abiertas bajo condiciones de clima frío.</t>
  </si>
  <si>
    <t>Justa Deportiva</t>
  </si>
  <si>
    <t>Entrevista en cabina el licenciado Leo Román Osorio Rodríguez, representante de la visitaduría de la Comisión de Derechos Humanos del Estado de Hidalgo (CDHEH) en Tulancingo - Habló sobre la convocatoria de la Medalla Aurora de Plata al Mérito en los Derechos Humanos 2026. Durante su intervención, destacó la importancia de reconocer la labor de personas, colectivos y organizaciones de la sociedad civil que defienden la dignidad humana y los derechos fundamentales en comunidades y espacios locales. Asimismo, detalló las bases de participación, señalando que el periodo de recepción de propuestas concluye el 2 de diciembre de 2026 y que la entrega del galardón se llevará a cabo en el marco del Día Internacional de los Derechos Humanos.</t>
  </si>
  <si>
    <t>CDHEH</t>
  </si>
  <si>
    <t>Medalla al mérito</t>
  </si>
  <si>
    <t>Los profesionistas en Derecho Roberto Daniel Calderón Lazcano y Alberto Reyes Weber cumplieron con la totalidad de los requisitos establecidos en la convocatoria para participar en el proceso de selección de la persona titular del Órgano Interno de Control del municipio de Tulancingo de Bravo. En seguimiento a la convocatoria emitida el pasado 12 de octubre, la Comisión Especial encargada de coordinar el proceso de selección dio a conocer, mediante la constancia de publicación correspondiente, los nombres de las dos personas aspirantes que acreditaron la documentación requerida en tiempo y forma. Como parte de las siguientes etapas, este 22 de octubre se tiene programada la defensa de los ensayos de ambos profesionistas. Posteriormente, el 26 de octubre se presentará ante el Ayuntamiento la propuesta para ocupar el cargo. Finalmente, el 29 de octubre, durante la sesión de Ayuntamiento, se realizará la designación y, en su caso, la toma de protesta y entrega del nombramiento correspondiente, conforme al calendario previsto en la convocatoria. Con ello, el proceso de selección dará cumplimiento a las bases establecidas y a las disposiciones legales aplicables.</t>
  </si>
  <si>
    <t>Órgano Interno de Control</t>
  </si>
  <si>
    <t>Se destacó el dinamismo económico y el desarrollo de corredores industriales en el estado de Hidalgo y el centro del país. En este contexto, la subsecretaria de Industria y Comercio de la Secretaría de Economía, Ximena Escobedo Juárez, señaló que se cumplió con la meta de entregar 20 nuevos parques industriales en el marco del plan de gobierno, alcanzando un total de 40 parques entregados (40% de la meta sexenal) ubicados en 17 municipios de ocho entidades federativas, con una inversión superior a los 670 millones de dólares. Por su parte, el presidente del Consejo Directivo de la Asociación Mexicana de Parques Industriales Privados (AMPIP), David Onelli, detalló que estos 20 nuevos complejos abarcan 4.8 millones de metros cuadrados, tienen capacidad para 176 empresas, prevén más de 30,000 empleos y acumulan una inversión de 463 millones de dólares para fortalecer las cadenas de suministro nacionales.</t>
  </si>
  <si>
    <t>Parque industrial</t>
  </si>
  <si>
    <t>Andrés Torres antes de iniciar la transmisión de "Las Vocales Radio" por televisión comenta lo siguiente: "...digamos que funcionarios ignorantes, ¿no? e hijos de la rechingada. Son unos hijos de chingada. Y cobarde. Le molesta al señor director de Radio y Televisión de Hidalgo que nosotros tengamos redes sociales, ¿por qué? Porque él es un acosador y un delincuente. Nosotros sí somos trabajadores, nosotros sí somos gente de medios de comunicación, de certificados, no somos arribistas, ¿no? Y ojalá y me esté viendo y le pasen la nota al señor director, es un cobarde. Así, un cobarde. Para que quede bien claro, cuando guste, a la hora que quiera, lo podemos este aclarar. Lo podemos aclarar.</t>
  </si>
  <si>
    <t>Peyorativo</t>
  </si>
  <si>
    <t>Para el Estado de Hidalgo se tiene considerada una meta de construcción de 66 mil 500 Viviendas del Bienestar, ubicadas en los municipios de San Agustín Tlaxiaca, Mineral de la Reforma, Tepeapulco, Tepeji del Río, Zempoala, Actopan y Tulancingo. Lo anterior fue señalado durante la reunión encabezada por la Presidenta de México, Claudia Sheinbaum Pardo, en Palacio Nacional, donde se evaluaron los avances de dicho programa, en donde participó el Gobernador de Hidalgo, Julio Menchaca Salazar, junto con alcaldesas y alcaldes donde actualmente se construyen las viviendas. En la reunión se estableció la posibilidad de incorporar más municipios de Hidalgo al Programa Nacional de Vivienda para el Bienestar, para lo cual se está realizando la evaluación de terrenos, condiciones legales, entre otros temas. De acuerdo al Gobierno Federal, cada vivienda tiene un costo promedio de construcción de 600 mil pesos y están a cargo del Instituto del Fondo Nacional de la Vivienda para los Trabajadores (Infonavit) y la Comisión Nacional de Vivienda (Conavi). Del total de hogares, 11 mil 500 serán edificados por el Infonavit y 20 mil por la Conavi, de acuerdo a lo establecido previamente. Como parte de esta estrategia nacional, que contempla la construcción de 1.8 millones de viviendas, incluyendo al Estado de Hidalgo, con el objetivo de ampliar el acceso de las familias a una vivienda digna. Actualmente están en construcción 5 mil 990 viviendas nuevas en los municipios del Estado de Hidalgo ya señalados. Cabe señalar que los municipios donde se asientan las viviendas deben facilitar el acceso a servicios como agua potable, drenaje y electricidad, además de atender los trámites catastrales, avalúos y escrituración de las casas y departamentos. El Gobernador Menchaca Salazar acompañó a la mandataria nacional en un encuentro para revisar los avances del proceso de modernización del IMSS-Bienestar, junto a 23 gobernadoras y gobernadores que están integrados al sistema de atención a la salud.</t>
  </si>
  <si>
    <t>Menchaca y Sheinbaum suman esfuerzos para impulsar el programa Vivienda para el Bienestar en Hidalgo</t>
  </si>
  <si>
    <t>Andrés Torres en respuesta a una radioescucha que pregunta por qué no se pasan imágenes en las noticias, argumentando que esto haría el noticiero más completo. Andrés Torres se disculpa y explica que el formato del noticiero ha cambiado a lo largo de los años, ya que llevan 13 años funcionando. Mencionan que hay carencias en Radio y Televisión de Hidalgo que hacen difícil realizar un noticiero de televisión. Actualmente, están haciendo un programa de radio con apoyo visual y desde Pachuca, tienen un equipo muy pequeño, conformado por un camarógrafo, dos conductores y un operador de radio. Explica que la falta de recursos y personal limita sus capacidades. Para crear un noticiero formal, se requiere un equipo grande y completo, algo que ellos no pueden ofrecer debido a su situación. Además, la financiación del proyecto es personal, ya que no reciben apoyo económico para tener imágenes y presentar un formato de noticiero de televisión. El informativo se nutre principalmente de un estilo de radio. También menciona que su programa comenzó con un enfoque de opiniones y no como un noticiero, aunque ahora brinda noticias. Está orgulloso de lo que han logrado con el esfuerzo de sus compañeros y de las personas que apoyan el proyecto. Sin embargo, enfatiza la difícil situación en la que trabajan, con recursos muy limitados. Agradecen a colaboradores que, de forma altruista, contribuyen con información sin recibir pago alguno. Todos los gastos del programa, como transporte y materiales, son cubiertos por ellos mismos. Lamenta los inconvenientes causados por la falta de recursos y reafirma su compromiso de ofrecer la mejor información política y social posible, a pesar de las limitaciones. Se despide disculpándose nuevamente y reafirmando su dedicación al informativo.</t>
  </si>
  <si>
    <t>Con publicación editorial, SEPH impulsa la preservación de la lengua Náhuatl y su legado cultural</t>
  </si>
  <si>
    <t>Preservación Lenguas Maternas</t>
  </si>
  <si>
    <t>Debido a que desde la temporada de verano de este año se registraron casos de Covid-19 en la región Tulancingo, se espera repunte de casos por influenza estacional durante la temporada invernal. La información fue presentada durante la reunión mensual del Comité Jurisdiccional de Vigilancia Epidemiológica, por lo cual se hizo llamado para aplicarse la vacuna para ambos padecimientos, las cuales ya están disponibles. Durante la sesión de trabajo realizada este miércoles 21 de octubre, se señaló que también se espera durante la temporada invernal, incremento de casos de otras enfermedades broncorespiratorias, como influenza H1N1 y tipo B. Se tiene especial preocupación en la incidencia de virus sincitial respiratorio, una de las principales causas de muerte en niñas y niños de cinco años de edad, por las complicaciones que pueden presentar en su estado de salud. Las autoridades sanitarias han detectado que el grupo entre los 24 a 39 años de edad es donde se presenta el mayor porcentaje de personas que enferman de padecimientos broncorespiratorios. Una de las principales causas de dicha incidencia es debido a que dicho grupo de edad rechaza vacunarse, una de las principales estrategias para evitar este tipo de enfermedades o aminorar sus efectos. En cuanto a fallecimientos por este tipo de padecimientos, en la región correspondiente a la Jurisdicción Sanitaria Regional II, los municipios con mayor registro son Acaxochitlán, Metepec, Santiago Tulantepec, Tulancingo y Tenango de Doria. En el caso de Covid-19, los fallecimientos se han registrado sobre todo en personas con antecedentes de diabetes, hipertensión, obesidad y asma. Mientras que en los fallecimientos por influenza, se registran sobre todo en personas con antecedentes también de diabetes, así como de Enfermedad Pulmonar Obstructiva Crónica y enfermedades renales agudas. Se insistió en reforzar los esquemas de información preventiva a los padecimientos broncorespiratorios, así como la estrategia de vacunación, señalando que existen dosis suficientes para atender a la población. En el caso de la vacunación, adultos mayores, mujeres embarazadas, así como niñas y niños, junto con personas con enfermedades crónico degenerativas, son quienes serán atendidas prioritariamente para ser vacunadas.</t>
  </si>
  <si>
    <t>Seguimos fuera del aire allá en Jacala de Ledezma, ya cumplimos un mes fuera del aire en el 91.1 de frecuencia modulada, les ofrecemos una disculpa. Bueno, pues estamos esperando que las áreas técnicas y administrativas pues resuelvan los problemas allá en la estación.</t>
  </si>
  <si>
    <t>Durante su visita a la subestación Hidalgo en Pachuca, el gobernador Julio Menchaca Salazar reafirmó la estrecha colaboración y coordinación con la Comisión Federal de Electricidad (CFE), acompañado por funcionarios estatales como el secretario de desarrollo económico, Carlos Henkel Escorza, y la directora de la agencia estatal de energía, Ivonne Margarita Ramírez Núñez. En el encuentro con el encargado de la gerencia de la división Centro Oriente de la CFE, Jesús Alberto Armenta Lara, se destacó la importancia estratégica de la infraestructura eléctrica para garantizar servicios seguros y de calidad que impulsen el desarrollo social y económico del Estado.</t>
  </si>
  <si>
    <t>La planta coquizadora de la refinería Miguel Hidalgo, en Tula de Allende, Hidalgo, tiene previsto comenzar operaciones en noviembre de este año, anunció la presidenta de México, Claudia Sheinbaum Pardo, durante su conferencia matutina de este miércoles 21 de octubre. El proyecto forma parte de las acciones de Petróleos Mexicanos (Pemex) para ampliar la capacidad de refinación y aumentar la producción nacional de combustibles, con el objetivo de disminuir la necesidad de adquirirlos en el extranjero. Sheinbaum explicó que la estrategia federal incluye la modernización de las seis refinerías del país, la construcción de la planta Olmeca, en Dos Bocas, Tabasco, y la adquisición de Deer Park, ubicada en Texas, Estados Unidos. La mandataria señaló que México todavía compra en el exterior alrededor del 15 por ciento de los combustibles que consume, entre ellos gasolina, diésel, turbosina y parte del gas LP. En este contexto, la entrada en funcionamiento de la coquizadora de Tula busca contribuir al aprovechamiento del petróleo procesado en el país. Además de la instalación hidalguense, el Gobierno federal desarrolla otra planta coquizadora en Salina Cruz, Oaxaca. De acuerdo con lo expuesto por la presidenta, el aprovechamiento del coque también se contempla dentro de los planes para fortalecer la producción nacional de fertilizantes. Durante la misma conferencia, el director general de Pemex, Juan Carlos Carpio, informó que el procesamiento de petróleo registra un incremento de 81 por ciento respecto a 2018, resultado que atribuyó a las inversiones y los trabajos de modernización de la infraestructura de refinación. El inicio de operaciones de la planta de Tula se perfila como parte de la estrategia federal para incrementar el procesamiento de crudo y reducir la dependencia de combustibles importados.</t>
  </si>
  <si>
    <t>Refinería Tula</t>
  </si>
  <si>
    <t>Andrés Torres informa sobre la situación de la iniciativa del Congreso del Estado que busca reducir las responsabilidades de los regidores en los ayuntamientos. Según el conteo hasta ayer, la mayoría de los ayuntamientos se oponen a la iniciativa, con tres municipios a favor y nueve en contra. Yareli Melo está a cargo del conteo y ha presentado los resultados en redes sociales. Actualmente, la mayoría de los cabildos que han revisado la propuesta han decidido rechazarla. Se espera que la iniciativa sea revisada por los 84 ayuntamientos en total antes de llegar a una conclusión final sobre su aprobación o rechazo.</t>
  </si>
  <si>
    <t>El gobernador de nuestro estado, Julio Menchaca Salazar, asistió a este evento denominado Congreso Nacional de la Moda y el Vestido 2026. Con la convicción de respaldar a todos los sectores económicos, el gobernador Julio Menchaca Salazar inauguró el Congreso de Moda y Vestido 2026, que por primera vez se lleva a cabo en nuestro estado y que es un bastión de la industria textil. Hidalgo tiene una historia ligada desde la fabricación de hilo hasta la confección de prendas. Asumo el compromiso de acompañar esta importante actividad que desarrollan y se genere en un bienestar compartido. El mandatario estatal reconoció el trabajo del sector empresarial que en sinergia con la administración estatal elevó los índices del estado en la actividad económica. En este evento también estuvo presente José Pablo Maauad, presidente de la Cámara Nacional de la Industria del Vestido, y otros representantes de la Cámara Nacional de la Industria Textil, como Rafael Torres y también Juan Porras Manrilla, tesorero de la Confederación de Cámaras Industriales de los Estados Unidos Mexicanos y, bueno, pues en el evento se destacó el crecimiento del sector textil en nuestro estado. El gobernador de Hidalgo también, pues destacó, como lo escuchan ustedes, la tradición que tiene desde muchos, muchos, hace muchos años nuestro estado en el tema textil, sobre todo en regiones muy identificadas, como usted lo sabe, la zona de Tulancingo, la zona de Cuautepec, son por antonomasia zonas textileras en nuestro estado. Aldo Falcón: también comenta el gobernador Julio Menchaca, Hidalgo es el quinto productor nacional de prendas de vestir. En el Congreso Nacional de Moda y Vestido reconocemos a quienes hacen posible esta actividad que generan empleos e ingresos para las familias hidalguenses.</t>
  </si>
  <si>
    <t>Reunión con Empresarios</t>
  </si>
  <si>
    <t>El gobernador de Hidalgo, Julio Menchaca Salazar, inauguró el Congreso de Moda y Vestido 2026, reafirmando el compromiso estatal de consolidar a la entidad como un bastión de la industria textil y de la confección. Respaldado por la Canaive y la Canaintex, el sector busca alinearse con el Plan México para impulsar la competitividad, la atracción de inversiones y el desarrollo económico. Asimismo, ante retos globales como el contrabando y la informalidad, se destacó que la paz laboral y la estabilidad de Hidalgo posicionan al estado como una de las mejores opciones para el crecimiento de nuevos negocios.</t>
  </si>
  <si>
    <t>Reunión Con Empresarios</t>
  </si>
  <si>
    <t>La Secretaría de Salud lleva a cabo una campaña de vacunación contra el Covid y antiinfluenza estacional. Se recomienda que la gente se acerque a la clínica, hospital o centro de salud más cercano para recibir su vacuna, que es gratuita. Las prioridades son niños menores de 5 años, adultos mayores y personas con enfermedades crónicas. Hay más de 1,500,000 dosis disponibles en todo el estado para proteger a la población, especialmente en la temporada invernal que se aproxima, para enfrentar el Covid y la influenza.</t>
  </si>
  <si>
    <t>Daniel Martínez comenta que están llegando mensajes acompañados de un video que Isa está compartiendo en redes sociales sobre el muy mal estado de la carretera Tulancingo–Santiago Tulantepec. Están pidiendo que se cumpla con la reparación del tramo de aproximadamente un kilómetro y doscientos metros. Aunque entiende que las condiciones climáticas impiden la obra por ahora, la situación es urgente. También menciona que el fin de semana la alcaldesa de Santiago Tulantepec, Yanet Fernández señaló que pusieron algo de material, pero advirtió que esto no es una solución definitiva.</t>
  </si>
  <si>
    <t>Vialidad en mal estado</t>
  </si>
  <si>
    <t>Hidalgo lleva tradición del Xantolo a Berlín, Alemania</t>
  </si>
  <si>
    <t>Xantolo</t>
  </si>
  <si>
    <t>En el marco del desarrollo de la industria del vestido en el estado, locutor Juan Carlos Santamaría destacó la importante colaboración y vinculación con el sector académico e instituciones de educación superior en la entidad, tales como la Universidad de la Sierra Hidalguense y la Universidad Politécnica de Tulancingo. Estos centros educativos impulsan la investigación y la innovación en el diseño de prendas funcionales que propicien el bienestar integral de las personas. Asimismo, se destacó que la infraestructura de la región, aunada a los trabajos de seguridad y recuperación de transporte de mercancías, consolidan a Hidalgo como un punto clave y atractivo para la inversión en el sector textil y de la moda.</t>
  </si>
  <si>
    <t>Vinculación académica</t>
  </si>
  <si>
    <t>Congreso Nacional de Moda y Vestido 2026.</t>
  </si>
  <si>
    <t>Durante su participación matutina, David Cárdenas informó sobre los temas abordados en la conferencia matutina de la presidenta de la República, destacando principalmente la reunión sostenida el día anterior con 31 gobernadores y la jefa de Gobierno de la Ciudad de México. En dicho encuentro, al cual asistió el gobernador de Hidalgo, Julio Menchaca Salazar, se evaluó la continuidad del programa Vivienda del Bienestar y se establecieron facilidades para incentivar las inversiones públicas y privadas.</t>
  </si>
  <si>
    <t>Una pipa de petróleos mexicanos de Pemex volcó la mañana de este jueves sobre la carretera Pachuca-Ciudad Sahagún, de acuerdo con personal de bomberos voluntarios del estado. Dicho percance se presentó a la altura del kilómetro 41, donde esta pipa que transportaba 20,000 litros de diésel volcó. Por dicho hecho, para evitar algún incidente, la carretera fue cerrada en parcialidad para realizar también el traslado del combustible a otra unidad.</t>
  </si>
  <si>
    <t>Accidente De Pipa</t>
  </si>
  <si>
    <t>Andrés Torres: Oye, ¿qué tal este la dirección general de radio y televisión de algo que insiste en quitarnos el programa, en quitarnos nuestras redes sociales, en quitarnos de la programación? Si supiera que el gobernador del estado Hidalgo es suscriptor de Las Voces Radio y todas las mañanas por ahí así de las 5 de la mañana estamos ya en contacto enviándole información, intercambiando pues por supuesto conceptos y claro que junto con otros muchos cientos de seguidores de Las Voces todas las mañanas nos informan, nos dan a conocer cuál es el estado del clima, cuál es el estado de tránsito.</t>
  </si>
  <si>
    <t>Acoso laboral</t>
  </si>
  <si>
    <t>Ayer cerraron la carretera Metztitlán- Eloxochitlán a la altura de la comunidad de El Cerrito, debido a que el agua de la laguna ya inundó esta carretera.</t>
  </si>
  <si>
    <t>Afectaciones Por Lluvias</t>
  </si>
  <si>
    <t>La Subsecretaría de Protección Civil y Gestión de Riesgos informa a la población que, para este 23 de octubre de 2026, de acuerdo con el aviso meteorológico del 589 del pronóstico meteorológico general del Servicio Meteorológico Nacional, se pronostican chubascos de lluvia puntuales a fuertes de 25 a 50 mm, principalmente en las regiones norte y este del estado de Hidalgo. Asimismo, se pronostican temperaturas de 0 a 5 °C con vientos de 10 a 20 km/h con rachas de 30 a 50 km/h.</t>
  </si>
  <si>
    <t>La Dirección General de Inclusión para las Personas con Discapacidad de Tulancingo ha consolidado 16 proyectos productivos durante este año, mediante apoyos municipales y donaciones de empresarios, con el objetivo de impulsar el autoempleo y fortalecer los ingresos de personas con discapacidad y sus cuidadores. La directora del área, Diana Esmeralda Peña Canales, informó que los apoyos se otorgan en especie, hasta por 5 mil pesos a fondo perdido, para iniciar o fortalecer negocios de tejido, masoterapia, venta de dulces, antojitos mexicanos, helados, blancos y talleres de costura, entre otros. La meta para este año es alcanzar 24 proyectos en desarrollo, por lo que la Jefatura de Inclusión Laboral y Proyectos Productivos mantiene abierta la recepción de propuestas. Las personas interesadas también pueden recibir orientación y capacitación para definir una idea de negocio y evaluar su viabilidad. Como parte de esta estrategia, durante el año se han impartido al menos 15 capacitaciones en el Parque Recreativo El Caracol, principalmente sobre elaboración de alimentos, dirigidas a personas con discapacidad y sus cuidadores. La oferta continuará los días 27, 28 y 29 de octubre con un taller gratuito de cartonería de catrinas. Tanto la capacitación como los materiales serán sin costo para los participantes.</t>
  </si>
  <si>
    <t>En Omitlán Protección civil de municipio, retiró un árbol de aproximadamente 30 metros de alto que cayó debido al reblandecimiento de la tierra a causa de las lluvias. No hay personas lesionadas.</t>
  </si>
  <si>
    <t>Atención afectaciones por lluvias</t>
  </si>
  <si>
    <t>Vía telefónica el reporte de Bombero y Protección Civil con Abner Yáñez informa de las diversas emergencias reportadas por la ciudadanía y que fueron atendidas.</t>
  </si>
  <si>
    <t>Auxilio a la ciudadanía</t>
  </si>
  <si>
    <t>Abner Yáñez</t>
  </si>
  <si>
    <t>Participación</t>
  </si>
  <si>
    <t>Diversas organizaciones de autotransporte de carga en México convocaron a un paro nacional para el lunes 26 de octubre a partir de las 08:00 horas, en protesta por la inseguridad en las carreteras, las presuntas extorsiones de autoridades y los cambios en los estímulos fiscales del paquete económico 2027. La protesta es impulsada por agrupaciones como la CANACAR, AMOTAC, FEMATRAC e INDECO, cuyos representantes señalan que el incremento de costos operativos, los robos y los riesgos en las rutas afectan la competitividad del sector, provocando que varias empresas prefieran cerrar. El paro afectará importantes vías de comunicación como las carreteras México-Puebla, México-Querétaro y México-Pachuca.</t>
  </si>
  <si>
    <t>Bloqueo transportistas</t>
  </si>
  <si>
    <t>Irving Sánchez</t>
  </si>
  <si>
    <t>El dirigente estatal de Movimiento Regeneración Nacional en Hidalgo, Marco Antonio Rico Mercado, dio una conferencia de prensa tras cerrar el registro de aspirantes a coordinadores municipales de defensa de la soberanía y la 4T. Expresó que registrarse no significa ser un candidato confirmado. Mencionó que en algunos municipios hay más aspirantes que habitantes, lo que es un tema llamativo. En Pachuca, el alcalde Jorge Reyes Hernández se inscribió para buscar la reelección, permitida por la Constitución. Sin embargo, Rico aclaró que su registro no implica que ya esté designado para esta reelección. Se espera que el proceso continúe con revisiones y encuestas, si se llevan a cabo. Alrededor de finales de enero y mediados de febrero, se conocerán más detalles sobre las candidaturas en Pachuca y en los otros 83 municipios de Hidalgo, donde se analizará la popularidad de los aspirantes.</t>
  </si>
  <si>
    <t>Morena</t>
  </si>
  <si>
    <t>Candidaturas</t>
  </si>
  <si>
    <t>Partidos</t>
  </si>
  <si>
    <t>Locutor Irving Sánchez da lectura a comentario de radioescucha que reporta el estado crítico de la entre Santiago Tulantepec y Tulancingo, abarcando desde el crucero de Genisa hasta después de Medias Tierras. Los reportes señalan que la ruta se encuentra en peores condiciones que un camino rural, con numerosos baches y hoyos incrementados por las recientes lluvias. A pesar de las afectaciones diarias para quienes transitan por la zona, los inconformes denuncian que las autoridades no han hecho nada para solucionar este problema que lleva años deteriorándose.</t>
  </si>
  <si>
    <t>Sipdus</t>
  </si>
  <si>
    <t>Carretera En Mal Estado</t>
  </si>
  <si>
    <t>El Instituto Municipal para la Cultura de Pachuca dio a conocer la cartelera de exposiciones artísticas programadas a partir de este 23 de octubre en la Casa de Cultura, ubicada en la calle de Arista No. 108, colonia Centro. Entre las muestras presentadas se encuentran Colores que construyen (a cargo de alumnos del profesor Armando Chávez), Inquisición y Muerte y El camino a nuestro altar. Asimismo, se anunció para el próximo domingo la realización de la octava edición del evento deportivo y cultural El Umbral, Cultura Pachuca Social Run, el cual consistirá en una caminata recreativa y respetuosa entre tumbas centenarias en el Panteón Municipal de Pachuca, guiada por el cronista Hugo David Pérez Ángeles.</t>
  </si>
  <si>
    <t>Cartelera cultural</t>
  </si>
  <si>
    <t>Daniel Martínez sobre el retraso en la construcción del Centro de Acopio Lechero de Tulancingo comentó: Ahora sí que ahí a la espera, esperemos que la gestión de los recursos no termine siendo como... Le voy a pedir a la Secretaría de Salud que revise el asunto de la calidad de la leche en la región y bolas, don Cuco. Que la Secretaría de Salud le responde. Ya la estamos revisando. ¿Cuál petición? A ver si hay gestión al respecto. ¿O qué se hace con el terreno? ¿O si existe la certeza legal del terreno?</t>
  </si>
  <si>
    <t>Centro de Acopio Lechero</t>
  </si>
  <si>
    <t>Más de seis años han pasado desde el inicio de la construcción del Centro de Acopio Lechero del Valle de Tulancingo, y no existe por lo menos en este momento, indicio alguno de retomar y finalizar su construcción y equipamiento. Durante la comparecencia de Napoleón González Pérez, titular de la Secretaría de Agricultura y Desarrollo Rural de Hidalgo (Saderh) ante el Congreso del Estado de Hidalgo, fue cuestionado sobre el tema por el diputado local por Tulancingo, Arturo Gómez Canales. El funcionario respondió ante los legisladores locales que el proyecto corresponde al Gobierno Federal, asegurando que está considerado retomar la obra, junto con el Centro de Acopio Lechero de Tizayuca, el cual también están detenidos los trabajos de construcción y equipamiento. Señaló que para seguir adelante con ambos proyectos, se requiere de presupuesto por aproximadamente 80 millones de pesos. A finales de julio de 2020 fue iniciada la obra en un predio de mil 676.64 metros cuadrados, ubicado en la localidad de San Nicolás el Chico, en Tulancingo. El proyecto está a cargo del gobierno federal a través de Seguridad Alimentaria Mexicana (Segalmex), por medio de su filial Liconsa. Durante la ceremonia de colocación de la primera piedra, se aseguró que la inversión total sería de aproximadamente 12 millones de pesos. De dicha inversión, seis millones serían para la construcción de las instalaciones y los seis millones restantes, en equipamiento. Durante la ceremonia de inicio de construcción, se informó que el espacio tendría capacidad para recibir hasta 30 mil litros de leche diariamente, garantizando a más de 450 productores en la región recibir un precio de garantía adecuado por el alimento. Para el proyecto, el Municipio de Tulancingo aportó el terreno, el gobierno de Hidalgo se encargó de la construcción del inmueble, y el equipamiento especializado correspondía al entonces organismo federal Segalmex. Pero las instalaciones están abandonadas desde hace por lo menos 4 años, incluso siendo ya saqueadas y vandalizadas; testimonios de vecinos en la zona señalan que incluso personas se quedan a pernoctar en el interior. En visita de trabajo realizada en el Valle de Tulancingo a finales del mes de julio de este año, González Pérez recordó que en la inversión considerada para concretar ambos centros de acopio lechero, se deben considerar varios puntos. “No es nada más tener la instalación, es el laboratorio, los tanques, todo el equipamiento, además de los accesos”. En una visita posterior a la misma región realizada el pasado mes de septiembre, el funcionario estatal insistió que siguen las gestiones para contar con recursos que permitan finalizar la construcción y equipamiento de ambos espacios, en Tizayuca y Tulancingo. Enfatizó que junto con dichas gestiones, se revisan detalles legales; en el caso de Tulancingo, por ejemplo, la propiedad del terreno, para tener la certeza de aplicar los eventuales recursos públicos en forma adecuada.</t>
  </si>
  <si>
    <t>Centro LIBRE contribuye a la preservación de la lengua Hñähñü</t>
  </si>
  <si>
    <t>Centros LIBRE</t>
  </si>
  <si>
    <t>SSPH desarticula punto de narcomenudeo en Tolcayuca y asegura a una mujer reincidente</t>
  </si>
  <si>
    <t>Combate Al Narcomenudeo</t>
  </si>
  <si>
    <t>En un hecho histórico para el Poder Legislativo de Hidalgo, el oficial mayor Edgar Orlando Ángeles Pérez compareció por primera vez ante las y los diputados de la Sexagésima Sexta Legislatura, como parte de la glosa del informe del gobernador Julio Menchaca Salazar. Durante su comparecencia, el funcionario expuso los avances en materia de transparencia y modernización, señalando las condiciones críticas en las que recibieron la administración —con documentación inconsistente, infraestructura obsoleta y bienes sin control—. Informó que de enero a septiembre de este año se han adjudicado 313 contratos por más de 2,558 millones de pesos (el 97% mediante licitación pública nacional), y destacó la aplicación de penalizaciones y rescisiones que evitaron un daño a las finanzas públicas superior a los 74 millones de pesos. Finalmente, resaltó las acciones de diagnóstico y regularización del patrimonio inmobiliario del estado para garantizar el uso responsable de los recursos públicos.</t>
  </si>
  <si>
    <t>Oficialía Mayor rinde cuentas sobre el correcto cumplimiento del gasto público</t>
  </si>
  <si>
    <t>La Procuraduría General de Justicia del Estado de Hidalgo contempla fortalecer su estructura para poder atender de manera específica los casos de extorsión mediante la creación de la fiscalía especializada, que podría comenzar sus funciones en el 2027. Por su parte, Francisco Ángel Fernández Hasbun, quien es encargado del despacho de la Procuraduría, explicó que actualmente este tipo de investigaciones son canalizadas a la Unidad de Atención al Secuestro. Sin embargo, se busca conformar un grupo especializado que pueda permitir ampliar las capacidades de investigación y atención de estos delitos. La nueva área estaría integrada por aproximadamente 50 personas, esto como parte de un proceso. La Procuraduría estará realizando una revisión de los recursos humanos, materiales y operativos también con los que cuenta, además de preparar al personal ministerial que estaría participando en esta fiscalía. El anuncio se realizó durante la comparecencia de Fernández Hasbun ante el Congreso de Hidalgo, esto como parte de la revisión del cuarto informe de gobierno estatal. Durante el encuentro con legisladores, también se dio a conocer un avance en la investigación por el homicidio del estudiante del Mexe y de acuerdo con el encargado de la Procuraduría, las autoridades judiciales concedieron tres órdenes de aprehensión relacionadas con este homicidio calificado de José Antonio Salgado Aparicio, alumno de la Escuela Normal Rural Luis Villarreal. El estudiante fue encontrado, recordemos, sin vida el pasado 7 de septiembre de 2026. La Procuraduría confirmó la obtención de las tres órdenes; aunque no se informó como tal si hasta el momento habían sido ejecutadas ni si se dieron a conocer tampoco algunos detalles sobre las personas señaladas dentro de esta investigación.</t>
  </si>
  <si>
    <t>Las rondas de comparecencias sobre el cuarto informe del gobernador Julio Menchaca Salazar ya concluyeron en la 66 Legislatura del Congreso del Estado. Orlando Ángeles, el oficial mayor del gobierno estatal, fue el último en presentarse ante los diputados locales. Esta es la primera vez en la historia que un oficial mayor comparece en este contexto. Durante su intervención, habló sobre el uso de los recursos públicos y confirmó que el 99% de los contratos en la administración de Menchaca se otorgaron mediante licitaciones públicas. Se discutieron 313 contratos entre enero y septiembre, y el oficial mencionó que se impusieron penalizaciones a 35 contratos y se rescindieron seis por incumplimiento, con un valor total de 68 millones de pesos. Se destaca que esta comparecencia fue una de las más informativas de toda la serie, lo que permitió a los diputados conocer más sobre el desempeño de la oficialía en la administración de Julio Menchaca. También se resaltó que se han recuperado aproximadamente 500 inmuebles que estaban abandonados, lo que ha reducido costos para el gobierno del estado. Además, se mencionó que el porcentaje de licitaciones públicas ha aumentado del 66% al 99%, lo que significa que ya no se realizan a puerta cerrada, como ocurría antes. El oficial mayor explicó que existen diferentes mecanismos para asignar obras, como licitaciones públicas y directas, y que la mayoría de las asignaciones actuales se realizan a través de convocatorias y concursos abiertos.</t>
  </si>
  <si>
    <t>SEPH realiza el concurso de oratoria “Mi palabra es hoy mi voz y mi fortaleza 2026”</t>
  </si>
  <si>
    <t>Concurso De Oratoria</t>
  </si>
  <si>
    <t>Menchaca fortalece cooperación hacendaria con la Unión Europea.</t>
  </si>
  <si>
    <t>Cooperación internacional</t>
  </si>
  <si>
    <t>El gobernador Julio Menchaca Salazar sostuvo una reunión con Stefan Agne, ministro consejero y jefe de cooperación de la Delegación de la Unión Europea en México, y con Raúl Carrillo Ruiz, coordinador de proyectos de la Unión Europea ( EU4Equity), con quienes dialogó sobre nuevas oportunidades de colaboración en beneficio del estado. En el encuentro también participó la secretaria de Hacienda, María Esther Ramírez Vargas, donde analizaron mecanismos de trabajo conjunto e intercambio de experiencias en el mercado del modelo hacendario estatal para la cohesión social, orientado a vincular la modernización de las finanzas públicas con las prioridades para el desarrollo en Hidalgo. Esta reunión forma parte de los esfuerzos que la actual administración de Hidalgo realiza para establecer vínculos estratégicos con organismos internacionales, aprovechar las buenas prácticas y avanzar hacia una gestión más eficiente capaz de traducir el uso responsable de los recursos públicos en resultados positivos para la población. Ayer, el gobernador de nuestro estado recibió ahí en sus oficinas a representantes de la Unión Europea, a este señor que se llama Stefan Agne y a Raúl Carrillo Ruiz, ellos representantes de la Unión Europea. El tema: los dineros, los negocios.</t>
  </si>
  <si>
    <t>El tradicional Tianguis de Día de Muertos regresará a la calle Libertad a partir del martes 27 de octubre, con la participación de alrededor de 140 comerciantes que ofrecerán productos de temporada y contribuirán al fortalecimiento de la economía local. Con cerca de tres décadas de historia, esta vendimia representa una oportunidad para que comerciantes y productores generen ingresos, al tiempo que las familias encuentran artículos propios de estas fechas a precios accesibles. Las actividades comerciales se realizarán los días 27 y 28 de octubre, así como el 30 y 31 del mismo mes y el 1 de noviembre, en un horario de 7:00 a 20:00 horas. Se estima que durante la temporada acudan alrededor de 5 mil personas, con mayor afluencia los días 30 y 31 de octubre, así como el 1 de noviembre, fechas en las que se espera una importante actividad comercial. El secretario de Servicios Municipales, Juan Alberto Santuario Elías, y Samuel Cruz Flores destacaron la relevancia de este espacio para fortalecer la economía de las familias, facilitar el acceso a mercancías a precios accesibles y mantener activa la actividad comercial en el centro de la ciudad. La participación será predominantemente de comerciantes de Tulancingo, mientras que aproximadamente el 10 por ciento provendrá de otros puntos de la región. Para garantizar el desarrollo ordenado de la vendimia, se atenderán los lineamientos sanitarios y de Protección Civil. Además, las áreas de Movilidad y Transporte brindarán apoyo para contribuir a la circulación vehicular en la zona. Por su parte, la Dirección de Mercados y la mesa directiva del tianguis permanecerán atentas a posibles incidentes relacionados con el pesaje de los productos y la atención al público.</t>
  </si>
  <si>
    <t>Día De Muertos</t>
  </si>
  <si>
    <t>Este jueves 22 de octubre se inauguró la primera Expo Mortuoria de Hidalgo (EXPOMORT-H) en el Centro Cultural Ricardo Garibay, en Tulancingo, con el objetivo de reunir a profesionales, empresas y prestadores de servicios del sector funerario. La ceremonia de apertura se realizó alrededor de las 11:30 horas y contó con la presencia del director de Educación, Juan Refugio Santillán; la licenciada Emma San Agustín; representantes de empresas funerarias y organizadores del evento. La exposición, organizada por la Universidad Multidisciplinaria en la Investigación (UMI), integra la cuarta edición de “El Arte de Vivir de la Muerte”, iniciativa que busca generar conciencia sobre la importancia de la previsión funeraria desde una perspectiva cultural, social y profesional. Las actividades se llevan a cabo en el Centro Cultural Ricardo Garibay y están abiertas al público hasta las 17:00 horas de este jueves.</t>
  </si>
  <si>
    <t>Evento Cultural</t>
  </si>
  <si>
    <t>En entrevista en cabina, la ingeniera Minerva Rosales Gayoso, secretaria de Fomento Económico de Tulancingo, y Tiara Zambrano, auxiliar de la Dirección de Turismo, presentaron los pormenores de la 12ª edición de la tradicional Feria del Mole en la localidad de Santana Huilapan. Las funcionarias destacaron que el evento busca preservar la riqueza culinaria y las tradiciones de la comunidad mediante el tradicional concurso de elaboración de mole, el cual este año implementará una dinámica basada en la documentación en video del proceso de preparación en casa para facilitar la participación. Asimismo, la festividad —programada para el 2 de noviembre a partir de las 12:00 horas en el arcotecho de Santana— contará con una convocatoria abierta para la venta de alimentos, exposición de artesanías y la presentación estelar de un espectáculo musical en vivo inspirado en la obra "Coco", con mariachi y ballet folclórico, con el propósito de atraer visitantes y detonar la economía local.</t>
  </si>
  <si>
    <t>Festival Gastronómico</t>
  </si>
  <si>
    <t>En cabina Minerva Rosales Gayosso, titular de la Secretaría municipal de Fomento Económico de Tulancingo y Kiara Zambr ano, del área de Turismo informaron que la Feria Internacional Gastronómica fue un evento con mucho éxito. Por otra parte, informaron que el 2 de noviembre se realizará la Feria del Mole en Santa Ana Hueytlalpan a partir de las 12 del día. Habrá música en vivo, ballet folklórico y otras actividades.</t>
  </si>
  <si>
    <t>UTEC e ICATHI fortalecen la vinculación para la capacitación laboral y desarrollo profesional</t>
  </si>
  <si>
    <t>Firma De Convenio</t>
  </si>
  <si>
    <t>Vía telefónica Roberto Rico tras los cambios en la Modalidad 40 del Instituto Mexicano del Seguro Social (IMSS), Roberto Rico explicó las repercusiones para los trabajadores que aún no forman parte de este esquema y que deseaban incrementar su salario de cotización para recibir una pensión mayor. Las nuevas disposiciones limitan la posibilidad de hacer aportaciones con un salario más alto que el del último empleo formal, lo que afecta a quienes buscaban mejorar su pensión según la Ley del Seguro Social de 1973. Explicó que la regulación de la Modalidad 40 se hizo tras detectar posibles fraudes relacionados con pensiones altas. Señaló que algunas personas lograron obtener pensiones que no les correspondían gracias a esquemas irregulares. Esto llevó al gobierno federal a analizar y modificar las condiciones para acceder a este esquema de cotización, con el fin de asegurar recursos suficientes para el pago de pensiones y evitar abusos. Precisó que estos cambios no afectan a quienes ya reciben una pensión, ya que tienen un derecho adquirido. Sin embargo, advirtió que las restricciones modificarán los planes de aquellos que aún no se han incorporado a la Modalidad 40 y que planificaban aumentar sus aportaciones en los últimos años de trabajo. Probablemente se promuevan amparos contra este cambio.</t>
  </si>
  <si>
    <t>Jubilaciones</t>
  </si>
  <si>
    <t>Una persona falleció en la Autopista Arco Norte, luego de que una pipa volcara y provocara afectaciones al tránsito en dirección a Querétaro, a la altura del municipio de Atitalaquia. De acuerdo con información de Protección Civil y Bomberos, el primer incidente ocurrió en el kilómetro 94+400, en el tramo de bajada de Apaxco hacia el municipio mencionado. En ese sitio, una pipa volcó y presentó fisuras en varios puntos de su estructura, tras impactarse lateralmente del lado izquierdo, lo que ocasionó el derrame del diésel que transportaba sobre la zanja central de la autopista. Debido al congestionamiento vehicular generado por este percance, un camión tipo Torton y una camioneta Nissan que se encontraban detenidos por el tráfico fueron impactados por un tráiler. En este accidente en particular, el copiloto de la camioneta perdió la vida al quedar prensado al interior de la unidad. Personal de Bomberos y Protección Civil acudió al lugar para realizar labores de atención a la emergencia, control y prevención de riesgos, en coordinación con las autoridades correspondientes. Cabe destacar que la zona fue acordonada por elementos de Guardia Nacional, División Carreteras, en tanto se notificó lo sucedido a personal de la Procuraduría General de Justicia del Estado de Hidalgo para las investigaciones correspondientes y el posterior retiro del cuerpo por parte del Servicio Médico Forense.</t>
  </si>
  <si>
    <t>Levantamiento de cuerpo</t>
  </si>
  <si>
    <t>El gobierno municipal de Cuautepec Hinojosa, encabezado por el presidente Jorge Hernández Araus, inauguró la obra de pavimentación en la calle 5 de Mayo, ubicada en la comunidad de Tepantitla. El proyecto requirió una inversión de $3,807,391 pesos y beneficia directamente a 60 personas, además de impactar de forma indirecta a 18,835 habitantes. Los trabajos abarcaron la aplicación de 2,421.18 m² de concreto hidráulico, la construcción de guarniciones y banquetas, la renivelación de seis pozos de visita y la colocación de una placa informativa. Las autoridades destacaron que la obra se logró gracias a la participación ciudadana y al trabajo coordinado con la administración local.</t>
  </si>
  <si>
    <t>Pavimentación</t>
  </si>
  <si>
    <t>Seguimos fuera del aire allá en el 91.1 de frecuencia modulada La Voz de la Sierra Gorda, la mala noticia es que no solamente seguimos fuera del aire, sino que ni el área administrativa ni el área de ingeniería Radio y Televisión de Hidalgo mueve un dedo para tratar de solucionar este tema. Desafortunadamente la Dirección de Radio no cuenta con recursos técnicos ni mucho menos con recursos administrativos y económicos para solucionar el tema de la transmisión. Nosotros ya hicimos lo que nos correspondía, hicimos el llamado a las autoridades correspondientes para que nos ayuden a solucionar este problema. Mientras tanto, bueno, pues yo les pido que sigamos en redes sociales, estas que tanto nos quieren quitar para que podamos estar en comunicación allá en Zimapán, en Jacala, en por supuesto Pisaflores, Chapulhuacán, en la Misión, Pacula.</t>
  </si>
  <si>
    <t>Se ha confirmado que el alcalde de Pachuca, Jorge Reyes buscará la reelección</t>
  </si>
  <si>
    <t>Reelección</t>
  </si>
  <si>
    <t>Por mayoría de votos en contra, la Asamblea Municipal de Acaxochitlán rechazó la reforma para que alcaldesas y alcaldes del Estado de Hidalgo puedan celebrar contratos y convenios sin la revisión y aprobación previa de sus respectivos cuerpos edilicios. Se trata de la reforma a la fracción XV del artículo 141 de la Constitución de Hidalgo, cuyo proyecto fue aprobado por mayoría de integrantes del Congreso estatal, el pasado 6 de octubre. Diputados locales que defendieron la propuesta, señalaron que el objetivo de esta es agilizar la administración municipal, y facilitar el cumplimiento de sus responsabilidades frente a la ciudadanía. Se puntualizó en el momento de la discusión en el Congreso local que los compromisos de deuda que excedan el periodo de gobierno deberán seguir contando con la aprobación de dos terceras partes del ayuntamiento. En la sesión del Ayuntamiento de Acaxochitlán realizada el pasado miércoles 21 de octubre, cinco asambleístas votaron a favor de la reforma aprobada por el Congreso del Estado de Hidalgo, y ocho en contra. Además de Acaxochitlán, los municipios de Alfajayucan, San Salvador, Tezontepec de Aldama, Atitalaquia y Huasca de Ocampo también han votado en contra de la reforma al artículo 141 de la Constitución estatal. En el caso de Tula de Allende, el caso será revisado por el Congreso estatal, pues se registraron nueve votos a favor de la modificación a la Constitución estatal de Hidalgo, ocho en contra y dos abstenciones. Regidores de dicho municipio señalaron que la aprobación requería al menos 10 votos a favor. Hasta el momento, las Asambleas Municipales de Pachuca, Mineral de la Reforma, Zempoala, Juárez Hidalgo y Yahualica han votado a favor de la modificación constitucional. Para que esta pueda ser publicada en el Periódico Oficial del Estado de Hidalgo y entre en vigor, se requiere el aval de la mitad más uno del total de las Asambleas Municipales; es decir, de por lo menos 43 de los 84 municipios de la entidad. Asambleístas de por lo menos 60 municipios de la entidad se han mostrado en contra de la reforma al artículo 141 de la Constitución de Hidalgo, señalando que resta facultades a los cuerpos edilicios respecto a la revisión de los contratos y convenios que pretendan establecer los respectivos gobiernos municipales.</t>
  </si>
  <si>
    <t>Convoca Julio Menchaca a sector empresarial a generar prosperidad compartida en todo el país.</t>
  </si>
  <si>
    <t>El gobernador Julio Menchaca Salazar comenta: participé en la Asamblea Nacional de Concanaco Servytur, donde tuve la oportunidad de conversar con el sector empresarial sobre Hidalgo, es una potencia en marcha y su ubicación estratégica, su crecimiento industrial, disposición de colaboración, atraer nuevas inversiones y oportunidades para la familia. La oportunidad de conversar. Ayer el gobernador estuvo en este evento de la Cámara de Canaco Servytur, la Cámara Nacional de Comercio, Servicios, y bueno, los temas empresariales son fundamentales.</t>
  </si>
  <si>
    <t>Entrevista en cabina la Licenciada Maricela Marín Jonguitud, titular de la Notaría número 1: Habló sobre la importancia de la cultura del testamento y la resolución de mitos comunes en torno a este trámite, explicó que al realizar un testamento se emite obligatoriamente un aviso en el Registro Nacional de Avisos de Testamento a través del Archivo General de Notarías, lo que otorga validez jurídica en todo el país. Asimismo, recomendó revisar el documento ante cambios significativos en la vida personal (como la adquisición de bienes, divorcios o el nacimiento de hijos) y desmintió la idea de que confiar en la buena relación familiar exima de la necesidad de un testamento, recordando que la intervención de terceros o la falta de claridad frecuentemente generan conflictos. Aunque octubre es considerado el mes del testamento, la notaria aclaró que la asesoría previa es gratuita y puede realizarse en cualquier época del año para planificar adecuadamente o elegir otras figuras jurídicas según la voluntad del testador. Las oficinas de la notaría se encuentran ubicadas en el Pasaje Cuautepec, local número 3, en el centro (a espaldas de Banamex).</t>
  </si>
  <si>
    <t>La Secretaría de Salud inició ya la campaña de vacunación invernal en todas las clínicas, hospitales, centros de salud de nuestro estado, en las clínicas, hospitales, centros de salud públicos. Hay vacunas para la influenza estacional y también para el COVID. Acuda junto con su familia, acuda, por favor, a estos centros para que sean vacunados, principalmente los niños menores de 5 años, también los adultos mayores, las personas que tengan enfermedades crónico-degenerativas. Es muy importante que estén bien inmunizados en esta temporada invernal que ya se acerca y que se adelanta, como todos los años.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</si>
</sst>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85" tableType="queryTable" totalsRowShown="0">
  <autoFilter ref="A1:M85"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85"/>
  <sheetViews>
    <sheetView tabSelected="1" topLeftCell="C50" workbookViewId="0">
      <selection activeCell="M85" sqref="M85"/>
    </sheetView>
  </sheetViews>
  <sheetFormatPr baseColWidth="10" defaultRowHeight="15" x14ac:dyDescent="0.25"/>
  <cols>
    <col min="1" max="1" width="8.5703125" bestFit="1" customWidth="1"/>
    <col min="2" max="2" width="11.42578125" bestFit="1" customWidth="1"/>
    <col min="3" max="3" width="18" bestFit="1" customWidth="1"/>
    <col min="4" max="4" width="15.140625" bestFit="1" customWidth="1"/>
    <col min="5" max="5" width="81.140625" bestFit="1" customWidth="1"/>
    <col min="6" max="6" width="15.28515625" bestFit="1" customWidth="1"/>
    <col min="7" max="7" width="35.710937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11</v>
      </c>
      <c r="C1" t="s">
        <v>12</v>
      </c>
      <c r="D1" t="s">
        <v>13</v>
      </c>
      <c r="E1" t="s">
        <v>1</v>
      </c>
      <c r="F1" t="s">
        <v>2</v>
      </c>
      <c r="G1" t="s">
        <v>4</v>
      </c>
      <c r="H1" t="s">
        <v>3</v>
      </c>
      <c r="I1" t="s">
        <v>5</v>
      </c>
      <c r="J1" t="s">
        <v>14</v>
      </c>
      <c r="K1" t="s">
        <v>15</v>
      </c>
      <c r="L1" t="s">
        <v>16</v>
      </c>
      <c r="M1" t="s">
        <v>21</v>
      </c>
    </row>
    <row r="2" spans="1:13" x14ac:dyDescent="0.25">
      <c r="A2" s="2">
        <v>46317</v>
      </c>
      <c r="B2" s="1" t="str">
        <f ca="1">IF(Información1[[#This Row],[Fecha]]='Ajuste de fechas'!$A$2,"Día actual","Día anterior")</f>
        <v>Día anterior</v>
      </c>
      <c r="C2" t="s">
        <v>43</v>
      </c>
      <c r="D2" t="s">
        <v>44</v>
      </c>
      <c r="E2" t="s">
        <v>76</v>
      </c>
      <c r="F2" t="s">
        <v>54</v>
      </c>
      <c r="G2" t="s">
        <v>77</v>
      </c>
      <c r="H2" t="s">
        <v>27</v>
      </c>
      <c r="I2" t="s">
        <v>7</v>
      </c>
      <c r="J2" t="s">
        <v>55</v>
      </c>
      <c r="K2" t="s">
        <v>45</v>
      </c>
      <c r="L2" t="s">
        <v>18</v>
      </c>
      <c r="M2">
        <v>1</v>
      </c>
    </row>
    <row r="3" spans="1:13" x14ac:dyDescent="0.25">
      <c r="A3" s="2">
        <v>46317</v>
      </c>
      <c r="B3" s="1" t="str">
        <f ca="1">IF(Información1[[#This Row],[Fecha]]='Ajuste de fechas'!$A$2,"Día actual","Día anterior")</f>
        <v>Día anterior</v>
      </c>
      <c r="C3" t="s">
        <v>38</v>
      </c>
      <c r="D3" t="s">
        <v>39</v>
      </c>
      <c r="E3" t="s">
        <v>78</v>
      </c>
      <c r="F3" t="s">
        <v>25</v>
      </c>
      <c r="G3" t="s">
        <v>60</v>
      </c>
      <c r="H3" t="s">
        <v>40</v>
      </c>
      <c r="I3" t="s">
        <v>6</v>
      </c>
      <c r="J3" t="s">
        <v>17</v>
      </c>
      <c r="K3" t="s">
        <v>42</v>
      </c>
      <c r="L3" t="s">
        <v>18</v>
      </c>
      <c r="M3">
        <v>1</v>
      </c>
    </row>
    <row r="4" spans="1:13" x14ac:dyDescent="0.25">
      <c r="A4" s="2">
        <v>46317</v>
      </c>
      <c r="B4" s="1" t="str">
        <f ca="1">IF(Información1[[#This Row],[Fecha]]='Ajuste de fechas'!$A$2,"Día actual","Día anterior")</f>
        <v>Día anterior</v>
      </c>
      <c r="C4" t="s">
        <v>28</v>
      </c>
      <c r="D4" t="s">
        <v>29</v>
      </c>
      <c r="E4" t="s">
        <v>79</v>
      </c>
      <c r="F4" t="s">
        <v>25</v>
      </c>
      <c r="G4" t="s">
        <v>60</v>
      </c>
      <c r="H4" t="s">
        <v>27</v>
      </c>
      <c r="I4" t="s">
        <v>6</v>
      </c>
      <c r="J4" t="s">
        <v>17</v>
      </c>
      <c r="K4" t="s">
        <v>31</v>
      </c>
      <c r="L4" t="s">
        <v>18</v>
      </c>
      <c r="M4">
        <v>1</v>
      </c>
    </row>
    <row r="5" spans="1:13" x14ac:dyDescent="0.25">
      <c r="A5" s="2">
        <v>46317</v>
      </c>
      <c r="B5" s="1" t="str">
        <f ca="1">IF(Información1[[#This Row],[Fecha]]='Ajuste de fechas'!$A$2,"Día actual","Día anterior")</f>
        <v>Día anterior</v>
      </c>
      <c r="C5" t="s">
        <v>43</v>
      </c>
      <c r="D5" t="s">
        <v>44</v>
      </c>
      <c r="E5" t="s">
        <v>80</v>
      </c>
      <c r="F5" t="s">
        <v>54</v>
      </c>
      <c r="G5" t="s">
        <v>81</v>
      </c>
      <c r="H5" t="s">
        <v>27</v>
      </c>
      <c r="I5" t="s">
        <v>6</v>
      </c>
      <c r="J5" t="s">
        <v>55</v>
      </c>
      <c r="K5" t="s">
        <v>45</v>
      </c>
      <c r="L5" t="s">
        <v>24</v>
      </c>
      <c r="M5">
        <v>1</v>
      </c>
    </row>
    <row r="6" spans="1:13" x14ac:dyDescent="0.25">
      <c r="A6" s="2">
        <v>46317</v>
      </c>
      <c r="B6" s="1" t="str">
        <f ca="1">IF(Información1[[#This Row],[Fecha]]='Ajuste de fechas'!$A$2,"Día actual","Día anterior")</f>
        <v>Día anterior</v>
      </c>
      <c r="C6" t="s">
        <v>43</v>
      </c>
      <c r="D6" t="s">
        <v>44</v>
      </c>
      <c r="E6" t="s">
        <v>82</v>
      </c>
      <c r="F6" t="s">
        <v>49</v>
      </c>
      <c r="G6" t="s">
        <v>65</v>
      </c>
      <c r="H6" t="s">
        <v>27</v>
      </c>
      <c r="I6" t="s">
        <v>6</v>
      </c>
      <c r="J6" t="s">
        <v>17</v>
      </c>
      <c r="K6" t="s">
        <v>52</v>
      </c>
      <c r="L6" t="s">
        <v>20</v>
      </c>
      <c r="M6">
        <v>1</v>
      </c>
    </row>
    <row r="7" spans="1:13" x14ac:dyDescent="0.25">
      <c r="A7" s="2">
        <v>46317</v>
      </c>
      <c r="B7" s="1" t="str">
        <f ca="1">IF(Información1[[#This Row],[Fecha]]='Ajuste de fechas'!$A$2,"Día actual","Día anterior")</f>
        <v>Día anterior</v>
      </c>
      <c r="C7" t="s">
        <v>43</v>
      </c>
      <c r="D7" t="s">
        <v>44</v>
      </c>
      <c r="E7" t="s">
        <v>83</v>
      </c>
      <c r="F7" t="s">
        <v>8</v>
      </c>
      <c r="G7" t="s">
        <v>67</v>
      </c>
      <c r="H7" t="s">
        <v>27</v>
      </c>
      <c r="I7" t="s">
        <v>10</v>
      </c>
      <c r="J7" t="s">
        <v>17</v>
      </c>
      <c r="K7" t="s">
        <v>34</v>
      </c>
      <c r="L7" t="s">
        <v>19</v>
      </c>
      <c r="M7">
        <v>1</v>
      </c>
    </row>
    <row r="8" spans="1:13" x14ac:dyDescent="0.25">
      <c r="A8" s="2">
        <v>46317</v>
      </c>
      <c r="B8" s="1" t="str">
        <f ca="1">IF(Información1[[#This Row],[Fecha]]='Ajuste de fechas'!$A$2,"Día actual","Día anterior")</f>
        <v>Día anterior</v>
      </c>
      <c r="C8" t="s">
        <v>43</v>
      </c>
      <c r="D8" t="s">
        <v>44</v>
      </c>
      <c r="E8" t="s">
        <v>84</v>
      </c>
      <c r="F8" t="s">
        <v>8</v>
      </c>
      <c r="G8" t="s">
        <v>67</v>
      </c>
      <c r="H8" t="s">
        <v>27</v>
      </c>
      <c r="I8" t="s">
        <v>6</v>
      </c>
      <c r="J8" t="s">
        <v>17</v>
      </c>
      <c r="K8" t="s">
        <v>34</v>
      </c>
      <c r="L8" t="s">
        <v>19</v>
      </c>
      <c r="M8">
        <v>1</v>
      </c>
    </row>
    <row r="9" spans="1:13" x14ac:dyDescent="0.25">
      <c r="A9" s="2">
        <v>46317</v>
      </c>
      <c r="B9" s="1" t="str">
        <f ca="1">IF(Información1[[#This Row],[Fecha]]='Ajuste de fechas'!$A$2,"Día actual","Día anterior")</f>
        <v>Día anterior</v>
      </c>
      <c r="C9" t="s">
        <v>43</v>
      </c>
      <c r="D9" t="s">
        <v>44</v>
      </c>
      <c r="E9" t="s">
        <v>85</v>
      </c>
      <c r="F9" t="s">
        <v>8</v>
      </c>
      <c r="G9" t="s">
        <v>67</v>
      </c>
      <c r="H9" t="s">
        <v>27</v>
      </c>
      <c r="I9" t="s">
        <v>10</v>
      </c>
      <c r="J9" t="s">
        <v>17</v>
      </c>
      <c r="K9" t="s">
        <v>45</v>
      </c>
      <c r="L9" t="s">
        <v>19</v>
      </c>
      <c r="M9">
        <v>1</v>
      </c>
    </row>
    <row r="10" spans="1:13" x14ac:dyDescent="0.25">
      <c r="A10" s="2">
        <v>46317</v>
      </c>
      <c r="B10" s="1" t="str">
        <f ca="1">IF(Información1[[#This Row],[Fecha]]='Ajuste de fechas'!$A$2,"Día actual","Día anterior")</f>
        <v>Día anterior</v>
      </c>
      <c r="C10" t="s">
        <v>43</v>
      </c>
      <c r="D10" t="s">
        <v>44</v>
      </c>
      <c r="E10" t="s">
        <v>86</v>
      </c>
      <c r="F10" t="s">
        <v>8</v>
      </c>
      <c r="G10" t="s">
        <v>67</v>
      </c>
      <c r="H10" t="s">
        <v>27</v>
      </c>
      <c r="I10" t="s">
        <v>10</v>
      </c>
      <c r="J10" t="s">
        <v>17</v>
      </c>
      <c r="K10" t="s">
        <v>34</v>
      </c>
      <c r="L10" t="s">
        <v>19</v>
      </c>
      <c r="M10">
        <v>1</v>
      </c>
    </row>
    <row r="11" spans="1:13" x14ac:dyDescent="0.25">
      <c r="A11" s="2">
        <v>46317</v>
      </c>
      <c r="B11" s="1" t="str">
        <f ca="1">IF(Información1[[#This Row],[Fecha]]='Ajuste de fechas'!$A$2,"Día actual","Día anterior")</f>
        <v>Día anterior</v>
      </c>
      <c r="C11" t="s">
        <v>43</v>
      </c>
      <c r="D11" t="s">
        <v>44</v>
      </c>
      <c r="E11" t="s">
        <v>87</v>
      </c>
      <c r="F11" t="s">
        <v>8</v>
      </c>
      <c r="G11" t="s">
        <v>67</v>
      </c>
      <c r="H11" t="s">
        <v>27</v>
      </c>
      <c r="I11" t="s">
        <v>6</v>
      </c>
      <c r="J11" t="s">
        <v>17</v>
      </c>
      <c r="K11" t="s">
        <v>53</v>
      </c>
      <c r="L11" t="s">
        <v>18</v>
      </c>
      <c r="M11">
        <v>1</v>
      </c>
    </row>
    <row r="12" spans="1:13" x14ac:dyDescent="0.25">
      <c r="A12" s="2">
        <v>46317</v>
      </c>
      <c r="B12" s="1" t="str">
        <f ca="1">IF(Información1[[#This Row],[Fecha]]='Ajuste de fechas'!$A$2,"Día actual","Día anterior")</f>
        <v>Día anterior</v>
      </c>
      <c r="C12" t="s">
        <v>43</v>
      </c>
      <c r="D12" t="s">
        <v>44</v>
      </c>
      <c r="E12" t="s">
        <v>88</v>
      </c>
      <c r="F12" t="s">
        <v>8</v>
      </c>
      <c r="G12" t="s">
        <v>67</v>
      </c>
      <c r="H12" t="s">
        <v>27</v>
      </c>
      <c r="I12" t="s">
        <v>6</v>
      </c>
      <c r="J12" t="s">
        <v>17</v>
      </c>
      <c r="K12" t="s">
        <v>52</v>
      </c>
      <c r="L12" t="s">
        <v>18</v>
      </c>
      <c r="M12">
        <v>1</v>
      </c>
    </row>
    <row r="13" spans="1:13" x14ac:dyDescent="0.25">
      <c r="A13" s="2">
        <v>46317</v>
      </c>
      <c r="B13" s="1" t="str">
        <f ca="1">IF(Información1[[#This Row],[Fecha]]='Ajuste de fechas'!$A$2,"Día actual","Día anterior")</f>
        <v>Día anterior</v>
      </c>
      <c r="C13" t="s">
        <v>43</v>
      </c>
      <c r="D13" t="s">
        <v>44</v>
      </c>
      <c r="E13" t="s">
        <v>89</v>
      </c>
      <c r="F13" t="s">
        <v>57</v>
      </c>
      <c r="G13" t="s">
        <v>90</v>
      </c>
      <c r="H13" t="s">
        <v>27</v>
      </c>
      <c r="I13" t="s">
        <v>6</v>
      </c>
      <c r="J13" t="s">
        <v>58</v>
      </c>
      <c r="K13" t="s">
        <v>52</v>
      </c>
      <c r="L13" t="s">
        <v>18</v>
      </c>
      <c r="M13">
        <v>1</v>
      </c>
    </row>
    <row r="14" spans="1:13" x14ac:dyDescent="0.25">
      <c r="A14" s="2">
        <v>46317</v>
      </c>
      <c r="B14" s="1" t="str">
        <f ca="1">IF(Información1[[#This Row],[Fecha]]='Ajuste de fechas'!$A$2,"Día actual","Día anterior")</f>
        <v>Día anterior</v>
      </c>
      <c r="C14" t="s">
        <v>38</v>
      </c>
      <c r="D14" t="s">
        <v>39</v>
      </c>
      <c r="E14" t="s">
        <v>91</v>
      </c>
      <c r="F14" t="s">
        <v>68</v>
      </c>
      <c r="G14" t="s">
        <v>69</v>
      </c>
      <c r="H14" t="s">
        <v>40</v>
      </c>
      <c r="I14" t="s">
        <v>6</v>
      </c>
      <c r="J14" t="s">
        <v>56</v>
      </c>
      <c r="K14" t="s">
        <v>42</v>
      </c>
      <c r="L14" t="s">
        <v>19</v>
      </c>
      <c r="M14">
        <v>1</v>
      </c>
    </row>
    <row r="15" spans="1:13" x14ac:dyDescent="0.25">
      <c r="A15" s="2">
        <v>46317</v>
      </c>
      <c r="B15" s="1" t="str">
        <f ca="1">IF(Información1[[#This Row],[Fecha]]='Ajuste de fechas'!$A$2,"Día actual","Día anterior")</f>
        <v>Día anterior</v>
      </c>
      <c r="C15" t="s">
        <v>43</v>
      </c>
      <c r="D15" t="s">
        <v>44</v>
      </c>
      <c r="E15" t="s">
        <v>92</v>
      </c>
      <c r="F15" t="s">
        <v>8</v>
      </c>
      <c r="G15" t="s">
        <v>48</v>
      </c>
      <c r="H15" t="s">
        <v>27</v>
      </c>
      <c r="I15" t="s">
        <v>6</v>
      </c>
      <c r="J15" t="s">
        <v>17</v>
      </c>
      <c r="K15" t="s">
        <v>45</v>
      </c>
      <c r="L15" t="s">
        <v>18</v>
      </c>
      <c r="M15">
        <v>1</v>
      </c>
    </row>
    <row r="16" spans="1:13" x14ac:dyDescent="0.25">
      <c r="A16" s="2">
        <v>46317</v>
      </c>
      <c r="B16" s="1" t="str">
        <f ca="1">IF(Información1[[#This Row],[Fecha]]='Ajuste de fechas'!$A$2,"Día actual","Día anterior")</f>
        <v>Día anterior</v>
      </c>
      <c r="C16" t="s">
        <v>38</v>
      </c>
      <c r="D16" t="s">
        <v>39</v>
      </c>
      <c r="E16" t="s">
        <v>93</v>
      </c>
      <c r="F16" t="s">
        <v>94</v>
      </c>
      <c r="G16" t="s">
        <v>48</v>
      </c>
      <c r="H16" t="s">
        <v>40</v>
      </c>
      <c r="I16" t="s">
        <v>7</v>
      </c>
      <c r="J16" t="s">
        <v>17</v>
      </c>
      <c r="K16" t="s">
        <v>42</v>
      </c>
      <c r="L16" t="s">
        <v>18</v>
      </c>
      <c r="M16">
        <v>1</v>
      </c>
    </row>
    <row r="17" spans="1:13" x14ac:dyDescent="0.25">
      <c r="A17" s="2">
        <v>46317</v>
      </c>
      <c r="B17" s="1" t="str">
        <f ca="1">IF(Información1[[#This Row],[Fecha]]='Ajuste de fechas'!$A$2,"Día actual","Día anterior")</f>
        <v>Día anterior</v>
      </c>
      <c r="C17" t="s">
        <v>62</v>
      </c>
      <c r="D17" t="s">
        <v>63</v>
      </c>
      <c r="E17" t="s">
        <v>73</v>
      </c>
      <c r="F17" t="s">
        <v>9</v>
      </c>
      <c r="G17" t="s">
        <v>48</v>
      </c>
      <c r="H17" t="s">
        <v>27</v>
      </c>
      <c r="I17" t="s">
        <v>6</v>
      </c>
      <c r="J17" t="s">
        <v>17</v>
      </c>
      <c r="K17" t="s">
        <v>64</v>
      </c>
      <c r="L17" t="s">
        <v>20</v>
      </c>
      <c r="M17">
        <v>1</v>
      </c>
    </row>
    <row r="18" spans="1:13" x14ac:dyDescent="0.25">
      <c r="A18" s="2">
        <v>46317</v>
      </c>
      <c r="B18" s="1" t="str">
        <f ca="1">IF(Información1[[#This Row],[Fecha]]='Ajuste de fechas'!$A$2,"Día actual","Día anterior")</f>
        <v>Día anterior</v>
      </c>
      <c r="C18" t="s">
        <v>35</v>
      </c>
      <c r="D18" t="s">
        <v>36</v>
      </c>
      <c r="E18" t="s">
        <v>95</v>
      </c>
      <c r="F18" t="s">
        <v>8</v>
      </c>
      <c r="G18" t="s">
        <v>48</v>
      </c>
      <c r="H18" t="s">
        <v>27</v>
      </c>
      <c r="I18" t="s">
        <v>6</v>
      </c>
      <c r="J18" t="s">
        <v>17</v>
      </c>
      <c r="K18" t="s">
        <v>37</v>
      </c>
      <c r="L18" t="s">
        <v>18</v>
      </c>
      <c r="M18">
        <v>1</v>
      </c>
    </row>
    <row r="19" spans="1:13" x14ac:dyDescent="0.25">
      <c r="A19" s="2">
        <v>46317</v>
      </c>
      <c r="B19" s="1" t="str">
        <f ca="1">IF(Información1[[#This Row],[Fecha]]='Ajuste de fechas'!$A$2,"Día actual","Día anterior")</f>
        <v>Día anterior</v>
      </c>
      <c r="C19" t="s">
        <v>35</v>
      </c>
      <c r="D19" t="s">
        <v>36</v>
      </c>
      <c r="E19" t="s">
        <v>96</v>
      </c>
      <c r="F19" t="s">
        <v>97</v>
      </c>
      <c r="G19" t="s">
        <v>48</v>
      </c>
      <c r="H19" t="s">
        <v>27</v>
      </c>
      <c r="I19" t="s">
        <v>6</v>
      </c>
      <c r="J19" t="s">
        <v>17</v>
      </c>
      <c r="K19" t="s">
        <v>37</v>
      </c>
      <c r="L19" t="s">
        <v>18</v>
      </c>
      <c r="M19">
        <v>1</v>
      </c>
    </row>
    <row r="20" spans="1:13" x14ac:dyDescent="0.25">
      <c r="A20" s="2">
        <v>46317</v>
      </c>
      <c r="B20" s="1" t="str">
        <f ca="1">IF(Información1[[#This Row],[Fecha]]='Ajuste de fechas'!$A$2,"Día actual","Día anterior")</f>
        <v>Día anterior</v>
      </c>
      <c r="C20" t="s">
        <v>28</v>
      </c>
      <c r="D20" t="s">
        <v>29</v>
      </c>
      <c r="E20" t="s">
        <v>98</v>
      </c>
      <c r="F20" t="s">
        <v>97</v>
      </c>
      <c r="G20" t="s">
        <v>48</v>
      </c>
      <c r="H20" t="s">
        <v>27</v>
      </c>
      <c r="I20" t="s">
        <v>6</v>
      </c>
      <c r="J20" t="s">
        <v>17</v>
      </c>
      <c r="K20" t="s">
        <v>31</v>
      </c>
      <c r="L20" t="s">
        <v>20</v>
      </c>
      <c r="M20">
        <v>1</v>
      </c>
    </row>
    <row r="21" spans="1:13" x14ac:dyDescent="0.25">
      <c r="A21" s="2">
        <v>46317</v>
      </c>
      <c r="B21" s="1" t="str">
        <f ca="1">IF(Información1[[#This Row],[Fecha]]='Ajuste de fechas'!$A$2,"Día actual","Día anterior")</f>
        <v>Día anterior</v>
      </c>
      <c r="C21" t="s">
        <v>28</v>
      </c>
      <c r="D21" t="s">
        <v>29</v>
      </c>
      <c r="E21" t="s">
        <v>99</v>
      </c>
      <c r="F21" t="s">
        <v>8</v>
      </c>
      <c r="G21" t="s">
        <v>48</v>
      </c>
      <c r="H21" t="s">
        <v>27</v>
      </c>
      <c r="I21" t="s">
        <v>6</v>
      </c>
      <c r="J21" t="s">
        <v>17</v>
      </c>
      <c r="K21" t="s">
        <v>31</v>
      </c>
      <c r="L21" t="s">
        <v>20</v>
      </c>
      <c r="M21">
        <v>1</v>
      </c>
    </row>
    <row r="22" spans="1:13" x14ac:dyDescent="0.25">
      <c r="A22" s="2">
        <v>46317</v>
      </c>
      <c r="B22" s="1" t="str">
        <f ca="1">IF(Información1[[#This Row],[Fecha]]='Ajuste de fechas'!$A$2,"Día actual","Día anterior")</f>
        <v>Día anterior</v>
      </c>
      <c r="C22" t="s">
        <v>28</v>
      </c>
      <c r="D22" t="s">
        <v>29</v>
      </c>
      <c r="E22" t="s">
        <v>100</v>
      </c>
      <c r="F22" t="s">
        <v>54</v>
      </c>
      <c r="G22" t="s">
        <v>101</v>
      </c>
      <c r="H22" t="s">
        <v>27</v>
      </c>
      <c r="I22" t="s">
        <v>6</v>
      </c>
      <c r="J22" t="s">
        <v>55</v>
      </c>
      <c r="K22" t="s">
        <v>30</v>
      </c>
      <c r="L22" t="s">
        <v>24</v>
      </c>
      <c r="M22">
        <v>1</v>
      </c>
    </row>
    <row r="23" spans="1:13" x14ac:dyDescent="0.25">
      <c r="A23" s="2">
        <v>46317</v>
      </c>
      <c r="B23" s="1" t="str">
        <f ca="1">IF(Información1[[#This Row],[Fecha]]='Ajuste de fechas'!$A$2,"Día actual","Día anterior")</f>
        <v>Día anterior</v>
      </c>
      <c r="C23" t="s">
        <v>43</v>
      </c>
      <c r="D23" t="s">
        <v>44</v>
      </c>
      <c r="E23" t="s">
        <v>102</v>
      </c>
      <c r="F23" t="s">
        <v>57</v>
      </c>
      <c r="G23" t="s">
        <v>103</v>
      </c>
      <c r="H23" t="s">
        <v>27</v>
      </c>
      <c r="I23" t="s">
        <v>10</v>
      </c>
      <c r="J23" t="s">
        <v>58</v>
      </c>
      <c r="K23" t="s">
        <v>45</v>
      </c>
      <c r="L23" t="s">
        <v>18</v>
      </c>
      <c r="M23">
        <v>1</v>
      </c>
    </row>
    <row r="24" spans="1:13" x14ac:dyDescent="0.25">
      <c r="A24" s="2">
        <v>46317</v>
      </c>
      <c r="B24" s="1" t="str">
        <f ca="1">IF(Información1[[#This Row],[Fecha]]='Ajuste de fechas'!$A$2,"Día actual","Día anterior")</f>
        <v>Día anterior</v>
      </c>
      <c r="C24" t="s">
        <v>43</v>
      </c>
      <c r="D24" t="s">
        <v>44</v>
      </c>
      <c r="E24" t="s">
        <v>104</v>
      </c>
      <c r="F24" t="s">
        <v>54</v>
      </c>
      <c r="G24" t="s">
        <v>105</v>
      </c>
      <c r="H24" t="s">
        <v>27</v>
      </c>
      <c r="I24" t="s">
        <v>10</v>
      </c>
      <c r="J24" t="s">
        <v>55</v>
      </c>
      <c r="K24" t="s">
        <v>52</v>
      </c>
      <c r="L24" t="s">
        <v>18</v>
      </c>
      <c r="M24">
        <v>1</v>
      </c>
    </row>
    <row r="25" spans="1:13" x14ac:dyDescent="0.25">
      <c r="A25" s="2">
        <v>46317</v>
      </c>
      <c r="B25" s="1" t="str">
        <f ca="1">IF(Información1[[#This Row],[Fecha]]='Ajuste de fechas'!$A$2,"Día actual","Día anterior")</f>
        <v>Día anterior</v>
      </c>
      <c r="C25" t="s">
        <v>28</v>
      </c>
      <c r="D25" t="s">
        <v>29</v>
      </c>
      <c r="E25" t="s">
        <v>106</v>
      </c>
      <c r="F25" t="s">
        <v>50</v>
      </c>
      <c r="G25" t="s">
        <v>107</v>
      </c>
      <c r="H25" t="s">
        <v>27</v>
      </c>
      <c r="I25" t="s">
        <v>7</v>
      </c>
      <c r="J25" t="s">
        <v>17</v>
      </c>
      <c r="K25" t="s">
        <v>31</v>
      </c>
      <c r="L25" t="s">
        <v>18</v>
      </c>
      <c r="M25">
        <v>1</v>
      </c>
    </row>
    <row r="26" spans="1:13" x14ac:dyDescent="0.25">
      <c r="A26" s="2">
        <v>46317</v>
      </c>
      <c r="B26" s="1" t="str">
        <f ca="1">IF(Información1[[#This Row],[Fecha]]='Ajuste de fechas'!$A$2,"Día actual","Día anterior")</f>
        <v>Día anterior</v>
      </c>
      <c r="C26" t="s">
        <v>28</v>
      </c>
      <c r="D26" t="s">
        <v>33</v>
      </c>
      <c r="E26" t="s">
        <v>108</v>
      </c>
      <c r="F26" t="s">
        <v>109</v>
      </c>
      <c r="G26" t="s">
        <v>110</v>
      </c>
      <c r="H26" t="s">
        <v>27</v>
      </c>
      <c r="I26" t="s">
        <v>6</v>
      </c>
      <c r="J26" t="s">
        <v>56</v>
      </c>
      <c r="K26" t="s">
        <v>30</v>
      </c>
      <c r="L26" t="s">
        <v>24</v>
      </c>
      <c r="M26">
        <v>1</v>
      </c>
    </row>
    <row r="27" spans="1:13" x14ac:dyDescent="0.25">
      <c r="A27" s="2">
        <v>46317</v>
      </c>
      <c r="B27" s="1" t="str">
        <f ca="1">IF(Información1[[#This Row],[Fecha]]='Ajuste de fechas'!$A$2,"Día actual","Día anterior")</f>
        <v>Día anterior</v>
      </c>
      <c r="C27" t="s">
        <v>43</v>
      </c>
      <c r="D27" t="s">
        <v>44</v>
      </c>
      <c r="E27" t="s">
        <v>111</v>
      </c>
      <c r="F27" t="s">
        <v>54</v>
      </c>
      <c r="G27" t="s">
        <v>112</v>
      </c>
      <c r="H27" t="s">
        <v>27</v>
      </c>
      <c r="I27" t="s">
        <v>6</v>
      </c>
      <c r="J27" t="s">
        <v>55</v>
      </c>
      <c r="K27" t="s">
        <v>45</v>
      </c>
      <c r="L27" t="s">
        <v>18</v>
      </c>
      <c r="M27">
        <v>1</v>
      </c>
    </row>
    <row r="28" spans="1:13" x14ac:dyDescent="0.25">
      <c r="A28" s="2">
        <v>46317</v>
      </c>
      <c r="B28" s="1" t="str">
        <f ca="1">IF(Información1[[#This Row],[Fecha]]='Ajuste de fechas'!$A$2,"Día actual","Día anterior")</f>
        <v>Día anterior</v>
      </c>
      <c r="C28" t="s">
        <v>35</v>
      </c>
      <c r="D28" t="s">
        <v>36</v>
      </c>
      <c r="E28" t="s">
        <v>113</v>
      </c>
      <c r="F28" t="s">
        <v>57</v>
      </c>
      <c r="G28" t="s">
        <v>114</v>
      </c>
      <c r="H28" t="s">
        <v>27</v>
      </c>
      <c r="I28" t="s">
        <v>6</v>
      </c>
      <c r="J28" t="s">
        <v>58</v>
      </c>
      <c r="K28" t="s">
        <v>37</v>
      </c>
      <c r="L28" t="s">
        <v>18</v>
      </c>
      <c r="M28">
        <v>1</v>
      </c>
    </row>
    <row r="29" spans="1:13" x14ac:dyDescent="0.25">
      <c r="A29" s="2">
        <v>46317</v>
      </c>
      <c r="B29" s="1" t="str">
        <f ca="1">IF(Información1[[#This Row],[Fecha]]='Ajuste de fechas'!$A$2,"Día actual","Día anterior")</f>
        <v>Día anterior</v>
      </c>
      <c r="C29" t="s">
        <v>38</v>
      </c>
      <c r="D29" t="s">
        <v>39</v>
      </c>
      <c r="E29" t="s">
        <v>115</v>
      </c>
      <c r="F29" t="s">
        <v>25</v>
      </c>
      <c r="G29" t="s">
        <v>116</v>
      </c>
      <c r="H29" t="s">
        <v>40</v>
      </c>
      <c r="I29" t="s">
        <v>10</v>
      </c>
      <c r="J29" t="s">
        <v>17</v>
      </c>
      <c r="K29" t="s">
        <v>42</v>
      </c>
      <c r="L29" t="s">
        <v>19</v>
      </c>
      <c r="M29">
        <v>1</v>
      </c>
    </row>
    <row r="30" spans="1:13" x14ac:dyDescent="0.25">
      <c r="A30" s="2">
        <v>46317</v>
      </c>
      <c r="B30" s="1" t="str">
        <f ca="1">IF(Información1[[#This Row],[Fecha]]='Ajuste de fechas'!$A$2,"Día actual","Día anterior")</f>
        <v>Día anterior</v>
      </c>
      <c r="C30" t="s">
        <v>43</v>
      </c>
      <c r="D30" t="s">
        <v>44</v>
      </c>
      <c r="E30" t="s">
        <v>117</v>
      </c>
      <c r="F30" t="s">
        <v>59</v>
      </c>
      <c r="G30" t="s">
        <v>70</v>
      </c>
      <c r="H30" t="s">
        <v>27</v>
      </c>
      <c r="I30" t="s">
        <v>6</v>
      </c>
      <c r="J30" t="s">
        <v>17</v>
      </c>
      <c r="K30" t="s">
        <v>52</v>
      </c>
      <c r="L30" t="s">
        <v>18</v>
      </c>
      <c r="M30">
        <v>1</v>
      </c>
    </row>
    <row r="31" spans="1:13" x14ac:dyDescent="0.25">
      <c r="A31" s="2">
        <v>46317</v>
      </c>
      <c r="B31" s="1" t="str">
        <f ca="1">IF(Información1[[#This Row],[Fecha]]='Ajuste de fechas'!$A$2,"Día actual","Día anterior")</f>
        <v>Día anterior</v>
      </c>
      <c r="C31" t="s">
        <v>38</v>
      </c>
      <c r="D31" t="s">
        <v>39</v>
      </c>
      <c r="E31" t="s">
        <v>118</v>
      </c>
      <c r="F31" t="s">
        <v>59</v>
      </c>
      <c r="G31" t="s">
        <v>70</v>
      </c>
      <c r="H31" t="s">
        <v>40</v>
      </c>
      <c r="I31" t="s">
        <v>6</v>
      </c>
      <c r="J31" t="s">
        <v>17</v>
      </c>
      <c r="K31" t="s">
        <v>42</v>
      </c>
      <c r="L31" t="s">
        <v>20</v>
      </c>
      <c r="M31">
        <v>1</v>
      </c>
    </row>
    <row r="32" spans="1:13" x14ac:dyDescent="0.25">
      <c r="A32" s="2">
        <v>46317</v>
      </c>
      <c r="B32" s="1" t="str">
        <f ca="1">IF(Información1[[#This Row],[Fecha]]='Ajuste de fechas'!$A$2,"Día actual","Día anterior")</f>
        <v>Día anterior</v>
      </c>
      <c r="C32" t="s">
        <v>38</v>
      </c>
      <c r="D32" t="s">
        <v>39</v>
      </c>
      <c r="E32" t="s">
        <v>119</v>
      </c>
      <c r="F32" t="s">
        <v>25</v>
      </c>
      <c r="G32" t="s">
        <v>71</v>
      </c>
      <c r="H32" t="s">
        <v>40</v>
      </c>
      <c r="I32" t="s">
        <v>10</v>
      </c>
      <c r="J32" t="s">
        <v>17</v>
      </c>
      <c r="K32" t="s">
        <v>42</v>
      </c>
      <c r="L32" t="s">
        <v>19</v>
      </c>
      <c r="M32">
        <v>1</v>
      </c>
    </row>
    <row r="33" spans="1:13" x14ac:dyDescent="0.25">
      <c r="A33" s="2">
        <v>46317</v>
      </c>
      <c r="B33" s="1" t="str">
        <f ca="1">IF(Información1[[#This Row],[Fecha]]='Ajuste de fechas'!$A$2,"Día actual","Día anterior")</f>
        <v>Día anterior</v>
      </c>
      <c r="C33" t="s">
        <v>28</v>
      </c>
      <c r="D33" t="s">
        <v>33</v>
      </c>
      <c r="E33" t="s">
        <v>120</v>
      </c>
      <c r="F33" t="s">
        <v>9</v>
      </c>
      <c r="G33" t="s">
        <v>121</v>
      </c>
      <c r="H33" t="s">
        <v>27</v>
      </c>
      <c r="I33" t="s">
        <v>6</v>
      </c>
      <c r="J33" t="s">
        <v>17</v>
      </c>
      <c r="K33" t="s">
        <v>30</v>
      </c>
      <c r="L33" t="s">
        <v>20</v>
      </c>
      <c r="M33">
        <v>1</v>
      </c>
    </row>
    <row r="34" spans="1:13" x14ac:dyDescent="0.25">
      <c r="A34" s="2">
        <v>46317</v>
      </c>
      <c r="B34" s="1" t="str">
        <f ca="1">IF(Información1[[#This Row],[Fecha]]='Ajuste de fechas'!$A$2,"Día actual","Día anterior")</f>
        <v>Día anterior</v>
      </c>
      <c r="C34" t="s">
        <v>43</v>
      </c>
      <c r="D34" t="s">
        <v>44</v>
      </c>
      <c r="E34" t="s">
        <v>122</v>
      </c>
      <c r="F34" t="s">
        <v>26</v>
      </c>
      <c r="G34" t="s">
        <v>72</v>
      </c>
      <c r="H34" t="s">
        <v>27</v>
      </c>
      <c r="I34" t="s">
        <v>6</v>
      </c>
      <c r="J34" t="s">
        <v>17</v>
      </c>
      <c r="K34" t="s">
        <v>52</v>
      </c>
      <c r="L34" t="s">
        <v>18</v>
      </c>
      <c r="M34">
        <v>1</v>
      </c>
    </row>
    <row r="35" spans="1:13" x14ac:dyDescent="0.25">
      <c r="A35" s="2">
        <v>46317</v>
      </c>
      <c r="B35" s="1" t="str">
        <f ca="1">IF(Información1[[#This Row],[Fecha]]='Ajuste de fechas'!$A$2,"Día actual","Día anterior")</f>
        <v>Día anterior</v>
      </c>
      <c r="C35" t="s">
        <v>38</v>
      </c>
      <c r="D35" t="s">
        <v>39</v>
      </c>
      <c r="E35" t="s">
        <v>123</v>
      </c>
      <c r="F35" t="s">
        <v>25</v>
      </c>
      <c r="G35" t="s">
        <v>47</v>
      </c>
      <c r="H35" t="s">
        <v>40</v>
      </c>
      <c r="I35" t="s">
        <v>6</v>
      </c>
      <c r="J35" t="s">
        <v>17</v>
      </c>
      <c r="K35" t="s">
        <v>42</v>
      </c>
      <c r="L35" t="s">
        <v>18</v>
      </c>
      <c r="M35">
        <v>1</v>
      </c>
    </row>
    <row r="36" spans="1:13" x14ac:dyDescent="0.25">
      <c r="A36" s="2">
        <v>46317</v>
      </c>
      <c r="B36" s="1" t="str">
        <f ca="1">IF(Información1[[#This Row],[Fecha]]='Ajuste de fechas'!$A$2,"Día actual","Día anterior")</f>
        <v>Día anterior</v>
      </c>
      <c r="C36" t="s">
        <v>35</v>
      </c>
      <c r="D36" t="s">
        <v>36</v>
      </c>
      <c r="E36" t="s">
        <v>124</v>
      </c>
      <c r="F36" t="s">
        <v>59</v>
      </c>
      <c r="G36" t="s">
        <v>66</v>
      </c>
      <c r="H36" t="s">
        <v>27</v>
      </c>
      <c r="I36" t="s">
        <v>7</v>
      </c>
      <c r="J36" t="s">
        <v>17</v>
      </c>
      <c r="K36" t="s">
        <v>37</v>
      </c>
      <c r="L36" t="s">
        <v>18</v>
      </c>
      <c r="M36">
        <v>1</v>
      </c>
    </row>
    <row r="37" spans="1:13" x14ac:dyDescent="0.25">
      <c r="A37" s="2">
        <v>46317</v>
      </c>
      <c r="B37" s="1" t="str">
        <f ca="1">IF(Información1[[#This Row],[Fecha]]='Ajuste de fechas'!$A$2,"Día actual","Día anterior")</f>
        <v>Día anterior</v>
      </c>
      <c r="C37" t="s">
        <v>43</v>
      </c>
      <c r="D37" t="s">
        <v>44</v>
      </c>
      <c r="E37" t="s">
        <v>125</v>
      </c>
      <c r="F37" t="s">
        <v>57</v>
      </c>
      <c r="G37" t="s">
        <v>126</v>
      </c>
      <c r="H37" t="s">
        <v>27</v>
      </c>
      <c r="I37" t="s">
        <v>6</v>
      </c>
      <c r="J37" t="s">
        <v>58</v>
      </c>
      <c r="K37" t="s">
        <v>52</v>
      </c>
      <c r="L37" t="s">
        <v>18</v>
      </c>
      <c r="M37">
        <v>1</v>
      </c>
    </row>
    <row r="38" spans="1:13" x14ac:dyDescent="0.25">
      <c r="A38" s="2">
        <v>46317</v>
      </c>
      <c r="B38" s="1" t="str">
        <f ca="1">IF(Información1[[#This Row],[Fecha]]='Ajuste de fechas'!$A$2,"Día actual","Día anterior")</f>
        <v>Día anterior</v>
      </c>
      <c r="C38" t="s">
        <v>38</v>
      </c>
      <c r="D38" t="s">
        <v>39</v>
      </c>
      <c r="E38" t="s">
        <v>127</v>
      </c>
      <c r="F38" t="s">
        <v>54</v>
      </c>
      <c r="G38" t="s">
        <v>61</v>
      </c>
      <c r="H38" t="s">
        <v>40</v>
      </c>
      <c r="I38" t="s">
        <v>6</v>
      </c>
      <c r="J38" t="s">
        <v>55</v>
      </c>
      <c r="K38" t="s">
        <v>42</v>
      </c>
      <c r="L38" t="s">
        <v>18</v>
      </c>
      <c r="M38">
        <v>1</v>
      </c>
    </row>
    <row r="39" spans="1:13" x14ac:dyDescent="0.25">
      <c r="A39" s="2">
        <v>46317</v>
      </c>
      <c r="B39" s="1" t="str">
        <f ca="1">IF(Información1[[#This Row],[Fecha]]='Ajuste de fechas'!$A$2,"Día actual","Día anterior")</f>
        <v>Día anterior</v>
      </c>
      <c r="C39" t="s">
        <v>38</v>
      </c>
      <c r="D39" t="s">
        <v>39</v>
      </c>
      <c r="E39" t="s">
        <v>128</v>
      </c>
      <c r="F39" t="s">
        <v>59</v>
      </c>
      <c r="G39" t="s">
        <v>129</v>
      </c>
      <c r="H39" t="s">
        <v>40</v>
      </c>
      <c r="I39" t="s">
        <v>6</v>
      </c>
      <c r="J39" t="s">
        <v>17</v>
      </c>
      <c r="K39" t="s">
        <v>42</v>
      </c>
      <c r="L39" t="s">
        <v>18</v>
      </c>
      <c r="M39">
        <v>1</v>
      </c>
    </row>
    <row r="40" spans="1:13" x14ac:dyDescent="0.25">
      <c r="A40" s="2">
        <v>46317</v>
      </c>
      <c r="B40" s="1" t="str">
        <f ca="1">IF(Información1[[#This Row],[Fecha]]='Ajuste de fechas'!$A$2,"Día actual","Día anterior")</f>
        <v>Día anterior</v>
      </c>
      <c r="C40" t="s">
        <v>35</v>
      </c>
      <c r="D40" t="s">
        <v>36</v>
      </c>
      <c r="E40" t="s">
        <v>130</v>
      </c>
      <c r="F40" t="s">
        <v>59</v>
      </c>
      <c r="G40" t="s">
        <v>131</v>
      </c>
      <c r="H40" t="s">
        <v>27</v>
      </c>
      <c r="I40" t="s">
        <v>7</v>
      </c>
      <c r="J40" t="s">
        <v>17</v>
      </c>
      <c r="K40" t="s">
        <v>37</v>
      </c>
      <c r="L40" t="s">
        <v>18</v>
      </c>
      <c r="M40">
        <v>1</v>
      </c>
    </row>
    <row r="41" spans="1:13" x14ac:dyDescent="0.25">
      <c r="A41" s="2">
        <v>46317</v>
      </c>
      <c r="B41" s="1" t="str">
        <f ca="1">IF(Información1[[#This Row],[Fecha]]='Ajuste de fechas'!$A$2,"Día actual","Día anterior")</f>
        <v>Día anterior</v>
      </c>
      <c r="C41" t="s">
        <v>38</v>
      </c>
      <c r="D41" t="s">
        <v>39</v>
      </c>
      <c r="E41" t="s">
        <v>132</v>
      </c>
      <c r="F41" t="s">
        <v>26</v>
      </c>
      <c r="G41" t="s">
        <v>51</v>
      </c>
      <c r="H41" t="s">
        <v>40</v>
      </c>
      <c r="I41" t="s">
        <v>6</v>
      </c>
      <c r="J41" t="s">
        <v>17</v>
      </c>
      <c r="K41" t="s">
        <v>42</v>
      </c>
      <c r="L41" t="s">
        <v>18</v>
      </c>
      <c r="M41">
        <v>1</v>
      </c>
    </row>
    <row r="42" spans="1:13" x14ac:dyDescent="0.25">
      <c r="A42" s="2">
        <v>46317</v>
      </c>
      <c r="B42" s="1" t="str">
        <f ca="1">IF(Información1[[#This Row],[Fecha]]='Ajuste de fechas'!$A$2,"Día actual","Día anterior")</f>
        <v>Día anterior</v>
      </c>
      <c r="C42" t="s">
        <v>43</v>
      </c>
      <c r="D42" t="s">
        <v>44</v>
      </c>
      <c r="E42" t="s">
        <v>133</v>
      </c>
      <c r="F42" t="s">
        <v>54</v>
      </c>
      <c r="G42" t="s">
        <v>134</v>
      </c>
      <c r="H42" t="s">
        <v>27</v>
      </c>
      <c r="I42" t="s">
        <v>10</v>
      </c>
      <c r="J42" t="s">
        <v>55</v>
      </c>
      <c r="K42" t="s">
        <v>34</v>
      </c>
      <c r="L42" t="s">
        <v>19</v>
      </c>
      <c r="M42">
        <v>1</v>
      </c>
    </row>
    <row r="43" spans="1:13" x14ac:dyDescent="0.25">
      <c r="A43" s="2">
        <v>46317</v>
      </c>
      <c r="B43" s="1" t="str">
        <f ca="1">IF(Información1[[#This Row],[Fecha]]='Ajuste de fechas'!$A$2,"Día actual","Día anterior")</f>
        <v>Día anterior</v>
      </c>
      <c r="C43" t="s">
        <v>28</v>
      </c>
      <c r="D43" t="s">
        <v>29</v>
      </c>
      <c r="E43" t="s">
        <v>135</v>
      </c>
      <c r="F43" t="s">
        <v>75</v>
      </c>
      <c r="G43" t="s">
        <v>136</v>
      </c>
      <c r="H43" t="s">
        <v>27</v>
      </c>
      <c r="I43" t="s">
        <v>6</v>
      </c>
      <c r="J43" t="s">
        <v>17</v>
      </c>
      <c r="K43" t="s">
        <v>31</v>
      </c>
      <c r="L43" t="s">
        <v>20</v>
      </c>
      <c r="M43">
        <v>1</v>
      </c>
    </row>
    <row r="44" spans="1:13" x14ac:dyDescent="0.25">
      <c r="A44" s="2">
        <v>46317</v>
      </c>
      <c r="B44" s="1" t="str">
        <f ca="1">IF(Información1[[#This Row],[Fecha]]='Ajuste de fechas'!$A$2,"Día actual","Día anterior")</f>
        <v>Día anterior</v>
      </c>
      <c r="C44" t="s">
        <v>28</v>
      </c>
      <c r="D44" t="s">
        <v>29</v>
      </c>
      <c r="E44" t="s">
        <v>137</v>
      </c>
      <c r="F44" t="s">
        <v>59</v>
      </c>
      <c r="G44" t="s">
        <v>138</v>
      </c>
      <c r="H44" t="s">
        <v>27</v>
      </c>
      <c r="I44" t="s">
        <v>7</v>
      </c>
      <c r="J44" t="s">
        <v>17</v>
      </c>
      <c r="K44" t="s">
        <v>31</v>
      </c>
      <c r="L44" t="s">
        <v>19</v>
      </c>
      <c r="M44">
        <v>1</v>
      </c>
    </row>
    <row r="45" spans="1:13" x14ac:dyDescent="0.25">
      <c r="A45" s="2">
        <v>46317</v>
      </c>
      <c r="B45" s="1" t="str">
        <f ca="1">IF(Información1[[#This Row],[Fecha]]='Ajuste de fechas'!$A$2,"Día actual","Día anterior")</f>
        <v>Día anterior</v>
      </c>
      <c r="C45" t="s">
        <v>28</v>
      </c>
      <c r="D45" t="s">
        <v>29</v>
      </c>
      <c r="E45" t="s">
        <v>139</v>
      </c>
      <c r="F45" t="s">
        <v>59</v>
      </c>
      <c r="G45" t="s">
        <v>129</v>
      </c>
      <c r="H45" t="s">
        <v>27</v>
      </c>
      <c r="I45" t="s">
        <v>6</v>
      </c>
      <c r="J45" t="s">
        <v>17</v>
      </c>
      <c r="K45" t="s">
        <v>31</v>
      </c>
      <c r="L45" t="s">
        <v>20</v>
      </c>
      <c r="M45">
        <v>1</v>
      </c>
    </row>
    <row r="46" spans="1:13" x14ac:dyDescent="0.25">
      <c r="A46" s="2">
        <v>46317</v>
      </c>
      <c r="B46" s="1" t="str">
        <f ca="1">IF(Información1[[#This Row],[Fecha]]='Ajuste de fechas'!$A$2,"Día actual","Día anterior")</f>
        <v>Día anterior</v>
      </c>
      <c r="C46" t="s">
        <v>28</v>
      </c>
      <c r="D46" t="s">
        <v>29</v>
      </c>
      <c r="E46" t="s">
        <v>118</v>
      </c>
      <c r="F46" t="s">
        <v>59</v>
      </c>
      <c r="G46" t="s">
        <v>70</v>
      </c>
      <c r="H46" t="s">
        <v>27</v>
      </c>
      <c r="I46" t="s">
        <v>6</v>
      </c>
      <c r="J46" t="s">
        <v>17</v>
      </c>
      <c r="K46" t="s">
        <v>31</v>
      </c>
      <c r="L46" t="s">
        <v>18</v>
      </c>
      <c r="M46">
        <v>1</v>
      </c>
    </row>
    <row r="47" spans="1:13" x14ac:dyDescent="0.25">
      <c r="A47" s="2">
        <v>46317</v>
      </c>
      <c r="B47" s="1" t="str">
        <f ca="1">IF(Información1[[#This Row],[Fecha]]='Ajuste de fechas'!$A$2,"Día actual","Día anterior")</f>
        <v>Día anterior</v>
      </c>
      <c r="C47" t="s">
        <v>28</v>
      </c>
      <c r="D47" t="s">
        <v>29</v>
      </c>
      <c r="E47" t="s">
        <v>140</v>
      </c>
      <c r="F47" t="s">
        <v>57</v>
      </c>
      <c r="G47" t="s">
        <v>70</v>
      </c>
      <c r="H47" t="s">
        <v>27</v>
      </c>
      <c r="I47" t="s">
        <v>6</v>
      </c>
      <c r="J47" t="s">
        <v>58</v>
      </c>
      <c r="K47" t="s">
        <v>30</v>
      </c>
      <c r="L47" t="s">
        <v>18</v>
      </c>
      <c r="M47">
        <v>1</v>
      </c>
    </row>
    <row r="48" spans="1:13" x14ac:dyDescent="0.25">
      <c r="A48" s="2">
        <v>46318</v>
      </c>
      <c r="B48" s="1" t="str">
        <f ca="1">IF(Información1[[#This Row],[Fecha]]='Ajuste de fechas'!$A$2,"Día actual","Día anterior")</f>
        <v>Día actual</v>
      </c>
      <c r="C48" t="s">
        <v>38</v>
      </c>
      <c r="D48" t="s">
        <v>39</v>
      </c>
      <c r="E48" t="s">
        <v>141</v>
      </c>
      <c r="F48" t="s">
        <v>56</v>
      </c>
      <c r="G48" t="s">
        <v>142</v>
      </c>
      <c r="H48" t="s">
        <v>40</v>
      </c>
      <c r="I48" t="s">
        <v>6</v>
      </c>
      <c r="J48" t="s">
        <v>56</v>
      </c>
      <c r="K48" t="s">
        <v>41</v>
      </c>
      <c r="L48" t="s">
        <v>18</v>
      </c>
      <c r="M48">
        <v>1</v>
      </c>
    </row>
    <row r="49" spans="1:13" x14ac:dyDescent="0.25">
      <c r="A49" s="2">
        <v>46318</v>
      </c>
      <c r="B49" s="1" t="str">
        <f ca="1">IF(Información1[[#This Row],[Fecha]]='Ajuste de fechas'!$A$2,"Día actual","Día anterior")</f>
        <v>Día actual</v>
      </c>
      <c r="C49" t="s">
        <v>38</v>
      </c>
      <c r="D49" t="s">
        <v>39</v>
      </c>
      <c r="E49" t="s">
        <v>143</v>
      </c>
      <c r="F49" t="s">
        <v>25</v>
      </c>
      <c r="G49" t="s">
        <v>144</v>
      </c>
      <c r="H49" t="s">
        <v>40</v>
      </c>
      <c r="I49" t="s">
        <v>10</v>
      </c>
      <c r="J49" t="s">
        <v>17</v>
      </c>
      <c r="K49" t="s">
        <v>42</v>
      </c>
      <c r="L49" t="s">
        <v>18</v>
      </c>
      <c r="M49">
        <v>1</v>
      </c>
    </row>
    <row r="50" spans="1:13" x14ac:dyDescent="0.25">
      <c r="A50" s="2">
        <v>46318</v>
      </c>
      <c r="B50" s="1" t="str">
        <f ca="1">IF(Información1[[#This Row],[Fecha]]='Ajuste de fechas'!$A$2,"Día actual","Día anterior")</f>
        <v>Día actual</v>
      </c>
      <c r="C50" t="s">
        <v>38</v>
      </c>
      <c r="D50" t="s">
        <v>39</v>
      </c>
      <c r="E50" t="s">
        <v>145</v>
      </c>
      <c r="F50" t="s">
        <v>54</v>
      </c>
      <c r="G50" t="s">
        <v>146</v>
      </c>
      <c r="H50" t="s">
        <v>40</v>
      </c>
      <c r="I50" t="s">
        <v>6</v>
      </c>
      <c r="J50" t="s">
        <v>55</v>
      </c>
      <c r="K50" t="s">
        <v>42</v>
      </c>
      <c r="L50" t="s">
        <v>18</v>
      </c>
      <c r="M50">
        <v>1</v>
      </c>
    </row>
    <row r="51" spans="1:13" x14ac:dyDescent="0.25">
      <c r="A51" s="2">
        <v>46318</v>
      </c>
      <c r="B51" s="1" t="str">
        <f ca="1">IF(Información1[[#This Row],[Fecha]]='Ajuste de fechas'!$A$2,"Día actual","Día anterior")</f>
        <v>Día actual</v>
      </c>
      <c r="C51" t="s">
        <v>38</v>
      </c>
      <c r="D51" t="s">
        <v>39</v>
      </c>
      <c r="E51" t="s">
        <v>147</v>
      </c>
      <c r="F51" t="s">
        <v>25</v>
      </c>
      <c r="G51" t="s">
        <v>60</v>
      </c>
      <c r="H51" t="s">
        <v>40</v>
      </c>
      <c r="I51" t="s">
        <v>6</v>
      </c>
      <c r="J51" t="s">
        <v>17</v>
      </c>
      <c r="K51" t="s">
        <v>41</v>
      </c>
      <c r="L51" t="s">
        <v>18</v>
      </c>
      <c r="M51">
        <v>1</v>
      </c>
    </row>
    <row r="52" spans="1:13" x14ac:dyDescent="0.25">
      <c r="A52" s="2">
        <v>46318</v>
      </c>
      <c r="B52" s="1" t="str">
        <f ca="1">IF(Información1[[#This Row],[Fecha]]='Ajuste de fechas'!$A$2,"Día actual","Día anterior")</f>
        <v>Día actual</v>
      </c>
      <c r="C52" t="s">
        <v>43</v>
      </c>
      <c r="D52" t="s">
        <v>44</v>
      </c>
      <c r="E52" t="s">
        <v>148</v>
      </c>
      <c r="F52" t="s">
        <v>54</v>
      </c>
      <c r="G52" t="s">
        <v>81</v>
      </c>
      <c r="H52" t="s">
        <v>27</v>
      </c>
      <c r="I52" t="s">
        <v>6</v>
      </c>
      <c r="J52" t="s">
        <v>55</v>
      </c>
      <c r="K52" t="s">
        <v>52</v>
      </c>
      <c r="L52" t="s">
        <v>18</v>
      </c>
      <c r="M52">
        <v>1</v>
      </c>
    </row>
    <row r="53" spans="1:13" x14ac:dyDescent="0.25">
      <c r="A53" s="2">
        <v>46318</v>
      </c>
      <c r="B53" s="1" t="str">
        <f ca="1">IF(Información1[[#This Row],[Fecha]]='Ajuste de fechas'!$A$2,"Día actual","Día anterior")</f>
        <v>Día actual</v>
      </c>
      <c r="C53" t="s">
        <v>38</v>
      </c>
      <c r="D53" t="s">
        <v>39</v>
      </c>
      <c r="E53" t="s">
        <v>149</v>
      </c>
      <c r="F53" t="s">
        <v>54</v>
      </c>
      <c r="G53" t="s">
        <v>150</v>
      </c>
      <c r="H53" t="s">
        <v>40</v>
      </c>
      <c r="I53" t="s">
        <v>6</v>
      </c>
      <c r="J53" t="s">
        <v>55</v>
      </c>
      <c r="K53" t="s">
        <v>42</v>
      </c>
      <c r="L53" t="s">
        <v>18</v>
      </c>
      <c r="M53">
        <v>1</v>
      </c>
    </row>
    <row r="54" spans="1:13" x14ac:dyDescent="0.25">
      <c r="A54" s="2">
        <v>46318</v>
      </c>
      <c r="B54" s="1" t="str">
        <f ca="1">IF(Información1[[#This Row],[Fecha]]='Ajuste de fechas'!$A$2,"Día actual","Día anterior")</f>
        <v>Día actual</v>
      </c>
      <c r="C54" t="s">
        <v>43</v>
      </c>
      <c r="D54" t="s">
        <v>44</v>
      </c>
      <c r="E54" t="s">
        <v>151</v>
      </c>
      <c r="F54" t="s">
        <v>54</v>
      </c>
      <c r="G54" t="s">
        <v>152</v>
      </c>
      <c r="H54" t="s">
        <v>27</v>
      </c>
      <c r="I54" t="s">
        <v>6</v>
      </c>
      <c r="J54" t="s">
        <v>55</v>
      </c>
      <c r="K54" t="s">
        <v>153</v>
      </c>
      <c r="L54" t="s">
        <v>154</v>
      </c>
      <c r="M54">
        <v>1</v>
      </c>
    </row>
    <row r="55" spans="1:13" x14ac:dyDescent="0.25">
      <c r="A55" s="2">
        <v>46318</v>
      </c>
      <c r="B55" s="1" t="str">
        <f ca="1">IF(Información1[[#This Row],[Fecha]]='Ajuste de fechas'!$A$2,"Día actual","Día anterior")</f>
        <v>Día actual</v>
      </c>
      <c r="C55" t="s">
        <v>28</v>
      </c>
      <c r="D55" t="s">
        <v>33</v>
      </c>
      <c r="E55" t="s">
        <v>155</v>
      </c>
      <c r="F55" t="s">
        <v>57</v>
      </c>
      <c r="G55" t="s">
        <v>156</v>
      </c>
      <c r="H55" t="s">
        <v>27</v>
      </c>
      <c r="I55" t="s">
        <v>10</v>
      </c>
      <c r="J55" t="s">
        <v>58</v>
      </c>
      <c r="K55" t="s">
        <v>157</v>
      </c>
      <c r="L55" t="s">
        <v>18</v>
      </c>
      <c r="M55">
        <v>1</v>
      </c>
    </row>
    <row r="56" spans="1:13" x14ac:dyDescent="0.25">
      <c r="A56" s="2">
        <v>46318</v>
      </c>
      <c r="B56" s="1" t="str">
        <f ca="1">IF(Información1[[#This Row],[Fecha]]='Ajuste de fechas'!$A$2,"Día actual","Día anterior")</f>
        <v>Día actual</v>
      </c>
      <c r="C56" t="s">
        <v>43</v>
      </c>
      <c r="D56" t="s">
        <v>44</v>
      </c>
      <c r="E56" t="s">
        <v>158</v>
      </c>
      <c r="F56" t="s">
        <v>159</v>
      </c>
      <c r="G56" t="s">
        <v>160</v>
      </c>
      <c r="H56" t="s">
        <v>27</v>
      </c>
      <c r="I56" t="s">
        <v>6</v>
      </c>
      <c r="J56" t="s">
        <v>161</v>
      </c>
      <c r="K56" t="s">
        <v>45</v>
      </c>
      <c r="L56" t="s">
        <v>18</v>
      </c>
      <c r="M56">
        <v>1</v>
      </c>
    </row>
    <row r="57" spans="1:13" x14ac:dyDescent="0.25">
      <c r="A57" s="2">
        <v>46318</v>
      </c>
      <c r="B57" s="1" t="str">
        <f ca="1">IF(Información1[[#This Row],[Fecha]]='Ajuste de fechas'!$A$2,"Día actual","Día anterior")</f>
        <v>Día actual</v>
      </c>
      <c r="C57" t="s">
        <v>28</v>
      </c>
      <c r="D57" t="s">
        <v>33</v>
      </c>
      <c r="E57" t="s">
        <v>162</v>
      </c>
      <c r="F57" t="s">
        <v>163</v>
      </c>
      <c r="G57" t="s">
        <v>164</v>
      </c>
      <c r="H57" t="s">
        <v>27</v>
      </c>
      <c r="I57" t="s">
        <v>10</v>
      </c>
      <c r="J57" t="s">
        <v>17</v>
      </c>
      <c r="K57" t="s">
        <v>34</v>
      </c>
      <c r="L57" t="s">
        <v>19</v>
      </c>
      <c r="M57">
        <v>1</v>
      </c>
    </row>
    <row r="58" spans="1:13" x14ac:dyDescent="0.25">
      <c r="A58" s="2">
        <v>46318</v>
      </c>
      <c r="B58" s="1" t="str">
        <f ca="1">IF(Información1[[#This Row],[Fecha]]='Ajuste de fechas'!$A$2,"Día actual","Día anterior")</f>
        <v>Día actual</v>
      </c>
      <c r="C58" t="s">
        <v>28</v>
      </c>
      <c r="D58" t="s">
        <v>29</v>
      </c>
      <c r="E58" t="s">
        <v>165</v>
      </c>
      <c r="F58" t="s">
        <v>54</v>
      </c>
      <c r="G58" t="s">
        <v>166</v>
      </c>
      <c r="H58" t="s">
        <v>27</v>
      </c>
      <c r="I58" t="s">
        <v>6</v>
      </c>
      <c r="J58" t="s">
        <v>55</v>
      </c>
      <c r="K58" t="s">
        <v>31</v>
      </c>
      <c r="L58" t="s">
        <v>18</v>
      </c>
      <c r="M58">
        <v>1</v>
      </c>
    </row>
    <row r="59" spans="1:13" x14ac:dyDescent="0.25">
      <c r="A59" s="2">
        <v>46318</v>
      </c>
      <c r="B59" s="1" t="str">
        <f ca="1">IF(Información1[[#This Row],[Fecha]]='Ajuste de fechas'!$A$2,"Día actual","Día anterior")</f>
        <v>Día actual</v>
      </c>
      <c r="C59" t="s">
        <v>43</v>
      </c>
      <c r="D59" t="s">
        <v>44</v>
      </c>
      <c r="E59" t="s">
        <v>167</v>
      </c>
      <c r="F59" t="s">
        <v>49</v>
      </c>
      <c r="G59" t="s">
        <v>168</v>
      </c>
      <c r="H59" t="s">
        <v>27</v>
      </c>
      <c r="I59" t="s">
        <v>10</v>
      </c>
      <c r="J59" t="s">
        <v>17</v>
      </c>
      <c r="K59" t="s">
        <v>45</v>
      </c>
      <c r="L59" t="s">
        <v>19</v>
      </c>
      <c r="M59">
        <v>1</v>
      </c>
    </row>
    <row r="60" spans="1:13" x14ac:dyDescent="0.25">
      <c r="A60" s="2">
        <v>46318</v>
      </c>
      <c r="B60" s="1" t="str">
        <f ca="1">IF(Información1[[#This Row],[Fecha]]='Ajuste de fechas'!$A$2,"Día actual","Día anterior")</f>
        <v>Día actual</v>
      </c>
      <c r="C60" t="s">
        <v>43</v>
      </c>
      <c r="D60" t="s">
        <v>44</v>
      </c>
      <c r="E60" t="s">
        <v>169</v>
      </c>
      <c r="F60" t="s">
        <v>49</v>
      </c>
      <c r="G60" t="s">
        <v>168</v>
      </c>
      <c r="H60" t="s">
        <v>27</v>
      </c>
      <c r="I60" t="s">
        <v>10</v>
      </c>
      <c r="J60" t="s">
        <v>17</v>
      </c>
      <c r="K60" t="s">
        <v>45</v>
      </c>
      <c r="L60" t="s">
        <v>18</v>
      </c>
      <c r="M60">
        <v>1</v>
      </c>
    </row>
    <row r="61" spans="1:13" x14ac:dyDescent="0.25">
      <c r="A61" s="2">
        <v>46318</v>
      </c>
      <c r="B61" s="1" t="str">
        <f ca="1">IF(Información1[[#This Row],[Fecha]]='Ajuste de fechas'!$A$2,"Día actual","Día anterior")</f>
        <v>Día actual</v>
      </c>
      <c r="C61" t="s">
        <v>35</v>
      </c>
      <c r="D61" t="s">
        <v>36</v>
      </c>
      <c r="E61" t="s">
        <v>170</v>
      </c>
      <c r="F61" t="s">
        <v>25</v>
      </c>
      <c r="G61" t="s">
        <v>171</v>
      </c>
      <c r="H61" t="s">
        <v>27</v>
      </c>
      <c r="I61" t="s">
        <v>6</v>
      </c>
      <c r="J61" t="s">
        <v>17</v>
      </c>
      <c r="K61" t="s">
        <v>37</v>
      </c>
      <c r="L61" t="s">
        <v>20</v>
      </c>
      <c r="M61">
        <v>1</v>
      </c>
    </row>
    <row r="62" spans="1:13" x14ac:dyDescent="0.25">
      <c r="A62" s="2">
        <v>46318</v>
      </c>
      <c r="B62" s="1" t="str">
        <f ca="1">IF(Información1[[#This Row],[Fecha]]='Ajuste de fechas'!$A$2,"Día actual","Día anterior")</f>
        <v>Día actual</v>
      </c>
      <c r="C62" t="s">
        <v>43</v>
      </c>
      <c r="D62" t="s">
        <v>44</v>
      </c>
      <c r="E62" t="s">
        <v>172</v>
      </c>
      <c r="F62" t="s">
        <v>46</v>
      </c>
      <c r="G62" t="s">
        <v>173</v>
      </c>
      <c r="H62" t="s">
        <v>27</v>
      </c>
      <c r="I62" t="s">
        <v>6</v>
      </c>
      <c r="J62" t="s">
        <v>17</v>
      </c>
      <c r="K62" t="s">
        <v>52</v>
      </c>
      <c r="L62" t="s">
        <v>20</v>
      </c>
      <c r="M62">
        <v>1</v>
      </c>
    </row>
    <row r="63" spans="1:13" x14ac:dyDescent="0.25">
      <c r="A63" s="2">
        <v>46318</v>
      </c>
      <c r="B63" s="1" t="str">
        <f ca="1">IF(Información1[[#This Row],[Fecha]]='Ajuste de fechas'!$A$2,"Día actual","Día anterior")</f>
        <v>Día actual</v>
      </c>
      <c r="C63" t="s">
        <v>35</v>
      </c>
      <c r="D63" t="s">
        <v>36</v>
      </c>
      <c r="E63" t="s">
        <v>174</v>
      </c>
      <c r="F63" t="s">
        <v>94</v>
      </c>
      <c r="G63" t="s">
        <v>48</v>
      </c>
      <c r="H63" t="s">
        <v>27</v>
      </c>
      <c r="I63" t="s">
        <v>6</v>
      </c>
      <c r="J63" t="s">
        <v>17</v>
      </c>
      <c r="K63" t="s">
        <v>37</v>
      </c>
      <c r="L63" t="s">
        <v>18</v>
      </c>
      <c r="M63">
        <v>1</v>
      </c>
    </row>
    <row r="64" spans="1:13" x14ac:dyDescent="0.25">
      <c r="A64" s="2">
        <v>46318</v>
      </c>
      <c r="B64" s="1" t="str">
        <f ca="1">IF(Información1[[#This Row],[Fecha]]='Ajuste de fechas'!$A$2,"Día actual","Día anterior")</f>
        <v>Día actual</v>
      </c>
      <c r="C64" t="s">
        <v>28</v>
      </c>
      <c r="D64" t="s">
        <v>29</v>
      </c>
      <c r="E64" t="s">
        <v>175</v>
      </c>
      <c r="F64" t="s">
        <v>94</v>
      </c>
      <c r="G64" t="s">
        <v>48</v>
      </c>
      <c r="H64" t="s">
        <v>27</v>
      </c>
      <c r="I64" t="s">
        <v>6</v>
      </c>
      <c r="J64" t="s">
        <v>17</v>
      </c>
      <c r="K64" t="s">
        <v>31</v>
      </c>
      <c r="L64" t="s">
        <v>20</v>
      </c>
      <c r="M64">
        <v>1</v>
      </c>
    </row>
    <row r="65" spans="1:13" x14ac:dyDescent="0.25">
      <c r="A65" s="2">
        <v>46318</v>
      </c>
      <c r="B65" s="1" t="str">
        <f ca="1">IF(Información1[[#This Row],[Fecha]]='Ajuste de fechas'!$A$2,"Día actual","Día anterior")</f>
        <v>Día actual</v>
      </c>
      <c r="C65" t="s">
        <v>43</v>
      </c>
      <c r="D65" t="s">
        <v>44</v>
      </c>
      <c r="E65" t="s">
        <v>176</v>
      </c>
      <c r="F65" t="s">
        <v>32</v>
      </c>
      <c r="G65" t="s">
        <v>48</v>
      </c>
      <c r="H65" t="s">
        <v>27</v>
      </c>
      <c r="I65" t="s">
        <v>6</v>
      </c>
      <c r="J65" t="s">
        <v>17</v>
      </c>
      <c r="K65" t="s">
        <v>52</v>
      </c>
      <c r="L65" t="s">
        <v>18</v>
      </c>
      <c r="M65">
        <v>1</v>
      </c>
    </row>
    <row r="66" spans="1:13" x14ac:dyDescent="0.25">
      <c r="A66" s="2">
        <v>46318</v>
      </c>
      <c r="B66" s="1" t="str">
        <f ca="1">IF(Información1[[#This Row],[Fecha]]='Ajuste de fechas'!$A$2,"Día actual","Día anterior")</f>
        <v>Día actual</v>
      </c>
      <c r="C66" t="s">
        <v>38</v>
      </c>
      <c r="D66" t="s">
        <v>39</v>
      </c>
      <c r="E66" t="s">
        <v>177</v>
      </c>
      <c r="F66" t="s">
        <v>94</v>
      </c>
      <c r="G66" t="s">
        <v>48</v>
      </c>
      <c r="H66" t="s">
        <v>40</v>
      </c>
      <c r="I66" t="s">
        <v>7</v>
      </c>
      <c r="J66" t="s">
        <v>17</v>
      </c>
      <c r="K66" t="s">
        <v>42</v>
      </c>
      <c r="L66" t="s">
        <v>18</v>
      </c>
      <c r="M66">
        <v>1</v>
      </c>
    </row>
    <row r="67" spans="1:13" x14ac:dyDescent="0.25">
      <c r="A67" s="2">
        <v>46318</v>
      </c>
      <c r="B67" s="1" t="str">
        <f ca="1">IF(Información1[[#This Row],[Fecha]]='Ajuste de fechas'!$A$2,"Día actual","Día anterior")</f>
        <v>Día actual</v>
      </c>
      <c r="C67" t="s">
        <v>43</v>
      </c>
      <c r="D67" t="s">
        <v>44</v>
      </c>
      <c r="E67" t="s">
        <v>178</v>
      </c>
      <c r="F67" t="s">
        <v>9</v>
      </c>
      <c r="G67" t="s">
        <v>179</v>
      </c>
      <c r="H67" t="s">
        <v>27</v>
      </c>
      <c r="I67" t="s">
        <v>6</v>
      </c>
      <c r="J67" t="s">
        <v>17</v>
      </c>
      <c r="K67" t="s">
        <v>45</v>
      </c>
      <c r="L67" t="s">
        <v>20</v>
      </c>
      <c r="M67">
        <v>1</v>
      </c>
    </row>
    <row r="68" spans="1:13" x14ac:dyDescent="0.25">
      <c r="A68" s="2">
        <v>46318</v>
      </c>
      <c r="B68" s="1" t="str">
        <f ca="1">IF(Información1[[#This Row],[Fecha]]='Ajuste de fechas'!$A$2,"Día actual","Día anterior")</f>
        <v>Día actual</v>
      </c>
      <c r="C68" t="s">
        <v>28</v>
      </c>
      <c r="D68" t="s">
        <v>29</v>
      </c>
      <c r="E68" t="s">
        <v>180</v>
      </c>
      <c r="F68" t="s">
        <v>59</v>
      </c>
      <c r="G68" t="s">
        <v>181</v>
      </c>
      <c r="H68" t="s">
        <v>27</v>
      </c>
      <c r="I68" t="s">
        <v>6</v>
      </c>
      <c r="J68" t="s">
        <v>17</v>
      </c>
      <c r="K68" t="s">
        <v>31</v>
      </c>
      <c r="L68" t="s">
        <v>20</v>
      </c>
      <c r="M68">
        <v>1</v>
      </c>
    </row>
    <row r="69" spans="1:13" x14ac:dyDescent="0.25">
      <c r="A69" s="2">
        <v>46318</v>
      </c>
      <c r="B69" s="1" t="str">
        <f ca="1">IF(Información1[[#This Row],[Fecha]]='Ajuste de fechas'!$A$2,"Día actual","Día anterior")</f>
        <v>Día actual</v>
      </c>
      <c r="C69" t="s">
        <v>38</v>
      </c>
      <c r="D69" t="s">
        <v>39</v>
      </c>
      <c r="E69" t="s">
        <v>182</v>
      </c>
      <c r="F69" t="s">
        <v>59</v>
      </c>
      <c r="G69" t="s">
        <v>181</v>
      </c>
      <c r="H69" t="s">
        <v>40</v>
      </c>
      <c r="I69" t="s">
        <v>6</v>
      </c>
      <c r="J69" t="s">
        <v>17</v>
      </c>
      <c r="K69" t="s">
        <v>42</v>
      </c>
      <c r="L69" t="s">
        <v>18</v>
      </c>
      <c r="M69">
        <v>1</v>
      </c>
    </row>
    <row r="70" spans="1:13" x14ac:dyDescent="0.25">
      <c r="A70" s="2">
        <v>46318</v>
      </c>
      <c r="B70" s="1" t="str">
        <f ca="1">IF(Información1[[#This Row],[Fecha]]='Ajuste de fechas'!$A$2,"Día actual","Día anterior")</f>
        <v>Día actual</v>
      </c>
      <c r="C70" t="s">
        <v>28</v>
      </c>
      <c r="D70" t="s">
        <v>33</v>
      </c>
      <c r="E70" t="s">
        <v>183</v>
      </c>
      <c r="F70" t="s">
        <v>54</v>
      </c>
      <c r="G70" t="s">
        <v>184</v>
      </c>
      <c r="H70" t="s">
        <v>27</v>
      </c>
      <c r="I70" t="s">
        <v>6</v>
      </c>
      <c r="J70" t="s">
        <v>55</v>
      </c>
      <c r="K70" t="s">
        <v>157</v>
      </c>
      <c r="L70" t="s">
        <v>18</v>
      </c>
      <c r="M70">
        <v>1</v>
      </c>
    </row>
    <row r="71" spans="1:13" x14ac:dyDescent="0.25">
      <c r="A71" s="2">
        <v>46318</v>
      </c>
      <c r="B71" s="1" t="str">
        <f ca="1">IF(Información1[[#This Row],[Fecha]]='Ajuste de fechas'!$A$2,"Día actual","Día anterior")</f>
        <v>Día actual</v>
      </c>
      <c r="C71" t="s">
        <v>43</v>
      </c>
      <c r="D71" t="s">
        <v>44</v>
      </c>
      <c r="E71" t="s">
        <v>185</v>
      </c>
      <c r="F71" t="s">
        <v>54</v>
      </c>
      <c r="G71" t="s">
        <v>186</v>
      </c>
      <c r="H71" t="s">
        <v>27</v>
      </c>
      <c r="I71" t="s">
        <v>6</v>
      </c>
      <c r="J71" t="s">
        <v>55</v>
      </c>
      <c r="K71" t="s">
        <v>52</v>
      </c>
      <c r="L71" t="s">
        <v>18</v>
      </c>
      <c r="M71">
        <v>1</v>
      </c>
    </row>
    <row r="72" spans="1:13" x14ac:dyDescent="0.25">
      <c r="A72" s="2">
        <v>46318</v>
      </c>
      <c r="B72" s="1" t="str">
        <f ca="1">IF(Información1[[#This Row],[Fecha]]='Ajuste de fechas'!$A$2,"Día actual","Día anterior")</f>
        <v>Día actual</v>
      </c>
      <c r="C72" t="s">
        <v>28</v>
      </c>
      <c r="D72" t="s">
        <v>29</v>
      </c>
      <c r="E72" t="s">
        <v>187</v>
      </c>
      <c r="F72" t="s">
        <v>54</v>
      </c>
      <c r="G72" t="s">
        <v>188</v>
      </c>
      <c r="H72" t="s">
        <v>27</v>
      </c>
      <c r="I72" t="s">
        <v>6</v>
      </c>
      <c r="J72" t="s">
        <v>55</v>
      </c>
      <c r="K72" t="s">
        <v>30</v>
      </c>
      <c r="L72" t="s">
        <v>24</v>
      </c>
      <c r="M72">
        <v>1</v>
      </c>
    </row>
    <row r="73" spans="1:13" x14ac:dyDescent="0.25">
      <c r="A73" s="2">
        <v>46318</v>
      </c>
      <c r="B73" s="1" t="str">
        <f ca="1">IF(Información1[[#This Row],[Fecha]]='Ajuste de fechas'!$A$2,"Día actual","Día anterior")</f>
        <v>Día actual</v>
      </c>
      <c r="C73" t="s">
        <v>43</v>
      </c>
      <c r="D73" t="s">
        <v>44</v>
      </c>
      <c r="E73" t="s">
        <v>189</v>
      </c>
      <c r="F73" t="s">
        <v>54</v>
      </c>
      <c r="G73" t="s">
        <v>188</v>
      </c>
      <c r="H73" t="s">
        <v>27</v>
      </c>
      <c r="I73" t="s">
        <v>6</v>
      </c>
      <c r="J73" t="s">
        <v>55</v>
      </c>
      <c r="K73" t="s">
        <v>45</v>
      </c>
      <c r="L73" t="s">
        <v>24</v>
      </c>
      <c r="M73">
        <v>1</v>
      </c>
    </row>
    <row r="74" spans="1:13" x14ac:dyDescent="0.25">
      <c r="A74" s="2">
        <v>46318</v>
      </c>
      <c r="B74" s="1" t="str">
        <f ca="1">IF(Información1[[#This Row],[Fecha]]='Ajuste de fechas'!$A$2,"Día actual","Día anterior")</f>
        <v>Día actual</v>
      </c>
      <c r="C74" t="s">
        <v>28</v>
      </c>
      <c r="D74" t="s">
        <v>33</v>
      </c>
      <c r="E74" t="s">
        <v>190</v>
      </c>
      <c r="F74" t="s">
        <v>9</v>
      </c>
      <c r="G74" t="s">
        <v>191</v>
      </c>
      <c r="H74" t="s">
        <v>27</v>
      </c>
      <c r="I74" t="s">
        <v>6</v>
      </c>
      <c r="J74" t="s">
        <v>17</v>
      </c>
      <c r="K74" t="s">
        <v>30</v>
      </c>
      <c r="L74" t="s">
        <v>20</v>
      </c>
      <c r="M74">
        <v>1</v>
      </c>
    </row>
    <row r="75" spans="1:13" x14ac:dyDescent="0.25">
      <c r="A75" s="2">
        <v>46318</v>
      </c>
      <c r="B75" s="1" t="str">
        <f ca="1">IF(Información1[[#This Row],[Fecha]]='Ajuste de fechas'!$A$2,"Día actual","Día anterior")</f>
        <v>Día actual</v>
      </c>
      <c r="C75" t="s">
        <v>43</v>
      </c>
      <c r="D75" t="s">
        <v>44</v>
      </c>
      <c r="E75" t="s">
        <v>192</v>
      </c>
      <c r="F75" t="s">
        <v>57</v>
      </c>
      <c r="G75" t="s">
        <v>193</v>
      </c>
      <c r="H75" t="s">
        <v>27</v>
      </c>
      <c r="I75" t="s">
        <v>6</v>
      </c>
      <c r="J75" t="s">
        <v>58</v>
      </c>
      <c r="K75" t="s">
        <v>45</v>
      </c>
      <c r="L75" t="s">
        <v>24</v>
      </c>
      <c r="M75">
        <v>1</v>
      </c>
    </row>
    <row r="76" spans="1:13" x14ac:dyDescent="0.25">
      <c r="A76" s="2">
        <v>46318</v>
      </c>
      <c r="B76" s="1" t="str">
        <f ca="1">IF(Información1[[#This Row],[Fecha]]='Ajuste de fechas'!$A$2,"Día actual","Día anterior")</f>
        <v>Día actual</v>
      </c>
      <c r="C76" t="s">
        <v>43</v>
      </c>
      <c r="D76" t="s">
        <v>44</v>
      </c>
      <c r="E76" t="s">
        <v>194</v>
      </c>
      <c r="F76" t="s">
        <v>32</v>
      </c>
      <c r="G76" t="s">
        <v>195</v>
      </c>
      <c r="H76" t="s">
        <v>27</v>
      </c>
      <c r="I76" t="s">
        <v>6</v>
      </c>
      <c r="J76" t="s">
        <v>17</v>
      </c>
      <c r="K76" t="s">
        <v>52</v>
      </c>
      <c r="L76" t="s">
        <v>18</v>
      </c>
      <c r="M76">
        <v>1</v>
      </c>
    </row>
    <row r="77" spans="1:13" x14ac:dyDescent="0.25">
      <c r="A77" s="2">
        <v>46318</v>
      </c>
      <c r="B77" s="1" t="str">
        <f ca="1">IF(Información1[[#This Row],[Fecha]]='Ajuste de fechas'!$A$2,"Día actual","Día anterior")</f>
        <v>Día actual</v>
      </c>
      <c r="C77" t="s">
        <v>28</v>
      </c>
      <c r="D77" t="s">
        <v>33</v>
      </c>
      <c r="E77" t="s">
        <v>196</v>
      </c>
      <c r="F77" t="s">
        <v>54</v>
      </c>
      <c r="G77" t="s">
        <v>197</v>
      </c>
      <c r="H77" t="s">
        <v>27</v>
      </c>
      <c r="I77" t="s">
        <v>6</v>
      </c>
      <c r="J77" t="s">
        <v>55</v>
      </c>
      <c r="K77" t="s">
        <v>30</v>
      </c>
      <c r="L77" t="s">
        <v>18</v>
      </c>
      <c r="M77">
        <v>1</v>
      </c>
    </row>
    <row r="78" spans="1:13" x14ac:dyDescent="0.25">
      <c r="A78" s="2">
        <v>46318</v>
      </c>
      <c r="B78" s="1" t="str">
        <f ca="1">IF(Información1[[#This Row],[Fecha]]='Ajuste de fechas'!$A$2,"Día actual","Día anterior")</f>
        <v>Día actual</v>
      </c>
      <c r="C78" t="s">
        <v>38</v>
      </c>
      <c r="D78" t="s">
        <v>39</v>
      </c>
      <c r="E78" t="s">
        <v>198</v>
      </c>
      <c r="F78" t="s">
        <v>25</v>
      </c>
      <c r="G78" t="s">
        <v>47</v>
      </c>
      <c r="H78" t="s">
        <v>40</v>
      </c>
      <c r="I78" t="s">
        <v>10</v>
      </c>
      <c r="J78" t="s">
        <v>17</v>
      </c>
      <c r="K78" t="s">
        <v>42</v>
      </c>
      <c r="L78" t="s">
        <v>19</v>
      </c>
      <c r="M78">
        <v>1</v>
      </c>
    </row>
    <row r="79" spans="1:13" x14ac:dyDescent="0.25">
      <c r="A79" s="2">
        <v>46318</v>
      </c>
      <c r="B79" s="1" t="str">
        <f ca="1">IF(Información1[[#This Row],[Fecha]]='Ajuste de fechas'!$A$2,"Día actual","Día anterior")</f>
        <v>Día actual</v>
      </c>
      <c r="C79" t="s">
        <v>38</v>
      </c>
      <c r="D79" t="s">
        <v>39</v>
      </c>
      <c r="E79" t="s">
        <v>199</v>
      </c>
      <c r="F79" t="s">
        <v>54</v>
      </c>
      <c r="G79" t="s">
        <v>200</v>
      </c>
      <c r="H79" t="s">
        <v>40</v>
      </c>
      <c r="I79" t="s">
        <v>6</v>
      </c>
      <c r="J79" t="s">
        <v>55</v>
      </c>
      <c r="K79" t="s">
        <v>42</v>
      </c>
      <c r="L79" t="s">
        <v>18</v>
      </c>
      <c r="M79">
        <v>1</v>
      </c>
    </row>
    <row r="80" spans="1:13" x14ac:dyDescent="0.25">
      <c r="A80" s="2">
        <v>46318</v>
      </c>
      <c r="B80" s="1" t="str">
        <f ca="1">IF(Información1[[#This Row],[Fecha]]='Ajuste de fechas'!$A$2,"Día actual","Día anterior")</f>
        <v>Día actual</v>
      </c>
      <c r="C80" t="s">
        <v>43</v>
      </c>
      <c r="D80" t="s">
        <v>44</v>
      </c>
      <c r="E80" t="s">
        <v>201</v>
      </c>
      <c r="F80" t="s">
        <v>54</v>
      </c>
      <c r="G80" t="s">
        <v>61</v>
      </c>
      <c r="H80" t="s">
        <v>27</v>
      </c>
      <c r="I80" t="s">
        <v>6</v>
      </c>
      <c r="J80" t="s">
        <v>55</v>
      </c>
      <c r="K80" t="s">
        <v>52</v>
      </c>
      <c r="L80" t="s">
        <v>18</v>
      </c>
      <c r="M80">
        <v>1</v>
      </c>
    </row>
    <row r="81" spans="1:13" x14ac:dyDescent="0.25">
      <c r="A81" s="2">
        <v>46318</v>
      </c>
      <c r="B81" s="1" t="str">
        <f ca="1">IF(Información1[[#This Row],[Fecha]]='Ajuste de fechas'!$A$2,"Día actual","Día anterior")</f>
        <v>Día actual</v>
      </c>
      <c r="C81" t="s">
        <v>35</v>
      </c>
      <c r="D81" t="s">
        <v>36</v>
      </c>
      <c r="E81" t="s">
        <v>202</v>
      </c>
      <c r="F81" t="s">
        <v>59</v>
      </c>
      <c r="G81" t="s">
        <v>131</v>
      </c>
      <c r="H81" t="s">
        <v>27</v>
      </c>
      <c r="I81" t="s">
        <v>7</v>
      </c>
      <c r="J81" t="s">
        <v>17</v>
      </c>
      <c r="K81" t="s">
        <v>37</v>
      </c>
      <c r="L81" t="s">
        <v>20</v>
      </c>
      <c r="M81">
        <v>1</v>
      </c>
    </row>
    <row r="82" spans="1:13" x14ac:dyDescent="0.25">
      <c r="A82" s="2">
        <v>46318</v>
      </c>
      <c r="B82" s="1" t="str">
        <f ca="1">IF(Información1[[#This Row],[Fecha]]='Ajuste de fechas'!$A$2,"Día actual","Día anterior")</f>
        <v>Día actual</v>
      </c>
      <c r="C82" t="s">
        <v>28</v>
      </c>
      <c r="D82" t="s">
        <v>29</v>
      </c>
      <c r="E82" t="s">
        <v>202</v>
      </c>
      <c r="F82" t="s">
        <v>59</v>
      </c>
      <c r="G82" t="s">
        <v>131</v>
      </c>
      <c r="H82" t="s">
        <v>27</v>
      </c>
      <c r="I82" t="s">
        <v>6</v>
      </c>
      <c r="J82" t="s">
        <v>17</v>
      </c>
      <c r="K82" t="s">
        <v>31</v>
      </c>
      <c r="L82" t="s">
        <v>20</v>
      </c>
      <c r="M82">
        <v>1</v>
      </c>
    </row>
    <row r="83" spans="1:13" x14ac:dyDescent="0.25">
      <c r="A83" s="2">
        <v>46318</v>
      </c>
      <c r="B83" s="1" t="str">
        <f ca="1">IF(Información1[[#This Row],[Fecha]]='Ajuste de fechas'!$A$2,"Día actual","Día anterior")</f>
        <v>Día actual</v>
      </c>
      <c r="C83" t="s">
        <v>38</v>
      </c>
      <c r="D83" t="s">
        <v>39</v>
      </c>
      <c r="E83" t="s">
        <v>203</v>
      </c>
      <c r="F83" t="s">
        <v>59</v>
      </c>
      <c r="G83" t="s">
        <v>129</v>
      </c>
      <c r="H83" t="s">
        <v>40</v>
      </c>
      <c r="I83" t="s">
        <v>6</v>
      </c>
      <c r="J83" t="s">
        <v>17</v>
      </c>
      <c r="K83" t="s">
        <v>42</v>
      </c>
      <c r="L83" t="s">
        <v>18</v>
      </c>
      <c r="M83">
        <v>1</v>
      </c>
    </row>
    <row r="84" spans="1:13" x14ac:dyDescent="0.25">
      <c r="A84" s="2">
        <v>46318</v>
      </c>
      <c r="B84" s="1" t="str">
        <f ca="1">IF(Información1[[#This Row],[Fecha]]='Ajuste de fechas'!$A$2,"Día actual","Día anterior")</f>
        <v>Día actual</v>
      </c>
      <c r="C84" t="s">
        <v>28</v>
      </c>
      <c r="D84" t="s">
        <v>33</v>
      </c>
      <c r="E84" t="s">
        <v>204</v>
      </c>
      <c r="F84" t="s">
        <v>56</v>
      </c>
      <c r="G84" t="s">
        <v>74</v>
      </c>
      <c r="H84" t="s">
        <v>27</v>
      </c>
      <c r="I84" t="s">
        <v>6</v>
      </c>
      <c r="J84" t="s">
        <v>56</v>
      </c>
      <c r="K84" t="s">
        <v>30</v>
      </c>
      <c r="L84" t="s">
        <v>24</v>
      </c>
      <c r="M84">
        <v>1</v>
      </c>
    </row>
    <row r="85" spans="1:13" x14ac:dyDescent="0.25">
      <c r="A85" s="2">
        <v>46318</v>
      </c>
      <c r="B85" s="1" t="str">
        <f ca="1">IF(Información1[[#This Row],[Fecha]]='Ajuste de fechas'!$A$2,"Día actual","Día anterior")</f>
        <v>Día actual</v>
      </c>
      <c r="C85" t="s">
        <v>38</v>
      </c>
      <c r="D85" t="s">
        <v>39</v>
      </c>
      <c r="E85" t="s">
        <v>205</v>
      </c>
      <c r="F85" t="s">
        <v>26</v>
      </c>
      <c r="G85" t="s">
        <v>51</v>
      </c>
      <c r="H85" t="s">
        <v>40</v>
      </c>
      <c r="I85" t="s">
        <v>6</v>
      </c>
      <c r="J85" t="s">
        <v>17</v>
      </c>
      <c r="K85" t="s">
        <v>42</v>
      </c>
      <c r="L85" t="s">
        <v>18</v>
      </c>
      <c r="M8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22</v>
      </c>
      <c r="B1" t="s">
        <v>23</v>
      </c>
    </row>
    <row r="2" spans="1:2" x14ac:dyDescent="0.25">
      <c r="A2" s="2">
        <f ca="1">TODAY()</f>
        <v>46318</v>
      </c>
      <c r="B2" s="2">
        <f ca="1">A2-1</f>
        <v>46317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2026-10-23T22:20:40Z</dcterms:modified>
</cp:coreProperties>
</file>