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B97FDB6C-0013-4E49-A99E-00C030ACA8BF}"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40" i="2"/>
  <c r="B42" i="2"/>
  <c r="B44" i="2"/>
  <c r="B46" i="2"/>
  <c r="B48" i="2"/>
  <c r="B50" i="2"/>
  <c r="B52" i="2"/>
  <c r="B54" i="2"/>
  <c r="B56" i="2"/>
  <c r="B57" i="2"/>
  <c r="B60" i="2"/>
  <c r="B62" i="2"/>
  <c r="B64" i="2"/>
  <c r="B66" i="2"/>
  <c r="B35" i="2"/>
  <c r="B36" i="2"/>
  <c r="B37" i="2"/>
  <c r="B38" i="2"/>
  <c r="B39" i="2"/>
  <c r="B41" i="2"/>
  <c r="B43" i="2"/>
  <c r="B45" i="2"/>
  <c r="B47" i="2"/>
  <c r="B49" i="2"/>
  <c r="B51" i="2"/>
  <c r="B53" i="2"/>
  <c r="B55" i="2"/>
  <c r="B58" i="2"/>
  <c r="B59" i="2"/>
  <c r="B61" i="2"/>
  <c r="B63" i="2"/>
  <c r="B65"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4" i="2"/>
  <c r="B106" i="2"/>
  <c r="B108" i="2"/>
  <c r="B110" i="2"/>
  <c r="B112" i="2"/>
  <c r="B114" i="2"/>
  <c r="B116" i="2"/>
  <c r="B118" i="2"/>
  <c r="B120" i="2"/>
  <c r="B122" i="2"/>
  <c r="B124" i="2"/>
  <c r="B126" i="2"/>
  <c r="B128" i="2"/>
  <c r="B130" i="2"/>
  <c r="B132" i="2"/>
  <c r="B101" i="2"/>
  <c r="B102" i="2"/>
  <c r="B103" i="2"/>
  <c r="B105" i="2"/>
  <c r="B107" i="2"/>
  <c r="B109" i="2"/>
  <c r="B111" i="2"/>
  <c r="B113" i="2"/>
  <c r="B115" i="2"/>
  <c r="B117" i="2"/>
  <c r="B119" i="2"/>
  <c r="B121" i="2"/>
  <c r="B123" i="2"/>
  <c r="B125" i="2"/>
  <c r="B127" i="2"/>
  <c r="B129" i="2"/>
  <c r="B131" i="2"/>
  <c r="B133"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<sst xmlns="http://schemas.openxmlformats.org/spreadsheetml/2006/main" count="1335" uniqueCount="278">
  <si>
    <t>Fecha</t>
  </si>
  <si>
    <t>Titular</t>
  </si>
  <si>
    <t>Dependencia</t>
  </si>
  <si>
    <t>Canal</t>
  </si>
  <si>
    <t>Tema</t>
  </si>
  <si>
    <t>Estatus</t>
  </si>
  <si>
    <t>Sipdus</t>
  </si>
  <si>
    <t>Informativa</t>
  </si>
  <si>
    <t>Acir 92.5 FM</t>
  </si>
  <si>
    <t>Radioescucha</t>
  </si>
  <si>
    <t>Panorama Informativo Pachuca</t>
  </si>
  <si>
    <t>Positiva</t>
  </si>
  <si>
    <t>Eulalio Larrieta</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</si>
  <si>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</si>
  <si>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</si>
  <si>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</si>
  <si>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</si>
  <si>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</si>
  <si>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</si>
  <si>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</si>
  <si>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</si>
  <si>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</si>
  <si>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</si>
  <si>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</si>
  <si>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</si>
  <si>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</si>
  <si>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</si>
  <si>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</si>
  <si>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</si>
  <si>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</si>
  <si>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</si>
  <si>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</si>
  <si>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</si>
  <si>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</si>
  <si>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</si>
  <si>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</si>
  <si>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</si>
  <si>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</si>
  <si>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</si>
  <si>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</si>
  <si>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Eulalio Larrieta agradece Paola García y Lic. Sarahi Pineda, por estar atentas a los mensajes de la ciudadanía y por atenderlos.</t>
  </si>
  <si>
    <t>Congreso</t>
  </si>
  <si>
    <t>Entrevista</t>
  </si>
  <si>
    <t>Eulalio Larrieta agradece a Carlos Gamiño por estar al pendiente de temas.</t>
  </si>
  <si>
    <t>Bienestar</t>
  </si>
  <si>
    <t>DIFH</t>
  </si>
  <si>
    <t>Eulalio Larrieta agradece a Edith Balderas de la Secretaria de Educación Pública.</t>
  </si>
  <si>
    <t>Segobh</t>
  </si>
  <si>
    <t>Eulalio Larrieta agradece a Jair Martínez de la SEGOBH, porque esta al pendiente de lo que se necesite y los reportes.</t>
  </si>
  <si>
    <t>Abasto de agua</t>
  </si>
  <si>
    <t>SSH</t>
  </si>
  <si>
    <t>Cultura</t>
  </si>
  <si>
    <t>Informe De Gobierno</t>
  </si>
  <si>
    <t>RADIO LOCAL</t>
  </si>
  <si>
    <t>NQ 90.1 FM</t>
  </si>
  <si>
    <t>Enlace Hidalgo1</t>
  </si>
  <si>
    <t>Jesús Riveros</t>
  </si>
  <si>
    <t>Juan Carlos Santamaría</t>
  </si>
  <si>
    <t>Ultra 102.9 FM</t>
  </si>
  <si>
    <t>Ultra Noticias1</t>
  </si>
  <si>
    <t>Vialidad En Mal Estado</t>
  </si>
  <si>
    <t>Aspirantes</t>
  </si>
  <si>
    <t>Daniel Martínez</t>
  </si>
  <si>
    <t>Canal del Pueblo</t>
  </si>
  <si>
    <t>Vocales Radio</t>
  </si>
  <si>
    <t>Saderh</t>
  </si>
  <si>
    <t>TV LOCAL</t>
  </si>
  <si>
    <t>Aldo Falcón</t>
  </si>
  <si>
    <t>Andrés Torres</t>
  </si>
  <si>
    <t>Planeación</t>
  </si>
  <si>
    <t>Reparto de Comisiones</t>
  </si>
  <si>
    <t>Sucesión gubernamental</t>
  </si>
  <si>
    <t>Jessenia Romero</t>
  </si>
  <si>
    <t>Vía telefónica el reporte de Bombero y Protección Civil con Abner Yáñez informa de las diversas emergencias reportadas por la ciudadanía y que fueron atendidas.</t>
  </si>
  <si>
    <t>Auxilio a la ciudadanía</t>
  </si>
  <si>
    <t>Abner Yáñez</t>
  </si>
  <si>
    <t>Participación</t>
  </si>
  <si>
    <t>La Poderosa Tuxpan 93.1 FM</t>
  </si>
  <si>
    <t>Nn Nuestras Noticias Zona Norte</t>
  </si>
  <si>
    <t>Liz Argüelles</t>
  </si>
  <si>
    <t>Radio Lobo 96.7 FM</t>
  </si>
  <si>
    <t>Enlace Noticias</t>
  </si>
  <si>
    <t>Súper Stéreo 100.5 FM</t>
  </si>
  <si>
    <t>Enfoque Regional Matutino</t>
  </si>
  <si>
    <t>Rodolfo López</t>
  </si>
  <si>
    <t>PGJEH</t>
  </si>
  <si>
    <t>Enlace Hidalgo2</t>
  </si>
  <si>
    <t>Ke Buena 106.7 FM</t>
  </si>
  <si>
    <t>Noticias 106.7</t>
  </si>
  <si>
    <t>David Cárdenas</t>
  </si>
  <si>
    <t>OCSAD</t>
  </si>
  <si>
    <t>Localización de cuerpo</t>
  </si>
  <si>
    <t>Proceso electoral</t>
  </si>
  <si>
    <t>Capacitación</t>
  </si>
  <si>
    <t>Sedeco</t>
  </si>
  <si>
    <t>Rehabilitación animal</t>
  </si>
  <si>
    <t>Combate a la delincuencia</t>
  </si>
  <si>
    <t>Jornada de cirugías</t>
  </si>
  <si>
    <t>Contraloría</t>
  </si>
  <si>
    <t>Asistencia de parto</t>
  </si>
  <si>
    <t>Vacunación Antirrábica</t>
  </si>
  <si>
    <t>Andrés Torres menciona que Miguel Tello, el Secretario de la Unidad de Planeación y Prospectiva, estuvo en Nicolás Flores en representación del Gobernador. Tello asistió al informe del Presidente Municipal y recorrió el área donde comenzarán los trabajos de un libramiento, un proyecto crucial que unirá el Valle del Mezquital con la Sierra, Pachuca y otras áreas. Este libramiento se puede considerar más importante que la ampliación de la carretera México-Pachuca por su impacto en la conectividad. Ha sido un proyecto antiguo que, gracias al Gobierno de Julio Menchaca, está finalmente aprobado por el Gobierno Federal. Este nuevo camino facilitará el transporte y potenciará el comercio y la economía en la región, evitando rutas largas actuales y mejorando el acceso entre localidades como Tasquillo y Metztitlán.</t>
  </si>
  <si>
    <t>Infraestructura vial</t>
  </si>
  <si>
    <t>El gobernador Julio Menchaca Salazar presentó su cuarto Informe de Gobierno, destacando los logros y avances durante sus primeros cuatro años en el cargo. Anunció proyectos importantes de infraestructura que comenzarán en el quinto año en Hidalgo, resaltando que el estado tiene el mayor crecimiento económico y en empleos formales a nivel nacional. Uno de los proyectos más relevantes es la ampliación de la carretera México-Pachuca a ocho carriles, que mejorará la conectividad en la zona metropolitana de la Ciudad de México, incluyendo localidades como Tizayuca y Tolcayuca. Otro anuncio significativo es el libramiento Actopan-Atotonilco, que unirá distintas regiones y facilitará el acceso para los habitantes de Zacualtipán y Molango a áreas como los balnearios en Ixmiquilpan. También se mencionó la ampliación del Río de las Avenidas en Pachuca, la cual es considerada vital para el desarrollo de la ciudad. El gobernador expresó su compromiso de que el crecimiento se vea reflejado en cada comunidad, mejorando las oportunidades de miles de familias en áreas como seguridad, educación y servicios. Afirmó que Hidalgo está siendo reconocido por sus condiciones favorables y está en camino de convertirse en una potencia en marcha. En cuanto a finanzas, el gobernador mencionó que el estado ha recaudado más y debe menos, alcanzando el primer lugar nacional en eficiencia recaudatoria. La agencia Fitch Ratings también otorgó a Hidalgo la calificación crediticia más alta, AAA, como resultado de una gestión financiera transparente y honesta, lo que favorece la atracción de inversiones. El informe indica un fuerte enfoque en el desarrollo y el bienestar de los hidalguenses, con anuncios importantes en infraestructura que reflejan el compromiso del gobernador Menchaca. Se concluirá el segmento con un anuncio comercial y se promete regresar con más información.</t>
  </si>
  <si>
    <t>Durante el cuarto informe de gobierno de Julio Menchaca Salazar, el magisterio de Hidalgo refrendó su disposición para mantener una coordinación cercana con la administración estatal, con el propósito de fortalecer el sector educativo y generar mejores condiciones para las y los trabajadores de la educación. En este ejercicio de rendición de cuentas y diálogo institucional participó Said Vargas Sáenz, secretario general de la Sección 15 del Sindicato Nacional de Trabajadores de la Educación (SNTE), acompañado por Jaime Rochín, representante del secretario general del SNTE, Alfonso Cepeda Salas. Desde el ámbito sindical se reconoció la voluntad del gobernador Julio Menchaca para mantener una relación de trabajo cercana con la organización magisterial, basada en el diálogo y la coordinación institucional. El encuentro permitió refrendar el compromiso de continuar impulsando acciones que contribuyan al bienestar de las y los trabajadores de la educación, así como al fortalecimiento de la educación pública en Hidalgo. El encuentro permitió refrendar el compromiso de continuar impulsando acciones que contribuyan al bienestar de las y los trabajadores de la educación, así como al fortalecimiento de la educación pública en Hidalgo.</t>
  </si>
  <si>
    <t>Gracias al trabajo de Julio Menchaca y Natividad Castrejón. El secretario de Educación Pública ha publicado en redes sociales los apoyos educativos que benefician a muchas familias. Estos apoyos hacen que los estudiantes se sientan más tranquilos y se enfoquen en aprender. El 44% del presupuesto del estado se destina a educación, lo que equivale a más de 121 mil millones de pesos en cuatro años. Bajo la dirección de Menchaca, la Secretaría de Educación Pública ha mejorado las condiciones de aprendizaje y ampliado las oportunidades educativas para todos los jóvenes en Hidalgo.</t>
  </si>
  <si>
    <t>Radioescucha, Roberto Pérez: desde Mangas dice: "...felicitación enorme al gobernador Julio Menchaca Salazar por los resultados de su gobierno en Tezontepec de Aldama. Las obras de calidad como la nueva red de agua potable y la rehabilitación de la cancha de básquetbol en Mangas. Muy buenos días, saludos".</t>
  </si>
  <si>
    <t>En respuesta a un radioescucha que se hace llamar "Bolsas" y que comunica que hoy se firman las condiciones generales de trabajo para los trabajadores de la Universidad Tecnológica de la Huasteca, Andrés Torres menciona que un tema importante de la semana pasada se resolvió satisfactoriamente, gracias a la intervención del subsecretario de Educación, Daniel Fragoso, y a los representantes de los maestros. Esto permitirá que la vida escolar vuelva a la normalidad en la Universidad Tecnológica de la Huasteca Hidalguense.</t>
  </si>
  <si>
    <t>Protesta sindical</t>
  </si>
  <si>
    <t>En cabina Alberto Gonzpalez y Andrés Torres comentan sobre el informe de gobierno del gobernador Julio Menchca y destacan que les parece bueno que en lo que va de la administración no se ha adquirido una deuda pública y por el contrario hubo una disminución del 44% en la deuda pública del estado de Hidalgo. Las finanzas actuales priorizan no adquirir nueva deuda para evitar el pago de elevadas tasas de interés. Se señaló la inversión estatal de $52.1 millones de pesos provenientes del impuesto vehicular para la compra de 71 patrullas distribuidas en municipios. En contraste, se cuestionó la gestión de recursos locales como en Actopan, donde un subsidio federal de $54 millones en 2025 rindió únicamente para entre 5 y 7 patrullas y un C2. en seste sentido, Andrés Torres aclaró que una patrulla equipada (con radiocomunicación, computadoras, torretas y adecuaciones mecánicas/de carrocería) puede alcanzar los $5 millones de pesos. Además, la falta de proveedores locales de blindaje o equipamiento obliga a trasladar las unidades a otros estados. Alberto González criticó la falta de personal calificado en los municipios para operar vehículos o tecnologías complejas. A diferencia de proveedores de maquinaria especializada (como camiones Váctor) que incluyen instrucción técnica, el uso de patrullas inteligentes y armamento requiere certificaciones estrictas e intermediación de la Secretaría de Seguridad Pública del Estado mediante el Mando Coordinado. Asimismo, González señaló la rotación de jefes policiales en Mixquiahuala y Actopan tras filtrarse audios y videos de presunta extorsión o manipulación de evidencias. Destacaron el anuncio de la ampliación de la carretera Actopan - Atotonilco El Grande, que recuerda fue planeada originalmente durante la gubernatura de Manuel Ángel Núñez Soto (1999), y que en el gobierno de Julio Menchca está por concretarse. No obstante, se subrayó la necesidad expresada por la Unidad de Planeación de socializar con tiempo los trazos viales, posibles indemnizaciones de predios y afectaciones. Sobre la ampliación de la carretera México - Pachuca (Tramo Téllez - Zapotlán), comentaron que la inversión actual es estatal debido a que, históricamente, las autoridades federales no consideraban rentable financieramente la ampliación a cuatro carriles de Téllez al AIFA por el flujo vehicular. Andrés Torres concluyó que la obra es prioritaria ante la integración oficial de municipios como Tizayuca, Tolcayuca y Zapotlán a la Zona Metropolitana del Valle de México, previendo un crecimiento demográfico y de tránsito local acelerado.</t>
  </si>
  <si>
    <t>Andrés Torres Y Alberto Gonzálezz</t>
  </si>
  <si>
    <t>Podría aumentar cantidad de lluvia este año en Hidalgo, comparado con 2025: PC estatal Ramón Bernal Díaz, titular de la subsecretaría de Protección Civil y Gestión de Riesgos del Estado de Hidalgo, señaló que se prevén lluvias por arriba de lo registrado el año pasado, durante los meses de septiembre y octubre del presente 2026. Señaló que las condiciones actuales requieren atención, particularmente ante la presencia del fenómeno de El Niño, donde las lluvias estarán presentes. “Recordemos que en la vaguada monzónica (del año pasado) no hubo ni registro de depresión, simplemente se formó una concentración de nubes que nos trajo esa cantidad de lluvias. Hay que estar alertas porque hay mucha humedad en el ambiente”, precisó. El funcionario estatal comentó que el efecto del monzón mexicano puede provocar lluvias muy fuertes en cualquier momento. Por lo que la dependencia a su cargo mantiene el monitoreo permanente en los lugares con más lluvias, además que los ríos están por debajo de los niveles de desbordamiento. “No hemos tenido el riesgo latente, el riesgo existe pero no lo tenemos de efecto inmediato, pero sí se han estado monitoreando, estamos con el alertamiento cada 3 horas a fin de que la población tenga el conocimiento de en qué momento debe de evacuar si es necesario”, puntualizó. Durante septiembre de 2025, las precipitaciones en la entidad rondaron entre 50 y 75 milímetros; posteriormente, en octubre, la presencia de la vaguada monzónica generó graves afectaciones en distintos puntos del estado. De acuerdo con los registros de la Comisión Nacional del Agua, las lluvias acumuladas al cierre de ese mes alcanzaron 173.2 milímetros. Agregó que las recientes lluvias en distintas partes del estado no han registrado daños mayores, sólo anegaciones y encharcamientos, pero sin afectaciones directas a la población. Sin embargo, señaló que alrededor de dos mil familias continúan en zonas de riesgo, que aunque ya recibieron la indicación de evacuar, muchas todavía se resisten a dejar sus viviendas. Ante esta situación, señaló que las familias deben permanecer atentas a los alertamientos que emita la Subsecretaría de Protección Civil a través de las direcciones municipales de Protección Civil. Respecto a los municipios del norte del estado que resultaron afectados durante la vaguada monzónica, informó que las autoridades continúan con el monitoreo. Añadió que los niveles de los ríos permanecen bajos y, hasta el momento, no representan algún tipo de riesgo.</t>
  </si>
  <si>
    <t>Prevención Meteorológica</t>
  </si>
  <si>
    <t>Iza Hernández</t>
  </si>
  <si>
    <t>Sin registro de atención a emergencias por tomas de hidrocarburo, por parte de PC de Santiago Tulantepec En lo que va del presente año, el cuerpo de Bomberos y Protección Civil de Santiago Tulantepec no ha atendido reportes relacionados con emergencias en ductos de hidrocarburo que están dentro del municipio.Al respecto, Edmundo Hernández Chimal, director de la corporación, consideró que la presencia más constante de personal de Seguridad Física de Petróleos Mexicanos (Pemex), ha disminuido la intervención de los bomberos municipales. Señaló que en casos más urgentes, son requeridos por la empresa paraestatal, tanto para las labores de contención a emergencias, como para aplicar protocolos a la población que podría estar en riesgo. La situación más complicada en la que apoyaron el cuerpo de Bomberos y Protección Civil de Santiago Tulantepec ocurrió el año pasado, cuando se registró una fuerte fuga de hidrocarburo en la zona de Paxtepec.En aquel momento fue necesario evacuar a parte de la población, por el fuerte olor a hidrocarburo que se dispersó en el aire, incluso a varios kilómetros de distancia. Hernández Chimal recordó que entre los años 2018 a 2021 se presentó la situación más complicada en cuanto a atención a emergencias en ductos de hidrocarburo a cargo de Pemex, que cruzan por el municipio. En aquel momento, los elementos de la corporación atendían un promedio de 3 a 4 emergencias por semana, muchas de ellas relacionadas con fuga de hidrocarburo. El mando recordó que en aquel momento, personal de Seguridad Física de Pemex tardaba hasta dos horas en arribar para atender las emergencias. Incluso, derivado de la necesidad de contar con más equipo para atención, se adquirió una pipa más, bajo la responsabilidad de Protección Civil de Santiago Tulantepec. Hernández Chimal señaló que actualmente el panorama es distinto, insistiendo que la presencia de personal de la paraestatal, con apoyo de oficiales de la Guardia Nacional, ha permitido una atención más pronta en este tipo de emergencias. Enfatizó que en caso necesario, los bomberos de Santiago Tulantepec apoyarán siempre que sean requeridos.</t>
  </si>
  <si>
    <t>Fuga de hidrocarburo</t>
  </si>
  <si>
    <t>Proteger a niñas, niños y adolescentes es una responsabilidad que requiere información, prevención y la participación de toda la sociedad. Por ello, el Gobierno Municipal de Tulancingo, a través del Sistema Municipal de Protección Integral de Niñas, Niños y Adolescentes (SIPINNA), se sumó a la Jornada Nacional de Concientización sobre la gravedad del abuso y maltrato infantil. Como parte de esta estrategia, este viernes la Secretaría Ejecutiva de SIPINNA Tulancingo impartió una capacitación a servidores públicos de distintas dependencias municipales, con el propósito de fortalecer sus herramientas para detectar, prevenir, acompañar y denunciar posibles casos de abuso sexual infantil. Durante la jornada, Emma San Agustín Lemus, titular de SIPINNA Tulancingo, informó que en 2025 se registraron 11 mil 122 denuncias por abuso sexual infantil a nivel nacional, cifra que también refleja una mayor información sobre este problema y un mayor conocimiento de los mecanismos para solicitar ayuda y denunciar. Ante esta realidad, SIPINNA Tulancingo busca generar un efecto multiplicador, fortaleciendo una red de personas servidoras públicas y ciudadanos comprometidos con la construcción de entornos seguros para la niñez y adolescencia. La estrategia continuará a partir del lunes 7 de septiembre en 10 centros educativos de nivel preescolar, primaria y secundaria, donde se realizarán acciones dirigidas a madres y padres de familia, docentes y alumnado, con información que permita reconocer señales de alerta, prevenir situaciones de riesgo y saber cómo actuar ante un posible caso de abuso. Con el respaldo decidido de la presidenta municipal Lorena García Cázares, Tulancingo desarrolla por segundo año consecutivo una estrategia de esta naturaleza, refrendando que la protección de niñas, niños y adolescentes es una prioridad y una responsabilidad compartida.</t>
  </si>
  <si>
    <t>Julio Menchaca consolida transformación educativa en Hidalgo</t>
  </si>
  <si>
    <t>399 personas, atendidas en jornada estatal de cataratas 399 personas provenientes de 64 municipios del Estado de Hidalgo fueron beneficiarias de la Jornada Estatal de Cirugías de Cataratas, realizada en las instalaciones del Hospital General IMSS Bienestar de Tulancingo. La jornada se desarrolló en dos etapas, los días 18 y 19 de agosto, así como 1 y 2 de septiembre, con el propósito de acercar servicios de salud a personas que enfrentan barreras económicas o geográﬁcas para acceder a una cirugía de cataratas, bajo criterios de oportunidad y equidad. El apoyo médico se realizó en coordinación con el Sistema DIF Hidalgo, para ubicar a las personas que requerían de las intervenciones quirúrgicas para mejorar su salud visual. Para hacer posible los procedimientos, el Gobierno Federal, a través del programa “Ver por México”, proporcionó material e insumos quirúrgicos, entre ellos los lentes intraoculares. Por su parte, el IMSS Bienestar en Hidalgo aportó la infraestructura hospitalaria, los quirófanos y las áreas de recuperación, además del suministro de insumos médicos y la coordinación del personal participante. Durante la clausura de la Jornada, Edda Vite Ramos, presidenta del Patronato del Sistema DIF Hidalgo, destacó que recuperar la visión también significa recuperar confianza, independencia y oportunidades. “Esta jornada representa más que un procedimiento médico. Recuperar la vista significa recuperar la confianza, la autonomía y la posibilidad de hacer muchas cosas que antes parecían imposibles”, expresó. En las intervenciones de extracción de catarata y colocación de lentes intraoculares, participaron 34 profesionales de la salud: seis médicos oftalmólogos, cuatro anestesiólogos, dos ingenieros biomédicos, ocho enfermeras instrumentistas y 14 enfermeras generales. Lo anterior fue informado por la doctora Alejandra Guadalupe Ramírez Reyes, titular de la Oﬁcina de Atención Médica Especializada. “Como parte de la estrategia, los pacientes recibieron sin costo valoraciones de medicina interna, anestesiología y estudios preoperatorios en 11 hospitales generales y regionales de la red IMSS Bienestar en Hidalgo: Pachuca, Tulancingo, Actopan, Apan, Huichapan, Huejutla, Ixmiquilpan, Jacala de Ledezma, Metztitlán, Tula y Tlanchinol”, indicó Ramírez Reyes. Explicó que esta dinámica permitió que las personas provenientes de distintas regiones del estado realizarán los estudios necesarios para su intervención en unidades cercanas a sus lugares de origen, sin necesidad de trasladarse hasta la sede de la jornada. Además del beneficio en la salud y la calidad de vida, esta acción representa un respaldo directo para la economía de las familias, ya que una cirugía de cataratas puede alcanzar un costo aproximado de 35 mil pesos, mientras que las personas beneficiarias recibieron el procedimiento de manera totalmente gratuita.</t>
  </si>
  <si>
    <t>Confirma Menchaca tres proyectos carreteros para el Estado de Hidalgo Tres proyectos viales, uno de ellos estatal, otro que conectará de forma más eficiente con la Zona Metropolitana del Valle de México, y otro más para Pachuca, fueron anunciados por el Gobernador del Estado de Hidalgo, Julio Menchaca Salazar. Lo anterior al realizar la lectura de su mensaje con motivo de su Cuarto Informe de Gobierno, ocurrido el viernes 4 de septiembre en las instalaciones de la Feria de Pachuca. Confirmó la construcción del eje transversal Actopan-Atotonilco el Grande que unirá las carreteras federales México-Laredo y México-Tampico con una inversión superior a los 900 millones de pesos. Menchaca Salazar también anunció la ampliación a ocho carriles de la carretera México-Pachuca, con más de 3 mil 200 mdp, partiendo del distribuidor vial de Téllez. Además, se continuará con la construcción del encauzamiento y terminación de vialidades en concreto hidráulico del Río de las Avenidas, desde la carretera Antigua La Paz hasta el bulevar Las Torres, con más de 2 mil millones de pesos. El titular del Poder Ejecutivo del Estado de Hidalgo dio a conocer en su mensaje que la Presidenta de México, Claudia Sheinbaum Pardo, visitará el Estado de Hidalgo el próximo 13 de septiembre. En dicha visita entregará un apoyo de 874 millones de pesos a 2 mil 185 familias para la reconstrucción de su patrimonio afectado por las torrenciales lluvias registradas en octubre del año pasado. Reconoció el respaldo de Claudia Sheinbaum Pardo, así como la participación de voluntarios locales y de otras entidades, para apoyar a las familias afectadas en 28 municipios, donde se registraron pérdidas humanas y daños en miles de familias. Menchaca Salazar señaló que durante la administración a su cargo, la población en algún grado de pobreza disminuyó de 41 a 35 por ciento, lo que representa 154 mil personas menos en esta condición. Señaló que durante los cuatro años de gobierno se destinaron más de 12 mil millones de pesos a 154 programas sociales y apoyos, además de 121 mil millones de pesos para fortalecer la educación. A ello se agrega la atracción de 130 proyectos productivos que representan una inversión de más de 147 mil millones de pesos y la generación de 191 mil empleos directos e indirectos. Este año, el estado es primer lugar nacional en crecimiento económico y el segundo en actividad industrial. Además, se redujo la deuda pública heredada en un 42 por ciento y la recaudación tuvo un crecimiento histórico del 96 por ciento. En materia de infraestructura pública, se han destinado 25 mil millones de pesos para ejecutar más de 4 mil 500 obras, de acuerdo a lo presentado en el Cuarto Informe de Gobierno. Se destaca que el Estado de Hidalgo se ubica entre los 10 estados más seguros del país, con una reducción del 71 y 24 por ciento en extorsión y homicidios, respectivamente; también se detuvo a 26 objetivos prioritarios de alta relevancia delictiva.</t>
  </si>
  <si>
    <t>Guillermo Olivares entrega al Congreso del Estado la glosa del Cuarto Informe de Gobierno</t>
  </si>
  <si>
    <t>Conversación por whatsapp con Adán Augusto “está sacada de contexto”: Cuauhtémoc Ochoa El Senador por el Estado de Hidalgo, Cuauhtémoc Ochoa Fernández, declaró que la fotografía publicada por el diario Reforma donde presuntamente se pone de acuerdo con el también Senador Adán Augusto López para el reparto de comisiones, “está sacada de contexto”. La imagen fue publicada por dicho medio de comunicación la semana pasada; se trata de un mensaje de whatsapp, presuntamente establecido por ambos legisladores. En este Ochoa Fernández habría solicitado autorización para presidir la Comisión de Bienestar y justificó su petición al señalar que Andrea Chávez será gobernadora de Chihuahua, según el contenido del mensaje difundido. El legislador también argumentó que encabezar dicha comisión podría ayudarle a posicionarse políticamente frente al gobernador de Hidalgo, Julio Menchaca. En la conversación, el Senador por el Estado de Hidalgo cuestionó si ese espacio sería entregado a la senadora Simey Olvera. El Senador Adán Augusto responde al respecto en el mismo mensaje “no mames. Simey ya me perdió”. “Está sacada de contexto, pregúntale a quien sacó la foto”, respondió a los reporteros que lo abordaron sobre el tema, durante su asistencia al Cuarto Informe del Gobernador de Hidalgo, Julio Menchaca Salazar. Respecto a su relación con el titular del Poder Ejecutivo del Estado de Hidalgo, respondió que “el gobernador es mi amigo y le tengo un enorme respeto”. Sobre el papel que podría desempeñar Adán Augusto López en la definición de candidaturas de Morena en Hidalgo, Ochoa se limitó a recordar su participación previa como delegado regional del partido. “El viene de delegado regional, cumpliendo el ejercicio del partido y es lo único que te puedo decir”. Respecto al Cuarto Informe de Gobierno de Julio Menchaca, Ochoa Fernández destacó los resultados que, desde su perspectiva, ha alcanzado la administración estatal durante sus primeros cuatro años. “Hoy es un gran día, el gobernador Julio Menchaca presenta su informe de resultados como lo ha hecho en sus cuatro años de gobierno y con una transformación importante para el estado de Hidalgo”, señaló el Senador por el Estado de Hidalgo.</t>
  </si>
  <si>
    <t>Siguen a la búsqueda de un niño desaparecido enLolotla. Híjole, el el año pasado, ya tiene más de un año, fue el 15 de abril del 2025 cuando se reportó la desaparición de Dorian Caleb Chiyo Arroyo, eh quien fue visto por última vez en el municipio de Lolotla. Eh estaba de visita en la casa de sus abuelos. Entiendo de que el último momento en que se le vio es cuando va a una de las eh de las habitaciones. De hecho, a la habitación de la abuela y no supieron más y de hecho, este pasado fin de semana se señaló que la búsqueda ya es a nivel internacional porque eh u- habría existido un avistamiento, no es un hecho, se está en la investigación correspondiente, habría existido un avistamiento de un niño con las características de Dorian Caleb Chiyo Arroyo en Bolivia, en Sudamérica. Esto lo señaló José Francisco García Reyes, titular de la Comisión de Búsqueda de Personas en el Estado de Hidalgo, quien confirmó justamente que en Bolivia se intensificó el operativo de búsqueda ya que presuntamente se observó a un niño con las mismas características que las del desaparecido Dorian Caleb. Aclaró que informa- que la información continúa en análisis, enfatizando que la conexión con otros países de Latinoamérica e incluso los Estados Unidos se realiza en coordinación con las embajadas con lo que se con la que se comparten los datos de la ficha de búsqueda. Además, recordó que la búsqueda se realiza a nivel nacional con las comisiones de los otros 31 estados del país que están dedicadas a eso, precisamente a la búsqueda de personas. Cito textual lo que dice el funcionario: "Hemos ido a campo con binomios caninos, con equipamiento de drones, con personal, se ha buscado a pie, se ha extendido no solamente en el contexto nacional, sino también en el contexto internacional, hasta el momento no lo hemos localizado". Señalando, insistiendo de que la búsqueda ya es eh incluso a nivel inter- internacional. Un avistamiento no significa una confirmación, significa una línea de investigación para poder dar con el paradero de del niño que, reitero, estaba de visita en la casa de los abuelos en la comunidad de Huitznopala, perdón, en Lolotla. Vestía playera color naranja, pants de color negro con manchas amarillas y tenis de color blanco. Dorian Caleb es originario del Estado de México y pues había viajado precisamente con sus padres a la casa de sus parientes en Semana Santa, el 15 de abril del año pasado específicamente, el último momento en que se le se le vio, y desapareció cuando, reitero, se dirigía a la a la habitación de su abuela precisamente. Desde entonces, desde hace más de un año, más de un año, se está a la búsqueda de Dorian Caleb.</t>
  </si>
  <si>
    <t>Búsqueda de personas</t>
  </si>
  <si>
    <t>Mujer da a luz en parque público de Pachuca Una mujer dio a luz a una bebé este viernes 4 de septiembre en el Parque Hidalgo, dentro de la ciudad de Pachuca, donde personas que se encontraban en el lugar se acercaron para auxiliarla mientras llegaban los servicios de emergencia. Se conoce que la mujer atendida es vecina de la colonia La Raza y comenzó con el trabajo de parto mientras se encontraba en dicho espacio público de Pachuca. La rapidez con la que ocurrió el nacimiento provocó que las personas presentes fueran las primeras en brindarle apoyo. Posteriormente arribó una ambulancia de la Policía Municipal y Protección Civil, cuyo personal atendió a la mujer y a la recién nacida antes de trasladarlas al Hospital General, donde ambas quedaron bajo valoración. Los primeros reportes indican que la madre y su hija se encuentran estables; permanecerán bajo atención hasta que el personal médico determine si existen condiciones para otorgarles el alta.</t>
  </si>
  <si>
    <t>Atienden de emergencia a personas lesionadas por picadura de abejas Al menos 11 personas resultaron lesionadas por múltiples picaduras de abeja en la comunidad de Santa Bárbara, dentro del municipio de Emiliano Zapata. Incluso dos de las personas que resultaron lesionadas fueron trasladadas para recibir atención médica especializada debido a la gravedad de las lesiones que presentaban. Los casos de mayor gravedad corresponden a una adolescente de 15 años y una mujer de 77; pues en la valoración médica se señala que cada una habría sufrido aproximadamente 100 picaduras en diferentes partes del cuerpo. Personal de Protección Civil Municipal acudió a prestar el apoyo tras recibir el reporte respecto al ataque de las abejas. La adolescente fue trasladada al Hospital Regional del Altiplano, ubicado en Apan, mientras que la adulta mayor ingresó a la clínica del Instituto Mexicano del Seguro Social de Ciudad Sahagún. El reporte médico señala que ambas mujeres están consideradas en condición grave de salud. Además de las dos pacientes hospitalizadas en estado delicado, otras ocho personas fueron alcanzadas por las abejas, aunque con un número menor de picaduras. Algunas de ellas fueron llevadas por sus familiares al Centro de Salud, donde se informó que permanecían estables. Una persona más acudió por sus propios medios al Hospital General de Apan para solicitar atención.</t>
  </si>
  <si>
    <t>El hallazgo de un cuerpo sin vida que se registró y además con huellas de violencia en San Agustín Tlaxiaca el pasado sábado 5 de septiembre por la mañana. Esto concretamente en la comunidad Tilcuautla en donde se señala que el cuerpo fue encontrado atado de pies y manos en al costado de un camino hacia El Estanzuela a la altura del barrio Guadalupe. Además de estar atados sus extremidades, el cuerpo presentaba lesiones en el rostro. Paramédicos que acudieron al lugar tras realizar la evaluación correspondiente confirmaron que el hombre ya no contaba con signos vitales. Como características físicas se informó que tendría aproximadamente 1 metro con 65 centímetros de estatura, tez morena y bigote; al momento de ser localizado vestía una playera de tipo polo azul marino con rayas blancas, pantalón tipo pants rojo y tenis rojos. Reitero que no se tienen mayores datos de identificación del cuerpo y por lo tanto será a partir de las investigaciones por parte de la Procuraduría General de Justicia del Estado de Hidalgo como se vayan dando a conocer las situaciones que ocurrieron alrededor de este caso.</t>
  </si>
  <si>
    <t>Durante la noche del sábado 5 de septiembre se registró el fallecimiento de un interno dentro del Centro de Reinserción Social de Pachuca, luego de que personal de custodia lo localizara tendido dentro de una celda del área de procesados. De acuerdo con los primeros reportes, tras el hallazgo se solicitó la presencia de personal médico para valorar al interno; sin embargo, al arribar y realizar la revisión correspondiente, se confirmó que ya no presentaba signos vitales. De manera preliminar se informó que el cuerpo no presentaba huellas visibles de violencia, por lo que una de las líneas consideradas es que el fallecimiento pudiera estar relacionado con una causa natural, probablemente un infarto. No obstante, hasta el momento las autoridades no han confirmado la causa de muerte ni han precisado tampoco las circunstancias en las que ocurrió el deceso.</t>
  </si>
  <si>
    <t>Muerte interno</t>
  </si>
  <si>
    <t>El alcalde de Epazoyucan por otra parte señala que tras la tras el registro de dos fugas de hidrocarburo registradas en agosto en tres comunidades de dicho municipio se mantiene bajo atención debido a la cercanía de viviendas con ductos de Petróleos Mexicanos. Esto lo señala, reitero, el alcalde Carlos Montaño Rodríguez, eh especificando que se trata de las localidades de El Ocote, Xolostitla y San Juan Tizahuapan. ¡Híjole! Pues hay un mundo de gente viviendo en San Juan Tizahuapan, por cierto, donde la proximidad de algunas casas con los ductos podría representar un riesgo, explicando que en encuentros sostenidos con funcionarios de la empresa paraestatal estas han asegurado que no existe peligro mientras se mantenga a resguardo la infraestructura. Los señalamientos ocurren luego de los incidentes de los pasados 16 y 26 de agosto donde precisamente se han registrado fugas de hidrocarburo. Incluso durante la segunda situación registrada se realizó la evacuación preventiva de 15 personas debido a una fuga que alcanzó una extensión aproximada de 150 m. Posteriormente Pemex informó que la zona es segura y los habitantes regresaron a sus viviendas; sin embargo, ello implica de todas maneras estar tomando precauciones al respecto.</t>
  </si>
  <si>
    <t>Prevención De Riesgos</t>
  </si>
  <si>
    <t>Asegura FGR predio con pirotecnia, tras registro de explosión Elementos de la Fiscalía Especializada de Control Regional adscritos a la Fiscalía General de la República ingresaron a un predio ubicado en Tepeji del Río, donde aseguraron un inmueble en el que presuntamente se fabricaba y almacenaba material pirotécnico. Los agentes pudieron ingresar a dicho inmueble tras obtener una orden autorizada por un juez de control del Centro de Justicia Penal Federal en el estado de Hidalgo. Fue luego del registro de una explosión en dicho predio que se llevó a cabo el cateo, con el resto de las acciones legales respectivas. Al momento en que lograron entrar al predio, se percataron de que se fabricaba y almacenaba material pirotécnico de forma ilegal; mientras se realizaron las diligencias, el lugar fue custodiado por personal de la Defensa Nacional y la Guardia Nacional. La investigación la inició el Ministerio Público Federal después de que autoridades estatales recibieran una denuncia tras el registro de una explosión en dicho lugar.</t>
  </si>
  <si>
    <t>Pirotecnia</t>
  </si>
  <si>
    <t>Asegura FGR más de 12 mil litros de mezclas de hidrocarburos Previa autorización judicial, la Fiscalía General de la República ejecutó una orden de cateo en dos inmuebles ubicados en la localidad La Victoria, municipio de Metepec. En dicho sitio fueron asegurados 117 contenedores de diversas capacidades, 12 mil 900 litros aproximadamente de mezcla de hidrocarburos, tres bombas que se encontraban conectadas a igual número de mangueras, tres vehículos y cinco teléfonos celulares. Durante los cateos, cuatro personas fueron detenidas. La Fiscalía Especializada de Control Regional inició la investigaciones en atención a una denuncia anónima, en la que se hizo hicieron del conocimiento del Ministerio Público de la Federación de dos inmuebles donde probablemente, se vendía y almacenaba hidrocarburo de forma ilegal. El Ministerio Público de la Federación a cargo de la investigación obtuvo del juez de Control de Distrito especializado en el Sistema Penal Acusatorio, autorización para llevar a cabo diligencia de cateo en los predios señalados. La misma que fue ejecutada por elementos policiales de la Agencia de Investigación Criminal, con el apoyo de peritos especializados de la institución. En el operativo, personal de la Guardia Nacional, Secretaría de la Defensa Nacional y Policía Estatal brindaron seguridad perimetral. A las personas mencionadas en este comunicado se les presume inocentes, mientras no exista sentencia condenatoria emitida por la autoridad judicial competente.</t>
  </si>
  <si>
    <t>Combate Al Huachicol</t>
  </si>
  <si>
    <t>Como usted lo sabe, el gobernador Julio Menchaca Salazar rindió el pasado viernes en las instalaciones de la feria su cuarto informe de actividades, ahí acompañado de todo su gabinete y de invitados especiales. Primero se transmitió un video en donde se dio un recorrido por todas las actividades, por todas las secretarías y de cuál ha sido cada uno de sus logros, de sus metas. También, por supuesto, el mensaje que envió el gobernador a todas las personas que estábamos ahí presentes en el recinto de la feria. Posteriormente, el sábado 5 de septiembre, como marca la Constitución de nuestro Estado, el Secretario de Gobierno, Guillermo Olivares Reyna se presentó ante la legislatura, la LXVI Legislatura, y entregó el documento, el legajo que contiene toda la información del cuarto informe para cumplir así cabalmente con lo que ordena nuestra Constitución: que el Poder Ejecutivo rinda un informe ante el Poder Legislativo.</t>
  </si>
  <si>
    <t>Anoche se presentaron varios incidentes viales. En el Bulevar Santa Catarina, un vehículo chocó con un objeto fijo, volcando y dejando dos personas lesionadas. Luego, un conductor ignoró un aviso de obras en el Bulevar Felipe Ángeles, chocando contra escombros. La Secretaría de Seguridad Pública atendió los casos.</t>
  </si>
  <si>
    <t>A las 9:00 de la mañana, en la Conferencia Mañanera del Gobierno del Estado, se anunciará la presencia del Gobernador Julio Menchaca. Se tratarán temas del informe. No se pierda la transmisión de la radio pública del estado.</t>
  </si>
  <si>
    <t>Mañanera de Hidalgo</t>
  </si>
  <si>
    <t>Andrés Torres y Alberto González comentan la importancia de la glosa del informe en el contexto de comparecencias. Se espera que los secretarios estatales analicen esto no solo para los diputados, sino para el público en general. Andrés Torres resume la situación preguntando por qué no se presta atención a las palabras del exgobernador de Zacatecas, Ricardo Monreal. Comenta que hay falta de información sobre temas importantes, comparando la situación con desconocimientos sobre lugares. Monreal hizo una declaración significativa sobre el 2027, la cual debería preocupar a los alcaldes hidalguenses, ya que incluso la presidenta de la República tuvo que mencionarlo en una conferencia. Torres recomienda prestar atención a estas declaraciones.</t>
  </si>
  <si>
    <t>Gobierno</t>
  </si>
  <si>
    <t>Comparecencias</t>
  </si>
  <si>
    <t>El pasado viernes se llevó a cabo una manifestación por parte de los vecinos de Rincones de la Hacienda y áreas cercanas, quienes se quejaban de que el paso de los camiones que llevan material para la ampliación de la autopista México-Tuxpan estaba dañando sus viviendas. Indicaron que las vibraciones estaban causando grietas en sus casas y afectando el acceso principal a Rincones de la Hacienda, así como el drenaje y la tubería de agua potable. Durante la manifestación, un perito de la constructora Omega, a cargo de la obra, explicó que una prueba técnica sobre las vibraciones no mostraba afectación. Sin embargo, los vecinos presentaron videos mostrando las grietas en sus casas y daños en las tuberías, acusando a los camiones de ser la causa. El perito reiteró que no había daños por el paso de los camiones y se pronunció en contra de las afirmaciones de los vecinos. El secretario de Gobierno municipal, Edmundo Aguilar Aranda, mencionó que habían participado funcionarios del Departamento de Obras Públicas, mientras que Armando Pérez Saldívar, secretario de Desarrollo Urbano, indicó que el Gobierno Municipal no estaba involucrado en la obra, que es responsabilidad de la Secretaría de Infraestructura, Comunicaciones y Transportes del Gobierno Federal y la constructora. Además, se mencionó que los encargados del canal de riego habían hecho un corte en el camino de acceso al desarrollo habitacional sin autorización del Gobierno Municipal. Pérez Saldívar afirmó que se había llegado a un acuerdo para reponer el acceso una vez que concluyeran los trabajos de introducción de la tubería.</t>
  </si>
  <si>
    <t>Ampliación carretera</t>
  </si>
  <si>
    <t>Daniel Martínez menciona que, aunque la atención a personas con problemas de cataratas no es permanente, habrá jornadas continuas. Aquellos que no fueron atendidos pueden acudir a sus sistemas municipales para recibir valoraciones. Destaca que el costo promedio de la operación es de 35,000 pesos, y con estas jornadas gratuitas no solo se proporciona un gran apoyo financiero, sino también ayuda a recuperar la confianza y la autonomía de las personas afectadas, permitiéndoles retomar actividades que no podían realizar antes. Por su parte, Jessenia Romero añade que el Sistema DIF Hidalgo está ayudando a identificar a las personas que necesitan estas intervenciones.</t>
  </si>
  <si>
    <t>En huicahcan alumno de telebachileato tralados de emergencia sobredosis por sustancas Un alumno del Telebachillerato Comunitario ubicado en la comunidad de El Astillero, en Huichapan, fue trasladado de emergencia al Hospital General del mismo municipio tras presuntamente presentar una sobredosis relacionada con el consumo de sustancias. El reporte movilizó, alrededor de las 10:00 horas, a elementos de Protección Civil, una ambulancia y policías estatales y municipales, quienes acudieron al plantel educativo para brindar atención al joven, quien cursaría uno de los últimos grados. Tras recibir atención prehospitalaria en el lugar, el estudiante fue trasladado al Hospital General de Huichapan para recibir atención médica. Hasta el momento, autoridades educativas del Telebachillerato Comunitario no han emitido un comunicado oficial sobre lo ocurrido, por lo que no se han confirmado las circunstancias ni la sustancia presuntamente involucrada en el caso.</t>
  </si>
  <si>
    <t>Droga en escuelas</t>
  </si>
  <si>
    <t>«Más información desde el estado de Hidalgo. Hidalgo se posiciona en mercados turísticos nacional e internacional. La entidad ha tenido presencia histórica en eventos internacionales como FITUR en Madrid, España. Con una inversión superior a los 15 millones de pesos, se fortaleció el turismo a través de la promoción y eventos especializados. Como resultado del compromiso del gobierno de Julio Menchaca Salazar con el desarrollo económico y el impulso a la riqueza turística de la entidad, la Secretaría de Turismo de Hidalgo, liderada por... la Secretaría de Turismo eh de Hidalgo, liderada por Elizabeth Quintanar Gómez, ha implementado una sólida estrategia de promoción que consolida al estado como un destino de excelencia en los mercados nacionales e internacionales, a través de la ejecución de 21 acciones estratégicas de difusión y campañas de alto impacto en encuentros del sector, sumadas a la presencia activa en el 9... en 97 eventos especializados.</t>
  </si>
  <si>
    <t>Turismo</t>
  </si>
  <si>
    <t>Promoción turística</t>
  </si>
  <si>
    <t>Hidalgo: cuatro años en la Cuarta Transformación</t>
  </si>
  <si>
    <t>A cuatro años del gobierno de Julio Menchaca ¡Hidalgo es una potencia en marcha! .</t>
  </si>
  <si>
    <t>Jonathan Pérez Ledezma presentó su renuncia al órgano interno de control del Tribunal Electoral del Estado de Hidalgo y en una carta enviada al Congreso local acusó a la Dirección de Administración de mantener una actitud de cerrazón que impide garantizar la transparencia y la rendición de cuentas. En el documento pidió a la sociedad exigir información a la presidencia del órgano colegiado sobre el destino de los recursos públicos. Pérez Ledezma informó que estas prácticas de presunta opacidad contribuyeron a impulsar la propuesta del entonces presidente Andrés Manuel López Obrador para desaparecer organismos que desde su perspectiva entorpecen el desarrollo democrático del país.</t>
  </si>
  <si>
    <t>TEEH</t>
  </si>
  <si>
    <t>Órgano Interno de Control</t>
  </si>
  <si>
    <t>Y la Fiscalía General de la República cateó dos inmuebles ubicados en la localidad La Victoria, municipio de Metepec, donde fueron asegurados 117 contenedores de diversas capacidades, alrededor de 12,900 litros de mezcla de hidrocarburos, tres bombas que se encontraban conectadas a igual número de mangueras, tres vehículos y cinco celulares. Además, cuatro personas fueron detenidas. La Fiscalía Especializada de Control Regional inició las investigaciones en atención a una denuncia anónima sobre la posible venta y almacenamiento ilegal de hidrocarburos.</t>
  </si>
  <si>
    <t>Cateo</t>
  </si>
  <si>
    <t>Y la Fiscalía General de la República en Hidalgo cateó un inmueble como parte de las investigaciones por la probable comisión de delito de posesión de explosivos. La Fiscalía Especializada de Control Regional en el Estado inició una carpeta de investigación y obtuvo autorización del juez para ejecutar la dirigencia en un predio ubicado en . El inicio de la investigación se realizó en la Fiscalía Estatal derivado de una explosión registrada en el lugar. Durante el operativo, elementos de la Policía Federal Ministerial, en coordinación con peritos, contaron con el apoyo de seguridad perimetral del personal de la Secretaría de la Defensa, Guardia Nacional y también de la Policía Estatal.</t>
  </si>
  <si>
    <t>Y comuneros de Julián Villagrán de Ixmiquilpan se manifestaron frente al Congreso de Hidalgo. Exigen la liberación de Lorenzo Ramírez Ortiz y Macario Cruz Ramírez, a quienes aseguran, citaron bajo engaños, para posteriormente detenerlos. También pidieron diálogo con el secretario de Gobierno, Guillermo Olivares Reyna, quien acudió a la sede del Poder Legislativo a entregar el cuarto informe del gobernador Julio Menchaca.</t>
  </si>
  <si>
    <t>Exigen liberación de persona</t>
  </si>
  <si>
    <t>Y en otra información la Secretaría de Seguridad Pública de Hidalgo detuvo a tres hombres y recuperó un tractocamión robado cargado con 24.8 toneladas de polímero industrial en el municipio de Singuilucan. La unidad fue ubicada sobre la autopista Pirámides Tulancingo tras una alerta del C5I por el robo registrado en Veracruz. Durante el operativo fueron asegurados dos inhibidores de señal, más de 730 dosis de probable marihuana y 123 de cristal. Dos de los detenidos contaban con órdenes de aprehensión vigentes, todos quedaron a disposición del Ministerio Público.</t>
  </si>
  <si>
    <t>Es un día especial este lunes 7 de septiembre para la región del Valle del Mezquital y es que la procesión del señor de Jalpa en 2026 se va a realizar como cada 7 de septiembre hoy lunes y este año llega a su 80 aniversario. Los tapetes monumentales volverán a llenar de colores las calles durante esta jornada. Son kilómetros los que se ponen estos tapetes que ahora van hacia la comunidad de San Nicolás. Respecto a los diseños que se esperan en los tapetes resaltan los dibujos referentes a las parroquias, los santos patronos y algunas flores así como toda la iconografía de los tejidos del Valle del Mezquital. Los mayordomos utilizan a aserrín, arena de Huamantla, Tlaxcala, flores como el cempasúchil o alfalfa entre otros. De hecho en este 80 aniversario de la procesión del señor de Jalpan pues no habrá tianguis, el tianguis tradicional de todos los lunes que nunca se suspende pero que en esta ocasión por caer en esta fecha pues las autoridades en conjunto con los comerciantes han decidido no instalarse este lunes en Ixmiquilpan, uno de los tianguis más importantes de la región ya que pues es un punto de reunión para la zona norte, la Sierra Baja, la Sierra Alta allá en el municipio de Ixmiquilpan. Hoy será una noche donde nadie duerme en el municipio de Ixmiquilpan.</t>
  </si>
  <si>
    <t>Fiesta patronal</t>
  </si>
  <si>
    <t>Cambiemos de información y es que Félix Brambila Mendoza, delegado estatal de la Comisión Nacional del Agua, dio a conocer que en el marco de los trabajos de saneamiento de la presa Endhó se prevé que en los próximos días comiencen a operar dos nuevas máquinas para la recolección, compactación y traslado del lirio acuático. Destacó que para la adquisición de dicha maquinaria se invirtieron aproximadamente 25 millones de pesos, mientras que otra máquina fue adquirida en conjunto con Petróleos Mexicanos por un monto similar. Además expuso que se cuenta con un proyecto integral para trasladar el lirio a tierra, donde pueda utilizarse como composta e incluso como materia prima para la generación de energía.</t>
  </si>
  <si>
    <t>Saneamiento río Tula</t>
  </si>
  <si>
    <t>Y durante los últimos cuatro años el gobierno de Hidalgo ha destinado 121 mil millones de pesos al fortalecimiento de la educación, informó la Secretaría de Educación Pública Estatal. Los recursos permitieron entregar uniformes, sutiles, libros y calzado a 570 mil estudiantes de los 84 municipios con una inversión de 4 mil 400 millones de pesos. También se destinaron 2 mil 700 millones de pesos a la construcción, mantenimiento y equipamiento de 1 mil 500 planteles. Además se instalaron 47 laboratorios STEM, se entregaron más de 40 mil tabletas y se conectó a internet al 100% de los bachilleratos. La SEP Hidalgo destacó que estas acciones buscan mejorar el aprendizaje y ampliar las oportunidades para niñas, niños, adolescentes y jóvenes.</t>
  </si>
  <si>
    <t>Hidalgo fortalece su presencia turística en México y el extranjero, con una inversión superior a 15 millones de pesos en promoción. La Secretaría de Turismo Estatal participó en 97 eventos especializados y realizó 21 acciones de difusión para proyectar la gastronomía, artesanías y patrimonio hidalguense. E</t>
  </si>
  <si>
    <t>Y la Secretaría de Salud de Hidalgo fortaleció los programas de donación de sangre, órganos y tejidos, con resultados que han permitido ampliar la atención para pacientes que requieren tratamientos especializados.</t>
  </si>
  <si>
    <t>Donación De Órganos</t>
  </si>
  <si>
    <t>En otros temas, más de 475 millones recuperados y 95 denuncias por hechos de corrupción, reporta la Contraloría de Hidalgo en cuatro años. Las acciones alcanzan a 25 exfuncionarios y 10 exalcaldes.</t>
  </si>
  <si>
    <t>Combate a la corrupción</t>
  </si>
  <si>
    <t>Y el ex gobernador de Hidalgo, Manuel Ángel Núñez Soto, habló sobre el cuarto informe de labores del Ejecutivo Estatal Julio Menchaca Salazar.</t>
  </si>
  <si>
    <t>La glosa fue el sábado en el Congreso de Hidalgo y lo hizo el secretario de gobierno, pero un día antes el gobernador Julio Menchaca anunció en su cuarto informe de gobierno la ampliación a ocho carriles de la carretera México-Pachuca, una inversión de 3.200 millones de pesos, partiendo del distribuidor vial de Telles. Además continuará la construcción del encauzamiento y la terminación de vialidades en concreto hidráulico del río de las Avenidas, desde la carretera antigua La Paz hasta el bulevar Las Torres, con más de dos mil millones de pesos.</t>
  </si>
  <si>
    <t>Un informe con resultados, creo que hay mucha obra, que hay veces donde inauguran y no se sabe que la obra se está haciendo, pero sí ha habido resultados sobre el tema de la infraestructura que se necesita en el Estado.</t>
  </si>
  <si>
    <t>Su gobierno está caracterizado por estar siempre cerca de la población, reconociendo la labor del señor gobernador, el señor Julio Menchaca Salazar.</t>
  </si>
  <si>
    <t>Muy orgullosa del gobernador que tenemos todos los resultados que da, todo el trabajo incansable que hace en el día a día en todo nuestro Estado, mi felicitación y muy orgullosa de pertenecer a su equipo.</t>
  </si>
  <si>
    <t>Gobernador que ha tenido el Estado de Hidalgo, yo me siento muy orgullosa de pertenecer a su equipo y muchas felicidades a mi gobernador.</t>
  </si>
  <si>
    <t>Trabajos legislativos, tal como lo mandata el artículo 56 de la Ley Orgánica del Poder Legislativo del Estado Libre y Soberano de Hidalgo, recibimos formalmente este documento que guarda el Estado de la Administración Pública Estatal. Con este acto solemne damos cumplimiento a nuestra obligación como contrapeso institucional y garantes de la transparencia y el estricto apego a lo dispuesto en la constitución política del Estado de Hidalgo</t>
  </si>
  <si>
    <t>Seguramente si usted nos escucha aquí en Tula o en la región, tiene pues presente este día. Hoy se cumplen cinco años de la inundación que marcó a Tula de Allende. Durante la noche del 6 y la madrugada del 7 de septiembre de 2021, el desbordamiento de los ríos Tula y Rosas cubrió calles, viviendas y comercios. Obligó a evacuar a miles de personas y provocó la muerte de catorce pacientes del Hospital General de Zona Número 5 del IMSS. Todavía nos está inundando, pero ya se veía que había mucha muerte. El médico es que no nos podemos apoyar porque están en otras situaciones. Dije, a ver señorita, a ver, estoy hablando de un hospital COVID en el cual tengo 25 pacientes adentro del área COVID, todos dependientes de oxígeno. Esto puede ser una catástrofe. Le dije, necesito ayuda. Me dijo, ya tengo su reporte, no es la única que ha hablado. Entre los pendientes se encuentran la sustitución de drenaje colapsado y la construcción de una unidad médica de primer contacto, aunque también continúan las obras en el cruce del río. Habitantes piden que la prevención y la seguridad hidráulica no vuelva a quedar bajo el agua. No nos avisó nada. Por lo que tengo yo he entendido que el gobernador ya sabía desde viernes de que iba a pasar esto y no nos avisó. Si nos hubiera avisado, teníamos viernes, sábado, domingo, lunes todavía para poder sacar nuestras cosas y no nos avisó, nos agarró desprevenidos. Fue demasiado rápido, no nos dio tiempo de nada, más que sacar las niñas y unas cubijas. E</t>
  </si>
  <si>
    <t>Inundación Tula</t>
  </si>
  <si>
    <t>Radioescucha reporta al ayuntamiento de Pachuca, el drenaje esta mal en la calle de Arquitectura, en fraccionamiento Renacimiento, ya tiene varias semanas que se esta comportiendo</t>
  </si>
  <si>
    <t>Drenaje</t>
  </si>
  <si>
    <t>Radioescucha reporta muchos baches en la carreteras de Mineral de la Reforma y eso afecta a los vehiculos</t>
  </si>
  <si>
    <t>Radioescucha 42 83, dice: "Hola, licenciado. ¿Alguien sabe quién es responsable de limpiar toda la... suciedad... el cochinero que dejan en el lienzo charro?</t>
  </si>
  <si>
    <t>Arrendamiento de recintos</t>
  </si>
  <si>
    <t>Radioescucha 43 -00 dice: "Muy buenos días. Nuevamente quisiera hacer el reporte sobre la falta de agua en la colonia Morelos". Con mucho gusto, lo estamos pasando directamente a CAASIM de una vez para que nos puedan apoyar y no tengamos problemas</t>
  </si>
  <si>
    <t>Como parte de las acciones enfocadas en la conservación y protección de la fauna silvestre, la Unidad de Fauna y Rehabilitación de Pachuca atendió a estos ejemplares de tecolote rítmico (Megascops trichopsis), quienes llegaron cuando aún eran polluelos provenientes de distintas regiones del estado de Hidalgo.Los ejemplares fueron rescatados en zonas correspondientes al Valle del Mezquital y el Valle de Apan, para posteriormente ser trasladados a la unidad municipal, donde recibieron cuidados especializados durante aproximadamente tres meses.</t>
  </si>
  <si>
    <t>Radioescucha urge que vengan a reparar esto. Está en Abasolo, enfrente a La Guadalajara, es un olor a caño insoportable,</t>
  </si>
  <si>
    <t>Fíjese que fue hallado un hombre sin vida y con huellas de violencia en San Agustín Tlaxiaca. Vamos a escuchar la información.</t>
  </si>
  <si>
    <t>A cuatro años de administración, se consolida un Hidalgo con más oportunidades</t>
  </si>
  <si>
    <t>Le comento que en su cuarto informe de gobierno, Julio Menchaca anunció la ampliación de la autopista México-Pachuca y la continuación del Río de las Avenidas</t>
  </si>
  <si>
    <t>Le comento que aumenta a 15 el número de fallecimientos por COVID-19 en Hidalgo.</t>
  </si>
  <si>
    <t>Covid 19</t>
  </si>
  <si>
    <t>Investigación del ITESHU destaca en revista científica internacional</t>
  </si>
  <si>
    <t>Publicación académica</t>
  </si>
  <si>
    <t>Un taxista fue víctima de un intento de asalto, durante el cual sujetos desconocidos realizaron disparos contra su vehículo, de acuerdo con un audio difundido por la propia víctima en grupos de transporte público la tarde-noche de este domingo. Tras el ataque, el conductor logró trasladarse hasta la zona de Plaza Bella, donde buscó resguardarse y solicitó auxilio a sus compañeros y a las autoridades. Un taxista fue víctima de un intento de asalto, durante el cual sujetos desconocidos realizaron disparos contra su vehículo, de acuerdo con un audio difundido por la propia víctima en grupos de transporte público la tarde-noche de este domingo. Tras el ataque, el conductor logró trasladarse hasta la zona de Plaza Bella, donde buscó resguardarse y solicitó auxilio a sus compañeros y a las autoridades. De manera preliminar, se informó que los hechos habrían ocurrido en inmediaciones de las colonias Cubitos y Palmitas. Asimismo, trascendió que un vehículo Pointer de color azul estaría relacionado con el incidente, aunque esta información no ha sido confirmada oficialmente. Elementos de corporaciones de seguridad acudieron para atender al afectado y realizar las acciones correspondientes para ubicar a los presuntos responsables. Hasta el momento, no se reportan personas detenidas por estos hechos.</t>
  </si>
  <si>
    <t>Inseguridad</t>
  </si>
  <si>
    <t>Fortalecer a las empresas locales para que puedan generar más negocios, empleos y oportunidades fue el objetivo de la primera Expo Proveeduría, encuentro que reunió a 36 proveedores, nueve instituciones financieras, tres representantes del sector educativo y personas en búsqueda de oportunidades laborales. La jornada, realizada en el Hotel La Joya, abrió un espacio de vinculación para que proveedores locales pudieran establecer nuevos contactos comerciales y acceder a alternativas de financiamiento, capacitación, vinculación educativa y empleo. La secretaria de Fomento Económico, Minerva Rosales Gayosso, señaló que fortalecer la economía municipal requiere apostar por quienes todos los días producen, comercializan, generan empleos y mantienen activa la cadena económica.</t>
  </si>
  <si>
    <t>Encuentro con proveedores</t>
  </si>
  <si>
    <t>El titular de la Secretaría de Agricultura y Desarrollo Rural de Hidalgo, Napoleón González Pérez, descartó que el posible incremento al Impuesto Especial sobre Producción y Servicios (IEPS) en la cerveza vaya a perjudicar a los productores de cebada de la entidad. El funcionario explicó que el precio del grano se pacta previamente con las empresas, por lo que el ajuste —que oscilaría entre 60 centavos y un peso por unidad según la propuesta del Congreso de la Unión— recaerá directamente en el consumidor final. Tras participar en el acto del Lunes Cívico en Plaza Juárez de Pachuca, González Pérez subrayó que la dependencia busca un equilibrio comercial que garantice un pago justo para los cebaderos hidalguenses sin perjudicar en exceso al consumidor. Hidalgo se mantiene como el principal productor de cebada maltera a nivel nacional, alcanzando un volumen anual de entre 90,000 y 95,000 toneladas.</t>
  </si>
  <si>
    <t>Cebaderos</t>
  </si>
  <si>
    <t>SSH/Bol.156/2026: Hidalgo triplicó la tasa nacional de donación de órganos</t>
  </si>
  <si>
    <t>Fortalece gobernador Julio Menchaca infraestructura para garantizar agua y bienestar a las familias</t>
  </si>
  <si>
    <t>"Continuamos esta tarde la información. El martes la manifestación del pueblo en torno a este cuarto informe de gobierno del gobernador Julio Menchaca Salazar. Pues evidentemente hay que volver la mirada. Manuel Angel Núñez estuvo presente y destacó, fue gobernador de Hidalgo, dijo: 'se está viviendo mejor en este momento'. Y bueno, no es solamente un comentario, es una reflexión de lo que está aconteciendo. En un México que ha cambiado en las recientes décadas, en dos décadas. Un México e Hidalgo que ha cambiado muchísimo como todo el país. Y observar el número de empresas que están llegando, de inversión, la generación de empleos, los polos de desarrollo. Todo esto nos ha llevado también, usted lo ha escuchado con nosotros, a continuar en la reflexión, pero también informando. Hace unos días le compartía a usted de que se requieren, y así se ha mencionado desde el gobierno estatal, que se construyan unidades habitacionales, pero que tengan servicios, y eso es lo que se está haciendo. Hidalgo creció de una manera desordenada”.</t>
  </si>
  <si>
    <t>Contraloría fortalece acciones contra la corrupción; recupera más de 475 millones de pesos</t>
  </si>
  <si>
    <t>En el marco de la conferencia matutina semanal celebrada en la Sala del Pueblo del Poder Ejecutivo Estatal, el gobernador del estado de Hidalgo, Julio Menchaca Salazar, rindió un balance de las acciones de su administración, destacando avances en materia financiera, obra pública, recuperación de bienes estatales y educación. Durante su intervención, el mandatario subrayó que en cuatro años de gestión se ha logrado casi duplicar la recaudación de ingresos (un incremento del 96%) y reducir la deuda pública estatal a la mitad, evitando recurrir a endeudamientos ante contingencias naturales como la vaguada monzónica. Menchaca Salazar resaltó que la inversión en infraestructura y obra pública superó los 25,000 millones de pesos en cuatro años, rebasando lo invertido en los dos sexenios anteriores juntos. Asimismo, enfatizó el rescate de 386 bienes inmuebles pertenecientes al estado, la eliminación de rentas excesivas de oficinas públicas y la redistribución de recursos hacia sectores prioritarios. En el rubro educativo, se destacó una inversión acumulada de 121,000 millones de pesos, la entrega de útiles, uniformes y 40,500 tabletas digitales, así como la cobertura de internet al 100% en los bachilleratos públicos. El gobernador concluyó reiterando el respaldo del Gobierno Federal encabezado por la presidenta Claudia Sheinbaum Pardo y reafirmando su compromiso con la transparencia y el combate frontal a la corrupción.</t>
  </si>
  <si>
    <t>Entrevista en cabina Ing. Saúl Flores Urrutía, representante del Distrito 04 de Tulancingo del INE - El Instituto Nacional Electoral (INE), a través del Distrito 04 con sede en Tulancingo, anunció el arranque de la Campaña Anual Intensa 2026 con miras a los procesos electorales locales de 2027. El ingeniero Saúl Flores Urrutia dio a conocer el calendario de atención de los módulos itinerantes que darán servicio del 7 al 11 de septiembre en diversos municipios de la región, entre los que destacan Acatlán, Santiago Tulantepec, Acaxochitlán, Huehuetla, San Bartolo Tutotepec y Tenango de Doria, así como la atención continua en el módulo fijo ubicado en la colonia Los Pinos de Tulancingo. Durante la intervención se enfatizó la posibilidad de que los jóvenes que cumplan 18 años desde esta fecha y hasta antes del 6 de junio de 2027 puedan realizar el trámite anticipado de su credencial para votar. El funcionario precisó que la fecha límite para inscripciones por primera vez y actualización de datos en el padrón electoral será el 25 de enero, periodo tras el cual solo se procesarán reimpresiones, garantizando la entrega del documento en un lapso de 9 días naturales tras completar el trámite.</t>
  </si>
  <si>
    <t>Credencialización</t>
  </si>
  <si>
    <t>El secretario de Desarrollo Económico de Hidalgo, Carlos Henkel Escorza, presentó un balance integral del sector económico en el marco del Cuarto Informe de Gobierno. Destacó la atracción de una inversión privada histórica superior a los 147,000 millones de pesos mediante 130 proyectos nacionales e internacionales. Esta cifra superó lo alcanzado en cuatro administraciones estatales anteriores y permitió la generación de más de 191,000 empleos directos e indirectos en beneficio de 37 municipios de la entidad. Entre los programas clave se resaltó el apoyo a emprendedores con "Emprendiendo Paso a Paso" e "Hidalgo con Potencial", el fortalecimiento a MiPyMEs mediante una bolsa acumulada con NAFIN de 2,470 millones de pesos, y programas de inclusión laboral para jóvenes y adultos mayores a 50 años. En materia energética, la Agencia Estatal de Energía llevó electricidad fotovoltaica por primera vez a 610 viviendas. Asimismo, se destinaron 163 millones de pesos a la infraestructura de parques industriales, logrando afianzar al Parque Industrial PLATA con 15,000 millones de pesos en capital privado.</t>
  </si>
  <si>
    <t>El secretario de Infraestructura Pública y Desarrollo Urbano Sostenible de Hidalgo, Alejandro Sánchez García, detalló los planes de modernización para la carretera México-Pachuca, una de las vialidades de mayor circulación en el país con un tránsito diario superior a los 61,000 vehículos. Durante su informe, el funcionario explicó que la obra contempla la ampliación a 8 carriles en el tramo comprendido hasta el Arco Norte. Esta intervención busca absorber un incremento estimado de 6,000 vehículos diarios derivados de proyectos estratégicos en la zona, tales como la nueva Central de Abasto y el Polo de Desarrollo. Asimismo, se destacaron soluciones de movilidad como los retornos en el puente Zapotlán y los accesos por Villa de Tezontepec para prevenir percances en los tramos identificados con mayor incidencia de accidentes por la Guardia Nacional.</t>
  </si>
  <si>
    <t>En el marco de la conferencia de prensa semanal encabezada por el Gobierno del Estado de Hidalgo, la titular de la Secretaría de Hacienda estatal, María Esther Ramírez Vargas, tomó la palabra para dar a conocer los avances y proyectos financieros que se contemplan para los próximos meses y años de la administración. La intervención de la funcionaria se dio tras la introducción realizada por Edmundo Pineda López, titular de Comunicación Social, quien cedió el micrófono con el visto bueno del gobernador Julio Menchaca Salazar. Ramírez Vargas dio inicio a su informe saludando a la ciudadanía, integrantes del gabinete estatal y medios de comunicación presentes en la Sala del Pueblo.</t>
  </si>
  <si>
    <t>Hacienda</t>
  </si>
  <si>
    <t>José Luis Lima Morales emitió un llamado urgente a los actores políticos, partidos y a la ciudadanía para mantener la confianza y fortalecer las instituciones electorales del país en vísperas del arranque del nuevo proceso electoral y de la instalación del Consejo General del Instituto Nacional Electoral (INE). Lima Morales expresó su preocupación ante el surgimiento prematuro de señalamientos de fraude, falta de imparcialidad y desacreditación hacia los organismos electorales por parte de diversos actores políticos y medios de comunicación. Enfatizó que existe una clara diferencia entre exigir transparencia y rendición de cuentas —las cuales consideró obligaciones democráticas necesarias— y descalificar anticipadamente al árbitro electoral antes de que ejerza sus funciones constitucionales. Durante su mensaje, subrayó que el próximo proceso electoral será de trascendencia histórica para México, ya que se renovarán 17 gubernaturas, la Cámara de Diputados a nivel federal, así como diversos cargos estatales y municipales. Asimismo, instó a las fuerzas políticas a conducir campañas basadas en propuestas, debate civismo e ideas constructivas, utilizando las vías y tribunales legales correspondientes para señalar cualquier irregularidad con pruebas fundadas, en lugar de sembrar certidumbre de sospecha o atentar contra la estabilidad democrática del país.</t>
  </si>
  <si>
    <t>Del 7 al 11 de septiembre se llevará a cabo una jornada de vacunación antirrábica para perros y gatos en las localidades de Santa Ana Hueytlalpan y Santa María Asunción, en Tulancingo, con el propósito de acercar este servicio preventivo a las familias de ambas comunidades. La jornada será coordinada por la Secretaría de Salud, la Dirección de Sanidad Municipal y la Jurisdicción Sanitaria No. 2 Tulancingo, cuyos equipos recorrerán distintos barrios y comunidades para aplicar el biológico de manera gratuita, en un horario de 9:00 a 14:00 horas. El calendario comenzará el lunes 7 de septiembre en la zona centro y el barrio Tecocuilco de Santa Ana Hueytlalpan. El martes 8 corresponderá a los barrios Atlalpan y La Luz, mientras que el miércoles 9 la brigada atenderá La Raya y San Vicente. Para el jueves 10 de septiembre, la jornada llegará al barrio Las Colmenas y a Santa María Asunción, teniendo como punto de reunión el exterior de la primaria Pedro de Gante, en la zona centro. Finalmente, el viernes 11 se atenderán los barrios Otontepec y San Ángel, también pertenecientes a Santa María Asunción. Podrán recibir la vacuna perros y gatos a partir de los dos meses de edad, siempre que se encuentren en condiciones óptimas de salud, sin importar su raza. Las autoridades exhortaron a propietarios y cuidadores a aprovechar las jornadas para mantener actualizado el esquema de vacunación de sus animales de compañía.</t>
  </si>
  <si>
    <t>El gobernador del estado de Hidalgo, Julio Menchaca Salazar, encabezó una conferencia de prensa en el marco de la presentación de su Cuarto Informe de Gobierno, acompañado por los titulares de las Secretarías de Hacienda, Desarrollo Económico, Trabajo y Previsión Social, e Infraestructura Pública y Desarrollo Urbano Sostenible. Durante el acto, moderado por el titular de Comunicación Social, Edmundo Pineda López, se proyectó un video institucional en el que el mandatario estatal destacó que desde septiembre de 2022 se ha trabajado en superar inercias históricas en la entidad. Menchaca subrayó que Hidalgo cuenta con las condiciones necesarias para ser un referente nacional de desarrollo equilibrado, mediante la atracción de inversiones, el fortalecimiento de la infraestructura y el impulso a programas sociales dirigidos a mujeres, niñez y familias hidalguenses bajo el lema "Hidalgo es potencia en marcha".</t>
  </si>
  <si>
    <t>El coro Niñas y Niños Cantores de Hidalgo representará al estado de Hidalgo y a México en el Festival Corearte, a celebrarse en Colombia, tras concretar la procuración de fondos requerida para su viaje. La noticia fue compartida a través de redes sociales por César Monroy Vega, titular del Consejo Estatal para la Cultura y las Artes de Hidalgo (CECULTAH), quien destacó los esfuerzos realizados para alcanzar este objetivo. El comunicado incluyó felicitaciones tanto al equipo del Consejo Estatal como a la Secretaría de Cultura y a los integrantes de la agrupación infantil por su logro internacional.</t>
  </si>
  <si>
    <t>Niños cantores</t>
  </si>
  <si>
    <t>Agradecemos la visita del día de ayer del presidente municipal de Pachuca, Jorge Reyes, brindó atención a vecinas y vecinos com la jornada Colonia x Colonia en C. Doria</t>
  </si>
  <si>
    <t>Radioescucha reporta problemas nuevamente en el sistema en el IMSS</t>
  </si>
  <si>
    <t>Atención médica</t>
  </si>
  <si>
    <t>Y se ejecutó una orden de cateo en un domicilio donde presuntamente comercializaban hidrocarburos, huachicol. En atención a la recepción de una denuncia anónima vía telefónica en la que se informó sobre la existencia de combustible dentro de un inmueble ubicado en el municipio de Tenango de Doria, la Fiscalía en el Estado inició la investigación por la probable comisión del delito de posesión ilícita de hidrocarburos. Derivado de la secuela procesal, agentes de la Policía Federal aseguraron 11 contenedores abastecidos con aproximadamente 1500 litros de hidrocarburos, una camioneta y una motocicleta.</t>
  </si>
  <si>
    <t>Las empresas cementeras invierten en reducir y compensar sus emisiones deberían obtener ventajas en las licitaciones públicas frente a competidores que no realicen los mismos esfuerzos. Planteó Cruz Azul, a decir de Mayra del Carmen Gómez, encargada de gestión ambiental de Cruz Azul, incorporar el desempeño ambiental como criterio en las compras gubernamentales generaría un incentivo económico para acelerar las inversiones en una industria donde reducir la huella de carbono resulta particularmente complejo. A nivel corporativo, Cruz Azul estableció para 2026 un objetivo de reducción de emisiones de 10%, aunque cada una de sus cuatro plantas ubicadas en Aguascalientes, Oaxaca, Puebla e Hidalgo, debe desarrollar acciones de acuerdo con sus características. Gómez señaló que cumplir estas metas requiere que la alta dirección considere las inversiones ambientales como parte del negocio.</t>
  </si>
  <si>
    <t>Cruz Azul</t>
  </si>
  <si>
    <t>Habitantes de la comunidad de Zinancatitla, en Jaltocán, bloquearon la vía federal Jaltocán-San Felipe, a la altura del acceso a la comunidad de Aguayo, donde colocaron piedras y troncos para impedir la circulación. La protesta fue realizada para exigir la construcción de un cárcamo. Al lugar acudió el presidente municipal Guillermo Amador, quien dialogó con los inconformes. Posteriormente, el bloqueo fue retirado a la circulación y así se abrió el paso en esta importante vía Jaltocán-San Felipe.</t>
  </si>
  <si>
    <t>Exigencia de obra</t>
  </si>
  <si>
    <t>Y un tiroteo ocurrido durante la madrugada de este lunes, pues se presentó en las festividades de Santa María Nativitas a Tengo Municipio de Tezontepec de Aldama, de acuerdo con los primeros reportes. Mientras se realizaba la feria, asistentes escucharon varias detonaciones y momentos después un adulto mayor y un joven de 26 años resultaron heridos. Hasta el momento no hay personas detenidas y se desconocen las causas del ataque.</t>
  </si>
  <si>
    <t>Al presentar su segundo año de resultados ante la ciudadanía, el presidente municipal de Mineral de la Reforma, Eduardo Medécigo, anunció un paquete de obras prioritarias financiadas con recursos propios del municipio, más otras en colaboración con el Gobierno Estatal enfocadas en la recuperación del tejido social, la movilidad y la seguridad. En cuanto a infraestructura vial y urbana, se destinarán más de 29 millones de pesos para la pavimentación de la calle San Ángel y Fernando Soto en Pachuquilla. Asimismo, la entrada principal de la cabecera municipal será pavimentada con concreto hidráulico con una inversión superior a los 22 millones de pesos. Para fortalecer la paz social mediante la recuperación de espacios comunitarios, se rehabilitará el centro de alto rendimiento en La Providencia con más de 11 millones de pesos. En la misma colonia, se transformará el parque Siglo XXI con nueva cancha de voleibol, pista de tartán, ciclopista y áreas infantiles. En el fraccionamiento San Fernando, tras lograr su recepción jurídica y de abandono por más de dos décadas, se construirá un parque central equipado con andadores, cancha de fútbol y trotapista. Y destacó también el anuncio de la construcción del Río de las Avenidas, desde Los Tuzos hasta Las Torres, así como la relevancia estratégica de la construcción de la estación principal del Tren AIFA-Pachuca en territorio municipal, obra que potenciará el comercio, el transporte y la conectividad nacional de Mineral de la Reforma.</t>
  </si>
  <si>
    <t>Informe Alcalde</t>
  </si>
  <si>
    <t>El cuerpo sin vida de un hombre fue localizado en un predio agrícola cercano a la colonia El Nueve, en el municipio de Francisco y Madero, de acuerdo con el reporte preliminar. Presentaba lesiones posiblemente provocadas por un arma blanca. Las autoridades procesaron el sitio e iniciaron las investigaciones para esclarecer los hechos.</t>
  </si>
  <si>
    <t>Participación semanal de Mtro. Roberto Rico con el tema: Proceso electoral 2027</t>
  </si>
  <si>
    <t>Radioescucha manda audio y comenta que ya van varias semanas que no funciona el semaforo de la 11 de Julio</t>
  </si>
  <si>
    <t>Semaforización</t>
  </si>
  <si>
    <t>Radioescucha manda audio y reporta semáforos que no funcionan del Boulevard Minero en el cruce de Avenida 2 para la Peni; están completamente apagados.</t>
  </si>
  <si>
    <t>Radioescucha agradece que ya estan reparando los semaforos de Boulevard el Minero</t>
  </si>
  <si>
    <t>Radioescucha reporta que las carreteras que estan en Pachuquilla estan en el olvido, tienen muchos bahces</t>
  </si>
  <si>
    <t>En su renuncia, que presentó en un oficio fechado el pasado 3 de septiembre del 2026 y dirigido a la LXVI Legislatura del actual Congreso del Estado de Hidalgo, el ahora excontralor Jonathan Pérez Ledesma señaló que «ha existido cerrazón en todo momento, ha prevalecido de este tribunal hacia mi función como servidor público». De hecho, acusó que desde que Darío Hernández Cortés, quien promovió un juicio ante la Sala Superior del Tribunal Electoral del Poder Judicial de la Federación. De acuerdo con medios regionales, el recurso identificado como SUP-JE-58/2026 planteó que la intervención del Congreso en la designación comprometía la independencia y autonomía del órgano jurisdiccional. La petición buscaba dejar sin efectos el nombramiento; pues al final de cuentas ya lo lograron, ¿no? Pero Pérez Ledesma compareció como tercero interesado para defender la legalidad de su designación, de acuerdo con la información del expediente. Y antes de su renuncia, el ahora exfuncionario también respondió a los señalamientos que intentaban relacionarlo con el excontralor estatal César Mora y con la denominada Estafa Siniestra. El entonces funcionario aseguró que ya era director de Responsabilidades cuando Mora llegó a la Contraloría Estatal, y sostuvo que nunca formó parte de su equipo cercano. Explicó también que permaneció alrededor de un año y 10 meses durante aquella gestión, hasta el 15 de noviembre del 2020 le solicitaron la renuncia para colocar a otra persona en su puesto. También negó haber participado en el manejo de recursos; según su explicación, sus responsabilidades estaban enfocadas en coordinar autoridades investigadoras, substanciar procedimientos administrativos y turnar faltas graves al tribunal correspondiente. Pérez Ledesma afirmó entonces que no existía investigación en su contra relacionada con la Estafa Siniestra.</t>
  </si>
  <si>
    <t>Un taxista fue víctima de un intento de asalto durante el cual sujetos desconocidos realizaron disparos contra su vehículo, de acuerdo con un audio difundido por la propia víctima en grupos de transporte público la tarde-noche del domingo 6 de septiembre. Tras el ataque, el conductor logró trasladarse hasta la zona de Plaza Bella, donde buscó resguardarse y solicitó auxilio de sus compañeros y de las autoridades. De manera preliminar, se informó que los hechos habrían ocurrido en inmediaciones de las colonias Cubitos y Palmitas. Asimismo, trascendió que un vehículo Pointer de color azul estaría relacionado con el incidente, aunque esta información no ha sido confirmada de manera oficial. Elementos de corporaciones de seguridad acudieron para atender al afectado y realizar las acciones correspondientes para ubicar a los presuntos responsables. Hasta el momento no se reportan personas detenidas por estos hechos, los cuales ya son investigados por las autoridades.</t>
  </si>
  <si>
    <t>Asalto a transporte público</t>
  </si>
  <si>
    <t>Izza Hernández</t>
  </si>
  <si>
    <t>Dos hombres resultaron lesionados por impactos de arma de fuego durante la madrugada de este lunes, en hechos registrados en la feria patronal de Santa María Nativitas Atengo, perteneciente al municipio de Tezontepec de Aldama. De acuerdo con información preliminar, una de las víctimas es E.M.P., de 64 años, vecino de San Gabriel, quien alrededor de las 3:30 horas fue localizado sobre la avenida Francisco I. Madero con una lesión aparentemente provocada por un proyectil de arma de fuego. El hombre señaló que se encontraba en la zona de la feria y salió a realizar sus necesidades fisiológicas cuando sintió el impacto. Agregó que no logró identificar a la persona que realizó los disparos y consideró que pudo tratarse de una bala perdida. Más tarde, alrededor de las 5:20 horas, en la comunidad de Mangas, fue localizado P.F.D., de 26 años, originario de San Gabriel, quien presentaba una lesión en el tobillo, aparentemente ocasionada por un impacto de arma de fuego. El joven refirió que había resultado herido en las inmediaciones del baile de la feria realizado en Atengo, por lo que posteriormente se trasladó en busca de atención médica. El hecho fue notificado a las instancias para su seguimiento a las investigaciones y realizará las diligencias correspondientes. Hasta el momento, no se han establecido las circunstancias exactas en las que ocurrieron las detonaciones, ni se ha determinado quién habría realizado los disparos. Tampoco se reportan personas detenidas por estos hechos.</t>
  </si>
  <si>
    <t>Ataque Armado</t>
  </si>
  <si>
    <t>Vía telefónica Milton Cortés informó que el día de hoy a las 7 de la noche en la explanada de la Diosa de los Vientos, el alcalde de Pachuca, Jorge Reyes dará su segundo informe, destaca que será muy importante lo que dará a conocer, pues hay buenos resultados. Señala que es de los pocos alcaldes que tendrán resultados buenos qué declarar y que se habla de una posible reelección.</t>
  </si>
  <si>
    <t>Milton Cortés</t>
  </si>
  <si>
    <t>Vía telefónica Milton Cortés informó que el día de hoy a las 7 de la noche en la explanada de la Diosa de los Vientos, el alcalde de Pachuca, Jorge Reyes dará su segundo informe, mediante el cual dará a conocer lo que se ha realizado en diversas materias; entre las que destaca el fortalecimiento de la corporación de seguridad con una estrategia que combina mayor capacidad operativa, tecnología para la prevención del delito y mejores condiciones laborales para quienes diariamente protegen a las familias pachuqueñas. Como parte de este proceso de fortalecimiento, la Secretaría de Seguridad Pública, Tránsito y Vialidad de Pachuca incorporó 49 nuevas patrullas, además de tres drones para ampliar las capacidades de vigilancia y respuesta en zonas estratégicas del municipio.</t>
  </si>
  <si>
    <t>Refuerzo De Seguridad</t>
  </si>
  <si>
    <t>Estamos a 8 días pata que se cumpla el plazo para que sea presentada o no la reforma electoral, pero en el Congreso nadie dice "esta boca es mía". La iniciativa fue enviada a las Comisiones y desde entonces, no sabemos nada y las especulaciones de gente que sabe es que esta iniciativa no va a pasr y tal vez por eso los diputados no dicen nada. Hoy hay sesión en el Congreso, se esperaría que haya una declaratoria y su no, sería una iniciativa más, de las muchas que existen, que se va a quedar ahí.</t>
  </si>
  <si>
    <t>Reforma Electoral</t>
  </si>
  <si>
    <t>Andrés torres, ya me escribieron y Susana Rivera Cano, alcaldesa de Metztitlán, según los reportes de varios medios de comunicación tiene a 11 miembros de su familia en la nómina del municipio. Sus regidores ya lo han denunciado</t>
  </si>
  <si>
    <t>Nepotismo</t>
  </si>
  <si>
    <t>Radioescucha: José Antonio Cuevas, muy buenos días. Ojalá que antes que empiecen el anunciado libramiento de Actopan a Atotonilco el Grande, finalmente concluyan la carretera Huasca-Real del Monte, ya que a pesar que la hay-, ser inaugurada en dicha vía sigue sin concluirse. Representa una carretera sumamente insegura por miles de usuarios. A pesar de resumirla en informes presidenciales y estatal, la población no olvida que dicha carretera ha costado muchísimo, sobre todo vidas humanas. Urge la conclusión". Por su parte, Andrés menciona que la carretera requiere contenedores y sistemas para prevenir derrumbes. Una forma de reforzar las laderas es mediante anclajes con varillas gruesas y placas de acero. También hay redes especiales que ayudan a contener piedras y tierra durante deslizamientos. Otro problema en esta carretera dice, es el robo constante del tendido eléctrico en los túneles, lo que provoca que uno de ellos esté a menudo sin iluminación. Esto representa un riesgo adicional para quienes transitan por la zona. El texto concluye con la esperanza de que se resuelvan estos problemas pronto.</t>
  </si>
  <si>
    <t>Carretera Huasca</t>
  </si>
  <si>
    <t>Radioescucha, Anita 8inaudible): "¿Puedo denunciar a CAASIM, al director de CAASIM de Mixquiahuala? Me está cobrando $5,000 pesos por pagar el recibo de agua, lo voy a denunciar ante la Fiscalía Anticorrupción para que lo sepa el Gobernador". Andrés Torres: Muy bien, bueno pues nuestros amigos de allá de Mixquiahuala, la comunidad hidalguense en los Estados Unidos, fíjese ya hasta allá llegó el problema, nos dicen hay un cobro indebido por más de $5,000 pesos por el agua. Ojalá nuestros amigos de CAASIM allá en Mixquiahuala, bueno no sé cómo se llame el órgano operador allá, este pues puedan revisar ese tema y nos ayuden porque hay un hay un cobro, hay un cobro exagerado nos dicen nuestros amigos del auditorio.</t>
  </si>
  <si>
    <t>Pago De Agua</t>
  </si>
  <si>
    <t>Andrés Torres comenta que la presidenta municipal de Metztitlán, rompe el récord de familiares trabajando dentro del ayuntamiento. Primos, tíos, vecinos, compadres, hermanos, sobrinos. Lo último que leí es que tenía a 13 familiares directos o indirectos dentro de la estructura de la presencia municipal. Un municipio con 84 comunidades da para eso.</t>
  </si>
  <si>
    <t>Andrés torres critica a la alcaldesa de Tulancingo, quien dice que es la mejor de América Latina, quién no dijo en qué; si por ser alcaldesa, por cantar más bonito o la que mejor gusto tiene en zapatos y destaca que ya tiene un récord de titulares en el área de Comunicación.</t>
  </si>
  <si>
    <t>Mal Desempeño</t>
  </si>
  <si>
    <t>Andrés Torres comenta que el alcalde de Nicolás Flores recientemente ha declarado: "creo que sí robé, pero fue para dárselo a ustedes". Esto, dijo comprueba sus bajas expectativas que tiene en los informes de los alcaldes. Con cosas como estas cómo no van a estar preocupados los partidos políticos.</t>
  </si>
  <si>
    <t>Andrés Torres habló sobre un nuevo Plan Hídrico del gobierno para mejorar la calidad del agua en la zona de Tula, Tepeji, Tepetitlán y Atitalaquia, que ha sufrido por las aguas residuales de la Ciudad de México. Durante muchos años, el impacto ambiental ha sido muy grave. En una reciente conferencia de prensa, Carolina Viggiano, ex candidata a gobernadora, y Marco Mendoza Bustamante, presidente del Partido Revolucionario Institucional, enfatizaron la urgente necesidad de acciones efectivas. Estas incluyen fumigaciones y medidas para combatir la proliferación de mosquitos cerca de la presa Endhó y la necesidad de sanear la región. Andrés también recordó que hoy se cumplen cinco años de las fuertes inundaciones donde el entonces gobernador Omar Fayad tuvo que ser rescatado de una embarcación que se hundía. Estas escenas son parte de la historia reciente de la región. En seste sentid, señala que gobierno a través de la Secretaría de la Unidad de Planeación, la Secretaría de Hacienda y la Secretaría de Gobernación mantienen vigilancia sobre la zona para atender estos problemas. También mencionó que actualmente hay una inversión significante, la mayor en 30 o 40 años, destinada a mejorar no solo la presa Endhó, sino todo el sistema de agua de la región Tula-Tepeji.</t>
  </si>
  <si>
    <t>Presa Endhó</t>
  </si>
  <si>
    <t>El alcalde de Huejutla, Alfredo San Román Duval ya se volvió loco, porque está empecinado en poner a su esposa como candidata a la presidencia municipal de este municipio, lo cual ayuda a las pretensiones de su "compita" Raúl Badillo; esto lo señalan los aspirantes de Morena a la alcaldía y la diputación local. Critica su mala actuación y pésimo trabajo como alcalde, pues no ha cumplido muchas cosas y por eso le cierran carreteras constantemente.</t>
  </si>
  <si>
    <t>Andrés Torres critica al alcalde Emanuel Hercández de Ixmiquilpan, porque en sus últimas declaraciones dijo que tiene muchos faltantes y que le falan muchas promesas por cumplir que hizo en campaña. Es un alcalde "mirrey" y ya cayó de la gracia, ya le andan mandando mensajes.</t>
  </si>
  <si>
    <t>Durante la conferencia de prensa semanal denominada Agenda Tulancingo, el Gobierno Municipal presentó el informe de trabajo de la Secretaría del Campo. En el acto se destacó un incremento de hasta un 400% en el presupuesto operativo de la dependencia, lo que ha permitido fortalecer las actividades agropecuarias y la conservación de recursos naturales. Entre los logros reportados destaca la atención a 1,426 solicitudes de apoyo a productores (periodo 2025-2026) en coordinación con programas estatales, la capacitación a 580 productores mediante las Escuelas del Campo (leche, miel y agricultura) con la SADER federal, y la radicación de la ventanilla permanente del Sistema Nacional de Identificación Individual de Ganado (SINIIGA) en las instalaciones de la secretaría. En materia ambiental y agroecológica, se realizó la reforestación de 2,000 pinos en zonas afectadas por el gusano descortezador y plantas parásitas en ejidos como Tulancingo y La Lagunilla junto a CONAFOR. Asimismo, la Dirección de Desarrollo Rural instaló 97 huertos de traspatio para beneficiar a 500 familias, realizó jornadas zoosanitarias gratuitas con más de 250 ovinos atendidos, y promovió la preservación del maguey con un vivero municipal que resguarda 500 plantas madre y ha distribuido más de 450 hijuelos.</t>
  </si>
  <si>
    <t>El Gobierno Municipal de Cuautepec de Hinojosa, encabezado por el alcalde Jorge Hernández Araus, concluyó los trabajos de reencarpetamiento asfáltico en la carretera Cuautepec-Santa Rita, los cuales se llevaron a cabo durante un periodo de 10 días. La obra, derivada de un financiamiento gestionado por la administración municipal, representó una inversión de 3,792,162 pesos y beneficiará de manera directa a 18,835 habitantes y usuarios de esta vía. Los trabajos técnicos abarcaron del kilómetro 0 al 1+395, e incluyeron el perfilado del asfalto existente (con la recuperación de 251.11 metros cúbicos de material) y la colocación de una nueva carpeta asfáltica de 5 cm de espesor sobre una superficie total de 8,370.18 metros cuadrados. El presidente municipal destacó que la infraestructura vial debe traducirse en beneficios concretos para la calidad de vida y seguridad de la población.</t>
  </si>
  <si>
    <t>Obras De Infraestructura</t>
  </si>
  <si>
    <t>El Gobierno Municipal de Cuautepec de Hinojosa dio a conocer que este miércoles 9 de septiembre las Unidades Móviles de Servicios Estatales del Gobierno del Estado de Hidalgo se instalarán en la sede de la Presidencia Municipal. La atención se brindará en un horario de 9:00 a 14:00 horas. Entre los servicios disponibles para la ciudadanía destacan la orientación sobre programas y trámites estatales, la emisión de constancias de no derechohabiencia del IMSS o ISSSTE, la impresión de la CURP y la realización de pagos estatales mediante el formato F7. Asimismo, se ofrecerá la impresión de actas de nacimiento, matrimonio, divorcio o defunción provenientes de otros municipios o estados del país, las cuales tendrán un costo de $152 pesos.</t>
  </si>
  <si>
    <t>Unidades móviles</t>
  </si>
  <si>
    <t>En redes sociales circula un reporte acompañado de imágenes que alertan sobre la modomodelidad delictiva empleada en la carretera México-Tuxpan, específicamente en el tramo que comprende Tulancingo, El Tejocotal y Acaxochitlán. Los delincuentes colocan troncos sobre la cinta asfáltica para obligar a los conductores a frenar o detenerse, momento en que son abordados para despojarlos de sus pertenencias o de sus vehículos. Esta situación ha generado constante temor e incertidumbre tanto en familias y automovilistas particulares como en choferes de transporte de carga que trasladan mercancías entre Hidalgo, Puebla y Veracruz. Ante el incremento del riesgo durante las horas nocturnas, usuarios y transportistas han hecho un llamado urgente a las autoridades para reforzar la vigilancia. Dado que se trata de una vía de jurisdicción federal, enfatizan la necesidad de patrullajes permanentes por parte de la Guardia Nacional, además de solicitar el apoyo coordinado de la Policía Estatal de Hidalgo y las corporaciones municipales.</t>
  </si>
  <si>
    <t>Una semana después que la senadora morenista Simey Olvera Bautista llevó a su informe de labores a una imitadora de la presidenta Claudia Sheinbaum, este martes fue removida como secretaria de la Mesa Directiva del Senado. Simey Olvera, senadora por Hidalgo, el pasado 28 de agosto llevó a la actriz y comediante Tamara Henaine, conocida por su personaje de “Claudita”, caracterizada como la presidenta Claudia Sheinbaum para presentar a la legisladora en su informe de labores. Ante ello, la senadora fue cuestionada en redes sociales tras realizar su segundo informe de labores en Ixmiquilpan. De inmediato, fue sustituida por la senadora por Morena, Claudia Tello Espinoza, por lo que de inmediato sustituyó a Simey Olvera.</t>
  </si>
  <si>
    <t>Informe legislativo</t>
  </si>
  <si>
    <t>Durante su informe de gobierno, el alcalde del municipio de Nicolás Flores, González Elizalde —quien encabeza la administración municipal por tercera ocasión—, generó controversia tras responder a las inquietudes sobre el destino de un financiamiento por 7 millones de pesos. Mientras el edil defendía que los fondos públicos se han encauzado a atender las necesidades de la población, pronunció la frase: "No me he robado ningún peso, si lo robé fue para dárselo a ustedes", lo cual provocó sorpresa entre los asistentes y abrió nuevamente el debate sobre la transparencia en el ejercicio de dicho crédito. Hasta el momento no se ha reportado ninguna investigación formal motivada directamente por estas declaraciones; no obstante, la comprobación de los recursos requerirá de la documentación financiera y la fiscalización correspondiente.</t>
  </si>
  <si>
    <t>Entrevista vía telefeónica Avelino Tovar diputado local del Partido Verde Ecologista de México: El diputado local del Partido Verde Ecologista de México (PVEM), Avelino Tovar, expresó el respaldo total de su fuerza política al gobierno encabezado por Julio Menchaca Salazar, tras la entrega del informe gubernamental al Congreso del Estado de Hidalgo por parte del secretario de Gobierno. Tovar destacó los indicadores socioeconómicos y de desarrollo presentados por la administración estatal, entre los que sobresalen 130 proyectos de inversión que superan los 147,000 millones de pesos, la creación de 191,000 empleos directos e indirectos, y el posicionamiento de Hidalgo en los primeros lugares de crecimiento económico e industrial. Asimismo, resaltó la reducción del 42% en la deuda pública heredada, el incremento del 96% en la recaudación de ingresos propios y los avances en seguridad, salud, educación e infraestructura ambiental, como la rehabilitación de pozos y obras de saneamiento en el Río Tula. Cuestionado sobre el impacto ambiental derivado del desarrollo industrial, el legislador enfatizó que el crecimiento económico no está peleado con la sustentabilidad. Aseguró que las políticas del estado priorizan la transición hacia la economía circular, en alineación con la legislación federal y estatal. Por otra parte, al abordar su labor en el Congreso tras la presentación de su informe legislativo, Tovar explicó que sus propuestas surgen del contacto directo con la ciudadanía y los sectores productivos. Entre sus iniciativas destaca el uso compartido del carril confinado del Tuzobús para el transporte público general y vehículos particulares con cuatro o más ocupantes, con el fin de agilizar la movilidad al sur de Pachuca, así como la regulación de centros de rehabilitación de adicciones.</t>
  </si>
  <si>
    <t>Si me lo robé, es para ustedes" es la frase del alcalde de Nicolás Flores que generó cuestionamientos tras su segundo informe</t>
  </si>
  <si>
    <t>El gobierno federal implementó centros de mando en las entidades del país, con especial atención en los estados del Pacífico, para fortalecer la prevención y respuesta ante posibles emergencias asociadas al fenómeno meteorológico El Niño, informó la presidenta Claudia Sheinbaum Pardo. La primera mandataria explicó que en estas entidades se trabaja en protocolos para definir cómo y cuándo informar a la población, así como en la identificación de refugios y las acciones que deberán aplicarse ante una eventual emergencia. Señaló que parte de los mecanismos de atención ya existen, entre ellos el Plan DN-III-E de la Secretaría de la Defensa Nacional y el Plan Marina de la Secretaría de Marina, pero se han establecido medidas específicas para responder a las condiciones que pueda generar el fenómeno.</t>
  </si>
  <si>
    <t>El Ayuntamiento de Tulancingo aprobó este lunes la modificación de la fecha para la Sesión Solemne en la que la presidenta municipal, Lorena García Cázares, presentará su Segundo Informe de Gobierno, ejercicio de rendición de cuentas que se llevará a cabo el próximo 17 de septiembre, a las 16:30 horas. La fecha inicialmente prevista era el 10 de septiembre; sin embargo, durante la sesión pública extraordinaria se aprobó el cambio y se ratificó como sede el Auditorio Benito Juárez de la Presidencia Municipal, donde se contará con la presencia de representantes de distintos sectores de la sociedad e invitados especiales. Como parte de la organización protocolaria del acto, el Cabildo acordó mantener la integración de la Comisión de Cortesía previamente aprobada, encargada de recibir y acompañar a la presidenta municipal, al representante personal del gobernador del estado de Hidalgo y a las personas invitadas. Asimismo, los integrantes del Ayuntamiento determinaron, mediante votación directa, que el regidor Jaciel Templos Gutiérrez tendrá a su cargo la réplica al Segundo Informe de Gobierno, como parte del ejercicio democrático y de representación que corresponde al órgano colegiado. Durante la *Decimoséptima Sesión Pública Extraordinaria, el Ayuntamiento también aprobó la *Minuta 27-LXVI, Proyecto de Decreto, mediante la cual se adiciona un segundo párrafo al artículo 84 de la Constitución Política del Estado de Hidalgo, en materia de economía social. Con esta determinación, el Gobierno Municipal se suma, desde el ámbito de sus atribuciones, al fortalecimiento de un modelo que reconoce a la economía social como un elemento para impulsar la participación, la organización comunitaria y el bienestar de la población.</t>
  </si>
  <si>
    <t>Locutor Juan Carlos Santamaría emitió un llamado a las autoridades del municipio de Mineral de la Reforma ante la persistente problemática de baches en diversas vialidades principales y secundarias de la demarcación. Se enfatizó la grave afectación en la carretera Pachuca-Tulancingo —especialmente en el tramo de Pachuquilla hacia Pachuca y en sentido inverso—, la cual afecta diariamente a automovilistas, motociclistas y peatones. Asimismo, se reportó el mal estado de la avenida Álamo Dorado y la entrada a la colonia Villas del Álamo. Se advirtió que, aunque algunos particulares intentan tapar los hoyos a cambio de unas monedas, no utilizan los materiales ni la técnica adecuada, por lo que se Urge a las autoridades brindar una solución definitiva y duradera comenzando por las vías principales.</t>
  </si>
  <si>
    <t>Baches</t>
  </si>
  <si>
    <t>En la prueba PISA 2025, que aplica la Organización para la Cooperación y el Desarrollo Económicos (OCDE) cada tres años, México bajó siete puntos en matemáticas y otros siete en lectura con respecto a la edición pasada. Con base en la evaluación, más de cuatro de cada 10 estudiantes mexicanos de 15 años evaluados (41.8%) quedaron por debajo del nivel básico en matemáticas, lectura y ciencias. En matemáticas, México obtuvo 388 puntos, siete menos que en 2022 y 75 por debajo del promedio de la organización; en lectura alcanzó 408 puntos, también siete menos que en la edición anterior. El informe PISA 2025 Results (Volume I): Future-Ready Students señala que sólo uno de cada 200 estudiantes mexicanos, equivalente a 0.5%, alcanzó los niveles más altos de desempeño, el cinco o el seis, en al menos una de las tres materias. En los países de la OCDE, el promedio fue de 11.9%. En lectura, México obtuvo 408 puntos frente a los 461 del promedio de la OCDE: una diferencia de 53 puntos. Esta parte de la prueba mide si los estudiantes comprenden lo que leen, pueden utilizar la información de un texto y son capaces de analizarla y reflexionar sobre ella. En ciencias, los alumnos mexicanos alcanzaron 414 puntos, mientras que el promedio de la organización fue de 482. México quedó 68 puntos abajo en esta área, que evalúa cómo los jóvenes emplean conocimientos científicos y pruebas para explicar situaciones y tomar decisiones. Según el informe, alcanzar el nivel básico en ciencias significa poder explicar de manera sencilla fenómenos conocidos, comprender datos simples y reconocer qué pruebas respaldan una afirmación. También implica distinguir si una explicación tiene fundamento científico y utilizar un criterio sencillo para decidir si una fuente de información es confiable. En los niveles más altos los estudiantes deben trabajar con teorías, modelos y datos complejos, así como consultar distintas fuentes. Las tareas incluyen revisar explicaciones y métodos de investigación, detectar errores en la interpretación de información y justificar sus decisiones con conocimientos científicos. En comparación con 2022, México pasó de 395 a 388 puntos en matemáticas, de 415 a 408 en lectura y de 410 a 414 en ciencias. Según el análisis de la OCDE, sólo la caída en matemáticas permite confirmar un retroceso estadísticamente significativo. En lectura y ciencias, las diferencias no bastan para confirmar un cambio en el desempeño, considerando la incertidumbre de la evaluación. En América Latina, México obtuvo menores puntajes que Uruguay y Chile en las tres materias. Uruguay registró 405 puntos en matemáticas, 423 en lectura y 445 en ciencias. Chile alcanzó 403 puntos en matemáticas, 436 en lectura y 442 en ciencias.</t>
  </si>
  <si>
    <t>Prueba PISA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</si>
</sst>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33" tableType="queryTable" totalsRowShown="0">
  <autoFilter ref="A1:M133"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33"/>
  <sheetViews>
    <sheetView tabSelected="1" topLeftCell="A104" workbookViewId="0">
      <selection activeCell="D123" sqref="D123"/>
    </sheetView>
  </sheetViews>
  <sheetFormatPr baseColWidth="10" defaultRowHeight="15" x14ac:dyDescent="0.25"/>
  <cols>
    <col min="1" max="1" width="8.5703125" bestFit="1" customWidth="1"/>
    <col min="2" max="2" width="11.42578125" bestFit="1" customWidth="1"/>
    <col min="3" max="3" width="26" bestFit="1" customWidth="1"/>
    <col min="4" max="4" width="30.42578125" bestFit="1" customWidth="1"/>
    <col min="5" max="5" width="81.140625" bestFit="1" customWidth="1"/>
    <col min="6" max="6" width="15.28515625" bestFit="1" customWidth="1"/>
    <col min="7" max="7" width="26.7109375" bestFit="1" customWidth="1"/>
    <col min="8" max="8" width="12.42578125" bestFit="1" customWidth="1"/>
    <col min="9" max="9" width="11.140625" bestFit="1" customWidth="1"/>
    <col min="10" max="10" width="25.7109375" bestFit="1" customWidth="1"/>
    <col min="11" max="11" width="31"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25</v>
      </c>
      <c r="C1" t="s">
        <v>26</v>
      </c>
      <c r="D1" t="s">
        <v>27</v>
      </c>
      <c r="E1" t="s">
        <v>1</v>
      </c>
      <c r="F1" t="s">
        <v>2</v>
      </c>
      <c r="G1" t="s">
        <v>4</v>
      </c>
      <c r="H1" t="s">
        <v>3</v>
      </c>
      <c r="I1" t="s">
        <v>5</v>
      </c>
      <c r="J1" t="s">
        <v>28</v>
      </c>
      <c r="K1" t="s">
        <v>29</v>
      </c>
      <c r="L1" t="s">
        <v>30</v>
      </c>
      <c r="M1" t="s">
        <v>37</v>
      </c>
    </row>
    <row r="2" spans="1:13" x14ac:dyDescent="0.25">
      <c r="A2" s="2">
        <v>46272</v>
      </c>
      <c r="B2" s="1" t="str">
        <f ca="1">IF(Información1[[#This Row],[Fecha]]='Ajuste de fechas'!$A$2,"Día actual","Día anterior")</f>
        <v>Día anterior</v>
      </c>
      <c r="C2" t="s">
        <v>63</v>
      </c>
      <c r="D2" t="s">
        <v>64</v>
      </c>
      <c r="E2" t="s">
        <v>101</v>
      </c>
      <c r="F2" t="s">
        <v>69</v>
      </c>
      <c r="G2" t="s">
        <v>102</v>
      </c>
      <c r="H2" t="s">
        <v>66</v>
      </c>
      <c r="I2" t="s">
        <v>7</v>
      </c>
      <c r="J2" t="s">
        <v>31</v>
      </c>
      <c r="K2" t="s">
        <v>68</v>
      </c>
      <c r="L2" t="s">
        <v>32</v>
      </c>
      <c r="M2">
        <v>1</v>
      </c>
    </row>
    <row r="3" spans="1:13" x14ac:dyDescent="0.25">
      <c r="A3" s="2">
        <v>46272</v>
      </c>
      <c r="B3" s="1" t="str">
        <f ca="1">IF(Información1[[#This Row],[Fecha]]='Ajuste de fechas'!$A$2,"Día actual","Día anterior")</f>
        <v>Día anterior</v>
      </c>
      <c r="C3" t="s">
        <v>63</v>
      </c>
      <c r="D3" t="s">
        <v>64</v>
      </c>
      <c r="E3" t="s">
        <v>103</v>
      </c>
      <c r="F3" t="s">
        <v>23</v>
      </c>
      <c r="G3" t="s">
        <v>52</v>
      </c>
      <c r="H3" t="s">
        <v>66</v>
      </c>
      <c r="I3" t="s">
        <v>7</v>
      </c>
      <c r="J3" t="s">
        <v>31</v>
      </c>
      <c r="K3" t="s">
        <v>68</v>
      </c>
      <c r="L3" t="s">
        <v>32</v>
      </c>
      <c r="M3">
        <v>1</v>
      </c>
    </row>
    <row r="4" spans="1:13" x14ac:dyDescent="0.25">
      <c r="A4" s="2">
        <v>46272</v>
      </c>
      <c r="B4" s="1" t="str">
        <f ca="1">IF(Información1[[#This Row],[Fecha]]='Ajuste de fechas'!$A$2,"Día actual","Día anterior")</f>
        <v>Día anterior</v>
      </c>
      <c r="C4" t="s">
        <v>63</v>
      </c>
      <c r="D4" t="s">
        <v>64</v>
      </c>
      <c r="E4" t="s">
        <v>104</v>
      </c>
      <c r="F4" t="s">
        <v>23</v>
      </c>
      <c r="G4" t="s">
        <v>52</v>
      </c>
      <c r="H4" t="s">
        <v>66</v>
      </c>
      <c r="I4" t="s">
        <v>11</v>
      </c>
      <c r="J4" t="s">
        <v>31</v>
      </c>
      <c r="K4" t="s">
        <v>68</v>
      </c>
      <c r="L4" t="s">
        <v>32</v>
      </c>
      <c r="M4">
        <v>1</v>
      </c>
    </row>
    <row r="5" spans="1:13" x14ac:dyDescent="0.25">
      <c r="A5" s="2">
        <v>46272</v>
      </c>
      <c r="B5" s="1" t="str">
        <f ca="1">IF(Información1[[#This Row],[Fecha]]='Ajuste de fechas'!$A$2,"Día actual","Día anterior")</f>
        <v>Día anterior</v>
      </c>
      <c r="C5" t="s">
        <v>63</v>
      </c>
      <c r="D5" t="s">
        <v>64</v>
      </c>
      <c r="E5" t="s">
        <v>105</v>
      </c>
      <c r="F5" t="s">
        <v>23</v>
      </c>
      <c r="G5" t="s">
        <v>52</v>
      </c>
      <c r="H5" t="s">
        <v>66</v>
      </c>
      <c r="I5" t="s">
        <v>7</v>
      </c>
      <c r="J5" t="s">
        <v>31</v>
      </c>
      <c r="K5" t="s">
        <v>68</v>
      </c>
      <c r="L5" t="s">
        <v>32</v>
      </c>
      <c r="M5">
        <v>1</v>
      </c>
    </row>
    <row r="6" spans="1:13" x14ac:dyDescent="0.25">
      <c r="A6" s="2">
        <v>46272</v>
      </c>
      <c r="B6" s="1" t="str">
        <f ca="1">IF(Información1[[#This Row],[Fecha]]='Ajuste de fechas'!$A$2,"Día actual","Día anterior")</f>
        <v>Día anterior</v>
      </c>
      <c r="C6" t="s">
        <v>63</v>
      </c>
      <c r="D6" t="s">
        <v>64</v>
      </c>
      <c r="E6" t="s">
        <v>106</v>
      </c>
      <c r="F6" t="s">
        <v>23</v>
      </c>
      <c r="G6" t="s">
        <v>52</v>
      </c>
      <c r="H6" t="s">
        <v>66</v>
      </c>
      <c r="I6" t="s">
        <v>11</v>
      </c>
      <c r="J6" t="s">
        <v>31</v>
      </c>
      <c r="K6" t="s">
        <v>9</v>
      </c>
      <c r="L6" t="s">
        <v>33</v>
      </c>
      <c r="M6">
        <v>1</v>
      </c>
    </row>
    <row r="7" spans="1:13" x14ac:dyDescent="0.25">
      <c r="A7" s="2">
        <v>46272</v>
      </c>
      <c r="B7" s="1" t="str">
        <f ca="1">IF(Información1[[#This Row],[Fecha]]='Ajuste de fechas'!$A$2,"Día actual","Día anterior")</f>
        <v>Día anterior</v>
      </c>
      <c r="C7" t="s">
        <v>63</v>
      </c>
      <c r="D7" t="s">
        <v>64</v>
      </c>
      <c r="E7" t="s">
        <v>107</v>
      </c>
      <c r="F7" t="s">
        <v>18</v>
      </c>
      <c r="G7" t="s">
        <v>108</v>
      </c>
      <c r="H7" t="s">
        <v>66</v>
      </c>
      <c r="I7" t="s">
        <v>7</v>
      </c>
      <c r="J7" t="s">
        <v>31</v>
      </c>
      <c r="K7" t="s">
        <v>68</v>
      </c>
      <c r="L7" t="s">
        <v>33</v>
      </c>
      <c r="M7">
        <v>1</v>
      </c>
    </row>
    <row r="8" spans="1:13" x14ac:dyDescent="0.25">
      <c r="A8" s="2">
        <v>46272</v>
      </c>
      <c r="B8" s="1" t="str">
        <f ca="1">IF(Información1[[#This Row],[Fecha]]='Ajuste de fechas'!$A$2,"Día actual","Día anterior")</f>
        <v>Día anterior</v>
      </c>
      <c r="C8" t="s">
        <v>63</v>
      </c>
      <c r="D8" t="s">
        <v>64</v>
      </c>
      <c r="E8" t="s">
        <v>109</v>
      </c>
      <c r="F8" t="s">
        <v>23</v>
      </c>
      <c r="G8" t="s">
        <v>52</v>
      </c>
      <c r="H8" t="s">
        <v>66</v>
      </c>
      <c r="I8" t="s">
        <v>11</v>
      </c>
      <c r="J8" t="s">
        <v>31</v>
      </c>
      <c r="K8" t="s">
        <v>110</v>
      </c>
      <c r="L8" t="s">
        <v>33</v>
      </c>
      <c r="M8">
        <v>1</v>
      </c>
    </row>
    <row r="9" spans="1:13" x14ac:dyDescent="0.25">
      <c r="A9" s="2">
        <v>46272</v>
      </c>
      <c r="B9" s="1" t="str">
        <f ca="1">IF(Información1[[#This Row],[Fecha]]='Ajuste de fechas'!$A$2,"Día actual","Día anterior")</f>
        <v>Día anterior</v>
      </c>
      <c r="C9" t="s">
        <v>58</v>
      </c>
      <c r="D9" t="s">
        <v>59</v>
      </c>
      <c r="E9" t="s">
        <v>111</v>
      </c>
      <c r="F9" t="s">
        <v>47</v>
      </c>
      <c r="G9" t="s">
        <v>112</v>
      </c>
      <c r="H9" t="s">
        <v>53</v>
      </c>
      <c r="I9" t="s">
        <v>7</v>
      </c>
      <c r="J9" t="s">
        <v>31</v>
      </c>
      <c r="K9" t="s">
        <v>113</v>
      </c>
      <c r="L9" t="s">
        <v>32</v>
      </c>
      <c r="M9">
        <v>1</v>
      </c>
    </row>
    <row r="10" spans="1:13" x14ac:dyDescent="0.25">
      <c r="A10" s="2">
        <v>46272</v>
      </c>
      <c r="B10" s="1" t="str">
        <f ca="1">IF(Información1[[#This Row],[Fecha]]='Ajuste de fechas'!$A$2,"Día actual","Día anterior")</f>
        <v>Día anterior</v>
      </c>
      <c r="C10" t="s">
        <v>58</v>
      </c>
      <c r="D10" t="s">
        <v>59</v>
      </c>
      <c r="E10" t="s">
        <v>114</v>
      </c>
      <c r="F10" t="s">
        <v>16</v>
      </c>
      <c r="G10" t="s">
        <v>115</v>
      </c>
      <c r="H10" t="s">
        <v>53</v>
      </c>
      <c r="I10" t="s">
        <v>7</v>
      </c>
      <c r="J10" t="s">
        <v>35</v>
      </c>
      <c r="K10" t="s">
        <v>62</v>
      </c>
      <c r="L10" t="s">
        <v>32</v>
      </c>
      <c r="M10">
        <v>1</v>
      </c>
    </row>
    <row r="11" spans="1:13" x14ac:dyDescent="0.25">
      <c r="A11" s="2">
        <v>46272</v>
      </c>
      <c r="B11" s="1" t="str">
        <f ca="1">IF(Información1[[#This Row],[Fecha]]='Ajuste de fechas'!$A$2,"Día actual","Día anterior")</f>
        <v>Día anterior</v>
      </c>
      <c r="C11" t="s">
        <v>58</v>
      </c>
      <c r="D11" t="s">
        <v>59</v>
      </c>
      <c r="E11" t="s">
        <v>116</v>
      </c>
      <c r="F11" t="s">
        <v>16</v>
      </c>
      <c r="G11" t="s">
        <v>93</v>
      </c>
      <c r="H11" t="s">
        <v>53</v>
      </c>
      <c r="I11" t="s">
        <v>7</v>
      </c>
      <c r="J11" t="s">
        <v>35</v>
      </c>
      <c r="K11" t="s">
        <v>113</v>
      </c>
      <c r="L11" t="s">
        <v>32</v>
      </c>
      <c r="M11">
        <v>1</v>
      </c>
    </row>
    <row r="12" spans="1:13" x14ac:dyDescent="0.25">
      <c r="A12" s="2">
        <v>46272</v>
      </c>
      <c r="B12" s="1" t="str">
        <f ca="1">IF(Información1[[#This Row],[Fecha]]='Ajuste de fechas'!$A$2,"Día actual","Día anterior")</f>
        <v>Día anterior</v>
      </c>
      <c r="C12" t="s">
        <v>58</v>
      </c>
      <c r="D12" t="s">
        <v>59</v>
      </c>
      <c r="E12" t="s">
        <v>73</v>
      </c>
      <c r="F12" t="s">
        <v>16</v>
      </c>
      <c r="G12" t="s">
        <v>74</v>
      </c>
      <c r="H12" t="s">
        <v>53</v>
      </c>
      <c r="I12" t="s">
        <v>7</v>
      </c>
      <c r="J12" t="s">
        <v>35</v>
      </c>
      <c r="K12" t="s">
        <v>75</v>
      </c>
      <c r="L12" t="s">
        <v>76</v>
      </c>
      <c r="M12">
        <v>1</v>
      </c>
    </row>
    <row r="13" spans="1:13" x14ac:dyDescent="0.25">
      <c r="A13" s="2">
        <v>46272</v>
      </c>
      <c r="B13" s="1" t="str">
        <f ca="1">IF(Información1[[#This Row],[Fecha]]='Ajuste de fechas'!$A$2,"Día actual","Día anterior")</f>
        <v>Día anterior</v>
      </c>
      <c r="C13" t="s">
        <v>58</v>
      </c>
      <c r="D13" t="s">
        <v>59</v>
      </c>
      <c r="E13" t="s">
        <v>117</v>
      </c>
      <c r="F13" t="s">
        <v>23</v>
      </c>
      <c r="G13" t="s">
        <v>52</v>
      </c>
      <c r="H13" t="s">
        <v>53</v>
      </c>
      <c r="I13" t="s">
        <v>7</v>
      </c>
      <c r="J13" t="s">
        <v>31</v>
      </c>
      <c r="K13" t="s">
        <v>113</v>
      </c>
      <c r="L13" t="s">
        <v>34</v>
      </c>
      <c r="M13">
        <v>1</v>
      </c>
    </row>
    <row r="14" spans="1:13" x14ac:dyDescent="0.25">
      <c r="A14" s="2">
        <v>46272</v>
      </c>
      <c r="B14" s="1" t="str">
        <f ca="1">IF(Información1[[#This Row],[Fecha]]='Ajuste de fechas'!$A$2,"Día actual","Día anterior")</f>
        <v>Día anterior</v>
      </c>
      <c r="C14" t="s">
        <v>58</v>
      </c>
      <c r="D14" t="s">
        <v>59</v>
      </c>
      <c r="E14" t="s">
        <v>118</v>
      </c>
      <c r="F14" t="s">
        <v>45</v>
      </c>
      <c r="G14" t="s">
        <v>97</v>
      </c>
      <c r="H14" t="s">
        <v>53</v>
      </c>
      <c r="I14" t="s">
        <v>7</v>
      </c>
      <c r="J14" t="s">
        <v>31</v>
      </c>
      <c r="K14" t="s">
        <v>72</v>
      </c>
      <c r="L14" t="s">
        <v>32</v>
      </c>
      <c r="M14">
        <v>1</v>
      </c>
    </row>
    <row r="15" spans="1:13" x14ac:dyDescent="0.25">
      <c r="A15" s="2">
        <v>46272</v>
      </c>
      <c r="B15" s="1" t="str">
        <f ca="1">IF(Información1[[#This Row],[Fecha]]='Ajuste de fechas'!$A$2,"Día actual","Día anterior")</f>
        <v>Día anterior</v>
      </c>
      <c r="C15" t="s">
        <v>58</v>
      </c>
      <c r="D15" t="s">
        <v>59</v>
      </c>
      <c r="E15" t="s">
        <v>119</v>
      </c>
      <c r="F15" t="s">
        <v>23</v>
      </c>
      <c r="G15" t="s">
        <v>52</v>
      </c>
      <c r="H15" t="s">
        <v>53</v>
      </c>
      <c r="I15" t="s">
        <v>7</v>
      </c>
      <c r="J15" t="s">
        <v>31</v>
      </c>
      <c r="K15" t="s">
        <v>62</v>
      </c>
      <c r="L15" t="s">
        <v>32</v>
      </c>
      <c r="M15">
        <v>1</v>
      </c>
    </row>
    <row r="16" spans="1:13" x14ac:dyDescent="0.25">
      <c r="A16" s="2">
        <v>46272</v>
      </c>
      <c r="B16" s="1" t="str">
        <f ca="1">IF(Información1[[#This Row],[Fecha]]='Ajuste de fechas'!$A$2,"Día actual","Día anterior")</f>
        <v>Día anterior</v>
      </c>
      <c r="C16" t="s">
        <v>58</v>
      </c>
      <c r="D16" t="s">
        <v>59</v>
      </c>
      <c r="E16" t="s">
        <v>120</v>
      </c>
      <c r="F16" t="s">
        <v>47</v>
      </c>
      <c r="G16" t="s">
        <v>52</v>
      </c>
      <c r="H16" t="s">
        <v>53</v>
      </c>
      <c r="I16" t="s">
        <v>7</v>
      </c>
      <c r="J16" t="s">
        <v>31</v>
      </c>
      <c r="K16" t="s">
        <v>113</v>
      </c>
      <c r="L16" t="s">
        <v>34</v>
      </c>
      <c r="M16">
        <v>1</v>
      </c>
    </row>
    <row r="17" spans="1:13" x14ac:dyDescent="0.25">
      <c r="A17" s="2">
        <v>46272</v>
      </c>
      <c r="B17" s="1" t="str">
        <f ca="1">IF(Información1[[#This Row],[Fecha]]='Ajuste de fechas'!$A$2,"Día actual","Día anterior")</f>
        <v>Día anterior</v>
      </c>
      <c r="C17" t="s">
        <v>58</v>
      </c>
      <c r="D17" t="s">
        <v>59</v>
      </c>
      <c r="E17" t="s">
        <v>121</v>
      </c>
      <c r="F17" t="s">
        <v>61</v>
      </c>
      <c r="G17" t="s">
        <v>70</v>
      </c>
      <c r="H17" t="s">
        <v>53</v>
      </c>
      <c r="I17" t="s">
        <v>7</v>
      </c>
      <c r="J17" t="s">
        <v>71</v>
      </c>
      <c r="K17" t="s">
        <v>72</v>
      </c>
      <c r="L17" t="s">
        <v>32</v>
      </c>
      <c r="M17">
        <v>1</v>
      </c>
    </row>
    <row r="18" spans="1:13" x14ac:dyDescent="0.25">
      <c r="A18" s="2">
        <v>46272</v>
      </c>
      <c r="B18" s="1" t="str">
        <f ca="1">IF(Información1[[#This Row],[Fecha]]='Ajuste de fechas'!$A$2,"Día actual","Día anterior")</f>
        <v>Día anterior</v>
      </c>
      <c r="C18" t="s">
        <v>58</v>
      </c>
      <c r="D18" t="s">
        <v>59</v>
      </c>
      <c r="E18" t="s">
        <v>122</v>
      </c>
      <c r="F18" t="s">
        <v>47</v>
      </c>
      <c r="G18" t="s">
        <v>123</v>
      </c>
      <c r="H18" t="s">
        <v>53</v>
      </c>
      <c r="I18" t="s">
        <v>7</v>
      </c>
      <c r="J18" t="s">
        <v>31</v>
      </c>
      <c r="K18" t="s">
        <v>62</v>
      </c>
      <c r="L18" t="s">
        <v>32</v>
      </c>
      <c r="M18">
        <v>1</v>
      </c>
    </row>
    <row r="19" spans="1:13" x14ac:dyDescent="0.25">
      <c r="A19" s="2">
        <v>46272</v>
      </c>
      <c r="B19" s="1" t="str">
        <f ca="1">IF(Información1[[#This Row],[Fecha]]='Ajuste de fechas'!$A$2,"Día actual","Día anterior")</f>
        <v>Día anterior</v>
      </c>
      <c r="C19" t="s">
        <v>58</v>
      </c>
      <c r="D19" t="s">
        <v>59</v>
      </c>
      <c r="E19" t="s">
        <v>124</v>
      </c>
      <c r="F19" t="s">
        <v>16</v>
      </c>
      <c r="G19" t="s">
        <v>99</v>
      </c>
      <c r="H19" t="s">
        <v>53</v>
      </c>
      <c r="I19" t="s">
        <v>7</v>
      </c>
      <c r="J19" t="s">
        <v>35</v>
      </c>
      <c r="K19" t="s">
        <v>72</v>
      </c>
      <c r="L19" t="s">
        <v>32</v>
      </c>
      <c r="M19">
        <v>1</v>
      </c>
    </row>
    <row r="20" spans="1:13" x14ac:dyDescent="0.25">
      <c r="A20" s="2">
        <v>46272</v>
      </c>
      <c r="B20" s="1" t="str">
        <f ca="1">IF(Información1[[#This Row],[Fecha]]='Ajuste de fechas'!$A$2,"Día actual","Día anterior")</f>
        <v>Día anterior</v>
      </c>
      <c r="C20" t="s">
        <v>58</v>
      </c>
      <c r="D20" t="s">
        <v>59</v>
      </c>
      <c r="E20" t="s">
        <v>125</v>
      </c>
      <c r="F20" t="s">
        <v>16</v>
      </c>
      <c r="G20" t="s">
        <v>74</v>
      </c>
      <c r="H20" t="s">
        <v>53</v>
      </c>
      <c r="I20" t="s">
        <v>7</v>
      </c>
      <c r="J20" t="s">
        <v>35</v>
      </c>
      <c r="K20" t="s">
        <v>62</v>
      </c>
      <c r="L20" t="s">
        <v>32</v>
      </c>
      <c r="M20">
        <v>1</v>
      </c>
    </row>
    <row r="21" spans="1:13" x14ac:dyDescent="0.25">
      <c r="A21" s="2">
        <v>46272</v>
      </c>
      <c r="B21" s="1" t="str">
        <f ca="1">IF(Información1[[#This Row],[Fecha]]='Ajuste de fechas'!$A$2,"Día actual","Día anterior")</f>
        <v>Día anterior</v>
      </c>
      <c r="C21" t="s">
        <v>58</v>
      </c>
      <c r="D21" t="s">
        <v>59</v>
      </c>
      <c r="E21" t="s">
        <v>126</v>
      </c>
      <c r="F21" t="s">
        <v>85</v>
      </c>
      <c r="G21" t="s">
        <v>91</v>
      </c>
      <c r="H21" t="s">
        <v>53</v>
      </c>
      <c r="I21" t="s">
        <v>7</v>
      </c>
      <c r="J21" t="s">
        <v>31</v>
      </c>
      <c r="K21" t="s">
        <v>62</v>
      </c>
      <c r="L21" t="s">
        <v>32</v>
      </c>
      <c r="M21">
        <v>1</v>
      </c>
    </row>
    <row r="22" spans="1:13" x14ac:dyDescent="0.25">
      <c r="A22" s="2">
        <v>46272</v>
      </c>
      <c r="B22" s="1" t="str">
        <f ca="1">IF(Información1[[#This Row],[Fecha]]='Ajuste de fechas'!$A$2,"Día actual","Día anterior")</f>
        <v>Día anterior</v>
      </c>
      <c r="C22" t="s">
        <v>58</v>
      </c>
      <c r="D22" t="s">
        <v>59</v>
      </c>
      <c r="E22" t="s">
        <v>127</v>
      </c>
      <c r="F22" t="s">
        <v>20</v>
      </c>
      <c r="G22" t="s">
        <v>128</v>
      </c>
      <c r="H22" t="s">
        <v>53</v>
      </c>
      <c r="I22" t="s">
        <v>7</v>
      </c>
      <c r="J22" t="s">
        <v>31</v>
      </c>
      <c r="K22" t="s">
        <v>113</v>
      </c>
      <c r="L22" t="s">
        <v>32</v>
      </c>
      <c r="M22">
        <v>1</v>
      </c>
    </row>
    <row r="23" spans="1:13" x14ac:dyDescent="0.25">
      <c r="A23" s="2">
        <v>46272</v>
      </c>
      <c r="B23" s="1" t="str">
        <f ca="1">IF(Información1[[#This Row],[Fecha]]='Ajuste de fechas'!$A$2,"Día actual","Día anterior")</f>
        <v>Día anterior</v>
      </c>
      <c r="C23" t="s">
        <v>58</v>
      </c>
      <c r="D23" t="s">
        <v>59</v>
      </c>
      <c r="E23" t="s">
        <v>129</v>
      </c>
      <c r="F23" t="s">
        <v>16</v>
      </c>
      <c r="G23" t="s">
        <v>130</v>
      </c>
      <c r="H23" t="s">
        <v>53</v>
      </c>
      <c r="I23" t="s">
        <v>7</v>
      </c>
      <c r="J23" t="s">
        <v>35</v>
      </c>
      <c r="K23" t="s">
        <v>113</v>
      </c>
      <c r="L23" t="s">
        <v>32</v>
      </c>
      <c r="M23">
        <v>1</v>
      </c>
    </row>
    <row r="24" spans="1:13" x14ac:dyDescent="0.25">
      <c r="A24" s="2">
        <v>46272</v>
      </c>
      <c r="B24" s="1" t="str">
        <f ca="1">IF(Información1[[#This Row],[Fecha]]='Ajuste de fechas'!$A$2,"Día actual","Día anterior")</f>
        <v>Día anterior</v>
      </c>
      <c r="C24" t="s">
        <v>58</v>
      </c>
      <c r="D24" t="s">
        <v>59</v>
      </c>
      <c r="E24" t="s">
        <v>131</v>
      </c>
      <c r="F24" t="s">
        <v>19</v>
      </c>
      <c r="G24" t="s">
        <v>132</v>
      </c>
      <c r="H24" t="s">
        <v>53</v>
      </c>
      <c r="I24" t="s">
        <v>7</v>
      </c>
      <c r="J24" t="s">
        <v>36</v>
      </c>
      <c r="K24" t="s">
        <v>113</v>
      </c>
      <c r="L24" t="s">
        <v>32</v>
      </c>
      <c r="M24">
        <v>1</v>
      </c>
    </row>
    <row r="25" spans="1:13" x14ac:dyDescent="0.25">
      <c r="A25" s="2">
        <v>46272</v>
      </c>
      <c r="B25" s="1" t="str">
        <f ca="1">IF(Información1[[#This Row],[Fecha]]='Ajuste de fechas'!$A$2,"Día actual","Día anterior")</f>
        <v>Día anterior</v>
      </c>
      <c r="C25" t="s">
        <v>58</v>
      </c>
      <c r="D25" t="s">
        <v>59</v>
      </c>
      <c r="E25" t="s">
        <v>133</v>
      </c>
      <c r="F25" t="s">
        <v>19</v>
      </c>
      <c r="G25" t="s">
        <v>134</v>
      </c>
      <c r="H25" t="s">
        <v>53</v>
      </c>
      <c r="I25" t="s">
        <v>7</v>
      </c>
      <c r="J25" t="s">
        <v>36</v>
      </c>
      <c r="K25" t="s">
        <v>62</v>
      </c>
      <c r="L25" t="s">
        <v>32</v>
      </c>
      <c r="M25">
        <v>1</v>
      </c>
    </row>
    <row r="26" spans="1:13" x14ac:dyDescent="0.25">
      <c r="A26" s="2">
        <v>46272</v>
      </c>
      <c r="B26" s="1" t="str">
        <f ca="1">IF(Información1[[#This Row],[Fecha]]='Ajuste de fechas'!$A$2,"Día actual","Día anterior")</f>
        <v>Día anterior</v>
      </c>
      <c r="C26" t="s">
        <v>63</v>
      </c>
      <c r="D26" t="s">
        <v>64</v>
      </c>
      <c r="E26" t="s">
        <v>135</v>
      </c>
      <c r="F26" t="s">
        <v>23</v>
      </c>
      <c r="G26" t="s">
        <v>52</v>
      </c>
      <c r="H26" t="s">
        <v>66</v>
      </c>
      <c r="I26" t="s">
        <v>7</v>
      </c>
      <c r="J26" t="s">
        <v>31</v>
      </c>
      <c r="K26" t="s">
        <v>68</v>
      </c>
      <c r="L26" t="s">
        <v>32</v>
      </c>
      <c r="M26">
        <v>1</v>
      </c>
    </row>
    <row r="27" spans="1:13" x14ac:dyDescent="0.25">
      <c r="A27" s="2">
        <v>46272</v>
      </c>
      <c r="B27" s="1" t="str">
        <f ca="1">IF(Información1[[#This Row],[Fecha]]='Ajuste de fechas'!$A$2,"Día actual","Día anterior")</f>
        <v>Día anterior</v>
      </c>
      <c r="C27" t="s">
        <v>63</v>
      </c>
      <c r="D27" t="s">
        <v>64</v>
      </c>
      <c r="E27" t="s">
        <v>136</v>
      </c>
      <c r="F27" t="s">
        <v>20</v>
      </c>
      <c r="G27" t="s">
        <v>74</v>
      </c>
      <c r="H27" t="s">
        <v>66</v>
      </c>
      <c r="I27" t="s">
        <v>7</v>
      </c>
      <c r="J27" t="s">
        <v>31</v>
      </c>
      <c r="K27" t="s">
        <v>67</v>
      </c>
      <c r="L27" t="s">
        <v>32</v>
      </c>
      <c r="M27">
        <v>1</v>
      </c>
    </row>
    <row r="28" spans="1:13" x14ac:dyDescent="0.25">
      <c r="A28" s="2">
        <v>46272</v>
      </c>
      <c r="B28" s="1" t="str">
        <f ca="1">IF(Información1[[#This Row],[Fecha]]='Ajuste de fechas'!$A$2,"Día actual","Día anterior")</f>
        <v>Día anterior</v>
      </c>
      <c r="C28" t="s">
        <v>63</v>
      </c>
      <c r="D28" t="s">
        <v>64</v>
      </c>
      <c r="E28" t="s">
        <v>137</v>
      </c>
      <c r="F28" t="s">
        <v>23</v>
      </c>
      <c r="G28" t="s">
        <v>138</v>
      </c>
      <c r="H28" t="s">
        <v>66</v>
      </c>
      <c r="I28" t="s">
        <v>7</v>
      </c>
      <c r="J28" t="s">
        <v>31</v>
      </c>
      <c r="K28" t="s">
        <v>68</v>
      </c>
      <c r="L28" t="s">
        <v>32</v>
      </c>
      <c r="M28">
        <v>1</v>
      </c>
    </row>
    <row r="29" spans="1:13" x14ac:dyDescent="0.25">
      <c r="A29" s="2">
        <v>46272</v>
      </c>
      <c r="B29" s="1" t="str">
        <f ca="1">IF(Información1[[#This Row],[Fecha]]='Ajuste de fechas'!$A$2,"Día actual","Día anterior")</f>
        <v>Día anterior</v>
      </c>
      <c r="C29" t="s">
        <v>63</v>
      </c>
      <c r="D29" t="s">
        <v>64</v>
      </c>
      <c r="E29" t="s">
        <v>139</v>
      </c>
      <c r="F29" t="s">
        <v>140</v>
      </c>
      <c r="G29" t="s">
        <v>141</v>
      </c>
      <c r="H29" t="s">
        <v>66</v>
      </c>
      <c r="I29" t="s">
        <v>7</v>
      </c>
      <c r="J29" t="s">
        <v>31</v>
      </c>
      <c r="K29" t="s">
        <v>110</v>
      </c>
      <c r="L29" t="s">
        <v>33</v>
      </c>
      <c r="M29">
        <v>1</v>
      </c>
    </row>
    <row r="30" spans="1:13" x14ac:dyDescent="0.25">
      <c r="A30" s="2">
        <v>46272</v>
      </c>
      <c r="B30" s="1" t="str">
        <f ca="1">IF(Información1[[#This Row],[Fecha]]='Ajuste de fechas'!$A$2,"Día actual","Día anterior")</f>
        <v>Día anterior</v>
      </c>
      <c r="C30" t="s">
        <v>58</v>
      </c>
      <c r="D30" t="s">
        <v>59</v>
      </c>
      <c r="E30" t="s">
        <v>142</v>
      </c>
      <c r="F30" t="s">
        <v>16</v>
      </c>
      <c r="G30" t="s">
        <v>143</v>
      </c>
      <c r="H30" t="s">
        <v>53</v>
      </c>
      <c r="I30" t="s">
        <v>7</v>
      </c>
      <c r="J30" t="s">
        <v>35</v>
      </c>
      <c r="K30" t="s">
        <v>62</v>
      </c>
      <c r="L30" t="s">
        <v>32</v>
      </c>
      <c r="M30">
        <v>1</v>
      </c>
    </row>
    <row r="31" spans="1:13" x14ac:dyDescent="0.25">
      <c r="A31" s="2">
        <v>46272</v>
      </c>
      <c r="B31" s="1" t="str">
        <f ca="1">IF(Información1[[#This Row],[Fecha]]='Ajuste de fechas'!$A$2,"Día actual","Día anterior")</f>
        <v>Día anterior</v>
      </c>
      <c r="C31" t="s">
        <v>58</v>
      </c>
      <c r="D31" t="s">
        <v>59</v>
      </c>
      <c r="E31" t="s">
        <v>144</v>
      </c>
      <c r="F31" t="s">
        <v>45</v>
      </c>
      <c r="G31" t="s">
        <v>97</v>
      </c>
      <c r="H31" t="s">
        <v>53</v>
      </c>
      <c r="I31" t="s">
        <v>11</v>
      </c>
      <c r="J31" t="s">
        <v>31</v>
      </c>
      <c r="K31" t="s">
        <v>62</v>
      </c>
      <c r="L31" t="s">
        <v>33</v>
      </c>
      <c r="M31">
        <v>1</v>
      </c>
    </row>
    <row r="32" spans="1:13" x14ac:dyDescent="0.25">
      <c r="A32" s="2">
        <v>46272</v>
      </c>
      <c r="B32" s="1" t="str">
        <f ca="1">IF(Información1[[#This Row],[Fecha]]='Ajuste de fechas'!$A$2,"Día actual","Día anterior")</f>
        <v>Día anterior</v>
      </c>
      <c r="C32" t="s">
        <v>58</v>
      </c>
      <c r="D32" t="s">
        <v>59</v>
      </c>
      <c r="E32" t="s">
        <v>145</v>
      </c>
      <c r="F32" t="s">
        <v>18</v>
      </c>
      <c r="G32" t="s">
        <v>146</v>
      </c>
      <c r="H32" t="s">
        <v>53</v>
      </c>
      <c r="I32" t="s">
        <v>7</v>
      </c>
      <c r="J32" t="s">
        <v>31</v>
      </c>
      <c r="K32" t="s">
        <v>62</v>
      </c>
      <c r="L32" t="s">
        <v>32</v>
      </c>
      <c r="M32">
        <v>1</v>
      </c>
    </row>
    <row r="33" spans="1:13" x14ac:dyDescent="0.25">
      <c r="A33" s="2">
        <v>46272</v>
      </c>
      <c r="B33" s="1" t="str">
        <f ca="1">IF(Información1[[#This Row],[Fecha]]='Ajuste de fechas'!$A$2,"Día actual","Día anterior")</f>
        <v>Día anterior</v>
      </c>
      <c r="C33" t="s">
        <v>80</v>
      </c>
      <c r="D33" t="s">
        <v>81</v>
      </c>
      <c r="E33" t="s">
        <v>147</v>
      </c>
      <c r="F33" t="s">
        <v>148</v>
      </c>
      <c r="G33" t="s">
        <v>149</v>
      </c>
      <c r="H33" t="s">
        <v>53</v>
      </c>
      <c r="I33" t="s">
        <v>7</v>
      </c>
      <c r="J33" t="s">
        <v>31</v>
      </c>
      <c r="K33" t="s">
        <v>79</v>
      </c>
      <c r="L33" t="s">
        <v>32</v>
      </c>
      <c r="M33">
        <v>1</v>
      </c>
    </row>
    <row r="34" spans="1:13" x14ac:dyDescent="0.25">
      <c r="A34" s="2">
        <v>46272</v>
      </c>
      <c r="B34" s="1" t="str">
        <f ca="1">IF(Información1[[#This Row],[Fecha]]='Ajuste de fechas'!$A$2,"Día actual","Día anterior")</f>
        <v>Día anterior</v>
      </c>
      <c r="C34" t="s">
        <v>77</v>
      </c>
      <c r="D34" t="s">
        <v>78</v>
      </c>
      <c r="E34" t="s">
        <v>150</v>
      </c>
      <c r="F34" t="s">
        <v>90</v>
      </c>
      <c r="G34" t="s">
        <v>52</v>
      </c>
      <c r="H34" t="s">
        <v>53</v>
      </c>
      <c r="I34" t="s">
        <v>7</v>
      </c>
      <c r="J34" t="s">
        <v>31</v>
      </c>
      <c r="K34" t="s">
        <v>79</v>
      </c>
      <c r="L34" t="s">
        <v>34</v>
      </c>
      <c r="M34">
        <v>1</v>
      </c>
    </row>
    <row r="35" spans="1:13" x14ac:dyDescent="0.25">
      <c r="A35" s="2">
        <v>46272</v>
      </c>
      <c r="B35" s="1" t="str">
        <f ca="1">IF(Información1[[#This Row],[Fecha]]='Ajuste de fechas'!$A$2,"Día actual","Día anterior")</f>
        <v>Día anterior</v>
      </c>
      <c r="C35" t="s">
        <v>77</v>
      </c>
      <c r="D35" t="s">
        <v>78</v>
      </c>
      <c r="E35" t="s">
        <v>151</v>
      </c>
      <c r="F35" t="s">
        <v>23</v>
      </c>
      <c r="G35" t="s">
        <v>52</v>
      </c>
      <c r="H35" t="s">
        <v>53</v>
      </c>
      <c r="I35" t="s">
        <v>7</v>
      </c>
      <c r="J35" t="s">
        <v>31</v>
      </c>
      <c r="K35" t="s">
        <v>79</v>
      </c>
      <c r="L35" t="s">
        <v>34</v>
      </c>
      <c r="M35">
        <v>1</v>
      </c>
    </row>
    <row r="36" spans="1:13" x14ac:dyDescent="0.25">
      <c r="A36" s="2">
        <v>46272</v>
      </c>
      <c r="B36" s="1" t="str">
        <f ca="1">IF(Información1[[#This Row],[Fecha]]='Ajuste de fechas'!$A$2,"Día actual","Día anterior")</f>
        <v>Día anterior</v>
      </c>
      <c r="C36" t="s">
        <v>82</v>
      </c>
      <c r="D36" t="s">
        <v>83</v>
      </c>
      <c r="E36" t="s">
        <v>152</v>
      </c>
      <c r="F36" t="s">
        <v>153</v>
      </c>
      <c r="G36" t="s">
        <v>154</v>
      </c>
      <c r="H36" t="s">
        <v>53</v>
      </c>
      <c r="I36" t="s">
        <v>22</v>
      </c>
      <c r="J36" t="s">
        <v>21</v>
      </c>
      <c r="K36" t="s">
        <v>84</v>
      </c>
      <c r="L36" t="s">
        <v>32</v>
      </c>
      <c r="M36">
        <v>1</v>
      </c>
    </row>
    <row r="37" spans="1:13" x14ac:dyDescent="0.25">
      <c r="A37" s="2">
        <v>46272</v>
      </c>
      <c r="B37" s="1" t="str">
        <f ca="1">IF(Información1[[#This Row],[Fecha]]='Ajuste de fechas'!$A$2,"Día actual","Día anterior")</f>
        <v>Día anterior</v>
      </c>
      <c r="C37" t="s">
        <v>82</v>
      </c>
      <c r="D37" t="s">
        <v>83</v>
      </c>
      <c r="E37" t="s">
        <v>155</v>
      </c>
      <c r="F37" t="s">
        <v>19</v>
      </c>
      <c r="G37" t="s">
        <v>156</v>
      </c>
      <c r="H37" t="s">
        <v>53</v>
      </c>
      <c r="I37" t="s">
        <v>7</v>
      </c>
      <c r="J37" t="s">
        <v>36</v>
      </c>
      <c r="K37" t="s">
        <v>84</v>
      </c>
      <c r="L37" t="s">
        <v>32</v>
      </c>
      <c r="M37">
        <v>1</v>
      </c>
    </row>
    <row r="38" spans="1:13" x14ac:dyDescent="0.25">
      <c r="A38" s="2">
        <v>46272</v>
      </c>
      <c r="B38" s="1" t="str">
        <f ca="1">IF(Información1[[#This Row],[Fecha]]='Ajuste de fechas'!$A$2,"Día actual","Día anterior")</f>
        <v>Día anterior</v>
      </c>
      <c r="C38" t="s">
        <v>82</v>
      </c>
      <c r="D38" t="s">
        <v>83</v>
      </c>
      <c r="E38" t="s">
        <v>157</v>
      </c>
      <c r="F38" t="s">
        <v>19</v>
      </c>
      <c r="G38" t="s">
        <v>156</v>
      </c>
      <c r="H38" t="s">
        <v>53</v>
      </c>
      <c r="I38" t="s">
        <v>7</v>
      </c>
      <c r="J38" t="s">
        <v>36</v>
      </c>
      <c r="K38" t="s">
        <v>84</v>
      </c>
      <c r="L38" t="s">
        <v>32</v>
      </c>
      <c r="M38">
        <v>1</v>
      </c>
    </row>
    <row r="39" spans="1:13" x14ac:dyDescent="0.25">
      <c r="A39" s="2">
        <v>46272</v>
      </c>
      <c r="B39" s="1" t="str">
        <f ca="1">IF(Información1[[#This Row],[Fecha]]='Ajuste de fechas'!$A$2,"Día actual","Día anterior")</f>
        <v>Día anterior</v>
      </c>
      <c r="C39" t="s">
        <v>82</v>
      </c>
      <c r="D39" t="s">
        <v>83</v>
      </c>
      <c r="E39" t="s">
        <v>158</v>
      </c>
      <c r="F39" t="s">
        <v>47</v>
      </c>
      <c r="G39" t="s">
        <v>159</v>
      </c>
      <c r="H39" t="s">
        <v>53</v>
      </c>
      <c r="I39" t="s">
        <v>7</v>
      </c>
      <c r="J39" t="s">
        <v>31</v>
      </c>
      <c r="K39" t="s">
        <v>84</v>
      </c>
      <c r="L39" t="s">
        <v>32</v>
      </c>
      <c r="M39">
        <v>1</v>
      </c>
    </row>
    <row r="40" spans="1:13" x14ac:dyDescent="0.25">
      <c r="A40" s="2">
        <v>46272</v>
      </c>
      <c r="B40" s="1" t="str">
        <f ca="1">IF(Información1[[#This Row],[Fecha]]='Ajuste de fechas'!$A$2,"Día actual","Día anterior")</f>
        <v>Día anterior</v>
      </c>
      <c r="C40" t="s">
        <v>82</v>
      </c>
      <c r="D40" t="s">
        <v>83</v>
      </c>
      <c r="E40" t="s">
        <v>160</v>
      </c>
      <c r="F40" t="s">
        <v>20</v>
      </c>
      <c r="G40" t="s">
        <v>96</v>
      </c>
      <c r="H40" t="s">
        <v>53</v>
      </c>
      <c r="I40" t="s">
        <v>7</v>
      </c>
      <c r="J40" t="s">
        <v>31</v>
      </c>
      <c r="K40" t="s">
        <v>84</v>
      </c>
      <c r="L40" t="s">
        <v>32</v>
      </c>
      <c r="M40">
        <v>1</v>
      </c>
    </row>
    <row r="41" spans="1:13" x14ac:dyDescent="0.25">
      <c r="A41" s="2">
        <v>46272</v>
      </c>
      <c r="B41" s="1" t="str">
        <f ca="1">IF(Información1[[#This Row],[Fecha]]='Ajuste de fechas'!$A$2,"Día actual","Día anterior")</f>
        <v>Día anterior</v>
      </c>
      <c r="C41" t="s">
        <v>82</v>
      </c>
      <c r="D41" t="s">
        <v>83</v>
      </c>
      <c r="E41" t="s">
        <v>161</v>
      </c>
      <c r="F41" t="s">
        <v>16</v>
      </c>
      <c r="G41" t="s">
        <v>162</v>
      </c>
      <c r="H41" t="s">
        <v>53</v>
      </c>
      <c r="I41" t="s">
        <v>7</v>
      </c>
      <c r="J41" t="s">
        <v>35</v>
      </c>
      <c r="K41" t="s">
        <v>84</v>
      </c>
      <c r="L41" t="s">
        <v>32</v>
      </c>
      <c r="M41">
        <v>1</v>
      </c>
    </row>
    <row r="42" spans="1:13" x14ac:dyDescent="0.25">
      <c r="A42" s="2">
        <v>46272</v>
      </c>
      <c r="B42" s="1" t="str">
        <f ca="1">IF(Información1[[#This Row],[Fecha]]='Ajuste de fechas'!$A$2,"Día actual","Día anterior")</f>
        <v>Día anterior</v>
      </c>
      <c r="C42" t="s">
        <v>82</v>
      </c>
      <c r="D42" t="s">
        <v>83</v>
      </c>
      <c r="E42" t="s">
        <v>163</v>
      </c>
      <c r="F42" t="s">
        <v>19</v>
      </c>
      <c r="G42" t="s">
        <v>164</v>
      </c>
      <c r="H42" t="s">
        <v>53</v>
      </c>
      <c r="I42" t="s">
        <v>7</v>
      </c>
      <c r="J42" t="s">
        <v>36</v>
      </c>
      <c r="K42" t="s">
        <v>84</v>
      </c>
      <c r="L42" t="s">
        <v>32</v>
      </c>
      <c r="M42">
        <v>1</v>
      </c>
    </row>
    <row r="43" spans="1:13" x14ac:dyDescent="0.25">
      <c r="A43" s="2">
        <v>46272</v>
      </c>
      <c r="B43" s="1" t="str">
        <f ca="1">IF(Información1[[#This Row],[Fecha]]='Ajuste de fechas'!$A$2,"Día actual","Día anterior")</f>
        <v>Día anterior</v>
      </c>
      <c r="C43" t="s">
        <v>82</v>
      </c>
      <c r="D43" t="s">
        <v>83</v>
      </c>
      <c r="E43" t="s">
        <v>165</v>
      </c>
      <c r="F43" t="s">
        <v>18</v>
      </c>
      <c r="G43" t="s">
        <v>52</v>
      </c>
      <c r="H43" t="s">
        <v>53</v>
      </c>
      <c r="I43" t="s">
        <v>7</v>
      </c>
      <c r="J43" t="s">
        <v>31</v>
      </c>
      <c r="K43" t="s">
        <v>84</v>
      </c>
      <c r="L43" t="s">
        <v>32</v>
      </c>
      <c r="M43">
        <v>1</v>
      </c>
    </row>
    <row r="44" spans="1:13" x14ac:dyDescent="0.25">
      <c r="A44" s="2">
        <v>46272</v>
      </c>
      <c r="B44" s="1" t="str">
        <f ca="1">IF(Información1[[#This Row],[Fecha]]='Ajuste de fechas'!$A$2,"Día actual","Día anterior")</f>
        <v>Día anterior</v>
      </c>
      <c r="C44" t="s">
        <v>82</v>
      </c>
      <c r="D44" t="s">
        <v>83</v>
      </c>
      <c r="E44" t="s">
        <v>166</v>
      </c>
      <c r="F44" t="s">
        <v>148</v>
      </c>
      <c r="G44" t="s">
        <v>149</v>
      </c>
      <c r="H44" t="s">
        <v>53</v>
      </c>
      <c r="I44" t="s">
        <v>7</v>
      </c>
      <c r="J44" t="s">
        <v>31</v>
      </c>
      <c r="K44" t="s">
        <v>84</v>
      </c>
      <c r="L44" t="s">
        <v>32</v>
      </c>
      <c r="M44">
        <v>1</v>
      </c>
    </row>
    <row r="45" spans="1:13" x14ac:dyDescent="0.25">
      <c r="A45" s="2">
        <v>46272</v>
      </c>
      <c r="B45" s="1" t="str">
        <f ca="1">IF(Información1[[#This Row],[Fecha]]='Ajuste de fechas'!$A$2,"Día actual","Día anterior")</f>
        <v>Día anterior</v>
      </c>
      <c r="C45" t="s">
        <v>82</v>
      </c>
      <c r="D45" t="s">
        <v>83</v>
      </c>
      <c r="E45" t="s">
        <v>167</v>
      </c>
      <c r="F45" t="s">
        <v>50</v>
      </c>
      <c r="G45" t="s">
        <v>168</v>
      </c>
      <c r="H45" t="s">
        <v>53</v>
      </c>
      <c r="I45" t="s">
        <v>7</v>
      </c>
      <c r="J45" t="s">
        <v>31</v>
      </c>
      <c r="K45" t="s">
        <v>84</v>
      </c>
      <c r="L45" t="s">
        <v>32</v>
      </c>
      <c r="M45">
        <v>1</v>
      </c>
    </row>
    <row r="46" spans="1:13" x14ac:dyDescent="0.25">
      <c r="A46" s="2">
        <v>46272</v>
      </c>
      <c r="B46" s="1" t="str">
        <f ca="1">IF(Información1[[#This Row],[Fecha]]='Ajuste de fechas'!$A$2,"Día actual","Día anterior")</f>
        <v>Día anterior</v>
      </c>
      <c r="C46" t="s">
        <v>82</v>
      </c>
      <c r="D46" t="s">
        <v>83</v>
      </c>
      <c r="E46" t="s">
        <v>169</v>
      </c>
      <c r="F46" t="s">
        <v>98</v>
      </c>
      <c r="G46" t="s">
        <v>170</v>
      </c>
      <c r="H46" t="s">
        <v>53</v>
      </c>
      <c r="I46" t="s">
        <v>7</v>
      </c>
      <c r="J46" t="s">
        <v>31</v>
      </c>
      <c r="K46" t="s">
        <v>84</v>
      </c>
      <c r="L46" t="s">
        <v>34</v>
      </c>
      <c r="M46">
        <v>1</v>
      </c>
    </row>
    <row r="47" spans="1:13" x14ac:dyDescent="0.25">
      <c r="A47" s="2">
        <v>46272</v>
      </c>
      <c r="B47" s="1" t="str">
        <f ca="1">IF(Información1[[#This Row],[Fecha]]='Ajuste de fechas'!$A$2,"Día actual","Día anterior")</f>
        <v>Día anterior</v>
      </c>
      <c r="C47" t="s">
        <v>82</v>
      </c>
      <c r="D47" t="s">
        <v>83</v>
      </c>
      <c r="E47" t="s">
        <v>171</v>
      </c>
      <c r="F47" t="s">
        <v>23</v>
      </c>
      <c r="G47" t="s">
        <v>52</v>
      </c>
      <c r="H47" t="s">
        <v>53</v>
      </c>
      <c r="I47" t="s">
        <v>11</v>
      </c>
      <c r="J47" t="s">
        <v>31</v>
      </c>
      <c r="K47" t="s">
        <v>84</v>
      </c>
      <c r="L47" t="s">
        <v>33</v>
      </c>
      <c r="M47">
        <v>1</v>
      </c>
    </row>
    <row r="48" spans="1:13" x14ac:dyDescent="0.25">
      <c r="A48" s="2">
        <v>46272</v>
      </c>
      <c r="B48" s="1" t="str">
        <f ca="1">IF(Información1[[#This Row],[Fecha]]='Ajuste de fechas'!$A$2,"Día actual","Día anterior")</f>
        <v>Día anterior</v>
      </c>
      <c r="C48" t="s">
        <v>82</v>
      </c>
      <c r="D48" t="s">
        <v>83</v>
      </c>
      <c r="E48" t="s">
        <v>172</v>
      </c>
      <c r="F48" t="s">
        <v>23</v>
      </c>
      <c r="G48" t="s">
        <v>52</v>
      </c>
      <c r="H48" t="s">
        <v>53</v>
      </c>
      <c r="I48" t="s">
        <v>7</v>
      </c>
      <c r="J48" t="s">
        <v>31</v>
      </c>
      <c r="K48" t="s">
        <v>84</v>
      </c>
      <c r="L48" t="s">
        <v>33</v>
      </c>
      <c r="M48">
        <v>1</v>
      </c>
    </row>
    <row r="49" spans="1:13" x14ac:dyDescent="0.25">
      <c r="A49" s="2">
        <v>46272</v>
      </c>
      <c r="B49" s="1" t="str">
        <f ca="1">IF(Información1[[#This Row],[Fecha]]='Ajuste de fechas'!$A$2,"Día actual","Día anterior")</f>
        <v>Día anterior</v>
      </c>
      <c r="C49" t="s">
        <v>82</v>
      </c>
      <c r="D49" t="s">
        <v>83</v>
      </c>
      <c r="E49" t="s">
        <v>173</v>
      </c>
      <c r="F49" t="s">
        <v>23</v>
      </c>
      <c r="G49" t="s">
        <v>52</v>
      </c>
      <c r="H49" t="s">
        <v>53</v>
      </c>
      <c r="I49" t="s">
        <v>11</v>
      </c>
      <c r="J49" t="s">
        <v>31</v>
      </c>
      <c r="K49" t="s">
        <v>84</v>
      </c>
      <c r="L49" t="s">
        <v>33</v>
      </c>
      <c r="M49">
        <v>1</v>
      </c>
    </row>
    <row r="50" spans="1:13" x14ac:dyDescent="0.25">
      <c r="A50" s="2">
        <v>46272</v>
      </c>
      <c r="B50" s="1" t="str">
        <f ca="1">IF(Información1[[#This Row],[Fecha]]='Ajuste de fechas'!$A$2,"Día actual","Día anterior")</f>
        <v>Día anterior</v>
      </c>
      <c r="C50" t="s">
        <v>82</v>
      </c>
      <c r="D50" t="s">
        <v>83</v>
      </c>
      <c r="E50" t="s">
        <v>174</v>
      </c>
      <c r="F50" t="s">
        <v>23</v>
      </c>
      <c r="G50" t="s">
        <v>52</v>
      </c>
      <c r="H50" t="s">
        <v>53</v>
      </c>
      <c r="I50" t="s">
        <v>11</v>
      </c>
      <c r="J50" t="s">
        <v>31</v>
      </c>
      <c r="K50" t="s">
        <v>84</v>
      </c>
      <c r="L50" t="s">
        <v>33</v>
      </c>
      <c r="M50">
        <v>1</v>
      </c>
    </row>
    <row r="51" spans="1:13" x14ac:dyDescent="0.25">
      <c r="A51" s="2">
        <v>46272</v>
      </c>
      <c r="B51" s="1" t="str">
        <f ca="1">IF(Información1[[#This Row],[Fecha]]='Ajuste de fechas'!$A$2,"Día actual","Día anterior")</f>
        <v>Día anterior</v>
      </c>
      <c r="C51" t="s">
        <v>82</v>
      </c>
      <c r="D51" t="s">
        <v>83</v>
      </c>
      <c r="E51" t="s">
        <v>175</v>
      </c>
      <c r="F51" t="s">
        <v>23</v>
      </c>
      <c r="G51" t="s">
        <v>52</v>
      </c>
      <c r="H51" t="s">
        <v>53</v>
      </c>
      <c r="I51" t="s">
        <v>11</v>
      </c>
      <c r="J51" t="s">
        <v>31</v>
      </c>
      <c r="K51" t="s">
        <v>84</v>
      </c>
      <c r="L51" t="s">
        <v>33</v>
      </c>
      <c r="M51">
        <v>1</v>
      </c>
    </row>
    <row r="52" spans="1:13" x14ac:dyDescent="0.25">
      <c r="A52" s="2">
        <v>46272</v>
      </c>
      <c r="B52" s="1" t="str">
        <f ca="1">IF(Información1[[#This Row],[Fecha]]='Ajuste de fechas'!$A$2,"Día actual","Día anterior")</f>
        <v>Día anterior</v>
      </c>
      <c r="C52" t="s">
        <v>82</v>
      </c>
      <c r="D52" t="s">
        <v>83</v>
      </c>
      <c r="E52" t="s">
        <v>176</v>
      </c>
      <c r="F52" t="s">
        <v>23</v>
      </c>
      <c r="G52" t="s">
        <v>52</v>
      </c>
      <c r="H52" t="s">
        <v>53</v>
      </c>
      <c r="I52" t="s">
        <v>11</v>
      </c>
      <c r="J52" t="s">
        <v>31</v>
      </c>
      <c r="K52" t="s">
        <v>84</v>
      </c>
      <c r="L52" t="s">
        <v>33</v>
      </c>
      <c r="M52">
        <v>1</v>
      </c>
    </row>
    <row r="53" spans="1:13" x14ac:dyDescent="0.25">
      <c r="A53" s="2">
        <v>46272</v>
      </c>
      <c r="B53" s="1" t="str">
        <f ca="1">IF(Información1[[#This Row],[Fecha]]='Ajuste de fechas'!$A$2,"Día actual","Día anterior")</f>
        <v>Día anterior</v>
      </c>
      <c r="C53" t="s">
        <v>82</v>
      </c>
      <c r="D53" t="s">
        <v>83</v>
      </c>
      <c r="E53" t="s">
        <v>177</v>
      </c>
      <c r="F53" t="s">
        <v>47</v>
      </c>
      <c r="G53" t="s">
        <v>52</v>
      </c>
      <c r="H53" t="s">
        <v>53</v>
      </c>
      <c r="I53" t="s">
        <v>7</v>
      </c>
      <c r="J53" t="s">
        <v>31</v>
      </c>
      <c r="K53" t="s">
        <v>84</v>
      </c>
      <c r="L53" t="s">
        <v>32</v>
      </c>
      <c r="M53">
        <v>1</v>
      </c>
    </row>
    <row r="54" spans="1:13" x14ac:dyDescent="0.25">
      <c r="A54" s="2">
        <v>46272</v>
      </c>
      <c r="B54" s="1" t="str">
        <f ca="1">IF(Información1[[#This Row],[Fecha]]='Ajuste de fechas'!$A$2,"Día actual","Día anterior")</f>
        <v>Día anterior</v>
      </c>
      <c r="C54" t="s">
        <v>82</v>
      </c>
      <c r="D54" t="s">
        <v>83</v>
      </c>
      <c r="E54" t="s">
        <v>178</v>
      </c>
      <c r="F54" t="s">
        <v>21</v>
      </c>
      <c r="G54" t="s">
        <v>179</v>
      </c>
      <c r="H54" t="s">
        <v>53</v>
      </c>
      <c r="I54" t="s">
        <v>7</v>
      </c>
      <c r="J54" t="s">
        <v>21</v>
      </c>
      <c r="K54" t="s">
        <v>84</v>
      </c>
      <c r="L54" t="s">
        <v>32</v>
      </c>
      <c r="M54">
        <v>1</v>
      </c>
    </row>
    <row r="55" spans="1:13" x14ac:dyDescent="0.25">
      <c r="A55" s="2">
        <v>46272</v>
      </c>
      <c r="B55" s="1" t="str">
        <f ca="1">IF(Información1[[#This Row],[Fecha]]='Ajuste de fechas'!$A$2,"Día actual","Día anterior")</f>
        <v>Día anterior</v>
      </c>
      <c r="C55" t="s">
        <v>8</v>
      </c>
      <c r="D55" t="s">
        <v>10</v>
      </c>
      <c r="E55" t="s">
        <v>180</v>
      </c>
      <c r="F55" t="s">
        <v>16</v>
      </c>
      <c r="G55" t="s">
        <v>181</v>
      </c>
      <c r="H55" t="s">
        <v>53</v>
      </c>
      <c r="I55" t="s">
        <v>7</v>
      </c>
      <c r="J55" t="s">
        <v>35</v>
      </c>
      <c r="K55" t="s">
        <v>9</v>
      </c>
      <c r="L55" t="s">
        <v>33</v>
      </c>
      <c r="M55">
        <v>1</v>
      </c>
    </row>
    <row r="56" spans="1:13" x14ac:dyDescent="0.25">
      <c r="A56" s="2">
        <v>46272</v>
      </c>
      <c r="B56" s="1" t="str">
        <f ca="1">IF(Información1[[#This Row],[Fecha]]='Ajuste de fechas'!$A$2,"Día actual","Día anterior")</f>
        <v>Día anterior</v>
      </c>
      <c r="C56" t="s">
        <v>8</v>
      </c>
      <c r="D56" t="s">
        <v>10</v>
      </c>
      <c r="E56" t="s">
        <v>182</v>
      </c>
      <c r="F56" t="s">
        <v>16</v>
      </c>
      <c r="G56" t="s">
        <v>60</v>
      </c>
      <c r="H56" t="s">
        <v>53</v>
      </c>
      <c r="I56" t="s">
        <v>22</v>
      </c>
      <c r="J56" t="s">
        <v>35</v>
      </c>
      <c r="K56" t="s">
        <v>9</v>
      </c>
      <c r="L56" t="s">
        <v>33</v>
      </c>
      <c r="M56">
        <v>1</v>
      </c>
    </row>
    <row r="57" spans="1:13" x14ac:dyDescent="0.25">
      <c r="A57" s="2">
        <v>46272</v>
      </c>
      <c r="B57" s="1" t="str">
        <f ca="1">IF(Información1[[#This Row],[Fecha]]='Ajuste de fechas'!$A$2,"Día actual","Día anterior")</f>
        <v>Día anterior</v>
      </c>
      <c r="C57" t="s">
        <v>8</v>
      </c>
      <c r="D57" t="s">
        <v>10</v>
      </c>
      <c r="E57" t="s">
        <v>183</v>
      </c>
      <c r="F57" t="s">
        <v>148</v>
      </c>
      <c r="G57" t="s">
        <v>184</v>
      </c>
      <c r="H57" t="s">
        <v>53</v>
      </c>
      <c r="I57" t="s">
        <v>22</v>
      </c>
      <c r="J57" t="s">
        <v>31</v>
      </c>
      <c r="K57" t="s">
        <v>9</v>
      </c>
      <c r="L57" t="s">
        <v>33</v>
      </c>
      <c r="M57">
        <v>1</v>
      </c>
    </row>
    <row r="58" spans="1:13" x14ac:dyDescent="0.25">
      <c r="A58" s="2">
        <v>46272</v>
      </c>
      <c r="B58" s="1" t="str">
        <f ca="1">IF(Información1[[#This Row],[Fecha]]='Ajuste de fechas'!$A$2,"Día actual","Día anterior")</f>
        <v>Día anterior</v>
      </c>
      <c r="C58" t="s">
        <v>8</v>
      </c>
      <c r="D58" t="s">
        <v>10</v>
      </c>
      <c r="E58" t="s">
        <v>185</v>
      </c>
      <c r="F58" t="s">
        <v>6</v>
      </c>
      <c r="G58" t="s">
        <v>49</v>
      </c>
      <c r="H58" t="s">
        <v>53</v>
      </c>
      <c r="I58" t="s">
        <v>22</v>
      </c>
      <c r="J58" t="s">
        <v>31</v>
      </c>
      <c r="K58" t="s">
        <v>9</v>
      </c>
      <c r="L58" t="s">
        <v>33</v>
      </c>
      <c r="M58">
        <v>1</v>
      </c>
    </row>
    <row r="59" spans="1:13" x14ac:dyDescent="0.25">
      <c r="A59" s="2">
        <v>46272</v>
      </c>
      <c r="B59" s="1" t="str">
        <f ca="1">IF(Información1[[#This Row],[Fecha]]='Ajuste de fechas'!$A$2,"Día actual","Día anterior")</f>
        <v>Día anterior</v>
      </c>
      <c r="C59" t="s">
        <v>8</v>
      </c>
      <c r="D59" t="s">
        <v>10</v>
      </c>
      <c r="E59" t="s">
        <v>186</v>
      </c>
      <c r="F59" t="s">
        <v>16</v>
      </c>
      <c r="G59" t="s">
        <v>95</v>
      </c>
      <c r="H59" t="s">
        <v>53</v>
      </c>
      <c r="I59" t="s">
        <v>7</v>
      </c>
      <c r="J59" t="s">
        <v>35</v>
      </c>
      <c r="K59" t="s">
        <v>12</v>
      </c>
      <c r="L59" t="s">
        <v>32</v>
      </c>
      <c r="M59">
        <v>1</v>
      </c>
    </row>
    <row r="60" spans="1:13" x14ac:dyDescent="0.25">
      <c r="A60" s="2">
        <v>46272</v>
      </c>
      <c r="B60" s="1" t="str">
        <f ca="1">IF(Información1[[#This Row],[Fecha]]='Ajuste de fechas'!$A$2,"Día actual","Día anterior")</f>
        <v>Día anterior</v>
      </c>
      <c r="C60" t="s">
        <v>8</v>
      </c>
      <c r="D60" t="s">
        <v>10</v>
      </c>
      <c r="E60" t="s">
        <v>187</v>
      </c>
      <c r="F60" t="s">
        <v>6</v>
      </c>
      <c r="G60" t="s">
        <v>181</v>
      </c>
      <c r="H60" t="s">
        <v>53</v>
      </c>
      <c r="I60" t="s">
        <v>7</v>
      </c>
      <c r="J60" t="s">
        <v>31</v>
      </c>
      <c r="K60" t="s">
        <v>9</v>
      </c>
      <c r="L60" t="s">
        <v>33</v>
      </c>
      <c r="M60">
        <v>1</v>
      </c>
    </row>
    <row r="61" spans="1:13" x14ac:dyDescent="0.25">
      <c r="A61" s="2">
        <v>46272</v>
      </c>
      <c r="B61" s="1" t="str">
        <f ca="1">IF(Información1[[#This Row],[Fecha]]='Ajuste de fechas'!$A$2,"Día actual","Día anterior")</f>
        <v>Día anterior</v>
      </c>
      <c r="C61" t="s">
        <v>8</v>
      </c>
      <c r="D61" t="s">
        <v>10</v>
      </c>
      <c r="E61" t="s">
        <v>188</v>
      </c>
      <c r="F61" t="s">
        <v>85</v>
      </c>
      <c r="G61" t="s">
        <v>91</v>
      </c>
      <c r="H61" t="s">
        <v>53</v>
      </c>
      <c r="I61" t="s">
        <v>7</v>
      </c>
      <c r="J61" t="s">
        <v>31</v>
      </c>
      <c r="K61" t="s">
        <v>12</v>
      </c>
      <c r="L61" t="s">
        <v>32</v>
      </c>
      <c r="M61">
        <v>1</v>
      </c>
    </row>
    <row r="62" spans="1:13" x14ac:dyDescent="0.25">
      <c r="A62" s="2">
        <v>46272</v>
      </c>
      <c r="B62" s="1" t="str">
        <f ca="1">IF(Información1[[#This Row],[Fecha]]='Ajuste de fechas'!$A$2,"Día actual","Día anterior")</f>
        <v>Día anterior</v>
      </c>
      <c r="C62" t="s">
        <v>8</v>
      </c>
      <c r="D62" t="s">
        <v>10</v>
      </c>
      <c r="E62" t="s">
        <v>189</v>
      </c>
      <c r="F62" t="s">
        <v>44</v>
      </c>
      <c r="G62" t="s">
        <v>52</v>
      </c>
      <c r="H62" t="s">
        <v>53</v>
      </c>
      <c r="I62" t="s">
        <v>7</v>
      </c>
      <c r="J62" t="s">
        <v>31</v>
      </c>
      <c r="K62" t="s">
        <v>12</v>
      </c>
      <c r="L62" t="s">
        <v>34</v>
      </c>
      <c r="M62">
        <v>1</v>
      </c>
    </row>
    <row r="63" spans="1:13" x14ac:dyDescent="0.25">
      <c r="A63" s="2">
        <v>46272</v>
      </c>
      <c r="B63" s="1" t="str">
        <f ca="1">IF(Información1[[#This Row],[Fecha]]='Ajuste de fechas'!$A$2,"Día actual","Día anterior")</f>
        <v>Día anterior</v>
      </c>
      <c r="C63" t="s">
        <v>8</v>
      </c>
      <c r="D63" t="s">
        <v>10</v>
      </c>
      <c r="E63" t="s">
        <v>120</v>
      </c>
      <c r="F63" t="s">
        <v>47</v>
      </c>
      <c r="G63" t="s">
        <v>52</v>
      </c>
      <c r="H63" t="s">
        <v>53</v>
      </c>
      <c r="I63" t="s">
        <v>7</v>
      </c>
      <c r="J63" t="s">
        <v>31</v>
      </c>
      <c r="K63" t="s">
        <v>12</v>
      </c>
      <c r="L63" t="s">
        <v>34</v>
      </c>
      <c r="M63">
        <v>1</v>
      </c>
    </row>
    <row r="64" spans="1:13" x14ac:dyDescent="0.25">
      <c r="A64" s="2">
        <v>46272</v>
      </c>
      <c r="B64" s="1" t="str">
        <f ca="1">IF(Información1[[#This Row],[Fecha]]='Ajuste de fechas'!$A$2,"Día actual","Día anterior")</f>
        <v>Día anterior</v>
      </c>
      <c r="C64" t="s">
        <v>8</v>
      </c>
      <c r="D64" t="s">
        <v>10</v>
      </c>
      <c r="E64" t="s">
        <v>190</v>
      </c>
      <c r="F64" t="s">
        <v>23</v>
      </c>
      <c r="G64" t="s">
        <v>52</v>
      </c>
      <c r="H64" t="s">
        <v>53</v>
      </c>
      <c r="I64" t="s">
        <v>7</v>
      </c>
      <c r="J64" t="s">
        <v>31</v>
      </c>
      <c r="K64" t="s">
        <v>12</v>
      </c>
      <c r="L64" t="s">
        <v>32</v>
      </c>
      <c r="M64">
        <v>1</v>
      </c>
    </row>
    <row r="65" spans="1:13" x14ac:dyDescent="0.25">
      <c r="A65" s="2">
        <v>46272</v>
      </c>
      <c r="B65" s="1" t="str">
        <f ca="1">IF(Información1[[#This Row],[Fecha]]='Ajuste de fechas'!$A$2,"Día actual","Día anterior")</f>
        <v>Día anterior</v>
      </c>
      <c r="C65" t="s">
        <v>8</v>
      </c>
      <c r="D65" t="s">
        <v>10</v>
      </c>
      <c r="E65" t="s">
        <v>191</v>
      </c>
      <c r="F65" t="s">
        <v>50</v>
      </c>
      <c r="G65" t="s">
        <v>192</v>
      </c>
      <c r="H65" t="s">
        <v>53</v>
      </c>
      <c r="I65" t="s">
        <v>7</v>
      </c>
      <c r="J65" t="s">
        <v>31</v>
      </c>
      <c r="K65" t="s">
        <v>12</v>
      </c>
      <c r="L65" t="s">
        <v>32</v>
      </c>
      <c r="M65">
        <v>1</v>
      </c>
    </row>
    <row r="66" spans="1:13" x14ac:dyDescent="0.25">
      <c r="A66" s="2">
        <v>46272</v>
      </c>
      <c r="B66" s="1" t="str">
        <f ca="1">IF(Información1[[#This Row],[Fecha]]='Ajuste de fechas'!$A$2,"Día actual","Día anterior")</f>
        <v>Día anterior</v>
      </c>
      <c r="C66" t="s">
        <v>8</v>
      </c>
      <c r="D66" t="s">
        <v>10</v>
      </c>
      <c r="E66" t="s">
        <v>17</v>
      </c>
      <c r="F66" t="s">
        <v>16</v>
      </c>
      <c r="G66" t="s">
        <v>24</v>
      </c>
      <c r="H66" t="s">
        <v>53</v>
      </c>
      <c r="I66" t="s">
        <v>11</v>
      </c>
      <c r="J66" t="s">
        <v>35</v>
      </c>
      <c r="K66" t="s">
        <v>12</v>
      </c>
      <c r="L66" t="s">
        <v>33</v>
      </c>
      <c r="M66">
        <v>1</v>
      </c>
    </row>
    <row r="67" spans="1:13" x14ac:dyDescent="0.25">
      <c r="A67" s="2">
        <v>46272</v>
      </c>
      <c r="B67" s="1" t="str">
        <f ca="1">IF(Información1[[#This Row],[Fecha]]='Ajuste de fechas'!$A$2,"Día actual","Día anterior")</f>
        <v>Día anterior</v>
      </c>
      <c r="C67" t="s">
        <v>8</v>
      </c>
      <c r="D67" t="s">
        <v>10</v>
      </c>
      <c r="E67" t="s">
        <v>15</v>
      </c>
      <c r="F67" t="s">
        <v>16</v>
      </c>
      <c r="G67" t="s">
        <v>24</v>
      </c>
      <c r="H67" t="s">
        <v>53</v>
      </c>
      <c r="I67" t="s">
        <v>11</v>
      </c>
      <c r="J67" t="s">
        <v>35</v>
      </c>
      <c r="K67" t="s">
        <v>12</v>
      </c>
      <c r="L67" t="s">
        <v>33</v>
      </c>
      <c r="M67">
        <v>1</v>
      </c>
    </row>
    <row r="68" spans="1:13" x14ac:dyDescent="0.25">
      <c r="A68" s="2">
        <v>46272</v>
      </c>
      <c r="B68" s="1" t="str">
        <f ca="1">IF(Información1[[#This Row],[Fecha]]='Ajuste de fechas'!$A$2,"Día actual","Día anterior")</f>
        <v>Día anterior</v>
      </c>
      <c r="C68" t="s">
        <v>8</v>
      </c>
      <c r="D68" t="s">
        <v>10</v>
      </c>
      <c r="E68" t="s">
        <v>43</v>
      </c>
      <c r="F68" t="s">
        <v>41</v>
      </c>
      <c r="G68" t="s">
        <v>24</v>
      </c>
      <c r="H68" t="s">
        <v>53</v>
      </c>
      <c r="I68" t="s">
        <v>11</v>
      </c>
      <c r="J68" t="s">
        <v>21</v>
      </c>
      <c r="K68" t="s">
        <v>12</v>
      </c>
      <c r="L68" t="s">
        <v>33</v>
      </c>
      <c r="M68">
        <v>1</v>
      </c>
    </row>
    <row r="69" spans="1:13" x14ac:dyDescent="0.25">
      <c r="A69" s="2">
        <v>46272</v>
      </c>
      <c r="B69" s="1" t="str">
        <f ca="1">IF(Información1[[#This Row],[Fecha]]='Ajuste de fechas'!$A$2,"Día actual","Día anterior")</f>
        <v>Día anterior</v>
      </c>
      <c r="C69" t="s">
        <v>8</v>
      </c>
      <c r="D69" t="s">
        <v>10</v>
      </c>
      <c r="E69" t="s">
        <v>48</v>
      </c>
      <c r="F69" t="s">
        <v>47</v>
      </c>
      <c r="G69" t="s">
        <v>24</v>
      </c>
      <c r="H69" t="s">
        <v>53</v>
      </c>
      <c r="I69" t="s">
        <v>11</v>
      </c>
      <c r="J69" t="s">
        <v>31</v>
      </c>
      <c r="K69" t="s">
        <v>12</v>
      </c>
      <c r="L69" t="s">
        <v>33</v>
      </c>
      <c r="M69">
        <v>1</v>
      </c>
    </row>
    <row r="70" spans="1:13" x14ac:dyDescent="0.25">
      <c r="A70" s="2">
        <v>46272</v>
      </c>
      <c r="B70" s="1" t="str">
        <f ca="1">IF(Información1[[#This Row],[Fecha]]='Ajuste de fechas'!$A$2,"Día actual","Día anterior")</f>
        <v>Día anterior</v>
      </c>
      <c r="C70" t="s">
        <v>8</v>
      </c>
      <c r="D70" t="s">
        <v>10</v>
      </c>
      <c r="E70" t="s">
        <v>46</v>
      </c>
      <c r="F70" t="s">
        <v>18</v>
      </c>
      <c r="G70" t="s">
        <v>24</v>
      </c>
      <c r="H70" t="s">
        <v>53</v>
      </c>
      <c r="I70" t="s">
        <v>11</v>
      </c>
      <c r="J70" t="s">
        <v>31</v>
      </c>
      <c r="K70" t="s">
        <v>12</v>
      </c>
      <c r="L70" t="s">
        <v>33</v>
      </c>
      <c r="M70">
        <v>1</v>
      </c>
    </row>
    <row r="71" spans="1:13" x14ac:dyDescent="0.25">
      <c r="A71" s="2">
        <v>46272</v>
      </c>
      <c r="B71" s="1" t="str">
        <f ca="1">IF(Información1[[#This Row],[Fecha]]='Ajuste de fechas'!$A$2,"Día actual","Día anterior")</f>
        <v>Día anterior</v>
      </c>
      <c r="C71" t="s">
        <v>8</v>
      </c>
      <c r="D71" t="s">
        <v>10</v>
      </c>
      <c r="E71" t="s">
        <v>13</v>
      </c>
      <c r="F71" t="s">
        <v>14</v>
      </c>
      <c r="G71" t="s">
        <v>24</v>
      </c>
      <c r="H71" t="s">
        <v>53</v>
      </c>
      <c r="I71" t="s">
        <v>11</v>
      </c>
      <c r="J71" t="s">
        <v>31</v>
      </c>
      <c r="K71" t="s">
        <v>12</v>
      </c>
      <c r="L71" t="s">
        <v>33</v>
      </c>
      <c r="M71">
        <v>1</v>
      </c>
    </row>
    <row r="72" spans="1:13" x14ac:dyDescent="0.25">
      <c r="A72" s="2">
        <v>46272</v>
      </c>
      <c r="B72" s="1" t="str">
        <f ca="1">IF(Información1[[#This Row],[Fecha]]='Ajuste de fechas'!$A$2,"Día actual","Día anterior")</f>
        <v>Día anterior</v>
      </c>
      <c r="C72" t="s">
        <v>8</v>
      </c>
      <c r="D72" t="s">
        <v>10</v>
      </c>
      <c r="E72" t="s">
        <v>40</v>
      </c>
      <c r="F72" t="s">
        <v>6</v>
      </c>
      <c r="G72" t="s">
        <v>24</v>
      </c>
      <c r="H72" t="s">
        <v>53</v>
      </c>
      <c r="I72" t="s">
        <v>11</v>
      </c>
      <c r="J72" t="s">
        <v>31</v>
      </c>
      <c r="K72" t="s">
        <v>12</v>
      </c>
      <c r="L72" t="s">
        <v>33</v>
      </c>
      <c r="M72">
        <v>1</v>
      </c>
    </row>
    <row r="73" spans="1:13" x14ac:dyDescent="0.25">
      <c r="A73" s="2">
        <v>46272</v>
      </c>
      <c r="B73" s="1" t="str">
        <f ca="1">IF(Información1[[#This Row],[Fecha]]='Ajuste de fechas'!$A$2,"Día actual","Día anterior")</f>
        <v>Día anterior</v>
      </c>
      <c r="C73" t="s">
        <v>54</v>
      </c>
      <c r="D73" t="s">
        <v>86</v>
      </c>
      <c r="E73" t="s">
        <v>117</v>
      </c>
      <c r="F73" t="s">
        <v>18</v>
      </c>
      <c r="G73" t="s">
        <v>52</v>
      </c>
      <c r="H73" t="s">
        <v>53</v>
      </c>
      <c r="I73" t="s">
        <v>7</v>
      </c>
      <c r="J73" t="s">
        <v>31</v>
      </c>
      <c r="K73" t="s">
        <v>56</v>
      </c>
      <c r="L73" t="s">
        <v>34</v>
      </c>
      <c r="M73">
        <v>1</v>
      </c>
    </row>
    <row r="74" spans="1:13" x14ac:dyDescent="0.25">
      <c r="A74" s="2">
        <v>46272</v>
      </c>
      <c r="B74" s="1" t="str">
        <f ca="1">IF(Información1[[#This Row],[Fecha]]='Ajuste de fechas'!$A$2,"Día actual","Día anterior")</f>
        <v>Día anterior</v>
      </c>
      <c r="C74" t="s">
        <v>54</v>
      </c>
      <c r="D74" t="s">
        <v>86</v>
      </c>
      <c r="E74" t="s">
        <v>193</v>
      </c>
      <c r="F74" t="s">
        <v>18</v>
      </c>
      <c r="G74" t="s">
        <v>194</v>
      </c>
      <c r="H74" t="s">
        <v>53</v>
      </c>
      <c r="I74" t="s">
        <v>7</v>
      </c>
      <c r="J74" t="s">
        <v>31</v>
      </c>
      <c r="K74" t="s">
        <v>56</v>
      </c>
      <c r="L74" t="s">
        <v>34</v>
      </c>
      <c r="M74">
        <v>1</v>
      </c>
    </row>
    <row r="75" spans="1:13" x14ac:dyDescent="0.25">
      <c r="A75" s="2">
        <v>46272</v>
      </c>
      <c r="B75" s="1" t="str">
        <f ca="1">IF(Información1[[#This Row],[Fecha]]='Ajuste de fechas'!$A$2,"Día actual","Día anterior")</f>
        <v>Día anterior</v>
      </c>
      <c r="C75" t="s">
        <v>54</v>
      </c>
      <c r="D75" t="s">
        <v>86</v>
      </c>
      <c r="E75" t="s">
        <v>195</v>
      </c>
      <c r="F75" t="s">
        <v>16</v>
      </c>
      <c r="G75" t="s">
        <v>196</v>
      </c>
      <c r="H75" t="s">
        <v>53</v>
      </c>
      <c r="I75" t="s">
        <v>22</v>
      </c>
      <c r="J75" t="s">
        <v>35</v>
      </c>
      <c r="K75" t="s">
        <v>56</v>
      </c>
      <c r="L75" t="s">
        <v>32</v>
      </c>
      <c r="M75">
        <v>1</v>
      </c>
    </row>
    <row r="76" spans="1:13" x14ac:dyDescent="0.25">
      <c r="A76" s="2">
        <v>46272</v>
      </c>
      <c r="B76" s="1" t="str">
        <f ca="1">IF(Información1[[#This Row],[Fecha]]='Ajuste de fechas'!$A$2,"Día actual","Día anterior")</f>
        <v>Día anterior</v>
      </c>
      <c r="C76" t="s">
        <v>54</v>
      </c>
      <c r="D76" t="s">
        <v>86</v>
      </c>
      <c r="E76" t="s">
        <v>197</v>
      </c>
      <c r="F76" t="s">
        <v>16</v>
      </c>
      <c r="G76" t="s">
        <v>198</v>
      </c>
      <c r="H76" t="s">
        <v>53</v>
      </c>
      <c r="I76" t="s">
        <v>7</v>
      </c>
      <c r="J76" t="s">
        <v>35</v>
      </c>
      <c r="K76" t="s">
        <v>56</v>
      </c>
      <c r="L76" t="s">
        <v>32</v>
      </c>
      <c r="M76">
        <v>1</v>
      </c>
    </row>
    <row r="77" spans="1:13" x14ac:dyDescent="0.25">
      <c r="A77" s="2">
        <v>46272</v>
      </c>
      <c r="B77" s="1" t="str">
        <f ca="1">IF(Información1[[#This Row],[Fecha]]='Ajuste de fechas'!$A$2,"Día actual","Día anterior")</f>
        <v>Día anterior</v>
      </c>
      <c r="C77" t="s">
        <v>54</v>
      </c>
      <c r="D77" t="s">
        <v>86</v>
      </c>
      <c r="E77" t="s">
        <v>199</v>
      </c>
      <c r="F77" t="s">
        <v>65</v>
      </c>
      <c r="G77" t="s">
        <v>200</v>
      </c>
      <c r="H77" t="s">
        <v>53</v>
      </c>
      <c r="I77" t="s">
        <v>7</v>
      </c>
      <c r="J77" t="s">
        <v>31</v>
      </c>
      <c r="K77" t="s">
        <v>56</v>
      </c>
      <c r="L77" t="s">
        <v>32</v>
      </c>
      <c r="M77">
        <v>1</v>
      </c>
    </row>
    <row r="78" spans="1:13" x14ac:dyDescent="0.25">
      <c r="A78" s="2">
        <v>46272</v>
      </c>
      <c r="B78" s="1" t="str">
        <f ca="1">IF(Información1[[#This Row],[Fecha]]='Ajuste de fechas'!$A$2,"Día actual","Día anterior")</f>
        <v>Día anterior</v>
      </c>
      <c r="C78" t="s">
        <v>87</v>
      </c>
      <c r="D78" t="s">
        <v>88</v>
      </c>
      <c r="E78" t="s">
        <v>201</v>
      </c>
      <c r="F78" t="s">
        <v>50</v>
      </c>
      <c r="G78" t="s">
        <v>168</v>
      </c>
      <c r="H78" t="s">
        <v>53</v>
      </c>
      <c r="I78" t="s">
        <v>11</v>
      </c>
      <c r="J78" t="s">
        <v>31</v>
      </c>
      <c r="K78" t="s">
        <v>89</v>
      </c>
      <c r="L78" t="s">
        <v>34</v>
      </c>
      <c r="M78">
        <v>1</v>
      </c>
    </row>
    <row r="79" spans="1:13" x14ac:dyDescent="0.25">
      <c r="A79" s="2">
        <v>46272</v>
      </c>
      <c r="B79" s="1" t="str">
        <f ca="1">IF(Información1[[#This Row],[Fecha]]='Ajuste de fechas'!$A$2,"Día actual","Día anterior")</f>
        <v>Día anterior</v>
      </c>
      <c r="C79" t="s">
        <v>87</v>
      </c>
      <c r="D79" t="s">
        <v>88</v>
      </c>
      <c r="E79" t="s">
        <v>202</v>
      </c>
      <c r="F79" t="s">
        <v>6</v>
      </c>
      <c r="G79" t="s">
        <v>52</v>
      </c>
      <c r="H79" t="s">
        <v>53</v>
      </c>
      <c r="I79" t="s">
        <v>11</v>
      </c>
      <c r="J79" t="s">
        <v>31</v>
      </c>
      <c r="K79" t="s">
        <v>89</v>
      </c>
      <c r="L79" t="s">
        <v>34</v>
      </c>
      <c r="M79">
        <v>1</v>
      </c>
    </row>
    <row r="80" spans="1:13" x14ac:dyDescent="0.25">
      <c r="A80" s="2">
        <v>46272</v>
      </c>
      <c r="B80" s="1" t="str">
        <f ca="1">IF(Información1[[#This Row],[Fecha]]='Ajuste de fechas'!$A$2,"Día actual","Día anterior")</f>
        <v>Día anterior</v>
      </c>
      <c r="C80" t="s">
        <v>87</v>
      </c>
      <c r="D80" t="s">
        <v>88</v>
      </c>
      <c r="E80" t="s">
        <v>203</v>
      </c>
      <c r="F80" t="s">
        <v>23</v>
      </c>
      <c r="G80" t="s">
        <v>52</v>
      </c>
      <c r="H80" t="s">
        <v>53</v>
      </c>
      <c r="I80" t="s">
        <v>11</v>
      </c>
      <c r="J80" t="s">
        <v>31</v>
      </c>
      <c r="K80" t="s">
        <v>89</v>
      </c>
      <c r="L80" t="s">
        <v>33</v>
      </c>
      <c r="M80">
        <v>1</v>
      </c>
    </row>
    <row r="81" spans="1:13" x14ac:dyDescent="0.25">
      <c r="A81" s="2">
        <v>46272</v>
      </c>
      <c r="B81" s="1" t="str">
        <f ca="1">IF(Información1[[#This Row],[Fecha]]='Ajuste de fechas'!$A$2,"Día actual","Día anterior")</f>
        <v>Día anterior</v>
      </c>
      <c r="C81" t="s">
        <v>87</v>
      </c>
      <c r="D81" t="s">
        <v>88</v>
      </c>
      <c r="E81" t="s">
        <v>204</v>
      </c>
      <c r="F81" t="s">
        <v>98</v>
      </c>
      <c r="G81" t="s">
        <v>170</v>
      </c>
      <c r="H81" t="s">
        <v>53</v>
      </c>
      <c r="I81" t="s">
        <v>7</v>
      </c>
      <c r="J81" t="s">
        <v>31</v>
      </c>
      <c r="K81" t="s">
        <v>89</v>
      </c>
      <c r="L81" t="s">
        <v>34</v>
      </c>
      <c r="M81">
        <v>1</v>
      </c>
    </row>
    <row r="82" spans="1:13" x14ac:dyDescent="0.25">
      <c r="A82" s="2">
        <v>46272</v>
      </c>
      <c r="B82" s="1" t="str">
        <f ca="1">IF(Información1[[#This Row],[Fecha]]='Ajuste de fechas'!$A$2,"Día actual","Día anterior")</f>
        <v>Día anterior</v>
      </c>
      <c r="C82" t="s">
        <v>54</v>
      </c>
      <c r="D82" t="s">
        <v>55</v>
      </c>
      <c r="E82" t="s">
        <v>205</v>
      </c>
      <c r="F82" t="s">
        <v>23</v>
      </c>
      <c r="G82" t="s">
        <v>138</v>
      </c>
      <c r="H82" t="s">
        <v>53</v>
      </c>
      <c r="I82" t="s">
        <v>11</v>
      </c>
      <c r="J82" t="s">
        <v>31</v>
      </c>
      <c r="K82" t="s">
        <v>57</v>
      </c>
      <c r="L82" t="s">
        <v>32</v>
      </c>
      <c r="M82">
        <v>1</v>
      </c>
    </row>
    <row r="83" spans="1:13" x14ac:dyDescent="0.25">
      <c r="A83" s="2">
        <v>46272</v>
      </c>
      <c r="B83" s="1" t="str">
        <f ca="1">IF(Información1[[#This Row],[Fecha]]='Ajuste de fechas'!$A$2,"Día actual","Día anterior")</f>
        <v>Día anterior</v>
      </c>
      <c r="C83" t="s">
        <v>54</v>
      </c>
      <c r="D83" t="s">
        <v>55</v>
      </c>
      <c r="E83" t="s">
        <v>206</v>
      </c>
      <c r="F83" t="s">
        <v>21</v>
      </c>
      <c r="G83" t="s">
        <v>207</v>
      </c>
      <c r="H83" t="s">
        <v>53</v>
      </c>
      <c r="I83" t="s">
        <v>7</v>
      </c>
      <c r="J83" t="s">
        <v>21</v>
      </c>
      <c r="K83" t="s">
        <v>56</v>
      </c>
      <c r="L83" t="s">
        <v>42</v>
      </c>
      <c r="M83">
        <v>1</v>
      </c>
    </row>
    <row r="84" spans="1:13" x14ac:dyDescent="0.25">
      <c r="A84" s="2">
        <v>46272</v>
      </c>
      <c r="B84" s="1" t="str">
        <f ca="1">IF(Información1[[#This Row],[Fecha]]='Ajuste de fechas'!$A$2,"Día actual","Día anterior")</f>
        <v>Día anterior</v>
      </c>
      <c r="C84" t="s">
        <v>54</v>
      </c>
      <c r="D84" t="s">
        <v>55</v>
      </c>
      <c r="E84" t="s">
        <v>208</v>
      </c>
      <c r="F84" t="s">
        <v>94</v>
      </c>
      <c r="G84" t="s">
        <v>138</v>
      </c>
      <c r="H84" t="s">
        <v>53</v>
      </c>
      <c r="I84" t="s">
        <v>7</v>
      </c>
      <c r="J84" t="s">
        <v>31</v>
      </c>
      <c r="K84" t="s">
        <v>57</v>
      </c>
      <c r="L84" t="s">
        <v>32</v>
      </c>
      <c r="M84">
        <v>1</v>
      </c>
    </row>
    <row r="85" spans="1:13" x14ac:dyDescent="0.25">
      <c r="A85" s="2">
        <v>46272</v>
      </c>
      <c r="B85" s="1" t="str">
        <f ca="1">IF(Información1[[#This Row],[Fecha]]='Ajuste de fechas'!$A$2,"Día actual","Día anterior")</f>
        <v>Día anterior</v>
      </c>
      <c r="C85" t="s">
        <v>54</v>
      </c>
      <c r="D85" t="s">
        <v>55</v>
      </c>
      <c r="E85" t="s">
        <v>209</v>
      </c>
      <c r="F85" t="s">
        <v>6</v>
      </c>
      <c r="G85" t="s">
        <v>138</v>
      </c>
      <c r="H85" t="s">
        <v>53</v>
      </c>
      <c r="I85" t="s">
        <v>7</v>
      </c>
      <c r="J85" t="s">
        <v>31</v>
      </c>
      <c r="K85" t="s">
        <v>57</v>
      </c>
      <c r="L85" t="s">
        <v>32</v>
      </c>
      <c r="M85">
        <v>1</v>
      </c>
    </row>
    <row r="86" spans="1:13" x14ac:dyDescent="0.25">
      <c r="A86" s="2">
        <v>46272</v>
      </c>
      <c r="B86" s="1" t="str">
        <f ca="1">IF(Información1[[#This Row],[Fecha]]='Ajuste de fechas'!$A$2,"Día actual","Día anterior")</f>
        <v>Día anterior</v>
      </c>
      <c r="C86" t="s">
        <v>54</v>
      </c>
      <c r="D86" t="s">
        <v>55</v>
      </c>
      <c r="E86" t="s">
        <v>210</v>
      </c>
      <c r="F86" t="s">
        <v>211</v>
      </c>
      <c r="G86" t="s">
        <v>138</v>
      </c>
      <c r="H86" t="s">
        <v>53</v>
      </c>
      <c r="I86" t="s">
        <v>7</v>
      </c>
      <c r="J86" t="s">
        <v>31</v>
      </c>
      <c r="K86" t="s">
        <v>57</v>
      </c>
      <c r="L86" t="s">
        <v>32</v>
      </c>
      <c r="M86">
        <v>1</v>
      </c>
    </row>
    <row r="87" spans="1:13" x14ac:dyDescent="0.25">
      <c r="A87" s="2">
        <v>46272</v>
      </c>
      <c r="B87" s="1" t="str">
        <f ca="1">IF(Información1[[#This Row],[Fecha]]='Ajuste de fechas'!$A$2,"Día actual","Día anterior")</f>
        <v>Día anterior</v>
      </c>
      <c r="C87" t="s">
        <v>54</v>
      </c>
      <c r="D87" t="s">
        <v>55</v>
      </c>
      <c r="E87" t="s">
        <v>212</v>
      </c>
      <c r="F87" t="s">
        <v>21</v>
      </c>
      <c r="G87" t="s">
        <v>92</v>
      </c>
      <c r="H87" t="s">
        <v>53</v>
      </c>
      <c r="I87" t="s">
        <v>7</v>
      </c>
      <c r="J87" t="s">
        <v>21</v>
      </c>
      <c r="K87" t="s">
        <v>57</v>
      </c>
      <c r="L87" t="s">
        <v>33</v>
      </c>
      <c r="M87">
        <v>1</v>
      </c>
    </row>
    <row r="88" spans="1:13" x14ac:dyDescent="0.25">
      <c r="A88" s="2">
        <v>46272</v>
      </c>
      <c r="B88" s="1" t="str">
        <f ca="1">IF(Información1[[#This Row],[Fecha]]='Ajuste de fechas'!$A$2,"Día actual","Día anterior")</f>
        <v>Día anterior</v>
      </c>
      <c r="C88" t="s">
        <v>54</v>
      </c>
      <c r="D88" t="s">
        <v>55</v>
      </c>
      <c r="E88" t="s">
        <v>213</v>
      </c>
      <c r="F88" t="s">
        <v>16</v>
      </c>
      <c r="G88" t="s">
        <v>100</v>
      </c>
      <c r="H88" t="s">
        <v>53</v>
      </c>
      <c r="I88" t="s">
        <v>7</v>
      </c>
      <c r="J88" t="s">
        <v>35</v>
      </c>
      <c r="K88" t="s">
        <v>56</v>
      </c>
      <c r="L88" t="s">
        <v>32</v>
      </c>
      <c r="M88">
        <v>1</v>
      </c>
    </row>
    <row r="89" spans="1:13" x14ac:dyDescent="0.25">
      <c r="A89" s="2">
        <v>46272</v>
      </c>
      <c r="B89" s="1" t="str">
        <f ca="1">IF(Información1[[#This Row],[Fecha]]='Ajuste de fechas'!$A$2,"Día actual","Día anterior")</f>
        <v>Día anterior</v>
      </c>
      <c r="C89" t="s">
        <v>54</v>
      </c>
      <c r="D89" t="s">
        <v>55</v>
      </c>
      <c r="E89" t="s">
        <v>214</v>
      </c>
      <c r="F89" t="s">
        <v>90</v>
      </c>
      <c r="G89" t="s">
        <v>138</v>
      </c>
      <c r="H89" t="s">
        <v>53</v>
      </c>
      <c r="I89" t="s">
        <v>7</v>
      </c>
      <c r="J89" t="s">
        <v>31</v>
      </c>
      <c r="K89" t="s">
        <v>57</v>
      </c>
      <c r="L89" t="s">
        <v>32</v>
      </c>
      <c r="M89">
        <v>1</v>
      </c>
    </row>
    <row r="90" spans="1:13" x14ac:dyDescent="0.25">
      <c r="A90" s="2">
        <v>46272</v>
      </c>
      <c r="B90" s="1" t="str">
        <f ca="1">IF(Información1[[#This Row],[Fecha]]='Ajuste de fechas'!$A$2,"Día actual","Día anterior")</f>
        <v>Día anterior</v>
      </c>
      <c r="C90" t="s">
        <v>54</v>
      </c>
      <c r="D90" t="s">
        <v>55</v>
      </c>
      <c r="E90" t="s">
        <v>215</v>
      </c>
      <c r="F90" t="s">
        <v>51</v>
      </c>
      <c r="G90" t="s">
        <v>216</v>
      </c>
      <c r="H90" t="s">
        <v>53</v>
      </c>
      <c r="I90" t="s">
        <v>11</v>
      </c>
      <c r="J90" t="s">
        <v>31</v>
      </c>
      <c r="K90" t="s">
        <v>57</v>
      </c>
      <c r="L90" t="s">
        <v>32</v>
      </c>
      <c r="M90">
        <v>1</v>
      </c>
    </row>
    <row r="91" spans="1:13" x14ac:dyDescent="0.25">
      <c r="A91" s="2">
        <v>46273</v>
      </c>
      <c r="B91" s="1" t="str">
        <f ca="1">IF(Información1[[#This Row],[Fecha]]='Ajuste de fechas'!$A$2,"Día actual","Día anterior")</f>
        <v>Día actual</v>
      </c>
      <c r="C91" t="s">
        <v>8</v>
      </c>
      <c r="D91" t="s">
        <v>10</v>
      </c>
      <c r="E91" t="s">
        <v>217</v>
      </c>
      <c r="F91" t="s">
        <v>16</v>
      </c>
      <c r="G91" t="s">
        <v>24</v>
      </c>
      <c r="H91" t="s">
        <v>53</v>
      </c>
      <c r="I91" t="s">
        <v>7</v>
      </c>
      <c r="J91" t="s">
        <v>35</v>
      </c>
      <c r="K91" t="s">
        <v>9</v>
      </c>
      <c r="L91" t="s">
        <v>33</v>
      </c>
      <c r="M91">
        <v>1</v>
      </c>
    </row>
    <row r="92" spans="1:13" x14ac:dyDescent="0.25">
      <c r="A92" s="2">
        <v>46273</v>
      </c>
      <c r="B92" s="1" t="str">
        <f ca="1">IF(Información1[[#This Row],[Fecha]]='Ajuste de fechas'!$A$2,"Día actual","Día anterior")</f>
        <v>Día actual</v>
      </c>
      <c r="C92" t="s">
        <v>8</v>
      </c>
      <c r="D92" t="s">
        <v>10</v>
      </c>
      <c r="E92" t="s">
        <v>17</v>
      </c>
      <c r="F92" t="s">
        <v>16</v>
      </c>
      <c r="G92" t="s">
        <v>24</v>
      </c>
      <c r="H92" t="s">
        <v>53</v>
      </c>
      <c r="I92" t="s">
        <v>11</v>
      </c>
      <c r="J92" t="s">
        <v>35</v>
      </c>
      <c r="K92" t="s">
        <v>12</v>
      </c>
      <c r="L92" t="s">
        <v>33</v>
      </c>
      <c r="M92">
        <v>1</v>
      </c>
    </row>
    <row r="93" spans="1:13" x14ac:dyDescent="0.25">
      <c r="A93" s="2">
        <v>46273</v>
      </c>
      <c r="B93" s="1" t="str">
        <f ca="1">IF(Información1[[#This Row],[Fecha]]='Ajuste de fechas'!$A$2,"Día actual","Día anterior")</f>
        <v>Día actual</v>
      </c>
      <c r="C93" t="s">
        <v>8</v>
      </c>
      <c r="D93" t="s">
        <v>10</v>
      </c>
      <c r="E93" t="s">
        <v>15</v>
      </c>
      <c r="F93" t="s">
        <v>16</v>
      </c>
      <c r="G93" t="s">
        <v>24</v>
      </c>
      <c r="H93" t="s">
        <v>53</v>
      </c>
      <c r="I93" t="s">
        <v>11</v>
      </c>
      <c r="J93" t="s">
        <v>35</v>
      </c>
      <c r="K93" t="s">
        <v>12</v>
      </c>
      <c r="L93" t="s">
        <v>33</v>
      </c>
      <c r="M93">
        <v>1</v>
      </c>
    </row>
    <row r="94" spans="1:13" x14ac:dyDescent="0.25">
      <c r="A94" s="2">
        <v>46273</v>
      </c>
      <c r="B94" s="1" t="str">
        <f ca="1">IF(Información1[[#This Row],[Fecha]]='Ajuste de fechas'!$A$2,"Día actual","Día anterior")</f>
        <v>Día actual</v>
      </c>
      <c r="C94" t="s">
        <v>8</v>
      </c>
      <c r="D94" t="s">
        <v>10</v>
      </c>
      <c r="E94" t="s">
        <v>43</v>
      </c>
      <c r="F94" t="s">
        <v>41</v>
      </c>
      <c r="G94" t="s">
        <v>24</v>
      </c>
      <c r="H94" t="s">
        <v>53</v>
      </c>
      <c r="I94" t="s">
        <v>11</v>
      </c>
      <c r="J94" t="s">
        <v>21</v>
      </c>
      <c r="K94" t="s">
        <v>12</v>
      </c>
      <c r="L94" t="s">
        <v>33</v>
      </c>
      <c r="M94">
        <v>1</v>
      </c>
    </row>
    <row r="95" spans="1:13" x14ac:dyDescent="0.25">
      <c r="A95" s="2">
        <v>46273</v>
      </c>
      <c r="B95" s="1" t="str">
        <f ca="1">IF(Información1[[#This Row],[Fecha]]='Ajuste de fechas'!$A$2,"Día actual","Día anterior")</f>
        <v>Día actual</v>
      </c>
      <c r="C95" t="s">
        <v>8</v>
      </c>
      <c r="D95" t="s">
        <v>10</v>
      </c>
      <c r="E95" t="s">
        <v>218</v>
      </c>
      <c r="F95" t="s">
        <v>19</v>
      </c>
      <c r="G95" t="s">
        <v>219</v>
      </c>
      <c r="H95" t="s">
        <v>53</v>
      </c>
      <c r="I95" t="s">
        <v>22</v>
      </c>
      <c r="J95" t="s">
        <v>36</v>
      </c>
      <c r="K95" t="s">
        <v>9</v>
      </c>
      <c r="L95" t="s">
        <v>33</v>
      </c>
      <c r="M95">
        <v>1</v>
      </c>
    </row>
    <row r="96" spans="1:13" x14ac:dyDescent="0.25">
      <c r="A96" s="2">
        <v>46273</v>
      </c>
      <c r="B96" s="1" t="str">
        <f ca="1">IF(Información1[[#This Row],[Fecha]]='Ajuste de fechas'!$A$2,"Día actual","Día anterior")</f>
        <v>Día actual</v>
      </c>
      <c r="C96" t="s">
        <v>82</v>
      </c>
      <c r="D96" t="s">
        <v>83</v>
      </c>
      <c r="E96" t="s">
        <v>220</v>
      </c>
      <c r="F96" t="s">
        <v>19</v>
      </c>
      <c r="G96" t="s">
        <v>134</v>
      </c>
      <c r="H96" t="s">
        <v>53</v>
      </c>
      <c r="I96" t="s">
        <v>7</v>
      </c>
      <c r="J96" t="s">
        <v>36</v>
      </c>
      <c r="K96" t="s">
        <v>84</v>
      </c>
      <c r="L96" t="s">
        <v>32</v>
      </c>
      <c r="M96">
        <v>1</v>
      </c>
    </row>
    <row r="97" spans="1:13" x14ac:dyDescent="0.25">
      <c r="A97" s="2">
        <v>46273</v>
      </c>
      <c r="B97" s="1" t="str">
        <f ca="1">IF(Información1[[#This Row],[Fecha]]='Ajuste de fechas'!$A$2,"Día actual","Día anterior")</f>
        <v>Día actual</v>
      </c>
      <c r="C97" t="s">
        <v>82</v>
      </c>
      <c r="D97" t="s">
        <v>83</v>
      </c>
      <c r="E97" t="s">
        <v>221</v>
      </c>
      <c r="F97" t="s">
        <v>21</v>
      </c>
      <c r="G97" t="s">
        <v>222</v>
      </c>
      <c r="H97" t="s">
        <v>53</v>
      </c>
      <c r="I97" t="s">
        <v>7</v>
      </c>
      <c r="J97" t="s">
        <v>21</v>
      </c>
      <c r="K97" t="s">
        <v>84</v>
      </c>
      <c r="L97" t="s">
        <v>32</v>
      </c>
      <c r="M97">
        <v>1</v>
      </c>
    </row>
    <row r="98" spans="1:13" x14ac:dyDescent="0.25">
      <c r="A98" s="2">
        <v>46273</v>
      </c>
      <c r="B98" s="1" t="str">
        <f ca="1">IF(Información1[[#This Row],[Fecha]]='Ajuste de fechas'!$A$2,"Día actual","Día anterior")</f>
        <v>Día actual</v>
      </c>
      <c r="C98" t="s">
        <v>82</v>
      </c>
      <c r="D98" t="s">
        <v>83</v>
      </c>
      <c r="E98" t="s">
        <v>223</v>
      </c>
      <c r="F98" t="s">
        <v>16</v>
      </c>
      <c r="G98" t="s">
        <v>224</v>
      </c>
      <c r="H98" t="s">
        <v>53</v>
      </c>
      <c r="I98" t="s">
        <v>22</v>
      </c>
      <c r="J98" t="s">
        <v>35</v>
      </c>
      <c r="K98" t="s">
        <v>84</v>
      </c>
      <c r="L98" t="s">
        <v>32</v>
      </c>
      <c r="M98">
        <v>1</v>
      </c>
    </row>
    <row r="99" spans="1:13" x14ac:dyDescent="0.25">
      <c r="A99" s="2">
        <v>46273</v>
      </c>
      <c r="B99" s="1" t="str">
        <f ca="1">IF(Información1[[#This Row],[Fecha]]='Ajuste de fechas'!$A$2,"Día actual","Día anterior")</f>
        <v>Día actual</v>
      </c>
      <c r="C99" t="s">
        <v>82</v>
      </c>
      <c r="D99" t="s">
        <v>83</v>
      </c>
      <c r="E99" t="s">
        <v>225</v>
      </c>
      <c r="F99" t="s">
        <v>16</v>
      </c>
      <c r="G99" t="s">
        <v>162</v>
      </c>
      <c r="H99" t="s">
        <v>53</v>
      </c>
      <c r="I99" t="s">
        <v>7</v>
      </c>
      <c r="J99" t="s">
        <v>35</v>
      </c>
      <c r="K99" t="s">
        <v>84</v>
      </c>
      <c r="L99" t="s">
        <v>32</v>
      </c>
      <c r="M99">
        <v>1</v>
      </c>
    </row>
    <row r="100" spans="1:13" x14ac:dyDescent="0.25">
      <c r="A100" s="2">
        <v>46273</v>
      </c>
      <c r="B100" s="1" t="str">
        <f ca="1">IF(Información1[[#This Row],[Fecha]]='Ajuste de fechas'!$A$2,"Día actual","Día anterior")</f>
        <v>Día actual</v>
      </c>
      <c r="C100" t="s">
        <v>8</v>
      </c>
      <c r="D100" t="s">
        <v>10</v>
      </c>
      <c r="E100" t="s">
        <v>226</v>
      </c>
      <c r="F100" t="s">
        <v>16</v>
      </c>
      <c r="G100" t="s">
        <v>227</v>
      </c>
      <c r="H100" t="s">
        <v>53</v>
      </c>
      <c r="I100" t="s">
        <v>7</v>
      </c>
      <c r="J100" t="s">
        <v>35</v>
      </c>
      <c r="K100" t="s">
        <v>12</v>
      </c>
      <c r="L100" t="s">
        <v>32</v>
      </c>
      <c r="M100">
        <v>1</v>
      </c>
    </row>
    <row r="101" spans="1:13" x14ac:dyDescent="0.25">
      <c r="A101" s="2">
        <v>46273</v>
      </c>
      <c r="B101" s="1" t="str">
        <f ca="1">IF(Información1[[#This Row],[Fecha]]='Ajuste de fechas'!$A$2,"Día actual","Día anterior")</f>
        <v>Día actual</v>
      </c>
      <c r="C101" t="s">
        <v>82</v>
      </c>
      <c r="D101" t="s">
        <v>83</v>
      </c>
      <c r="E101" t="s">
        <v>228</v>
      </c>
      <c r="F101" t="s">
        <v>16</v>
      </c>
      <c r="G101" t="s">
        <v>91</v>
      </c>
      <c r="H101" t="s">
        <v>53</v>
      </c>
      <c r="I101" t="s">
        <v>7</v>
      </c>
      <c r="J101" t="s">
        <v>35</v>
      </c>
      <c r="K101" t="s">
        <v>84</v>
      </c>
      <c r="L101" t="s">
        <v>32</v>
      </c>
      <c r="M101">
        <v>1</v>
      </c>
    </row>
    <row r="102" spans="1:13" x14ac:dyDescent="0.25">
      <c r="A102" s="2">
        <v>46273</v>
      </c>
      <c r="B102" s="1" t="str">
        <f ca="1">IF(Información1[[#This Row],[Fecha]]='Ajuste de fechas'!$A$2,"Día actual","Día anterior")</f>
        <v>Día actual</v>
      </c>
      <c r="C102" t="s">
        <v>8</v>
      </c>
      <c r="D102" t="s">
        <v>10</v>
      </c>
      <c r="E102" t="s">
        <v>229</v>
      </c>
      <c r="F102" t="s">
        <v>21</v>
      </c>
      <c r="G102" t="s">
        <v>92</v>
      </c>
      <c r="H102" t="s">
        <v>53</v>
      </c>
      <c r="I102" t="s">
        <v>7</v>
      </c>
      <c r="J102" t="s">
        <v>21</v>
      </c>
      <c r="K102" t="s">
        <v>12</v>
      </c>
      <c r="L102" t="s">
        <v>33</v>
      </c>
      <c r="M102">
        <v>1</v>
      </c>
    </row>
    <row r="103" spans="1:13" x14ac:dyDescent="0.25">
      <c r="A103" s="2">
        <v>46273</v>
      </c>
      <c r="B103" s="1" t="str">
        <f ca="1">IF(Información1[[#This Row],[Fecha]]='Ajuste de fechas'!$A$2,"Día actual","Día anterior")</f>
        <v>Día actual</v>
      </c>
      <c r="C103" t="s">
        <v>8</v>
      </c>
      <c r="D103" t="s">
        <v>10</v>
      </c>
      <c r="E103" t="s">
        <v>230</v>
      </c>
      <c r="F103" t="s">
        <v>16</v>
      </c>
      <c r="G103" t="s">
        <v>231</v>
      </c>
      <c r="H103" t="s">
        <v>53</v>
      </c>
      <c r="I103" t="s">
        <v>22</v>
      </c>
      <c r="J103" t="s">
        <v>35</v>
      </c>
      <c r="K103" t="s">
        <v>9</v>
      </c>
      <c r="L103" t="s">
        <v>33</v>
      </c>
      <c r="M103">
        <v>1</v>
      </c>
    </row>
    <row r="104" spans="1:13" x14ac:dyDescent="0.25">
      <c r="A104" s="2">
        <v>46273</v>
      </c>
      <c r="B104" s="1" t="str">
        <f ca="1">IF(Información1[[#This Row],[Fecha]]='Ajuste de fechas'!$A$2,"Día actual","Día anterior")</f>
        <v>Día actual</v>
      </c>
      <c r="C104" t="s">
        <v>8</v>
      </c>
      <c r="D104" t="s">
        <v>10</v>
      </c>
      <c r="E104" t="s">
        <v>232</v>
      </c>
      <c r="F104" t="s">
        <v>16</v>
      </c>
      <c r="G104" t="s">
        <v>231</v>
      </c>
      <c r="H104" t="s">
        <v>53</v>
      </c>
      <c r="I104" t="s">
        <v>22</v>
      </c>
      <c r="J104" t="s">
        <v>35</v>
      </c>
      <c r="K104" t="s">
        <v>9</v>
      </c>
      <c r="L104" t="s">
        <v>33</v>
      </c>
      <c r="M104">
        <v>1</v>
      </c>
    </row>
    <row r="105" spans="1:13" x14ac:dyDescent="0.25">
      <c r="A105" s="2">
        <v>46273</v>
      </c>
      <c r="B105" s="1" t="str">
        <f ca="1">IF(Información1[[#This Row],[Fecha]]='Ajuste de fechas'!$A$2,"Día actual","Día anterior")</f>
        <v>Día actual</v>
      </c>
      <c r="C105" t="s">
        <v>8</v>
      </c>
      <c r="D105" t="s">
        <v>10</v>
      </c>
      <c r="E105" t="s">
        <v>233</v>
      </c>
      <c r="F105" t="s">
        <v>16</v>
      </c>
      <c r="G105" t="s">
        <v>231</v>
      </c>
      <c r="H105" t="s">
        <v>53</v>
      </c>
      <c r="I105" t="s">
        <v>11</v>
      </c>
      <c r="J105" t="s">
        <v>35</v>
      </c>
      <c r="K105" t="s">
        <v>9</v>
      </c>
      <c r="L105" t="s">
        <v>33</v>
      </c>
      <c r="M105">
        <v>1</v>
      </c>
    </row>
    <row r="106" spans="1:13" x14ac:dyDescent="0.25">
      <c r="A106" s="2">
        <v>46273</v>
      </c>
      <c r="B106" s="1" t="str">
        <f ca="1">IF(Información1[[#This Row],[Fecha]]='Ajuste de fechas'!$A$2,"Día actual","Día anterior")</f>
        <v>Día actual</v>
      </c>
      <c r="C106" t="s">
        <v>8</v>
      </c>
      <c r="D106" t="s">
        <v>10</v>
      </c>
      <c r="E106" t="s">
        <v>234</v>
      </c>
      <c r="F106" t="s">
        <v>16</v>
      </c>
      <c r="G106" t="s">
        <v>60</v>
      </c>
      <c r="H106" t="s">
        <v>53</v>
      </c>
      <c r="I106" t="s">
        <v>22</v>
      </c>
      <c r="J106" t="s">
        <v>35</v>
      </c>
      <c r="K106" t="s">
        <v>9</v>
      </c>
      <c r="L106" t="s">
        <v>33</v>
      </c>
      <c r="M106">
        <v>1</v>
      </c>
    </row>
    <row r="107" spans="1:13" x14ac:dyDescent="0.25">
      <c r="A107" s="2">
        <v>46273</v>
      </c>
      <c r="B107" s="1" t="str">
        <f ca="1">IF(Información1[[#This Row],[Fecha]]='Ajuste de fechas'!$A$2,"Día actual","Día anterior")</f>
        <v>Día actual</v>
      </c>
      <c r="C107" t="s">
        <v>58</v>
      </c>
      <c r="D107" t="s">
        <v>59</v>
      </c>
      <c r="E107" t="s">
        <v>235</v>
      </c>
      <c r="F107" t="s">
        <v>153</v>
      </c>
      <c r="G107" t="s">
        <v>154</v>
      </c>
      <c r="H107" t="s">
        <v>53</v>
      </c>
      <c r="I107" t="s">
        <v>22</v>
      </c>
      <c r="J107" t="s">
        <v>21</v>
      </c>
      <c r="K107" t="s">
        <v>62</v>
      </c>
      <c r="L107" t="s">
        <v>32</v>
      </c>
      <c r="M107">
        <v>1</v>
      </c>
    </row>
    <row r="108" spans="1:13" x14ac:dyDescent="0.25">
      <c r="A108" s="2">
        <v>46273</v>
      </c>
      <c r="B108" s="1" t="str">
        <f ca="1">IF(Información1[[#This Row],[Fecha]]='Ajuste de fechas'!$A$2,"Día actual","Día anterior")</f>
        <v>Día actual</v>
      </c>
      <c r="C108" t="s">
        <v>58</v>
      </c>
      <c r="D108" t="s">
        <v>59</v>
      </c>
      <c r="E108" t="s">
        <v>236</v>
      </c>
      <c r="F108" t="s">
        <v>16</v>
      </c>
      <c r="G108" t="s">
        <v>237</v>
      </c>
      <c r="H108" t="s">
        <v>53</v>
      </c>
      <c r="I108" t="s">
        <v>7</v>
      </c>
      <c r="J108" t="s">
        <v>35</v>
      </c>
      <c r="K108" t="s">
        <v>238</v>
      </c>
      <c r="L108" t="s">
        <v>32</v>
      </c>
      <c r="M108">
        <v>1</v>
      </c>
    </row>
    <row r="109" spans="1:13" x14ac:dyDescent="0.25">
      <c r="A109" s="2">
        <v>46273</v>
      </c>
      <c r="B109" s="1" t="str">
        <f ca="1">IF(Información1[[#This Row],[Fecha]]='Ajuste de fechas'!$A$2,"Día actual","Día anterior")</f>
        <v>Día actual</v>
      </c>
      <c r="C109" t="s">
        <v>58</v>
      </c>
      <c r="D109" t="s">
        <v>59</v>
      </c>
      <c r="E109" t="s">
        <v>239</v>
      </c>
      <c r="F109" t="s">
        <v>16</v>
      </c>
      <c r="G109" t="s">
        <v>240</v>
      </c>
      <c r="H109" t="s">
        <v>53</v>
      </c>
      <c r="I109" t="s">
        <v>7</v>
      </c>
      <c r="J109" t="s">
        <v>35</v>
      </c>
      <c r="K109" t="s">
        <v>72</v>
      </c>
      <c r="L109" t="s">
        <v>32</v>
      </c>
      <c r="M109">
        <v>1</v>
      </c>
    </row>
    <row r="110" spans="1:13" x14ac:dyDescent="0.25">
      <c r="A110" s="2">
        <v>46273</v>
      </c>
      <c r="B110" s="1" t="str">
        <f ca="1">IF(Información1[[#This Row],[Fecha]]='Ajuste de fechas'!$A$2,"Día actual","Día anterior")</f>
        <v>Día actual</v>
      </c>
      <c r="C110" t="s">
        <v>63</v>
      </c>
      <c r="D110" t="s">
        <v>64</v>
      </c>
      <c r="E110" t="s">
        <v>241</v>
      </c>
      <c r="F110" t="s">
        <v>16</v>
      </c>
      <c r="G110" t="s">
        <v>227</v>
      </c>
      <c r="H110" t="s">
        <v>66</v>
      </c>
      <c r="I110" t="s">
        <v>11</v>
      </c>
      <c r="J110" t="s">
        <v>35</v>
      </c>
      <c r="K110" t="s">
        <v>242</v>
      </c>
      <c r="L110" t="s">
        <v>32</v>
      </c>
      <c r="M110">
        <v>1</v>
      </c>
    </row>
    <row r="111" spans="1:13" x14ac:dyDescent="0.25">
      <c r="A111" s="2">
        <v>46273</v>
      </c>
      <c r="B111" s="1" t="str">
        <f ca="1">IF(Información1[[#This Row],[Fecha]]='Ajuste de fechas'!$A$2,"Día actual","Día anterior")</f>
        <v>Día actual</v>
      </c>
      <c r="C111" t="s">
        <v>63</v>
      </c>
      <c r="D111" t="s">
        <v>64</v>
      </c>
      <c r="E111" t="s">
        <v>243</v>
      </c>
      <c r="F111" t="s">
        <v>16</v>
      </c>
      <c r="G111" t="s">
        <v>244</v>
      </c>
      <c r="H111" t="s">
        <v>66</v>
      </c>
      <c r="I111" t="s">
        <v>7</v>
      </c>
      <c r="J111" t="s">
        <v>35</v>
      </c>
      <c r="K111" t="s">
        <v>242</v>
      </c>
      <c r="L111" t="s">
        <v>32</v>
      </c>
      <c r="M111">
        <v>1</v>
      </c>
    </row>
    <row r="112" spans="1:13" x14ac:dyDescent="0.25">
      <c r="A112" s="2">
        <v>46273</v>
      </c>
      <c r="B112" s="1" t="str">
        <f ca="1">IF(Información1[[#This Row],[Fecha]]='Ajuste de fechas'!$A$2,"Día actual","Día anterior")</f>
        <v>Día actual</v>
      </c>
      <c r="C112" t="s">
        <v>63</v>
      </c>
      <c r="D112" t="s">
        <v>64</v>
      </c>
      <c r="E112" t="s">
        <v>245</v>
      </c>
      <c r="F112" t="s">
        <v>41</v>
      </c>
      <c r="G112" t="s">
        <v>246</v>
      </c>
      <c r="H112" t="s">
        <v>66</v>
      </c>
      <c r="I112" t="s">
        <v>22</v>
      </c>
      <c r="J112" t="s">
        <v>21</v>
      </c>
      <c r="K112" t="s">
        <v>68</v>
      </c>
      <c r="L112" t="s">
        <v>33</v>
      </c>
      <c r="M112">
        <v>1</v>
      </c>
    </row>
    <row r="113" spans="1:13" x14ac:dyDescent="0.25">
      <c r="A113" s="2">
        <v>46273</v>
      </c>
      <c r="B113" s="1" t="str">
        <f ca="1">IF(Información1[[#This Row],[Fecha]]='Ajuste de fechas'!$A$2,"Día actual","Día anterior")</f>
        <v>Día actual</v>
      </c>
      <c r="C113" t="s">
        <v>63</v>
      </c>
      <c r="D113" t="s">
        <v>64</v>
      </c>
      <c r="E113" t="s">
        <v>247</v>
      </c>
      <c r="F113" t="s">
        <v>16</v>
      </c>
      <c r="G113" t="s">
        <v>248</v>
      </c>
      <c r="H113" t="s">
        <v>66</v>
      </c>
      <c r="I113" t="s">
        <v>22</v>
      </c>
      <c r="J113" t="s">
        <v>35</v>
      </c>
      <c r="K113" t="s">
        <v>68</v>
      </c>
      <c r="L113" t="s">
        <v>32</v>
      </c>
      <c r="M113">
        <v>1</v>
      </c>
    </row>
    <row r="114" spans="1:13" x14ac:dyDescent="0.25">
      <c r="A114" s="2">
        <v>46273</v>
      </c>
      <c r="B114" s="1" t="str">
        <f ca="1">IF(Información1[[#This Row],[Fecha]]='Ajuste de fechas'!$A$2,"Día actual","Día anterior")</f>
        <v>Día actual</v>
      </c>
      <c r="C114" t="s">
        <v>63</v>
      </c>
      <c r="D114" t="s">
        <v>64</v>
      </c>
      <c r="E114" t="s">
        <v>249</v>
      </c>
      <c r="F114" t="s">
        <v>19</v>
      </c>
      <c r="G114" t="s">
        <v>250</v>
      </c>
      <c r="H114" t="s">
        <v>66</v>
      </c>
      <c r="I114" t="s">
        <v>22</v>
      </c>
      <c r="J114" t="s">
        <v>36</v>
      </c>
      <c r="K114" t="s">
        <v>9</v>
      </c>
      <c r="L114" t="s">
        <v>33</v>
      </c>
      <c r="M114">
        <v>1</v>
      </c>
    </row>
    <row r="115" spans="1:13" x14ac:dyDescent="0.25">
      <c r="A115" s="2">
        <v>46273</v>
      </c>
      <c r="B115" s="1" t="str">
        <f ca="1">IF(Información1[[#This Row],[Fecha]]='Ajuste de fechas'!$A$2,"Día actual","Día anterior")</f>
        <v>Día actual</v>
      </c>
      <c r="C115" t="s">
        <v>63</v>
      </c>
      <c r="D115" t="s">
        <v>64</v>
      </c>
      <c r="E115" t="s">
        <v>251</v>
      </c>
      <c r="F115" t="s">
        <v>16</v>
      </c>
      <c r="G115" t="s">
        <v>252</v>
      </c>
      <c r="H115" t="s">
        <v>66</v>
      </c>
      <c r="I115" t="s">
        <v>22</v>
      </c>
      <c r="J115" t="s">
        <v>35</v>
      </c>
      <c r="K115" t="s">
        <v>9</v>
      </c>
      <c r="L115" t="s">
        <v>33</v>
      </c>
      <c r="M115">
        <v>1</v>
      </c>
    </row>
    <row r="116" spans="1:13" x14ac:dyDescent="0.25">
      <c r="A116" s="2">
        <v>46273</v>
      </c>
      <c r="B116" s="1" t="str">
        <f ca="1">IF(Información1[[#This Row],[Fecha]]='Ajuste de fechas'!$A$2,"Día actual","Día anterior")</f>
        <v>Día actual</v>
      </c>
      <c r="C116" t="s">
        <v>63</v>
      </c>
      <c r="D116" t="s">
        <v>64</v>
      </c>
      <c r="E116" t="s">
        <v>253</v>
      </c>
      <c r="F116" t="s">
        <v>16</v>
      </c>
      <c r="G116" t="s">
        <v>248</v>
      </c>
      <c r="H116" t="s">
        <v>66</v>
      </c>
      <c r="I116" t="s">
        <v>22</v>
      </c>
      <c r="J116" t="s">
        <v>35</v>
      </c>
      <c r="K116" t="s">
        <v>68</v>
      </c>
      <c r="L116" t="s">
        <v>33</v>
      </c>
      <c r="M116">
        <v>1</v>
      </c>
    </row>
    <row r="117" spans="1:13" x14ac:dyDescent="0.25">
      <c r="A117" s="2">
        <v>46273</v>
      </c>
      <c r="B117" s="1" t="str">
        <f ca="1">IF(Información1[[#This Row],[Fecha]]='Ajuste de fechas'!$A$2,"Día actual","Día anterior")</f>
        <v>Día actual</v>
      </c>
      <c r="C117" t="s">
        <v>63</v>
      </c>
      <c r="D117" t="s">
        <v>64</v>
      </c>
      <c r="E117" t="s">
        <v>254</v>
      </c>
      <c r="F117" t="s">
        <v>16</v>
      </c>
      <c r="G117" t="s">
        <v>255</v>
      </c>
      <c r="H117" t="s">
        <v>66</v>
      </c>
      <c r="I117" t="s">
        <v>22</v>
      </c>
      <c r="J117" t="s">
        <v>35</v>
      </c>
      <c r="K117" t="s">
        <v>68</v>
      </c>
      <c r="L117" t="s">
        <v>33</v>
      </c>
      <c r="M117">
        <v>1</v>
      </c>
    </row>
    <row r="118" spans="1:13" x14ac:dyDescent="0.25">
      <c r="A118" s="2">
        <v>46273</v>
      </c>
      <c r="B118" s="1" t="str">
        <f ca="1">IF(Información1[[#This Row],[Fecha]]='Ajuste de fechas'!$A$2,"Día actual","Día anterior")</f>
        <v>Día actual</v>
      </c>
      <c r="C118" t="s">
        <v>63</v>
      </c>
      <c r="D118" t="s">
        <v>64</v>
      </c>
      <c r="E118" t="s">
        <v>256</v>
      </c>
      <c r="F118" t="s">
        <v>16</v>
      </c>
      <c r="G118" t="s">
        <v>255</v>
      </c>
      <c r="H118" t="s">
        <v>66</v>
      </c>
      <c r="I118" t="s">
        <v>22</v>
      </c>
      <c r="J118" t="s">
        <v>35</v>
      </c>
      <c r="K118" t="s">
        <v>68</v>
      </c>
      <c r="L118" t="s">
        <v>33</v>
      </c>
      <c r="M118">
        <v>1</v>
      </c>
    </row>
    <row r="119" spans="1:13" x14ac:dyDescent="0.25">
      <c r="A119" s="2">
        <v>46273</v>
      </c>
      <c r="B119" s="1" t="str">
        <f ca="1">IF(Información1[[#This Row],[Fecha]]='Ajuste de fechas'!$A$2,"Día actual","Día anterior")</f>
        <v>Día actual</v>
      </c>
      <c r="C119" t="s">
        <v>63</v>
      </c>
      <c r="D119" t="s">
        <v>64</v>
      </c>
      <c r="E119" t="s">
        <v>257</v>
      </c>
      <c r="F119" t="s">
        <v>19</v>
      </c>
      <c r="G119" t="s">
        <v>258</v>
      </c>
      <c r="H119" t="s">
        <v>66</v>
      </c>
      <c r="I119" t="s">
        <v>11</v>
      </c>
      <c r="J119" t="s">
        <v>36</v>
      </c>
      <c r="K119" t="s">
        <v>68</v>
      </c>
      <c r="L119" t="s">
        <v>32</v>
      </c>
      <c r="M119">
        <v>1</v>
      </c>
    </row>
    <row r="120" spans="1:13" x14ac:dyDescent="0.25">
      <c r="A120" s="2">
        <v>46273</v>
      </c>
      <c r="B120" s="1" t="str">
        <f ca="1">IF(Información1[[#This Row],[Fecha]]='Ajuste de fechas'!$A$2,"Día actual","Día anterior")</f>
        <v>Día actual</v>
      </c>
      <c r="C120" t="s">
        <v>63</v>
      </c>
      <c r="D120" t="s">
        <v>64</v>
      </c>
      <c r="E120" t="s">
        <v>259</v>
      </c>
      <c r="F120" t="s">
        <v>16</v>
      </c>
      <c r="G120" t="s">
        <v>255</v>
      </c>
      <c r="H120" t="s">
        <v>66</v>
      </c>
      <c r="I120" t="s">
        <v>7</v>
      </c>
      <c r="J120" t="s">
        <v>35</v>
      </c>
      <c r="K120" t="s">
        <v>68</v>
      </c>
      <c r="L120" t="s">
        <v>33</v>
      </c>
      <c r="M120">
        <v>1</v>
      </c>
    </row>
    <row r="121" spans="1:13" x14ac:dyDescent="0.25">
      <c r="A121" s="2">
        <v>46273</v>
      </c>
      <c r="B121" s="1" t="str">
        <f ca="1">IF(Información1[[#This Row],[Fecha]]='Ajuste de fechas'!$A$2,"Día actual","Día anterior")</f>
        <v>Día actual</v>
      </c>
      <c r="C121" t="s">
        <v>63</v>
      </c>
      <c r="D121" t="s">
        <v>64</v>
      </c>
      <c r="E121" t="s">
        <v>260</v>
      </c>
      <c r="F121" t="s">
        <v>16</v>
      </c>
      <c r="G121" t="s">
        <v>255</v>
      </c>
      <c r="H121" t="s">
        <v>66</v>
      </c>
      <c r="I121" t="s">
        <v>22</v>
      </c>
      <c r="J121" t="s">
        <v>35</v>
      </c>
      <c r="K121" t="s">
        <v>68</v>
      </c>
      <c r="L121" t="s">
        <v>33</v>
      </c>
      <c r="M121">
        <v>1</v>
      </c>
    </row>
    <row r="122" spans="1:13" x14ac:dyDescent="0.25">
      <c r="A122" s="2">
        <v>46273</v>
      </c>
      <c r="B122" s="1" t="str">
        <f ca="1">IF(Información1[[#This Row],[Fecha]]='Ajuste de fechas'!$A$2,"Día actual","Día anterior")</f>
        <v>Día actual</v>
      </c>
      <c r="C122" t="s">
        <v>54</v>
      </c>
      <c r="D122" t="s">
        <v>86</v>
      </c>
      <c r="E122" t="s">
        <v>261</v>
      </c>
      <c r="F122" t="s">
        <v>16</v>
      </c>
      <c r="G122" t="s">
        <v>227</v>
      </c>
      <c r="H122" t="s">
        <v>53</v>
      </c>
      <c r="I122" t="s">
        <v>7</v>
      </c>
      <c r="J122" t="s">
        <v>35</v>
      </c>
      <c r="K122" t="s">
        <v>56</v>
      </c>
      <c r="L122" t="s">
        <v>32</v>
      </c>
      <c r="M122">
        <v>1</v>
      </c>
    </row>
    <row r="123" spans="1:13" x14ac:dyDescent="0.25">
      <c r="A123" s="2">
        <v>46273</v>
      </c>
      <c r="B123" s="1" t="str">
        <f ca="1">IF(Información1[[#This Row],[Fecha]]='Ajuste de fechas'!$A$2,"Día actual","Día anterior")</f>
        <v>Día actual</v>
      </c>
      <c r="C123" t="s">
        <v>54</v>
      </c>
      <c r="D123" t="s">
        <v>86</v>
      </c>
      <c r="E123" t="s">
        <v>262</v>
      </c>
      <c r="F123" t="s">
        <v>16</v>
      </c>
      <c r="G123" t="s">
        <v>263</v>
      </c>
      <c r="H123" t="s">
        <v>53</v>
      </c>
      <c r="I123" t="s">
        <v>7</v>
      </c>
      <c r="J123" t="s">
        <v>35</v>
      </c>
      <c r="K123" t="s">
        <v>56</v>
      </c>
      <c r="L123" t="s">
        <v>32</v>
      </c>
      <c r="M123">
        <v>1</v>
      </c>
    </row>
    <row r="124" spans="1:13" x14ac:dyDescent="0.25">
      <c r="A124" s="2">
        <v>46273</v>
      </c>
      <c r="B124" s="1" t="str">
        <f ca="1">IF(Información1[[#This Row],[Fecha]]='Ajuste de fechas'!$A$2,"Día actual","Día anterior")</f>
        <v>Día actual</v>
      </c>
      <c r="C124" t="s">
        <v>54</v>
      </c>
      <c r="D124" t="s">
        <v>86</v>
      </c>
      <c r="E124" t="s">
        <v>264</v>
      </c>
      <c r="F124" t="s">
        <v>16</v>
      </c>
      <c r="G124" t="s">
        <v>265</v>
      </c>
      <c r="H124" t="s">
        <v>53</v>
      </c>
      <c r="I124" t="s">
        <v>7</v>
      </c>
      <c r="J124" t="s">
        <v>35</v>
      </c>
      <c r="K124" t="s">
        <v>56</v>
      </c>
      <c r="L124" t="s">
        <v>32</v>
      </c>
      <c r="M124">
        <v>1</v>
      </c>
    </row>
    <row r="125" spans="1:13" x14ac:dyDescent="0.25">
      <c r="A125" s="2">
        <v>46273</v>
      </c>
      <c r="B125" s="1" t="str">
        <f ca="1">IF(Información1[[#This Row],[Fecha]]='Ajuste de fechas'!$A$2,"Día actual","Día anterior")</f>
        <v>Día actual</v>
      </c>
      <c r="C125" t="s">
        <v>54</v>
      </c>
      <c r="D125" t="s">
        <v>86</v>
      </c>
      <c r="E125" t="s">
        <v>266</v>
      </c>
      <c r="F125" t="s">
        <v>19</v>
      </c>
      <c r="G125" t="s">
        <v>196</v>
      </c>
      <c r="H125" t="s">
        <v>53</v>
      </c>
      <c r="I125" t="s">
        <v>22</v>
      </c>
      <c r="J125" t="s">
        <v>36</v>
      </c>
      <c r="K125" t="s">
        <v>56</v>
      </c>
      <c r="L125" t="s">
        <v>32</v>
      </c>
      <c r="M125">
        <v>1</v>
      </c>
    </row>
    <row r="126" spans="1:13" x14ac:dyDescent="0.25">
      <c r="A126" s="2">
        <v>46273</v>
      </c>
      <c r="B126" s="1" t="str">
        <f ca="1">IF(Información1[[#This Row],[Fecha]]='Ajuste de fechas'!$A$2,"Día actual","Día anterior")</f>
        <v>Día actual</v>
      </c>
      <c r="C126" t="s">
        <v>54</v>
      </c>
      <c r="D126" t="s">
        <v>86</v>
      </c>
      <c r="E126" t="s">
        <v>267</v>
      </c>
      <c r="F126" t="s">
        <v>21</v>
      </c>
      <c r="G126" t="s">
        <v>268</v>
      </c>
      <c r="H126" t="s">
        <v>53</v>
      </c>
      <c r="I126" t="s">
        <v>22</v>
      </c>
      <c r="J126" t="s">
        <v>21</v>
      </c>
      <c r="K126" t="s">
        <v>56</v>
      </c>
      <c r="L126" t="s">
        <v>32</v>
      </c>
      <c r="M126">
        <v>1</v>
      </c>
    </row>
    <row r="127" spans="1:13" x14ac:dyDescent="0.25">
      <c r="A127" s="2">
        <v>46273</v>
      </c>
      <c r="B127" s="1" t="str">
        <f ca="1">IF(Información1[[#This Row],[Fecha]]='Ajuste de fechas'!$A$2,"Día actual","Día anterior")</f>
        <v>Día actual</v>
      </c>
      <c r="C127" t="s">
        <v>54</v>
      </c>
      <c r="D127" t="s">
        <v>86</v>
      </c>
      <c r="E127" t="s">
        <v>269</v>
      </c>
      <c r="F127" t="s">
        <v>16</v>
      </c>
      <c r="G127" t="s">
        <v>52</v>
      </c>
      <c r="H127" t="s">
        <v>53</v>
      </c>
      <c r="I127" t="s">
        <v>22</v>
      </c>
      <c r="J127" t="s">
        <v>35</v>
      </c>
      <c r="K127" t="s">
        <v>56</v>
      </c>
      <c r="L127" t="s">
        <v>32</v>
      </c>
      <c r="M127">
        <v>1</v>
      </c>
    </row>
    <row r="128" spans="1:13" x14ac:dyDescent="0.25">
      <c r="A128" s="2">
        <v>46273</v>
      </c>
      <c r="B128" s="1" t="str">
        <f ca="1">IF(Información1[[#This Row],[Fecha]]='Ajuste de fechas'!$A$2,"Día actual","Día anterior")</f>
        <v>Día actual</v>
      </c>
      <c r="C128" t="s">
        <v>87</v>
      </c>
      <c r="D128" t="s">
        <v>88</v>
      </c>
      <c r="E128" t="s">
        <v>270</v>
      </c>
      <c r="F128" t="s">
        <v>41</v>
      </c>
      <c r="G128" t="s">
        <v>52</v>
      </c>
      <c r="H128" t="s">
        <v>53</v>
      </c>
      <c r="I128" t="s">
        <v>7</v>
      </c>
      <c r="J128" t="s">
        <v>21</v>
      </c>
      <c r="K128" t="s">
        <v>89</v>
      </c>
      <c r="L128" t="s">
        <v>42</v>
      </c>
      <c r="M128">
        <v>1</v>
      </c>
    </row>
    <row r="129" spans="1:13" x14ac:dyDescent="0.25">
      <c r="A129" s="2">
        <v>46273</v>
      </c>
      <c r="B129" s="1" t="str">
        <f ca="1">IF(Información1[[#This Row],[Fecha]]='Ajuste de fechas'!$A$2,"Día actual","Día anterior")</f>
        <v>Día actual</v>
      </c>
      <c r="C129" t="s">
        <v>87</v>
      </c>
      <c r="D129" t="s">
        <v>88</v>
      </c>
      <c r="E129" t="s">
        <v>271</v>
      </c>
      <c r="F129" t="s">
        <v>16</v>
      </c>
      <c r="G129" t="s">
        <v>52</v>
      </c>
      <c r="H129" t="s">
        <v>53</v>
      </c>
      <c r="I129" t="s">
        <v>22</v>
      </c>
      <c r="J129" t="s">
        <v>35</v>
      </c>
      <c r="K129" t="s">
        <v>89</v>
      </c>
      <c r="L129" t="s">
        <v>32</v>
      </c>
      <c r="M129">
        <v>1</v>
      </c>
    </row>
    <row r="130" spans="1:13" x14ac:dyDescent="0.25">
      <c r="A130" s="2">
        <v>46273</v>
      </c>
      <c r="B130" s="1" t="str">
        <f ca="1">IF(Información1[[#This Row],[Fecha]]='Ajuste de fechas'!$A$2,"Día actual","Día anterior")</f>
        <v>Día actual</v>
      </c>
      <c r="C130" t="s">
        <v>87</v>
      </c>
      <c r="D130" t="s">
        <v>88</v>
      </c>
      <c r="E130" t="s">
        <v>272</v>
      </c>
      <c r="F130" t="s">
        <v>19</v>
      </c>
      <c r="G130" t="s">
        <v>130</v>
      </c>
      <c r="H130" t="s">
        <v>53</v>
      </c>
      <c r="I130" t="s">
        <v>7</v>
      </c>
      <c r="J130" t="s">
        <v>36</v>
      </c>
      <c r="K130" t="s">
        <v>89</v>
      </c>
      <c r="L130" t="s">
        <v>32</v>
      </c>
      <c r="M130">
        <v>1</v>
      </c>
    </row>
    <row r="131" spans="1:13" x14ac:dyDescent="0.25">
      <c r="A131" s="2">
        <v>46273</v>
      </c>
      <c r="B131" s="1" t="str">
        <f ca="1">IF(Información1[[#This Row],[Fecha]]='Ajuste de fechas'!$A$2,"Día actual","Día anterior")</f>
        <v>Día actual</v>
      </c>
      <c r="C131" t="s">
        <v>54</v>
      </c>
      <c r="D131" t="s">
        <v>55</v>
      </c>
      <c r="E131" t="s">
        <v>273</v>
      </c>
      <c r="F131" t="s">
        <v>16</v>
      </c>
      <c r="G131" t="s">
        <v>52</v>
      </c>
      <c r="H131" t="s">
        <v>53</v>
      </c>
      <c r="I131" t="s">
        <v>7</v>
      </c>
      <c r="J131" t="s">
        <v>35</v>
      </c>
      <c r="K131" t="s">
        <v>56</v>
      </c>
      <c r="L131" t="s">
        <v>32</v>
      </c>
      <c r="M131">
        <v>1</v>
      </c>
    </row>
    <row r="132" spans="1:13" x14ac:dyDescent="0.25">
      <c r="A132" s="2">
        <v>46273</v>
      </c>
      <c r="B132" s="1" t="str">
        <f ca="1">IF(Información1[[#This Row],[Fecha]]='Ajuste de fechas'!$A$2,"Día actual","Día anterior")</f>
        <v>Día actual</v>
      </c>
      <c r="C132" t="s">
        <v>54</v>
      </c>
      <c r="D132" t="s">
        <v>55</v>
      </c>
      <c r="E132" t="s">
        <v>274</v>
      </c>
      <c r="F132" t="s">
        <v>16</v>
      </c>
      <c r="G132" t="s">
        <v>275</v>
      </c>
      <c r="H132" t="s">
        <v>53</v>
      </c>
      <c r="I132" t="s">
        <v>22</v>
      </c>
      <c r="J132" t="s">
        <v>35</v>
      </c>
      <c r="K132" t="s">
        <v>57</v>
      </c>
      <c r="L132" t="s">
        <v>33</v>
      </c>
      <c r="M132">
        <v>1</v>
      </c>
    </row>
    <row r="133" spans="1:13" x14ac:dyDescent="0.25">
      <c r="A133" s="2">
        <v>46273</v>
      </c>
      <c r="B133" s="1" t="str">
        <f ca="1">IF(Información1[[#This Row],[Fecha]]='Ajuste de fechas'!$A$2,"Día actual","Día anterior")</f>
        <v>Día actual</v>
      </c>
      <c r="C133" t="s">
        <v>54</v>
      </c>
      <c r="D133" t="s">
        <v>55</v>
      </c>
      <c r="E133" t="s">
        <v>276</v>
      </c>
      <c r="F133" t="s">
        <v>19</v>
      </c>
      <c r="G133" t="s">
        <v>277</v>
      </c>
      <c r="H133" t="s">
        <v>53</v>
      </c>
      <c r="I133" t="s">
        <v>22</v>
      </c>
      <c r="J133" t="s">
        <v>36</v>
      </c>
      <c r="K133" t="s">
        <v>56</v>
      </c>
      <c r="L133" t="s">
        <v>32</v>
      </c>
      <c r="M133">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38</v>
      </c>
      <c r="B1" t="s">
        <v>39</v>
      </c>
    </row>
    <row r="2" spans="1:2" x14ac:dyDescent="0.25">
      <c r="A2" s="2">
        <f ca="1">TODAY()</f>
        <v>46273</v>
      </c>
      <c r="B2" s="2">
        <f ca="1">A2-1</f>
        <v>46272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2026-09-08T23:06:39Z</dcterms:modified>
</cp:coreProperties>
</file>