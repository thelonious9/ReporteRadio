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53969F0F-4B39-4E0F-9F43-209BE2B8266E}"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64" i="2" l="1"/>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60" i="2"/>
  <c r="B162" i="2"/>
  <c r="B164" i="2"/>
  <c r="B166" i="2"/>
  <c r="B168" i="2"/>
  <c r="B170" i="2"/>
  <c r="B172" i="2"/>
  <c r="B3" i="2"/>
  <c r="B5" i="2"/>
  <c r="B8" i="2"/>
  <c r="B9" i="2"/>
  <c r="B12" i="2"/>
  <c r="B14" i="2"/>
  <c r="B16" i="2"/>
  <c r="B18" i="2"/>
  <c r="B20" i="2"/>
  <c r="B22" i="2"/>
  <c r="B24" i="2"/>
  <c r="B26" i="2"/>
  <c r="B28" i="2"/>
  <c r="B30" i="2"/>
  <c r="B32" i="2"/>
  <c r="B35" i="2"/>
  <c r="B37" i="2"/>
  <c r="B39" i="2"/>
  <c r="B41" i="2"/>
  <c r="B43" i="2"/>
  <c r="B45" i="2"/>
  <c r="B47" i="2"/>
  <c r="B49" i="2"/>
  <c r="B51" i="2"/>
  <c r="B53" i="2"/>
  <c r="B55" i="2"/>
  <c r="B57" i="2"/>
  <c r="B58" i="2"/>
  <c r="B59" i="2"/>
  <c r="B60" i="2"/>
  <c r="B61" i="2"/>
  <c r="B62" i="2"/>
  <c r="B63" i="2"/>
  <c r="B173"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1" i="2"/>
  <c r="B163" i="2"/>
  <c r="B165" i="2"/>
  <c r="B167" i="2"/>
  <c r="B169" i="2"/>
  <c r="B171" i="2"/>
  <c r="B2" i="2"/>
  <c r="B4" i="2"/>
  <c r="B6" i="2"/>
  <c r="B7" i="2"/>
  <c r="B10" i="2"/>
  <c r="B11" i="2"/>
  <c r="B13" i="2"/>
  <c r="B15" i="2"/>
  <c r="B17" i="2"/>
  <c r="B19" i="2"/>
  <c r="B21" i="2"/>
  <c r="B23" i="2"/>
  <c r="B25" i="2"/>
  <c r="B27" i="2"/>
  <c r="B29" i="2"/>
  <c r="B31" i="2"/>
  <c r="B33" i="2"/>
  <c r="B34" i="2"/>
  <c r="B36" i="2"/>
  <c r="B38" i="2"/>
  <c r="B40" i="2"/>
  <c r="B42" i="2"/>
  <c r="B44" i="2"/>
  <c r="B46" i="2"/>
  <c r="B48" i="2"/>
  <c r="B50" i="2"/>
  <c r="B52" i="2"/>
  <c r="B54" i="2"/>
  <c r="B56" i="2"/>
  <c r="B174" i="2"/>
  <c r="B175" i="2"/>
  <c r="B176" i="2"/>
  <c r="B177" i="2"/>
  <c r="B178" i="2"/>
  <c r="B179" i="2"/>
  <c r="B180" i="2"/>
  <c r="B181" i="2"/>
  <c r="B182" i="2"/>
  <c r="B183"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<sst xmlns="http://schemas.openxmlformats.org/spreadsheetml/2006/main" count="1835" uniqueCount="334">
  <si>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</si>
  <si>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</si>
  <si>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</si>
  <si>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</si>
  <si>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</si>
  <si>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</si>
  <si>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</si>
  <si>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</si>
  <si>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</si>
  <si>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</si>
  <si>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</si>
  <si>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</si>
  <si>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</si>
  <si>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</si>
  <si>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</si>
  <si>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</si>
  <si>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</si>
  <si>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</si>
  <si>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</si>
  <si>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</si>
  <si>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</si>
  <si>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</si>
  <si>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Congreso</t>
  </si>
  <si>
    <t>Presidencia</t>
  </si>
  <si>
    <t>SSPH</t>
  </si>
  <si>
    <t>SSH</t>
  </si>
  <si>
    <t>Otros</t>
  </si>
  <si>
    <t>Negativa</t>
  </si>
  <si>
    <t>Gobernador</t>
  </si>
  <si>
    <t>Luminarias</t>
  </si>
  <si>
    <t>Andrés Torres</t>
  </si>
  <si>
    <t>Ke Buena 106.7 FM</t>
  </si>
  <si>
    <t>David Cárdenas</t>
  </si>
  <si>
    <t>Noticias 106.7</t>
  </si>
  <si>
    <t>Súper Stéreo 100.5 FM</t>
  </si>
  <si>
    <t>Rodolfo López</t>
  </si>
  <si>
    <t>Enfoque Regional Meridiano</t>
  </si>
  <si>
    <t>Enfoque Regional Matutino</t>
  </si>
  <si>
    <t>TV Cable hidalguense Canal 6</t>
  </si>
  <si>
    <t>Juan Carlos Santamaria</t>
  </si>
  <si>
    <t>Contigo Noticias</t>
  </si>
  <si>
    <t>TV local</t>
  </si>
  <si>
    <t>Auxilio a la ciudadanía</t>
  </si>
  <si>
    <t>PGJEH</t>
  </si>
  <si>
    <t>Canal del Pueblo</t>
  </si>
  <si>
    <t>Vocales Radio</t>
  </si>
  <si>
    <t>NQ 90.1 FM</t>
  </si>
  <si>
    <t>Jesús Riveros</t>
  </si>
  <si>
    <t>Enlace Hidalgo1</t>
  </si>
  <si>
    <t>Enlace Hidalgo2</t>
  </si>
  <si>
    <t>Planeación</t>
  </si>
  <si>
    <t>Ultra 102.9 FM</t>
  </si>
  <si>
    <t>Ultra Noticias1</t>
  </si>
  <si>
    <t>Daniel Martínez</t>
  </si>
  <si>
    <t>Eulalio Larrieta agradece a Carlos Gamiño por estar al pendiente de temas</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</si>
  <si>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</si>
  <si>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</si>
  <si>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</si>
  <si>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</si>
  <si>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</si>
  <si>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</si>
  <si>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</si>
  <si>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</si>
  <si>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</si>
  <si>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</si>
  <si>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</si>
  <si>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</si>
  <si>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</si>
  <si>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</si>
  <si>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</si>
  <si>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</si>
  <si>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</si>
  <si>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</si>
  <si>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</si>
  <si>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Prevención De Riesgos</t>
  </si>
  <si>
    <t>Combate Al Narcomenudeo</t>
  </si>
  <si>
    <t>Gusano barrenador</t>
  </si>
  <si>
    <t>Detención</t>
  </si>
  <si>
    <t>Día del Niño</t>
  </si>
  <si>
    <t>Fuga De Agua</t>
  </si>
  <si>
    <t>Huracán Priscilla</t>
  </si>
  <si>
    <t>DIFH</t>
  </si>
  <si>
    <t>Semaforización</t>
  </si>
  <si>
    <t>Saderh</t>
  </si>
  <si>
    <t>Oferta educativa</t>
  </si>
  <si>
    <t>Eulalio Larrieta agradece a Edith Balderas de la Secretaria de Educación Pública.</t>
  </si>
  <si>
    <t>Tauromaquia</t>
  </si>
  <si>
    <t>Día de la educadora</t>
  </si>
  <si>
    <t>Rehabilitación carretera</t>
  </si>
  <si>
    <t>Bienestar</t>
  </si>
  <si>
    <t>Amenazas en escuela</t>
  </si>
  <si>
    <t>Prevención del delito</t>
  </si>
  <si>
    <t>Supervisión de obra</t>
  </si>
  <si>
    <t>Entrega De Apoyos</t>
  </si>
  <si>
    <t>Oficialía Mayor</t>
  </si>
  <si>
    <t>Radiodifusoras</t>
  </si>
  <si>
    <t>Abasto De Medicamentos</t>
  </si>
  <si>
    <t>Boletín 575: Próxima a cerrar la convocatoria “Transformando Emprendedores 2026”</t>
  </si>
  <si>
    <t>Apoyo a emprendedores</t>
  </si>
  <si>
    <t>Boletín 720: ENSU: reporta mejora en percepción de seguridad en Hidalgo</t>
  </si>
  <si>
    <t>Percepción de inseguridad</t>
  </si>
  <si>
    <t>Sedeco</t>
  </si>
  <si>
    <t>Feria Aeroespacial</t>
  </si>
  <si>
    <t>Boletín 1057: Sheinbaum y Menchaca ponen en marcha infraestructura deportiva que fortalece el tejido social en Pachuca</t>
  </si>
  <si>
    <t>Ciudad deportiva</t>
  </si>
  <si>
    <t>Mañanera de Hidalgo</t>
  </si>
  <si>
    <t>Localización de cuerpo</t>
  </si>
  <si>
    <t>Retención</t>
  </si>
  <si>
    <t>CGCG</t>
  </si>
  <si>
    <t>Accidente transporte público</t>
  </si>
  <si>
    <t>Alerta Meteorológica</t>
  </si>
  <si>
    <t>Hospital Tula</t>
  </si>
  <si>
    <t>Usos y costumbres</t>
  </si>
  <si>
    <t>Imagen Urbana</t>
  </si>
  <si>
    <t>Inhibidor de señal</t>
  </si>
  <si>
    <t>Boletín 1053: Menchaca Salazar refrenda alianza con el magisterio para impulsar la transformación educativa</t>
  </si>
  <si>
    <t>Un hecho violento se registró este día en el municipio de Apan, donde un hombre perdió la vida tras ser atacado con arma de fuego mientras transitaba por una zona rural. De acuerdo con información emitida por la autoridad local, el incidente ocurrió sobre el camino que conecta las comunidades de Acopinalco y La Laguna. Según el reporte de Seguridad Pública municipal, la víctima fue identificada por sus iniciales como J. G. R., quien regresaba de realizar actividades del campo cuando fue interceptado en el trayecto. En ese punto, habría sido agredido por sujetos que le dispararon en múltiples ocasiones. Los primeros datos indican que el ataque se produjo en un tramo poco transitado, lo que dificultó una reacción inmediata por parte de las autoridades. Tras la agresión, familiares del hombre acudieron en su auxilio y decidieron trasladarlo por sus propios medios al Hospital del Altiplano. Sin embargo, al arribar al hospital, el personal médico confirmó que la persona ya no contaba con signos vitales, por lo que fue declarada sin vida a consecuencia de las lesiones provocadas por los impactos de arma de fuego. De manera preliminar, se ha señalado que el hecho podría estar relacionado con un conflicto por la posesión de tierras, aunque esta línea aún no ha sido confirmada oficialmente. Serán las autoridades ministeriales quienes determinen las causas del ataque, así como la identidad y paradero de los presuntos responsables. Tras el reporte, elementos de seguridad implementaron acciones para recabar información en la zona, mientras que peritos iniciaron las diligencias correspondientes para integrar la carpeta de investigación; hasta ahora, no se ha informado sobre personas detenidas en relación con este caso. Las autoridades continúan con las indagatorias para esclarecer lo ocurrido y deslindar responsabilidades conforme a derecho. El hecho ha generado preocupación entre habitantes de la región, quienes señalan la importancia de reforzar la seguridad en caminos rurales, especialmente en zonas donde las actividades agrícolas forman parte de la vida cotidiana. Autoridades locales reiteraron el llamado a la ciudadanía para reportar cualquier situación sospechosa y colaborar con información que pueda contribuir al esclarecimiento de este caso. Asimismo, destacaron que se mantendrán atentos al desarrollo de las investigaciones y a las condiciones de seguridad en la zona, en tanto se busca brindar certeza a la población.</t>
  </si>
  <si>
    <t>Ataque Armado</t>
  </si>
  <si>
    <t>La fiscalía general de la República (FGR) a través de la Fiscalía Especializada de Control Regional (FECOR) en el estado de Hidalgo, llevó a cabo un evento de incineración de un kilo 142 gramos de narcóticos y la destrucción de objetos relacionados con ilícitos de competencia federal. El evento de incineración se realizó en las instalaciones ubicadas en la colonia Cubitos, pertenecientes a la 18ª Zona Militar, en presencia del representante del Órgano Interno de Control, elementos de la Policía Federal Ministerial (PFM) y peritos de la institución. En la diligencia se incineró marihuana, tetrahidrocannabinol y metanfetamina; también se llevó a cabo la destrucción de 248 objetos como mangueras, contenedores de diversas capacidades, taladros artesanales, rejillas metálicas y un vehículo calcinado, entro otros. Con estas acciones la FGR reafirma el compromiso con la sociedad para la investigación y persecución de los delitos en materia federal, por lo que se invita a la ciudadanía a que denuncie las 24 horas de los 365 días del año, al correo electrónico denunciafgr.hidalgo@fgr.org.mx, o al número 771 71 7 52 00 ext. 27 52 47, 27 52 50 ó 27 52 06, así mismo en las instalaciones de la Fiscalía Federal en el estado de Hidalgo, ubicadas en la carretera México-Pachuca, km. 84.5, colonia Sector Primario, Ciudad Pachuca de Soto C.P. 42080.</t>
  </si>
  <si>
    <t>Locutor Jesús Riveros informa sobre la llegada de medicamentos al Estado de Hidalgo mediante las llamadas “rutas de la salud”, lo anterior, luego de que el pasado fin de semana, la presidenta Claudia Sheinbaum en su visita a Tenango de Doria recibió algunas quejas e inconformidades de personas que aseguraban que no había medicamento en el Hospital Regional ni en loc Centros de Salud. En ese sentido, el IMSS-Bienestar realizó la entrega de 1.5 millones de piezas de medicamentos para Hidalgo, tan sólo para el Hospital Regional Otomí-Tepehua llegaron 2 mil 976 piezas para fortalecer la atención de 473 comunidades.</t>
  </si>
  <si>
    <t>Ruta de la salud</t>
  </si>
  <si>
    <t>Durante la conferencia matutina de la presidenta Claudia Sheinbaum, el día de hoy, el director general del IMSS-Bienestar, Alejandro Svarch Pérez, realizó un enlace con la presidenta Claudia Sheinbaum Pardo desde el Hospital Regional Otomí-Tepehua, ubicado en San Bartolo Tutotepec, informando sobre la supervisión directa del abasto de medicamentos y la operación del hospital.</t>
  </si>
  <si>
    <t>Emotivo, alegre y lleno de esperanza, así fue el evento en el que, gracias al esfuerzo del Gobierno Municipal, el DIF Huejutla, el Voluntariado “Voluntades que Transforman” y la sociedad civil, se entregaron 32 prótesis y 2 órtesis a 29 personas que, a partir de este beneficio, verán un cambio positivo en sus vidas y una nueva oportunidad para salir adelante. El Lic. José Alfredo San Román Duval, presidente Municipal de Huejutla; la Dra. Kristel Rodríguez Flores, presidenta del DIF Huejutla; la Profra. Adela Pérez Espinoza, representante del Voluntariado; la Lic. Cristina Picazo Sánchez y Ashton Stoop, representante y director técnico de la Clínica de Rehabilitación Humana 279 de la Ciudad de México, presidieron el acto protocolario realizado la mañana de este lunes en la Plaza 21 de Mayo, en la zona centro de la ciudad.</t>
  </si>
  <si>
    <t>Boletín 296: Procuraduría del DIF Hidalgo participa en Conferencia Nacional realizada en Morelos</t>
  </si>
  <si>
    <t>Protección del menor</t>
  </si>
  <si>
    <t>Boletín 33: Alerta sobre perfil falso en redes sociales</t>
  </si>
  <si>
    <t>Suplantación de identidad</t>
  </si>
  <si>
    <t>Boletín 32: Este martes, macrojornada de la campaña “A ver… a ver” en Mineral de la Reforma:</t>
  </si>
  <si>
    <t>Salud Visual</t>
  </si>
  <si>
    <t>Al encabezar el evento, el Auditor Superior del Estado, Mtro. Jorge Valverde Islas, destacó que la certificación Great Place to Work se inscribe en una política institucional sostenida de fortalecimiento organizacional impulsada durante su administración. Señaló que los procesos de evaluación y certificación asumidos por la ASEH responden a una visión estratégica orientada a consolidar una institución moderna, profesional y alineada con estándares nacionales e internacionales. Precisó que las certificaciones obtenidas en los últimos años son resultado de un trabajo planificado y sistemático, que ha implicado no solo la revisión de procedimientos y la adopción de buenas prácticas, sino también la profesionalización permanente del personal y el fortalecimiento de la ética pública. Enfatizó que estos reconocimientos no constituyen un fin en sí mismos, sino herramientas para mejorar el desempeño institucional y fortalecer la confianza ciudadana en la labor de fiscalización.</t>
  </si>
  <si>
    <t>Certificación</t>
  </si>
  <si>
    <t>Boletín 575: Próxima a cerrar la convocatoria “Transformando Emprendedores 2026”:</t>
  </si>
  <si>
    <t>Boletín 1061: Gabinete de Seguridad desmantela bodegas con más de 60 mil autopartes robadas</t>
  </si>
  <si>
    <t>Reunión Gabinete De Seguridad</t>
  </si>
  <si>
    <t>Boletín 1060: Julio Menchaca supervisa obras en el centro de Pachuca que mejoran la vida cotidiana de las familias</t>
  </si>
  <si>
    <t>Boletín 090: Inician en Hidalgo las Rutas de la Salud para mejorar el abasto de medicamentos</t>
  </si>
  <si>
    <t>Despacho</t>
  </si>
  <si>
    <t>Boletín 1059: Infraestructura, bienestar y desarrollo económico: ejes de la recuperación en Hidalgo tras la vaguada monzónica</t>
  </si>
  <si>
    <t>Mediante enlace telefónico David Cárdenas habló sobre la conferencia matutina de la presidenta Claudia Sheinbaum, el día de hoy, en donde habló sobre su presencia en el Estado de Hidalgo el pasado fin de semana, donde fue cuestionada en torno al abasto de medicamentos en la región Otomí-Tepehua. En esta coordinación entre el gobierno federal, gobierno estatal se informa que se está llegando con medicamentos a todas las regiones del país, en ese sentido, el director general del IMSS-Bienestar, Alejandro Svarch Pérez, realizó un enlace con la presidenta Claudia Sheinbaum Pardo desde el Hospital Regional Otomí-Tepehua, ubicado en San Bartolo Tutotepec, informando sobre la supervisión directa del abasto de medicamentos y la operación del hospital.</t>
  </si>
  <si>
    <t>A través de sus redes sociales, el presidente municipal de Cuautepec, Jorge Hernández Araus, informó que, el día miércoles 29 de abril se abrirá la circulación en el tramo de construcción de la carretera Cuautepec-Tulancingo.</t>
  </si>
  <si>
    <t>Con el objetivo de proteger la actividad agropecuaria y prevenir riesgos sanitarios, el Gobierno de Tulancingo mantiene acciones de capacitación en comunidades sobre la identificación y prevención del gusano barrenador del ganado. A través de una brigada municipal de respuesta inmediata, se ha brindado orientación en localidades como La Lagunilla, Huapalcalco, Acocules Guadalupe, La Palma, Laguna del Cerrito, San Nicolás Cebolletas, Ejido Tulancingo y Axatempa, acercando información clave a productores y población en general. Estas acciones se realizan con el respaldo del Servicio Nacional de Sanidad, Inocuidad y Calidad Agroalimentaria (SENASICA), con el propósito de que la ciudadanía conozca cómo prevenir, identificar y actuar ante cualquier posible caso. Hugo Flores, secretario del Campo, destacó la importancia de participar en estas capacitaciones gratuitas, ya que permiten detectar a tiempo señales de alerta y evitar afectaciones mayores en el ganado. Como parte de esta estrategia, los días 28 y 29 de abril la brigada de la Secretaría del Campo estará presente en el auditorio ejidal de Santa Ana Hueytlalpan, a partir de las 12:00 horas. El personal capacitado orienta sobre la identificación de la mosca que deposita larvas en heridas de animales de sangre caliente, así como las medidas de control y atención. En caso de detectar alguna afectación, se invita a reportar al teléfono 775 755 8450, extensión 1187, o al 800 751 2100 de SENASICA. Con estas acciones, el Gobierno Municipal respalda a las comunidades rurales en el cuidado de su actividad productiva.</t>
  </si>
  <si>
    <t>Locutor Jesús Riveros da lectura a comentario de radioescucha que reporta una fuga de agua en la calle Cofre de Perote en la colonia San Cayetano, ya la reportaron a la Cassim pero no la han ido a arreglar, hacen el llamado porque se está desperdiciando mucha agua.</t>
  </si>
  <si>
    <t>Entrevista en cabina Mayra Fabiola González Peralta, directora del programa de Tecnologías de la Información e Innovación; Francisco Rafael Trejo, coordinador del posgrado de Mecatrónica; Miguel Ángel Torres González, director del programa Académico de Ingeniería Financiera - Hablaron sobre la oferta educativa en la Universidad Politécnica de Pachuca, las ventajas del modelo educativo con el que trabajan, así como la amplia oferta en licenciaturas y posgrados, así como los programas de becas que se ofrecen en la UPP. Actualmente está abierta la convocatoria para examen de ingreso hasta el próximo 8 de junio.</t>
  </si>
  <si>
    <t>Locutor Juan Carlos Santamaría agradecer a Sarahy Pineda, por atender y dar respuesta a los reportes, en específico al de la fuga de agua en San Cayetano.</t>
  </si>
  <si>
    <t>Atención a la ciudadanía</t>
  </si>
  <si>
    <t>Un hecho violento se registró la noche de este lunes en el municipio de Tlaxcoapan, donde un hombre de 37 años fue asesinado a balazos en la colonia Apapechoca, cuando llegaba a su domicilio acompañado de su familia. De acuerdo con la información preliminar, la víctima, identificada por sus iniciales como R. V., arribaba a su vivienda a bordo de una camioneta cuando ocurrió la agresión. Testimonios recabados en el lugar señalan que el hombre se encontraba con su esposa e hijos al momento del ataque. Habitantes de la zona alertaron a las autoridades tras escuchar múltiples detonaciones de arma de fuego. Este aviso generó la movilización de corporaciones de seguridad hacia el punto señalado. Al llegar, los elementos localizaron la unidad, una camioneta tipo Lincoln Aviator, donde se encontraba la víctima. Tras una revisión, se confirmó que el hombre ya no presentaba signos vitales y que tenía varios impactos de proyectil de arma de fuego. De acuerdo con versiones de testigos, el ataque ocurrió justo cuando la familia se estacionaba frente a su domicilio. En ese momento, sujetos no identificados se aproximaron y abrieron fuego directamente contra el conductor. Tras realizar las detonaciones, los agresores se dieron a la fuga, sin que hasta el momento se tenga información oficial sobre su paradero o características. En el sitio, peritos localizaron al menos cinco casquillos percutidos calibre 9 milímetros, los cuales fueron asegurados como parte de las evidencias para la investigación. Hasta ahora, no se ha informado sobre personas detenidas relacionadas con este hecho, ni tampoco se ha dado a conocer información adicional del ataque, por lo que las autoridades continúan con las indagatorias correspondientes. El área fue acordonada por elementos de seguridad para permitir el trabajo de peritos y agentes ministeriales, quienes realizaron el levantamiento de indicios y el inicio de la carpeta de investigación.</t>
  </si>
  <si>
    <t>Boletín 109: Inicia en Hidalgo la Semana Nacional de Vacunación 2026</t>
  </si>
  <si>
    <t>Semana Nacional de Vacunación</t>
  </si>
  <si>
    <t>Boletín 030: Obtiene PGJEH sentencia condenatoria de 43 años de prisión para responsable de feminicidio</t>
  </si>
  <si>
    <t>Sentencia Feminicida</t>
  </si>
  <si>
    <t>Luego de que habitantes de Tenango de Doria denunciaron la falta de medicamentos en hospitales de la región Otomi -Tepehua durante la gira de trabajo de la presidenta Claudia Sheinbaum, la jefa del Ejecutivo Federal anunció en la “MAÑANERA “que pidió a Birmex distribuir el medicamento faltante en Hidalgo por lo que esta semana se espera cubrir la demanda de medicinas de la población sobre todo en las comunidades más alejadas de la sierra hidalguense, AUDIO APOYO DESDE LA REGIÓN</t>
  </si>
  <si>
    <t>Luego del reclamo por falta de medicamentos en un evento en Hidalgo, la presidenta de México, Claudia Sheinbaum Pardo, reconoció desabasto y señaló que pidió a Birmex enviar esta semana los fármacos faltantes que representan veinte por ciento a centros de salud y hospitales del estado y hoy estará en esa zona Alejandro Svarch, titular federal del IMSS-Bienestar. AUDIO DE APOYO CSP</t>
  </si>
  <si>
    <t>Luego de que habitantes de Tenango de Doria denunciaron la falta de medicamentos en hospitales de la región Otomi -Tepehua durante la gira de trabajo de la presidenta Claudia Sheinbaum, la jefa del Ejecutivo Federal anunció que pidió a Birmex distribuir el medicamento faltante en Hidalgo por lo que esta semana se espera cubrir la demanda de medicinas de la población sobre todo en las comunidades más alejadas de la sierra hidalguense, AUDIO APOYO</t>
  </si>
  <si>
    <t>Un hombre de 27 años fue detenido por elementos de la policía municipal en la colonia Minerva en Mineral de la Reforma, en un hecho que generó señalamientos por presunto uso excesivo de la fuerza. De acuerdo con los reportes, los hechos ocurrieron la tarde del domingo, cuando el individuo salió de su domicilio y fue interceptado por los uniformados quienes procedieron al aseguramiento. Versiones señalan que la detención se habría realizado bajo el argumento de que el hombre se encontraba en estado de ebriedad.Sin embargo, familiares del detenido rechazaron esta versión y cuestionaron la actuación de los agentes</t>
  </si>
  <si>
    <t>Abuso Policiaco</t>
  </si>
  <si>
    <t>Un accidente vial registrado la tarde del domingo en el municipio de El Arenal dejó al menos 10 personas lesionadas y derivó en señalamientos contra un funcionario del Ayuntamiento de San Salvador.De acuerdo con reportes preliminares, el percance habría sido provocado por el conductor de un vehículo que circulaba a exceso de velocidad y presuntamente bajo los efectos del alcohol. Tras lo ocurrido, el Ayuntamiento de San Salvador emitió un comunicado en el que confirmó la participación de un servidor público en este incidente, aunque sin precisar su identidad, se indicó que la persona involucrada se presentó ante las instancias correspondientes para atender su situación legal y asumir los daños derivados.</t>
  </si>
  <si>
    <t>Accidente Vial</t>
  </si>
  <si>
    <t>El Secretario de Educación Pública de Hidalgo Natividad Castrejón confirmó 13 casos de amenazas en secundarias y preparatorias. ¡Se acuerda de esta tendencia que estaba saliendo en redes sociales específicamente en Tik Tok? pues dijo que hasta el momento se han contabilizado 13 registros de pintas y mensajes anónimos con presuntas amenazas en planteles educativos del estado, principalmente en secundarias y preparatorias; las amenazas relacionadas con un posible o supuesto tiroteo, el titular de la dependencia señaló que estos casos se han presentado en distintos municipios y forman parte de una tendencia viral detectada en redes sociales a nivel nacional. AUDIO DE APOYO</t>
  </si>
  <si>
    <t>La Poderosa Tuxpan 93.1 FM</t>
  </si>
  <si>
    <t>"NN Nuestras Noticias ""El Resumen"""</t>
  </si>
  <si>
    <t>Tomás Sosa</t>
  </si>
  <si>
    <t>La cadena comercial Costco evalúa la posibilidad de instalar una tienda en Pachuca de Soto para el 2027 así lo confirmó el titular de la Secretaría de Desarrollo Económico Carlos Henkel Escorza. AUDIO DE APOYO.</t>
  </si>
  <si>
    <t>Atracción De Inversiones</t>
  </si>
  <si>
    <t>Durante su recorrido por calles de Pachuca, el gobernador Julio Menchaca tuvo un acercamiento con medios de comunicación, en donde informó que en los próximos días se realizará un ajuste en la tarifa del transporte público. AUDIO APOYO JMS</t>
  </si>
  <si>
    <t>Aumento Tarifa De Transporte</t>
  </si>
  <si>
    <t>Campesinos del municipio de Jaltocán bloquearon por varias horas la carretera federal de las tres huastecas, Huejutla Tamazunchale, piden el pago en predios por donde se desarrolla la ampliación a cuatro carriles el delegado de la Secretaría de Infraestructura Comunicaciones y Transporte de Hidalgo Pablo Olvera, habló al respecto. AUDIO APOYO</t>
  </si>
  <si>
    <t>Carretera Huejutla</t>
  </si>
  <si>
    <t>Durante su recorrido por calles de Pachuca, el gobernador Julio Menchaca tuvo un acercamiento con medios de comunicación e informó sobre la recién inaugurada Ciudad Deportiva, que busca ser sede de la Olimpiada Nacional 2026. AUDIO APOYO JMS</t>
  </si>
  <si>
    <t>El Tribunal de Disciplina Judicial (TDJ) a través de su Comisión de Disciplina ha suspendido a un total de 43 servidores públicos señalados por conductas contrarias a la ley, las cuales van desde nepotismo, corrupción hasta acoso laboral o sexual. Rufino León Tovar, presidente del Tribunal recordó que el objetivo de este órgano autónomo tiene como propósito ser garante de la justicia recta y combatir la corrupción u otro tipo de actos que puedan afectar a las personas. Recordó que en Hidalgo ya fue suspendido un juez tras considerar que su actuación estaba siendo contraria a la ley luego de haberse investigado y detectado que de una manera incorrecta la persona tenía el propósito de proteger los intereses de una empresa y otorgó suspensiones para descongelar cuentas bancarias aseguradas en un principio.</t>
  </si>
  <si>
    <t>TSJEH</t>
  </si>
  <si>
    <t>Delitos servidores públicos</t>
  </si>
  <si>
    <t>Vía telefónica, Jorge Reyes presidente municipal de Pachuca sobre el tema de la Encuesta Nacional de Seguridad Pública Urbana (ENSU) del INEGI, festejos del Día del Niño y rehabilitación de espacios públicos en Pachuca. Hablo que salió la encuesta del ENSU de INEGI y bajó prácticamente en 10 puntos este primer trimestre la percepción de seguridad, recordando que en diciembre había habido un incremento, ahorita en el primer trimestre de este año 2026 se logra bajar prácticamente 10 puntos, cabe resaltar dos temas muy importantes, una que prácticamente en 90 días se logro disminuir y mejorar esta percepción, lo que indica que crece la confianza de la ciudadanía en cuanto a la seguridad y a nivel nacional apenas la percepción de inseguridad se movió alrededor de 2 puntos, 2.5 y en Pachuca fue 10 lo que hace mención que las estrategias que se estan realizado en seguridad con los drones, con los rondines de seguridad, con el acercamiento, con el nuevo equipamiento de las 38 patrullas, la dignificación que se ha tenido con los policías están dando resultados, es un tema en conjunto de todas las estrategias de seguridad , entonces quiere decir que estamos por buen camino.Sobre la rehabilitación de jardines, se estan arreglando para que queden muy bonitos y en mejores condiciones ,se está haciendo el embellecimiento de la ciudad, también se esta trabajando en el Reloj Monumental de Pachuca dando su manita de gato, metiendo árboles con tal de disfrutar y en Plaza Constitución.Pasado mañana tenemos el festejo del Día del Niño, del Día de la Niña vamos a poner una gran feria todo completamente gratis para que nos como hace un año hay que recoger su pulserita en la Secretaría de Desarrollo Social que está ahí en Parque Hidalgo.</t>
  </si>
  <si>
    <t>Boletín 1643:Egresada de ITESA obtiene segundo lugar en Premio de Excelencia Dual</t>
  </si>
  <si>
    <t>Educación dual</t>
  </si>
  <si>
    <t>Una cruel ejecución se registró en calles de la colonia Apapechoca en Tlaxcoapan.Según la información proporcionada por la esposa del ahora occiso, ellos dos y sus dos hijos arribaron hasta su domicilio a bordo de una camioneta marca Lincon tipo Aviator.Al llegar ella y sus hijos se adelantaron a entrar a la casa, enseguida escucharon una serie de detonaciones por lo que al salir a ver lo que sucedía encontró a su esposo con varios impactos de proyectil de arma de fuego en el asiento del conductor de la camioneta y al intentar bajar, gravemente herido se desplomó en el suelo donde quedó sin vida.</t>
  </si>
  <si>
    <t>Ejecuciones</t>
  </si>
  <si>
    <t>Más de 4 millones de pesos fueron destinados a infraestructura y equipamiento educativo en el municipio de Tecozautla durante una gira de trabajo el secretario de Educación en Hidalgo Natividad Castrejón Valdéz informó que 14 escuelas de nivel básico y un plantel de media superior resultaron beneficiados. El funcionario destacó que estas acciones forman parte del compromiso del gobierno estatal encabezado por Julio Menchaca Salazar para fortalecer la educación en la entidad. AUDIO DE APOYO.</t>
  </si>
  <si>
    <t>Entrega de infraestructura escolar</t>
  </si>
  <si>
    <t>Boletín 265: Hidalgo, invitado de honor en la FAMEX 2027, AUDIO APOYO</t>
  </si>
  <si>
    <t>En el estado la empresa Prodemex encargada de la construcción del Hospital General de Zona 06 del IMSS en Tula hizo entrega de las nuevas instalaciones ubicadas en Teocalco, Tlaxcoapan a los responsables de trabajo institucional del Instituto Mexicano del Seguro Social.Este nuevo hospital incluirá 298 camas, 36 consultorios de especialidades y cuenta con una inversión de más de dos mil doscientos millones de pesos. Aún no hay fecha para la inauguración, pero ya está dando servicio en algunas especialidades informó la presidenta de México Claudia Sheinbaum. AUDIO DE APOYO CSP</t>
  </si>
  <si>
    <t>La Secretaría de Bienestar e Inclusión Social la SEBISO desplegará una estrategia territorial intensiva para pues acercar los programas sociales a las comunidades más alejadas de Hidalgo, el operativo se realizará a partir de hoy martes 28 al 30 de abril con la instalación de mesas de atención en 25 municipios y 57 localidades, principalmente en regiones como la Otomí Tepehua, la Huasteca, la Sierra Alta y la Sierra Gorda. AUDIO DE APOYO.</t>
  </si>
  <si>
    <t>El delegado de la Secretaría de Infraestructura, Comunicaciones y Transportes, Pablo Olvera Sánchez detalló que se invertirán 7 mil millones de pesos en Hidalgo, de los cuales 4 mil 980 millones se destinarán directamente a la reconstrucción por daños ocasionados por las lluvias además de recursos para conservación, modernización y caminos artesanales. ADIO DE APOYO</t>
  </si>
  <si>
    <t>Un operativo de seguridad se activó tras el hallazgo de una persona sin signos vitales en una gasolinera ubicada en el libramiento municipal de Huichapan. De acuerdo con los primeros reportes, el cuerpo fue localizado en el área de acceso a la estación de servicio, por lo que el sitio fue acordonado para el desarrollo de las diligencias correspondientes.En el lugar también se ubicó un vehículo cuyo interior se encontraban dos menores de edad, quienes fueron resguardadas por elementos policíacos para garantizar su integridad. Información preliminar indica que la persona no presentaba huellas de violencia y que el fallecimiento podría estar relacionado con un evento de salud ocurrido mientras se encontraba en compañía de las menores.</t>
  </si>
  <si>
    <t>Radioescucha comenta: “ Sigo esperando que vengan a cambiar las lámparas de Patoní; ya llevo varias ocasiones reportando”</t>
  </si>
  <si>
    <t>La Comisión Nacional del Agua (Conagua), a través de su Dirección Local Hidalgo, informa que, las presas en la región del Valle de México, cuentan con un porcentaje de almacenamiento global de 91.6 por ciento (%).La presa Taxhimay se encuentra a 99.9% de su capacidad con 39.876 millones de metros cúbicos (Mm3); la Requenase encuentra a 99.6% con 51.351 Mm3.Mientras que la Endhó se encuentra a 97.3% con 177.990 Mm3; la presa Rojo Gómez a 70.2% de su capacidad con 28.064 Mm3; finalmente, la Vicente Aguirre se encuentra a 39.4% de su capacidad con 7.008 Mm3.</t>
  </si>
  <si>
    <t>Monitoreo De Presas</t>
  </si>
  <si>
    <t>Percepción de seguridad</t>
  </si>
  <si>
    <t>Boletín 720 : ENSU: reporta mejora en percepción de seguridad en Hidalgo</t>
  </si>
  <si>
    <t>El gobierno del Estado informa que la Subsecretaría de Protección Civil y Gestión de Riesgos informa que derivado de reportes relacionados con olor a combustible a hidrocarburo en municipios de la región del Valle del Mezquital, pues ya se mantiene monitoreo y coordinación para verificar qué es lo que sucede y confirmar o no esta situación. De acuerdo con la información disponible este tema ya ha sido revisado por autoridades de Tlahuelilpan, Ajacuba, Tetepango y Mixquiahuala, así como por personal de Pemex sin que al momento se haya localizado indicios de fuga de hidrocarburos Las instancias de protección civil y emergencias continúan realizando recorridos de inspección y mantienen comunicación permanente para dar seguimiento a cualquier novedad que pudiera presentarse.</t>
  </si>
  <si>
    <t>Vía telefonica María Guadalupe Nájera Gómez directora del Registro del Estado Familiar de Tula con el tema : Invitación este miércoles 29 de abril a la campaña de correcciones administrativas Identidad Legal para el Bienestar aquí en el municipio de Tula de Allende, la cúal inicia a las 10 de la mañana a 3:30 de la tarde, se llevará a cabo en el Teatro al Aire Libre</t>
  </si>
  <si>
    <t>Registro Familiar</t>
  </si>
  <si>
    <t>La Unidad de Rehabilitación de Fauna Silvestre de Pachuca informó que recibió un ejemplar de tigrillo proveniente de la UMA Selva Teenek Ecopark, ubicada en Ciudad Valles, San Luis PotosÍ. El felino, identificado como Itzan, es un macho de 4 meses de edad que nació en dicho centro, estará en un programa especializado de rehabilitación en biosimuladores, donde permanecerá aproximadamente cinco meses antes de ser liberado en su hábitat natural en la Huasteca potosina.</t>
  </si>
  <si>
    <t>Rehabilitación animal</t>
  </si>
  <si>
    <t>Reloj De Pachuca</t>
  </si>
  <si>
    <t>Tras la controversia registrada el fin de semana por la retención de un grupo musical en la comunidad de Aquetzpalco, municipio de Huautla, autoridades estatales informaron que el caso fue encausado mediante un acuerdo institucional que permitió dar por concluido el diferendo</t>
  </si>
  <si>
    <t>Gobierno</t>
  </si>
  <si>
    <t>Pobladores de Huautla literal secuestraron a los integrantes de un grupo musical con el argumento de que llegaron tarde y no les permitían retirarse sin antes un pago muy comunitario para aportar para apoyar a la comunidad. Algo así como 250 mil pesos.Afortunadamente ya fueron liberados después de casi 15 horas tras la intervención de agentes policiales y lograron presentar su denuncia ante el ministerio público en Huejutla pero pues no les entregaron su camioneta su equipo de trabajo ni sus pertenencias AUDIO DE APOYO.</t>
  </si>
  <si>
    <t>Este martes, Mineral de la Reforma será sede de una macrojornada de salud visual como parte de la campaña “¡A ver… a ver!”, impulsada por la Comisión Estatal para el Desarrollo Sostenible de los Pueblos Indígenas (CEDSPI). La actividad se llevará a cabo el 28 de abril en el Módulo PREP ubicado en la colonia Campestre Villas del Álamo, donde personal especializado brindará exámenes de la vista y entregará lentes de manera completamente gratuita.</t>
  </si>
  <si>
    <t>Radioescucha reporta que siguen sin arreglar los semáforos que están rumbo a Tulipanes por Chedraui, no funcionan</t>
  </si>
  <si>
    <t>Radioescucha reporta que los de Caasim fueron a instalar una toma y no van a arreglar la calle; fue en la Plutarco Elías Calles, entre calle 2 esquina con avenida 3</t>
  </si>
  <si>
    <t>Zanjas Caasim</t>
  </si>
  <si>
    <t>En Pachuca un taxi metropolitano impactó la parte trasera de un vehículo particular en el bulevar Felipe Ángeles la altura del estadio dejando 2 personas lesionadas.</t>
  </si>
  <si>
    <t>El operador de un taxi falleció durante la madrugada del lunes 25 de abril en la ciudad de Pachuca, luego de que el vehículo que conducía chocó contra un árbol. El accidente mortal se registró sobre el bulevar Del Minero, a donde acudieron elementos policiacos tras recibir el reporte correspondiente al accidente vial. De acuerdo con los primeros reportes, la unidad con placas A-399-FVD circulaba a alta velocidad cuando ocurrió el choque, a la altura de la tienda departamental Soriana Tutelar. La zona fue acordonada mientras se esperaba la llegada de peritos de la Procuraduría General de Justicia del Estado de Hidalgo, para iniciar las investigaciones respectivas al caso.</t>
  </si>
  <si>
    <t>Con la meta de aplicar 44 mil 700 dosis de vacunas contra diversas enfermedades, inició la Semana Nacional de Vacunación 2026, donde además se aplicarán reactivos para prevenir virus sincitial respiratorio (VSR) en mujeres embarazadas. La jornada se desarrollará del 25 de abril al 2 de mayo en todo el Estado de Hidalgo, a la par de los esfuerzos a nivel nacional. La secretaria de Salud en Hidalgo, Vanesa Escalante Arroyo, ha señalado que esta campaña representa un esfuerzo prioritario para garantizar el acceso equitativo a la salud, así como para fortalecer la prevención como eje central del bienestar social. Señaló que la vacunación se mantiene como una de las herramientas más efectivas de salud pública para la prevención de diversas enfermedades.</t>
  </si>
  <si>
    <t>Campaña de vacunación</t>
  </si>
  <si>
    <t>En Tlaxcoapan un sujeto de 37 años fue ejecutado cuando llegaba a su domicilio a bordo de su vehículo junto con su familia. Por dicho incidente la Procuraduría General de Justicia inició la carpeta de investigación correspondiente.</t>
  </si>
  <si>
    <t>Con el objetivo de proteger la actividad agropecuaria y prevenir riesgos sanitarios, el Gobierno de Tulancingo mantiene acciones de capacitación en comunidades sobre la identificación y prevención del gusano barrenador del ganado. A través de una brigada municipal de respuesta inmediata, se ha brindado orientación en localidades como La Lagunilla, Huapalcalco, Acocules Guadalupe, La Palma, Laguna del Cerrito, San Nicolás Cebolletas, Ejido Tulancingo y Axatempa, acercando información clave a productores y población en general. Estas acciones se realizan con el respaldo del Servicio Nacional de Sanidad, Inocuidad y Calidad Agroalimentaria (SENASICA), con el propósito de que la ciudadanía conozca cómo prevenir, identificar y actuar ante cualquier posible caso. Hugo Flores, Secretario del Campo, destacó la importancia de participar en estas capacitaciones gratuitas, ya que permiten detectar a tiempo señales de alerta y evitar afectaciones mayores en el ganado.</t>
  </si>
  <si>
    <t>El gusano barrenador del ganado tiene presencia en más de 40 municipios de Hidalgo, informó el titular de la Secretaría de Agricultura y Desarrollo Rural (Sader) en la entidad, Napoleón González Pérez, quien aseguró que la plaga es atendida de manera coordinada y se encuentra contenida en la mayoría de los casos. De acuerdo con el Servicio Nacional de Sanidad, Inocuidad y Calidad Alimentaria (Senasica), en 45 municipios hidalguenses se reporta presencia del gusano barrenador. En el último corte al 24 de abril, se mantienen 87 casos activos en 31 demarcaciones y La Misión concentra la mayor cantidad con 20 registros. En entrevista, el funcionario precisó que, aunque la afectación se ha extendido territorialmente, no se debe a falta de atención, pues aseguró que han implementado campañas de información y apoyos. Detalló que en la entidad se tienen alrededor de 340 casos confirmados, de los cuales el 67 por ciento han sido contenidos, lo que refleja una respuesta oportuna por parte de las autoridades sanitarias y del sector productivo, dijo.</t>
  </si>
  <si>
    <t>El paciente humano detectado con gusano barrenador en el Estado de Hidalgo ya fue dado de alta. En días anteriores se confirmó el caso, que se presentó en el municipio de Tenango de Doria, ubicado en el Sierra Otomí Tepehua.</t>
  </si>
  <si>
    <t>Anoche un sujeto arribó al hospital Regional de Apan con al menos 7 impactos de bala, para horas más tarde perder la vida. De manera extraoficial se dio a conocer que este incidente fue por un conflicto de tierras ejidales y hasta el momento no hay detenidos.</t>
  </si>
  <si>
    <t>Homicidios</t>
  </si>
  <si>
    <t>Autoridades de nivel central de #IMSSBienestar y el subsecretario de Salud, Eduardo Clark, realizaron una supervisión directa en el Centro de Salud de Tenango de Doria para revisar la operación de la unidad y el abasto de medicamentos. Se reviso el estatus de medicamentos, clave por clave, y se escuchó a pacientes y familiares. Se trabaja en las claves donde se han presentado incidencias con el proveedor; sin embargo, estos medicamentos cuentan con alternativas terapéuticas disponibles.</t>
  </si>
  <si>
    <t>IMSS Bienestar</t>
  </si>
  <si>
    <t>Daniel Martínez señala que continúa la molestia por parte de habitantes de la zona de La Minera, La Morena y Polanco pues no tienen señal telefónica a causa de los bloqueadores de señal que ponen las autoridades para inhibir la salida de llamadas desde el Cereso.</t>
  </si>
  <si>
    <t>Tras las intensas lluvias que afectaron la entidad por el paso de la vaguada monzónica, en Hidalgo se detectaron diversas fallas geológicas de las cuales ocho han sido atendidas por la Secretaría de Infraestructura, Comunicaciones y Transportes (SICT). Lo anterior fue dado a conocer por el delegado de la SICT en Hidalgo, Pablo Octavio Olvera Sánchez, durante la conferencia mañanera. El funcionario federal detalló que las fallas geológicas se encuentran en la carretera Pachuca-Huejutla, y fueron descubiertas o encontradas después de la vaguada monzónica. Enfatizó que hasta el momento han atendido un total de ocho fallas geológicas, una de ellas de importancia.</t>
  </si>
  <si>
    <t>Infraestructura, bienestar y desarrollo económico: ejes de la recuperación en Hidalgo tras la vaguada monzónica</t>
  </si>
  <si>
    <t>El Polo de Desarrollo Económico para el Bienestar (Podecobi) situado en 910 hectáreas del municipio de Zapotlán de Juárez se llevará a cabo mediante un fideicomiso que administrará Nacional Financiera (Nafin). Así lo informó Carlos Henkel Escorza, secretario de Desarrollo Económico (Sedeco) en Hidalgo, quien agregó que hasta el momento hay tres desarrolladores nacionales que manifestaron su interés de intervenir. La selección del desarrollador se llevará a cabo en mayo por un comité interinstitucional conformado por autoridades estatales. Asimismo, el Gobierno de México emitirá una opinión porque otorgó el decreto de creación de este Podecobi. La primera fase contempla el 16% del predio, es decir, 150 hectáreas para urbanizar e instalar agua, drenaje, alcantarillado, plantas de tratamiento, accesos y energía eléctrica, así como un parque fotovoltaico para los primeros inversionistas. El fiduciario (o administrador) será Nafin, es decir, donde se depositarán los recursos. Asimismo, participará el gobierno de Hidalgo porque aportó el terreno, también intervendrá el desarrollador quien aportará el recurso para la construcción.</t>
  </si>
  <si>
    <t>Polos del Bienestar</t>
  </si>
  <si>
    <t>Protección Civil pide a la población tomar sus precauciones ante al ola de calor que atravesará el estado. Se recomienda mantenerse hidratados y evitar exponerse a los rayos del sol entre las 10 de la mañana y las 5 de la tarde.</t>
  </si>
  <si>
    <t>A partir del 27 de abril y hasta el próximo 3 de mayo, se llevará cabo a nivel nacional el registro a la Pensión para el Bienestar de las Personas Adultas Mayores de 65 años o más y a Pensión Mujeres Bienestar dirigido a mexicanas de 60 a 64 años de edad. Lo anterior fue informado por Ariadna Montiel Reyes, titular de la Secretaría del Bienestar del Gobierno Federal, señalando que todos los trámites se realizan de forma gratuita. “Los Programas de Bienestar son derechos ganados por el pueblo que contribuyeron a que 13.5 millones de personas salieran de la pobreza”, puntualizó la funcionaria.</t>
  </si>
  <si>
    <t>Programas Del Bienestar</t>
  </si>
  <si>
    <t>La Procuraduría de Protección de Niñas, Niños y Adolescentes de Hidalgo participó en la 16ª Conferencia Nacional de Procuradurías de Protección, organizada por el Sistema Nacional para el Desarrollo Integral de la Familia (SNDIF), efectuada en Morelos del 22 al 24 de abril, donde se reunieron representantes de las 32 entidades federativas. La conferencia se consolida como el principal espacio a nivel nacional para colocar al centro la protección y el interés superior de la niñez, afirmó la titular del SNDIF, María del Rocío García Pérez. El encuentro congregó a cerca de 2 mil participantes y se desarrolló durante tres días de trabajo, con el propósito de fortalecer la coordinación interinstitucional y avanzar en la consolidación de una política de Estado en favor de niñas, niños y adolescentes (NNA).</t>
  </si>
  <si>
    <t>Andrés Torres recuerda que El Vocero Huasteco está fuera del aire por problemas técnicos de la estación, pero están trabajando en ello.</t>
  </si>
  <si>
    <t>Boletín 1060: Supervisa J. Menchaca obras que modernizan Pachuca</t>
  </si>
  <si>
    <t>La empresa Feria Toro informó que se vio en la necesidad de aplazar la corrida programada para el sábado 9 de mayo en la Plaza de Toros Monumental “Vicente Segura” de Pachuca, debido al contexto actual en torno a la tauromaquia en el estado de Hidalgo. De acuerdo con los organizadores, la decisión responde a un escenario de discusión pública en el que, señalaron, se busca imponer un punto de vista único sin reconocer que esta práctica cuenta con amplio respaldo social en la entidad, al ser considerada parte de su cultura, tradiciones y del ejercicio de libertades. Indicaron que, de manera paralela, existe una intención legislativa para declarar la tauromaquia como patrimonio cultural del estado dentro de la Ley de Cultura y Derechos Culturales de Hidalgo, lo que —afirmaron— refleja su arraigo e importancia en la vida social, económica y cultural.</t>
  </si>
  <si>
    <t>La agrupación Fandango Musical, cuyos integrantes fueron despojados de su equipo de audio, un automóvil y retenidos el fin de semana en la localidad de Aquetzpalco, municipio de Huautla, Hidalgo, por un supuesto incumplimiento de contrato por lo que les exigían el pago de 250 mil pesos, ya iniciaron su denuncia ante el Ministerio Público.</t>
  </si>
  <si>
    <t>La regidora Danyeli Cázares Ortega, integrante de la Asamblea Municipal de Cuautepec de Hinojosa, acudió el pasado 22 de abril a la Fiscalía Especializada en Delitos Electorales Hidalgo, para denunciar actos de violencia digital hacia su bebé recién nacido y hacia ella. La asambleísta municipal denunció también dichas agresiones durante la octava sesión ordinaria del cuerpo edilicio, llevada a cabo hace unos días. Incluso señaló que existen indicios de que los ataques provienen de un familiar de uno de los integrantes del Ayuntamiento, sin especificar nombre alguno. ”De ser así estaríamos frente a un escenario sumamente delicado que no solo involucra lo personal, sino también pone en entredicho la ética y la responsabilidad pública”, señaló la integrante del Partido Verde Ecologista de México dentro del cuerpo edilicio.</t>
  </si>
  <si>
    <t>Violencia digital</t>
  </si>
  <si>
    <t>De febrero a marzo, en Hidalgo, las denuncias por violencia familiar aumentaron en un 28.37 por ciento, al pasar de 571 a 733, según cifras del Secretariado Ejecutivo del Sistema de Seguridad Pública de Hidalgo. En enero, el año inició con 592 denuncias; en febrero descendieron a 571 y en marzo repuntaron. Con ello, el total del primer trimestre de 2026 fue de mil 896 casos. En tanto, en 2025, durante el primer trimestre se registraron mil 428 denuncias. En comparación con este año, se observa un incremento del 32.77 por ciento; sin embargo, en el desglose mensual se reportaron 128 casos en enero, 609 en febrero y 691 en marzo. Las llamadas de emergencia relacionadas con incidentes de violencia familiar sumaron 695 en estos tres meses, de acuerdo con el informe de violencia contra la mujer. Por su parte, los incidentes relacionados con violencia de pareja alcanzaron 941 en el mismo periodo; no todos derivan en una denuncia, según los datos del informe que se presenta los días 25 de cada mes.</t>
  </si>
  <si>
    <t>Violencia familiar</t>
  </si>
  <si>
    <t>Hasta la fecha, la Fiscalía Especializada en Delitos Electorales (FEDE) de Hidalgo registra 20 denuncias de violencia política en razón de género en funcionarias que asumieron algún cargo, la mayoría es contra presidentas municipales, informó la titular Diana Jeaneth Rodríguez López. La funcionaria estatal mencionó que ya trabajan en los protocolos de atención a ese delito de cara al proceso electoral federal y local del 2027, lo cual dijo, implica un gran reto principalmente porque la mayoría de casos se presenta por redes sociales. Rodríguez López recordó que durante el proceso electoral pasado 2023-2024, se registraron 60 casos de violencia política en razón de género, de los cuales el 35 por ciento fue vía redes sociales, y la principal dificultad fue el anonimato o la restricción del perfil.</t>
  </si>
  <si>
    <t>Violencia Política De Género</t>
  </si>
  <si>
    <t>La Secretaría de Bienestar e Inclusión Social (Sebiso) implementará una estrategia territorial intensiva para acercar los programas sociales a las comunidades más alejadas y con mayores condiciones de marginación. Este esfuerzo responde a la instrucción del gobernador Julio Menchaca de atender de manera directa a la población, priorizando su bienestar, salud y condiciones de vida, especialmente en las zonas más vulnerables. El operativo se llevará a cabo del 28 al 30 de abril, con la instalación de mesas de atención en 25 municipios que abarcarán 57 localidades, principalmente en las regiones Otomí-Tepehua, Huasteca, Sierra Alta y Sierra Gorda, donde históricamente la atención ha sido menor debido a la lejanía y a la falta de infraestructura. Como parte de esta estrategia, brigadas conformadas por las y los servidores del pueblo y personal de la Sebiso realizarán recorridos por carretera y trayectos a pie, con el objetivo de estar directamente a las comunidades donde los apoyos no siempre han llegado.</t>
  </si>
  <si>
    <t>En gira de trabajo por el municipio de Tecozautla, el secretario de Educación Pública de Hidalgo, Natividad Castrejón Valdez, entregó infraestructura y equipamiento educativo con una inversión superior a los 4 millones de pesos, en beneficio de 14 escuelas de educación básica y una institución de nivel medio superior. En la telesecundaria 306 de la comunidad de Tzidejhe, inauguró un módulo de sanitarios, la rehabilitación y ampliación de la dirección, así como la construcción de una cisterna y fosa séptica, obras que representaron una inversión de más de 1.7 millones de pesos. Asimismo, se dotó de equipamiento a 13 planteles, entre ellos un Centro de Atención Múltiple, jardines de niños, primarias, secundarias y telesecundarias. Los apoyos incluyeron mobiliario escolar y de oficina, proyectores, pantallas, computadoras, impresoras y reguladores, con una inversión de 1.2 millones de pesos. Durante el recorrido, el secretario destacó que el gobernador Julio Menchaca Salazar mantiene un compromiso firme con la Nueva Escuela Mexicana, al impulsar mejores condiciones de infraestructura para el desarrollo integral de las y los estudiantes. “El gobierno trabaja para que las y los estudiantes cuenten con libros, uniformes y apoyos que les permitan continuar su formación.”, afirmó.</t>
  </si>
  <si>
    <t>Tras reclamos por parte de habitantes de la Sierra Otomí Tepehua, este lunes se pusieron en marcha cinco Rutas de la Salud, una estrategia que llevará medicamentos e insumos médicos a distintas regiones de Hidalgo. Por medio de un comunicado de prensa, se señala que el Gobernador Julio Menchaca Salazar encargó el inicio del reparto “como respuesta a las necesidades de la población y por instrucción de la presidenta de México, Claudia Sheinbaum Pardo”. El pasado fin de semana, habitantes de los municipios de Tenango de Doria y San Bartolo Tutotepec reclamaron la falta de suficientes medicamentos en unidades de atención médica ubicadas en la región. Sheinbaum contestó que “eso no puede ser” y explicó que el gobierno federal implementó el programa Rutas de la Salud, con el objetivo de abastecer medicamentos en todo el país especialmente en las comunidades más alejadas</t>
  </si>
  <si>
    <t>Ruta de la Salud</t>
  </si>
  <si>
    <t>En gira de trabajo por el municipio de Tecozautla, el secretario de Educación Pública de Hidalgo, Natividad Castrejón Valdez, entregó infraestructura y equipamiento educativo con una inversión superior a los 4 millones de pesos, en beneficio de 14 escuelas de educación básica y una institución de nivel medio superior. En la telesecundaria 306 de la comunidad de Tzidejhe, inauguró un módulo de sanitarios, la rehabilitación y ampliación de la dirección, así como la construcción de una cisterna y fosa séptica, obras que representaron una inversión de más de 1.7 millones de pesos. Asimismo, se dotó de equipamiento a 13 planteles, entre ellos un Centro de Atención Múltiple, jardines de niños, primarias, secundarias y telesecundarias. Los apoyos incluyeron mobiliario escolar y de oficina, proyectores, pantallas, computadoras, impresoras y reguladores, con una inversión de 1.2 millones de pesos. Durante el recorrido, el secretario destacó que el gobernador Julio Menchaca Salazar mantiene un compromiso firme con la Nueva Escuela Mexicana, al impulsar mejores condiciones de infraestructura para el desarrollo integral de las y los estudiantes.</t>
  </si>
  <si>
    <t>Vacunación</t>
  </si>
  <si>
    <t>Entrevista Jorge Hernández Araus, presidente municipal de Cuautepec - Habló sobre la apertura de la carretera Cuautepec-Tulancingo, explicó que dicha apertura no es una inauguración, es solamente la apertura al paso para las y los Cuautepequenses, si bien el tramo la ya está terminado, aún faltan detalles como balizamiento, colocación de señalamientos, peor que, por el momento mejorará la vialidad. Sin embargo, dijo, no se descarta una tercera etapa para concluir en su totalidad esta carretera.</t>
  </si>
  <si>
    <t>El cuerpo sin vida de una mujer fue localizado en el canal Alto Requena, en el municipio de Francisco I. Madero, hecho que activó la intervención de distintas corporaciones de seguridad y derivó en el inicio de una investigación bajo el protocolo de feminicidio. De acuerdo con los primeros reportes, el hallazgo ocurrió la tarde del martes 28 de abril, cuando se recibió una alerta sobre la presencia de una persona flotando en dicho canal, a la altura del Ejido Francisco Villa. Tras el reporte, elementos de seguridad y cuerpos de emergencia se trasladaron al lugar para verificar la situación. Al arribar, confirmaron que se trataba del cuerpo de una mujer, el cual se encontraba en estado de descomposición. Además, presentaba visibles signos de violencia, entre ellos huellas de tortura, así como las manos atadas hacia la espalda. En cuanto a sus características, se informó que vestía una sudadera y pantalón deportivo en color gris. Personal de Protección Civil realizó las maniobras necesarias para recuperar el cuerpo del canal, mientras que la zona fue acordonada por elementos de seguridad con el fin de resguardar la escena y permitir el desarrollo de las diligencias correspondientes. Estas acciones forman parte de los protocolos establecidos para preservar indicios que puedan contribuir al esclarecimiento del caso. Posteriormente, se dio aviso a la Procuraduría General de Justicia del Estado de Hidalgo (PGJEH), instancia que tomó conocimiento de los hechos y quedó a cargo de las investigaciones. De manera preliminar, la carpeta fue iniciada bajo el protocolo de feminicidio, lo que implica la aplicación de procedimientos especializados para determinar si la muerte estuvo relacionada con violencia de género. Hasta el momento, la víctima no ha sido identificada oficialmente y permanece en calidad de desconocida. No obstante, de forma extraoficial ha trascendido que existe una ficha de búsqueda activa de una mujer originaria del mismo municipio, por lo que no se descarta que pudiera tratarse de la misma persona. Esta información deberá ser confirmada mediante estudios periciales y procesos de identificación que realicen las autoridades competentes. El caso se mantiene bajo investigación, mientras las autoridades continúan con la recopilación de pruebas y el análisis de los indicios recabados en el lugar. Será a través de estas diligencias que se podrá esclarecer lo ocurrido y avanzar en la identificación de la víctima, así como en la posible localización de quienes resulten responsables.</t>
  </si>
  <si>
    <t>Feminicidio</t>
  </si>
  <si>
    <t>El mapa nacional muestra que el robo de autopartes es un delito altamente focalizado. Ciudad de México, Estado de México y Puebla concentran el 76 por ciento de denuncias en el sexenio. Hidalgo se mantiene en un nivel bajo, pero en el mismo corredor. Hidalgo colinda con las tres entidades que encabezan el delito. Esa posición lo convierte en zona de tránsito, posible punto de almacenamiento o mercado secundario. El patrón coincide con la lógica de otros delitos patrimoniales: concentración en áreas metropolitanas y expansión hacia regiones conectadas por carretera. El análisis por volumen coloca a Hidalgo en la parte media-baja del ranking. Se ubica lejos de los estados con mayor incidencia, pero encima de entidades donde el delito es prácticamente inexistente. La evolución nacional ayuda a dimensionar el fenómeno. En 2015 se registraron poco más de 10 mil robos de autopartes. Para 2023 la cifra alcanzó su máximo con 23 mil 738 denuncias. En 2024 y 2025 se observa una reducción, con 21 mil 150 y 18 mil 907 casos.</t>
  </si>
  <si>
    <t>Combate a la delincuencia</t>
  </si>
  <si>
    <t>Derivado del robo de autopartes en Hidalgo se han presentado 108 denuncias en los últimos 2 años en contraste en solo dos operativos realizados en Actopan y Cuautepec de Hinojosa las autoridades recuperaron más de 60 piezas en diversas bodegas, de acuerdo con reportes del gabinete de seguridad, lo que habla, por un lado, de la gravedad del problema y la alta cifra negra que existe en torno a este ilícito. Un análisis realizado con datos de un reporte emitido por la consultora TResearch International, la cifra de denuncias representa menos del uno por ciento a nivel nacional. Si se incorpora la cifra negra, estimada en 92 por ciento, de acuerdo con información de la Encuesta Nacional de Victimización y Percepción de la Seguridad realizada por el Inegi, el escenario cambia pues las 108 denuncias equivalen apenas al 8 por ciento de los casos reales. Bajo ese ajuste, el volumen estimado asciende a mil 350 robos de autopartes en el mismo periodo. El diferencial entre lo denunciado y lo ocurrido revela un fenómeno más amplio que el de registros oficiales. Basados solo en las denuncias en apariencia el comportamiento del delito en Hidalgo no es explosivo, pero sí constante, ya que no aparece entre las entidades con mayor incidencia ni por volumen ni por tasa poblacional, aunque en el ranking nacional se ubica a media tabla en la posición 14. En cuanto a acciones realizadas por las autoridades locales el escenario cambia, pues en solo una semana dos bodegas utilizadas para desarmar vehículos robados fueron desmanteladas en Actopan como resultado de operativos del gabinete de seguridad, con saldo de siete detenidos, más de 60 mil autopartes recuperadas y siete vehículos asegurados. En paralelo, en la colonia Francisco Villa de Cuautepec de Hinojosa, un operativo encabezado por la Secretaría de Seguridad Pública derivó en la detención de dos hombres, así como en el aseguramiento de 120 piezas de autopartes, 758 dosis de presunta droga y siete vehículos, varios con irregularidades y reporte de robo. Las acciones se sustentaron en trabajos de inteligencia y recorridos operativos que permitieron ubicar cuatro inmuebles presuntamente vinculados con actividades delictivas, donde participaron elementos estatales en coordinación con la Procuraduría estatal y fuerzas federales. Durante las diligencias, dos de los predios fueron identificados como posibles puntos de distribución de narcóticos, mientras que en los otros se localizaron indicios relacionados con el desmantelamiento de unidades y autopartes. Asimismo, en uno de los inmuebles se aseguraron dos camionetas con alrededor de 120 piezas y componentes automotrices de origen presuntamente ilícito, mientras que en otro predio fue localizada una camioneta con reporte de robo que contenía tambos de 200 litros, considerados relevantes para la investigación. También se incautaron 725 dosis de sustancias con características de marihuana y presunto cristal, que se encontraban listas para su distribución, reforzando la hipótesis de actividades de narcomenudeo en la zona. Los detenidos, junto con los vehículos, la droga y los objetos asegurados, fueron puestos a disposición del Ministerio Público, que definirá su situación jurídica mientras continúan las indagatorias sobre la estructura y operación de la red detectada.</t>
  </si>
  <si>
    <t>Tras varias horas de labores, esta tarde bomberos de Protección Civil de Progreso de Obregón, controlaron un incendio que consumió 14 hectáreas de terreno, el cual se presume pudo haber sido provocado intencionalmente. De acuerdo con el reporte oficial, el siniestro requirió un trabajo constante para controlar y extinguir el fuego, así como la localización de puntos que aún presentaban calor activo. Posteriormente, se realizaron maniobras de enfriamiento en las zonas afectadas con el objetivo de garantizar que el incendio quedara completamente controlado y evitar su reactivación. Las autoridades señalaron que, de manera preliminar, se presume que el incendio pudo haber sido iniciado de forma intencional, por lo que reiteraron el llamado a la ciudadanía a actuar con responsabilidad y evitar prácticas que puedan provocar este tipo de emergencias.</t>
  </si>
  <si>
    <t>Control de incendios</t>
  </si>
  <si>
    <t>Habitantes de diversos municipios de la región Tula-Tepeji, reportaron durante los últimos días y horas un intenso olor a combustible, situación que generó inquietud entre la población y movilizó a corporaciones de emergencia. Los reportes ciudadanos se concentraron principalmente en Tlahuelilpan, Ajacuba, Tetepango y Mixquiahuala, donde autoridades estatales y municipales iniciaron recorridos de supervisión para ubicar el origen del aroma. Por su cuenta, la Subsecretaría de Protección Civil y Gestión de Riesgos de Hidalgo informó que, tras las primeras inspecciones, no se localizaron indicios de fuga de hidrocarburos ni condiciones que representen peligro inmediato para los habitantes, pese a ello se mantienen monitoreos. En las labores también participa personal especializado de Pemex, que revisa posibles puntos vinculados con ductos e infraestructura energética de la región. Pese a no encontrar una fuente confirmada, las acciones de vigilancia continúan de manera coordinada para descartar cualquier riesgo y esclarecer lo ocurrido.</t>
  </si>
  <si>
    <t>Boletín: La Subsecretaría de Protección Civil y Gestión de Riesgos informa a la población que continúa la onda de calor, por lo que se prevén, de lunes a jueves, temperaturas de 40 a 45 °C, principalmente en la región norte y noreste del estado. Para el viernes, se estiman temperaturas superiores a los 45 °C.</t>
  </si>
  <si>
    <t>Boletín 35: Pobladores del Valle del Mezquital exponen proyectos de desarrollo para la región</t>
  </si>
  <si>
    <t>Planeación participativa</t>
  </si>
  <si>
    <t>En sesión de la Comisión Inspectora de la Auditoría Superior, el Congreso del Estado Libre y Soberano de Hidalgo recibió la Cuenta Pública del Municipio de Pachuca de Soto 2025, con fundamento en la Ley de Fiscalización Superior y Rendición de Cuentas de la entidad. El diputado Andrés Velázquez Vázquez, presidente de la Junta de Gobierno y de la comisión, reconoció la labor del edil de Pachuca al liberar del ambulantaje a una de las plazas más antiguas del país y por embellecer la ciudad, “la entrega de la cuenta pública trata precisamente de esto, de qué se ha hecho con las inversiones”.</t>
  </si>
  <si>
    <t>Cuenta Pública</t>
  </si>
  <si>
    <t>El Congreso de Hidalgo aprobó una prórroga de 10 días hábiles a la Comisión de Legislación y Puntos Constitucionales para analizar la iniciativa que busca prohibir las corridas de toros, tras una excitativa que venció el 28 de abril de 2026.</t>
  </si>
  <si>
    <t>Boletín 1644: Fortalece SEPH escuelas de Tecozautla con inversión superior a 4 mdp</t>
  </si>
  <si>
    <t>Como parte de las acciones para fomentar la participación de la gente y evitar posibles actos de corrupción, se instalaron 88 buzones fijos en distintos puntos de todos los municipios del estado. Así lo informó el contralor Álvaro Bardales, quien explicó que estos buzones servirán para que la ciudadanía pueda dejar quejas, sugerencias o denuncias relacionadas con obras, servicios o acciones de gobierno. Detalló que los buzones están ubicados en las presidencias municipales de los 84 municipios, lo que permite que más personas tengan acceso a este mecanismo de manera sencilla. El funcionario señaló que con esta medida se busca que la población pueda expresar sus inquietudes directamente y contribuir a vigilar cómo se utilizan los recursos públicos. Con ello, se pretende fortalecer la transparencia y asegurar que los programas y apoyos realmente beneficien a la ciudadanía.</t>
  </si>
  <si>
    <t>Contraloría</t>
  </si>
  <si>
    <t>Contraloría Social</t>
  </si>
  <si>
    <t>Boletín 723: Policía Estatal asegura a implicados en robos a casa habitación en zona metropolitana</t>
  </si>
  <si>
    <t>Boletín 722: “Ciudad Policía” acerca la cultura de la prevención a juventudes de Actopan</t>
  </si>
  <si>
    <t>Columna a media semana - Cuentan que quien se llevó un gran susto durante la visita de la presidente Claudia Sheinbaum al municipio de Singuilucan, es la senadora Sandra Simey Olvera; Y es que según testimonios y un video que circula ampliamente en Internet, por cuestiones logísticas o un error, estuvo a punto de quedarse afuera del primer círculo y quedó grabado el cómo buscaba brincarse las vallas y hacía señas a lo lejos para llamar la atención… y la llamó, así que la dejaron pasar. Pero no tiene de qué preocuparse, así también andaba quedando fuera su homólogo Cuauhtémoc Ochoa, nada más que él sí tuvo un lugar estratégico, como en el evento que el ministro Hugo Aguilar y la SCJN tuvieron en Pachuca.</t>
  </si>
  <si>
    <t>Aspirantes</t>
  </si>
  <si>
    <t>Impericia</t>
  </si>
  <si>
    <t>Sucesión gubernamental</t>
  </si>
  <si>
    <t>Joel Sánchez</t>
  </si>
  <si>
    <t>Columna a media semana - Egresados de la Universidad Interamericana para el Desarrollo, han expresado su preocupación por que en el campus Pachuca, se agrava un problema ya común en la UNID en diversas regiones del país, que es el atraso o incumplimiento en los trámites de titulación; hay ex-alumnos que culminaron sus estudios desde el 2024, que han pagado su título y no ven para cuando recibir su documento y cédula, lo que frena su vida profesional y la continuidad de su formación. Afirman que el rector en Pachuca, Sergio Arturo Hernández Echagaray, ni les da solución, ni fija una postura al respecto, por lo que han empezado a acudir a los medios de comunicación.</t>
  </si>
  <si>
    <t>Titulación</t>
  </si>
  <si>
    <t>El alcalde Jorge Alberto Reyes realizó la entrega formal de la Cuenta Pública Municipal 2025 ante el Congreso del Estado de Hidalgo, en cumplimiento con los principios de legalidad, transparencia y rendición de cuentas que rigen el ejercicio público. Durante este acto, el presidente municipal destacó que la administración que encabeza se ha conducido con responsabilidad en el manejo de los recursos públicos, privilegiando la claridad en su aplicación y el beneficio directo para la población. "En esta administración nos hemos caracterizado por trabajar con total transparencia en la aplicación de los recursos públicos. La ciudadanía tiene derecho a saber en qué se invierte cada peso y cómo se destinan sus impuestos en beneficio de Pachuca”, expresó.</t>
  </si>
  <si>
    <t>Columna a media semana - Mientras en algunas dependencias pregonan el humanismo como parte de su discurso cotidiano, en el corazón de la huasteca hidalguense, el gobierno de Huejutla de Reyes y el sistema DIF municipal, dieron una muestra de lo que es una verdadera política humanista, luego de que se realizara la entrega de 32 prótesis de última generación y dos órtesis a 29 personas con discapacidad, a quienes de esta manera se les garantiza una mejor calidad de vida, mayor inclusión y se les da una nueva oportunidad de desarrollo; niños y adultos fueron beneficiados gracias a la gestión de recursos a través del voluntariado, la sociedad civil y el acompañamiento institucional. Adicionalmente se han entregado cientos de sillas de ruedas, andaderas, aparatos auditivos y ayudas funcionales; es humanismo de hechos, no de palabras.</t>
  </si>
  <si>
    <t>Un automovilista fue detenido en Tulancingo tras una persecución que comenzó en Cuautepec; durante la intervención, un video captó lo que sería una presunta agresión por parte de policías, ya que el hombre arrestado fue golpeado cuando se encontraba dentro de la patrulla. Los hechos iniciaron en la colonia El Banco, donde elementos de Cuautepec marcaron el alto al conductor; al no detenerse, los policías continuaron el seguimiento hasta la calle Antonio Castro, en la colonia El Paraíso, ya en territorio de Tulancingo, donde finalmente realizaron la detención. El material difundido capta un momento clave; ya dentro de la patrulla, uno de los policías golpea al detenido, lo que ha sido señalado como una posible agresión. En la misma escena, se observa a un mando intentando apartar a una persona que buscaba intervenir de una forma agresiva y encarando al defensor; la situación generó tensión entre quienes presenciaban los hechos.</t>
  </si>
  <si>
    <t>La tarde de este martes se registró un aparatoso accidente sobre el libramiento de la autopista México–Tuxpan, en el tramo Pitula–San Alejo, a la altura del kilómetro 86+500, en la zona de Huajomulco, municipio de Tulancingo. De acuerdo con los primeros reportes, una camioneta Ford Lobo F-150 negra se impactó contra la caja seca de un semirremolque de un tráiler. De manera preliminar, se informó que una persona perdió la vida en el lugar, se trata de Rolando Pontaza, quien se desempeñaba como director de Protección Civil y Bomberos del municipio de Singuilucan. Más tarde, el ayuntamiento emitió sus condolencias a familiares, así mismo, reconoció su destacada labor.</t>
  </si>
  <si>
    <t>Deceso de funcionario</t>
  </si>
  <si>
    <t>Columna a media semana - A punto de culminarse las obras -por fin- en las inmediaciones de la plaza Pedro María Anaya, donde se encuentra la presidencia municipal de Pachuca, se empieza a generar una polémica, por la irreflexiva decisión de la Secretaría de Infraestructura Pública y Desarrollo Urbano Sostenible, de colocar una serie de postes y alumbrado público en torno a la Casa Rule, sin cuidar el contexto y la imagen del histórico edificio; se le atribuye el yerro al subsecretario de Infraestructura estatal Raúl Lozano Cano; el mismo que en algunos puntos de la ciudad autorizó sustituir áreas verdes por adoquines, privilegiando el negocio y olvidándose de lo importante.</t>
  </si>
  <si>
    <t>El Parque Cultural Hidalguense celebra su primer aniversario (inaugurado en mayo 2025) con un mes de actividades deportivas gratuitas, incluyendo torneos de fútbol, básquetbol, voleibol y ajedrez. Las inscripciones están abiertas del 29 de abril al 1 de mayo de 2026, ofreciendo a la comunidad familiar una amplia gama de opciones para fomentar la salud y el deporte en la zona plateada de Pachuca</t>
  </si>
  <si>
    <t>Parque Cultural Hidalguense</t>
  </si>
  <si>
    <t>Boletín 724: La Secretaría de Seguridad Pública de Hidalgo (SSPH) informa lo siguiente: Derivado de labores preventivas y de combate al delito en el municipio de Apan, elementos del Mando Coordinado intervinieron una camioneta que transportaba contenedores con gasolina. Al notar la presencia policial, adoptó una actitud evasiva, por lo que se solicitó el apoyo inmediato de elementos estatales, quienes desplegaron un operativo que derivó en una persecución en el camino viejo a la localidad de San Juan Ixtilmaco. Durante la huida, la unidad involucrada sufrió un percance que provocó su incendio, hecho en el que una persona perdió la vida. Cuerpos de seguridad lograron sofocar el fuego y mantienen presencia operativa en la zona para salvaguardar la integridad de la población, así como para brindar apoyo a las diligencias correspondientes.</t>
  </si>
  <si>
    <t>Combate Al Huachicol</t>
  </si>
  <si>
    <t>El secretario de Gobierno, Guillermo Olivares encabezará un mes de trabajo interestatal con la concesionaria “Arco Norte”, dicha reunión se tiene prevista a las 10:45 horas en las oficinas centrales de la autopista Arco Norte.</t>
  </si>
  <si>
    <t>Coordinación interestatal</t>
  </si>
  <si>
    <t>Boletín 34: Amplió Gobierno de Hidalgo inversión para desarrollar investigaciones</t>
  </si>
  <si>
    <t>Becas De Posgrado</t>
  </si>
  <si>
    <t>Boletín 53: Hidalgo fortalece su proyección turística en la 50 edición del Tianguis Turístico México 2026</t>
  </si>
  <si>
    <t>Turismo</t>
  </si>
  <si>
    <t>Tianguis turístico</t>
  </si>
  <si>
    <t>Boletín 110: Acercan servicios médicos a San José Boxay, con Jornadas de la Salud</t>
  </si>
  <si>
    <t>Jornada de salud</t>
  </si>
  <si>
    <t>Boletín: Concluyen con éxito trabajos de modernización de la infraestructura hidráulica</t>
  </si>
  <si>
    <t>Infraestructura Hidráulica</t>
  </si>
  <si>
    <t>Boletín 46: En Pachuca, avanza la actualización del Programa Sectorial de la Segobh</t>
  </si>
  <si>
    <t>Actualización de programa sectorial</t>
  </si>
  <si>
    <t>El Bulevar Felipe Ángeles se encuentra cerrado a la altura de la unidad deportiva, debido a que están colocando bolardos.</t>
  </si>
  <si>
    <t>Carril confinado</t>
  </si>
  <si>
    <t>Andrés Torres informa que se quemó el transformador y no tienen electricidad, por lo que la señal del 1010 AM de El Vocero Huasteco está fuera del aire, pero sí se escuchan en 92.7 FM. Se está trabajando para resolver la situación.</t>
  </si>
  <si>
    <t>Rolando Pontasa, titular de Seguridad Pública de Singuilucan, muere en un accidente vial.</t>
  </si>
  <si>
    <t>Una persecución policial en el municipio de Apan concluyó con el incendio de una camioneta que transportaba contenedores con gasolina, dejando como saldo una persona sin vida. De acuerdo con la Secretaría de Seguridad Pública de Hidalgo (SSPH), el hecho se originó cuando elementos del Mando Coordinado detectaron una unidad sospechosa que adoptó una actitud evasiva, lo que derivó en un operativo y persecución sobre el camino viejo hacia la localidad de San Juan Ixtilmaco. Durante la huida, la camioneta sufrió un percance que provocó su incendio. Tras el siniestro, cuerpos de seguridad acudieron al sitio, lograron sofocar el fuego y confirmaron el fallecimiento de una persona.</t>
  </si>
  <si>
    <t>Combate al huachicol</t>
  </si>
  <si>
    <t>Ayer se presentó un bloqueo en la carretera México- Laredo en Ixmiquilpan a la altura de La Reforma por un grupo de personas que se manifestaron al frente de las oficinas de la PGJEH, el MP, esto debido a que hace unos días se presentó un robo a un comercio y se les negó la grabación de las cámaras de seguridad por parte del ayuntamiento. Los vecinos del lugar están hartos de los robos a vehículos, comercios y casas. Hoy podrían volver a bloquear la carretera.</t>
  </si>
  <si>
    <t>Inseguridad</t>
  </si>
  <si>
    <t>El alcalde Jorge Reyes realizó la entrega formal de la Cuenta Pública Municipal 2025 ante el Congreso del Estado de Hidalgo, en cumplimiento con los principios de legalidad, transparencia y rendición de cuentas que rigen el ejercicio público. Durante este acto, el presidente municipal destacó que la administración que encabeza se ha conducido con responsabilidad en el manejo de los recursos públicos, privilegiando la claridad en su aplicación y el beneficio directo para la población. “En esta administración nos hemos caracterizado por trabajar con total transparencia en la aplicación de los recursos públicos. La ciudadanía tiene derecho a saber en qué se invierte cada peso y cómo se destinan sus impuestos en beneficio de Pachuca”, expresó.</t>
  </si>
  <si>
    <t>Boletín 34: Amplió Gobierno de Hidalgo inversión para desarrollar investigaciones.</t>
  </si>
  <si>
    <t>Andrés Torres comenta que él puede hablar del alcalde Ixmiquilpan porque hay una orden.</t>
  </si>
  <si>
    <t>Golpeteo político</t>
  </si>
  <si>
    <t>Andrés Torres en respuesta a un radioescucha reitera que ayer vecinos de La Reforma, Ixmiquilpan hartos de la ola de robos, hartos de los robos. " Vayan a Ixmiquilpan, pregunten; no le pregunten al delegado de la Segobh, porque va a decir que no. No le pregunten a la gente de la presidencia municipal porque lo van a negar. Los que conocemos Ixmiquilpan y vamos para allá sabemos que hay un ola de inseguridad. Es sabido que el alcalde Emmanuel Hernández no trabaja, solo anda paseando y de trabajo no se sabe nada. En sus conferencias mañaneras dicen que trabaja, pero lo cierto es que nada más anda promocionándose a ver si no lo multan por actos anticipados de campaña, anda muy adelantado dando entrevistas facilitas. la culpa la tiene el pueblo de Ixmiquilpan por votar por él".</t>
  </si>
  <si>
    <t>Mal Desempeño</t>
  </si>
  <si>
    <t>Boletín 1645: Invierte SEPH más de 5.2 mdp en infraestructura educativa.</t>
  </si>
  <si>
    <t>Boletín 110: Acercan servicios médicos a San José Boxay, con Jornadas de la Salud.</t>
  </si>
  <si>
    <t>En Huichapan localizan una persona sin vida en una estación de servicio ubicada sobre el libramiento municipal, lo que generó la movilización de cuerpos de seguridad y emergencia. Según los reportes iniciales, el hallazgo ocurrió en el área de acceso al establecimiento, lo que provocó que la zona fuera acordonada mientras se llevaban a cabo las diligencias por parte de las autoridades. En el lugar también fue ubicado un vehículo, dentro del cual se encontraban dos menores de edad, quienes fueron puestas bajo resguardo por elementos policiales para salvaguardar su integridad.</t>
  </si>
  <si>
    <t>La tarde de este martes se registró el incendio de un vehículo Mercedes Benz blanco a un costado de la carretera México-Pachuca, en el tramo del municipio de Zapotlán de Juárez. Bomberos controlaron el incendio.</t>
  </si>
  <si>
    <t>En Ixmiquilpan fueron detenidos dos sujetos responsable de un ataque con arma blanca en contra de un oficial de policía. Los detenidos estarían vinculados con diversos actos delictivos cometidos previamente en la región. Las autoridades mantiene las investigaciones.</t>
  </si>
  <si>
    <t>Andrés Torres: Me mandan fotografías de Miguel Tello abrazando al alcalde de Zempoala, Sinuhé Ramírez bacheando. "No veo un trasfondo político en esa foto, estaban chambeando".</t>
  </si>
  <si>
    <t>Bacheo</t>
  </si>
  <si>
    <t>Vía telefónica Milton Cortés informa que vecinos de Pachuca, Zempoala y Mineral de la Reforma están molestos y preocupados por la contaminación de los drenes pluviales con tierra, basura y la falta de mantenimiento preventivo ante las próximas lluvias como en otros años. Señalan que ningún municipio ha hecho labores de recorrido y vigilancia lo que deriva en inundaciones por lo que vecinos hacen recorridos para evitar que los drenes sean bloqueados. No han recibido apoyo de autoridades</t>
  </si>
  <si>
    <t>Desazolve</t>
  </si>
  <si>
    <t>Milton Cortés</t>
  </si>
  <si>
    <t>Ultra Noticias</t>
  </si>
  <si>
    <t>A partir del 30 de abril el Sistema de Protección de Niñas, Niños y Adolescentes en Tulancingo van a poner en marcha un estrategia para poder conocer y atender el trabajo infantil en el municipio iniciando con encuestas a menores que se encuentran trabajando, así como también a comerciantes y población en general. Los datos fueron proporcionados por la Secretaria Ejecutiva de SIPINNA Tulancingo (SIPINNA), Emma San Agustín Lemus, quien explicó que estos datos van a permitir tener un diagnóstico más preciso sobre la situación local con base en los resultados.</t>
  </si>
  <si>
    <t>Trabajo infantil</t>
  </si>
  <si>
    <t>El sistema IMSS Bienestar prevé la entrega en el Estado de Hidalgo de 1.5 millones de piezas de medicamentos a partir de esta semana, de 37 millones de piezas consideradas para entrega en todo el país. Lo anterior fue informado por la dependencia federal, luego de que el pasado fin de semana, durante gira de trabajo de la Presidenta de México, Claudia Sheinbaum Pardo, recibiera reclamo de habitantes de la Sierra Otomí Tepehua sobre la falta de medicamentos. Precisamente en el Hospital Regional Otomí-Tepehua, ubicado en el municipio de San Bartolo Tutotepec, se realizó la entrega de dos mil 976 piezas de medicamentos, para entrega en los casos necesarios para 473 comunidades de dicha región. Alejandro Svarch Pérez, director general del IMSS Bienestar, realizó enlace desde dicha región del Estado de Hidalgo durante la conferencia de prensa presidencial matutina de este martes 28 de abril, para informar sobre los avances en la distribución de medicamentos y la supervisión territorial en regiones de difícil acceso. El funcionario señaló durante el enlace que el objetivo principal es asegurar que los insumos lleguen de manera oportuna y que ningún tratamiento se interrumpa. Sobre el caso específico del Regional Otomí-Tepehua, opera con 476 claves de medicamentos para la atención de la población, contando con 30 camas y seis consultorios.</t>
  </si>
  <si>
    <t>Ayer circuló en redes sociales un video que se viralizó en el que se ve a policías de Cuautepec sometiendo a una persona y siendo golpeada dentro de patrulla. Las autoridades em materia de seguridad pública emitieron un comunicado en el que señalan que la situación derivó en que elementos de Cuautepec marcaron el alto al conductor; al no detenerse, los policías continuaron el seguimiento hasta Tulancingo, donde los elementos policiacos de Cuautepec actuaron bajo los principios de coordinación interinstitucional y solicitaron el apoyo de la policía estatal y de la policía municipal de Tulancingo a fin de fortalecer la intervención y salvaguardar la seguridad de la ciudadanía y finalmente realizaron la detención.</t>
  </si>
  <si>
    <t>Daniel Martínez critica el actuar de los policías de Cuautepec, Tulancingo y el Mando Coordinado al perseguir y detener a un sujeto al que golpearon dentro de la patrulla. Señala que entiende que el sujeto los insultó y opuso resistencia, pero dónde quedaron los protocolos a lo que dice, se debe hacer una revisión. Abría que revisar los mandos coordinados.</t>
  </si>
  <si>
    <t>Mando Coordinado</t>
  </si>
  <si>
    <t>Vía telefónica el reporte de Bombero y Protección Civil con Abner Yáñez informa que se atendieron incendios de pasto seco y basura, entre otras emergencias reportadas por la ciudadanía. Asimismo comenta que atendieron el reporte del accidente donde perdió la vida el director de Protección Civil de Singuilucan.</t>
  </si>
  <si>
    <t>Existe un déficit en el Estado de Hidalgo de personal para el programa “Salud casa por casa”, pues de poco más de 600 profesionales, aún están por cubrirse entre 40 a 45 plazas de personal médico y enfermería. Así lo reconoció Abraham Mendoza Zenteno, delegado en la entidad de Programas del Bienestar del Gobierno Federal, a cuya responsabilidad está la estrategia de visitas médicas a domicilio. Puntualizó que las zonas más alejadas de núcleos urbanos es donde no se han podido cubrir las plazas, pues lo ideal es que el personal contratado viva en la misma zona donde presta sus servicios, para facilitar la cercanía al realizar las visitas médicas. De acuerdo al funcionario, el déficit de personal correspondería a aproximadamente seis por ciento de la cantidad de colaboradores que se requieren para realizar las visitas domiciliarias de atención a beneficiarios. Poco después de un mes de iniciadas las actividades del programa federal, algunos colaboradores señalaron que no les habían pagado, o recibían sus sueldos incompletos.</t>
  </si>
  <si>
    <t>Delegación</t>
  </si>
  <si>
    <t>Déficit De Personal</t>
  </si>
  <si>
    <t>Daniel Martínez derivado de la queja de un radioescucha comenta que en junio va atener un año que vino la presidenta de México al Hospital IMSS Bienestar de Tulancingo e hizo el compromiso de que el tomógrafo ya estaría en funcionamiento en breve. han pasado 10 meses, no funciona el tomógrafo. En este sentido refiere que la falta de este tomógrafo que sí existe, pero no funciona ha afectado a un paciente y su familia que dicen que han gastado mucho dinero en medicamentos y tienen que seguir pagando más porque el director no quiere ocupar el tomógrafo. Daniel Martínez pregunta si se necesita hacer mediático el tema para que mágicamente en 2 días funcione el tomógrafo.</t>
  </si>
  <si>
    <t>Integrantes de Tauromaquia Mexicana en Hidalgo acudieron al Congreso del estado para entregar documentación con la que buscan que se respeten las tradiciones y libertades relacionadas con esta práctica. Durante la actividad participaron voceros del movimiento, junto con Luis Eugenio Gallardo Hernández y Alejandro Espínola, quienes expusieron tres puntos que consideran relevantes para el análisis legislativo. Como parte central de su planteamiento, entregaron más de dos mil firmas ciudadanas recabadas en distintos municipios, las cuales, señalaron, reflejan el respaldo de un sector de la población hacia la tauromaquia y su arraigo en la entidad. También presentaron una solicitud de consulta indígena firmada por Agripino Montiel López, representante de la comunidad de Caxuxi, con base en lo establecido en la Constitución federal y la del estado. Además, hicieron llegar a las y los diputados un ejemplar del libro México es Taurino, con la intención de aportar elementos históricos, sociales y culturales al debate. Esto ocurre en el contexto de una iniciativa que busca prohibir esta actividad, promovida por el legislador del Partido Verde, Avelino Tovar Iglesias, la cual se encuentra en revisión dentro de la Comisión de Legislación y Puntos Constitucionales.</t>
  </si>
  <si>
    <t>La Primera Comisión Permanente de Legislación y Puntos Constitucionales del Congreso de Hidalgo solicitó una prórroga de 20 días hábiles para continuar con el análisis de la iniciativa que plantea prohibir las corridas de toros en la entidad. La solicitud fue presentada por la diputada Lizbeth Iraís Ordaz, presidenta de dicha comisión, con fundamento en el artículo 86 de la Ley Orgánica del Poder Legislativo. “El objetivo de la prórroga es realizar un estudio integral que contemple opiniones técnicas, solicitudes ciudadanas y la organización de foros de consulta para evaluar los impactos directos e indirectos de la propuesta”, expresó la legisladora.</t>
  </si>
  <si>
    <t>Integrantes del grupo Fandango Musical informaron tras haber sido retenidos por habitantes de la localidad de Aquetzpalco, en el municipio de Huautla, luego de no llegar a tiempo a una presentación en la comunidad; interpusieron una denuncia que fue retirada luego de la intervención del Subsecretaría de Gobierno en la Huasteca. Asimismo se les regresó el anticipo, vehículo e instrumentos y se les pidió retractarse de la propaganda negativa generada en plataforma digitales en contra del municipio.</t>
  </si>
  <si>
    <t>Daniel Martínez crica el hecho de que los integrantes del grupo Fandango Musical tengan que pedir disculpas públicas por la presunta mala publicidad que hicieron al denunciar que retenidos por habitantes de la localidad de Aquetzpalco, en el municipio de Huautla, luego de no llegar a tiempo a una presentación en la comunidad.</t>
  </si>
  <si>
    <t>Radioescucha: Alumno de un platel educativo de Tulancingo ha llevado un cuchillo y amedrentado a sus compañeros. La situación se ha comentado a la profesora a cargo y ella a su vez al director, pero no ven avance. Ya se acercaron a la Subdirección General de Educación donde los atendió el profesos Tiburcio, pero hasta ahí está la situación. Daniel Martínez dice omitir el nombre del plantel por protección al menor)</t>
  </si>
  <si>
    <t>Alumno Armado</t>
  </si>
  <si>
    <t>En cabina Enrique Romero Alcantar, secretario de Seguridad Ciudadanía de Tulancingo informa que en el mes de mayo de llevará a cabo la campaña "Retira tu vehículo abandonado sin costo", esto gracias al apoyo del Mando Coordinado que está prestando una grúa para remolcar los vehículos, esto con el objetivo de liberar vialidades de unidades abandonadas. proporciona el teléfono donde su puede solicitar el servicio. Habla de as demás acciones que realizan como la revisión de motociclistas a fin de prevenir delitos y e retiro de objetos en las banquetas.</t>
  </si>
  <si>
    <t>Operativo Rastrillo</t>
  </si>
  <si>
    <t>Boletín 576: Sebiso llevará sus programas a las comunidades más alejadas del estado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</si>
</sst>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83" tableType="queryTable" totalsRowShown="0">
  <autoFilter ref="A1:M183" xr:uid="{717AF3FA-E95C-4D17-A1C9-B8D7CBE34EF0}"/>
  <sortState xmlns:xlrd2="http://schemas.microsoft.com/office/spreadsheetml/2017/richdata2" ref="A2:M183">
    <sortCondition ref="B1:B183"/>
  </sortState>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83"/>
  <sheetViews>
    <sheetView tabSelected="1" topLeftCell="A148" workbookViewId="0">
      <selection activeCell="B183" sqref="B183"/>
    </sheetView>
  </sheetViews>
  <sheetFormatPr baseColWidth="10" defaultRowHeight="15" x14ac:dyDescent="0.25"/>
  <cols>
    <col min="1" max="1" width="10.42578125" bestFit="1" customWidth="1"/>
    <col min="2" max="2" width="11.42578125" bestFit="1" customWidth="1"/>
    <col min="3" max="3" width="27.28515625" bestFit="1" customWidth="1"/>
    <col min="4" max="4" width="35.5703125" bestFit="1" customWidth="1"/>
    <col min="5" max="5" width="81.140625" bestFit="1" customWidth="1"/>
    <col min="6" max="6" width="15.28515625" bestFit="1" customWidth="1"/>
    <col min="7" max="7" width="33.4257812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58</v>
      </c>
      <c r="C1" t="s">
        <v>59</v>
      </c>
      <c r="D1" t="s">
        <v>60</v>
      </c>
      <c r="E1" t="s">
        <v>1</v>
      </c>
      <c r="F1" t="s">
        <v>2</v>
      </c>
      <c r="G1" t="s">
        <v>4</v>
      </c>
      <c r="H1" t="s">
        <v>3</v>
      </c>
      <c r="I1" t="s">
        <v>5</v>
      </c>
      <c r="J1" t="s">
        <v>61</v>
      </c>
      <c r="K1" t="s">
        <v>62</v>
      </c>
      <c r="L1" t="s">
        <v>63</v>
      </c>
      <c r="M1" t="s">
        <v>71</v>
      </c>
    </row>
    <row r="2" spans="1:13" x14ac:dyDescent="0.25">
      <c r="A2" s="1">
        <v>46141</v>
      </c>
      <c r="B2" s="1" t="str">
        <f ca="1">IF(Información1[[#This Row],[Fecha]]='Ajuste de fechas'!$A$2,"Día actual","Día anterior")</f>
        <v>Día actual</v>
      </c>
      <c r="C2" t="s">
        <v>46</v>
      </c>
      <c r="D2" t="s">
        <v>49</v>
      </c>
      <c r="E2" t="s">
        <v>238</v>
      </c>
      <c r="F2" t="s">
        <v>19</v>
      </c>
      <c r="G2" t="s">
        <v>88</v>
      </c>
      <c r="H2" t="s">
        <v>11</v>
      </c>
      <c r="I2" t="s">
        <v>7</v>
      </c>
      <c r="J2" t="s">
        <v>68</v>
      </c>
      <c r="K2" t="s">
        <v>47</v>
      </c>
      <c r="L2" t="s">
        <v>70</v>
      </c>
      <c r="M2">
        <v>1</v>
      </c>
    </row>
    <row r="3" spans="1:13" x14ac:dyDescent="0.25">
      <c r="A3" s="1">
        <v>46141</v>
      </c>
      <c r="B3" s="1" t="str">
        <f ca="1">IF(Información1[[#This Row],[Fecha]]='Ajuste de fechas'!$A$2,"Día actual","Día anterior")</f>
        <v>Día actual</v>
      </c>
      <c r="C3" t="s">
        <v>46</v>
      </c>
      <c r="D3" t="s">
        <v>49</v>
      </c>
      <c r="E3" t="s">
        <v>239</v>
      </c>
      <c r="F3" t="s">
        <v>43</v>
      </c>
      <c r="G3" t="s">
        <v>240</v>
      </c>
      <c r="H3" t="s">
        <v>11</v>
      </c>
      <c r="I3" t="s">
        <v>7</v>
      </c>
      <c r="J3" t="s">
        <v>64</v>
      </c>
      <c r="K3" t="s">
        <v>47</v>
      </c>
      <c r="L3" t="s">
        <v>65</v>
      </c>
      <c r="M3">
        <v>1</v>
      </c>
    </row>
    <row r="4" spans="1:13" x14ac:dyDescent="0.25">
      <c r="A4" s="1">
        <v>46141</v>
      </c>
      <c r="B4" s="1" t="str">
        <f ca="1">IF(Información1[[#This Row],[Fecha]]='Ajuste de fechas'!$A$2,"Día actual","Día anterior")</f>
        <v>Día actual</v>
      </c>
      <c r="C4" t="s">
        <v>46</v>
      </c>
      <c r="D4" t="s">
        <v>49</v>
      </c>
      <c r="E4" t="s">
        <v>241</v>
      </c>
      <c r="F4" t="s">
        <v>24</v>
      </c>
      <c r="G4" t="s">
        <v>242</v>
      </c>
      <c r="H4" t="s">
        <v>11</v>
      </c>
      <c r="I4" t="s">
        <v>7</v>
      </c>
      <c r="J4" t="s">
        <v>64</v>
      </c>
      <c r="K4" t="s">
        <v>47</v>
      </c>
      <c r="L4" t="s">
        <v>65</v>
      </c>
      <c r="M4">
        <v>1</v>
      </c>
    </row>
    <row r="5" spans="1:13" x14ac:dyDescent="0.25">
      <c r="A5" s="1">
        <v>46141</v>
      </c>
      <c r="B5" s="1" t="str">
        <f ca="1">IF(Información1[[#This Row],[Fecha]]='Ajuste de fechas'!$A$2,"Día actual","Día anterior")</f>
        <v>Día actual</v>
      </c>
      <c r="C5" t="s">
        <v>46</v>
      </c>
      <c r="D5" t="s">
        <v>49</v>
      </c>
      <c r="E5" t="s">
        <v>243</v>
      </c>
      <c r="F5" t="s">
        <v>24</v>
      </c>
      <c r="G5" t="s">
        <v>242</v>
      </c>
      <c r="H5" t="s">
        <v>11</v>
      </c>
      <c r="I5" t="s">
        <v>7</v>
      </c>
      <c r="J5" t="s">
        <v>64</v>
      </c>
      <c r="K5" t="s">
        <v>47</v>
      </c>
      <c r="L5" t="s">
        <v>65</v>
      </c>
      <c r="M5">
        <v>1</v>
      </c>
    </row>
    <row r="6" spans="1:13" x14ac:dyDescent="0.25">
      <c r="A6" s="1">
        <v>46141</v>
      </c>
      <c r="B6" s="1" t="str">
        <f ca="1">IF(Información1[[#This Row],[Fecha]]='Ajuste de fechas'!$A$2,"Día actual","Día anterior")</f>
        <v>Día actual</v>
      </c>
      <c r="C6" t="s">
        <v>31</v>
      </c>
      <c r="D6" t="s">
        <v>33</v>
      </c>
      <c r="E6" t="s">
        <v>244</v>
      </c>
      <c r="F6" t="s">
        <v>19</v>
      </c>
      <c r="G6" t="s">
        <v>245</v>
      </c>
      <c r="H6" t="s">
        <v>11</v>
      </c>
      <c r="I6" t="s">
        <v>7</v>
      </c>
      <c r="J6" t="s">
        <v>68</v>
      </c>
      <c r="K6" t="s">
        <v>32</v>
      </c>
      <c r="L6" t="s">
        <v>65</v>
      </c>
      <c r="M6">
        <v>1</v>
      </c>
    </row>
    <row r="7" spans="1:13" x14ac:dyDescent="0.25">
      <c r="A7" s="1">
        <v>46141</v>
      </c>
      <c r="B7" s="1" t="str">
        <f ca="1">IF(Información1[[#This Row],[Fecha]]='Ajuste de fechas'!$A$2,"Día actual","Día anterior")</f>
        <v>Día actual</v>
      </c>
      <c r="C7" t="s">
        <v>31</v>
      </c>
      <c r="D7" t="s">
        <v>33</v>
      </c>
      <c r="E7" t="s">
        <v>246</v>
      </c>
      <c r="F7" t="s">
        <v>15</v>
      </c>
      <c r="G7" t="s">
        <v>74</v>
      </c>
      <c r="H7" t="s">
        <v>11</v>
      </c>
      <c r="I7" t="s">
        <v>7</v>
      </c>
      <c r="J7" t="s">
        <v>64</v>
      </c>
      <c r="K7" t="s">
        <v>32</v>
      </c>
      <c r="L7" t="s">
        <v>65</v>
      </c>
      <c r="M7">
        <v>1</v>
      </c>
    </row>
    <row r="8" spans="1:13" x14ac:dyDescent="0.25">
      <c r="A8" s="1">
        <v>46141</v>
      </c>
      <c r="B8" s="1" t="str">
        <f ca="1">IF(Información1[[#This Row],[Fecha]]='Ajuste de fechas'!$A$2,"Día actual","Día anterior")</f>
        <v>Día actual</v>
      </c>
      <c r="C8" t="s">
        <v>31</v>
      </c>
      <c r="D8" t="s">
        <v>33</v>
      </c>
      <c r="E8" t="s">
        <v>247</v>
      </c>
      <c r="F8" t="s">
        <v>15</v>
      </c>
      <c r="G8" t="s">
        <v>110</v>
      </c>
      <c r="H8" t="s">
        <v>11</v>
      </c>
      <c r="I8" t="s">
        <v>7</v>
      </c>
      <c r="J8" t="s">
        <v>64</v>
      </c>
      <c r="K8" t="s">
        <v>32</v>
      </c>
      <c r="L8" t="s">
        <v>67</v>
      </c>
      <c r="M8">
        <v>1</v>
      </c>
    </row>
    <row r="9" spans="1:13" x14ac:dyDescent="0.25">
      <c r="A9" s="1">
        <v>46141</v>
      </c>
      <c r="B9" s="1" t="str">
        <f ca="1">IF(Información1[[#This Row],[Fecha]]='Ajuste de fechas'!$A$2,"Día actual","Día anterior")</f>
        <v>Día actual</v>
      </c>
      <c r="C9" t="s">
        <v>31</v>
      </c>
      <c r="D9" t="s">
        <v>33</v>
      </c>
      <c r="E9" t="s">
        <v>248</v>
      </c>
      <c r="F9" t="s">
        <v>50</v>
      </c>
      <c r="G9" t="s">
        <v>249</v>
      </c>
      <c r="H9" t="s">
        <v>11</v>
      </c>
      <c r="I9" t="s">
        <v>7</v>
      </c>
      <c r="J9" t="s">
        <v>64</v>
      </c>
      <c r="K9" t="s">
        <v>32</v>
      </c>
      <c r="L9" t="s">
        <v>67</v>
      </c>
      <c r="M9">
        <v>1</v>
      </c>
    </row>
    <row r="10" spans="1:13" x14ac:dyDescent="0.25">
      <c r="A10" s="1">
        <v>46141</v>
      </c>
      <c r="B10" s="1" t="str">
        <f ca="1">IF(Información1[[#This Row],[Fecha]]='Ajuste de fechas'!$A$2,"Día actual","Día anterior")</f>
        <v>Día actual</v>
      </c>
      <c r="C10" t="s">
        <v>31</v>
      </c>
      <c r="D10" t="s">
        <v>33</v>
      </c>
      <c r="E10" t="s">
        <v>250</v>
      </c>
      <c r="F10" t="s">
        <v>22</v>
      </c>
      <c r="G10" t="s">
        <v>251</v>
      </c>
      <c r="H10" t="s">
        <v>11</v>
      </c>
      <c r="I10" t="s">
        <v>7</v>
      </c>
      <c r="J10" t="s">
        <v>26</v>
      </c>
      <c r="K10" t="s">
        <v>32</v>
      </c>
      <c r="L10" t="s">
        <v>65</v>
      </c>
      <c r="M10">
        <v>1</v>
      </c>
    </row>
    <row r="11" spans="1:13" x14ac:dyDescent="0.25">
      <c r="A11" s="1">
        <v>46141</v>
      </c>
      <c r="B11" s="1" t="str">
        <f ca="1">IF(Información1[[#This Row],[Fecha]]='Ajuste de fechas'!$A$2,"Día actual","Día anterior")</f>
        <v>Día actual</v>
      </c>
      <c r="C11" t="s">
        <v>31</v>
      </c>
      <c r="D11" t="s">
        <v>33</v>
      </c>
      <c r="E11" t="s">
        <v>252</v>
      </c>
      <c r="F11" t="s">
        <v>22</v>
      </c>
      <c r="G11" t="s">
        <v>86</v>
      </c>
      <c r="H11" t="s">
        <v>11</v>
      </c>
      <c r="I11" t="s">
        <v>7</v>
      </c>
      <c r="J11" t="s">
        <v>26</v>
      </c>
      <c r="K11" t="s">
        <v>32</v>
      </c>
      <c r="L11" t="s">
        <v>65</v>
      </c>
      <c r="M11">
        <v>1</v>
      </c>
    </row>
    <row r="12" spans="1:13" x14ac:dyDescent="0.25">
      <c r="A12" s="1">
        <v>46141</v>
      </c>
      <c r="B12" s="1" t="str">
        <f ca="1">IF(Información1[[#This Row],[Fecha]]='Ajuste de fechas'!$A$2,"Día actual","Día anterior")</f>
        <v>Día actual</v>
      </c>
      <c r="C12" t="s">
        <v>31</v>
      </c>
      <c r="D12" t="s">
        <v>33</v>
      </c>
      <c r="E12" t="s">
        <v>253</v>
      </c>
      <c r="F12" t="s">
        <v>21</v>
      </c>
      <c r="G12" t="s">
        <v>177</v>
      </c>
      <c r="H12" t="s">
        <v>11</v>
      </c>
      <c r="I12" t="s">
        <v>7</v>
      </c>
      <c r="J12" t="s">
        <v>64</v>
      </c>
      <c r="K12" t="s">
        <v>32</v>
      </c>
      <c r="L12" t="s">
        <v>67</v>
      </c>
      <c r="M12">
        <v>1</v>
      </c>
    </row>
    <row r="13" spans="1:13" x14ac:dyDescent="0.25">
      <c r="A13" s="1">
        <v>46141</v>
      </c>
      <c r="B13" s="1" t="str">
        <f ca="1">IF(Información1[[#This Row],[Fecha]]='Ajuste de fechas'!$A$2,"Día actual","Día anterior")</f>
        <v>Día actual</v>
      </c>
      <c r="C13" t="s">
        <v>31</v>
      </c>
      <c r="D13" t="s">
        <v>33</v>
      </c>
      <c r="E13" t="s">
        <v>254</v>
      </c>
      <c r="F13" t="s">
        <v>255</v>
      </c>
      <c r="G13" t="s">
        <v>256</v>
      </c>
      <c r="H13" t="s">
        <v>11</v>
      </c>
      <c r="I13" t="s">
        <v>7</v>
      </c>
      <c r="J13" t="s">
        <v>64</v>
      </c>
      <c r="K13" t="s">
        <v>32</v>
      </c>
      <c r="L13" t="s">
        <v>65</v>
      </c>
      <c r="M13">
        <v>1</v>
      </c>
    </row>
    <row r="14" spans="1:13" x14ac:dyDescent="0.25">
      <c r="A14" s="1">
        <v>46141</v>
      </c>
      <c r="B14" s="1" t="str">
        <f ca="1">IF(Información1[[#This Row],[Fecha]]='Ajuste de fechas'!$A$2,"Día actual","Día anterior")</f>
        <v>Día actual</v>
      </c>
      <c r="C14" t="s">
        <v>31</v>
      </c>
      <c r="D14" t="s">
        <v>33</v>
      </c>
      <c r="E14" t="s">
        <v>257</v>
      </c>
      <c r="F14" t="s">
        <v>24</v>
      </c>
      <c r="G14" t="s">
        <v>242</v>
      </c>
      <c r="H14" t="s">
        <v>11</v>
      </c>
      <c r="I14" t="s">
        <v>7</v>
      </c>
      <c r="J14" t="s">
        <v>64</v>
      </c>
      <c r="K14" t="s">
        <v>32</v>
      </c>
      <c r="L14" t="s">
        <v>67</v>
      </c>
      <c r="M14">
        <v>1</v>
      </c>
    </row>
    <row r="15" spans="1:13" x14ac:dyDescent="0.25">
      <c r="A15" s="1">
        <v>46141</v>
      </c>
      <c r="B15" s="1" t="str">
        <f ca="1">IF(Información1[[#This Row],[Fecha]]='Ajuste de fechas'!$A$2,"Día actual","Día anterior")</f>
        <v>Día actual</v>
      </c>
      <c r="C15" t="s">
        <v>31</v>
      </c>
      <c r="D15" t="s">
        <v>33</v>
      </c>
      <c r="E15" t="s">
        <v>258</v>
      </c>
      <c r="F15" t="s">
        <v>24</v>
      </c>
      <c r="G15" t="s">
        <v>91</v>
      </c>
      <c r="H15" t="s">
        <v>11</v>
      </c>
      <c r="I15" t="s">
        <v>7</v>
      </c>
      <c r="J15" t="s">
        <v>64</v>
      </c>
      <c r="K15" t="s">
        <v>32</v>
      </c>
      <c r="L15" t="s">
        <v>67</v>
      </c>
      <c r="M15">
        <v>1</v>
      </c>
    </row>
    <row r="16" spans="1:13" x14ac:dyDescent="0.25">
      <c r="A16" s="1">
        <v>46141</v>
      </c>
      <c r="B16" s="1" t="str">
        <f ca="1">IF(Información1[[#This Row],[Fecha]]='Ajuste de fechas'!$A$2,"Día actual","Día anterior")</f>
        <v>Día actual</v>
      </c>
      <c r="C16" t="s">
        <v>46</v>
      </c>
      <c r="D16" t="s">
        <v>48</v>
      </c>
      <c r="E16" t="s">
        <v>259</v>
      </c>
      <c r="F16" t="s">
        <v>260</v>
      </c>
      <c r="G16" t="s">
        <v>261</v>
      </c>
      <c r="H16" t="s">
        <v>11</v>
      </c>
      <c r="I16" t="s">
        <v>27</v>
      </c>
      <c r="J16" t="s">
        <v>262</v>
      </c>
      <c r="K16" t="s">
        <v>263</v>
      </c>
      <c r="L16" t="s">
        <v>66</v>
      </c>
      <c r="M16">
        <v>1</v>
      </c>
    </row>
    <row r="17" spans="1:13" x14ac:dyDescent="0.25">
      <c r="A17" s="1">
        <v>46141</v>
      </c>
      <c r="B17" s="1" t="str">
        <f ca="1">IF(Información1[[#This Row],[Fecha]]='Ajuste de fechas'!$A$2,"Día actual","Día anterior")</f>
        <v>Día actual</v>
      </c>
      <c r="C17" t="s">
        <v>46</v>
      </c>
      <c r="D17" t="s">
        <v>48</v>
      </c>
      <c r="E17" t="s">
        <v>264</v>
      </c>
      <c r="F17" t="s">
        <v>26</v>
      </c>
      <c r="G17" t="s">
        <v>265</v>
      </c>
      <c r="H17" t="s">
        <v>11</v>
      </c>
      <c r="I17" t="s">
        <v>27</v>
      </c>
      <c r="J17" t="s">
        <v>26</v>
      </c>
      <c r="K17" t="s">
        <v>263</v>
      </c>
      <c r="L17" t="s">
        <v>66</v>
      </c>
      <c r="M17">
        <v>1</v>
      </c>
    </row>
    <row r="18" spans="1:13" x14ac:dyDescent="0.25">
      <c r="A18" s="1">
        <v>46141</v>
      </c>
      <c r="B18" s="1" t="str">
        <f ca="1">IF(Información1[[#This Row],[Fecha]]='Ajuste de fechas'!$A$2,"Día actual","Día anterior")</f>
        <v>Día actual</v>
      </c>
      <c r="C18" t="s">
        <v>46</v>
      </c>
      <c r="D18" t="s">
        <v>48</v>
      </c>
      <c r="E18" t="s">
        <v>266</v>
      </c>
      <c r="F18" t="s">
        <v>19</v>
      </c>
      <c r="G18" t="s">
        <v>251</v>
      </c>
      <c r="H18" t="s">
        <v>11</v>
      </c>
      <c r="I18" t="s">
        <v>7</v>
      </c>
      <c r="J18" t="s">
        <v>68</v>
      </c>
      <c r="K18" t="s">
        <v>39</v>
      </c>
      <c r="L18" t="s">
        <v>65</v>
      </c>
      <c r="M18">
        <v>1</v>
      </c>
    </row>
    <row r="19" spans="1:13" x14ac:dyDescent="0.25">
      <c r="A19" s="1">
        <v>46141</v>
      </c>
      <c r="B19" s="1" t="str">
        <f ca="1">IF(Información1[[#This Row],[Fecha]]='Ajuste de fechas'!$A$2,"Día actual","Día anterior")</f>
        <v>Día actual</v>
      </c>
      <c r="C19" t="s">
        <v>46</v>
      </c>
      <c r="D19" t="s">
        <v>48</v>
      </c>
      <c r="E19" t="s">
        <v>267</v>
      </c>
      <c r="F19" t="s">
        <v>19</v>
      </c>
      <c r="G19" t="s">
        <v>93</v>
      </c>
      <c r="H19" t="s">
        <v>11</v>
      </c>
      <c r="I19" t="s">
        <v>7</v>
      </c>
      <c r="J19" t="s">
        <v>68</v>
      </c>
      <c r="K19" t="s">
        <v>263</v>
      </c>
      <c r="L19" t="s">
        <v>66</v>
      </c>
      <c r="M19">
        <v>1</v>
      </c>
    </row>
    <row r="20" spans="1:13" x14ac:dyDescent="0.25">
      <c r="A20" s="1">
        <v>46141</v>
      </c>
      <c r="B20" s="1" t="str">
        <f ca="1">IF(Información1[[#This Row],[Fecha]]='Ajuste de fechas'!$A$2,"Día actual","Día anterior")</f>
        <v>Día actual</v>
      </c>
      <c r="C20" t="s">
        <v>46</v>
      </c>
      <c r="D20" t="s">
        <v>48</v>
      </c>
      <c r="E20" t="s">
        <v>268</v>
      </c>
      <c r="F20" t="s">
        <v>19</v>
      </c>
      <c r="G20" t="s">
        <v>154</v>
      </c>
      <c r="H20" t="s">
        <v>11</v>
      </c>
      <c r="I20" t="s">
        <v>27</v>
      </c>
      <c r="J20" t="s">
        <v>68</v>
      </c>
      <c r="K20" t="s">
        <v>47</v>
      </c>
      <c r="L20" t="s">
        <v>65</v>
      </c>
      <c r="M20">
        <v>1</v>
      </c>
    </row>
    <row r="21" spans="1:13" x14ac:dyDescent="0.25">
      <c r="A21" s="1">
        <v>46141</v>
      </c>
      <c r="B21" s="1" t="str">
        <f ca="1">IF(Información1[[#This Row],[Fecha]]='Ajuste de fechas'!$A$2,"Día actual","Día anterior")</f>
        <v>Día actual</v>
      </c>
      <c r="C21" t="s">
        <v>46</v>
      </c>
      <c r="D21" t="s">
        <v>48</v>
      </c>
      <c r="E21" t="s">
        <v>269</v>
      </c>
      <c r="F21" t="s">
        <v>19</v>
      </c>
      <c r="G21" t="s">
        <v>270</v>
      </c>
      <c r="H21" t="s">
        <v>11</v>
      </c>
      <c r="I21" t="s">
        <v>7</v>
      </c>
      <c r="J21" t="s">
        <v>68</v>
      </c>
      <c r="K21" t="s">
        <v>47</v>
      </c>
      <c r="L21" t="s">
        <v>65</v>
      </c>
      <c r="M21">
        <v>1</v>
      </c>
    </row>
    <row r="22" spans="1:13" x14ac:dyDescent="0.25">
      <c r="A22" s="1">
        <v>46141</v>
      </c>
      <c r="B22" s="1" t="str">
        <f ca="1">IF(Información1[[#This Row],[Fecha]]='Ajuste de fechas'!$A$2,"Día actual","Día anterior")</f>
        <v>Día actual</v>
      </c>
      <c r="C22" t="s">
        <v>46</v>
      </c>
      <c r="D22" t="s">
        <v>48</v>
      </c>
      <c r="E22" t="s">
        <v>271</v>
      </c>
      <c r="F22" t="s">
        <v>6</v>
      </c>
      <c r="G22" t="s">
        <v>113</v>
      </c>
      <c r="H22" t="s">
        <v>11</v>
      </c>
      <c r="I22" t="s">
        <v>27</v>
      </c>
      <c r="J22" t="s">
        <v>64</v>
      </c>
      <c r="K22" t="s">
        <v>263</v>
      </c>
      <c r="L22" t="s">
        <v>66</v>
      </c>
      <c r="M22">
        <v>1</v>
      </c>
    </row>
    <row r="23" spans="1:13" x14ac:dyDescent="0.25">
      <c r="A23" s="1">
        <v>46141</v>
      </c>
      <c r="B23" s="1" t="str">
        <f ca="1">IF(Información1[[#This Row],[Fecha]]='Ajuste de fechas'!$A$2,"Día actual","Día anterior")</f>
        <v>Día actual</v>
      </c>
      <c r="C23" t="s">
        <v>46</v>
      </c>
      <c r="D23" t="s">
        <v>48</v>
      </c>
      <c r="E23" t="s">
        <v>272</v>
      </c>
      <c r="F23" t="s">
        <v>94</v>
      </c>
      <c r="G23" t="s">
        <v>273</v>
      </c>
      <c r="H23" t="s">
        <v>11</v>
      </c>
      <c r="I23" t="s">
        <v>7</v>
      </c>
      <c r="J23" t="s">
        <v>64</v>
      </c>
      <c r="K23" t="s">
        <v>39</v>
      </c>
      <c r="L23" t="s">
        <v>65</v>
      </c>
      <c r="M23">
        <v>1</v>
      </c>
    </row>
    <row r="24" spans="1:13" x14ac:dyDescent="0.25">
      <c r="A24" s="1">
        <v>46141</v>
      </c>
      <c r="B24" s="1" t="str">
        <f ca="1">IF(Información1[[#This Row],[Fecha]]='Ajuste de fechas'!$A$2,"Día actual","Día anterior")</f>
        <v>Día actual</v>
      </c>
      <c r="C24" t="s">
        <v>46</v>
      </c>
      <c r="D24" t="s">
        <v>48</v>
      </c>
      <c r="E24" t="s">
        <v>274</v>
      </c>
      <c r="F24" t="s">
        <v>24</v>
      </c>
      <c r="G24" t="s">
        <v>275</v>
      </c>
      <c r="H24" t="s">
        <v>11</v>
      </c>
      <c r="I24" t="s">
        <v>7</v>
      </c>
      <c r="J24" t="s">
        <v>64</v>
      </c>
      <c r="K24" t="s">
        <v>39</v>
      </c>
      <c r="L24" t="s">
        <v>67</v>
      </c>
      <c r="M24">
        <v>1</v>
      </c>
    </row>
    <row r="25" spans="1:13" x14ac:dyDescent="0.25">
      <c r="A25" s="1">
        <v>46141</v>
      </c>
      <c r="B25" s="1" t="str">
        <f ca="1">IF(Información1[[#This Row],[Fecha]]='Ajuste de fechas'!$A$2,"Día actual","Día anterior")</f>
        <v>Día actual</v>
      </c>
      <c r="C25" t="s">
        <v>46</v>
      </c>
      <c r="D25" t="s">
        <v>48</v>
      </c>
      <c r="E25" t="s">
        <v>247</v>
      </c>
      <c r="F25" t="s">
        <v>15</v>
      </c>
      <c r="G25" t="s">
        <v>110</v>
      </c>
      <c r="H25" t="s">
        <v>11</v>
      </c>
      <c r="I25" t="s">
        <v>7</v>
      </c>
      <c r="J25" t="s">
        <v>64</v>
      </c>
      <c r="K25" t="s">
        <v>39</v>
      </c>
      <c r="L25" t="s">
        <v>67</v>
      </c>
      <c r="M25">
        <v>1</v>
      </c>
    </row>
    <row r="26" spans="1:13" x14ac:dyDescent="0.25">
      <c r="A26" s="1">
        <v>46141</v>
      </c>
      <c r="B26" s="1" t="str">
        <f ca="1">IF(Información1[[#This Row],[Fecha]]='Ajuste de fechas'!$A$2,"Día actual","Día anterior")</f>
        <v>Día actual</v>
      </c>
      <c r="C26" t="s">
        <v>46</v>
      </c>
      <c r="D26" t="s">
        <v>48</v>
      </c>
      <c r="E26" t="s">
        <v>276</v>
      </c>
      <c r="F26" t="s">
        <v>15</v>
      </c>
      <c r="G26" t="s">
        <v>277</v>
      </c>
      <c r="H26" t="s">
        <v>11</v>
      </c>
      <c r="I26" t="s">
        <v>7</v>
      </c>
      <c r="J26" t="s">
        <v>64</v>
      </c>
      <c r="K26" t="s">
        <v>39</v>
      </c>
      <c r="L26" t="s">
        <v>65</v>
      </c>
      <c r="M26">
        <v>1</v>
      </c>
    </row>
    <row r="27" spans="1:13" x14ac:dyDescent="0.25">
      <c r="A27" s="1">
        <v>46141</v>
      </c>
      <c r="B27" s="1" t="str">
        <f ca="1">IF(Información1[[#This Row],[Fecha]]='Ajuste de fechas'!$A$2,"Día actual","Día anterior")</f>
        <v>Día actual</v>
      </c>
      <c r="C27" t="s">
        <v>46</v>
      </c>
      <c r="D27" t="s">
        <v>48</v>
      </c>
      <c r="E27" t="s">
        <v>278</v>
      </c>
      <c r="F27" t="s">
        <v>50</v>
      </c>
      <c r="G27" t="s">
        <v>279</v>
      </c>
      <c r="H27" t="s">
        <v>11</v>
      </c>
      <c r="I27" t="s">
        <v>7</v>
      </c>
      <c r="J27" t="s">
        <v>64</v>
      </c>
      <c r="K27" t="s">
        <v>39</v>
      </c>
      <c r="L27" t="s">
        <v>67</v>
      </c>
      <c r="M27">
        <v>1</v>
      </c>
    </row>
    <row r="28" spans="1:13" x14ac:dyDescent="0.25">
      <c r="A28" s="1">
        <v>46141</v>
      </c>
      <c r="B28" s="1" t="str">
        <f ca="1">IF(Información1[[#This Row],[Fecha]]='Ajuste de fechas'!$A$2,"Día actual","Día anterior")</f>
        <v>Día actual</v>
      </c>
      <c r="C28" t="s">
        <v>46</v>
      </c>
      <c r="D28" t="s">
        <v>48</v>
      </c>
      <c r="E28" t="s">
        <v>280</v>
      </c>
      <c r="F28" t="s">
        <v>281</v>
      </c>
      <c r="G28" t="s">
        <v>282</v>
      </c>
      <c r="H28" t="s">
        <v>11</v>
      </c>
      <c r="I28" t="s">
        <v>7</v>
      </c>
      <c r="J28" t="s">
        <v>64</v>
      </c>
      <c r="K28" t="s">
        <v>39</v>
      </c>
      <c r="L28" t="s">
        <v>67</v>
      </c>
      <c r="M28">
        <v>1</v>
      </c>
    </row>
    <row r="29" spans="1:13" x14ac:dyDescent="0.25">
      <c r="A29" s="1">
        <v>46141</v>
      </c>
      <c r="B29" s="1" t="str">
        <f ca="1">IF(Información1[[#This Row],[Fecha]]='Ajuste de fechas'!$A$2,"Día actual","Día anterior")</f>
        <v>Día actual</v>
      </c>
      <c r="C29" t="s">
        <v>46</v>
      </c>
      <c r="D29" t="s">
        <v>48</v>
      </c>
      <c r="E29" t="s">
        <v>283</v>
      </c>
      <c r="F29" t="s">
        <v>25</v>
      </c>
      <c r="G29" t="s">
        <v>284</v>
      </c>
      <c r="H29" t="s">
        <v>11</v>
      </c>
      <c r="I29" t="s">
        <v>7</v>
      </c>
      <c r="J29" t="s">
        <v>64</v>
      </c>
      <c r="K29" t="s">
        <v>39</v>
      </c>
      <c r="L29" t="s">
        <v>67</v>
      </c>
      <c r="M29">
        <v>1</v>
      </c>
    </row>
    <row r="30" spans="1:13" x14ac:dyDescent="0.25">
      <c r="A30" s="1">
        <v>46141</v>
      </c>
      <c r="B30" s="1" t="str">
        <f ca="1">IF(Información1[[#This Row],[Fecha]]='Ajuste de fechas'!$A$2,"Día actual","Día anterior")</f>
        <v>Día actual</v>
      </c>
      <c r="C30" t="s">
        <v>46</v>
      </c>
      <c r="D30" t="s">
        <v>48</v>
      </c>
      <c r="E30" t="s">
        <v>285</v>
      </c>
      <c r="F30" t="s">
        <v>6</v>
      </c>
      <c r="G30" t="s">
        <v>286</v>
      </c>
      <c r="H30" t="s">
        <v>11</v>
      </c>
      <c r="I30" t="s">
        <v>7</v>
      </c>
      <c r="J30" t="s">
        <v>64</v>
      </c>
      <c r="K30" t="s">
        <v>39</v>
      </c>
      <c r="L30" t="s">
        <v>67</v>
      </c>
      <c r="M30">
        <v>1</v>
      </c>
    </row>
    <row r="31" spans="1:13" x14ac:dyDescent="0.25">
      <c r="A31" s="1">
        <v>46141</v>
      </c>
      <c r="B31" s="1" t="str">
        <f ca="1">IF(Información1[[#This Row],[Fecha]]='Ajuste de fechas'!$A$2,"Día actual","Día anterior")</f>
        <v>Día actual</v>
      </c>
      <c r="C31" t="s">
        <v>46</v>
      </c>
      <c r="D31" t="s">
        <v>48</v>
      </c>
      <c r="E31" t="s">
        <v>287</v>
      </c>
      <c r="F31" t="s">
        <v>15</v>
      </c>
      <c r="G31" t="s">
        <v>288</v>
      </c>
      <c r="H31" t="s">
        <v>11</v>
      </c>
      <c r="I31" t="s">
        <v>7</v>
      </c>
      <c r="J31" t="s">
        <v>64</v>
      </c>
      <c r="K31" t="s">
        <v>39</v>
      </c>
      <c r="L31" t="s">
        <v>67</v>
      </c>
      <c r="M31">
        <v>1</v>
      </c>
    </row>
    <row r="32" spans="1:13" x14ac:dyDescent="0.25">
      <c r="A32" s="1">
        <v>46141</v>
      </c>
      <c r="B32" s="1" t="str">
        <f ca="1">IF(Información1[[#This Row],[Fecha]]='Ajuste de fechas'!$A$2,"Día actual","Día anterior")</f>
        <v>Día actual</v>
      </c>
      <c r="C32" t="s">
        <v>44</v>
      </c>
      <c r="D32" t="s">
        <v>45</v>
      </c>
      <c r="E32" t="s">
        <v>289</v>
      </c>
      <c r="F32" t="s">
        <v>17</v>
      </c>
      <c r="G32" t="s">
        <v>290</v>
      </c>
      <c r="H32" t="s">
        <v>41</v>
      </c>
      <c r="I32" t="s">
        <v>7</v>
      </c>
      <c r="J32" t="s">
        <v>64</v>
      </c>
      <c r="K32" t="s">
        <v>30</v>
      </c>
      <c r="L32" t="s">
        <v>65</v>
      </c>
      <c r="M32">
        <v>1</v>
      </c>
    </row>
    <row r="33" spans="1:13" x14ac:dyDescent="0.25">
      <c r="A33" s="1">
        <v>46141</v>
      </c>
      <c r="B33" s="1" t="str">
        <f ca="1">IF(Información1[[#This Row],[Fecha]]='Ajuste de fechas'!$A$2,"Día actual","Día anterior")</f>
        <v>Día actual</v>
      </c>
      <c r="C33" t="s">
        <v>44</v>
      </c>
      <c r="D33" t="s">
        <v>45</v>
      </c>
      <c r="E33" t="s">
        <v>291</v>
      </c>
      <c r="F33" t="s">
        <v>15</v>
      </c>
      <c r="G33" t="s">
        <v>95</v>
      </c>
      <c r="H33" t="s">
        <v>41</v>
      </c>
      <c r="I33" t="s">
        <v>7</v>
      </c>
      <c r="J33" t="s">
        <v>64</v>
      </c>
      <c r="K33" t="s">
        <v>30</v>
      </c>
      <c r="L33" t="s">
        <v>65</v>
      </c>
      <c r="M33">
        <v>1</v>
      </c>
    </row>
    <row r="34" spans="1:13" x14ac:dyDescent="0.25">
      <c r="A34" s="1">
        <v>46141</v>
      </c>
      <c r="B34" s="1" t="str">
        <f ca="1">IF(Información1[[#This Row],[Fecha]]='Ajuste de fechas'!$A$2,"Día actual","Día anterior")</f>
        <v>Día actual</v>
      </c>
      <c r="C34" t="s">
        <v>44</v>
      </c>
      <c r="D34" t="s">
        <v>45</v>
      </c>
      <c r="E34" t="s">
        <v>292</v>
      </c>
      <c r="F34" t="s">
        <v>19</v>
      </c>
      <c r="G34" t="s">
        <v>270</v>
      </c>
      <c r="H34" t="s">
        <v>41</v>
      </c>
      <c r="I34" t="s">
        <v>7</v>
      </c>
      <c r="J34" t="s">
        <v>68</v>
      </c>
      <c r="K34" t="s">
        <v>30</v>
      </c>
      <c r="L34" t="s">
        <v>65</v>
      </c>
      <c r="M34">
        <v>1</v>
      </c>
    </row>
    <row r="35" spans="1:13" x14ac:dyDescent="0.25">
      <c r="A35" s="1">
        <v>46141</v>
      </c>
      <c r="B35" s="1" t="str">
        <f ca="1">IF(Información1[[#This Row],[Fecha]]='Ajuste de fechas'!$A$2,"Día actual","Día anterior")</f>
        <v>Día actual</v>
      </c>
      <c r="C35" t="s">
        <v>44</v>
      </c>
      <c r="D35" t="s">
        <v>45</v>
      </c>
      <c r="E35" t="s">
        <v>293</v>
      </c>
      <c r="F35" t="s">
        <v>24</v>
      </c>
      <c r="G35" t="s">
        <v>294</v>
      </c>
      <c r="H35" t="s">
        <v>41</v>
      </c>
      <c r="I35" t="s">
        <v>7</v>
      </c>
      <c r="J35" t="s">
        <v>64</v>
      </c>
      <c r="K35" t="s">
        <v>30</v>
      </c>
      <c r="L35" t="s">
        <v>65</v>
      </c>
      <c r="M35">
        <v>1</v>
      </c>
    </row>
    <row r="36" spans="1:13" x14ac:dyDescent="0.25">
      <c r="A36" s="1">
        <v>46141</v>
      </c>
      <c r="B36" s="1" t="str">
        <f ca="1">IF(Información1[[#This Row],[Fecha]]='Ajuste de fechas'!$A$2,"Día actual","Día anterior")</f>
        <v>Día actual</v>
      </c>
      <c r="C36" t="s">
        <v>44</v>
      </c>
      <c r="D36" t="s">
        <v>45</v>
      </c>
      <c r="E36" t="s">
        <v>295</v>
      </c>
      <c r="F36" t="s">
        <v>19</v>
      </c>
      <c r="G36" t="s">
        <v>296</v>
      </c>
      <c r="H36" t="s">
        <v>41</v>
      </c>
      <c r="I36" t="s">
        <v>27</v>
      </c>
      <c r="J36" t="s">
        <v>68</v>
      </c>
      <c r="K36" t="s">
        <v>30</v>
      </c>
      <c r="L36" t="s">
        <v>65</v>
      </c>
      <c r="M36">
        <v>1</v>
      </c>
    </row>
    <row r="37" spans="1:13" x14ac:dyDescent="0.25">
      <c r="A37" s="1">
        <v>46141</v>
      </c>
      <c r="B37" s="1" t="str">
        <f ca="1">IF(Información1[[#This Row],[Fecha]]='Ajuste de fechas'!$A$2,"Día actual","Día anterior")</f>
        <v>Día actual</v>
      </c>
      <c r="C37" t="s">
        <v>44</v>
      </c>
      <c r="D37" t="s">
        <v>45</v>
      </c>
      <c r="E37" t="s">
        <v>297</v>
      </c>
      <c r="F37" t="s">
        <v>19</v>
      </c>
      <c r="G37" t="s">
        <v>251</v>
      </c>
      <c r="H37" t="s">
        <v>41</v>
      </c>
      <c r="I37" t="s">
        <v>7</v>
      </c>
      <c r="J37" t="s">
        <v>68</v>
      </c>
      <c r="K37" t="s">
        <v>30</v>
      </c>
      <c r="L37" t="s">
        <v>65</v>
      </c>
      <c r="M37">
        <v>1</v>
      </c>
    </row>
    <row r="38" spans="1:13" x14ac:dyDescent="0.25">
      <c r="A38" s="1">
        <v>46141</v>
      </c>
      <c r="B38" s="1" t="str">
        <f ca="1">IF(Información1[[#This Row],[Fecha]]='Ajuste de fechas'!$A$2,"Día actual","Día anterior")</f>
        <v>Día actual</v>
      </c>
      <c r="C38" t="s">
        <v>44</v>
      </c>
      <c r="D38" t="s">
        <v>45</v>
      </c>
      <c r="E38" t="s">
        <v>298</v>
      </c>
      <c r="F38" t="s">
        <v>50</v>
      </c>
      <c r="G38" t="s">
        <v>279</v>
      </c>
      <c r="H38" t="s">
        <v>41</v>
      </c>
      <c r="I38" t="s">
        <v>7</v>
      </c>
      <c r="J38" t="s">
        <v>64</v>
      </c>
      <c r="K38" t="s">
        <v>30</v>
      </c>
      <c r="L38" t="s">
        <v>67</v>
      </c>
      <c r="M38">
        <v>1</v>
      </c>
    </row>
    <row r="39" spans="1:13" x14ac:dyDescent="0.25">
      <c r="A39" s="1">
        <v>46141</v>
      </c>
      <c r="B39" s="1" t="str">
        <f ca="1">IF(Información1[[#This Row],[Fecha]]='Ajuste de fechas'!$A$2,"Día actual","Día anterior")</f>
        <v>Día actual</v>
      </c>
      <c r="C39" t="s">
        <v>44</v>
      </c>
      <c r="D39" t="s">
        <v>45</v>
      </c>
      <c r="E39" t="s">
        <v>299</v>
      </c>
      <c r="F39" t="s">
        <v>19</v>
      </c>
      <c r="G39" t="s">
        <v>300</v>
      </c>
      <c r="H39" t="s">
        <v>41</v>
      </c>
      <c r="I39" t="s">
        <v>7</v>
      </c>
      <c r="J39" t="s">
        <v>68</v>
      </c>
      <c r="K39" t="s">
        <v>30</v>
      </c>
      <c r="L39" t="s">
        <v>66</v>
      </c>
      <c r="M39">
        <v>1</v>
      </c>
    </row>
    <row r="40" spans="1:13" x14ac:dyDescent="0.25">
      <c r="A40" s="1">
        <v>46141</v>
      </c>
      <c r="B40" s="1" t="str">
        <f ca="1">IF(Información1[[#This Row],[Fecha]]='Ajuste de fechas'!$A$2,"Día actual","Día anterior")</f>
        <v>Día actual</v>
      </c>
      <c r="C40" t="s">
        <v>44</v>
      </c>
      <c r="D40" t="s">
        <v>45</v>
      </c>
      <c r="E40" t="s">
        <v>301</v>
      </c>
      <c r="F40" t="s">
        <v>19</v>
      </c>
      <c r="G40" t="s">
        <v>302</v>
      </c>
      <c r="H40" t="s">
        <v>41</v>
      </c>
      <c r="I40" t="s">
        <v>27</v>
      </c>
      <c r="J40" t="s">
        <v>68</v>
      </c>
      <c r="K40" t="s">
        <v>30</v>
      </c>
      <c r="L40" t="s">
        <v>65</v>
      </c>
      <c r="M40">
        <v>1</v>
      </c>
    </row>
    <row r="41" spans="1:13" x14ac:dyDescent="0.25">
      <c r="A41" s="1">
        <v>46141</v>
      </c>
      <c r="B41" s="1" t="str">
        <f ca="1">IF(Información1[[#This Row],[Fecha]]='Ajuste de fechas'!$A$2,"Día actual","Día anterior")</f>
        <v>Día actual</v>
      </c>
      <c r="C41" t="s">
        <v>44</v>
      </c>
      <c r="D41" t="s">
        <v>45</v>
      </c>
      <c r="E41" t="s">
        <v>303</v>
      </c>
      <c r="F41" t="s">
        <v>21</v>
      </c>
      <c r="G41" t="s">
        <v>177</v>
      </c>
      <c r="H41" t="s">
        <v>41</v>
      </c>
      <c r="I41" t="s">
        <v>7</v>
      </c>
      <c r="J41" t="s">
        <v>64</v>
      </c>
      <c r="K41" t="s">
        <v>30</v>
      </c>
      <c r="L41" t="s">
        <v>67</v>
      </c>
      <c r="M41">
        <v>1</v>
      </c>
    </row>
    <row r="42" spans="1:13" x14ac:dyDescent="0.25">
      <c r="A42" s="1">
        <v>46141</v>
      </c>
      <c r="B42" s="1" t="str">
        <f ca="1">IF(Información1[[#This Row],[Fecha]]='Ajuste de fechas'!$A$2,"Día actual","Día anterior")</f>
        <v>Día actual</v>
      </c>
      <c r="C42" t="s">
        <v>44</v>
      </c>
      <c r="D42" t="s">
        <v>45</v>
      </c>
      <c r="E42" t="s">
        <v>304</v>
      </c>
      <c r="F42" t="s">
        <v>25</v>
      </c>
      <c r="G42" t="s">
        <v>284</v>
      </c>
      <c r="H42" t="s">
        <v>41</v>
      </c>
      <c r="I42" t="s">
        <v>7</v>
      </c>
      <c r="J42" t="s">
        <v>64</v>
      </c>
      <c r="K42" t="s">
        <v>30</v>
      </c>
      <c r="L42" t="s">
        <v>67</v>
      </c>
      <c r="M42">
        <v>1</v>
      </c>
    </row>
    <row r="43" spans="1:13" x14ac:dyDescent="0.25">
      <c r="A43" s="1">
        <v>46141</v>
      </c>
      <c r="B43" s="1" t="str">
        <f ca="1">IF(Información1[[#This Row],[Fecha]]='Ajuste de fechas'!$A$2,"Día actual","Día anterior")</f>
        <v>Día actual</v>
      </c>
      <c r="C43" t="s">
        <v>44</v>
      </c>
      <c r="D43" t="s">
        <v>45</v>
      </c>
      <c r="E43" t="s">
        <v>305</v>
      </c>
      <c r="F43" t="s">
        <v>19</v>
      </c>
      <c r="G43" t="s">
        <v>106</v>
      </c>
      <c r="H43" t="s">
        <v>41</v>
      </c>
      <c r="I43" t="s">
        <v>7</v>
      </c>
      <c r="J43" t="s">
        <v>68</v>
      </c>
      <c r="K43" t="s">
        <v>30</v>
      </c>
      <c r="L43" t="s">
        <v>65</v>
      </c>
      <c r="M43">
        <v>1</v>
      </c>
    </row>
    <row r="44" spans="1:13" x14ac:dyDescent="0.25">
      <c r="A44" s="1">
        <v>46141</v>
      </c>
      <c r="B44" s="1" t="str">
        <f ca="1">IF(Información1[[#This Row],[Fecha]]='Ajuste de fechas'!$A$2,"Día actual","Día anterior")</f>
        <v>Día actual</v>
      </c>
      <c r="C44" t="s">
        <v>44</v>
      </c>
      <c r="D44" t="s">
        <v>45</v>
      </c>
      <c r="E44" t="s">
        <v>306</v>
      </c>
      <c r="F44" t="s">
        <v>19</v>
      </c>
      <c r="G44" t="s">
        <v>42</v>
      </c>
      <c r="H44" t="s">
        <v>41</v>
      </c>
      <c r="I44" t="s">
        <v>7</v>
      </c>
      <c r="J44" t="s">
        <v>68</v>
      </c>
      <c r="K44" t="s">
        <v>30</v>
      </c>
      <c r="L44" t="s">
        <v>65</v>
      </c>
      <c r="M44">
        <v>1</v>
      </c>
    </row>
    <row r="45" spans="1:13" x14ac:dyDescent="0.25">
      <c r="A45" s="1">
        <v>46141</v>
      </c>
      <c r="B45" s="1" t="str">
        <f ca="1">IF(Información1[[#This Row],[Fecha]]='Ajuste de fechas'!$A$2,"Día actual","Día anterior")</f>
        <v>Día actual</v>
      </c>
      <c r="C45" t="s">
        <v>44</v>
      </c>
      <c r="D45" t="s">
        <v>45</v>
      </c>
      <c r="E45" t="s">
        <v>307</v>
      </c>
      <c r="F45" t="s">
        <v>19</v>
      </c>
      <c r="G45" t="s">
        <v>77</v>
      </c>
      <c r="H45" t="s">
        <v>41</v>
      </c>
      <c r="I45" t="s">
        <v>7</v>
      </c>
      <c r="J45" t="s">
        <v>68</v>
      </c>
      <c r="K45" t="s">
        <v>30</v>
      </c>
      <c r="L45" t="s">
        <v>65</v>
      </c>
      <c r="M45">
        <v>1</v>
      </c>
    </row>
    <row r="46" spans="1:13" x14ac:dyDescent="0.25">
      <c r="A46" s="1">
        <v>46141</v>
      </c>
      <c r="B46" s="1" t="str">
        <f ca="1">IF(Información1[[#This Row],[Fecha]]='Ajuste de fechas'!$A$2,"Día actual","Día anterior")</f>
        <v>Día actual</v>
      </c>
      <c r="C46" t="s">
        <v>44</v>
      </c>
      <c r="D46" t="s">
        <v>45</v>
      </c>
      <c r="E46" t="s">
        <v>308</v>
      </c>
      <c r="F46" t="s">
        <v>50</v>
      </c>
      <c r="G46" t="s">
        <v>309</v>
      </c>
      <c r="H46" t="s">
        <v>41</v>
      </c>
      <c r="I46" t="s">
        <v>7</v>
      </c>
      <c r="J46" t="s">
        <v>64</v>
      </c>
      <c r="K46" t="s">
        <v>30</v>
      </c>
      <c r="L46" t="s">
        <v>66</v>
      </c>
      <c r="M46">
        <v>1</v>
      </c>
    </row>
    <row r="47" spans="1:13" x14ac:dyDescent="0.25">
      <c r="A47" s="1">
        <v>46141</v>
      </c>
      <c r="B47" s="1" t="str">
        <f ca="1">IF(Información1[[#This Row],[Fecha]]='Ajuste de fechas'!$A$2,"Día actual","Día anterior")</f>
        <v>Día actual</v>
      </c>
      <c r="C47" t="s">
        <v>44</v>
      </c>
      <c r="D47" t="s">
        <v>45</v>
      </c>
      <c r="E47" t="s">
        <v>310</v>
      </c>
      <c r="F47" t="s">
        <v>19</v>
      </c>
      <c r="G47" t="s">
        <v>311</v>
      </c>
      <c r="H47" t="s">
        <v>41</v>
      </c>
      <c r="I47" t="s">
        <v>27</v>
      </c>
      <c r="J47" t="s">
        <v>68</v>
      </c>
      <c r="K47" t="s">
        <v>312</v>
      </c>
      <c r="L47" t="s">
        <v>65</v>
      </c>
      <c r="M47">
        <v>3</v>
      </c>
    </row>
    <row r="48" spans="1:13" x14ac:dyDescent="0.25">
      <c r="A48" s="1">
        <v>46141</v>
      </c>
      <c r="B48" s="1" t="str">
        <f ca="1">IF(Información1[[#This Row],[Fecha]]='Ajuste de fechas'!$A$2,"Día actual","Día anterior")</f>
        <v>Día actual</v>
      </c>
      <c r="C48" t="s">
        <v>51</v>
      </c>
      <c r="D48" t="s">
        <v>313</v>
      </c>
      <c r="E48" t="s">
        <v>314</v>
      </c>
      <c r="F48" t="s">
        <v>19</v>
      </c>
      <c r="G48" t="s">
        <v>315</v>
      </c>
      <c r="H48" t="s">
        <v>11</v>
      </c>
      <c r="I48" t="s">
        <v>7</v>
      </c>
      <c r="J48" t="s">
        <v>68</v>
      </c>
      <c r="K48" t="s">
        <v>53</v>
      </c>
      <c r="L48" t="s">
        <v>65</v>
      </c>
      <c r="M48">
        <v>1</v>
      </c>
    </row>
    <row r="49" spans="1:13" x14ac:dyDescent="0.25">
      <c r="A49" s="1">
        <v>46141</v>
      </c>
      <c r="B49" s="1" t="str">
        <f ca="1">IF(Información1[[#This Row],[Fecha]]='Ajuste de fechas'!$A$2,"Día actual","Día anterior")</f>
        <v>Día actual</v>
      </c>
      <c r="C49" t="s">
        <v>51</v>
      </c>
      <c r="D49" t="s">
        <v>313</v>
      </c>
      <c r="E49" t="s">
        <v>316</v>
      </c>
      <c r="F49" t="s">
        <v>23</v>
      </c>
      <c r="G49" t="s">
        <v>120</v>
      </c>
      <c r="H49" t="s">
        <v>11</v>
      </c>
      <c r="I49" t="s">
        <v>7</v>
      </c>
      <c r="J49" t="s">
        <v>69</v>
      </c>
      <c r="K49" t="s">
        <v>53</v>
      </c>
      <c r="L49" t="s">
        <v>65</v>
      </c>
      <c r="M49">
        <v>1</v>
      </c>
    </row>
    <row r="50" spans="1:13" x14ac:dyDescent="0.25">
      <c r="A50" s="1">
        <v>46141</v>
      </c>
      <c r="B50" s="1" t="str">
        <f ca="1">IF(Información1[[#This Row],[Fecha]]='Ajuste de fechas'!$A$2,"Día actual","Día anterior")</f>
        <v>Día actual</v>
      </c>
      <c r="C50" t="s">
        <v>51</v>
      </c>
      <c r="D50" t="s">
        <v>313</v>
      </c>
      <c r="E50" t="s">
        <v>317</v>
      </c>
      <c r="F50" t="s">
        <v>19</v>
      </c>
      <c r="G50" t="s">
        <v>154</v>
      </c>
      <c r="H50" t="s">
        <v>11</v>
      </c>
      <c r="I50" t="s">
        <v>7</v>
      </c>
      <c r="J50" t="s">
        <v>68</v>
      </c>
      <c r="K50" t="s">
        <v>53</v>
      </c>
      <c r="L50" t="s">
        <v>65</v>
      </c>
      <c r="M50">
        <v>1</v>
      </c>
    </row>
    <row r="51" spans="1:13" x14ac:dyDescent="0.25">
      <c r="A51" s="1">
        <v>46141</v>
      </c>
      <c r="B51" s="1" t="str">
        <f ca="1">IF(Información1[[#This Row],[Fecha]]='Ajuste de fechas'!$A$2,"Día actual","Día anterior")</f>
        <v>Día actual</v>
      </c>
      <c r="C51" t="s">
        <v>51</v>
      </c>
      <c r="D51" t="s">
        <v>313</v>
      </c>
      <c r="E51" t="s">
        <v>318</v>
      </c>
      <c r="F51" t="s">
        <v>24</v>
      </c>
      <c r="G51" t="s">
        <v>319</v>
      </c>
      <c r="H51" t="s">
        <v>11</v>
      </c>
      <c r="I51" t="s">
        <v>27</v>
      </c>
      <c r="J51" t="s">
        <v>64</v>
      </c>
      <c r="K51" t="s">
        <v>53</v>
      </c>
      <c r="L51" t="s">
        <v>66</v>
      </c>
      <c r="M51">
        <v>1</v>
      </c>
    </row>
    <row r="52" spans="1:13" x14ac:dyDescent="0.25">
      <c r="A52" s="1">
        <v>46141</v>
      </c>
      <c r="B52" s="1" t="str">
        <f ca="1">IF(Información1[[#This Row],[Fecha]]='Ajuste de fechas'!$A$2,"Día actual","Día anterior")</f>
        <v>Día actual</v>
      </c>
      <c r="C52" t="s">
        <v>51</v>
      </c>
      <c r="D52" t="s">
        <v>313</v>
      </c>
      <c r="E52" t="s">
        <v>320</v>
      </c>
      <c r="F52" t="s">
        <v>19</v>
      </c>
      <c r="G52" t="s">
        <v>42</v>
      </c>
      <c r="H52" t="s">
        <v>11</v>
      </c>
      <c r="I52" t="s">
        <v>7</v>
      </c>
      <c r="J52" t="s">
        <v>68</v>
      </c>
      <c r="K52" t="s">
        <v>53</v>
      </c>
      <c r="L52" t="s">
        <v>65</v>
      </c>
      <c r="M52">
        <v>1</v>
      </c>
    </row>
    <row r="53" spans="1:13" x14ac:dyDescent="0.25">
      <c r="A53" s="1">
        <v>46141</v>
      </c>
      <c r="B53" s="1" t="str">
        <f ca="1">IF(Información1[[#This Row],[Fecha]]='Ajuste de fechas'!$A$2,"Día actual","Día anterior")</f>
        <v>Día actual</v>
      </c>
      <c r="C53" t="s">
        <v>51</v>
      </c>
      <c r="D53" t="s">
        <v>313</v>
      </c>
      <c r="E53" t="s">
        <v>321</v>
      </c>
      <c r="F53" t="s">
        <v>322</v>
      </c>
      <c r="G53" t="s">
        <v>323</v>
      </c>
      <c r="H53" t="s">
        <v>11</v>
      </c>
      <c r="I53" t="s">
        <v>7</v>
      </c>
      <c r="J53" t="s">
        <v>26</v>
      </c>
      <c r="K53" t="s">
        <v>53</v>
      </c>
      <c r="L53" t="s">
        <v>65</v>
      </c>
      <c r="M53">
        <v>1</v>
      </c>
    </row>
    <row r="54" spans="1:13" x14ac:dyDescent="0.25">
      <c r="A54" s="1">
        <v>46141</v>
      </c>
      <c r="B54" s="1" t="str">
        <f ca="1">IF(Información1[[#This Row],[Fecha]]='Ajuste de fechas'!$A$2,"Día actual","Día anterior")</f>
        <v>Día actual</v>
      </c>
      <c r="C54" t="s">
        <v>51</v>
      </c>
      <c r="D54" t="s">
        <v>313</v>
      </c>
      <c r="E54" t="s">
        <v>324</v>
      </c>
      <c r="F54" t="s">
        <v>23</v>
      </c>
      <c r="G54" t="s">
        <v>212</v>
      </c>
      <c r="H54" t="s">
        <v>11</v>
      </c>
      <c r="I54" t="s">
        <v>27</v>
      </c>
      <c r="J54" t="s">
        <v>69</v>
      </c>
      <c r="K54" t="s">
        <v>53</v>
      </c>
      <c r="L54" t="s">
        <v>66</v>
      </c>
      <c r="M54">
        <v>1</v>
      </c>
    </row>
    <row r="55" spans="1:13" x14ac:dyDescent="0.25">
      <c r="A55" s="1">
        <v>46141</v>
      </c>
      <c r="B55" s="1" t="str">
        <f ca="1">IF(Información1[[#This Row],[Fecha]]='Ajuste de fechas'!$A$2,"Día actual","Día anterior")</f>
        <v>Día actual</v>
      </c>
      <c r="C55" t="s">
        <v>51</v>
      </c>
      <c r="D55" t="s">
        <v>313</v>
      </c>
      <c r="E55" t="s">
        <v>325</v>
      </c>
      <c r="F55" t="s">
        <v>22</v>
      </c>
      <c r="G55" t="s">
        <v>86</v>
      </c>
      <c r="H55" t="s">
        <v>11</v>
      </c>
      <c r="I55" t="s">
        <v>7</v>
      </c>
      <c r="J55" t="s">
        <v>26</v>
      </c>
      <c r="K55" t="s">
        <v>53</v>
      </c>
      <c r="L55" t="s">
        <v>65</v>
      </c>
      <c r="M55">
        <v>1</v>
      </c>
    </row>
    <row r="56" spans="1:13" x14ac:dyDescent="0.25">
      <c r="A56" s="1">
        <v>46141</v>
      </c>
      <c r="B56" s="1" t="str">
        <f ca="1">IF(Información1[[#This Row],[Fecha]]='Ajuste de fechas'!$A$2,"Día actual","Día anterior")</f>
        <v>Día actual</v>
      </c>
      <c r="C56" t="s">
        <v>51</v>
      </c>
      <c r="D56" t="s">
        <v>313</v>
      </c>
      <c r="E56" t="s">
        <v>326</v>
      </c>
      <c r="F56" t="s">
        <v>22</v>
      </c>
      <c r="G56" t="s">
        <v>86</v>
      </c>
      <c r="H56" t="s">
        <v>11</v>
      </c>
      <c r="I56" t="s">
        <v>7</v>
      </c>
      <c r="J56" t="s">
        <v>26</v>
      </c>
      <c r="K56" t="s">
        <v>53</v>
      </c>
      <c r="L56" t="s">
        <v>65</v>
      </c>
      <c r="M56">
        <v>1</v>
      </c>
    </row>
    <row r="57" spans="1:13" x14ac:dyDescent="0.25">
      <c r="A57" s="1">
        <v>46141</v>
      </c>
      <c r="B57" s="1" t="str">
        <f ca="1">IF(Información1[[#This Row],[Fecha]]='Ajuste de fechas'!$A$2,"Día actual","Día anterior")</f>
        <v>Día actual</v>
      </c>
      <c r="C57" t="s">
        <v>51</v>
      </c>
      <c r="D57" t="s">
        <v>313</v>
      </c>
      <c r="E57" t="s">
        <v>327</v>
      </c>
      <c r="F57" t="s">
        <v>15</v>
      </c>
      <c r="G57" t="s">
        <v>107</v>
      </c>
      <c r="H57" t="s">
        <v>11</v>
      </c>
      <c r="I57" t="s">
        <v>7</v>
      </c>
      <c r="J57" t="s">
        <v>64</v>
      </c>
      <c r="K57" t="s">
        <v>53</v>
      </c>
      <c r="L57" t="s">
        <v>65</v>
      </c>
      <c r="M57">
        <v>1</v>
      </c>
    </row>
    <row r="58" spans="1:13" x14ac:dyDescent="0.25">
      <c r="A58" s="1">
        <v>46141</v>
      </c>
      <c r="B58" s="1" t="str">
        <f ca="1">IF(Información1[[#This Row],[Fecha]]='Ajuste de fechas'!$A$2,"Día actual","Día anterior")</f>
        <v>Día actual</v>
      </c>
      <c r="C58" t="s">
        <v>51</v>
      </c>
      <c r="D58" t="s">
        <v>313</v>
      </c>
      <c r="E58" t="s">
        <v>328</v>
      </c>
      <c r="F58" t="s">
        <v>15</v>
      </c>
      <c r="G58" t="s">
        <v>107</v>
      </c>
      <c r="H58" t="s">
        <v>11</v>
      </c>
      <c r="I58" t="s">
        <v>27</v>
      </c>
      <c r="J58" t="s">
        <v>64</v>
      </c>
      <c r="K58" t="s">
        <v>53</v>
      </c>
      <c r="L58" t="s">
        <v>66</v>
      </c>
      <c r="M58">
        <v>1</v>
      </c>
    </row>
    <row r="59" spans="1:13" x14ac:dyDescent="0.25">
      <c r="A59" s="1">
        <v>46141</v>
      </c>
      <c r="B59" s="1" t="str">
        <f ca="1">IF(Información1[[#This Row],[Fecha]]='Ajuste de fechas'!$A$2,"Día actual","Día anterior")</f>
        <v>Día actual</v>
      </c>
      <c r="C59" t="s">
        <v>51</v>
      </c>
      <c r="D59" t="s">
        <v>313</v>
      </c>
      <c r="E59" t="s">
        <v>303</v>
      </c>
      <c r="F59" t="s">
        <v>21</v>
      </c>
      <c r="G59" t="s">
        <v>177</v>
      </c>
      <c r="H59" t="s">
        <v>11</v>
      </c>
      <c r="I59" t="s">
        <v>7</v>
      </c>
      <c r="J59" t="s">
        <v>64</v>
      </c>
      <c r="K59" t="s">
        <v>53</v>
      </c>
      <c r="L59" t="s">
        <v>67</v>
      </c>
      <c r="M59">
        <v>1</v>
      </c>
    </row>
    <row r="60" spans="1:13" x14ac:dyDescent="0.25">
      <c r="A60" s="1">
        <v>46141</v>
      </c>
      <c r="B60" s="1" t="str">
        <f ca="1">IF(Información1[[#This Row],[Fecha]]='Ajuste de fechas'!$A$2,"Día actual","Día anterior")</f>
        <v>Día actual</v>
      </c>
      <c r="C60" t="s">
        <v>51</v>
      </c>
      <c r="D60" t="s">
        <v>313</v>
      </c>
      <c r="E60" t="s">
        <v>329</v>
      </c>
      <c r="F60" t="s">
        <v>21</v>
      </c>
      <c r="G60" t="s">
        <v>330</v>
      </c>
      <c r="H60" t="s">
        <v>11</v>
      </c>
      <c r="I60" t="s">
        <v>27</v>
      </c>
      <c r="J60" t="s">
        <v>64</v>
      </c>
      <c r="K60" t="s">
        <v>9</v>
      </c>
      <c r="L60" t="s">
        <v>66</v>
      </c>
      <c r="M60">
        <v>1</v>
      </c>
    </row>
    <row r="61" spans="1:13" x14ac:dyDescent="0.25">
      <c r="A61" s="1">
        <v>46141</v>
      </c>
      <c r="B61" s="1" t="str">
        <f ca="1">IF(Información1[[#This Row],[Fecha]]='Ajuste de fechas'!$A$2,"Día actual","Día anterior")</f>
        <v>Día actual</v>
      </c>
      <c r="C61" t="s">
        <v>51</v>
      </c>
      <c r="D61" t="s">
        <v>313</v>
      </c>
      <c r="E61" t="s">
        <v>298</v>
      </c>
      <c r="F61" t="s">
        <v>50</v>
      </c>
      <c r="G61" t="s">
        <v>279</v>
      </c>
      <c r="H61" t="s">
        <v>11</v>
      </c>
      <c r="I61" t="s">
        <v>7</v>
      </c>
      <c r="J61" t="s">
        <v>64</v>
      </c>
      <c r="K61" t="s">
        <v>53</v>
      </c>
      <c r="L61" t="s">
        <v>67</v>
      </c>
      <c r="M61">
        <v>1</v>
      </c>
    </row>
    <row r="62" spans="1:13" x14ac:dyDescent="0.25">
      <c r="A62" s="1">
        <v>46141</v>
      </c>
      <c r="B62" s="1" t="str">
        <f ca="1">IF(Información1[[#This Row],[Fecha]]='Ajuste de fechas'!$A$2,"Día actual","Día anterior")</f>
        <v>Día actual</v>
      </c>
      <c r="C62" t="s">
        <v>51</v>
      </c>
      <c r="D62" t="s">
        <v>313</v>
      </c>
      <c r="E62" t="s">
        <v>148</v>
      </c>
      <c r="F62" t="s">
        <v>43</v>
      </c>
      <c r="G62" t="s">
        <v>149</v>
      </c>
      <c r="H62" t="s">
        <v>11</v>
      </c>
      <c r="I62" t="s">
        <v>7</v>
      </c>
      <c r="J62" t="s">
        <v>64</v>
      </c>
      <c r="K62" t="s">
        <v>53</v>
      </c>
      <c r="L62" t="s">
        <v>67</v>
      </c>
      <c r="M62">
        <v>1</v>
      </c>
    </row>
    <row r="63" spans="1:13" x14ac:dyDescent="0.25">
      <c r="A63" s="1">
        <v>46141</v>
      </c>
      <c r="B63" s="1" t="str">
        <f ca="1">IF(Información1[[#This Row],[Fecha]]='Ajuste de fechas'!$A$2,"Día actual","Día anterior")</f>
        <v>Día actual</v>
      </c>
      <c r="C63" t="s">
        <v>51</v>
      </c>
      <c r="D63" t="s">
        <v>313</v>
      </c>
      <c r="E63" t="s">
        <v>331</v>
      </c>
      <c r="F63" t="s">
        <v>19</v>
      </c>
      <c r="G63" t="s">
        <v>332</v>
      </c>
      <c r="H63" t="s">
        <v>11</v>
      </c>
      <c r="I63" t="s">
        <v>7</v>
      </c>
      <c r="J63" t="s">
        <v>68</v>
      </c>
      <c r="K63" t="s">
        <v>53</v>
      </c>
      <c r="L63" t="s">
        <v>70</v>
      </c>
      <c r="M63">
        <v>1</v>
      </c>
    </row>
    <row r="64" spans="1:13" x14ac:dyDescent="0.25">
      <c r="A64" s="1">
        <v>46140</v>
      </c>
      <c r="B64" s="1" t="str">
        <f ca="1">IF(Información1[[#This Row],[Fecha]]='Ajuste de fechas'!$A$2,"Día actual","Día anterior")</f>
        <v>Día anterior</v>
      </c>
      <c r="C64" t="s">
        <v>46</v>
      </c>
      <c r="D64" t="s">
        <v>49</v>
      </c>
      <c r="E64" t="s">
        <v>116</v>
      </c>
      <c r="F64" t="s">
        <v>19</v>
      </c>
      <c r="G64" t="s">
        <v>117</v>
      </c>
      <c r="H64" t="s">
        <v>11</v>
      </c>
      <c r="I64" t="s">
        <v>7</v>
      </c>
      <c r="J64" t="s">
        <v>68</v>
      </c>
      <c r="K64" t="s">
        <v>47</v>
      </c>
      <c r="L64" t="s">
        <v>65</v>
      </c>
      <c r="M64">
        <v>1</v>
      </c>
    </row>
    <row r="65" spans="1:13" x14ac:dyDescent="0.25">
      <c r="A65" s="1">
        <v>46140</v>
      </c>
      <c r="B65" s="1" t="str">
        <f ca="1">IF(Información1[[#This Row],[Fecha]]='Ajuste de fechas'!$A$2,"Día actual","Día anterior")</f>
        <v>Día anterior</v>
      </c>
      <c r="C65" t="s">
        <v>46</v>
      </c>
      <c r="D65" t="s">
        <v>49</v>
      </c>
      <c r="E65" t="s">
        <v>118</v>
      </c>
      <c r="F65" t="s">
        <v>23</v>
      </c>
      <c r="G65" t="s">
        <v>75</v>
      </c>
      <c r="H65" t="s">
        <v>11</v>
      </c>
      <c r="I65" t="s">
        <v>7</v>
      </c>
      <c r="J65" t="s">
        <v>69</v>
      </c>
      <c r="K65" t="s">
        <v>47</v>
      </c>
      <c r="L65" t="s">
        <v>65</v>
      </c>
      <c r="M65">
        <v>1</v>
      </c>
    </row>
    <row r="66" spans="1:13" x14ac:dyDescent="0.25">
      <c r="A66" s="1">
        <v>46140</v>
      </c>
      <c r="B66" s="1" t="str">
        <f ca="1">IF(Información1[[#This Row],[Fecha]]='Ajuste de fechas'!$A$2,"Día actual","Día anterior")</f>
        <v>Día anterior</v>
      </c>
      <c r="C66" t="s">
        <v>46</v>
      </c>
      <c r="D66" t="s">
        <v>49</v>
      </c>
      <c r="E66" t="s">
        <v>119</v>
      </c>
      <c r="F66" t="s">
        <v>23</v>
      </c>
      <c r="G66" t="s">
        <v>120</v>
      </c>
      <c r="H66" t="s">
        <v>11</v>
      </c>
      <c r="I66" t="s">
        <v>7</v>
      </c>
      <c r="J66" t="s">
        <v>69</v>
      </c>
      <c r="K66" t="s">
        <v>47</v>
      </c>
      <c r="L66" t="s">
        <v>65</v>
      </c>
      <c r="M66">
        <v>1</v>
      </c>
    </row>
    <row r="67" spans="1:13" x14ac:dyDescent="0.25">
      <c r="A67" s="1">
        <v>46140</v>
      </c>
      <c r="B67" s="1" t="str">
        <f ca="1">IF(Información1[[#This Row],[Fecha]]='Ajuste de fechas'!$A$2,"Día actual","Día anterior")</f>
        <v>Día anterior</v>
      </c>
      <c r="C67" t="s">
        <v>31</v>
      </c>
      <c r="D67" t="s">
        <v>33</v>
      </c>
      <c r="E67" t="s">
        <v>121</v>
      </c>
      <c r="F67" t="s">
        <v>23</v>
      </c>
      <c r="G67" t="s">
        <v>96</v>
      </c>
      <c r="H67" t="s">
        <v>11</v>
      </c>
      <c r="I67" t="s">
        <v>7</v>
      </c>
      <c r="J67" t="s">
        <v>69</v>
      </c>
      <c r="K67" t="s">
        <v>32</v>
      </c>
      <c r="L67" t="s">
        <v>65</v>
      </c>
      <c r="M67">
        <v>1</v>
      </c>
    </row>
    <row r="68" spans="1:13" x14ac:dyDescent="0.25">
      <c r="A68" s="1">
        <v>46140</v>
      </c>
      <c r="B68" s="1" t="str">
        <f ca="1">IF(Información1[[#This Row],[Fecha]]='Ajuste de fechas'!$A$2,"Día actual","Día anterior")</f>
        <v>Día anterior</v>
      </c>
      <c r="C68" t="s">
        <v>31</v>
      </c>
      <c r="D68" t="s">
        <v>33</v>
      </c>
      <c r="E68" t="s">
        <v>122</v>
      </c>
      <c r="F68" t="s">
        <v>19</v>
      </c>
      <c r="G68" t="s">
        <v>93</v>
      </c>
      <c r="H68" t="s">
        <v>11</v>
      </c>
      <c r="I68" t="s">
        <v>7</v>
      </c>
      <c r="J68" t="s">
        <v>68</v>
      </c>
      <c r="K68" t="s">
        <v>32</v>
      </c>
      <c r="L68" t="s">
        <v>65</v>
      </c>
      <c r="M68">
        <v>1</v>
      </c>
    </row>
    <row r="69" spans="1:13" x14ac:dyDescent="0.25">
      <c r="A69" s="1">
        <v>46140</v>
      </c>
      <c r="B69" s="1" t="str">
        <f ca="1">IF(Información1[[#This Row],[Fecha]]='Ajuste de fechas'!$A$2,"Día actual","Día anterior")</f>
        <v>Día anterior</v>
      </c>
      <c r="C69" t="s">
        <v>31</v>
      </c>
      <c r="D69" t="s">
        <v>33</v>
      </c>
      <c r="E69" t="s">
        <v>123</v>
      </c>
      <c r="F69" t="s">
        <v>81</v>
      </c>
      <c r="G69" t="s">
        <v>124</v>
      </c>
      <c r="H69" t="s">
        <v>11</v>
      </c>
      <c r="I69" t="s">
        <v>7</v>
      </c>
      <c r="J69" t="s">
        <v>64</v>
      </c>
      <c r="K69" t="s">
        <v>32</v>
      </c>
      <c r="L69" t="s">
        <v>67</v>
      </c>
      <c r="M69">
        <v>1</v>
      </c>
    </row>
    <row r="70" spans="1:13" x14ac:dyDescent="0.25">
      <c r="A70" s="1">
        <v>46140</v>
      </c>
      <c r="B70" s="1" t="str">
        <f ca="1">IF(Información1[[#This Row],[Fecha]]='Ajuste de fechas'!$A$2,"Día actual","Día anterior")</f>
        <v>Día anterior</v>
      </c>
      <c r="C70" t="s">
        <v>31</v>
      </c>
      <c r="D70" t="s">
        <v>33</v>
      </c>
      <c r="E70" t="s">
        <v>125</v>
      </c>
      <c r="F70" t="s">
        <v>50</v>
      </c>
      <c r="G70" t="s">
        <v>126</v>
      </c>
      <c r="H70" t="s">
        <v>11</v>
      </c>
      <c r="I70" t="s">
        <v>7</v>
      </c>
      <c r="J70" t="s">
        <v>64</v>
      </c>
      <c r="K70" t="s">
        <v>32</v>
      </c>
      <c r="L70" t="s">
        <v>67</v>
      </c>
      <c r="M70">
        <v>1</v>
      </c>
    </row>
    <row r="71" spans="1:13" x14ac:dyDescent="0.25">
      <c r="A71" s="1">
        <v>46140</v>
      </c>
      <c r="B71" s="1" t="str">
        <f ca="1">IF(Información1[[#This Row],[Fecha]]='Ajuste de fechas'!$A$2,"Día actual","Día anterior")</f>
        <v>Día anterior</v>
      </c>
      <c r="C71" t="s">
        <v>31</v>
      </c>
      <c r="D71" t="s">
        <v>33</v>
      </c>
      <c r="E71" t="s">
        <v>127</v>
      </c>
      <c r="F71" t="s">
        <v>50</v>
      </c>
      <c r="G71" t="s">
        <v>128</v>
      </c>
      <c r="H71" t="s">
        <v>11</v>
      </c>
      <c r="I71" t="s">
        <v>7</v>
      </c>
      <c r="J71" t="s">
        <v>64</v>
      </c>
      <c r="K71" t="s">
        <v>32</v>
      </c>
      <c r="L71" t="s">
        <v>67</v>
      </c>
      <c r="M71">
        <v>1</v>
      </c>
    </row>
    <row r="72" spans="1:13" x14ac:dyDescent="0.25">
      <c r="A72" s="1">
        <v>46140</v>
      </c>
      <c r="B72" s="1" t="str">
        <f ca="1">IF(Información1[[#This Row],[Fecha]]='Ajuste de fechas'!$A$2,"Día actual","Día anterior")</f>
        <v>Día anterior</v>
      </c>
      <c r="C72" t="s">
        <v>31</v>
      </c>
      <c r="D72" t="s">
        <v>33</v>
      </c>
      <c r="E72" t="s">
        <v>129</v>
      </c>
      <c r="F72" t="s">
        <v>22</v>
      </c>
      <c r="G72" t="s">
        <v>130</v>
      </c>
      <c r="H72" t="s">
        <v>11</v>
      </c>
      <c r="I72" t="s">
        <v>7</v>
      </c>
      <c r="J72" t="s">
        <v>26</v>
      </c>
      <c r="K72" t="s">
        <v>32</v>
      </c>
      <c r="L72" t="s">
        <v>65</v>
      </c>
      <c r="M72">
        <v>1</v>
      </c>
    </row>
    <row r="73" spans="1:13" x14ac:dyDescent="0.25">
      <c r="A73" s="1">
        <v>46140</v>
      </c>
      <c r="B73" s="1" t="str">
        <f ca="1">IF(Información1[[#This Row],[Fecha]]='Ajuste de fechas'!$A$2,"Día actual","Día anterior")</f>
        <v>Día anterior</v>
      </c>
      <c r="C73" t="s">
        <v>31</v>
      </c>
      <c r="D73" t="s">
        <v>33</v>
      </c>
      <c r="E73" t="s">
        <v>131</v>
      </c>
      <c r="F73" t="s">
        <v>89</v>
      </c>
      <c r="G73" t="s">
        <v>98</v>
      </c>
      <c r="H73" t="s">
        <v>11</v>
      </c>
      <c r="I73" t="s">
        <v>7</v>
      </c>
      <c r="J73" t="s">
        <v>64</v>
      </c>
      <c r="K73" t="s">
        <v>32</v>
      </c>
      <c r="L73" t="s">
        <v>67</v>
      </c>
      <c r="M73">
        <v>1</v>
      </c>
    </row>
    <row r="74" spans="1:13" x14ac:dyDescent="0.25">
      <c r="A74" s="1">
        <v>46140</v>
      </c>
      <c r="B74" s="1" t="str">
        <f ca="1">IF(Información1[[#This Row],[Fecha]]='Ajuste de fechas'!$A$2,"Día actual","Día anterior")</f>
        <v>Día anterior</v>
      </c>
      <c r="C74" t="s">
        <v>31</v>
      </c>
      <c r="D74" t="s">
        <v>33</v>
      </c>
      <c r="E74" t="s">
        <v>132</v>
      </c>
      <c r="F74" t="s">
        <v>28</v>
      </c>
      <c r="G74" t="s">
        <v>133</v>
      </c>
      <c r="H74" t="s">
        <v>11</v>
      </c>
      <c r="I74" t="s">
        <v>7</v>
      </c>
      <c r="J74" t="s">
        <v>64</v>
      </c>
      <c r="K74" t="s">
        <v>32</v>
      </c>
      <c r="L74" t="s">
        <v>67</v>
      </c>
      <c r="M74">
        <v>1</v>
      </c>
    </row>
    <row r="75" spans="1:13" x14ac:dyDescent="0.25">
      <c r="A75" s="1">
        <v>46140</v>
      </c>
      <c r="B75" s="1" t="str">
        <f ca="1">IF(Información1[[#This Row],[Fecha]]='Ajuste de fechas'!$A$2,"Día actual","Día anterior")</f>
        <v>Día anterior</v>
      </c>
      <c r="C75" t="s">
        <v>31</v>
      </c>
      <c r="D75" t="s">
        <v>33</v>
      </c>
      <c r="E75" t="s">
        <v>134</v>
      </c>
      <c r="F75" t="s">
        <v>28</v>
      </c>
      <c r="G75" t="s">
        <v>92</v>
      </c>
      <c r="H75" t="s">
        <v>11</v>
      </c>
      <c r="I75" t="s">
        <v>7</v>
      </c>
      <c r="J75" t="s">
        <v>64</v>
      </c>
      <c r="K75" t="s">
        <v>32</v>
      </c>
      <c r="L75" t="s">
        <v>67</v>
      </c>
      <c r="M75">
        <v>1</v>
      </c>
    </row>
    <row r="76" spans="1:13" x14ac:dyDescent="0.25">
      <c r="A76" s="1">
        <v>46140</v>
      </c>
      <c r="B76" s="1" t="str">
        <f ca="1">IF(Información1[[#This Row],[Fecha]]='Ajuste de fechas'!$A$2,"Día actual","Día anterior")</f>
        <v>Día anterior</v>
      </c>
      <c r="C76" t="s">
        <v>31</v>
      </c>
      <c r="D76" t="s">
        <v>33</v>
      </c>
      <c r="E76" t="s">
        <v>135</v>
      </c>
      <c r="F76" t="s">
        <v>136</v>
      </c>
      <c r="G76" t="s">
        <v>120</v>
      </c>
      <c r="H76" t="s">
        <v>11</v>
      </c>
      <c r="I76" t="s">
        <v>7</v>
      </c>
      <c r="J76" t="s">
        <v>64</v>
      </c>
      <c r="K76" t="s">
        <v>32</v>
      </c>
      <c r="L76" t="s">
        <v>67</v>
      </c>
      <c r="M76">
        <v>1</v>
      </c>
    </row>
    <row r="77" spans="1:13" x14ac:dyDescent="0.25">
      <c r="A77" s="1">
        <v>46140</v>
      </c>
      <c r="B77" s="1" t="str">
        <f ca="1">IF(Información1[[#This Row],[Fecha]]='Ajuste de fechas'!$A$2,"Día actual","Día anterior")</f>
        <v>Día anterior</v>
      </c>
      <c r="C77" t="s">
        <v>31</v>
      </c>
      <c r="D77" t="s">
        <v>33</v>
      </c>
      <c r="E77" t="s">
        <v>137</v>
      </c>
      <c r="F77" t="s">
        <v>108</v>
      </c>
      <c r="G77" t="s">
        <v>80</v>
      </c>
      <c r="H77" t="s">
        <v>11</v>
      </c>
      <c r="I77" t="s">
        <v>7</v>
      </c>
      <c r="J77" t="s">
        <v>64</v>
      </c>
      <c r="K77" t="s">
        <v>32</v>
      </c>
      <c r="L77" t="s">
        <v>67</v>
      </c>
      <c r="M77">
        <v>1</v>
      </c>
    </row>
    <row r="78" spans="1:13" x14ac:dyDescent="0.25">
      <c r="A78" s="1">
        <v>46140</v>
      </c>
      <c r="B78" s="1" t="str">
        <f ca="1">IF(Información1[[#This Row],[Fecha]]='Ajuste de fechas'!$A$2,"Día actual","Día anterior")</f>
        <v>Día anterior</v>
      </c>
      <c r="C78" t="s">
        <v>46</v>
      </c>
      <c r="D78" t="s">
        <v>48</v>
      </c>
      <c r="E78" t="s">
        <v>138</v>
      </c>
      <c r="F78" t="s">
        <v>23</v>
      </c>
      <c r="G78" t="s">
        <v>96</v>
      </c>
      <c r="H78" t="s">
        <v>11</v>
      </c>
      <c r="I78" t="s">
        <v>7</v>
      </c>
      <c r="J78" t="s">
        <v>69</v>
      </c>
      <c r="K78" t="s">
        <v>47</v>
      </c>
      <c r="L78" t="s">
        <v>65</v>
      </c>
      <c r="M78">
        <v>1</v>
      </c>
    </row>
    <row r="79" spans="1:13" x14ac:dyDescent="0.25">
      <c r="A79" s="1">
        <v>46140</v>
      </c>
      <c r="B79" s="1" t="str">
        <f ca="1">IF(Información1[[#This Row],[Fecha]]='Ajuste de fechas'!$A$2,"Día actual","Día anterior")</f>
        <v>Día anterior</v>
      </c>
      <c r="C79" t="s">
        <v>46</v>
      </c>
      <c r="D79" t="s">
        <v>48</v>
      </c>
      <c r="E79" t="s">
        <v>139</v>
      </c>
      <c r="F79" t="s">
        <v>19</v>
      </c>
      <c r="G79" t="s">
        <v>88</v>
      </c>
      <c r="H79" t="s">
        <v>11</v>
      </c>
      <c r="I79" t="s">
        <v>7</v>
      </c>
      <c r="J79" t="s">
        <v>68</v>
      </c>
      <c r="K79" t="s">
        <v>47</v>
      </c>
      <c r="L79" t="s">
        <v>65</v>
      </c>
      <c r="M79">
        <v>1</v>
      </c>
    </row>
    <row r="80" spans="1:13" x14ac:dyDescent="0.25">
      <c r="A80" s="1">
        <v>46140</v>
      </c>
      <c r="B80" s="1" t="str">
        <f ca="1">IF(Información1[[#This Row],[Fecha]]='Ajuste de fechas'!$A$2,"Día actual","Día anterior")</f>
        <v>Día anterior</v>
      </c>
      <c r="C80" t="s">
        <v>46</v>
      </c>
      <c r="D80" t="s">
        <v>48</v>
      </c>
      <c r="E80" t="s">
        <v>140</v>
      </c>
      <c r="F80" t="s">
        <v>19</v>
      </c>
      <c r="G80" t="s">
        <v>76</v>
      </c>
      <c r="H80" t="s">
        <v>11</v>
      </c>
      <c r="I80" t="s">
        <v>7</v>
      </c>
      <c r="J80" t="s">
        <v>68</v>
      </c>
      <c r="K80" t="s">
        <v>47</v>
      </c>
      <c r="L80" t="s">
        <v>65</v>
      </c>
      <c r="M80">
        <v>1</v>
      </c>
    </row>
    <row r="81" spans="1:13" x14ac:dyDescent="0.25">
      <c r="A81" s="1">
        <v>46140</v>
      </c>
      <c r="B81" s="1" t="str">
        <f ca="1">IF(Información1[[#This Row],[Fecha]]='Ajuste de fechas'!$A$2,"Día actual","Día anterior")</f>
        <v>Día anterior</v>
      </c>
      <c r="C81" t="s">
        <v>46</v>
      </c>
      <c r="D81" t="s">
        <v>48</v>
      </c>
      <c r="E81" t="s">
        <v>141</v>
      </c>
      <c r="F81" t="s">
        <v>6</v>
      </c>
      <c r="G81" t="s">
        <v>79</v>
      </c>
      <c r="H81" t="s">
        <v>11</v>
      </c>
      <c r="I81" t="s">
        <v>27</v>
      </c>
      <c r="J81" t="s">
        <v>64</v>
      </c>
      <c r="K81" t="s">
        <v>9</v>
      </c>
      <c r="L81" t="s">
        <v>66</v>
      </c>
      <c r="M81">
        <v>1</v>
      </c>
    </row>
    <row r="82" spans="1:13" x14ac:dyDescent="0.25">
      <c r="A82" s="1">
        <v>46140</v>
      </c>
      <c r="B82" s="1" t="str">
        <f ca="1">IF(Información1[[#This Row],[Fecha]]='Ajuste de fechas'!$A$2,"Día actual","Día anterior")</f>
        <v>Día anterior</v>
      </c>
      <c r="C82" t="s">
        <v>46</v>
      </c>
      <c r="D82" t="s">
        <v>48</v>
      </c>
      <c r="E82" t="s">
        <v>142</v>
      </c>
      <c r="F82" t="s">
        <v>21</v>
      </c>
      <c r="G82" t="s">
        <v>84</v>
      </c>
      <c r="H82" t="s">
        <v>11</v>
      </c>
      <c r="I82" t="s">
        <v>7</v>
      </c>
      <c r="J82" t="s">
        <v>64</v>
      </c>
      <c r="K82" t="s">
        <v>39</v>
      </c>
      <c r="L82" t="s">
        <v>70</v>
      </c>
      <c r="M82">
        <v>1</v>
      </c>
    </row>
    <row r="83" spans="1:13" x14ac:dyDescent="0.25">
      <c r="A83" s="1">
        <v>46140</v>
      </c>
      <c r="B83" s="1" t="str">
        <f ca="1">IF(Información1[[#This Row],[Fecha]]='Ajuste de fechas'!$A$2,"Día actual","Día anterior")</f>
        <v>Día anterior</v>
      </c>
      <c r="C83" t="s">
        <v>46</v>
      </c>
      <c r="D83" t="s">
        <v>48</v>
      </c>
      <c r="E83" t="s">
        <v>143</v>
      </c>
      <c r="F83" t="s">
        <v>6</v>
      </c>
      <c r="G83" t="s">
        <v>144</v>
      </c>
      <c r="H83" t="s">
        <v>11</v>
      </c>
      <c r="I83" t="s">
        <v>12</v>
      </c>
      <c r="J83" t="s">
        <v>64</v>
      </c>
      <c r="K83" t="s">
        <v>39</v>
      </c>
      <c r="L83" t="s">
        <v>66</v>
      </c>
      <c r="M83">
        <v>1</v>
      </c>
    </row>
    <row r="84" spans="1:13" x14ac:dyDescent="0.25">
      <c r="A84" s="1">
        <v>46140</v>
      </c>
      <c r="B84" s="1" t="str">
        <f ca="1">IF(Información1[[#This Row],[Fecha]]='Ajuste de fechas'!$A$2,"Día actual","Día anterior")</f>
        <v>Día anterior</v>
      </c>
      <c r="C84" t="s">
        <v>46</v>
      </c>
      <c r="D84" t="s">
        <v>48</v>
      </c>
      <c r="E84" t="s">
        <v>145</v>
      </c>
      <c r="F84" t="s">
        <v>24</v>
      </c>
      <c r="G84" t="s">
        <v>117</v>
      </c>
      <c r="H84" t="s">
        <v>11</v>
      </c>
      <c r="I84" t="s">
        <v>7</v>
      </c>
      <c r="J84" t="s">
        <v>64</v>
      </c>
      <c r="K84" t="s">
        <v>47</v>
      </c>
      <c r="L84" t="s">
        <v>65</v>
      </c>
      <c r="M84">
        <v>1</v>
      </c>
    </row>
    <row r="85" spans="1:13" x14ac:dyDescent="0.25">
      <c r="A85" s="1">
        <v>46140</v>
      </c>
      <c r="B85" s="1" t="str">
        <f ca="1">IF(Información1[[#This Row],[Fecha]]='Ajuste de fechas'!$A$2,"Día actual","Día anterior")</f>
        <v>Día anterior</v>
      </c>
      <c r="C85" t="s">
        <v>46</v>
      </c>
      <c r="D85" t="s">
        <v>48</v>
      </c>
      <c r="E85" t="s">
        <v>134</v>
      </c>
      <c r="F85" t="s">
        <v>28</v>
      </c>
      <c r="G85" t="s">
        <v>92</v>
      </c>
      <c r="H85" t="s">
        <v>11</v>
      </c>
      <c r="I85" t="s">
        <v>7</v>
      </c>
      <c r="J85" t="s">
        <v>64</v>
      </c>
      <c r="K85" t="s">
        <v>39</v>
      </c>
      <c r="L85" t="s">
        <v>67</v>
      </c>
      <c r="M85">
        <v>1</v>
      </c>
    </row>
    <row r="86" spans="1:13" x14ac:dyDescent="0.25">
      <c r="A86" s="1">
        <v>46140</v>
      </c>
      <c r="B86" s="1" t="str">
        <f ca="1">IF(Información1[[#This Row],[Fecha]]='Ajuste de fechas'!$A$2,"Día actual","Día anterior")</f>
        <v>Día anterior</v>
      </c>
      <c r="C86" t="s">
        <v>46</v>
      </c>
      <c r="D86" t="s">
        <v>48</v>
      </c>
      <c r="E86" t="s">
        <v>146</v>
      </c>
      <c r="F86" t="s">
        <v>25</v>
      </c>
      <c r="G86" t="s">
        <v>147</v>
      </c>
      <c r="H86" t="s">
        <v>11</v>
      </c>
      <c r="I86" t="s">
        <v>7</v>
      </c>
      <c r="J86" t="s">
        <v>64</v>
      </c>
      <c r="K86" t="s">
        <v>39</v>
      </c>
      <c r="L86" t="s">
        <v>67</v>
      </c>
      <c r="M86">
        <v>1</v>
      </c>
    </row>
    <row r="87" spans="1:13" x14ac:dyDescent="0.25">
      <c r="A87" s="1">
        <v>46140</v>
      </c>
      <c r="B87" s="1" t="str">
        <f ca="1">IF(Información1[[#This Row],[Fecha]]='Ajuste de fechas'!$A$2,"Día actual","Día anterior")</f>
        <v>Día anterior</v>
      </c>
      <c r="C87" t="s">
        <v>46</v>
      </c>
      <c r="D87" t="s">
        <v>48</v>
      </c>
      <c r="E87" t="s">
        <v>135</v>
      </c>
      <c r="F87" t="s">
        <v>136</v>
      </c>
      <c r="G87" t="s">
        <v>120</v>
      </c>
      <c r="H87" t="s">
        <v>11</v>
      </c>
      <c r="I87" t="s">
        <v>7</v>
      </c>
      <c r="J87" t="s">
        <v>64</v>
      </c>
      <c r="K87" t="s">
        <v>39</v>
      </c>
      <c r="L87" t="s">
        <v>67</v>
      </c>
      <c r="M87">
        <v>1</v>
      </c>
    </row>
    <row r="88" spans="1:13" x14ac:dyDescent="0.25">
      <c r="A88" s="1">
        <v>46140</v>
      </c>
      <c r="B88" s="1" t="str">
        <f ca="1">IF(Información1[[#This Row],[Fecha]]='Ajuste de fechas'!$A$2,"Día actual","Día anterior")</f>
        <v>Día anterior</v>
      </c>
      <c r="C88" t="s">
        <v>46</v>
      </c>
      <c r="D88" t="s">
        <v>48</v>
      </c>
      <c r="E88" t="s">
        <v>148</v>
      </c>
      <c r="F88" t="s">
        <v>43</v>
      </c>
      <c r="G88" t="s">
        <v>149</v>
      </c>
      <c r="H88" t="s">
        <v>11</v>
      </c>
      <c r="I88" t="s">
        <v>7</v>
      </c>
      <c r="J88" t="s">
        <v>64</v>
      </c>
      <c r="K88" t="s">
        <v>39</v>
      </c>
      <c r="L88" t="s">
        <v>67</v>
      </c>
      <c r="M88">
        <v>1</v>
      </c>
    </row>
    <row r="89" spans="1:13" x14ac:dyDescent="0.25">
      <c r="A89" s="1">
        <v>46140</v>
      </c>
      <c r="B89" s="1" t="str">
        <f ca="1">IF(Información1[[#This Row],[Fecha]]='Ajuste de fechas'!$A$2,"Día actual","Día anterior")</f>
        <v>Día anterior</v>
      </c>
      <c r="C89" t="s">
        <v>46</v>
      </c>
      <c r="D89" t="s">
        <v>48</v>
      </c>
      <c r="E89" t="s">
        <v>132</v>
      </c>
      <c r="F89" t="s">
        <v>28</v>
      </c>
      <c r="G89" t="s">
        <v>133</v>
      </c>
      <c r="H89" t="s">
        <v>11</v>
      </c>
      <c r="I89" t="s">
        <v>7</v>
      </c>
      <c r="J89" t="s">
        <v>64</v>
      </c>
      <c r="K89" t="s">
        <v>39</v>
      </c>
      <c r="L89" t="s">
        <v>67</v>
      </c>
      <c r="M89">
        <v>1</v>
      </c>
    </row>
    <row r="90" spans="1:13" x14ac:dyDescent="0.25">
      <c r="A90" s="1">
        <v>46140</v>
      </c>
      <c r="B90" s="1" t="str">
        <f ca="1">IF(Información1[[#This Row],[Fecha]]='Ajuste de fechas'!$A$2,"Día actual","Día anterior")</f>
        <v>Día anterior</v>
      </c>
      <c r="C90" t="s">
        <v>34</v>
      </c>
      <c r="D90" t="s">
        <v>36</v>
      </c>
      <c r="E90" t="s">
        <v>150</v>
      </c>
      <c r="F90" t="s">
        <v>23</v>
      </c>
      <c r="G90" t="s">
        <v>96</v>
      </c>
      <c r="H90" t="s">
        <v>11</v>
      </c>
      <c r="I90" t="s">
        <v>7</v>
      </c>
      <c r="J90" t="s">
        <v>69</v>
      </c>
      <c r="K90" t="s">
        <v>56</v>
      </c>
      <c r="L90" t="s">
        <v>65</v>
      </c>
      <c r="M90">
        <v>1</v>
      </c>
    </row>
    <row r="91" spans="1:13" x14ac:dyDescent="0.25">
      <c r="A91" s="1">
        <v>46140</v>
      </c>
      <c r="B91" s="1" t="str">
        <f ca="1">IF(Información1[[#This Row],[Fecha]]='Ajuste de fechas'!$A$2,"Día actual","Día anterior")</f>
        <v>Día anterior</v>
      </c>
      <c r="C91" t="s">
        <v>34</v>
      </c>
      <c r="D91" t="s">
        <v>37</v>
      </c>
      <c r="E91" t="s">
        <v>151</v>
      </c>
      <c r="F91" t="s">
        <v>23</v>
      </c>
      <c r="G91" t="s">
        <v>96</v>
      </c>
      <c r="H91" t="s">
        <v>11</v>
      </c>
      <c r="I91" t="s">
        <v>7</v>
      </c>
      <c r="J91" t="s">
        <v>69</v>
      </c>
      <c r="K91" t="s">
        <v>35</v>
      </c>
      <c r="L91" t="s">
        <v>65</v>
      </c>
      <c r="M91">
        <v>1</v>
      </c>
    </row>
    <row r="92" spans="1:13" x14ac:dyDescent="0.25">
      <c r="A92" s="1">
        <v>46140</v>
      </c>
      <c r="B92" s="1" t="str">
        <f ca="1">IF(Información1[[#This Row],[Fecha]]='Ajuste de fechas'!$A$2,"Día actual","Día anterior")</f>
        <v>Día anterior</v>
      </c>
      <c r="C92" t="s">
        <v>8</v>
      </c>
      <c r="D92" t="s">
        <v>10</v>
      </c>
      <c r="E92" t="s">
        <v>152</v>
      </c>
      <c r="F92" t="s">
        <v>23</v>
      </c>
      <c r="G92" t="s">
        <v>96</v>
      </c>
      <c r="H92" t="s">
        <v>11</v>
      </c>
      <c r="I92" t="s">
        <v>7</v>
      </c>
      <c r="J92" t="s">
        <v>69</v>
      </c>
      <c r="K92" t="s">
        <v>14</v>
      </c>
      <c r="L92" t="s">
        <v>65</v>
      </c>
      <c r="M92">
        <v>1</v>
      </c>
    </row>
    <row r="93" spans="1:13" x14ac:dyDescent="0.25">
      <c r="A93" s="1">
        <v>46140</v>
      </c>
      <c r="B93" s="1" t="str">
        <f ca="1">IF(Información1[[#This Row],[Fecha]]='Ajuste de fechas'!$A$2,"Día actual","Día anterior")</f>
        <v>Día anterior</v>
      </c>
      <c r="C93" t="s">
        <v>34</v>
      </c>
      <c r="D93" t="s">
        <v>36</v>
      </c>
      <c r="E93" t="s">
        <v>153</v>
      </c>
      <c r="F93" t="s">
        <v>19</v>
      </c>
      <c r="G93" t="s">
        <v>154</v>
      </c>
      <c r="H93" t="s">
        <v>11</v>
      </c>
      <c r="I93" t="s">
        <v>27</v>
      </c>
      <c r="J93" t="s">
        <v>68</v>
      </c>
      <c r="K93" t="s">
        <v>56</v>
      </c>
      <c r="L93" t="s">
        <v>65</v>
      </c>
      <c r="M93">
        <v>1</v>
      </c>
    </row>
    <row r="94" spans="1:13" x14ac:dyDescent="0.25">
      <c r="A94" s="1">
        <v>46140</v>
      </c>
      <c r="B94" s="1" t="str">
        <f ca="1">IF(Información1[[#This Row],[Fecha]]='Ajuste de fechas'!$A$2,"Día actual","Día anterior")</f>
        <v>Día anterior</v>
      </c>
      <c r="C94" t="s">
        <v>34</v>
      </c>
      <c r="D94" t="s">
        <v>36</v>
      </c>
      <c r="E94" t="s">
        <v>155</v>
      </c>
      <c r="F94" t="s">
        <v>19</v>
      </c>
      <c r="G94" t="s">
        <v>156</v>
      </c>
      <c r="H94" t="s">
        <v>11</v>
      </c>
      <c r="I94" t="s">
        <v>7</v>
      </c>
      <c r="J94" t="s">
        <v>68</v>
      </c>
      <c r="K94" t="s">
        <v>56</v>
      </c>
      <c r="L94" t="s">
        <v>65</v>
      </c>
      <c r="M94">
        <v>1</v>
      </c>
    </row>
    <row r="95" spans="1:13" x14ac:dyDescent="0.25">
      <c r="A95" s="1">
        <v>46140</v>
      </c>
      <c r="B95" s="1" t="str">
        <f ca="1">IF(Información1[[#This Row],[Fecha]]='Ajuste de fechas'!$A$2,"Día actual","Día anterior")</f>
        <v>Día anterior</v>
      </c>
      <c r="C95" t="s">
        <v>34</v>
      </c>
      <c r="D95" t="s">
        <v>37</v>
      </c>
      <c r="E95" t="s">
        <v>157</v>
      </c>
      <c r="F95" t="s">
        <v>21</v>
      </c>
      <c r="G95" t="s">
        <v>90</v>
      </c>
      <c r="H95" t="s">
        <v>11</v>
      </c>
      <c r="I95" t="s">
        <v>7</v>
      </c>
      <c r="J95" t="s">
        <v>64</v>
      </c>
      <c r="K95" t="s">
        <v>35</v>
      </c>
      <c r="L95" t="s">
        <v>65</v>
      </c>
      <c r="M95">
        <v>1</v>
      </c>
    </row>
    <row r="96" spans="1:13" x14ac:dyDescent="0.25">
      <c r="A96" s="1">
        <v>46140</v>
      </c>
      <c r="B96" s="1" t="str">
        <f ca="1">IF(Información1[[#This Row],[Fecha]]='Ajuste de fechas'!$A$2,"Día actual","Día anterior")</f>
        <v>Día anterior</v>
      </c>
      <c r="C96" t="s">
        <v>158</v>
      </c>
      <c r="D96" t="s">
        <v>159</v>
      </c>
      <c r="E96" t="s">
        <v>97</v>
      </c>
      <c r="F96" t="s">
        <v>89</v>
      </c>
      <c r="G96" t="s">
        <v>98</v>
      </c>
      <c r="H96" t="s">
        <v>11</v>
      </c>
      <c r="I96" t="s">
        <v>7</v>
      </c>
      <c r="J96" t="s">
        <v>64</v>
      </c>
      <c r="K96" t="s">
        <v>160</v>
      </c>
      <c r="L96" t="s">
        <v>67</v>
      </c>
      <c r="M96">
        <v>1</v>
      </c>
    </row>
    <row r="97" spans="1:13" x14ac:dyDescent="0.25">
      <c r="A97" s="1">
        <v>46140</v>
      </c>
      <c r="B97" s="1" t="str">
        <f ca="1">IF(Información1[[#This Row],[Fecha]]='Ajuste de fechas'!$A$2,"Día actual","Día anterior")</f>
        <v>Día anterior</v>
      </c>
      <c r="C97" t="s">
        <v>34</v>
      </c>
      <c r="D97" t="s">
        <v>37</v>
      </c>
      <c r="E97" t="s">
        <v>97</v>
      </c>
      <c r="F97" t="s">
        <v>89</v>
      </c>
      <c r="G97" t="s">
        <v>98</v>
      </c>
      <c r="H97" t="s">
        <v>11</v>
      </c>
      <c r="I97" t="s">
        <v>7</v>
      </c>
      <c r="J97" t="s">
        <v>64</v>
      </c>
      <c r="K97" t="s">
        <v>35</v>
      </c>
      <c r="L97" t="s">
        <v>67</v>
      </c>
      <c r="M97">
        <v>1</v>
      </c>
    </row>
    <row r="98" spans="1:13" x14ac:dyDescent="0.25">
      <c r="A98" s="1">
        <v>46140</v>
      </c>
      <c r="B98" s="1" t="str">
        <f ca="1">IF(Información1[[#This Row],[Fecha]]='Ajuste de fechas'!$A$2,"Día actual","Día anterior")</f>
        <v>Día anterior</v>
      </c>
      <c r="C98" t="s">
        <v>8</v>
      </c>
      <c r="D98" t="s">
        <v>10</v>
      </c>
      <c r="E98" t="s">
        <v>20</v>
      </c>
      <c r="F98" t="s">
        <v>19</v>
      </c>
      <c r="G98" t="s">
        <v>55</v>
      </c>
      <c r="H98" t="s">
        <v>11</v>
      </c>
      <c r="I98" t="s">
        <v>12</v>
      </c>
      <c r="J98" t="s">
        <v>68</v>
      </c>
      <c r="K98" t="s">
        <v>14</v>
      </c>
      <c r="L98" t="s">
        <v>66</v>
      </c>
      <c r="M98">
        <v>1</v>
      </c>
    </row>
    <row r="99" spans="1:13" x14ac:dyDescent="0.25">
      <c r="A99" s="1">
        <v>46140</v>
      </c>
      <c r="B99" s="1" t="str">
        <f ca="1">IF(Información1[[#This Row],[Fecha]]='Ajuste de fechas'!$A$2,"Día actual","Día anterior")</f>
        <v>Día anterior</v>
      </c>
      <c r="C99" t="s">
        <v>8</v>
      </c>
      <c r="D99" t="s">
        <v>10</v>
      </c>
      <c r="E99" t="s">
        <v>18</v>
      </c>
      <c r="F99" t="s">
        <v>19</v>
      </c>
      <c r="G99" t="s">
        <v>55</v>
      </c>
      <c r="H99" t="s">
        <v>11</v>
      </c>
      <c r="I99" t="s">
        <v>12</v>
      </c>
      <c r="J99" t="s">
        <v>68</v>
      </c>
      <c r="K99" t="s">
        <v>14</v>
      </c>
      <c r="L99" t="s">
        <v>66</v>
      </c>
      <c r="M99">
        <v>1</v>
      </c>
    </row>
    <row r="100" spans="1:13" x14ac:dyDescent="0.25">
      <c r="A100" s="1">
        <v>46140</v>
      </c>
      <c r="B100" s="1" t="str">
        <f ca="1">IF(Información1[[#This Row],[Fecha]]='Ajuste de fechas'!$A$2,"Día actual","Día anterior")</f>
        <v>Día anterior</v>
      </c>
      <c r="C100" t="s">
        <v>8</v>
      </c>
      <c r="D100" t="s">
        <v>10</v>
      </c>
      <c r="E100" t="s">
        <v>54</v>
      </c>
      <c r="F100" t="s">
        <v>22</v>
      </c>
      <c r="G100" t="s">
        <v>55</v>
      </c>
      <c r="H100" t="s">
        <v>11</v>
      </c>
      <c r="I100" t="s">
        <v>12</v>
      </c>
      <c r="J100" t="s">
        <v>26</v>
      </c>
      <c r="K100" t="s">
        <v>14</v>
      </c>
      <c r="L100" t="s">
        <v>66</v>
      </c>
      <c r="M100">
        <v>1</v>
      </c>
    </row>
    <row r="101" spans="1:13" x14ac:dyDescent="0.25">
      <c r="A101" s="1">
        <v>46140</v>
      </c>
      <c r="B101" s="1" t="str">
        <f ca="1">IF(Información1[[#This Row],[Fecha]]='Ajuste de fechas'!$A$2,"Día actual","Día anterior")</f>
        <v>Día anterior</v>
      </c>
      <c r="C101" t="s">
        <v>8</v>
      </c>
      <c r="D101" t="s">
        <v>10</v>
      </c>
      <c r="E101" t="s">
        <v>85</v>
      </c>
      <c r="F101" t="s">
        <v>21</v>
      </c>
      <c r="G101" t="s">
        <v>55</v>
      </c>
      <c r="H101" t="s">
        <v>11</v>
      </c>
      <c r="I101" t="s">
        <v>12</v>
      </c>
      <c r="J101" t="s">
        <v>64</v>
      </c>
      <c r="K101" t="s">
        <v>14</v>
      </c>
      <c r="L101" t="s">
        <v>66</v>
      </c>
      <c r="M101">
        <v>1</v>
      </c>
    </row>
    <row r="102" spans="1:13" x14ac:dyDescent="0.25">
      <c r="A102" s="1">
        <v>46140</v>
      </c>
      <c r="B102" s="1" t="str">
        <f ca="1">IF(Información1[[#This Row],[Fecha]]='Ajuste de fechas'!$A$2,"Día actual","Día anterior")</f>
        <v>Día anterior</v>
      </c>
      <c r="C102" t="s">
        <v>8</v>
      </c>
      <c r="D102" t="s">
        <v>10</v>
      </c>
      <c r="E102" t="s">
        <v>13</v>
      </c>
      <c r="F102" t="s">
        <v>15</v>
      </c>
      <c r="G102" t="s">
        <v>55</v>
      </c>
      <c r="H102" t="s">
        <v>11</v>
      </c>
      <c r="I102" t="s">
        <v>12</v>
      </c>
      <c r="J102" t="s">
        <v>64</v>
      </c>
      <c r="K102" t="s">
        <v>14</v>
      </c>
      <c r="L102" t="s">
        <v>66</v>
      </c>
      <c r="M102">
        <v>1</v>
      </c>
    </row>
    <row r="103" spans="1:13" x14ac:dyDescent="0.25">
      <c r="A103" s="1">
        <v>46140</v>
      </c>
      <c r="B103" s="1" t="str">
        <f ca="1">IF(Información1[[#This Row],[Fecha]]='Ajuste de fechas'!$A$2,"Día actual","Día anterior")</f>
        <v>Día anterior</v>
      </c>
      <c r="C103" t="s">
        <v>8</v>
      </c>
      <c r="D103" t="s">
        <v>10</v>
      </c>
      <c r="E103" t="s">
        <v>16</v>
      </c>
      <c r="F103" t="s">
        <v>17</v>
      </c>
      <c r="G103" t="s">
        <v>55</v>
      </c>
      <c r="H103" t="s">
        <v>11</v>
      </c>
      <c r="I103" t="s">
        <v>12</v>
      </c>
      <c r="J103" t="s">
        <v>64</v>
      </c>
      <c r="K103" t="s">
        <v>14</v>
      </c>
      <c r="L103" t="s">
        <v>66</v>
      </c>
      <c r="M103">
        <v>1</v>
      </c>
    </row>
    <row r="104" spans="1:13" x14ac:dyDescent="0.25">
      <c r="A104" s="1">
        <v>46140</v>
      </c>
      <c r="B104" s="1" t="str">
        <f ca="1">IF(Información1[[#This Row],[Fecha]]='Ajuste de fechas'!$A$2,"Día actual","Día anterior")</f>
        <v>Día anterior</v>
      </c>
      <c r="C104" t="s">
        <v>8</v>
      </c>
      <c r="D104" t="s">
        <v>10</v>
      </c>
      <c r="E104" t="s">
        <v>57</v>
      </c>
      <c r="F104" t="s">
        <v>6</v>
      </c>
      <c r="G104" t="s">
        <v>55</v>
      </c>
      <c r="H104" t="s">
        <v>11</v>
      </c>
      <c r="I104" t="s">
        <v>12</v>
      </c>
      <c r="J104" t="s">
        <v>64</v>
      </c>
      <c r="K104" t="s">
        <v>14</v>
      </c>
      <c r="L104" t="s">
        <v>66</v>
      </c>
      <c r="M104">
        <v>1</v>
      </c>
    </row>
    <row r="105" spans="1:13" x14ac:dyDescent="0.25">
      <c r="A105" s="1">
        <v>46140</v>
      </c>
      <c r="B105" s="1" t="str">
        <f ca="1">IF(Información1[[#This Row],[Fecha]]='Ajuste de fechas'!$A$2,"Día actual","Día anterior")</f>
        <v>Día anterior</v>
      </c>
      <c r="C105" t="s">
        <v>34</v>
      </c>
      <c r="D105" t="s">
        <v>37</v>
      </c>
      <c r="E105" t="s">
        <v>161</v>
      </c>
      <c r="F105" t="s">
        <v>101</v>
      </c>
      <c r="G105" t="s">
        <v>162</v>
      </c>
      <c r="H105" t="s">
        <v>11</v>
      </c>
      <c r="I105" t="s">
        <v>7</v>
      </c>
      <c r="J105" t="s">
        <v>64</v>
      </c>
      <c r="K105" t="s">
        <v>35</v>
      </c>
      <c r="L105" t="s">
        <v>65</v>
      </c>
      <c r="M105">
        <v>1</v>
      </c>
    </row>
    <row r="106" spans="1:13" x14ac:dyDescent="0.25">
      <c r="A106" s="1">
        <v>46140</v>
      </c>
      <c r="B106" s="1" t="str">
        <f ca="1">IF(Información1[[#This Row],[Fecha]]='Ajuste de fechas'!$A$2,"Día actual","Día anterior")</f>
        <v>Día anterior</v>
      </c>
      <c r="C106" t="s">
        <v>34</v>
      </c>
      <c r="D106" t="s">
        <v>36</v>
      </c>
      <c r="E106" t="s">
        <v>163</v>
      </c>
      <c r="F106" t="s">
        <v>28</v>
      </c>
      <c r="G106" t="s">
        <v>164</v>
      </c>
      <c r="H106" t="s">
        <v>11</v>
      </c>
      <c r="I106" t="s">
        <v>7</v>
      </c>
      <c r="J106" t="s">
        <v>64</v>
      </c>
      <c r="K106" t="s">
        <v>56</v>
      </c>
      <c r="L106" t="s">
        <v>65</v>
      </c>
      <c r="M106">
        <v>1</v>
      </c>
    </row>
    <row r="107" spans="1:13" x14ac:dyDescent="0.25">
      <c r="A107" s="1">
        <v>46140</v>
      </c>
      <c r="B107" s="1" t="str">
        <f ca="1">IF(Información1[[#This Row],[Fecha]]='Ajuste de fechas'!$A$2,"Día actual","Día anterior")</f>
        <v>Día anterior</v>
      </c>
      <c r="C107" t="s">
        <v>34</v>
      </c>
      <c r="D107" t="s">
        <v>37</v>
      </c>
      <c r="E107" t="s">
        <v>165</v>
      </c>
      <c r="F107" t="s">
        <v>23</v>
      </c>
      <c r="G107" t="s">
        <v>166</v>
      </c>
      <c r="H107" t="s">
        <v>11</v>
      </c>
      <c r="I107" t="s">
        <v>27</v>
      </c>
      <c r="J107" t="s">
        <v>69</v>
      </c>
      <c r="K107" t="s">
        <v>35</v>
      </c>
      <c r="L107" t="s">
        <v>65</v>
      </c>
      <c r="M107">
        <v>1</v>
      </c>
    </row>
    <row r="108" spans="1:13" x14ac:dyDescent="0.25">
      <c r="A108" s="1">
        <v>46140</v>
      </c>
      <c r="B108" s="1" t="str">
        <f ca="1">IF(Información1[[#This Row],[Fecha]]='Ajuste de fechas'!$A$2,"Día actual","Día anterior")</f>
        <v>Día anterior</v>
      </c>
      <c r="C108" t="s">
        <v>34</v>
      </c>
      <c r="D108" t="s">
        <v>36</v>
      </c>
      <c r="E108" t="s">
        <v>167</v>
      </c>
      <c r="F108" t="s">
        <v>28</v>
      </c>
      <c r="G108" t="s">
        <v>104</v>
      </c>
      <c r="H108" t="s">
        <v>11</v>
      </c>
      <c r="I108" t="s">
        <v>7</v>
      </c>
      <c r="J108" t="s">
        <v>64</v>
      </c>
      <c r="K108" t="s">
        <v>56</v>
      </c>
      <c r="L108" t="s">
        <v>65</v>
      </c>
      <c r="M108">
        <v>1</v>
      </c>
    </row>
    <row r="109" spans="1:13" x14ac:dyDescent="0.25">
      <c r="A109" s="1">
        <v>46140</v>
      </c>
      <c r="B109" s="1" t="str">
        <f ca="1">IF(Información1[[#This Row],[Fecha]]='Ajuste de fechas'!$A$2,"Día actual","Día anterior")</f>
        <v>Día anterior</v>
      </c>
      <c r="C109" t="s">
        <v>34</v>
      </c>
      <c r="D109" t="s">
        <v>36</v>
      </c>
      <c r="E109" t="s">
        <v>168</v>
      </c>
      <c r="F109" t="s">
        <v>169</v>
      </c>
      <c r="G109" t="s">
        <v>170</v>
      </c>
      <c r="H109" t="s">
        <v>11</v>
      </c>
      <c r="I109" t="s">
        <v>27</v>
      </c>
      <c r="J109" t="s">
        <v>26</v>
      </c>
      <c r="K109" t="s">
        <v>56</v>
      </c>
      <c r="L109" t="s">
        <v>65</v>
      </c>
      <c r="M109">
        <v>1</v>
      </c>
    </row>
    <row r="110" spans="1:13" x14ac:dyDescent="0.25">
      <c r="A110" s="1">
        <v>46140</v>
      </c>
      <c r="B110" s="1" t="str">
        <f ca="1">IF(Información1[[#This Row],[Fecha]]='Ajuste de fechas'!$A$2,"Día actual","Día anterior")</f>
        <v>Día anterior</v>
      </c>
      <c r="C110" t="s">
        <v>8</v>
      </c>
      <c r="D110" t="s">
        <v>10</v>
      </c>
      <c r="E110" t="s">
        <v>171</v>
      </c>
      <c r="F110" t="s">
        <v>19</v>
      </c>
      <c r="G110" t="s">
        <v>78</v>
      </c>
      <c r="H110" t="s">
        <v>11</v>
      </c>
      <c r="I110" t="s">
        <v>7</v>
      </c>
      <c r="J110" t="s">
        <v>68</v>
      </c>
      <c r="K110" t="s">
        <v>14</v>
      </c>
      <c r="L110" t="s">
        <v>70</v>
      </c>
      <c r="M110">
        <v>1</v>
      </c>
    </row>
    <row r="111" spans="1:13" x14ac:dyDescent="0.25">
      <c r="A111" s="1">
        <v>46140</v>
      </c>
      <c r="B111" s="1" t="str">
        <f ca="1">IF(Información1[[#This Row],[Fecha]]='Ajuste de fechas'!$A$2,"Día actual","Día anterior")</f>
        <v>Día anterior</v>
      </c>
      <c r="C111" t="s">
        <v>158</v>
      </c>
      <c r="D111" t="s">
        <v>159</v>
      </c>
      <c r="E111" t="s">
        <v>172</v>
      </c>
      <c r="F111" t="s">
        <v>21</v>
      </c>
      <c r="G111" t="s">
        <v>173</v>
      </c>
      <c r="H111" t="s">
        <v>11</v>
      </c>
      <c r="I111" t="s">
        <v>7</v>
      </c>
      <c r="J111" t="s">
        <v>64</v>
      </c>
      <c r="K111" t="s">
        <v>160</v>
      </c>
      <c r="L111" t="s">
        <v>67</v>
      </c>
      <c r="M111">
        <v>1</v>
      </c>
    </row>
    <row r="112" spans="1:13" x14ac:dyDescent="0.25">
      <c r="A112" s="1">
        <v>46140</v>
      </c>
      <c r="B112" s="1" t="str">
        <f ca="1">IF(Información1[[#This Row],[Fecha]]='Ajuste de fechas'!$A$2,"Día actual","Día anterior")</f>
        <v>Día anterior</v>
      </c>
      <c r="C112" t="s">
        <v>34</v>
      </c>
      <c r="D112" t="s">
        <v>36</v>
      </c>
      <c r="E112" t="s">
        <v>174</v>
      </c>
      <c r="F112" t="s">
        <v>24</v>
      </c>
      <c r="G112" t="s">
        <v>175</v>
      </c>
      <c r="H112" t="s">
        <v>11</v>
      </c>
      <c r="I112" t="s">
        <v>27</v>
      </c>
      <c r="J112" t="s">
        <v>64</v>
      </c>
      <c r="K112" t="s">
        <v>56</v>
      </c>
      <c r="L112" t="s">
        <v>65</v>
      </c>
      <c r="M112">
        <v>1</v>
      </c>
    </row>
    <row r="113" spans="1:13" x14ac:dyDescent="0.25">
      <c r="A113" s="1">
        <v>46140</v>
      </c>
      <c r="B113" s="1" t="str">
        <f ca="1">IF(Información1[[#This Row],[Fecha]]='Ajuste de fechas'!$A$2,"Día actual","Día anterior")</f>
        <v>Día anterior</v>
      </c>
      <c r="C113" t="s">
        <v>34</v>
      </c>
      <c r="D113" t="s">
        <v>37</v>
      </c>
      <c r="E113" t="s">
        <v>176</v>
      </c>
      <c r="F113" t="s">
        <v>21</v>
      </c>
      <c r="G113" t="s">
        <v>177</v>
      </c>
      <c r="H113" t="s">
        <v>11</v>
      </c>
      <c r="I113" t="s">
        <v>7</v>
      </c>
      <c r="J113" t="s">
        <v>64</v>
      </c>
      <c r="K113" t="s">
        <v>35</v>
      </c>
      <c r="L113" t="s">
        <v>65</v>
      </c>
      <c r="M113">
        <v>1</v>
      </c>
    </row>
    <row r="114" spans="1:13" x14ac:dyDescent="0.25">
      <c r="A114" s="1">
        <v>46140</v>
      </c>
      <c r="B114" s="1" t="str">
        <f ca="1">IF(Información1[[#This Row],[Fecha]]='Ajuste de fechas'!$A$2,"Día actual","Día anterior")</f>
        <v>Día anterior</v>
      </c>
      <c r="C114" t="s">
        <v>158</v>
      </c>
      <c r="D114" t="s">
        <v>159</v>
      </c>
      <c r="E114" t="s">
        <v>178</v>
      </c>
      <c r="F114" t="s">
        <v>101</v>
      </c>
      <c r="G114" t="s">
        <v>102</v>
      </c>
      <c r="H114" t="s">
        <v>11</v>
      </c>
      <c r="I114" t="s">
        <v>12</v>
      </c>
      <c r="J114" t="s">
        <v>64</v>
      </c>
      <c r="K114" t="s">
        <v>160</v>
      </c>
      <c r="L114" t="s">
        <v>67</v>
      </c>
      <c r="M114">
        <v>1</v>
      </c>
    </row>
    <row r="115" spans="1:13" x14ac:dyDescent="0.25">
      <c r="A115" s="1">
        <v>46140</v>
      </c>
      <c r="B115" s="1" t="str">
        <f ca="1">IF(Información1[[#This Row],[Fecha]]='Ajuste de fechas'!$A$2,"Día actual","Día anterior")</f>
        <v>Día anterior</v>
      </c>
      <c r="C115" t="s">
        <v>34</v>
      </c>
      <c r="D115" t="s">
        <v>37</v>
      </c>
      <c r="E115" t="s">
        <v>178</v>
      </c>
      <c r="F115" t="s">
        <v>101</v>
      </c>
      <c r="G115" t="s">
        <v>102</v>
      </c>
      <c r="H115" t="s">
        <v>11</v>
      </c>
      <c r="I115" t="s">
        <v>7</v>
      </c>
      <c r="J115" t="s">
        <v>64</v>
      </c>
      <c r="K115" t="s">
        <v>35</v>
      </c>
      <c r="L115" t="s">
        <v>67</v>
      </c>
      <c r="M115">
        <v>1</v>
      </c>
    </row>
    <row r="116" spans="1:13" x14ac:dyDescent="0.25">
      <c r="A116" s="1">
        <v>46140</v>
      </c>
      <c r="B116" s="1" t="str">
        <f ca="1">IF(Información1[[#This Row],[Fecha]]='Ajuste de fechas'!$A$2,"Día actual","Día anterior")</f>
        <v>Día anterior</v>
      </c>
      <c r="C116" t="s">
        <v>34</v>
      </c>
      <c r="D116" t="s">
        <v>37</v>
      </c>
      <c r="E116" t="s">
        <v>179</v>
      </c>
      <c r="F116" t="s">
        <v>23</v>
      </c>
      <c r="G116" t="s">
        <v>111</v>
      </c>
      <c r="H116" t="s">
        <v>11</v>
      </c>
      <c r="I116" t="s">
        <v>7</v>
      </c>
      <c r="J116" t="s">
        <v>69</v>
      </c>
      <c r="K116" t="s">
        <v>35</v>
      </c>
      <c r="L116" t="s">
        <v>65</v>
      </c>
      <c r="M116">
        <v>1</v>
      </c>
    </row>
    <row r="117" spans="1:13" x14ac:dyDescent="0.25">
      <c r="A117" s="1">
        <v>46140</v>
      </c>
      <c r="B117" s="1" t="str">
        <f ca="1">IF(Información1[[#This Row],[Fecha]]='Ajuste de fechas'!$A$2,"Día actual","Día anterior")</f>
        <v>Día anterior</v>
      </c>
      <c r="C117" t="s">
        <v>34</v>
      </c>
      <c r="D117" t="s">
        <v>37</v>
      </c>
      <c r="E117" t="s">
        <v>180</v>
      </c>
      <c r="F117" t="s">
        <v>89</v>
      </c>
      <c r="G117" t="s">
        <v>80</v>
      </c>
      <c r="H117" t="s">
        <v>11</v>
      </c>
      <c r="I117" t="s">
        <v>7</v>
      </c>
      <c r="J117" t="s">
        <v>64</v>
      </c>
      <c r="K117" t="s">
        <v>35</v>
      </c>
      <c r="L117" t="s">
        <v>65</v>
      </c>
      <c r="M117">
        <v>1</v>
      </c>
    </row>
    <row r="118" spans="1:13" x14ac:dyDescent="0.25">
      <c r="A118" s="1">
        <v>46140</v>
      </c>
      <c r="B118" s="1" t="str">
        <f ca="1">IF(Información1[[#This Row],[Fecha]]='Ajuste de fechas'!$A$2,"Día actual","Día anterior")</f>
        <v>Día anterior</v>
      </c>
      <c r="C118" t="s">
        <v>34</v>
      </c>
      <c r="D118" t="s">
        <v>37</v>
      </c>
      <c r="E118" t="s">
        <v>181</v>
      </c>
      <c r="F118" t="s">
        <v>23</v>
      </c>
      <c r="G118" t="s">
        <v>80</v>
      </c>
      <c r="H118" t="s">
        <v>11</v>
      </c>
      <c r="I118" t="s">
        <v>7</v>
      </c>
      <c r="J118" t="s">
        <v>69</v>
      </c>
      <c r="K118" t="s">
        <v>35</v>
      </c>
      <c r="L118" t="s">
        <v>65</v>
      </c>
      <c r="M118">
        <v>1</v>
      </c>
    </row>
    <row r="119" spans="1:13" x14ac:dyDescent="0.25">
      <c r="A119" s="1">
        <v>46140</v>
      </c>
      <c r="B119" s="1" t="str">
        <f ca="1">IF(Información1[[#This Row],[Fecha]]='Ajuste de fechas'!$A$2,"Día actual","Día anterior")</f>
        <v>Día anterior</v>
      </c>
      <c r="C119" t="s">
        <v>34</v>
      </c>
      <c r="D119" t="s">
        <v>36</v>
      </c>
      <c r="E119" t="s">
        <v>182</v>
      </c>
      <c r="F119" t="s">
        <v>19</v>
      </c>
      <c r="G119" t="s">
        <v>106</v>
      </c>
      <c r="H119" t="s">
        <v>11</v>
      </c>
      <c r="I119" t="s">
        <v>7</v>
      </c>
      <c r="J119" t="s">
        <v>68</v>
      </c>
      <c r="K119" t="s">
        <v>56</v>
      </c>
      <c r="L119" t="s">
        <v>65</v>
      </c>
      <c r="M119">
        <v>1</v>
      </c>
    </row>
    <row r="120" spans="1:13" x14ac:dyDescent="0.25">
      <c r="A120" s="1">
        <v>46140</v>
      </c>
      <c r="B120" s="1" t="str">
        <f ca="1">IF(Información1[[#This Row],[Fecha]]='Ajuste de fechas'!$A$2,"Día actual","Día anterior")</f>
        <v>Día anterior</v>
      </c>
      <c r="C120" t="s">
        <v>8</v>
      </c>
      <c r="D120" t="s">
        <v>10</v>
      </c>
      <c r="E120" t="s">
        <v>183</v>
      </c>
      <c r="F120" t="s">
        <v>19</v>
      </c>
      <c r="G120" t="s">
        <v>29</v>
      </c>
      <c r="H120" t="s">
        <v>11</v>
      </c>
      <c r="I120" t="s">
        <v>27</v>
      </c>
      <c r="J120" t="s">
        <v>68</v>
      </c>
      <c r="K120" t="s">
        <v>9</v>
      </c>
      <c r="L120" t="s">
        <v>66</v>
      </c>
      <c r="M120">
        <v>1</v>
      </c>
    </row>
    <row r="121" spans="1:13" x14ac:dyDescent="0.25">
      <c r="A121" s="1">
        <v>46140</v>
      </c>
      <c r="B121" s="1" t="str">
        <f ca="1">IF(Información1[[#This Row],[Fecha]]='Ajuste de fechas'!$A$2,"Día actual","Día anterior")</f>
        <v>Día anterior</v>
      </c>
      <c r="C121" t="s">
        <v>34</v>
      </c>
      <c r="D121" t="s">
        <v>36</v>
      </c>
      <c r="E121" t="s">
        <v>137</v>
      </c>
      <c r="F121" t="s">
        <v>108</v>
      </c>
      <c r="G121" t="s">
        <v>105</v>
      </c>
      <c r="H121" t="s">
        <v>11</v>
      </c>
      <c r="I121" t="s">
        <v>7</v>
      </c>
      <c r="J121" t="s">
        <v>64</v>
      </c>
      <c r="K121" t="s">
        <v>56</v>
      </c>
      <c r="L121" t="s">
        <v>67</v>
      </c>
      <c r="M121">
        <v>1</v>
      </c>
    </row>
    <row r="122" spans="1:13" x14ac:dyDescent="0.25">
      <c r="A122" s="1">
        <v>46140</v>
      </c>
      <c r="B122" s="1" t="str">
        <f ca="1">IF(Información1[[#This Row],[Fecha]]='Ajuste de fechas'!$A$2,"Día actual","Día anterior")</f>
        <v>Día anterior</v>
      </c>
      <c r="C122" t="s">
        <v>8</v>
      </c>
      <c r="D122" t="s">
        <v>10</v>
      </c>
      <c r="E122" t="s">
        <v>184</v>
      </c>
      <c r="F122" t="s">
        <v>23</v>
      </c>
      <c r="G122" t="s">
        <v>185</v>
      </c>
      <c r="H122" t="s">
        <v>11</v>
      </c>
      <c r="I122" t="s">
        <v>7</v>
      </c>
      <c r="J122" t="s">
        <v>69</v>
      </c>
      <c r="K122" t="s">
        <v>14</v>
      </c>
      <c r="L122" t="s">
        <v>65</v>
      </c>
      <c r="M122">
        <v>1</v>
      </c>
    </row>
    <row r="123" spans="1:13" x14ac:dyDescent="0.25">
      <c r="A123" s="1">
        <v>46140</v>
      </c>
      <c r="B123" s="1" t="str">
        <f ca="1">IF(Información1[[#This Row],[Fecha]]='Ajuste de fechas'!$A$2,"Día actual","Día anterior")</f>
        <v>Día anterior</v>
      </c>
      <c r="C123" t="s">
        <v>8</v>
      </c>
      <c r="D123" t="s">
        <v>10</v>
      </c>
      <c r="E123" t="s">
        <v>171</v>
      </c>
      <c r="F123" t="s">
        <v>19</v>
      </c>
      <c r="G123" t="s">
        <v>186</v>
      </c>
      <c r="H123" t="s">
        <v>11</v>
      </c>
      <c r="I123" t="s">
        <v>7</v>
      </c>
      <c r="J123" t="s">
        <v>68</v>
      </c>
      <c r="K123" t="s">
        <v>14</v>
      </c>
      <c r="L123" t="s">
        <v>70</v>
      </c>
      <c r="M123">
        <v>1</v>
      </c>
    </row>
    <row r="124" spans="1:13" x14ac:dyDescent="0.25">
      <c r="A124" s="1">
        <v>46140</v>
      </c>
      <c r="B124" s="1" t="str">
        <f ca="1">IF(Información1[[#This Row],[Fecha]]='Ajuste de fechas'!$A$2,"Día actual","Día anterior")</f>
        <v>Día anterior</v>
      </c>
      <c r="C124" t="s">
        <v>8</v>
      </c>
      <c r="D124" t="s">
        <v>10</v>
      </c>
      <c r="E124" t="s">
        <v>187</v>
      </c>
      <c r="F124" t="s">
        <v>24</v>
      </c>
      <c r="G124" t="s">
        <v>186</v>
      </c>
      <c r="H124" t="s">
        <v>11</v>
      </c>
      <c r="I124" t="s">
        <v>7</v>
      </c>
      <c r="J124" t="s">
        <v>64</v>
      </c>
      <c r="K124" t="s">
        <v>14</v>
      </c>
      <c r="L124" t="s">
        <v>67</v>
      </c>
      <c r="M124">
        <v>1</v>
      </c>
    </row>
    <row r="125" spans="1:13" x14ac:dyDescent="0.25">
      <c r="A125" s="1">
        <v>46140</v>
      </c>
      <c r="B125" s="1" t="str">
        <f ca="1">IF(Información1[[#This Row],[Fecha]]='Ajuste de fechas'!$A$2,"Día actual","Día anterior")</f>
        <v>Día anterior</v>
      </c>
      <c r="C125" t="s">
        <v>34</v>
      </c>
      <c r="D125" t="s">
        <v>37</v>
      </c>
      <c r="E125" t="s">
        <v>188</v>
      </c>
      <c r="F125" t="s">
        <v>15</v>
      </c>
      <c r="G125" t="s">
        <v>74</v>
      </c>
      <c r="H125" t="s">
        <v>11</v>
      </c>
      <c r="I125" t="s">
        <v>7</v>
      </c>
      <c r="J125" t="s">
        <v>64</v>
      </c>
      <c r="K125" t="s">
        <v>35</v>
      </c>
      <c r="L125" t="s">
        <v>65</v>
      </c>
      <c r="M125">
        <v>1</v>
      </c>
    </row>
    <row r="126" spans="1:13" x14ac:dyDescent="0.25">
      <c r="A126" s="1">
        <v>46140</v>
      </c>
      <c r="B126" s="1" t="str">
        <f ca="1">IF(Información1[[#This Row],[Fecha]]='Ajuste de fechas'!$A$2,"Día actual","Día anterior")</f>
        <v>Día anterior</v>
      </c>
      <c r="C126" t="s">
        <v>34</v>
      </c>
      <c r="D126" t="s">
        <v>37</v>
      </c>
      <c r="E126" t="s">
        <v>123</v>
      </c>
      <c r="F126" t="s">
        <v>43</v>
      </c>
      <c r="G126" t="s">
        <v>124</v>
      </c>
      <c r="H126" t="s">
        <v>11</v>
      </c>
      <c r="I126" t="s">
        <v>7</v>
      </c>
      <c r="J126" t="s">
        <v>64</v>
      </c>
      <c r="K126" t="s">
        <v>35</v>
      </c>
      <c r="L126" t="s">
        <v>67</v>
      </c>
      <c r="M126">
        <v>1</v>
      </c>
    </row>
    <row r="127" spans="1:13" x14ac:dyDescent="0.25">
      <c r="A127" s="1">
        <v>46140</v>
      </c>
      <c r="B127" s="1" t="str">
        <f ca="1">IF(Información1[[#This Row],[Fecha]]='Ajuste de fechas'!$A$2,"Día actual","Día anterior")</f>
        <v>Día anterior</v>
      </c>
      <c r="C127" t="s">
        <v>34</v>
      </c>
      <c r="D127" t="s">
        <v>36</v>
      </c>
      <c r="E127" t="s">
        <v>189</v>
      </c>
      <c r="F127" t="s">
        <v>19</v>
      </c>
      <c r="G127" t="s">
        <v>190</v>
      </c>
      <c r="H127" t="s">
        <v>11</v>
      </c>
      <c r="I127" t="s">
        <v>7</v>
      </c>
      <c r="J127" t="s">
        <v>68</v>
      </c>
      <c r="K127" t="s">
        <v>56</v>
      </c>
      <c r="L127" t="s">
        <v>70</v>
      </c>
      <c r="M127">
        <v>1</v>
      </c>
    </row>
    <row r="128" spans="1:13" x14ac:dyDescent="0.25">
      <c r="A128" s="1">
        <v>46140</v>
      </c>
      <c r="B128" s="1" t="str">
        <f ca="1">IF(Información1[[#This Row],[Fecha]]='Ajuste de fechas'!$A$2,"Día actual","Día anterior")</f>
        <v>Día anterior</v>
      </c>
      <c r="C128" t="s">
        <v>8</v>
      </c>
      <c r="D128" t="s">
        <v>10</v>
      </c>
      <c r="E128" t="s">
        <v>191</v>
      </c>
      <c r="F128" t="s">
        <v>19</v>
      </c>
      <c r="G128" t="s">
        <v>192</v>
      </c>
      <c r="H128" t="s">
        <v>11</v>
      </c>
      <c r="I128" t="s">
        <v>7</v>
      </c>
      <c r="J128" t="s">
        <v>68</v>
      </c>
      <c r="K128" t="s">
        <v>14</v>
      </c>
      <c r="L128" t="s">
        <v>65</v>
      </c>
      <c r="M128">
        <v>1</v>
      </c>
    </row>
    <row r="129" spans="1:13" x14ac:dyDescent="0.25">
      <c r="A129" s="1">
        <v>46140</v>
      </c>
      <c r="B129" s="1" t="str">
        <f ca="1">IF(Información1[[#This Row],[Fecha]]='Ajuste de fechas'!$A$2,"Día actual","Día anterior")</f>
        <v>Día anterior</v>
      </c>
      <c r="C129" t="s">
        <v>8</v>
      </c>
      <c r="D129" t="s">
        <v>10</v>
      </c>
      <c r="E129" t="s">
        <v>171</v>
      </c>
      <c r="F129" t="s">
        <v>19</v>
      </c>
      <c r="G129" t="s">
        <v>193</v>
      </c>
      <c r="H129" t="s">
        <v>11</v>
      </c>
      <c r="I129" t="s">
        <v>7</v>
      </c>
      <c r="J129" t="s">
        <v>68</v>
      </c>
      <c r="K129" t="s">
        <v>14</v>
      </c>
      <c r="L129" t="s">
        <v>70</v>
      </c>
      <c r="M129">
        <v>1</v>
      </c>
    </row>
    <row r="130" spans="1:13" x14ac:dyDescent="0.25">
      <c r="A130" s="1">
        <v>46140</v>
      </c>
      <c r="B130" s="1" t="str">
        <f ca="1">IF(Información1[[#This Row],[Fecha]]='Ajuste de fechas'!$A$2,"Día actual","Día anterior")</f>
        <v>Día anterior</v>
      </c>
      <c r="C130" t="s">
        <v>34</v>
      </c>
      <c r="D130" t="s">
        <v>36</v>
      </c>
      <c r="E130" t="s">
        <v>194</v>
      </c>
      <c r="F130" t="s">
        <v>195</v>
      </c>
      <c r="G130" t="s">
        <v>107</v>
      </c>
      <c r="H130" t="s">
        <v>11</v>
      </c>
      <c r="I130" t="s">
        <v>7</v>
      </c>
      <c r="J130" t="s">
        <v>64</v>
      </c>
      <c r="K130" t="s">
        <v>56</v>
      </c>
      <c r="L130" t="s">
        <v>65</v>
      </c>
      <c r="M130">
        <v>1</v>
      </c>
    </row>
    <row r="131" spans="1:13" x14ac:dyDescent="0.25">
      <c r="A131" s="1">
        <v>46140</v>
      </c>
      <c r="B131" s="1" t="str">
        <f ca="1">IF(Información1[[#This Row],[Fecha]]='Ajuste de fechas'!$A$2,"Día actual","Día anterior")</f>
        <v>Día anterior</v>
      </c>
      <c r="C131" t="s">
        <v>34</v>
      </c>
      <c r="D131" t="s">
        <v>37</v>
      </c>
      <c r="E131" t="s">
        <v>196</v>
      </c>
      <c r="F131" t="s">
        <v>19</v>
      </c>
      <c r="G131" t="s">
        <v>107</v>
      </c>
      <c r="H131" t="s">
        <v>11</v>
      </c>
      <c r="I131" t="s">
        <v>27</v>
      </c>
      <c r="J131" t="s">
        <v>68</v>
      </c>
      <c r="K131" t="s">
        <v>35</v>
      </c>
      <c r="L131" t="s">
        <v>65</v>
      </c>
      <c r="M131">
        <v>1</v>
      </c>
    </row>
    <row r="132" spans="1:13" x14ac:dyDescent="0.25">
      <c r="A132" s="1">
        <v>46140</v>
      </c>
      <c r="B132" s="1" t="str">
        <f ca="1">IF(Información1[[#This Row],[Fecha]]='Ajuste de fechas'!$A$2,"Día actual","Día anterior")</f>
        <v>Día anterior</v>
      </c>
      <c r="C132" t="s">
        <v>34</v>
      </c>
      <c r="D132" t="s">
        <v>36</v>
      </c>
      <c r="E132" t="s">
        <v>132</v>
      </c>
      <c r="F132" t="s">
        <v>28</v>
      </c>
      <c r="G132" t="s">
        <v>133</v>
      </c>
      <c r="H132" t="s">
        <v>11</v>
      </c>
      <c r="I132" t="s">
        <v>7</v>
      </c>
      <c r="J132" t="s">
        <v>64</v>
      </c>
      <c r="K132" t="s">
        <v>56</v>
      </c>
      <c r="L132" t="s">
        <v>67</v>
      </c>
      <c r="M132">
        <v>1</v>
      </c>
    </row>
    <row r="133" spans="1:13" x14ac:dyDescent="0.25">
      <c r="A133" s="1">
        <v>46140</v>
      </c>
      <c r="B133" s="1" t="str">
        <f ca="1">IF(Información1[[#This Row],[Fecha]]='Ajuste de fechas'!$A$2,"Día actual","Día anterior")</f>
        <v>Día anterior</v>
      </c>
      <c r="C133" t="s">
        <v>34</v>
      </c>
      <c r="D133" t="s">
        <v>37</v>
      </c>
      <c r="E133" t="s">
        <v>132</v>
      </c>
      <c r="F133" t="s">
        <v>28</v>
      </c>
      <c r="G133" t="s">
        <v>133</v>
      </c>
      <c r="H133" t="s">
        <v>11</v>
      </c>
      <c r="I133" t="s">
        <v>7</v>
      </c>
      <c r="J133" t="s">
        <v>64</v>
      </c>
      <c r="K133" t="s">
        <v>35</v>
      </c>
      <c r="L133" t="s">
        <v>67</v>
      </c>
      <c r="M133">
        <v>1</v>
      </c>
    </row>
    <row r="134" spans="1:13" x14ac:dyDescent="0.25">
      <c r="A134" s="1">
        <v>46140</v>
      </c>
      <c r="B134" s="1" t="str">
        <f ca="1">IF(Información1[[#This Row],[Fecha]]='Ajuste de fechas'!$A$2,"Día actual","Día anterior")</f>
        <v>Día anterior</v>
      </c>
      <c r="C134" t="s">
        <v>8</v>
      </c>
      <c r="D134" t="s">
        <v>10</v>
      </c>
      <c r="E134" t="s">
        <v>197</v>
      </c>
      <c r="F134" t="s">
        <v>50</v>
      </c>
      <c r="G134" t="s">
        <v>128</v>
      </c>
      <c r="H134" t="s">
        <v>11</v>
      </c>
      <c r="I134" t="s">
        <v>7</v>
      </c>
      <c r="J134" t="s">
        <v>64</v>
      </c>
      <c r="K134" t="s">
        <v>14</v>
      </c>
      <c r="L134" t="s">
        <v>65</v>
      </c>
      <c r="M134">
        <v>1</v>
      </c>
    </row>
    <row r="135" spans="1:13" x14ac:dyDescent="0.25">
      <c r="A135" s="1">
        <v>46140</v>
      </c>
      <c r="B135" s="1" t="str">
        <f ca="1">IF(Información1[[#This Row],[Fecha]]='Ajuste de fechas'!$A$2,"Día actual","Día anterior")</f>
        <v>Día anterior</v>
      </c>
      <c r="C135" t="s">
        <v>8</v>
      </c>
      <c r="D135" t="s">
        <v>10</v>
      </c>
      <c r="E135" t="s">
        <v>198</v>
      </c>
      <c r="F135" t="s">
        <v>19</v>
      </c>
      <c r="G135" t="s">
        <v>82</v>
      </c>
      <c r="H135" t="s">
        <v>11</v>
      </c>
      <c r="I135" t="s">
        <v>27</v>
      </c>
      <c r="J135" t="s">
        <v>68</v>
      </c>
      <c r="K135" t="s">
        <v>9</v>
      </c>
      <c r="L135" t="s">
        <v>66</v>
      </c>
      <c r="M135">
        <v>1</v>
      </c>
    </row>
    <row r="136" spans="1:13" x14ac:dyDescent="0.25">
      <c r="A136" s="1">
        <v>46140</v>
      </c>
      <c r="B136" s="1" t="str">
        <f ca="1">IF(Información1[[#This Row],[Fecha]]='Ajuste de fechas'!$A$2,"Día actual","Día anterior")</f>
        <v>Día anterior</v>
      </c>
      <c r="C136" t="s">
        <v>34</v>
      </c>
      <c r="D136" t="s">
        <v>36</v>
      </c>
      <c r="E136" t="s">
        <v>146</v>
      </c>
      <c r="F136" t="s">
        <v>25</v>
      </c>
      <c r="G136" t="s">
        <v>147</v>
      </c>
      <c r="H136" t="s">
        <v>11</v>
      </c>
      <c r="I136" t="s">
        <v>7</v>
      </c>
      <c r="J136" t="s">
        <v>64</v>
      </c>
      <c r="K136" t="s">
        <v>56</v>
      </c>
      <c r="L136" t="s">
        <v>67</v>
      </c>
      <c r="M136">
        <v>1</v>
      </c>
    </row>
    <row r="137" spans="1:13" x14ac:dyDescent="0.25">
      <c r="A137" s="1">
        <v>46140</v>
      </c>
      <c r="B137" s="1" t="str">
        <f ca="1">IF(Información1[[#This Row],[Fecha]]='Ajuste de fechas'!$A$2,"Día actual","Día anterior")</f>
        <v>Día anterior</v>
      </c>
      <c r="C137" t="s">
        <v>34</v>
      </c>
      <c r="D137" t="s">
        <v>37</v>
      </c>
      <c r="E137" t="s">
        <v>146</v>
      </c>
      <c r="F137" t="s">
        <v>25</v>
      </c>
      <c r="G137" t="s">
        <v>147</v>
      </c>
      <c r="H137" t="s">
        <v>11</v>
      </c>
      <c r="I137" t="s">
        <v>7</v>
      </c>
      <c r="J137" t="s">
        <v>64</v>
      </c>
      <c r="K137" t="s">
        <v>35</v>
      </c>
      <c r="L137" t="s">
        <v>67</v>
      </c>
      <c r="M137">
        <v>1</v>
      </c>
    </row>
    <row r="138" spans="1:13" x14ac:dyDescent="0.25">
      <c r="A138" s="1">
        <v>46140</v>
      </c>
      <c r="B138" s="1" t="str">
        <f ca="1">IF(Información1[[#This Row],[Fecha]]='Ajuste de fechas'!$A$2,"Día actual","Día anterior")</f>
        <v>Día anterior</v>
      </c>
      <c r="C138" t="s">
        <v>34</v>
      </c>
      <c r="D138" t="s">
        <v>36</v>
      </c>
      <c r="E138" t="s">
        <v>148</v>
      </c>
      <c r="F138" t="s">
        <v>43</v>
      </c>
      <c r="G138" t="s">
        <v>149</v>
      </c>
      <c r="H138" t="s">
        <v>11</v>
      </c>
      <c r="I138" t="s">
        <v>7</v>
      </c>
      <c r="J138" t="s">
        <v>64</v>
      </c>
      <c r="K138" t="s">
        <v>56</v>
      </c>
      <c r="L138" t="s">
        <v>67</v>
      </c>
      <c r="M138">
        <v>1</v>
      </c>
    </row>
    <row r="139" spans="1:13" x14ac:dyDescent="0.25">
      <c r="A139" s="1">
        <v>46140</v>
      </c>
      <c r="B139" s="1" t="str">
        <f ca="1">IF(Información1[[#This Row],[Fecha]]='Ajuste de fechas'!$A$2,"Día actual","Día anterior")</f>
        <v>Día anterior</v>
      </c>
      <c r="C139" t="s">
        <v>34</v>
      </c>
      <c r="D139" t="s">
        <v>37</v>
      </c>
      <c r="E139" t="s">
        <v>148</v>
      </c>
      <c r="F139" t="s">
        <v>43</v>
      </c>
      <c r="G139" t="s">
        <v>149</v>
      </c>
      <c r="H139" t="s">
        <v>11</v>
      </c>
      <c r="I139" t="s">
        <v>7</v>
      </c>
      <c r="J139" t="s">
        <v>64</v>
      </c>
      <c r="K139" t="s">
        <v>35</v>
      </c>
      <c r="L139" t="s">
        <v>67</v>
      </c>
      <c r="M139">
        <v>1</v>
      </c>
    </row>
    <row r="140" spans="1:13" x14ac:dyDescent="0.25">
      <c r="A140" s="1">
        <v>46140</v>
      </c>
      <c r="B140" s="1" t="str">
        <f ca="1">IF(Información1[[#This Row],[Fecha]]='Ajuste de fechas'!$A$2,"Día actual","Día anterior")</f>
        <v>Día anterior</v>
      </c>
      <c r="C140" t="s">
        <v>34</v>
      </c>
      <c r="D140" t="s">
        <v>36</v>
      </c>
      <c r="E140" t="s">
        <v>134</v>
      </c>
      <c r="F140" t="s">
        <v>28</v>
      </c>
      <c r="G140" t="s">
        <v>92</v>
      </c>
      <c r="H140" t="s">
        <v>11</v>
      </c>
      <c r="I140" t="s">
        <v>7</v>
      </c>
      <c r="J140" t="s">
        <v>64</v>
      </c>
      <c r="K140" t="s">
        <v>56</v>
      </c>
      <c r="L140" t="s">
        <v>67</v>
      </c>
      <c r="M140">
        <v>1</v>
      </c>
    </row>
    <row r="141" spans="1:13" x14ac:dyDescent="0.25">
      <c r="A141" s="1">
        <v>46140</v>
      </c>
      <c r="B141" s="1" t="str">
        <f ca="1">IF(Información1[[#This Row],[Fecha]]='Ajuste de fechas'!$A$2,"Día actual","Día anterior")</f>
        <v>Día anterior</v>
      </c>
      <c r="C141" t="s">
        <v>34</v>
      </c>
      <c r="D141" t="s">
        <v>37</v>
      </c>
      <c r="E141" t="s">
        <v>134</v>
      </c>
      <c r="F141" t="s">
        <v>28</v>
      </c>
      <c r="G141" t="s">
        <v>92</v>
      </c>
      <c r="H141" t="s">
        <v>11</v>
      </c>
      <c r="I141" t="s">
        <v>7</v>
      </c>
      <c r="J141" t="s">
        <v>64</v>
      </c>
      <c r="K141" t="s">
        <v>35</v>
      </c>
      <c r="L141" t="s">
        <v>67</v>
      </c>
      <c r="M141">
        <v>1</v>
      </c>
    </row>
    <row r="142" spans="1:13" x14ac:dyDescent="0.25">
      <c r="A142" s="1">
        <v>46140</v>
      </c>
      <c r="B142" s="1" t="str">
        <f ca="1">IF(Información1[[#This Row],[Fecha]]='Ajuste de fechas'!$A$2,"Día actual","Día anterior")</f>
        <v>Día anterior</v>
      </c>
      <c r="C142" t="s">
        <v>34</v>
      </c>
      <c r="D142" t="s">
        <v>37</v>
      </c>
      <c r="E142" t="s">
        <v>125</v>
      </c>
      <c r="F142" t="s">
        <v>50</v>
      </c>
      <c r="G142" t="s">
        <v>126</v>
      </c>
      <c r="H142" t="s">
        <v>11</v>
      </c>
      <c r="I142" t="s">
        <v>7</v>
      </c>
      <c r="J142" t="s">
        <v>64</v>
      </c>
      <c r="K142" t="s">
        <v>35</v>
      </c>
      <c r="L142" t="s">
        <v>67</v>
      </c>
      <c r="M142">
        <v>1</v>
      </c>
    </row>
    <row r="143" spans="1:13" x14ac:dyDescent="0.25">
      <c r="A143" s="1">
        <v>46140</v>
      </c>
      <c r="B143" s="1" t="str">
        <f ca="1">IF(Información1[[#This Row],[Fecha]]='Ajuste de fechas'!$A$2,"Día actual","Día anterior")</f>
        <v>Día anterior</v>
      </c>
      <c r="C143" t="s">
        <v>8</v>
      </c>
      <c r="D143" t="s">
        <v>10</v>
      </c>
      <c r="E143" t="s">
        <v>199</v>
      </c>
      <c r="F143" t="s">
        <v>6</v>
      </c>
      <c r="G143" t="s">
        <v>200</v>
      </c>
      <c r="H143" t="s">
        <v>11</v>
      </c>
      <c r="I143" t="s">
        <v>27</v>
      </c>
      <c r="J143" t="s">
        <v>64</v>
      </c>
      <c r="K143" t="s">
        <v>9</v>
      </c>
      <c r="L143" t="s">
        <v>66</v>
      </c>
      <c r="M143">
        <v>1</v>
      </c>
    </row>
    <row r="144" spans="1:13" x14ac:dyDescent="0.25">
      <c r="A144" s="1">
        <v>46140</v>
      </c>
      <c r="B144" s="1" t="str">
        <f ca="1">IF(Información1[[#This Row],[Fecha]]='Ajuste de fechas'!$A$2,"Día actual","Día anterior")</f>
        <v>Día anterior</v>
      </c>
      <c r="C144" t="s">
        <v>44</v>
      </c>
      <c r="D144" t="s">
        <v>45</v>
      </c>
      <c r="E144" t="s">
        <v>201</v>
      </c>
      <c r="F144" t="s">
        <v>17</v>
      </c>
      <c r="G144" t="s">
        <v>109</v>
      </c>
      <c r="H144" t="s">
        <v>41</v>
      </c>
      <c r="I144" t="s">
        <v>7</v>
      </c>
      <c r="J144" t="s">
        <v>64</v>
      </c>
      <c r="K144" t="s">
        <v>30</v>
      </c>
      <c r="L144" t="s">
        <v>65</v>
      </c>
      <c r="M144">
        <v>1</v>
      </c>
    </row>
    <row r="145" spans="1:13" x14ac:dyDescent="0.25">
      <c r="A145" s="1">
        <v>46140</v>
      </c>
      <c r="B145" s="1" t="str">
        <f ca="1">IF(Información1[[#This Row],[Fecha]]='Ajuste de fechas'!$A$2,"Día actual","Día anterior")</f>
        <v>Día anterior</v>
      </c>
      <c r="C145" t="s">
        <v>51</v>
      </c>
      <c r="D145" t="s">
        <v>52</v>
      </c>
      <c r="E145" t="s">
        <v>202</v>
      </c>
      <c r="F145" t="s">
        <v>43</v>
      </c>
      <c r="G145" t="s">
        <v>156</v>
      </c>
      <c r="H145" t="s">
        <v>11</v>
      </c>
      <c r="I145" t="s">
        <v>7</v>
      </c>
      <c r="J145" t="s">
        <v>64</v>
      </c>
      <c r="K145" t="s">
        <v>53</v>
      </c>
      <c r="L145" t="s">
        <v>65</v>
      </c>
      <c r="M145">
        <v>1</v>
      </c>
    </row>
    <row r="146" spans="1:13" x14ac:dyDescent="0.25">
      <c r="A146" s="1">
        <v>46140</v>
      </c>
      <c r="B146" s="1" t="str">
        <f ca="1">IF(Información1[[#This Row],[Fecha]]='Ajuste de fechas'!$A$2,"Día actual","Día anterior")</f>
        <v>Día anterior</v>
      </c>
      <c r="C146" t="s">
        <v>51</v>
      </c>
      <c r="D146" t="s">
        <v>52</v>
      </c>
      <c r="E146" t="s">
        <v>203</v>
      </c>
      <c r="F146" t="s">
        <v>25</v>
      </c>
      <c r="G146" t="s">
        <v>204</v>
      </c>
      <c r="H146" t="s">
        <v>11</v>
      </c>
      <c r="I146" t="s">
        <v>7</v>
      </c>
      <c r="J146" t="s">
        <v>64</v>
      </c>
      <c r="K146" t="s">
        <v>53</v>
      </c>
      <c r="L146" t="s">
        <v>65</v>
      </c>
      <c r="M146">
        <v>1</v>
      </c>
    </row>
    <row r="147" spans="1:13" x14ac:dyDescent="0.25">
      <c r="A147" s="1">
        <v>46140</v>
      </c>
      <c r="B147" s="1" t="str">
        <f ca="1">IF(Información1[[#This Row],[Fecha]]='Ajuste de fechas'!$A$2,"Día actual","Día anterior")</f>
        <v>Día anterior</v>
      </c>
      <c r="C147" t="s">
        <v>44</v>
      </c>
      <c r="D147" t="s">
        <v>45</v>
      </c>
      <c r="E147" t="s">
        <v>205</v>
      </c>
      <c r="F147" t="s">
        <v>43</v>
      </c>
      <c r="G147" t="s">
        <v>175</v>
      </c>
      <c r="H147" t="s">
        <v>41</v>
      </c>
      <c r="I147" t="s">
        <v>7</v>
      </c>
      <c r="J147" t="s">
        <v>64</v>
      </c>
      <c r="K147" t="s">
        <v>30</v>
      </c>
      <c r="L147" t="s">
        <v>65</v>
      </c>
      <c r="M147">
        <v>1</v>
      </c>
    </row>
    <row r="148" spans="1:13" x14ac:dyDescent="0.25">
      <c r="A148" s="1">
        <v>46140</v>
      </c>
      <c r="B148" s="1" t="str">
        <f ca="1">IF(Información1[[#This Row],[Fecha]]='Ajuste de fechas'!$A$2,"Día actual","Día anterior")</f>
        <v>Día anterior</v>
      </c>
      <c r="C148" t="s">
        <v>51</v>
      </c>
      <c r="D148" t="s">
        <v>52</v>
      </c>
      <c r="E148" t="s">
        <v>206</v>
      </c>
      <c r="F148" t="s">
        <v>19</v>
      </c>
      <c r="G148" t="s">
        <v>76</v>
      </c>
      <c r="H148" t="s">
        <v>11</v>
      </c>
      <c r="I148" t="s">
        <v>7</v>
      </c>
      <c r="J148" t="s">
        <v>68</v>
      </c>
      <c r="K148" t="s">
        <v>53</v>
      </c>
      <c r="L148" t="s">
        <v>65</v>
      </c>
      <c r="M148">
        <v>1</v>
      </c>
    </row>
    <row r="149" spans="1:13" x14ac:dyDescent="0.25">
      <c r="A149" s="1">
        <v>46140</v>
      </c>
      <c r="B149" s="1" t="str">
        <f ca="1">IF(Información1[[#This Row],[Fecha]]='Ajuste de fechas'!$A$2,"Día actual","Día anterior")</f>
        <v>Día anterior</v>
      </c>
      <c r="C149" t="s">
        <v>51</v>
      </c>
      <c r="D149" t="s">
        <v>52</v>
      </c>
      <c r="E149" t="s">
        <v>207</v>
      </c>
      <c r="F149" t="s">
        <v>83</v>
      </c>
      <c r="G149" t="s">
        <v>76</v>
      </c>
      <c r="H149" t="s">
        <v>11</v>
      </c>
      <c r="I149" t="s">
        <v>7</v>
      </c>
      <c r="J149" t="s">
        <v>64</v>
      </c>
      <c r="K149" t="s">
        <v>53</v>
      </c>
      <c r="L149" t="s">
        <v>65</v>
      </c>
      <c r="M149">
        <v>1</v>
      </c>
    </row>
    <row r="150" spans="1:13" x14ac:dyDescent="0.25">
      <c r="A150" s="1">
        <v>46140</v>
      </c>
      <c r="B150" s="1" t="str">
        <f ca="1">IF(Información1[[#This Row],[Fecha]]='Ajuste de fechas'!$A$2,"Día actual","Día anterior")</f>
        <v>Día anterior</v>
      </c>
      <c r="C150" t="s">
        <v>44</v>
      </c>
      <c r="D150" t="s">
        <v>45</v>
      </c>
      <c r="E150" t="s">
        <v>208</v>
      </c>
      <c r="F150" t="s">
        <v>25</v>
      </c>
      <c r="G150" t="s">
        <v>76</v>
      </c>
      <c r="H150" t="s">
        <v>41</v>
      </c>
      <c r="I150" t="s">
        <v>7</v>
      </c>
      <c r="J150" t="s">
        <v>64</v>
      </c>
      <c r="K150" t="s">
        <v>30</v>
      </c>
      <c r="L150" t="s">
        <v>65</v>
      </c>
      <c r="M150">
        <v>1</v>
      </c>
    </row>
    <row r="151" spans="1:13" x14ac:dyDescent="0.25">
      <c r="A151" s="1">
        <v>46140</v>
      </c>
      <c r="B151" s="1" t="str">
        <f ca="1">IF(Información1[[#This Row],[Fecha]]='Ajuste de fechas'!$A$2,"Día actual","Día anterior")</f>
        <v>Día anterior</v>
      </c>
      <c r="C151" t="s">
        <v>44</v>
      </c>
      <c r="D151" t="s">
        <v>45</v>
      </c>
      <c r="E151" t="s">
        <v>209</v>
      </c>
      <c r="F151" t="s">
        <v>19</v>
      </c>
      <c r="G151" t="s">
        <v>210</v>
      </c>
      <c r="H151" t="s">
        <v>41</v>
      </c>
      <c r="I151" t="s">
        <v>7</v>
      </c>
      <c r="J151" t="s">
        <v>68</v>
      </c>
      <c r="K151" t="s">
        <v>30</v>
      </c>
      <c r="L151" t="s">
        <v>65</v>
      </c>
      <c r="M151">
        <v>1</v>
      </c>
    </row>
    <row r="152" spans="1:13" x14ac:dyDescent="0.25">
      <c r="A152" s="1">
        <v>46140</v>
      </c>
      <c r="B152" s="1" t="str">
        <f ca="1">IF(Información1[[#This Row],[Fecha]]='Ajuste de fechas'!$A$2,"Día actual","Día anterior")</f>
        <v>Día anterior</v>
      </c>
      <c r="C152" t="s">
        <v>44</v>
      </c>
      <c r="D152" t="s">
        <v>45</v>
      </c>
      <c r="E152" t="s">
        <v>211</v>
      </c>
      <c r="F152" t="s">
        <v>23</v>
      </c>
      <c r="G152" t="s">
        <v>212</v>
      </c>
      <c r="H152" t="s">
        <v>41</v>
      </c>
      <c r="I152" t="s">
        <v>7</v>
      </c>
      <c r="J152" t="s">
        <v>69</v>
      </c>
      <c r="K152" t="s">
        <v>30</v>
      </c>
      <c r="L152" t="s">
        <v>65</v>
      </c>
      <c r="M152">
        <v>1</v>
      </c>
    </row>
    <row r="153" spans="1:13" x14ac:dyDescent="0.25">
      <c r="A153" s="1">
        <v>46140</v>
      </c>
      <c r="B153" s="1" t="str">
        <f ca="1">IF(Información1[[#This Row],[Fecha]]='Ajuste de fechas'!$A$2,"Día actual","Día anterior")</f>
        <v>Día anterior</v>
      </c>
      <c r="C153" t="s">
        <v>51</v>
      </c>
      <c r="D153" t="s">
        <v>52</v>
      </c>
      <c r="E153" t="s">
        <v>213</v>
      </c>
      <c r="F153" t="s">
        <v>24</v>
      </c>
      <c r="G153" t="s">
        <v>114</v>
      </c>
      <c r="H153" t="s">
        <v>11</v>
      </c>
      <c r="I153" t="s">
        <v>27</v>
      </c>
      <c r="J153" t="s">
        <v>64</v>
      </c>
      <c r="K153" t="s">
        <v>53</v>
      </c>
      <c r="L153" t="s">
        <v>65</v>
      </c>
      <c r="M153">
        <v>1</v>
      </c>
    </row>
    <row r="154" spans="1:13" x14ac:dyDescent="0.25">
      <c r="A154" s="1">
        <v>46140</v>
      </c>
      <c r="B154" s="1" t="str">
        <f ca="1">IF(Información1[[#This Row],[Fecha]]='Ajuste de fechas'!$A$2,"Día actual","Día anterior")</f>
        <v>Día anterior</v>
      </c>
      <c r="C154" t="s">
        <v>51</v>
      </c>
      <c r="D154" t="s">
        <v>52</v>
      </c>
      <c r="E154" t="s">
        <v>214</v>
      </c>
      <c r="F154" t="s">
        <v>23</v>
      </c>
      <c r="G154" t="s">
        <v>105</v>
      </c>
      <c r="H154" t="s">
        <v>11</v>
      </c>
      <c r="I154" t="s">
        <v>7</v>
      </c>
      <c r="J154" t="s">
        <v>69</v>
      </c>
      <c r="K154" t="s">
        <v>53</v>
      </c>
      <c r="L154" t="s">
        <v>65</v>
      </c>
      <c r="M154">
        <v>1</v>
      </c>
    </row>
    <row r="155" spans="1:13" x14ac:dyDescent="0.25">
      <c r="A155" s="1">
        <v>46140</v>
      </c>
      <c r="B155" s="1" t="str">
        <f ca="1">IF(Información1[[#This Row],[Fecha]]='Ajuste de fechas'!$A$2,"Día actual","Día anterior")</f>
        <v>Día anterior</v>
      </c>
      <c r="C155" t="s">
        <v>44</v>
      </c>
      <c r="D155" t="s">
        <v>45</v>
      </c>
      <c r="E155" t="s">
        <v>215</v>
      </c>
      <c r="F155" t="s">
        <v>108</v>
      </c>
      <c r="G155" t="s">
        <v>105</v>
      </c>
      <c r="H155" t="s">
        <v>41</v>
      </c>
      <c r="I155" t="s">
        <v>7</v>
      </c>
      <c r="J155" t="s">
        <v>64</v>
      </c>
      <c r="K155" t="s">
        <v>30</v>
      </c>
      <c r="L155" t="s">
        <v>67</v>
      </c>
      <c r="M155">
        <v>1</v>
      </c>
    </row>
    <row r="156" spans="1:13" x14ac:dyDescent="0.25">
      <c r="A156" s="1">
        <v>46140</v>
      </c>
      <c r="B156" s="1" t="str">
        <f ca="1">IF(Información1[[#This Row],[Fecha]]='Ajuste de fechas'!$A$2,"Día actual","Día anterior")</f>
        <v>Día anterior</v>
      </c>
      <c r="C156" t="s">
        <v>51</v>
      </c>
      <c r="D156" t="s">
        <v>52</v>
      </c>
      <c r="E156" t="s">
        <v>216</v>
      </c>
      <c r="F156" t="s">
        <v>101</v>
      </c>
      <c r="G156" t="s">
        <v>217</v>
      </c>
      <c r="H156" t="s">
        <v>11</v>
      </c>
      <c r="I156" t="s">
        <v>7</v>
      </c>
      <c r="J156" t="s">
        <v>64</v>
      </c>
      <c r="K156" t="s">
        <v>53</v>
      </c>
      <c r="L156" t="s">
        <v>65</v>
      </c>
      <c r="M156">
        <v>1</v>
      </c>
    </row>
    <row r="157" spans="1:13" x14ac:dyDescent="0.25">
      <c r="A157" s="1">
        <v>46140</v>
      </c>
      <c r="B157" s="1" t="str">
        <f ca="1">IF(Información1[[#This Row],[Fecha]]='Ajuste de fechas'!$A$2,"Día actual","Día anterior")</f>
        <v>Día anterior</v>
      </c>
      <c r="C157" t="s">
        <v>44</v>
      </c>
      <c r="D157" t="s">
        <v>45</v>
      </c>
      <c r="E157" t="s">
        <v>218</v>
      </c>
      <c r="F157" t="s">
        <v>15</v>
      </c>
      <c r="G157" t="s">
        <v>74</v>
      </c>
      <c r="H157" t="s">
        <v>41</v>
      </c>
      <c r="I157" t="s">
        <v>7</v>
      </c>
      <c r="J157" t="s">
        <v>64</v>
      </c>
      <c r="K157" t="s">
        <v>30</v>
      </c>
      <c r="L157" t="s">
        <v>65</v>
      </c>
      <c r="M157">
        <v>1</v>
      </c>
    </row>
    <row r="158" spans="1:13" x14ac:dyDescent="0.25">
      <c r="A158" s="1">
        <v>46140</v>
      </c>
      <c r="B158" s="1" t="str">
        <f ca="1">IF(Información1[[#This Row],[Fecha]]='Ajuste de fechas'!$A$2,"Día actual","Día anterior")</f>
        <v>Día anterior</v>
      </c>
      <c r="C158" t="s">
        <v>51</v>
      </c>
      <c r="D158" t="s">
        <v>52</v>
      </c>
      <c r="E158" t="s">
        <v>219</v>
      </c>
      <c r="F158" t="s">
        <v>23</v>
      </c>
      <c r="G158" t="s">
        <v>220</v>
      </c>
      <c r="H158" t="s">
        <v>11</v>
      </c>
      <c r="I158" t="s">
        <v>7</v>
      </c>
      <c r="J158" t="s">
        <v>69</v>
      </c>
      <c r="K158" t="s">
        <v>53</v>
      </c>
      <c r="L158" t="s">
        <v>65</v>
      </c>
      <c r="M158">
        <v>1</v>
      </c>
    </row>
    <row r="159" spans="1:13" x14ac:dyDescent="0.25">
      <c r="A159" s="1">
        <v>46140</v>
      </c>
      <c r="B159" s="1" t="str">
        <f ca="1">IF(Información1[[#This Row],[Fecha]]='Ajuste de fechas'!$A$2,"Día actual","Día anterior")</f>
        <v>Día anterior</v>
      </c>
      <c r="C159" t="s">
        <v>44</v>
      </c>
      <c r="D159" t="s">
        <v>45</v>
      </c>
      <c r="E159" t="s">
        <v>221</v>
      </c>
      <c r="F159" t="s">
        <v>81</v>
      </c>
      <c r="G159" t="s">
        <v>124</v>
      </c>
      <c r="H159" t="s">
        <v>41</v>
      </c>
      <c r="I159" t="s">
        <v>7</v>
      </c>
      <c r="J159" t="s">
        <v>64</v>
      </c>
      <c r="K159" t="s">
        <v>30</v>
      </c>
      <c r="L159" t="s">
        <v>65</v>
      </c>
      <c r="M159">
        <v>1</v>
      </c>
    </row>
    <row r="160" spans="1:13" x14ac:dyDescent="0.25">
      <c r="A160" s="1">
        <v>46140</v>
      </c>
      <c r="B160" s="1" t="str">
        <f ca="1">IF(Información1[[#This Row],[Fecha]]='Ajuste de fechas'!$A$2,"Día actual","Día anterior")</f>
        <v>Día anterior</v>
      </c>
      <c r="C160" t="s">
        <v>44</v>
      </c>
      <c r="D160" t="s">
        <v>45</v>
      </c>
      <c r="E160" t="s">
        <v>222</v>
      </c>
      <c r="F160" t="s">
        <v>15</v>
      </c>
      <c r="G160" t="s">
        <v>95</v>
      </c>
      <c r="H160" t="s">
        <v>41</v>
      </c>
      <c r="I160" t="s">
        <v>7</v>
      </c>
      <c r="J160" t="s">
        <v>64</v>
      </c>
      <c r="K160" t="s">
        <v>30</v>
      </c>
      <c r="L160" t="s">
        <v>65</v>
      </c>
      <c r="M160">
        <v>1</v>
      </c>
    </row>
    <row r="161" spans="1:13" x14ac:dyDescent="0.25">
      <c r="A161" s="1">
        <v>46140</v>
      </c>
      <c r="B161" s="1" t="str">
        <f ca="1">IF(Información1[[#This Row],[Fecha]]='Ajuste de fechas'!$A$2,"Día actual","Día anterior")</f>
        <v>Día anterior</v>
      </c>
      <c r="C161" t="s">
        <v>44</v>
      </c>
      <c r="D161" t="s">
        <v>45</v>
      </c>
      <c r="E161" t="s">
        <v>223</v>
      </c>
      <c r="F161" t="s">
        <v>28</v>
      </c>
      <c r="G161" t="s">
        <v>92</v>
      </c>
      <c r="H161" t="s">
        <v>41</v>
      </c>
      <c r="I161" t="s">
        <v>7</v>
      </c>
      <c r="J161" t="s">
        <v>64</v>
      </c>
      <c r="K161" t="s">
        <v>30</v>
      </c>
      <c r="L161" t="s">
        <v>67</v>
      </c>
      <c r="M161">
        <v>1</v>
      </c>
    </row>
    <row r="162" spans="1:13" x14ac:dyDescent="0.25">
      <c r="A162" s="1">
        <v>46140</v>
      </c>
      <c r="B162" s="1" t="str">
        <f ca="1">IF(Información1[[#This Row],[Fecha]]='Ajuste de fechas'!$A$2,"Día actual","Día anterior")</f>
        <v>Día anterior</v>
      </c>
      <c r="C162" t="s">
        <v>51</v>
      </c>
      <c r="D162" t="s">
        <v>52</v>
      </c>
      <c r="E162" t="s">
        <v>224</v>
      </c>
      <c r="F162" t="s">
        <v>26</v>
      </c>
      <c r="G162" t="s">
        <v>86</v>
      </c>
      <c r="H162" t="s">
        <v>11</v>
      </c>
      <c r="I162" t="s">
        <v>7</v>
      </c>
      <c r="J162" t="s">
        <v>26</v>
      </c>
      <c r="K162" t="s">
        <v>53</v>
      </c>
      <c r="L162" t="s">
        <v>65</v>
      </c>
      <c r="M162">
        <v>1</v>
      </c>
    </row>
    <row r="163" spans="1:13" x14ac:dyDescent="0.25">
      <c r="A163" s="1">
        <v>46140</v>
      </c>
      <c r="B163" s="1" t="str">
        <f ca="1">IF(Información1[[#This Row],[Fecha]]='Ajuste de fechas'!$A$2,"Día actual","Día anterior")</f>
        <v>Día anterior</v>
      </c>
      <c r="C163" t="s">
        <v>51</v>
      </c>
      <c r="D163" t="s">
        <v>52</v>
      </c>
      <c r="E163" t="s">
        <v>225</v>
      </c>
      <c r="F163" t="s">
        <v>43</v>
      </c>
      <c r="G163" t="s">
        <v>112</v>
      </c>
      <c r="H163" t="s">
        <v>11</v>
      </c>
      <c r="I163" t="s">
        <v>7</v>
      </c>
      <c r="J163" t="s">
        <v>64</v>
      </c>
      <c r="K163" t="s">
        <v>53</v>
      </c>
      <c r="L163" t="s">
        <v>65</v>
      </c>
      <c r="M163">
        <v>1</v>
      </c>
    </row>
    <row r="164" spans="1:13" x14ac:dyDescent="0.25">
      <c r="A164" s="1">
        <v>46140</v>
      </c>
      <c r="B164" s="1" t="str">
        <f ca="1">IF(Información1[[#This Row],[Fecha]]='Ajuste de fechas'!$A$2,"Día actual","Día anterior")</f>
        <v>Día anterior</v>
      </c>
      <c r="C164" t="s">
        <v>51</v>
      </c>
      <c r="D164" t="s">
        <v>52</v>
      </c>
      <c r="E164" t="s">
        <v>226</v>
      </c>
      <c r="F164" t="s">
        <v>19</v>
      </c>
      <c r="G164" t="s">
        <v>227</v>
      </c>
      <c r="H164" t="s">
        <v>11</v>
      </c>
      <c r="I164" t="s">
        <v>7</v>
      </c>
      <c r="J164" t="s">
        <v>68</v>
      </c>
      <c r="K164" t="s">
        <v>53</v>
      </c>
      <c r="L164" t="s">
        <v>65</v>
      </c>
      <c r="M164">
        <v>1</v>
      </c>
    </row>
    <row r="165" spans="1:13" x14ac:dyDescent="0.25">
      <c r="A165" s="1">
        <v>46140</v>
      </c>
      <c r="B165" s="1" t="str">
        <f ca="1">IF(Información1[[#This Row],[Fecha]]='Ajuste de fechas'!$A$2,"Día actual","Día anterior")</f>
        <v>Día anterior</v>
      </c>
      <c r="C165" t="s">
        <v>51</v>
      </c>
      <c r="D165" t="s">
        <v>52</v>
      </c>
      <c r="E165" t="s">
        <v>228</v>
      </c>
      <c r="F165" t="s">
        <v>43</v>
      </c>
      <c r="G165" t="s">
        <v>229</v>
      </c>
      <c r="H165" t="s">
        <v>11</v>
      </c>
      <c r="I165" t="s">
        <v>7</v>
      </c>
      <c r="J165" t="s">
        <v>64</v>
      </c>
      <c r="K165" t="s">
        <v>53</v>
      </c>
      <c r="L165" t="s">
        <v>65</v>
      </c>
      <c r="M165">
        <v>1</v>
      </c>
    </row>
    <row r="166" spans="1:13" x14ac:dyDescent="0.25">
      <c r="A166" s="1">
        <v>46140</v>
      </c>
      <c r="B166" s="1" t="str">
        <f ca="1">IF(Información1[[#This Row],[Fecha]]='Ajuste de fechas'!$A$2,"Día actual","Día anterior")</f>
        <v>Día anterior</v>
      </c>
      <c r="C166" t="s">
        <v>51</v>
      </c>
      <c r="D166" t="s">
        <v>52</v>
      </c>
      <c r="E166" t="s">
        <v>230</v>
      </c>
      <c r="F166" t="s">
        <v>43</v>
      </c>
      <c r="G166" t="s">
        <v>231</v>
      </c>
      <c r="H166" t="s">
        <v>11</v>
      </c>
      <c r="I166" t="s">
        <v>7</v>
      </c>
      <c r="J166" t="s">
        <v>64</v>
      </c>
      <c r="K166" t="s">
        <v>53</v>
      </c>
      <c r="L166" t="s">
        <v>65</v>
      </c>
      <c r="M166">
        <v>1</v>
      </c>
    </row>
    <row r="167" spans="1:13" x14ac:dyDescent="0.25">
      <c r="A167" s="1">
        <v>46140</v>
      </c>
      <c r="B167" s="1" t="str">
        <f ca="1">IF(Información1[[#This Row],[Fecha]]='Ajuste de fechas'!$A$2,"Día actual","Día anterior")</f>
        <v>Día anterior</v>
      </c>
      <c r="C167" t="s">
        <v>51</v>
      </c>
      <c r="D167" t="s">
        <v>52</v>
      </c>
      <c r="E167" t="s">
        <v>232</v>
      </c>
      <c r="F167" t="s">
        <v>89</v>
      </c>
      <c r="G167" t="s">
        <v>144</v>
      </c>
      <c r="H167" t="s">
        <v>11</v>
      </c>
      <c r="I167" t="s">
        <v>7</v>
      </c>
      <c r="J167" t="s">
        <v>64</v>
      </c>
      <c r="K167" t="s">
        <v>53</v>
      </c>
      <c r="L167" t="s">
        <v>65</v>
      </c>
      <c r="M167">
        <v>1</v>
      </c>
    </row>
    <row r="168" spans="1:13" x14ac:dyDescent="0.25">
      <c r="A168" s="1">
        <v>46140</v>
      </c>
      <c r="B168" s="1" t="str">
        <f ca="1">IF(Información1[[#This Row],[Fecha]]='Ajuste de fechas'!$A$2,"Día actual","Día anterior")</f>
        <v>Día anterior</v>
      </c>
      <c r="C168" t="s">
        <v>51</v>
      </c>
      <c r="D168" t="s">
        <v>52</v>
      </c>
      <c r="E168" t="s">
        <v>233</v>
      </c>
      <c r="F168" t="s">
        <v>21</v>
      </c>
      <c r="G168" t="s">
        <v>177</v>
      </c>
      <c r="H168" t="s">
        <v>11</v>
      </c>
      <c r="I168" t="s">
        <v>7</v>
      </c>
      <c r="J168" t="s">
        <v>64</v>
      </c>
      <c r="K168" t="s">
        <v>53</v>
      </c>
      <c r="L168" t="s">
        <v>65</v>
      </c>
      <c r="M168">
        <v>1</v>
      </c>
    </row>
    <row r="169" spans="1:13" x14ac:dyDescent="0.25">
      <c r="A169" s="1">
        <v>46140</v>
      </c>
      <c r="B169" s="1" t="str">
        <f ca="1">IF(Información1[[#This Row],[Fecha]]='Ajuste de fechas'!$A$2,"Día actual","Día anterior")</f>
        <v>Día anterior</v>
      </c>
      <c r="C169" t="s">
        <v>51</v>
      </c>
      <c r="D169" t="s">
        <v>52</v>
      </c>
      <c r="E169" t="s">
        <v>234</v>
      </c>
      <c r="F169" t="s">
        <v>136</v>
      </c>
      <c r="G169" t="s">
        <v>235</v>
      </c>
      <c r="H169" t="s">
        <v>11</v>
      </c>
      <c r="I169" t="s">
        <v>7</v>
      </c>
      <c r="J169" t="s">
        <v>64</v>
      </c>
      <c r="K169" t="s">
        <v>53</v>
      </c>
      <c r="L169" t="s">
        <v>65</v>
      </c>
      <c r="M169">
        <v>1</v>
      </c>
    </row>
    <row r="170" spans="1:13" x14ac:dyDescent="0.25">
      <c r="A170" s="1">
        <v>46140</v>
      </c>
      <c r="B170" s="1" t="str">
        <f ca="1">IF(Información1[[#This Row],[Fecha]]='Ajuste de fechas'!$A$2,"Día actual","Día anterior")</f>
        <v>Día anterior</v>
      </c>
      <c r="C170" t="s">
        <v>44</v>
      </c>
      <c r="D170" t="s">
        <v>45</v>
      </c>
      <c r="E170" t="s">
        <v>236</v>
      </c>
      <c r="F170" t="s">
        <v>21</v>
      </c>
      <c r="G170" t="s">
        <v>177</v>
      </c>
      <c r="H170" t="s">
        <v>41</v>
      </c>
      <c r="I170" t="s">
        <v>7</v>
      </c>
      <c r="J170" t="s">
        <v>64</v>
      </c>
      <c r="K170" t="s">
        <v>30</v>
      </c>
      <c r="L170" t="s">
        <v>67</v>
      </c>
      <c r="M170">
        <v>1</v>
      </c>
    </row>
    <row r="171" spans="1:13" x14ac:dyDescent="0.25">
      <c r="A171" s="1">
        <v>46140</v>
      </c>
      <c r="B171" s="1" t="str">
        <f ca="1">IF(Información1[[#This Row],[Fecha]]='Ajuste de fechas'!$A$2,"Día actual","Día anterior")</f>
        <v>Día anterior</v>
      </c>
      <c r="C171" t="s">
        <v>44</v>
      </c>
      <c r="D171" t="s">
        <v>45</v>
      </c>
      <c r="E171" t="s">
        <v>146</v>
      </c>
      <c r="F171" t="s">
        <v>25</v>
      </c>
      <c r="G171" t="s">
        <v>237</v>
      </c>
      <c r="H171" t="s">
        <v>41</v>
      </c>
      <c r="I171" t="s">
        <v>7</v>
      </c>
      <c r="J171" t="s">
        <v>64</v>
      </c>
      <c r="K171" t="s">
        <v>30</v>
      </c>
      <c r="L171" t="s">
        <v>67</v>
      </c>
      <c r="M171">
        <v>1</v>
      </c>
    </row>
    <row r="172" spans="1:13" x14ac:dyDescent="0.25">
      <c r="A172" s="1">
        <v>46140</v>
      </c>
      <c r="B172" s="1" t="str">
        <f ca="1">IF(Información1[[#This Row],[Fecha]]='Ajuste de fechas'!$A$2,"Día actual","Día anterior")</f>
        <v>Día anterior</v>
      </c>
      <c r="C172" t="s">
        <v>44</v>
      </c>
      <c r="D172" t="s">
        <v>45</v>
      </c>
      <c r="E172" t="s">
        <v>135</v>
      </c>
      <c r="F172" t="s">
        <v>28</v>
      </c>
      <c r="G172" t="s">
        <v>235</v>
      </c>
      <c r="H172" t="s">
        <v>41</v>
      </c>
      <c r="I172" t="s">
        <v>7</v>
      </c>
      <c r="J172" t="s">
        <v>64</v>
      </c>
      <c r="K172" t="s">
        <v>30</v>
      </c>
      <c r="L172" t="s">
        <v>67</v>
      </c>
      <c r="M172">
        <v>1</v>
      </c>
    </row>
    <row r="173" spans="1:13" x14ac:dyDescent="0.25">
      <c r="A173" s="1">
        <v>46140</v>
      </c>
      <c r="B173" s="1" t="str">
        <f ca="1">IF(Información1[[#This Row],[Fecha]]='Ajuste de fechas'!$A$2,"Día actual","Día anterior")</f>
        <v>Día anterior</v>
      </c>
      <c r="C173" t="s">
        <v>38</v>
      </c>
      <c r="D173" t="s">
        <v>40</v>
      </c>
      <c r="E173" t="s">
        <v>103</v>
      </c>
      <c r="F173" t="s">
        <v>28</v>
      </c>
      <c r="G173" t="s">
        <v>104</v>
      </c>
      <c r="H173" t="s">
        <v>41</v>
      </c>
      <c r="I173" t="s">
        <v>7</v>
      </c>
      <c r="J173" t="s">
        <v>64</v>
      </c>
      <c r="K173" t="s">
        <v>39</v>
      </c>
      <c r="L173" t="s">
        <v>67</v>
      </c>
      <c r="M173">
        <v>1</v>
      </c>
    </row>
    <row r="174" spans="1:13" x14ac:dyDescent="0.25">
      <c r="A174" s="1">
        <v>46140</v>
      </c>
      <c r="B174" s="1" t="str">
        <f ca="1">IF(Información1[[#This Row],[Fecha]]='Ajuste de fechas'!$A$2,"Día actual","Día anterior")</f>
        <v>Día anterior</v>
      </c>
      <c r="C174" t="s">
        <v>38</v>
      </c>
      <c r="D174" t="s">
        <v>40</v>
      </c>
      <c r="E174" t="s">
        <v>115</v>
      </c>
      <c r="F174" t="s">
        <v>28</v>
      </c>
      <c r="G174" t="s">
        <v>87</v>
      </c>
      <c r="H174" t="s">
        <v>41</v>
      </c>
      <c r="I174" t="s">
        <v>7</v>
      </c>
      <c r="J174" t="s">
        <v>64</v>
      </c>
      <c r="K174" t="s">
        <v>39</v>
      </c>
      <c r="L174" t="s">
        <v>67</v>
      </c>
      <c r="M174">
        <v>1</v>
      </c>
    </row>
    <row r="175" spans="1:13" x14ac:dyDescent="0.25">
      <c r="A175" s="1">
        <v>46140</v>
      </c>
      <c r="B175" s="1" t="str">
        <f ca="1">IF(Información1[[#This Row],[Fecha]]='Ajuste de fechas'!$A$2,"Día actual","Día anterior")</f>
        <v>Día anterior</v>
      </c>
      <c r="C175" t="s">
        <v>38</v>
      </c>
      <c r="D175" t="s">
        <v>40</v>
      </c>
      <c r="E175" t="s">
        <v>134</v>
      </c>
      <c r="F175" t="s">
        <v>28</v>
      </c>
      <c r="G175" t="s">
        <v>92</v>
      </c>
      <c r="H175" t="s">
        <v>41</v>
      </c>
      <c r="I175" t="s">
        <v>7</v>
      </c>
      <c r="J175" t="s">
        <v>64</v>
      </c>
      <c r="K175" t="s">
        <v>39</v>
      </c>
      <c r="L175" t="s">
        <v>67</v>
      </c>
      <c r="M175">
        <v>1</v>
      </c>
    </row>
    <row r="176" spans="1:13" x14ac:dyDescent="0.25">
      <c r="A176" s="1">
        <v>46140</v>
      </c>
      <c r="B176" s="1" t="str">
        <f ca="1">IF(Información1[[#This Row],[Fecha]]='Ajuste de fechas'!$A$2,"Día actual","Día anterior")</f>
        <v>Día anterior</v>
      </c>
      <c r="C176" t="s">
        <v>38</v>
      </c>
      <c r="D176" t="s">
        <v>40</v>
      </c>
      <c r="E176" t="s">
        <v>135</v>
      </c>
      <c r="F176" t="s">
        <v>136</v>
      </c>
      <c r="G176" t="s">
        <v>120</v>
      </c>
      <c r="H176" t="s">
        <v>41</v>
      </c>
      <c r="I176" t="s">
        <v>7</v>
      </c>
      <c r="J176" t="s">
        <v>64</v>
      </c>
      <c r="K176" t="s">
        <v>39</v>
      </c>
      <c r="L176" t="s">
        <v>67</v>
      </c>
      <c r="M176">
        <v>1</v>
      </c>
    </row>
    <row r="177" spans="1:13" x14ac:dyDescent="0.25">
      <c r="A177" s="1">
        <v>46140</v>
      </c>
      <c r="B177" s="1" t="str">
        <f ca="1">IF(Información1[[#This Row],[Fecha]]='Ajuste de fechas'!$A$2,"Día actual","Día anterior")</f>
        <v>Día anterior</v>
      </c>
      <c r="C177" t="s">
        <v>38</v>
      </c>
      <c r="D177" t="s">
        <v>40</v>
      </c>
      <c r="E177" t="s">
        <v>97</v>
      </c>
      <c r="F177" t="s">
        <v>89</v>
      </c>
      <c r="G177" t="s">
        <v>98</v>
      </c>
      <c r="H177" t="s">
        <v>41</v>
      </c>
      <c r="I177" t="s">
        <v>7</v>
      </c>
      <c r="J177" t="s">
        <v>64</v>
      </c>
      <c r="K177" t="s">
        <v>39</v>
      </c>
      <c r="L177" t="s">
        <v>67</v>
      </c>
      <c r="M177">
        <v>1</v>
      </c>
    </row>
    <row r="178" spans="1:13" x14ac:dyDescent="0.25">
      <c r="A178" s="1">
        <v>46140</v>
      </c>
      <c r="B178" s="1" t="str">
        <f ca="1">IF(Información1[[#This Row],[Fecha]]='Ajuste de fechas'!$A$2,"Día actual","Día anterior")</f>
        <v>Día anterior</v>
      </c>
      <c r="C178" t="s">
        <v>38</v>
      </c>
      <c r="D178" t="s">
        <v>40</v>
      </c>
      <c r="E178" t="s">
        <v>123</v>
      </c>
      <c r="F178" t="s">
        <v>81</v>
      </c>
      <c r="G178" t="s">
        <v>124</v>
      </c>
      <c r="H178" t="s">
        <v>41</v>
      </c>
      <c r="I178" t="s">
        <v>7</v>
      </c>
      <c r="J178" t="s">
        <v>64</v>
      </c>
      <c r="K178" t="s">
        <v>39</v>
      </c>
      <c r="L178" t="s">
        <v>67</v>
      </c>
      <c r="M178">
        <v>1</v>
      </c>
    </row>
    <row r="179" spans="1:13" x14ac:dyDescent="0.25">
      <c r="A179" s="1">
        <v>46140</v>
      </c>
      <c r="B179" s="1" t="str">
        <f ca="1">IF(Información1[[#This Row],[Fecha]]='Ajuste de fechas'!$A$2,"Día actual","Día anterior")</f>
        <v>Día anterior</v>
      </c>
      <c r="C179" t="s">
        <v>38</v>
      </c>
      <c r="D179" t="s">
        <v>40</v>
      </c>
      <c r="E179" t="s">
        <v>146</v>
      </c>
      <c r="F179" t="s">
        <v>25</v>
      </c>
      <c r="G179" t="s">
        <v>147</v>
      </c>
      <c r="H179" t="s">
        <v>41</v>
      </c>
      <c r="I179" t="s">
        <v>7</v>
      </c>
      <c r="J179" t="s">
        <v>64</v>
      </c>
      <c r="K179" t="s">
        <v>39</v>
      </c>
      <c r="L179" t="s">
        <v>67</v>
      </c>
      <c r="M179">
        <v>1</v>
      </c>
    </row>
    <row r="180" spans="1:13" x14ac:dyDescent="0.25">
      <c r="A180" s="1">
        <v>46140</v>
      </c>
      <c r="B180" s="1" t="str">
        <f ca="1">IF(Información1[[#This Row],[Fecha]]='Ajuste de fechas'!$A$2,"Día actual","Día anterior")</f>
        <v>Día anterior</v>
      </c>
      <c r="C180" t="s">
        <v>38</v>
      </c>
      <c r="D180" t="s">
        <v>40</v>
      </c>
      <c r="E180" t="s">
        <v>333</v>
      </c>
      <c r="F180" t="s">
        <v>89</v>
      </c>
      <c r="G180" t="s">
        <v>80</v>
      </c>
      <c r="H180" t="s">
        <v>41</v>
      </c>
      <c r="I180" t="s">
        <v>7</v>
      </c>
      <c r="J180" t="s">
        <v>64</v>
      </c>
      <c r="K180" t="s">
        <v>39</v>
      </c>
      <c r="L180" t="s">
        <v>67</v>
      </c>
      <c r="M180">
        <v>1</v>
      </c>
    </row>
    <row r="181" spans="1:13" x14ac:dyDescent="0.25">
      <c r="A181" s="1">
        <v>46140</v>
      </c>
      <c r="B181" s="1" t="str">
        <f ca="1">IF(Información1[[#This Row],[Fecha]]='Ajuste de fechas'!$A$2,"Día actual","Día anterior")</f>
        <v>Día anterior</v>
      </c>
      <c r="C181" t="s">
        <v>38</v>
      </c>
      <c r="D181" t="s">
        <v>40</v>
      </c>
      <c r="E181" t="s">
        <v>253</v>
      </c>
      <c r="F181" t="s">
        <v>21</v>
      </c>
      <c r="G181" t="s">
        <v>177</v>
      </c>
      <c r="H181" t="s">
        <v>41</v>
      </c>
      <c r="I181" t="s">
        <v>7</v>
      </c>
      <c r="J181" t="s">
        <v>64</v>
      </c>
      <c r="K181" t="s">
        <v>39</v>
      </c>
      <c r="L181" t="s">
        <v>67</v>
      </c>
      <c r="M181">
        <v>1</v>
      </c>
    </row>
    <row r="182" spans="1:13" x14ac:dyDescent="0.25">
      <c r="A182" s="1">
        <v>46140</v>
      </c>
      <c r="B182" s="1" t="str">
        <f ca="1">IF(Información1[[#This Row],[Fecha]]='Ajuste de fechas'!$A$2,"Día actual","Día anterior")</f>
        <v>Día anterior</v>
      </c>
      <c r="C182" t="s">
        <v>38</v>
      </c>
      <c r="D182" t="s">
        <v>40</v>
      </c>
      <c r="E182" t="s">
        <v>99</v>
      </c>
      <c r="F182" t="s">
        <v>24</v>
      </c>
      <c r="G182" t="s">
        <v>100</v>
      </c>
      <c r="H182" t="s">
        <v>41</v>
      </c>
      <c r="I182" t="s">
        <v>7</v>
      </c>
      <c r="J182" t="s">
        <v>64</v>
      </c>
      <c r="K182" t="s">
        <v>39</v>
      </c>
      <c r="L182" t="s">
        <v>67</v>
      </c>
      <c r="M182">
        <v>1</v>
      </c>
    </row>
    <row r="183" spans="1:13" x14ac:dyDescent="0.25">
      <c r="A183" s="1">
        <v>46140</v>
      </c>
      <c r="B183" s="1" t="str">
        <f ca="1">IF(Información1[[#This Row],[Fecha]]='Ajuste de fechas'!$A$2,"Día actual","Día anterior")</f>
        <v>Día anterior</v>
      </c>
      <c r="C183" t="s">
        <v>38</v>
      </c>
      <c r="D183" t="s">
        <v>40</v>
      </c>
      <c r="E183" t="s">
        <v>148</v>
      </c>
      <c r="F183" t="s">
        <v>43</v>
      </c>
      <c r="G183" t="s">
        <v>149</v>
      </c>
      <c r="H183" t="s">
        <v>41</v>
      </c>
      <c r="I183" t="s">
        <v>7</v>
      </c>
      <c r="J183" t="s">
        <v>64</v>
      </c>
      <c r="K183" t="s">
        <v>39</v>
      </c>
      <c r="L183" t="s">
        <v>67</v>
      </c>
      <c r="M183">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72</v>
      </c>
      <c r="B1" t="s">
        <v>73</v>
      </c>
    </row>
    <row r="2" spans="1:2" x14ac:dyDescent="0.25">
      <c r="A2" s="2">
        <f ca="1">TODAY()</f>
        <v>46141</v>
      </c>
      <c r="B2" s="2">
        <f ca="1">A2-1</f>
        <v>46140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2026-04-30T00:45:57Z</dcterms:modified>
</cp:coreProperties>
</file>