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9F3E653-C648-4F14-8B03-888FA12F633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Radio!$A$1:$M$168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81" i="2"/>
  <c r="B83" i="2"/>
  <c r="B85" i="2"/>
  <c r="B125" i="2"/>
  <c r="B128" i="2"/>
  <c r="B131" i="2"/>
  <c r="B134" i="2"/>
  <c r="B136" i="2"/>
  <c r="B139" i="2"/>
  <c r="B142" i="2"/>
  <c r="B145" i="2"/>
  <c r="B148" i="2"/>
  <c r="B151" i="2"/>
  <c r="B154" i="2"/>
  <c r="B157" i="2"/>
  <c r="B160" i="2"/>
  <c r="B163" i="2"/>
  <c r="B166"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2" i="2"/>
  <c r="B84" i="2"/>
  <c r="B124" i="2"/>
  <c r="B127" i="2"/>
  <c r="B130" i="2"/>
  <c r="B132" i="2"/>
  <c r="B137" i="2"/>
  <c r="B140" i="2"/>
  <c r="B143" i="2"/>
  <c r="B146" i="2"/>
  <c r="B149" i="2"/>
  <c r="B152" i="2"/>
  <c r="B155" i="2"/>
  <c r="B158" i="2"/>
  <c r="B161" i="2"/>
  <c r="B164" i="2"/>
  <c r="B168"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6" i="2"/>
  <c r="B129" i="2"/>
  <c r="B133" i="2"/>
  <c r="B135" i="2"/>
  <c r="B138" i="2"/>
  <c r="B141" i="2"/>
  <c r="B144" i="2"/>
  <c r="B147" i="2"/>
  <c r="B150" i="2"/>
  <c r="B153" i="2"/>
  <c r="B156" i="2"/>
  <c r="B159" i="2"/>
  <c r="B162" i="2"/>
  <c r="B165" i="2"/>
  <c r="B16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<sst xmlns="http://schemas.openxmlformats.org/spreadsheetml/2006/main" count="1684" uniqueCount="304">
  <si>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</si>
  <si>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</si>
  <si>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</si>
  <si>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</si>
  <si>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</si>
  <si>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</si>
  <si>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</si>
  <si>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</si>
  <si>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</si>
  <si>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</si>
  <si>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</si>
  <si>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</si>
  <si>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</si>
  <si>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</si>
  <si>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</si>
  <si>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</si>
  <si>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</si>
  <si>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</si>
  <si>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</si>
  <si>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</si>
  <si>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</si>
  <si>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</si>
  <si>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</si>
  <si>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</si>
  <si>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</si>
  <si>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</si>
  <si>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</si>
  <si>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</si>
  <si>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</si>
  <si>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</si>
  <si>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Juan Carlos Santamaria</t>
  </si>
  <si>
    <t>NQ 90.1 FM</t>
  </si>
  <si>
    <t>Jesús Riveros</t>
  </si>
  <si>
    <t>Enlace Hidalgo1</t>
  </si>
  <si>
    <t>Congreso</t>
  </si>
  <si>
    <t>Ke Buena 106.7 FM</t>
  </si>
  <si>
    <t>Noticias 106.7</t>
  </si>
  <si>
    <t>David Cárdenas</t>
  </si>
  <si>
    <t>OCSAD</t>
  </si>
  <si>
    <t>Alerta Meteorológica</t>
  </si>
  <si>
    <t>La Poderosa Tuxpan 93.1 FM</t>
  </si>
  <si>
    <t>NN Nuestras Noticias Zona Norte</t>
  </si>
  <si>
    <t>Liz Argüelles</t>
  </si>
  <si>
    <t>Atención Afectaciones Por Lluvias</t>
  </si>
  <si>
    <t>Gobierno del estado</t>
  </si>
  <si>
    <t>Presidencia de la República</t>
  </si>
  <si>
    <t>Alcaldías</t>
  </si>
  <si>
    <t>Saderh</t>
  </si>
  <si>
    <t>Apoyo Al Agro</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</si>
  <si>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</si>
  <si>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</si>
  <si>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</si>
  <si>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</si>
  <si>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</si>
  <si>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</si>
  <si>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</si>
  <si>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</si>
  <si>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</si>
  <si>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</si>
  <si>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</si>
  <si>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</si>
  <si>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</si>
  <si>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Iniciativa</t>
  </si>
  <si>
    <t>Combate a la delincuencia</t>
  </si>
  <si>
    <t>Semarnath</t>
  </si>
  <si>
    <t>Hacienda</t>
  </si>
  <si>
    <t>Positiva</t>
  </si>
  <si>
    <t>Entrevista pautada</t>
  </si>
  <si>
    <t>Ciudad Deportiva</t>
  </si>
  <si>
    <t>Acir 92.5 FM</t>
  </si>
  <si>
    <t>Panorama Informativo Pachuca</t>
  </si>
  <si>
    <t>Fuga De Agua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</si>
  <si>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</si>
  <si>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</si>
  <si>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</si>
  <si>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</si>
  <si>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</si>
  <si>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</si>
  <si>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</si>
  <si>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</si>
  <si>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Mal Desempeño</t>
  </si>
  <si>
    <t>Prevención De Enfermedades</t>
  </si>
  <si>
    <t>Infraestructura Hidráulica</t>
  </si>
  <si>
    <t>Localización de cuerpo</t>
  </si>
  <si>
    <t>Eulalio Larrieta agradece a Carlos Gamiño por estar al pendiente de temas</t>
  </si>
  <si>
    <t>Daniel Martínez</t>
  </si>
  <si>
    <t>Rehabilitación carretera</t>
  </si>
  <si>
    <t>SSH</t>
  </si>
  <si>
    <t>Paro nacional</t>
  </si>
  <si>
    <t>Atropellamiento</t>
  </si>
  <si>
    <t>Curso de verano</t>
  </si>
  <si>
    <t>Reforma De Ley</t>
  </si>
  <si>
    <t>Despacho</t>
  </si>
  <si>
    <t>Enlace Hidalgo2</t>
  </si>
  <si>
    <t>Fumigación mosco Culex</t>
  </si>
  <si>
    <t>Campaña de reciclaje</t>
  </si>
  <si>
    <t>Vida Saludable</t>
  </si>
  <si>
    <t>Enfoque Regional Meridiano</t>
  </si>
  <si>
    <t>Jesús González</t>
  </si>
  <si>
    <t>Queja transporte público</t>
  </si>
  <si>
    <t>Recolección De Basura</t>
  </si>
  <si>
    <t>Vialidad En Mal Estado</t>
  </si>
  <si>
    <t>Radioescucha Lic. Najar mandó audio e informó que hay varias irregularidades en la SEMARNATH, ya que a los trabajadores les están pidiendo dinero de los 50 a los 150, y esto con motivo de que un compañero tuvo una complicación médica y la ambulancia nunca llegó y a partir de eso les están pidiendo dinero. ¿Para qué no sabemos?</t>
  </si>
  <si>
    <t>Opacidad</t>
  </si>
  <si>
    <t>Alerta Protección Civil por lluvias fuertes en varias regiones de Hidalgo</t>
  </si>
  <si>
    <t>Gobierno de Hidalgo impulsa el rescate agrícola en la Sierra Gorda , AUDIO APOYO</t>
  </si>
  <si>
    <t>Gobierno de Hidalgo transforma la vida de miles de personas mayores, AUDIO APOYO</t>
  </si>
  <si>
    <t>Bienestar</t>
  </si>
  <si>
    <t>Atención a adultos mayores</t>
  </si>
  <si>
    <t>El Centro de Atención Integral Veterinario de Pachuca brindó 7 mil 624 servicios durante el primer semestre de 2026, como parte de las acciones impulsadas por el gobierno municipal para fortalecer el bienestar animal y promover la tenencia responsable de mascotas.De acuerdo con el reporte oficial, entre enero y junio se realizaron mil 587 esterilizaciones, 5 mil 252 vacunaciones antirrábicas y 785 consultas médicas veterinarias para perros y gato</t>
  </si>
  <si>
    <t>Bienestar Animal</t>
  </si>
  <si>
    <t>El IMSS en Hidalgo realiza Jornadas de Mastografías con la finalidad de fortalecer la disposición de los servicios de prevención, diagnóstico y detección oportuna del cáncer de mama a la población femenina las cuales concluirán el próximo 1 de julio.Es importante realizar el estudio cada 2 años incluso si no hay síntomas o molestias, debido a que el cáncer de mama es una enfermedad silenciosa, por lo que una detección a tiempo aumenta las probabilidades de éxito en el tratamiento en caso de requerirlo.Las mujeres adscritas a la Unidad de Medicina Familiar (UMF) No. 35 de Mineral de la Reforma que deseen realizarse su estudio, podrán acudir con aseo personal, sin desodorante, blusa con botones al frente, alimentación correcta y disponibilidad de tiempo.</t>
  </si>
  <si>
    <t>Cáncer De Mama</t>
  </si>
  <si>
    <t>El diputado José Luis Rodríguez Higareda (Morena) presentó el acuerdo económico que exhorta a la Comisión Nacional del Agua, la Coordinación Nacional de Protección Civil y a las autoridades competentes para implementar acciones preventivas y de control hidráulico en las presas San Luis Taxhimay y Requena ante la temporada de lluvias 2026. El acuerdo fue avalado en la sesión ordinaria con 19 votos a favor, cero en contra y cero abstenciones, AUDIO APOYO</t>
  </si>
  <si>
    <t>Exhorto</t>
  </si>
  <si>
    <t>En sesión ordinaria, diputadas y diputados integrantes de la LXVI Legislatura avalaron con 24 votos a favor, cero en contra y cero abstenciones, el acuerdo económico que emite resolutivo sobre la propuesta en materia de verificación sanitaria a módulos purificadores de agua de autoservicio en Hidalgo, promovido por la legisladora Orquídea Larragoiti Osorio (PT), emitido por la primera Comisión Permanente de Salud , AUDIO APOYO</t>
  </si>
  <si>
    <t>Radioescucha manda video de una fuga de agua aun costado de la Peni</t>
  </si>
  <si>
    <t>Se ha reportado una fuga de nitrógeno en un ducto de Pemex; todo parece indicar que es en la zona de Atotinilco de Tula. Esta una fuerte movilización, aunque se decia que la fuga era en Bomintzha, ubicada en los límites de Tula de Allende y Atitalaquia, ya se comunicaron autoridades del municipio</t>
  </si>
  <si>
    <t>Fuga de gasoducto</t>
  </si>
  <si>
    <t>La Caasim, informa que, como parte del seguimiento a los trabajos de mantenimiento en la infraestructura hidráulica, se llevarán a cabo intervenciones en la red de distribución para la Zona Sur Poniente.Estas labores tendrán una duración de 36 horas; por este motivo, solicitamos a las personas usuarias tomar las previsiones necesarias, ya que los servicios de agua programados para la Zona Sur Poniente presentarán una disminución en la presión del servicio a partir del próximo lunes 29 de junio del año en curso.Se estima que, el martes 30 de junio, una vez que concluyan las maniobras, inicie la recuperación del servicio de manera paulatina, en un lapso de hasta 48 horas en los puntos más alejados.</t>
  </si>
  <si>
    <t>Los diputados Mónica Leanett Reyes Martínez, Juana Olivia Alarcón Rivera (Nueva Alianza), Yarabí González Martínez, Aldo Meza Hernández, Julián Nochebuena Hernández y José Luis Rodríguez Higareda (Morena) presentaron la iniciativa que reforma la Ley de Movilidad y Transporte para el Estado de Hidalgo, con el objetivo de fortalecer el marco jurídico estatal, mediante la incorporación de mecanismos normativos que regulen de manera expresa, transparente y obligatoria las tarifas aplicables a los servicios prestados mediante grúas, así como a los servicios auxiliares de arrastre, salvamento, maniobras, traslado y depósito vehicular.</t>
  </si>
  <si>
    <t>Hidalgo lleva el sabor de sus tradiciones a “México de Mis Sabores”, AUDIO APOYO</t>
  </si>
  <si>
    <t>Turismo</t>
  </si>
  <si>
    <t>Mundial De Futbol</t>
  </si>
  <si>
    <t>La Uplaph informó que durante el último año se llevaron a cabo trabajos de actualización de usos de suelo en municipios como Tizayuca, Tolcayuca, Villas de Tezontepec, Zapotlán,Atotonilco de Tula, Tepeji del Río, Tula de Allende y Tlaxcoapan, con el propósito de orientar el crecimiento de estas regiones bajo criterio de planeación territorial. El titular de la dependencia, Miguel Ángel Tello Vargas, las modificaciones permiten identificar con mayor precisión las áreas destinadas al desarrollo industrial, logístico, habitacional y agrícola, brindando a los municipios herramientas para definir el rumbo de su expansión urbana en los últimos años.</t>
  </si>
  <si>
    <t>Ordenamiento Territorial</t>
  </si>
  <si>
    <t>Integrantes de la Alianza Mexicana de Organización de Transportistas A. C. (AMOTAC) fijaron un plazo de tres meses para que distintas dependencias gubernamentales muestren avances en el cumplimiento de las exigencias marcadas por el sector. El acuerdo se dio luego de la manifestación en diferentes puntos del país, señaló el delegado de la agrupación Francisco Leyva Luna.</t>
  </si>
  <si>
    <t>Trabajadores de diversas áreas que conforman la presidencia municipal de Mineral de la Reforma recibieron una capacitación por parte del personal de la Fiscalía Especializada en Delitos Electorales.Durante la bienvenida, el titular de la Secretaría General Municipal, Pablo Jaramillo Almaraz, resaltó la importancia del acercamiento interinstitucional para capacitar a servidores públicos municipales.Enfatizó que la vida del funcionario público se rige por el principio de legalidad, por lo que deben actuar siempre conforme a la norma y mantenerse permanentemente capacitados para cumplir sus responsabilidades con integridad y transparencia.Durante la sesión se abordaron temas clave como la prevención de la violencia política en razón de género contra las mujeres, aplicable en los ámbitos federal, estatal y municipal.</t>
  </si>
  <si>
    <t>Prevención de delitos electorales</t>
  </si>
  <si>
    <t>Radioescucha comenta estaria bueno que pusieran camaras en las colectivas de la ruta Pachuca, ya que los choferes son groseros</t>
  </si>
  <si>
    <t>Radioescucha comenta que sí está permitido en las colectivas; pueden ir parados. También que manejen como locos y esto en la ruta Hogares Unión – Hospital General.</t>
  </si>
  <si>
    <t>Cristian Martínez Reséndiz alcalde de Tula explicó para Enfoque Regional cómo funciona actualmente el sistema de recolección de residuos aquí en Tula, comento que se esta tranajando con el centro de transferencia y enviando los residuos a un destino autorizado en el Estado de México. AUDIO APOYO</t>
  </si>
  <si>
    <t>Radioescucha pregunta hasta qué fecha se amplió el registro de línea de celulares; comenta conductor que hasta el 31 de diciembre.</t>
  </si>
  <si>
    <t>Registro de celulares</t>
  </si>
  <si>
    <t>Radioescucha comenta si pueden volver a compartir la información para vincular la línea celular; conductora menciona nuevamente toda la información.</t>
  </si>
  <si>
    <t>La Comisión Reguladora de Telecomunicaciones amplió hasta el 31 de diciembre el plazo para que 82 millones de usuarios vinculen su línea celular con la CURP.</t>
  </si>
  <si>
    <t>El Presidente municipal, Cristian Martínez Reséndiz platicó que esta pasando con el relleno sanitario de Tula y los acuerdos que existen en torno al proyecto, en dodne menciono que esta seman ya se llevo acabo la primera reunión con la SEMARNATH, en dodne menciono que en este esta sin operación hoy el relleno sanitario, AUDIO APOYO</t>
  </si>
  <si>
    <t>Relleno Sanitario</t>
  </si>
  <si>
    <t>El gobierno de Hidalgo mantiene el proceso de reubicación de familias de la comunidad de Chapula en el municipio de Tanguistengo, luego de que estudios técnicos determinaran que la localidad se encuentra en una zona de alto riesgo.Durante una reunión con habitantes de la comunidad, autoridades estatales dieron seguimiento al proyecto y escucharon planteamientos de la población para avanzar en la construcción de acuerdos sobre el traslado a áreas más seguras. Como parte de la estrategia se informó que las familias recibirán apoyo económico para la edificación de nuevas viviendas con el objetivo de reducir su exposición a riesgos derivados de fenómenos hidrometeorológicos. Las acciones forman parte de las medidas preventivas implementadas tras las afectaciones registradas en la región durante el año 2025, mientras Protección Civil mantiene monitoreo permanente en esa zona.</t>
  </si>
  <si>
    <t>Reubicación de viviendas</t>
  </si>
  <si>
    <t>El conductor Jesús González acompañó al presidente municipal, Cristian Martínez Reséndiz, a un recorrido que realizó en la comunidad del Carmen y en San Marcos, con arranques de obras importantes para el municipio de Tula.</t>
  </si>
  <si>
    <t>Supervisión de obra</t>
  </si>
  <si>
    <t>Radioescucha reporta que hay muchos baches en el Fraccionamiento de Virreyes y pide a las autoridades apoyen a mejorar las calles</t>
  </si>
  <si>
    <t>Radioescucha manda foto de calle Piracantos en Constitución, que está en muy mal estado, pide a las autoridades hacer algo.</t>
  </si>
  <si>
    <t>Radioescucha comenta que en la calle Sierra Hidalguense en Parque de Poblamiento no le dan mantenimiento desde hace 39 años y están en muy mal estado; ya se metieron varios oficios, pero no nos hacen caso.</t>
  </si>
  <si>
    <t>Impulsa Hidalgo activación física y vida saludable en las escuelas , AUDIO APOYO</t>
  </si>
  <si>
    <t>a Comisión Reguladora de Telecomunicaciones (CRT) confirmó que las líneas de prepago contarán con un periodo adicional para completar el proceso. Sin embargo, la extensión no será igual para todos los usuarios, ya que las nuevas fechas dependerán del último dígito de cada número celular. La decisión surge luego de que las cifras de vinculación se mantuvieran por debajo de lo esperado a pocos días de concluir el plazo originalmente establecido. De acuerdo con los datos más recientes, el avance en la vinculación de líneas móviles no alcanzó los niveles proyectados por las autoridades. Hasta el último corte reportado, poco más de 63 millones de líneas habían sido registradas, una cifra que representa menos de la mitad del total de números activos en el país. Ante este escenario, la CRT decidió otorgar una prórroga escalonada para facilitar que los usuarios completen el procedimiento sin generar saturación en los sistemas de atención de las compañías telefónicas. La autoridad reguladora recordó que el objetivo principal es que cada número telefónico esté asociado a una identidad verificable. "Cada número telefónico debe estar a nombre de una persona, a fin de eliminar el anonimato que ha permitido que la delincuencia cometa delitos como fraude o extorsión".</t>
  </si>
  <si>
    <t>Un motociclista perdió la vida luego de verse involucrado en un choque con un automóvil sobre la carretera federal México-Tuxpan, en el tramo conocido como Corredor Vial San José, a la altura de la entrada a Magisterio I, en Tulancingo. El accidente ocurrió en el crucero ubicado frente a esa zona habitacional, donde el tránsito suele concentrarse por las incorporaciones hacia el corredor y los accesos a colonias cercanas. Tras el impacto, el conductor de la motocicleta salió proyectado y quedó tendido sobre la vialidad. Elementos de seguridad acordonaron el área para permitir la atención de la emergencia y evitar riesgos para otros automovilistas que circulaban por la carretera México-Tuxpan. El paso en la zona presentó afectaciones mientras se realizaban las diligencias correspondientes.</t>
  </si>
  <si>
    <t>Accidente Vial</t>
  </si>
  <si>
    <t>Locutor Jesús Riveros da lectura a comentario de radioescucha que señala, arreglaron una fuga en en el Fracc. Los Arcos en Pachuca, pero no taraon la zanjas, dejaron tres abiertas en las misma calle; Jesús Riveros responde que compartirá el reporte a la Caasim.</t>
  </si>
  <si>
    <t>Zanjas Caasim</t>
  </si>
  <si>
    <t>AIC asegura 7 mil 500 dosis de droga y detiene a dos hombres en Tlaxcoapan</t>
  </si>
  <si>
    <t>Combate Al Narcomenudeo</t>
  </si>
  <si>
    <t>La Comisión Reguladora de Telecomunicaciones (CRT) confirmó que las líneas de prepago contarán con un periodo adicional para completar el proceso. Sin embargo, la extensión no será igual para todos los usuarios, ya que las nuevas fechas dependerán del último dígito de cada número celular. La decisión surge luego de que las cifras de vinculación se mantuvieran por debajo de lo esperado a pocos días de concluir el plazo originalmente establecido. De acuerdo con los datos más recientes, el avance en la vinculación de líneas móviles no alcanzó los niveles proyectados por las autoridades. Hasta el último corte reportado, poco más de 63 millones de líneas habían sido registradas, una cifra que representa menos de la mitad del total de números activos en el país. Ante este escenario, la CRT decidió otorgar una prórroga escalonada para facilitar que los usuarios completen el procedimiento sin generar saturación en los sistemas de atención de las compañías telefónicas. La autoridad reguladora recordó que el objetivo principal es que cada número telefónico esté asociado a una identidad verificable. "Cada número telefónico debe estar a nombre de una persona, a fin de eliminar el anonimato que ha permitido que la delincuencia cometa delitos como fraude o extorsión".</t>
  </si>
  <si>
    <t>El Gobierno Municipal de Tulancingo confirmó la localización de dos cuerpos al interior de un predio ubicado en la colonia 2 de agosto, luego de que el pasado 21 de junio se recibiera una denuncia anónima que alertaba sobre la posible presencia de restos humanos en el lugar. De acuerdo con una tarjeta informativa emitida por la administración municipal, tras recibir el reporte, elementos de la Secretaría de Seguridad Ciudadana acudieron al sitio para realizar el acordonamiento preventivo del área, con el objetivo de resguardar y preservar la escena. Posteriormente, las autoridades municipales notificaron de manera inmediata a la Procuraduría General de Justicia del Estado de Hidalgo (PGJEH), instancia responsable de llevar a cabo las diligencias correspondientes y encabezar las investigaciones. Como resultado de las actuaciones ministeriales, la autoridad estatal confirmó el hallazgo de dos cuerpos dentro del predio. El caso quedó integrado a una carpeta de investigación, la cual continúa en proceso. El gobierno municipal señaló que, con el fin de no entorpecer las investigaciones y en apego al debido proceso, no emitirá información adicional sobre el caso mientras continúen las indagatorias.</t>
  </si>
  <si>
    <t>Como parte de las acciones permanentes para promover la tenencia responsable de mascotas y proteger la salud pública, el Municipio de Pachuca ha fortalecido la atención y los servicios que brinda el Centro de Atención Integral Veterinario, durante el primer semestre de 2026. De enero a junio se realizaron 1,587 esterilizaciones de perros y gatos, 5,252 vacunaciones antirrábicas y 785 consultas médicas veterinarias, para un total de 7,624 atenciones brindadas a las y los propietarios de animales de compañía. Las jornadas de esterilización se desarrollan bajo protocolos especializados que garantizan la seguridad de los ejemplares antes, durante y después del procedimiento. Para acceder a este servicio, las mascotas deben tener entre seis meses y seis años de edad, cumplir con un ayuno de ocho a doce horas, no encontrarse gestantes ni en celo, acudir limpias y con los implementos necesarios para su traslado y recuperación.</t>
  </si>
  <si>
    <t>En este momento, hay muchos turistas extranjeros viviendo la experiencia deportiva, pues que también conozcan más de un lugar donde se pueden disfrutar los diferentes sabores de todo el país, este es el caso de Campo Marte con presencia de Hidalgo, que, seguramente, será una participación destacada la de Hidalgo con la barbacoa, mixiotes, chinicuiles, zacahuil, todo lo que tiene que mostrar en materia gastronómica, que por supuesto, nos enorgullece y que tanto nos gusta a los hidalguenses, comentó locutor Juan Carlos Santamaría.</t>
  </si>
  <si>
    <t>Hidalgo lleva su tradición culinaria a “México de Mis Sabores”</t>
  </si>
  <si>
    <t>OSEH ofrecerá concierto especial en la Parroquia de Nuestra Señora de la Encarnación de Zacualtipán.</t>
  </si>
  <si>
    <t>Cultura</t>
  </si>
  <si>
    <t>Concierto Benéfico</t>
  </si>
  <si>
    <t>Uplaph impulsa el crecimiento ordenado de Hidalgo</t>
  </si>
  <si>
    <t>Gobierno de Hidalgo fortalece acompañamiento a familias de Chapula para garantizar su seguridad.</t>
  </si>
  <si>
    <t>SSPH recupera tractocamión con más de 24 toneladas de mercancía</t>
  </si>
  <si>
    <t>Llevan estudiantes de CONALEP sabores de Hidalgo a muestra gastronómica nacional</t>
  </si>
  <si>
    <t>Muestra gastronómica</t>
  </si>
  <si>
    <t>Daniel Martínez critica que las autoridades municipales de Tulancingo no estuvieron en la vista que realizó el Delgado del IMSS Bienestar en Hidalgo, Felipe Arreola al Hospital General de Tulancingo. Pregunta si solo van a hacer visitas a contentillo y para quedar bien. Solo estuvo la diputada federal y deberían de hacer equipo, más si son de la misma fuerza política.</t>
  </si>
  <si>
    <t>Daniel Martínez en respuesta a un radioescucha que pregunta que cuándo serán liberados los recursos para el distribuidor vial de Genisa, señala que no hay fecha establecida para esa obra y que lo que se hará es la rehabilitación de la carretera Tulancingo- Santiago Tulantepec, en fecha aún por confirmar y extraoficialmente se habla de mediados de julio o hasta agosto.</t>
  </si>
  <si>
    <t>El grupo de edad de uno a 4 años de edad es el que tiene mayor registro de Enfermedades Diarréicas Agudas (EDA’s) en los municipios a cargo de la Jurisdicción Sanitaria Regional Tulancingo, dependiente a su vez de la Secretaría de Salud en Hidalgo (SSH). Los datos fueron presentados durante la sesión del Consejo Jurisdiccional de Vigilancia Epidemiológica (Cojuve), realizada este miércoles 24 de junio. Dichos datos son recabados por el Sistema Nacional de Vigilancia Epidemiológica (Sinave), señalan que al corte de la semana 21, en la región se han registrado y atendido 4 mil 774 EDA’s. En la estadística, en el grupo de uno a 4 años de edad, la incidencia es de 2 mil 284.3, seguido del grupo de los 5 a 9 años de edad, con incidencia de mil 506.7; mientras que en tercer lugar se ubica el grupo de niñas y niños menores de un año de edad, con incidencia de mil 344.6. Dichos grupos de edad preocupan, debido a que las niñas y niños menores de un año de edad están en formación de anticuerpos, así como por la vulnerabilidad de su sistema de salud en la primera infancia. Los municipios a cargo de la Jurisdicción Sanitaria Regional 2 de donde provienen los datos recabados, corresponden al Valle de Tulancingo y la Sierra Otomí Tepehua. Ante dichos datos y el panorama de lluvias abundantes que se registra en ambas regiones, al igual que en varios puntos del Estado de Hidalgo y del país, las autoridades sanitarias hicieron llamado a aplicar medidas para prevenir EDA’s. Entre ellas, consideradas como las más importantes, procurar ambientes limpios y sanitizados, consumo de alimentos bien desinfectados, así como agua clorada o de fuentes de surtido confiables. En caso de presentar síntomas de enfermedad gastrointestinal, acudir a consulta médica, evitando la automedicación o el uso de remedios caseros, que incluso pueden empeorar la situación de salud.</t>
  </si>
  <si>
    <t>Vía telefónica Martha Guerrero Olvera, Gestora Técnica de la Semarnath informó sobre la campaña “Hidalgo Juega Limpio” la cual tiene como objetivo, recuperar prendas de mezclilla y algodón en desuso para darles una segunda vida; con esta campaña, se pretende reducir los índices de contaminación y fomentar la economía circular. El centro de acopio para las y los interesados se encuentra en el Parque Ecológico Cubitos, la vigencia de dicho evento es del 8 junio al 8 de agosto. Hasta el momento se han recolectado 50 kilos, la meta es acopiar 200 kilos.</t>
  </si>
  <si>
    <t>Vía telefónica Felipe Arreola, delegado del IMSS Bienestar en Hidalgo informó que en el Hospital General de Tulancingo ya se cuenta con un tomógrafo de 64 cortes, y esto es el resultado de las isitas y compromisos de la presidenta, Claudia Sheinbaum. Asimismo habla de la rehabilitación de los quirófanos de este hospital y todos los demás que administra el IMSS Bienestar. Menciona los trabajos de mantenimiento que se han realizado en lo 18 hospitales del estado en beneficio de la ciudadanía. Detalla los trabajos de equipamiento y mantenimiento del Hospital General de Tulancingo y asegura que el abasto de medicamentos es adecuado y que se ha implementado el programa de "Trato digno", para que el que se está capacitando a todos los trabajadores. Sobre las quejas de los trabajadores de limpieza que no reciben el pago de su salario a tiempo, señala que eso es responsabilidad de la empresa que los contrata y la basificación de empleados se ha dado paulatinamente. Finalmente indicó que el Centro Estatal de Transfusión Sanguínea de Hidalgo está apoyando con el puesto de sangrado, en tanto cada unos de los hospitales cuentan con uno.</t>
  </si>
  <si>
    <t>IMSS Bienestar</t>
  </si>
  <si>
    <t>Una iniciativa presentada en el Congreso local busca implementar nuevas herramientas de seguridad en el transporte público de Hidalgo, con el propósito de prevenir situaciones de violencia y brindar mayor protección a pasajeros y operadores. La propuesta, impulsada por la diputada Hilda Miranda Miranda, contempla modificaciones a la legislación estatal en materia de movilidad y seguridad pública para establecer un protocolo de actuación ante emergencias dentro de las unidades. Entre las medidas planteadas se encuentra la instalación de cámaras de videovigilancia con grabación continua, así como botones de auxilio enlazados con los sistemas de emergencia estatales, con el objetivo de agilizar la atención de incidentes. La iniciativa también propone que las unidades cuenten con mejor iluminación en horarios nocturnos y que los operadores porten información visible que permita a los usuarios identificar plenamente a quienes prestan el servicio. Otro de los puntos considerados es la capacitación permanente a conductores en temas relacionados con atención a víctimas, perspectiva de género, protección de menores y actuación ante hechos de violencia. El proyecto establece que la Secretaría de Movilidad y Transporte y la Secretaría de Seguridad Pública desarrollen de manera conjunta un protocolo estatal para la prevención y atención de delitos o situaciones de riesgo dentro del transporte público. Además, se prevé que el C5i coordine las respuestas de emergencia y genere información estadística que permita identificar zonas con mayor incidencia delictiva y fortalecer las estrategias de seguridad. La propuesta también incluye acciones en terminales y paraderos, donde se busca incorporar sistemas de comunicación de emergencia, señalización y espacios de orientación para personas afectadas. De aprobarse la reforma, las autoridades tendrían un plazo de 180 días para emitir el protocolo correspondiente, mientras que concesionarios y permisionarios dispondrían de hasta 18 meses para cumplir con las nuevas medidas de seguridad.</t>
  </si>
  <si>
    <t>Una iniciativa presentada en el Congreso de Hidalgo busca establecer reglas para la operación de las plataformas digitales de hospedaje temporal y los propietarios que ofrecen inmuebles a través de estos servicios. La propuesta, impulsada por la diputada Yarabi González Martínez, plantea reformas a la Ley de Turismo Sustentable del estado con la creación de la figura de Estancias Turísticas Eventuales, la cual incluiría tanto a los anfitriones como a las empresas tecnológicas que facilitan la renta de viviendas por periodos cortos. Entre los objetivos de la iniciativa se encuentra generar condiciones de competencia más equilibradas con el sector hotelero tradicional, así como establecer mecanismos de supervisión para este tipo de alojamientos. La legisladora señaló que el crecimiento de las plataformas de hospedaje ha generado cambios en diversos destinos turísticos del país, relacionados con el acceso a la vivienda, la transformación de zonas habitacionales y el desplazamiento de residentes. Por ello, la propuesta contempla que la Secretaría de Turismo estatal pueda establecer límites sobre el número de propiedades que una persona podrá registrar en estas plataformas, tomando en cuenta las condiciones de cada región. Asimismo, los propietarios tendrían la obligación de inscribirse en el Registro Estatal de Turismo, cumplir con sus responsabilidades fiscales y presentar información estadística sobre la operación de sus inmuebles. Las plataformas digitales también estarían obligadas a registrarse ante las autoridades y verificar que los anfitriones cumplan con los requisitos legales antes de ofrecer sus espacios. De acuerdo con la exposición de motivos, en Hidalgo existen más de 6 mil 500 habitaciones de hospedaje formal, mientras que se estima que alrededor de 4 mil propiedades son ofertadas mediante aplicaciones digitales, entre casas, departamentos y cabañas. La iniciativa también contempla medidas de protección para niñas, niños y adolescentes, así como mecanismos de coordinación con las autoridades cuando existan indicios de posibles conductas delictivas relacionadas con la prestación del servicio.</t>
  </si>
  <si>
    <t>Airbnb</t>
  </si>
  <si>
    <t>La colaboración entre la presidenta municipal, Lorena García Cázares, y el secretario de Seguridad Pública del Estado, Salvador Cruz Neri, permitió implementar acciones conjuntas para mejorar la imagen urbana, fortalecer la seguridad y contribuir al cuidado del medio ambiente. Derivado de esta estrategia, se realizaron 60 notificaciones a propietarios de vehículos que permanecían en calles y espacios públicos por meses e incluso años. Como resultado, igual número de unidades fueron retiradas de la vía pública, principalmente por la atención de sus propietarios a los avisos emitidos por la Dirección de Movilidad y Transporte de Tulancingo. La coordinación y respaldo de la Secretaría de Seguridad Pública de Hidalgo hicieron posible la asignación de una grúa de la Policía Estatal para brindar, de manera gratuita, el servicio de traslado de las unidades al lugar indicado por sus propietarios, facilitando así la liberación de espacios públicos sin generar costos para la ciudadanía. Asimismo, tres vehículos fueron remitidos al corralón debido a la omisión de sus propietarios para atender las notificaciones correspondientes. El resto de las unidades fueron reubicadas con el apoyo de sus dueños, elementos de la Policía Estatal y de la Dirección de Movilidad y Transporte. La Secretaría de Seguridad Ciudadana informó que continúan las notificaciones y el monitoreo para la liberación de la vía pública, tanto de vehículos como de objetos colocados para apartar lugares o impedir el libre tránsito. Se liberaron vialidades importantes en las colonias: Plan de Ayala, Zapotlán de Allende, Paraíso Centro, Caltego, Los Sabinos, La Estrella, La Morena, La Cañada, entre otras 26 localidades; vecinos agradecieron la liberación de la vía pública que provocaba inconformidad ciudadana.</t>
  </si>
  <si>
    <t>Operativo Rastrillo</t>
  </si>
  <si>
    <t>Las intensas lluvias registradas en los últimos días han provocado deslaves y desprendimiento de material en la zona de El Madho, en el municipio de Tenango de Doria, situación que mantiene en alerta a las autoridades de Protección Civil. Ante las condiciones del terreno, las autoridades exhortaron a la población a evitar transitar por las áreas afectadas, ya que la presencia de lodo, piedras y tierra sobre la vía representa un riesgo para automovilistas y peatones. Asimismo, se pidió a la ciudadanía respetar la señalización preventiva y atender las indicaciones del personal de emergencia, con el objetivo de evitar accidentes durante la actual temporada de lluvias. Protección Civil reiteró el llamado a no intentar cruzar zonas con derrumbes o deslaves, ya que las precipitaciones podrían generar nuevos desprendimientos de material. Las autoridades recordaron que, ante cualquier situación de emergencia, la población puede comunicarse al número 911 para solicitar apoyo y reportar incidentes relacionados con las lluvias.</t>
  </si>
  <si>
    <t>El ahora ex titular de la Dirección de Pueblos y Comunidades Indígenas en Tulancingo, M.I.M.M., fue dado de baja del cargo luego de detectarse irregularidades de las que él mismo podría ser responsable. Alberto Campillo Santos, titular de la Secretaría de Desarrollo Humano y Social, a cuyo cargo está la dirección citada, señaló que se inició denuncia al respecto ante el Órgano Interno de Control (OIC) municipal. Fue el pasado 4 de junio cuando se presentó dicha denuncia, fecha en la que fue separado del cargo el ahora ex funcionario municipal. La investigación se inició luego de que seis personas se presentaran para exigir explicaciones sobre supuestas gestiones por parte del entonces titular de la Dirección de Pueblos y Comunidades Indígenas. De estas, dos personas presentaron denuncia formal, derivando en la investigación interna. En este momento se está a la espera de que la Unidad de Investigación de la OIC les informe de la radicación de la denuncia presentada en base a las investigaciones que se realicen en este caso. El funcionario municipal aclaró que en la Dirección de Pueblos y Comunidades Indígenas local no se manejan recursos, pero M.I.M.M. habría realizado un mal manejo de sus responsabilidades. “La gestión que tenía a su cargo no fue encaminada a las personas como debía ser y hubo mucha información equivocada (…) y obviamente hay manipulación de recursos, no públicos, pero sí de recursos de otra índole”. Campillo Santos señaló que podría presentarse una denuncia ante la Fiscalía Anticorrupción, dependiente de la Procuraduría General de Justicia del Estado de Hidalgo, en base a los resultados de la investigación interna actualmente en desarrollo. Dicha eventual denuncia seria dando vista previa a la sindicatura jurídica del Ayuntamiento, para determinar si es pertinente, y por tanto, si se procede con la denuncia formal. El titular de la Secretaría de Desarrollo Humano y Social dijo que no se está prejuzgando situación alguna en este caso, pero enfatizó que no se pueden tolerar situaciones de posibles malos manejos en las dependencias municipales de Tulancingo.</t>
  </si>
  <si>
    <t>Malos manejos</t>
  </si>
  <si>
    <t>Representantes de la AMOTAC confirmaron a Animal Político el acuerdo y la realización de las mesas de trabajo tanto con la Secretaría de Gobernación como con la Secretaría de Seguridad. Neri Santiago Nava, dirigente de la alianza en Estado de México y Ciudad de México señaló que los transportistas advirtieron que si en tres meses no obtienen respuestas positivas a sus demandas reiniciarán las movilizaciones a nivel nacional.</t>
  </si>
  <si>
    <t>El Gobierno Municipal de Tulancingo confirmó la localización de dos cuerpos al interior de un predio ubicado en la colonia 2 de Agosto, luego de que una denuncia anónima alertara sobre la posible presencia de restos humanos en el lugar. A través de una tarjeta informativa, la administración municipal señaló que el pasado 21 de junio recibió un reporte ciudadano anónimo que advertía sobre la posible existencia de restos humanos dentro de un inmueble situado en dicha colonia, por lo que se activaron los protocolos correspondientes para atender la situación. De acuerdo con la información oficial, tras recibir la denuncia, elementos de la Secretaría de Seguridad Ciudadana acudieron al sitio para realizar el acordonamiento preventivo del área, con el objetivo de preservar posibles indicios y garantizar el resguardo del predio mientras se daba aviso a las autoridades competentes. De acuerdo con la información oficial, tras recibir la denuncia, elementos de la Secretaría de Seguridad Ciudadana acudieron al sitio para realizar el acordonamiento preventivo del área, con el objetivo de preservar posibles indicios y garantizar el resguardo del predio mientras se daba aviso a las autoridades competentes. Asimismo, y debido a que las indagatorias continúan en desarrollo, las autoridades municipales señalaron que se abstendrán de proporcionar información adicional relacionada con el caso, a fin de no afectar el debido proceso ni interferir en las líneas de investigación que siguen las instancias competentes.</t>
  </si>
  <si>
    <t>Tras comunicación con funcionarios de la Procuraduría General de Justicia del Estado de Hidalgo (PGJEH), la alcaldesa de Tulancingo Lorena García Cázares señaló que no existen indicios de una fosa clandestina en un predio ubicado en la colonia 2 de agosto. En entrevista, agregó que tampoco hay indicios de la recuperación de varios cuerpos sin vida en el mismo predio, como se publicó en redes sociales desde inicios de la presente semana. Desde el pasado domingo 21 de junio, personal de la PGJEH realiza procesamiento de indicios en dicho predio, ubicado al norte de la ciudad de Tulancingo, sin que hasta el momento se haya emitido información oficial al respecto. Extraoficialmente se señala sobre el hallazgo de restos humanos, lo que será confirmado o descartado al finalizar el procesamiento de indicios dentro del predio. La alcaldesa de Tulancingo dijo que se mantiene en comunicación permanente con la PGJEH para conocer el avance de las investigaciones, y en su momento, el resultado de las mismas. Insistió que de acuerdo a la información que ha recibido de la instancia estatal, no se ha encontrado ninguna fosa en el sitio, así como tampoco varios cuerpos sin vida. En el mismo sentido consideró que es importante que se conozca el reporte oficial por parte de las autoridades correspondientes precisamente para evitar especulaciones sobre el caso. Enfatizó que tanto la procuraduría estatal como las áreas de seguridad pública tanto estatal como municipal, manejan sus labores en forma muy cuidadosa para no entorpecer el desarrollo de las investigaciones. “Ellos no son de los que salen a hablar a cuadro a botepronto”, dijo, agregando que en varios casos previos ya han existido resultados por parte de las autoridades, e incluso personas detenidas presuntamente relacionadas con hechos delictivos. Respecto a reportes de seguridad en la colonia 2 de agosto, señaló que se deben estudiar los reportes emitidos para fortalecer los esquemas de seguridad en dicha zona de la ciudad.</t>
  </si>
  <si>
    <t>Fosa clandestina</t>
  </si>
  <si>
    <t>Como parte de las acciones permanentes para promover la tenencia responsable de mascotas y proteger la salud pública, el Municipio de Pachuca ha fortalecido la atención y los servicios que brinda el Centro de Atención Integral Veterinario, durante el primer semestre de 2026. De enero a junio se realizaron 1,587 esterilizaciones de perros y gatos, 5,252 vacunaciones antirrábicas y 785 consultas médicas veterinarias, para un total de 7,624 atenciones brindadas a las y los propietarios de animales de compañía.</t>
  </si>
  <si>
    <t>Bienestar animal</t>
  </si>
  <si>
    <t>Mara Olvera y su columna Ajedrez Político habla de la cultura integral del deporte como fundamento de la política púbica, se posiciona como u derecho humano con la murada renovada de la transformación del proyecto de alternancia del gobernador Julio Menchaca. La Ciudad Deportiva de Alto Rendimiento en Pachuca, cuyas instalaciones presenta una innovación tecnológica y modernización de infraestructura sustenta la convicción gubernamental de garantizar para las y los hidalguenses desde la estructura del deporte, la calidad de vida y hábitos de recreación y salud integral.</t>
  </si>
  <si>
    <t>Mara Olvera</t>
  </si>
  <si>
    <t>El Secretario de la Saderh, Napoleón González será el padrino de graduación de la generación 2023-2026 de los alumnos de la Telesecundaria 335 de Portezuelo, Tasquillo, el próximo 11 de julio.</t>
  </si>
  <si>
    <t>Graduación</t>
  </si>
  <si>
    <t>Participa Natividad Castrejón en convenio para fortalecer cultura fiscal</t>
  </si>
  <si>
    <t>Firma De Convenio</t>
  </si>
  <si>
    <t>La Comisión de Biodiversidad del Estado invita a la población a acudir a la presentación de la Estrategia de la integración de la biodiversidad entre los sectores agrícola, pecuario, pesquero-acuícola y forestal del Estado de Hidalgo, mañana a las 11:30 de la mañana en las instalaciones del Citnova.</t>
  </si>
  <si>
    <t>Conservación Biodiversidad</t>
  </si>
  <si>
    <t>La Comisión de Biodiversidad de Hidalgo invita a la oblación en general a la presentación del Sendero de la Ciencia la ciencia, tecnología y biodiversidad mañana a las 9:30 de la mañana, en al sede del Citnova.</t>
  </si>
  <si>
    <t>El día de hoy el gobernador va a premiar a los niños y niñas que participaron en la Olimpiada del Conocimiento Infantil 2026, a las 10:45 en el Centro de Convenciones de la Zona Plateada.</t>
  </si>
  <si>
    <t>Olimpiada del Conocimiento</t>
  </si>
  <si>
    <t>Ruta de la Inclusión acercará orientación y servicios para personas con discapacidad</t>
  </si>
  <si>
    <t>Inclusión</t>
  </si>
  <si>
    <t>Alianza entre el Despacho del Gobernador y Pemex beneficia a 10 primarias de Actopan</t>
  </si>
  <si>
    <t>Entrega De Equipo Escolar</t>
  </si>
  <si>
    <t>Gobierno de Hidalgo impulsa el rescate agrícola en la Sierra Gorda</t>
  </si>
  <si>
    <t>Continúan las protestas de los padres y simpatizantes en contra una refresquera, debido a que unos de sus camiones atropelló a dos niños. Señalan que no retirarán el bloqueo hasta que la empresa repare el daño.</t>
  </si>
  <si>
    <t>La Dirección de Centros de Desarrollo Comunitario, dependiente de la Secretaría de Desarrollo Humano y Social, abrirá este 1 de julio el periodo de inscripciones para el curso “Verano Comunitario Tulancingo 2026”, que se llevará a cabo del 20 de julio al 14 de agosto. Las actividades se desarrollarán en los cuatro Centros de Desarrollo Comunitario ubicados en Guadalupe, Cañada, Metilatla y Jaltepec, así como en los parques recreativos de Paraíso y Ahuehuetitla. El programa contempla una amplia variedad de actividades recreativas, deportivas y formativas, entre ellas: experimentos, pintura, fútbol, música, gastronomía infantil, primeros auxilios, dibujo, danza y juegos de mesa. El curso está dirigido a niñas, niños y adolescentes de entre 6 y 12 años. Como requisitos de inscripción, los interesados deberán llenar una ficha de registro, firmar una carta responsiva y cubrir un donativo de 300 pesos, el mismo que no incluye materiales. Las sesiones estarán a cargo de personal capacitado y se realizarán de lunes a viernes, en un horario de 9:00 a 13:00 horas.</t>
  </si>
  <si>
    <t>Después de casi cinco años de proceso judicial, un Tribunal de Enjuiciamiento declaró culpable al exmagistrado Ángel Jacinto N.N. por el delito de abuso sexual agravado cometido en agravio de una niña y le impuso una condena de cuatro años y siete meses de prisión. El exfuncionario judicial llegó al cargo de magistrado del Tribunal Superior de Justicia del Estado de Hidalgo a propuesta del entonces gobernador Omar Fayad Meneses y posteriormente presidió la Sala Especializada en Justicia para Adolescentes. La sentencia fue dictada dentro del juicio oral 30/2023 y corresponde a hechos denunciados en 2021 en el municipio de Huejutla. El caso salió a la luz en mayo de ese año, cuando la Procuraduría General de Justicia (PGJEH) informó que investigaba al entonces magistrado por el delito de abuso sexual agravado. Tras conocerse la acusación, fue separado de su cargo para enfrentar el proceso penal. Durante la audiencia de juicio celebrada recientemente, el Tribunal de Enjuiciamiento escuchó los alegatos de clausura y emitió un fallo condenatorio. Posteriormente, en la audiencia de individualización de sanciones y reparación del daño, fijó la pena en cuatro años y siete meses de prisión. Pese a la condena, Ángel Jacinto N.N. no será ingresado a prisión por el momento, debido a que la sentencia aún puede ser apelada y, en su caso, recurrida mediante un juicio de amparo. Será hasta que la resolución quede firme cuando deba cumplir la pena privativa de la libertad.</t>
  </si>
  <si>
    <t>TSJEH</t>
  </si>
  <si>
    <t>Abuso Sexual</t>
  </si>
  <si>
    <t>La Auditoria Superior del Estado de Hidalgo (ASEH) incrementó durante los últimos anos el número de denuncias por posibles irregularidades detectadas en el ejercicio de recursos públicos, al tiempo de fortalecer su estructura institucional mediante auditorias digitales, certificaciones internacionales y nuevas herramientas tecnológicas para ampliar el alcance de fiscalización. Durante la gestión del auditor superior Jorge Valverde, iniciada el1 de enero de 2023, se han presentado 18 denuncias por 395 millones 155 mil 739.42 pesos. La cifra supera tanto el número de asuntos promovidos como el monto denunciado en las dos ad- ministraciones anteriores. En el periodo encabezado por Armando Roldan Pimentel, del 14 de noviembre de 2017 al 31 de diciembre de 2022, la ASEH promovió́ 13 denuncias relacionadas con un monto de 87 millones 377 mil 770.37 pesos. En tanto, durante la gestión de José́ Rodolfo Picazo Molina, quien estuvo al frente del órgano fiscalizador entre 2004 y 2017, se presentaron ocho denuncias por 34 millones 408 mil 877.89 pesos. La institución atribuye este incremento a una serie de cambios administrativos implementados para fortalecer el proceso de fiscalización. Entre ellos destaca la autonomía técnica, presupuestal y de gestión, así́ como la incorporación de tecnologías de la información que permitieron modernizar los procedimientos de revisión del gasto público.</t>
  </si>
  <si>
    <t>Observaciones ASEH</t>
  </si>
  <si>
    <t>Habitantes de Tianguistengo La Romera, junto con vecinos de Dos Peñas, San Mateo Segunda Sección y Presa Escondida, acordaron intensificar sus acciones para exigir al Gobierno Municipal de Tepeji del Río la rehabilitación de la carretera Tepeji-El Salto, al asegurar que la vialidad presenta un grave deterioro y continúa sin recibir atención pese a las solicitudes realizadas desde hace varias semanas. Durante una reunión celebrada la tarde del jueves, los ciudadanos denunciaron que algunas de las personas que encabezan la exigencia han recibido mensajes anónimos con presuntas amenazas e intimidaciones; sin embargo, afirmaron que continuarán con el movimiento hasta obtener una respuesta por parte de las autoridades municipales.</t>
  </si>
  <si>
    <t>Exigencia de obra</t>
  </si>
  <si>
    <t>Denuncian a exdirector de pueblos indígenas en Tulancingo por abuso de confianza y manipulación de recursos. Lorena García confirmó la baja del exdirector de Pueblos Indígenas de Tulancingo por presuntas irregularidades. El caso ya es investigado por el Órgano Interno de Control. “La persona que estaba como director de Pueblos Indígenas abusó de la confianza de su servidora, del municipio, del secretario”, declaró a medios de comunicación la presidenta municipal de Tulancingo, Lorena García Cázares, al confirmar la separación del cargo de Michell Iván Manuel Mateo, quien enfrenta señalamientos por presuntas irregularidades en su gestión. Al respecto, Alberto Campillo Santos, titular de la Secretaría de Desarrollo Humano y Social —dependencia a la que pertenece la Dirección de Pueblos y Comunidades Indígenas—, informó que ya se llevó a cabo el proceso de entrega-recepción, el cual presentó algunas complicaciones. El funcionario municipal detalló que existió un abuso de confianza no solo hacia la administración, sino directamente contra los pueblos indígenas.</t>
  </si>
  <si>
    <t>Peculado</t>
  </si>
  <si>
    <t>Con seis votos a favor, uno en contra y cuatro abstenciones, el cabildo de Cardonal aprobó llamar a comparecer al secretario Municipal, Erik Callejas Dezha, a petición de regidores que señalaron presuntas omisiones en la entrega de información del área a su cargo. Aunque no se detallaron públicamente los temas específicos a aclarar, los integrantes de la asamblea coincidieron en que el funcionario deberá rendir cuentas sobre diversos asuntos relacionados con sus funciones. La regidora Lucero Ambrosio Cruz respaldó la comparecencia para esclarecer señalamientos que circulan en redes y medios sobre la presunta participación del secretario en un supuesto despojo de terrenos en Chalmita, comunidad perteneciente a Ixmiquilpan. La edil cuestionó si Callejas Dezha contaba con facultades para intervenir y por presentarse como autoridad de Cardonal en dicha actuación.</t>
  </si>
  <si>
    <t>Comparecencias</t>
  </si>
  <si>
    <t>Desarticula SSPH dos centros de almacenamiento ilegal de hidrocarburo en Singuilucan</t>
  </si>
  <si>
    <t>Combate Al Huachicol</t>
  </si>
  <si>
    <t>Concierto Sinfónico</t>
  </si>
  <si>
    <t>Durante los primeros cinco meses de 2026, los contralores internos realizaron mil 763 acciones enfocadas en fortalecer el conocimiento y cumplimiento de las obligaciones administrativas de las personas servidoras públicas. Estas actividades contribuyen a consolidar una administración más eficiente, responsable y cercana a la ciudadanía. El gobernador Julio Menchaca Salazar impulsa una transformación basada en la honestidad, la legalidad y el buen uso de los recursos públicos, mediante estrategias que fortalecen la cultura de la transparencia en todas las dependencias y organismos del estado. En este sentido, el titular de la Secretaría de Contraloría, Álvaro Bardales, señaló que entre las acciones desarrolladas destacan 473 capacitaciones presenciales y telefónicas relacionadas con temas como control interno, responsabilidades administrativas, comités de ética y prevención de riesgos institucionales. Agregó que también se han llevado a cabo mil 290 capacitaciones sobre actas de entrega-recepción, herramienta fundamental para garantizar transiciones ordenadas y transparentes dentro de la administración pública.</t>
  </si>
  <si>
    <t>Contraloría</t>
  </si>
  <si>
    <t>Transparencia</t>
  </si>
  <si>
    <t>SEBISO fortalece la participación social a través de foro ciudadano</t>
  </si>
  <si>
    <t>En Tulancingo, las bibliotecas públicas han evolucionado más allá de la consulta escolar para convertirse en espacios de desarrollo humano, donde se promueve la lectura, el conocimiento y la convivencia comunitaria. En lo que va del año, la Jefatura de Bibliotecas, adscrita a la Secretaría de Cultura, Educación, Deporte y Juventud, ha atendido a casi 40 mil usuarios mediante actividades que fortalecen los hábitos de lectura y acercan los servicios culturales a la población. Por instrucción de la presidenta municipal, Lorena García Cázares, se han impulsado estrategias como círculos de lectura, Hora del Cuento, biblio-cines, talleres, presentaciones editoriales y visitas guiadas, dirigidas principalmente a estudiantes de distintos niveles educativos. Pese al avance digital, el libro impreso sigue siendo ampliamente consultado, lo que confirma el interés de la ciudadanía por el aprendizaje tradicional y la lectura profunda. Como parte de las acciones de fortalecimiento, del 27 de julio al 7 de agosto se realizará el programa de verano “En las vacaciones, la biblioteca te espera”, dirigido a 300 niñas, niños y adolescentes, de entre 6 y 14 años. Asimismo, el próximo 1 de julio se entregarán nuevos acervos y equipos de cómputo a diversas bibliotecas del municipio, reforzando su infraestructura y servicios.</t>
  </si>
  <si>
    <t>Bibliotecas</t>
  </si>
  <si>
    <t>La Dirección de Tránsito y Vialidad de Pachuca mantiene en operación permanente el llamado Operativo Rastrillo, enfocado en la detección y retiro de vehículos abandonados e informó que durante el primer semestre de 2026, la estrategia derivó en la emisión de mil dos notificaciones a propietarios de unidades que se encontraban en aparente estado de abandono en calles de la capital hidalguense. El procedimiento se activa a partir de reportes ciudadanos o mediante recorridos de vigilancia, donde personal operativo identifica automóviles en condición de abandono. Posteriormente se coloca un aviso preventivo que solicita su retiro dentro del plazo establecido. Además, el operativo permitió la recuperación de tres vehículos que contaban con reporte de robo, lo que derivó en su puesta a disposición de las instancias correspondientes.</t>
  </si>
  <si>
    <t>Hidalgo apuesta por la prevención ante el riesgo climático</t>
  </si>
  <si>
    <t>Prevención de incendios</t>
  </si>
  <si>
    <t>Julio Menchaca reconoce excelencia académica de 32 participantes de la OCI 2026 (AUDIO JMS).</t>
  </si>
  <si>
    <t>En seguimiento a la fuga de gas natural detectada en el municipio de Atotonilco de Tula, la Subsecretaría de Protección Civil y Gestión de Riesgos del gobierno de Hidalgo informa que las labores de atención y control del incidente continúan de manera coordinada entre los tres órdenes de gobierno y personal técnico especializado.</t>
  </si>
  <si>
    <t>Luego de que se diera a conocer que fueron detenidos el director, el intendente y una docente de la primaria Donaciano Serna Leal, en Tizayuca, investigados por presunto abuso sexual contra un niño de ocho años con discapacidad, ocurrido a finales de 2024, el titular de la SEPH, Natividad Castrejón Valdés, dijo que está enterado del proceso y esperarán a que las autoridades correspondientes determinen lo conducente. Explicó que, si bien el caso fue reportado en 2024 por los tutores del menor, este fue expuesto inmediatamente a las autoridades de la procuraduría del menor y de la Procuraduría General de Justicia de Hidalgo (PGJH), pero al no tener elementos para sustentar el caso ante un juez, no fue posible actuar inmediatamente.</t>
  </si>
  <si>
    <t>Radioescucha reporta la vialidad en mal estado en San Pedro Nopancalco</t>
  </si>
  <si>
    <t>CONCANACO SERVYTUR respalda calendario de vinculación de líneas móviles como medida que fortalece la segurid ad digital y protege a los negocios familiares</t>
  </si>
  <si>
    <t>Con el compromiso de garantizar la tranquilidad y el bienestar de la comunidad, el presidente municipal, Eduardo Medécigo Rubio, encabezó un recorrido de vigilancia en fraccionamientos y colonias, en compañía del titular de la Secretaría de Seguridad Ciudadana, Jorge Alberto Trejo Terrazas.Dicha actividad responde a un diagnóstico preciso sobre las zonas de mayor incidencia delictiva. El objetivo central es robustecer las labores de patrullaje preventivo, incrementar la presencia policial y consolidar un entorno de paz social y confianza ciudadana en el municipio.El operativo concentró esfuerzos en fraccionamientos y colonias estratégicas, tales como: La Providencia Siglo XXI, Paseos de Chavarría, Pradera de Virreyes, Don Pablo, Pedregal de los Ángeles, Rinconada de los Ángeles, San Luis III y la colonia La Calera.</t>
  </si>
  <si>
    <t>Refuerzo De Seguridad</t>
  </si>
  <si>
    <t>El gobernador Julio Menchaca reconoció a 32 estudiantes de sexto grado que obtuvieron los resultados más representativos de la entidad en la Olimpiada del Conocimiento Infantil 2026, por lo que destacó su esfuerzo académico y el acompañamiento de sus familias, docentes y comunidades escolares, AUDIO APOYO</t>
  </si>
  <si>
    <t>Olimpiada de informática</t>
  </si>
  <si>
    <t>Radioescucha reporta que entre calle de Arizpe y Santiago, en la colonia Nueva Francisco I. Madero, en la calle de Gardenias, se reventaron unos tubos y se está desperdiciando mucho el agua desde el día de ayer.</t>
  </si>
  <si>
    <t>Este viernes es el último día para registrarse al curso de verano de la Presidencia Municipal de Pachuca, vive en la Casa de Cultura, un verano de descubrimientos.</t>
  </si>
  <si>
    <t>Radioescucha comenta:” Los concesionarios de las colectivas hacen todas las infracciones que sean porque están arreglados monetariamente para no ser molestados”</t>
  </si>
  <si>
    <t>Concesiones transporte público</t>
  </si>
  <si>
    <t>Golpe al narcomenudeo; AIC asegura 7 mil 500 dosis de droga y detiene a dos hombres en Tlaxcoapan</t>
  </si>
  <si>
    <t>Centros LIBRE, espacios vivos que transforman la vida de las mujeres, AUDIO APOYO</t>
  </si>
  <si>
    <t>Centros LIBRE</t>
  </si>
  <si>
    <t>Radioescucha agradece al ayuntamiento por el bacheo en Bosques del Peñar</t>
  </si>
  <si>
    <t>Bacheo</t>
  </si>
  <si>
    <t>Radioescucha Ricardo manda audio y agradece a Eulalio y al ayuntamiento por el bacheo en calles principales de Bosques del Peñar; ya se puede transitar mejor</t>
  </si>
  <si>
    <t>Luego de que se diera a conocer que fueron detenidos el director, el intendente y una docente de la primaria Donaciano Serna Leal, en Tizayuca, investigados por presunto abuso sexual contra un niño de ocho años con discapacidad, ocurrido a finales de 2024, el titular de la SEPH, Natividad Castrejón Valdés, dijo que está enterado del proceso y esperarán a que las autoridades correspondientes determinen lo conducente. Explicó que, si bien el caso fue reportado en 2024 por los tutores del menor, este fue expuesto inmediatamente a las autoridades de la procuraduría del menor y de la PGJEH, pero al no tener elementos para sustentar el caso ante un juez, no fue posible actuar inmediatamente.</t>
  </si>
  <si>
    <t>El Secretario de Educación Pública de Hidalgo, Natividad Castrejon Valdez, confirmó la detención de tres trabajadores de la Escuela Primaria Donaciano Serna Leal, en Rancho Don Antonio en el municipio de Tizayuca. Sin detalle a los motivos de la detención, para no interferir con el proceso judicial, el Secretario de Educación informó que la denuncia fue presentada desde 2024 ante la Procuraduría General de Justicia del Estado de Hidalgo, AUDIO APOYO</t>
  </si>
  <si>
    <t>Radioescucha reporta falta de agua en calle Simón Bolívar en el Centro de Pachuca; llevan más de una semana sin agua.</t>
  </si>
  <si>
    <t>Abasto De Agua</t>
  </si>
  <si>
    <t>Radioescucha reporta falta de agua en calle Nicolás Bravo en Barrio La Palma</t>
  </si>
  <si>
    <t>TV Cable hidalguense Canal 6</t>
  </si>
  <si>
    <t>Contigo Noticias</t>
  </si>
  <si>
    <t>OSEH ofrecerá concierto especial en la Parroquia de Nuestra Señora de la Encarnación de Zacualtipán</t>
  </si>
  <si>
    <t>Una fuga de gas natural se registró hoy por la mañana en Atotonilco de Tula. Originalmente dijeron que se trataba de nitrógeno, la fuga de un poliducto de 12 pulgadas, propiedad de Petróleos Mexicanos, pero hace unos minutos platicando con el responsable de la comunicación de la refinería Miguel Hidalgo de Tula, el licenciado Ulises Guerra González, confirmó que se trata de gas natural, resultado de una toma clandestina que presuntamente huachicoleros realizaron para el robo de combustible y que probablemente se les salió de control. Se desconoce, Juan Carlos, quién difundió que se trataba de una fuga de nitrógeno. Sin embargo, así lo manejaron erróneamente desde las instituciones de gobierno, que tiempo después hicieron la corrección. Afortunadamente las labores de atención y control del incidente se están realizando por personal técnico especializado, de manera coordinada entre los tres niveles de gobierno. El lugar de la fuga es resguardado dentro de un perímetro de seguridad por personal de protección civil y bomberos de Atotonilco de Tula. La toma clandestina se ubica a escasos metros de la avenida del Trabajo, en la primera sección de la colonia Las Águilas, en progreso de Atotonilco de Tula. El lugar es una zona despoblada y no existe riesgo para la población. Los trabajos de control por parte del personal del sector ductos de Pemex consiste en bajar la presión en el poliducto hasta que se acabe el gas y proceder con el sellado de la fuga de forma segura. Ahí los especialistas llevan más de siete horas controlando la fuga de gas natural en esta toma clandestina. Se estima que por lo menos una hora o dos horas más podrían continuar las labores porque estamos hablando de que es muy cerca de la refinería donde se está realizando estos trabajos y, como te lo mencioné, ya llevan más de siete horas tratando de controlar, o mejor dicho, controlando esta fuga de gas.</t>
  </si>
  <si>
    <t>Edson Vélez</t>
  </si>
  <si>
    <t>La tradición gastronómica de Hidalgo se sirve en “México de Mis Sabores”</t>
  </si>
  <si>
    <t>El Salón de la Fama es escenario del videomapping “Pachuca: viento, futbol y corazón de plata”</t>
  </si>
  <si>
    <t>Video Mapping</t>
  </si>
  <si>
    <t>Entrega de equipo escolar</t>
  </si>
  <si>
    <t>El gobernador Julio Menchaca descartó que exista un conflicto de interés en la adquisición de un departamento de parte del Oficial Mayor Orlando Ángeles a una empresa de Juan Carlos Martínez, contratista del gobierno estatal</t>
  </si>
  <si>
    <t>Conflicto de interés</t>
  </si>
  <si>
    <t>Con el reconocimiento a su esfuerzo, dedicación, y excelencia académica, fueron premiados los veintidós estudiantes hidalguenses con los mejores resultados en la Olimpiada del Conocimiento Infantil dos mil veintiséis, quienes además recibirán una beca de la Fundación BBVA durante los tres años que cursen la secundaria. En esta edición, participaron más de cincuenta y tres mil alumnos del sexto grado de primaria en todo el estado. De ellos, ciento sesenta llegaron a la etapa estatal y únicamente treinta y dos obtuvieron los mejores resultados para convertirse en beneficiarios de este apoyo. Por su parte, el gobernador Julio Menchaca Salazar señaló que la educación es un eje fundamental para el desarrollo de Hidalgo, al recordar que casi un millón de los 3.3 millones de habitantes del estado son estudiantes. Conocidos de que es el instrumento más poderoso para transformar nuestras sociedades, transformarla para bien. El director de programas educativos de la Fundación BBVA, Daniel Errasti, reconoció la inversión que Hidalgo destina al rubro educativo y felicitó a las y los estudiantes por su desempeño académico al asegurar que la beca representa un reconocimiento a su talento y determinación.</t>
  </si>
  <si>
    <t>La Dirección de Centros de Desarrollo Comunitario, dependiente de la Secretaría de Desarrollo Humano y Social, abrirá este 1 de julio el periodo de inscripciones para el curso “Verano Comunitario Tulancingo 2026”, que se llevará a cabo del 20 de julio al 14 de agosto. Las actividades se desarrollarán en los cuatro Centros de Desarrollo Comunitario ubicados en Guadalupe, Cañada, Metilatla y Jaltepec, así como en los parques recreativos de Paraíso y Ahuehuetitla. El programa contempla una amplia variedad de actividades recreativas, deportivas y formativas, entre ellas: experimentos, pintura, fútbol, música, gastronomía infantil, primeros auxilios, dibujo, danza y juegos de mesa. El curso está dirigido a niñas, niños y adolescentes de entre 6 y 12 años. Como requisitos de inscripción, los interesados deberán llenar una ficha de registro, firmar una carta responsiva y cubrir un donativo de 300 pesos, el mismo que no incluye materiales.</t>
  </si>
  <si>
    <t>Julio Menchaca reconoce excelencia académica de 32 participantes de la OCI 2026</t>
  </si>
  <si>
    <t>Debido a la proliferación de mosquitos en la ribera del río Tula en el municipio de Ixmiquilpan, autoridades municipales y de salud implementaron trabajos de fumigación en seis colonias. El Gobierno local informó que, en coordinación con el Área de Vectores de la Jurisdicción Sanitaria, llevan a cabo trabajos de fumigación terrestre en diversos sectores de la ribera del Río Tula, como medida preventiva para reducir la presencia del mosquito Cúlex. Agregó que la proliferación de esa especie se ha visto favorecida por la sobrepoblación de lirio acuático en la presa Endhó, situación que ha generado afectaciones en distintas zonas cercanas al cauce del río. Al día de hoy se han realizado acciones de fumigación en las colonias 20 de Noviembre, El Bondho, La Reforma, San Javier, Vista Hermosa y Centro, con la finalidad de proteger la salud de la población y disminuir los riesgos asociados a la presencia de mosquitos. Finalmente, el Gobierno Municipal exhortó a la ciudadanía a mantenerse atenta a las recomendaciones emitidas por Protección Civil, el área de Salud Municipal y los canales oficiales de comunicación, además de colaborar en las medidas de prevención para evitar la reproducción de los moscos.</t>
  </si>
  <si>
    <t>Un juez de control dictó una sentencia condenatoria de 52 años de prisión contra Alfonso “N”, exintegrante de la Policía Municipal, tras ser hallado culpable del delito de violación agravada en perjuicio de una menor de edad. Los hechos ocurrieron en diciembre de 2023, en las inmediaciones del municipio de Huejutla. Tras la denuncia presentada ante la Fiscalía Especializada, agentes de la División de Investigación cumplimentaron la orden de aprehensión a finales de octubre de 2024, con lo que dio inicio el proceso legal. La sentencia se logró tras el desahogo de las pruebas correspondientes ante el Juzgado Penal. El ahora sentenciado cumplirá su condena en el Centro de Reinserción Social (Cereso) de la localidad de La Lima. Durante el proceso, la familia de la víctima, cuya identidad se mantiene bajo estricta reserva, contó con el respaldo del ejido de Chililico y de un frente integrado por 25 delegaciones de la región, cuyos integrantes se manifestaron de manera pacífica para exigir la aplicación rigurosa de la ley.</t>
  </si>
  <si>
    <t>Sentencia</t>
  </si>
  <si>
    <t>Dos hombres resultaron heridos por disparos de arma de fuego luego de que intentaron impedir la huida de presuntos asaltantes que momentos antes habrían robado equipos telefónicos de una vivienda (sic) departamental , ubicada en la cabecera municipal de Tezontepec de Aldama. El hecho ocurrió durante la noche del miércoles, cuando varios sujetos armados ingresaron al establecimiento y, de acuerdo con los primeros reportes, se apoderaron de artículos del área de telefonía. Tras la acción, los presuntos responsables habrían salido del negocio para escapar a bordo de una motocicleta. Ambos hombres fueron lesionados y trasladados a un hospital para recibir atención médica. Hasta el momento no se ha informado la gravedad de sus heridas ni se han dado a conocer sus identidades. La motocicleta utilizada por los presuntos asaltantes quedó abandonada en la zona y fue asegurada por personal del Mando Coordinado. La unidad quedó bajo resguardo como parte de las investigaciones para identificar a quienes participaron en el robo y esclarecer la secuencia de los hechos.</t>
  </si>
  <si>
    <t>Una Urvan pasajera de la ruta Huejutla -Jaltocán, que se quedó presuntamente sin frenos sobre la calle Morelos en la bajada al panteón municipal, chocó con cuatro vehículos y dejó 11 lesionados entre mujeres, hombres y adultos mayores. Paramédicos de la Cruz Roja y policías municipales arribaron al lugar para auxiliar a 11 personas, que fueron llevadas a clínicas particulares como la clínica Huejutla y la clínica San José; la peor parte se la llevó el chófer al haber tenido una fractura y demás lesiones.</t>
  </si>
  <si>
    <t>Accidente transporte público</t>
  </si>
  <si>
    <t>Un elemento de la policía municipal de Tizayuca fue lesionado con un objeto punzocortante, pese a lo cual logró detener al agresor. La situación se registró el pasado miércoles 24 de junio, cuando se recibió reporte ciudadano, solicitando apoyo ante la persona que se mostraba agresiva, portando un machete. Al llegar al sitio del reporte, en el cruce de las calles Abasolo e Ignacio Rodríguez Galván, los oficiales ubicaron al sujeto entre los 30 a 35 años de edad, quien efectivamente, portaba el objeto punzocortante. Con este, el hombre logró atacar al oficial policiaco quien resultó lesionado, pero a pesar de ello, logró detener a dicho sujeto. A continuación fue trasladado para ser presentado ante las autoridades respectivas para el inicio de la denuncia y el proceso legal al respecto. En tanto que el oficial policiaco atendido por paramédicos y trasladado a un hospital de Tizayuca para recibir atención especializada; hasta el momento no se conoce el estado físico y de salud que tiene tras el ataque.</t>
  </si>
  <si>
    <t>Agresión A Policía</t>
  </si>
  <si>
    <t>En el Congreso local buscan poner un freno a los cobros excesivos y poco transparentes que aplican las grúas y los corralones. La diputada Mónica Reyes Martínez planteó reformar la Ley de Movilidad y Transporte para el Estado de Hidalgo, con el objetivo de obligar a los prestadores de los servicios de arrastre, salvamento, maniobras, traslado y depósito vehicular a sujetarse a tarifas oficiales publicadas por la autoridad competente. La iniciativa señala que, aunque existen tarifas autorizadas en disposiciones reglamentarias, la legislación vigente no establece de manera expresa la obligación de la autoridad de emitirlas y publicarlas oficialmente, ni contempla mecanismos suficientes para vigilar su cumplimiento. De aprobarse, el nuevo artículo 134 Bis obligaría a los concesionarios y prestadores de estos servicios a cobrar únicamente las tarifas autorizadas; exhibirlas en lugares visibles y de fácil acceso; publicarlas en medios electrónicos oficiales cuando dispongan de ellos; entregar comprobantes desglosados con todos los conceptos cobrados; abstenerse de aplicar cargos extraordinarios no contemplados en la tarifa autorizada, e informar previamente al usuario sobre los conceptos que integrarán el cobro del servicio.</t>
  </si>
  <si>
    <t>Por responsabilidad y cuestión ética, funcionarios, diputados, alcaldes y regidores que aspiren a otro cargo deberían renunciar a sus cargos independientemente de las fechas electorales oficiales, con el objetivo de evitar el uso de recursos públicos y garantizar una contienda justa. Así lo afirmó el presidente estatal de Morena, Marco Rico Mercado, quien sostuvo que, más allá de los plazos legales que establezcan las convocatorias electorales, quienes busquen una candidatura deben valorar separarse anticipadamente de sus funciones para dedicarse de tiempo completo a sus aspiraciones políticas. Por responsabilidad y cuestión ética, funcionarios, diputados, alcaldes y regidores que aspiren a otro cargo deberían renunciar a sus cargos independientemente de las fechas electorales oficiales, con el objetivo de evitar el uso de recursos públicos y garantizar una contienda justa. Como ejemplo, mencionó el caso de Navor Rojas, quien hizo pública su intención de participar en el próximo proceso electoral y previamente dejó su cargo en la delegación estatal de la Procuraduría Federal del Consumidor (Profeco), situación que calificó como congruente con los principios que promueve el partido. Rico Mercado indicó que cada aspirante deberá definir el momento en que se separará de sus funciones, aunque insistió en que el análisis no debe limitarse al cumplimiento de los requisitos legales. “Lo que estamos diciendo es que no puedes atender dos cosas al mismo tiempo”, señaló.</t>
  </si>
  <si>
    <t>Morena</t>
  </si>
  <si>
    <t>Aspirantes</t>
  </si>
  <si>
    <t>Partidos</t>
  </si>
  <si>
    <t>La sesión de este miércoles en el Congreso de Hidalgo estuvo marcada por la ausencia de diputados y diputadas para completar la asistencia legislativa necesaria para mantener el quórum, al punto de que el presidente de la Mesa Directiva, Francisco Javier Téllez Sánchez, tuvo que salir personalmente a buscar a diputados ausentes para completar la asistencia necesaria y continuar con los trabajos parlamentarios. Desde el inicio de la sesión, el pase de lista registró la presencia de 25 diputadas y diputados de un total de 30 integrantes del Pleno. Sin embargo, durante el desarrollo de la jornada legislativa, la asistencia comenzó a disminuir. Tras varios minutos de iniciada la sesión ordinaria, el presidente de la Mesa Directiva comisionó a los diputados Avelino Tovar Iglesias y Arturo Gómez Canales para atender a una comisión proveniente de Tlaxcoapan, sobre un relleno sanitario. La situación obligó a la Presidencia de la Mesa Directiva a intervenir directamente para evitar la pérdida del quórum. Ante ello, Téllez Sánchez salió del recinto legislativo para invitar a diputados ausentes a reincorporarse a la sesión. “Hoy, pues, la verdad me tomé el atrevimiento de ir por algunos compañeros. Y lo resolví sin necesidad de pasar lista. Que no debería de ser”, reconoció posteriormente. Durante el desarrollo de las votaciones, se reportaron fluctuaciones en la participación: en una primera votación fue de 20 votos, mientras que en una segunda votación de 24. Cuestionado sobre la posibilidad de aplicar sanciones a quienes abandonan las sesiones, el presidente de la Mesa Directiva indicó que ha optado por una dinámica de conciliación y llamado a la responsabilidad antes que por medidas punitivas. “La verdad es que lo tratamos de llevar de una manera amigable. No ser punitivo ni ser incisivo. Simplemente pedir a los compañeros que seamos responsables”, expresó. Téllez Sánchez aseguró que esta es la primera ocasión durante su gestión en la que se presenta falta de quórum, y sostuvo que en sesiones previas la asistencia había sido más constante. “Debo reconocer que esta es la primera vez que sucede en mi directiva”, afirmó. Sin embargo, evitó responsabilizar de manera directa a otros legisladores y subrayó que la asistencia al Pleno es una obligación individual de cada representante popular.</t>
  </si>
  <si>
    <t>Inasistencia</t>
  </si>
  <si>
    <t>El Congreso de Hidalgo aprobó una reforma para sancionar las inasistencias injustificadas de los regidores en los 84 ayuntamientos del estado durante sus labores en comisiones. Con esta modificación, los legisladores establecieron como obligatoria la asistencia de los integrantes del cabildo a las reuniones de las comisiones edilicias, e implementaron mecanismos de sanción en caso de ausencias reiteradas y sin justificación. Los diputados argumentaron que la gobernanza municipal es la base de la vida democrática y del bienestar ciudadano, ya que el ayuntamiento es la instancia responsable de atender las necesidades más inmediatas de la población. “Estudios han documentado una preocupante ausencia sistemática de regidores en las sesiones de comisiones, lo que afecta gravemente la eficacia de la administración pública”, destacaron los diputados. Al interior del cabildo, los regidores tienen la responsabilidad clave de formular acuerdos, emitir dictámenes, dar seguimiento a las políticas públicas y supervisar la administración local. Por ello, los legisladores señalaron que su inasistencia frena el correcto funcionamiento del municipio. “El régimen municipal en México tiene como uno de sus pilares fundamentales la participación activa y responsable de los integrantes del ayuntamiento; entre estos, los regidores desempeñan un papel crucial en la vigilancia, supervisión y dictaminación de los asuntos públicos mediante su trabajo en las comisiones edilicias”, agregaron durante la sesión pública. Las modificaciones a la Ley Orgánica Municipal de Hidalgo fueron avaladas por unanimidad, al registrar 25 votos a favor, cero en contra y cero abstenciones.</t>
  </si>
  <si>
    <t>Se prevé que los trenes para pasajeros México-Pachuca y México-Querétaro inicien operaciones en el transcurso del año 2027, señaló la Presidenta de México, Claudia Sheinbaum Pardo. Recordó que el programa nacional de recuperación de trenes de pasajeros contempla una inversión total de 750 mil millones de pesos, donde se incluyen los proyectos para los trenes Querétaro-Irapuato y Saltillo-Nuevo Laredo. Además, este año se licitarán o construirán nuevos segmentos que conectarán a la capital del país con Guadalajara y Nuevo Laredo. La secretaria de Desarrollo Agrario, Territorial y Urbano, Edna Elena Vega Rangel, informó que ya fueron liberados 28 millones 452 mil 804 metros cuadrados de derecho de vía para los proyectos ferroviarios. Del total, el 72 por ciento corresponde a derecho de vía histórico, mientras que el 14 por ciento proviene de propiedad social y otro 14 por ciento de propiedad privada. Para facilitar los acuerdos con las comunidades, se han realizado 268 mesas de trabajo social, además de labores con 128 ejidos y comunidades, la celebración de 95 asambleas con más de 4 mil 500 participantes y la adquisición de 987 parcelas. El titular de la Agencia de Trenes y Transporte Público Integrado, Andrés Lajous Loaeza, informó que el primer tren de la ruta AIFA-Pachuca llegará al país el próximo 25 de julio, mientras que este mes comenzará la fabricación de la primera unidad de los trenes del norte. Mientras que el comandante del Agrupamiento de Ingenieros Felipe Ángeles, Gustavo Ricardo Vallejo Suárez, detalló que actualmente participan 33 mil 72 trabajadores, de los cuales 6 mil 380 son mujeres, además de operar con más de 7 mil unidades de maquinaria pesada y equipo ferroviario. Precisó que ya se desarrollaron cerca de 800 kilómetros de ingeniería básica en los primeros cuatro tramos prioritarios: Ciudad de México-Pachuca, Ciudad de México-Querétaro, Querétaro-Irapuato y Saltillo-Nuevo Laredo. En cuanto al avance físico de las obras, el tramo Ciudad de México-Pachuca registra un progreso de 37.06 por ciento, mientras que el Ciudad de México-Querétaro alcanza el 19.22 por ciento. Por su parte, el titular de la Unidad de Vinculación Institucional y Patrimonio de la Secretaría de Infraestructura, Comunicaciones y Transportes, Néstor Núñez López, señaló que continúan los trabajos en estaciones y edificios auxiliares, además de las mesas de atención social y técnica para informar a la población sobre el desarrollo de los proyectos ferroviarios.</t>
  </si>
  <si>
    <t>Proyectos Ferroviarios</t>
  </si>
  <si>
    <t>Durante la próxima Junta de Gobierno de la Comisión de Agua y Alcantarillado del Municipio de Tulancingo (Caamt), será presentado el proyecto para la perforación de un pozo que permita incrementar el surtido de agua potable para habitantes de las localidades de Laguna del Cerrito y San Nicolás Cebolletas. Por medio de un comunicado oficial, el organismo operador informó que el director del organismo operador, Enzo Balderas Castro, ofreció dicha presentación de proyecto a un grupo de habitantes de las localidades citadas, que acudieron precisamente para solicitar el pozo. Los representantes de ambas localidades señalaron que llevan varios años solicitando la perforación del pozo, precisamente por la demanda creciente de agua para consumo humano en dicha zona del municipio de Tulancingo. Balderas Castro señaló en la reunión ocurrida en la sede de la Caamt, que, gracias a los ahorros generados por el organismo operador, hoy existen las condiciones financieras para concretar la perforación, equipamiento y operación del pozo. Los habitantes de ambas localidades aseguraron cumplir con los requisitos necesarios para el desarrollo de la obra, incluido el terreno que albergará la nueva infraestructura hidráulica. Por lo que como trabajo inicial, el próximo lunes 29 de junio, colaboradores del área técnica del organismo operador, realizarán trabajos de limpieza y deslinde del predio donde se ubicará la nueva fuente de abastecimiento. Mientras que al día siguiente, el martes 30 de junio, será presentada la propuesta de asignación de recurso para la perforación del pozo. El titular del organismo operador municipal consideró que tras la aprobación por parte de los integrantes de la Junta de Gobierno, considerando que se cuenta con recursos para la ejecución del proyecto, la perforación exploratoria del pozo quedará concretada durante el presente año. Mientras que la etapa de equipamiento se desarrollará posteriormente, como parte de un proyecto integral orientado a garantizar el suministro de agua para consumo humano de manera eficiente y sostenible. Se prevé la realización de reuniones posteriores entre funcionarios de la Caamt y los vecinos de las localidades a las que eventualmente surtirá agua el pozo, para revisar aspectos previos a la ejecución de obra, así como el proyecto previo a ello.</t>
  </si>
  <si>
    <t>Perforación de pozo</t>
  </si>
  <si>
    <t>Derivado de las lluvias que se han registrado prácticamente a diario desde hace aproximadamente, se ha incrementado en un 500 por ciento los servicios de mantenimiento a luminarias públicas en Tulancingo. El dato fue ofrecido por Juan Alberto Santuario Elías, titular de la Secretaría de Servicios Municipales, señalando que las labores realizadas por el personal de atención a alumbrado público es retiro de sarro acumulado en las fotoceldas. Por lo que aclaró que no se trata de reparaciones a los sistemas, sino el retiro de dicho material, que al acumularse impide que las fotoceldas puedan acumular energía, generando que no enciendan las lámparas públicas. Santuario Elías puntualizó que normalmente se realizan alrededor de diez servicios diarios por parte del personal de cuadrillas, pero a partir del registro de lluvias, el número de atenciones se incrementó a aproximadamente 50. Para hacer eficiente las atenciones a reportes, se generan rutas de atención, de tal manera que tras atender una zona, de inmediato la cuadrilla se traslada a la siguiente colonia o comunidad, en rutas ya trazadas y programadas. El funcionario recordó que a la limpieza de fotoceldas se tuvo agregó hace un par de semanas las atenciones al 35 por ciento del sistema de alumbrado público, afectado precisamente por las torrenciales lluvias. Fue precisamente la acumulación de lodo y sarro lo que afectó los sistemas de funcionamiento de luminarias ubicadas en zonas como Ahuehuetitla, Francisco Villa, Lomas de San Ángel y Ejido Mimila. Así como en las colonias Vicente Guerrero, Francisco I. Madero, Paraíso, Jardines del Sur, Los Sabinos y Huapalcalco, donde se logró la restitución total de los respectivos sistemas de alumbrado público. Actualmente el servicio de alumbrado público se ofrece con 19 mil luminarias; al inicio de la actual administración municipal se contaba con 15 mil 500. Este aumento de los sistemas ha permitido llevar el servicio a zonas que anteriormente carecían de iluminación, como el libramiento La Joya, donde fueron instaladas 48 nuevas lámparas.</t>
  </si>
  <si>
    <t>La Comisión Reguladora de Telecomunicaciones anuncia una ampliación escalonada del plazo para inscribirlos, que concluirá el 31 de diciembre próximo</t>
  </si>
  <si>
    <t>La creciente contaminación de la presa Endhó podría tener consecuencias más allá del deterioro ambiental y alcanzar directamente a la actividad agrícola del Valle del Mezquital, advirtió un estudio desarrollado por especialistas de la Universidad Autónoma del Estado de Hidalgo (UAEH). El proyecto de investigación, encabezado por Jhovani Enrique Bornacelli Camargo, académico de la Escuela Superior de Tepeji del Río, analiza la calidad del agua en la región Tula-Tepeji y ha detectado una importante presencia de microplásticos en distintos cuerpos de agua. Los resultados obtenidos colocan a la presa Endhó como el sitio con los niveles más elevados de partículas sintéticas, al registrar miles de fragmentos y microfibras en pequeñas muestras de agua, cifras que superan las encontradas en la presa Requena y en los ríos Tula y Tepeji. De acuerdo con el investigador, las aguas residuales empleadas en el riego agrícola no sólo aportan nutrientes a los cultivos, sino que también transportan residuos plásticos que pueden acumularse en alimentos y alterar las condiciones naturales del suelo. El estudio señala además que la presa presenta niveles de oxígeno prácticamente inexistentes, situación que dificulta la supervivencia de especies acuáticas y favorece la proliferación de lirio acuático y mosquitos. Especialistas consideran que la acumulación de materia orgánica y contaminantes ha modificado las condiciones ecológicas del embalse, fenómeno que habitantes de la región han observado desde hace varias décadas, tras la llegada de descargas residuales al sistema. Ante este escenario, los investigadores plantean la incorporación de nuevas tecnologías para identificar contaminantes de manera más eficiente y desarrollar métodos que permitan reducir su impacto ambiental. Asimismo, hicieron un llamado a fortalecer las acciones de saneamiento y la educación ambiental, con el objetivo de proteger los recursos hídricos y preservar la productividad agrícola del Valle del Mezquital.</t>
  </si>
  <si>
    <t>UAEH</t>
  </si>
  <si>
    <t>Presa Endhó</t>
  </si>
  <si>
    <t>El exalcalde de Singuilucan, Marcos Miguel N.N., obtuvo un amparo que dejó sin efectos la medida cautelar de prisión preventiva justificada que le había sido impuesta por el delito de incumplimiento de un deber legal agravado, lo que lo convierte en el primer exedil vinculado al caso conocido como la Estafa Siniestra en conseguir una resolución favorable de este tipo. En el acuerdo judicial emitido el 23 de junio de 2026 dentro de la causa penal 1937/2025, el Juzgado Segundo de Distrito en Hidalgo resolvió atender los argumentos de la defensa a cargo de Carmen David Solís y conceder la protección de la justicia federal al exfuncionario respecto de la prisión preventiva justificada decretada en su contra, toda vez que el delito que se le imputa no está considerado en el catálogo de prisión preventiva. El juez de Control del Primer Circuito Judicial de Pachuca, Jesús Anim Ope Islas, recibió la notificación del amparo y ordenó su cumplimiento inmediato. Sin embargo, la libertad del exalcalde quedó condicionada a la exhibición de una garantía económica por 70 mil pesos, monto fijado por la autoridad federal para asegurar su comparecencia y evitar que obstaculice el desarrollo del procedimiento penal. Para ello, se otorgó al exalcalde un plazo de tres días hábiles para realizar el depósito correspondiente en el Fondo Auxiliar del Poder Judicial del Estado de Hidalgo. No obstante, el exedil no recuperará su libertad de manera inmediata, ya que enfrenta otras dos causas penales independientes por las cuales permanece sujeto a proceso. Las investigaciones lo relacionan con dos expedientes penales: uno por uso ilícito de atribuciones y facultades, relacionado con el presunto desvío de 109.6 millones de pesos mediante contratos irregulares celebrados durante su administración municipal, y otro por incumplimiento de un deber legal agravado derivado de la omisión de atender un juicio laboral que generó un daño patrimonial superior a 16.3 millones de pesos al ayuntamiento. Según las indagatorias de la Unidad Especial para la Investigación del Maxiproceso, durante su gestión como presidente municipal de Singuilucan entre 2020 y 2024 se habrían celebrado 161 contratos con 22 personas físicas y morales utilizando recursos extraordinarios que originalmente fueron solicitados para atender necesidades urgentes durante la pandemia de Covid-19. La PGJEH ha sostenido que el caso forma parte de la investigación de la Estafa Siniestra, un esquema de presunto desvío de recursos públicos que involucra a varios exfuncionarios municipales y estatales de Hidalgo. Aunque el amparo obtenido obliga a retirar la prisión preventiva en uno de los procesos, su situación jurídica aún depende de las otras causas penales que enfrenta, por lo que continuará recluido mientras los jueces determinan las medidas cautelares aplicables en esos expedientes.</t>
  </si>
  <si>
    <t>Estafa Siniestra</t>
  </si>
  <si>
    <t>En sus redes sociales el gobernador Julio Menchaca comenta: reconocemos a las y los ganadores de la Olimpiada del Conocimiento Infantil 2026, su esfuerzo es el reflejo y talento de la dedicación que hay en nuestras aulas. En Hidalgo con dedicación hay transformación.</t>
  </si>
  <si>
    <t>Andrés Torres sobre la premiación de la Olimpiada del Conocimiento Infantil 2026, señala que en la administración del gobernador julio Menchaca la educación es fundamental y es uno de los pilares de su gestión y a 5 años de su sexenio la inversión en la educación va en aumento, así como la capacitación y mejora de los maestros y administrativos. Estos son buenos resultados, esperanzadores, de los que uno siempre quiere dar.</t>
  </si>
  <si>
    <t>La Comisión de Biodiversidad de Hidalgo invita a la población en general a la presentación del Sendero de la Ciencia la ciencia, tecnología y biodiversidad mañana a las 9:30 de la mañana, en la sede del Citnova.</t>
  </si>
  <si>
    <t>Vía telefónica Milton Cortés informa que con el propósito de mantener calles más ordenadas, limpias y seguras, la Dirección de Tránsito y Vialidad, adscrita a la Secretaría de Seguridad Pública, Tránsito y Vialidad de Pachuca, mantiene de forma permanente el Operativo Rastrillo, una estrategia enfocada en la atención de vehículos en aparente estado de abandono que permanecen en la vía pública. Durante el primer semestre de 2026 se emitieron 1,002 notificaciones a propietarios de unidades detectadas en esta condición. Derivado de ello, 899 vehículos fueron retirados voluntariamente por sus propietarios dentro del plazo de 72 horas establecido, mientras que 100 unidades fueron aseguradas por la autoridad al incumplir con el requerimiento. Como resultado de estas acciones, además, tres vehículos con reporte de robo fueron recuperados. El procedimiento inicia a partir de un reporte ciudadano o cuando, durante los recorridos de vigilancia, personal de Tránsito y Vialidad identifica un vehículo con características de abandono. En esos casos se coloca una notificación preventiva para que el propietario retire la unidad en un plazo de 72 horas. Si al concluir ese periodo no existe respuesta, el vehículo es asegurado conforme a la normatividad vigente.</t>
  </si>
  <si>
    <t>Milton Cortés</t>
  </si>
  <si>
    <t>Vía telefónica Milton Corté informa que vecinos de la comunidad de Santo Tomás se manifestaron en las inmediaciones de la Presidencia Municipal de Zempoala, para expresar su inconformidad por la problemática que tienen con el suministro de agua y recriminaron la ausencia de obras públicas por parte del alcalde Francisco Sinuhé Ramírez Oviedo, a quien acusan de incumplir muchas de las promesas realizadas en su campaña.</t>
  </si>
  <si>
    <t>El Sitmah informa a la ciudadanía que, con la evolución del servicio de Transporte Metropolitano, las acciones y mecanismos de protección para las mujeres continúan siendo una prioridad, brindando espacios seguros e incluyentes para las personas usuarias.</t>
  </si>
  <si>
    <t>Perspectiva de género</t>
  </si>
  <si>
    <t>Un motociclista murió en el lugar luego de verse involucrado en un accidente vial contra un automóvil sobre el corredor urbano San José, ubicado en la carretera federal México–Tuxpan, a la altura de la colonia Magisterio, en el municipio de Tulancingo. De acuerdo con información proporcionada por cuerpos de emergencia, el hecho ocurrió durante la mañana de este jueves, cuando el conductor de la motocicleta impactó contra un vehículo particular y posteriormente salió proyectado varios metros antes de caer sobre la carpeta asfáltica.</t>
  </si>
  <si>
    <t>Este lunes entrarán en vigor los dos nuevos partidos locales con los que cuenta Hidalgo y que fueron aprobados el pasado 24 de mayo por el Consejo General del Instituto Estatal Electoral de Hidalgo (IEEH). De acuerdo a los resolutivos IEEH/CG/177/2024 e IEEH/CG/178/2024, las organizaciones “Construyendo Hidalgo A.C.” realizó 65 asambleas municipales de 56 que requería y obtuvo siete mil 488 firmas, de las cinco mil 926 que solicitaba el IEEH. En tanto Encuentro Solidario Hidalgo, realizó 14 asambleas distritales, pese a que solo se requerían 12, además reunieron seis mil 998 firmas, aunque necesitaban cinco mil 926. Por ello, el IEEH aprobó su registro y podrán comenzar su trabajo partidista a partir de este lunes, y participar en las elecciones del 2027 y a partir del 2025, recibirán prerrogativas estatales.</t>
  </si>
  <si>
    <t>IEEH</t>
  </si>
  <si>
    <t>Registro partidos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</si>
</sst>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8" tableType="queryTable" totalsRowShown="0">
  <autoFilter ref="A1:M168"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8"/>
  <sheetViews>
    <sheetView tabSelected="1" topLeftCell="A145" workbookViewId="0">
      <selection activeCell="D168" sqref="D168"/>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46198</v>
      </c>
      <c r="B2" s="1" t="str">
        <f ca="1">IF(Información1[[#This Row],[Fecha]]='Ajuste de fechas'!$A$2,"Día actual","Día anterior")</f>
        <v>Día anterior</v>
      </c>
      <c r="C2" t="s">
        <v>69</v>
      </c>
      <c r="D2" t="s">
        <v>70</v>
      </c>
      <c r="E2" t="s">
        <v>102</v>
      </c>
      <c r="F2" t="s">
        <v>64</v>
      </c>
      <c r="G2" t="s">
        <v>103</v>
      </c>
      <c r="H2" t="s">
        <v>8</v>
      </c>
      <c r="I2" t="s">
        <v>14</v>
      </c>
      <c r="J2" t="s">
        <v>44</v>
      </c>
      <c r="K2" t="s">
        <v>60</v>
      </c>
      <c r="L2" t="s">
        <v>25</v>
      </c>
      <c r="M2">
        <v>1</v>
      </c>
    </row>
    <row r="3" spans="1:13" x14ac:dyDescent="0.25">
      <c r="A3" s="2">
        <v>46198</v>
      </c>
      <c r="B3" s="1" t="str">
        <f ca="1">IF(Información1[[#This Row],[Fecha]]='Ajuste de fechas'!$A$2,"Día actual","Día anterior")</f>
        <v>Día anterior</v>
      </c>
      <c r="C3" t="s">
        <v>40</v>
      </c>
      <c r="D3" t="s">
        <v>41</v>
      </c>
      <c r="E3" t="s">
        <v>104</v>
      </c>
      <c r="F3" t="s">
        <v>9</v>
      </c>
      <c r="G3" t="s">
        <v>39</v>
      </c>
      <c r="H3" t="s">
        <v>8</v>
      </c>
      <c r="I3" t="s">
        <v>7</v>
      </c>
      <c r="J3" t="s">
        <v>44</v>
      </c>
      <c r="K3" t="s">
        <v>42</v>
      </c>
      <c r="L3" t="s">
        <v>26</v>
      </c>
      <c r="M3">
        <v>1</v>
      </c>
    </row>
    <row r="4" spans="1:13" x14ac:dyDescent="0.25">
      <c r="A4" s="2">
        <v>46198</v>
      </c>
      <c r="B4" s="1" t="str">
        <f ca="1">IF(Información1[[#This Row],[Fecha]]='Ajuste de fechas'!$A$2,"Día actual","Día anterior")</f>
        <v>Día anterior</v>
      </c>
      <c r="C4" t="s">
        <v>40</v>
      </c>
      <c r="D4" t="s">
        <v>41</v>
      </c>
      <c r="E4" t="s">
        <v>105</v>
      </c>
      <c r="F4" t="s">
        <v>47</v>
      </c>
      <c r="G4" t="s">
        <v>48</v>
      </c>
      <c r="H4" t="s">
        <v>8</v>
      </c>
      <c r="I4" t="s">
        <v>7</v>
      </c>
      <c r="J4" t="s">
        <v>44</v>
      </c>
      <c r="K4" t="s">
        <v>42</v>
      </c>
      <c r="L4" t="s">
        <v>26</v>
      </c>
      <c r="M4">
        <v>1</v>
      </c>
    </row>
    <row r="5" spans="1:13" x14ac:dyDescent="0.25">
      <c r="A5" s="2">
        <v>46198</v>
      </c>
      <c r="B5" s="1" t="str">
        <f ca="1">IF(Información1[[#This Row],[Fecha]]='Ajuste de fechas'!$A$2,"Día actual","Día anterior")</f>
        <v>Día anterior</v>
      </c>
      <c r="C5" t="s">
        <v>40</v>
      </c>
      <c r="D5" t="s">
        <v>41</v>
      </c>
      <c r="E5" t="s">
        <v>106</v>
      </c>
      <c r="F5" t="s">
        <v>107</v>
      </c>
      <c r="G5" t="s">
        <v>108</v>
      </c>
      <c r="H5" t="s">
        <v>8</v>
      </c>
      <c r="I5" t="s">
        <v>7</v>
      </c>
      <c r="J5" t="s">
        <v>44</v>
      </c>
      <c r="K5" t="s">
        <v>42</v>
      </c>
      <c r="L5" t="s">
        <v>24</v>
      </c>
      <c r="M5">
        <v>1</v>
      </c>
    </row>
    <row r="6" spans="1:13" x14ac:dyDescent="0.25">
      <c r="A6" s="2">
        <v>46198</v>
      </c>
      <c r="B6" s="1" t="str">
        <f ca="1">IF(Información1[[#This Row],[Fecha]]='Ajuste de fechas'!$A$2,"Día actual","Día anterior")</f>
        <v>Día anterior</v>
      </c>
      <c r="C6" t="s">
        <v>69</v>
      </c>
      <c r="D6" t="s">
        <v>70</v>
      </c>
      <c r="E6" t="s">
        <v>73</v>
      </c>
      <c r="F6" t="s">
        <v>10</v>
      </c>
      <c r="G6" t="s">
        <v>74</v>
      </c>
      <c r="H6" t="s">
        <v>8</v>
      </c>
      <c r="I6" t="s">
        <v>66</v>
      </c>
      <c r="J6" t="s">
        <v>46</v>
      </c>
      <c r="K6" t="s">
        <v>72</v>
      </c>
      <c r="L6" t="s">
        <v>25</v>
      </c>
      <c r="M6">
        <v>1</v>
      </c>
    </row>
    <row r="7" spans="1:13" x14ac:dyDescent="0.25">
      <c r="A7" s="2">
        <v>46198</v>
      </c>
      <c r="B7" s="1" t="str">
        <f ca="1">IF(Información1[[#This Row],[Fecha]]='Ajuste de fechas'!$A$2,"Día actual","Día anterior")</f>
        <v>Día anterior</v>
      </c>
      <c r="C7" t="s">
        <v>69</v>
      </c>
      <c r="D7" t="s">
        <v>70</v>
      </c>
      <c r="E7" t="s">
        <v>75</v>
      </c>
      <c r="F7" t="s">
        <v>10</v>
      </c>
      <c r="G7" t="s">
        <v>74</v>
      </c>
      <c r="H7" t="s">
        <v>8</v>
      </c>
      <c r="I7" t="s">
        <v>66</v>
      </c>
      <c r="J7" t="s">
        <v>46</v>
      </c>
      <c r="K7" t="s">
        <v>72</v>
      </c>
      <c r="L7" t="s">
        <v>25</v>
      </c>
      <c r="M7">
        <v>1</v>
      </c>
    </row>
    <row r="8" spans="1:13" x14ac:dyDescent="0.25">
      <c r="A8" s="2">
        <v>46198</v>
      </c>
      <c r="B8" s="1" t="str">
        <f ca="1">IF(Información1[[#This Row],[Fecha]]='Ajuste de fechas'!$A$2,"Día actual","Día anterior")</f>
        <v>Día anterior</v>
      </c>
      <c r="C8" t="s">
        <v>69</v>
      </c>
      <c r="D8" t="s">
        <v>70</v>
      </c>
      <c r="E8" t="s">
        <v>84</v>
      </c>
      <c r="F8" t="s">
        <v>34</v>
      </c>
      <c r="G8" t="s">
        <v>74</v>
      </c>
      <c r="H8" t="s">
        <v>8</v>
      </c>
      <c r="I8" t="s">
        <v>66</v>
      </c>
      <c r="J8" t="s">
        <v>13</v>
      </c>
      <c r="K8" t="s">
        <v>72</v>
      </c>
      <c r="L8" t="s">
        <v>25</v>
      </c>
      <c r="M8">
        <v>1</v>
      </c>
    </row>
    <row r="9" spans="1:13" x14ac:dyDescent="0.25">
      <c r="A9" s="2">
        <v>46198</v>
      </c>
      <c r="B9" s="1" t="str">
        <f ca="1">IF(Información1[[#This Row],[Fecha]]='Ajuste de fechas'!$A$2,"Día actual","Día anterior")</f>
        <v>Día anterior</v>
      </c>
      <c r="C9" t="s">
        <v>69</v>
      </c>
      <c r="D9" t="s">
        <v>70</v>
      </c>
      <c r="E9" t="s">
        <v>76</v>
      </c>
      <c r="F9" t="s">
        <v>49</v>
      </c>
      <c r="G9" t="s">
        <v>74</v>
      </c>
      <c r="H9" t="s">
        <v>8</v>
      </c>
      <c r="I9" t="s">
        <v>66</v>
      </c>
      <c r="J9" t="s">
        <v>44</v>
      </c>
      <c r="K9" t="s">
        <v>72</v>
      </c>
      <c r="L9" t="s">
        <v>25</v>
      </c>
      <c r="M9">
        <v>1</v>
      </c>
    </row>
    <row r="10" spans="1:13" x14ac:dyDescent="0.25">
      <c r="A10" s="2">
        <v>46198</v>
      </c>
      <c r="B10" s="1" t="str">
        <f ca="1">IF(Información1[[#This Row],[Fecha]]='Ajuste de fechas'!$A$2,"Día actual","Día anterior")</f>
        <v>Día anterior</v>
      </c>
      <c r="C10" t="s">
        <v>69</v>
      </c>
      <c r="D10" t="s">
        <v>70</v>
      </c>
      <c r="E10" t="s">
        <v>77</v>
      </c>
      <c r="F10" t="s">
        <v>9</v>
      </c>
      <c r="G10" t="s">
        <v>74</v>
      </c>
      <c r="H10" t="s">
        <v>8</v>
      </c>
      <c r="I10" t="s">
        <v>66</v>
      </c>
      <c r="J10" t="s">
        <v>44</v>
      </c>
      <c r="K10" t="s">
        <v>72</v>
      </c>
      <c r="L10" t="s">
        <v>25</v>
      </c>
      <c r="M10">
        <v>1</v>
      </c>
    </row>
    <row r="11" spans="1:13" x14ac:dyDescent="0.25">
      <c r="A11" s="2">
        <v>46198</v>
      </c>
      <c r="B11" s="1" t="str">
        <f ca="1">IF(Información1[[#This Row],[Fecha]]='Ajuste de fechas'!$A$2,"Día actual","Día anterior")</f>
        <v>Día anterior</v>
      </c>
      <c r="C11" t="s">
        <v>69</v>
      </c>
      <c r="D11" t="s">
        <v>70</v>
      </c>
      <c r="E11" t="s">
        <v>78</v>
      </c>
      <c r="F11" t="s">
        <v>61</v>
      </c>
      <c r="G11" t="s">
        <v>74</v>
      </c>
      <c r="H11" t="s">
        <v>8</v>
      </c>
      <c r="I11" t="s">
        <v>66</v>
      </c>
      <c r="J11" t="s">
        <v>44</v>
      </c>
      <c r="K11" t="s">
        <v>72</v>
      </c>
      <c r="L11" t="s">
        <v>25</v>
      </c>
      <c r="M11">
        <v>1</v>
      </c>
    </row>
    <row r="12" spans="1:13" x14ac:dyDescent="0.25">
      <c r="A12" s="2">
        <v>46198</v>
      </c>
      <c r="B12" s="1" t="str">
        <f ca="1">IF(Información1[[#This Row],[Fecha]]='Ajuste de fechas'!$A$2,"Día actual","Día anterior")</f>
        <v>Día anterior</v>
      </c>
      <c r="C12" t="s">
        <v>69</v>
      </c>
      <c r="D12" t="s">
        <v>70</v>
      </c>
      <c r="E12" t="s">
        <v>79</v>
      </c>
      <c r="F12" t="s">
        <v>6</v>
      </c>
      <c r="G12" t="s">
        <v>74</v>
      </c>
      <c r="H12" t="s">
        <v>8</v>
      </c>
      <c r="I12" t="s">
        <v>66</v>
      </c>
      <c r="J12" t="s">
        <v>44</v>
      </c>
      <c r="K12" t="s">
        <v>72</v>
      </c>
      <c r="L12" t="s">
        <v>25</v>
      </c>
      <c r="M12">
        <v>1</v>
      </c>
    </row>
    <row r="13" spans="1:13" x14ac:dyDescent="0.25">
      <c r="A13" s="2">
        <v>46198</v>
      </c>
      <c r="B13" s="1" t="str">
        <f ca="1">IF(Información1[[#This Row],[Fecha]]='Ajuste de fechas'!$A$2,"Día actual","Día anterior")</f>
        <v>Día anterior</v>
      </c>
      <c r="C13" t="s">
        <v>69</v>
      </c>
      <c r="D13" t="s">
        <v>70</v>
      </c>
      <c r="E13" t="s">
        <v>109</v>
      </c>
      <c r="F13" t="s">
        <v>10</v>
      </c>
      <c r="G13" t="s">
        <v>110</v>
      </c>
      <c r="H13" t="s">
        <v>8</v>
      </c>
      <c r="I13" t="s">
        <v>7</v>
      </c>
      <c r="J13" t="s">
        <v>46</v>
      </c>
      <c r="K13" t="s">
        <v>72</v>
      </c>
      <c r="L13" t="s">
        <v>24</v>
      </c>
      <c r="M13">
        <v>1</v>
      </c>
    </row>
    <row r="14" spans="1:13" x14ac:dyDescent="0.25">
      <c r="A14" s="2">
        <v>46198</v>
      </c>
      <c r="B14" s="1" t="str">
        <f ca="1">IF(Información1[[#This Row],[Fecha]]='Ajuste de fechas'!$A$2,"Día actual","Día anterior")</f>
        <v>Día anterior</v>
      </c>
      <c r="C14" t="s">
        <v>69</v>
      </c>
      <c r="D14" t="s">
        <v>70</v>
      </c>
      <c r="E14" t="s">
        <v>111</v>
      </c>
      <c r="F14" t="s">
        <v>11</v>
      </c>
      <c r="G14" t="s">
        <v>112</v>
      </c>
      <c r="H14" t="s">
        <v>8</v>
      </c>
      <c r="I14" t="s">
        <v>7</v>
      </c>
      <c r="J14" t="s">
        <v>45</v>
      </c>
      <c r="K14" t="s">
        <v>72</v>
      </c>
      <c r="L14" t="s">
        <v>24</v>
      </c>
      <c r="M14">
        <v>1</v>
      </c>
    </row>
    <row r="15" spans="1:13" x14ac:dyDescent="0.25">
      <c r="A15" s="2">
        <v>46198</v>
      </c>
      <c r="B15" s="1" t="str">
        <f ca="1">IF(Información1[[#This Row],[Fecha]]='Ajuste de fechas'!$A$2,"Día actual","Día anterior")</f>
        <v>Día anterior</v>
      </c>
      <c r="C15" t="s">
        <v>16</v>
      </c>
      <c r="D15" t="s">
        <v>97</v>
      </c>
      <c r="E15" t="s">
        <v>113</v>
      </c>
      <c r="F15" t="s">
        <v>34</v>
      </c>
      <c r="G15" t="s">
        <v>114</v>
      </c>
      <c r="H15" t="s">
        <v>8</v>
      </c>
      <c r="I15" t="s">
        <v>7</v>
      </c>
      <c r="J15" t="s">
        <v>13</v>
      </c>
      <c r="K15" t="s">
        <v>98</v>
      </c>
      <c r="L15" t="s">
        <v>24</v>
      </c>
      <c r="M15">
        <v>1</v>
      </c>
    </row>
    <row r="16" spans="1:13" x14ac:dyDescent="0.25">
      <c r="A16" s="2">
        <v>46198</v>
      </c>
      <c r="B16" s="1" t="str">
        <f ca="1">IF(Información1[[#This Row],[Fecha]]='Ajuste de fechas'!$A$2,"Día actual","Día anterior")</f>
        <v>Día anterior</v>
      </c>
      <c r="C16" t="s">
        <v>69</v>
      </c>
      <c r="D16" t="s">
        <v>70</v>
      </c>
      <c r="E16" t="s">
        <v>115</v>
      </c>
      <c r="F16" t="s">
        <v>34</v>
      </c>
      <c r="G16" t="s">
        <v>114</v>
      </c>
      <c r="H16" t="s">
        <v>8</v>
      </c>
      <c r="I16" t="s">
        <v>7</v>
      </c>
      <c r="J16" t="s">
        <v>13</v>
      </c>
      <c r="K16" t="s">
        <v>72</v>
      </c>
      <c r="L16" t="s">
        <v>24</v>
      </c>
      <c r="M16">
        <v>1</v>
      </c>
    </row>
    <row r="17" spans="1:13" x14ac:dyDescent="0.25">
      <c r="A17" s="2">
        <v>46198</v>
      </c>
      <c r="B17" s="1" t="str">
        <f ca="1">IF(Información1[[#This Row],[Fecha]]='Ajuste de fechas'!$A$2,"Día actual","Día anterior")</f>
        <v>Día anterior</v>
      </c>
      <c r="C17" t="s">
        <v>69</v>
      </c>
      <c r="D17" t="s">
        <v>70</v>
      </c>
      <c r="E17" t="s">
        <v>116</v>
      </c>
      <c r="F17" t="s">
        <v>6</v>
      </c>
      <c r="G17" t="s">
        <v>71</v>
      </c>
      <c r="H17" t="s">
        <v>8</v>
      </c>
      <c r="I17" t="s">
        <v>14</v>
      </c>
      <c r="J17" t="s">
        <v>44</v>
      </c>
      <c r="K17" t="s">
        <v>60</v>
      </c>
      <c r="L17" t="s">
        <v>25</v>
      </c>
      <c r="M17">
        <v>1</v>
      </c>
    </row>
    <row r="18" spans="1:13" x14ac:dyDescent="0.25">
      <c r="A18" s="2">
        <v>46198</v>
      </c>
      <c r="B18" s="1" t="str">
        <f ca="1">IF(Información1[[#This Row],[Fecha]]='Ajuste de fechas'!$A$2,"Día actual","Día anterior")</f>
        <v>Día anterior</v>
      </c>
      <c r="C18" t="s">
        <v>16</v>
      </c>
      <c r="D18" t="s">
        <v>97</v>
      </c>
      <c r="E18" t="s">
        <v>117</v>
      </c>
      <c r="F18" t="s">
        <v>10</v>
      </c>
      <c r="G18" t="s">
        <v>118</v>
      </c>
      <c r="H18" t="s">
        <v>8</v>
      </c>
      <c r="I18" t="s">
        <v>7</v>
      </c>
      <c r="J18" t="s">
        <v>46</v>
      </c>
      <c r="K18" t="s">
        <v>98</v>
      </c>
      <c r="L18" t="s">
        <v>24</v>
      </c>
      <c r="M18">
        <v>1</v>
      </c>
    </row>
    <row r="19" spans="1:13" x14ac:dyDescent="0.25">
      <c r="A19" s="2">
        <v>46198</v>
      </c>
      <c r="B19" s="1" t="str">
        <f ca="1">IF(Información1[[#This Row],[Fecha]]='Ajuste de fechas'!$A$2,"Día actual","Día anterior")</f>
        <v>Día anterior</v>
      </c>
      <c r="C19" t="s">
        <v>69</v>
      </c>
      <c r="D19" t="s">
        <v>70</v>
      </c>
      <c r="E19" t="s">
        <v>119</v>
      </c>
      <c r="F19" t="s">
        <v>6</v>
      </c>
      <c r="G19" t="s">
        <v>82</v>
      </c>
      <c r="H19" t="s">
        <v>8</v>
      </c>
      <c r="I19" t="s">
        <v>7</v>
      </c>
      <c r="J19" t="s">
        <v>44</v>
      </c>
      <c r="K19" t="s">
        <v>72</v>
      </c>
      <c r="L19" t="s">
        <v>24</v>
      </c>
      <c r="M19">
        <v>1</v>
      </c>
    </row>
    <row r="20" spans="1:13" x14ac:dyDescent="0.25">
      <c r="A20" s="2">
        <v>46198</v>
      </c>
      <c r="B20" s="1" t="str">
        <f ca="1">IF(Información1[[#This Row],[Fecha]]='Ajuste de fechas'!$A$2,"Día actual","Día anterior")</f>
        <v>Día anterior</v>
      </c>
      <c r="C20" t="s">
        <v>69</v>
      </c>
      <c r="D20" t="s">
        <v>70</v>
      </c>
      <c r="E20" t="s">
        <v>120</v>
      </c>
      <c r="F20" t="s">
        <v>34</v>
      </c>
      <c r="G20" t="s">
        <v>62</v>
      </c>
      <c r="H20" t="s">
        <v>8</v>
      </c>
      <c r="I20" t="s">
        <v>7</v>
      </c>
      <c r="J20" t="s">
        <v>13</v>
      </c>
      <c r="K20" t="s">
        <v>72</v>
      </c>
      <c r="L20" t="s">
        <v>24</v>
      </c>
      <c r="M20">
        <v>1</v>
      </c>
    </row>
    <row r="21" spans="1:13" x14ac:dyDescent="0.25">
      <c r="A21" s="2">
        <v>46198</v>
      </c>
      <c r="B21" s="1" t="str">
        <f ca="1">IF(Información1[[#This Row],[Fecha]]='Ajuste de fechas'!$A$2,"Día actual","Día anterior")</f>
        <v>Día anterior</v>
      </c>
      <c r="C21" t="s">
        <v>16</v>
      </c>
      <c r="D21" t="s">
        <v>97</v>
      </c>
      <c r="E21" t="s">
        <v>121</v>
      </c>
      <c r="F21" t="s">
        <v>122</v>
      </c>
      <c r="G21" t="s">
        <v>123</v>
      </c>
      <c r="H21" t="s">
        <v>8</v>
      </c>
      <c r="I21" t="s">
        <v>7</v>
      </c>
      <c r="J21" t="s">
        <v>44</v>
      </c>
      <c r="K21" t="s">
        <v>98</v>
      </c>
      <c r="L21" t="s">
        <v>26</v>
      </c>
      <c r="M21">
        <v>1</v>
      </c>
    </row>
    <row r="22" spans="1:13" x14ac:dyDescent="0.25">
      <c r="A22" s="2">
        <v>46198</v>
      </c>
      <c r="B22" s="1" t="str">
        <f ca="1">IF(Información1[[#This Row],[Fecha]]='Ajuste de fechas'!$A$2,"Día actual","Día anterior")</f>
        <v>Día anterior</v>
      </c>
      <c r="C22" t="s">
        <v>16</v>
      </c>
      <c r="D22" t="s">
        <v>97</v>
      </c>
      <c r="E22" t="s">
        <v>124</v>
      </c>
      <c r="F22" t="s">
        <v>17</v>
      </c>
      <c r="G22" t="s">
        <v>125</v>
      </c>
      <c r="H22" t="s">
        <v>8</v>
      </c>
      <c r="I22" t="s">
        <v>7</v>
      </c>
      <c r="J22" t="s">
        <v>44</v>
      </c>
      <c r="K22" t="s">
        <v>98</v>
      </c>
      <c r="L22" t="s">
        <v>24</v>
      </c>
      <c r="M22">
        <v>1</v>
      </c>
    </row>
    <row r="23" spans="1:13" x14ac:dyDescent="0.25">
      <c r="A23" s="2">
        <v>46198</v>
      </c>
      <c r="B23" s="1" t="str">
        <f ca="1">IF(Información1[[#This Row],[Fecha]]='Ajuste de fechas'!$A$2,"Día actual","Día anterior")</f>
        <v>Día anterior</v>
      </c>
      <c r="C23" t="s">
        <v>69</v>
      </c>
      <c r="D23" t="s">
        <v>70</v>
      </c>
      <c r="E23" t="s">
        <v>126</v>
      </c>
      <c r="F23" t="s">
        <v>11</v>
      </c>
      <c r="G23" t="s">
        <v>88</v>
      </c>
      <c r="H23" t="s">
        <v>8</v>
      </c>
      <c r="I23" t="s">
        <v>7</v>
      </c>
      <c r="J23" t="s">
        <v>45</v>
      </c>
      <c r="K23" t="s">
        <v>72</v>
      </c>
      <c r="L23" t="s">
        <v>24</v>
      </c>
      <c r="M23">
        <v>1</v>
      </c>
    </row>
    <row r="24" spans="1:13" x14ac:dyDescent="0.25">
      <c r="A24" s="2">
        <v>46198</v>
      </c>
      <c r="B24" s="1" t="str">
        <f ca="1">IF(Información1[[#This Row],[Fecha]]='Ajuste de fechas'!$A$2,"Día actual","Día anterior")</f>
        <v>Día anterior</v>
      </c>
      <c r="C24" t="s">
        <v>69</v>
      </c>
      <c r="D24" t="s">
        <v>70</v>
      </c>
      <c r="E24" t="s">
        <v>127</v>
      </c>
      <c r="F24" t="s">
        <v>10</v>
      </c>
      <c r="G24" t="s">
        <v>128</v>
      </c>
      <c r="H24" t="s">
        <v>8</v>
      </c>
      <c r="I24" t="s">
        <v>7</v>
      </c>
      <c r="J24" t="s">
        <v>46</v>
      </c>
      <c r="K24" t="s">
        <v>72</v>
      </c>
      <c r="L24" t="s">
        <v>24</v>
      </c>
      <c r="M24">
        <v>1</v>
      </c>
    </row>
    <row r="25" spans="1:13" x14ac:dyDescent="0.25">
      <c r="A25" s="2">
        <v>46198</v>
      </c>
      <c r="B25" s="1" t="str">
        <f ca="1">IF(Información1[[#This Row],[Fecha]]='Ajuste de fechas'!$A$2,"Día actual","Día anterior")</f>
        <v>Día anterior</v>
      </c>
      <c r="C25" t="s">
        <v>69</v>
      </c>
      <c r="D25" t="s">
        <v>70</v>
      </c>
      <c r="E25" t="s">
        <v>129</v>
      </c>
      <c r="F25" t="s">
        <v>61</v>
      </c>
      <c r="G25" t="s">
        <v>99</v>
      </c>
      <c r="H25" t="s">
        <v>8</v>
      </c>
      <c r="I25" t="s">
        <v>14</v>
      </c>
      <c r="J25" t="s">
        <v>44</v>
      </c>
      <c r="K25" t="s">
        <v>60</v>
      </c>
      <c r="L25" t="s">
        <v>25</v>
      </c>
      <c r="M25">
        <v>1</v>
      </c>
    </row>
    <row r="26" spans="1:13" x14ac:dyDescent="0.25">
      <c r="A26" s="2">
        <v>46198</v>
      </c>
      <c r="B26" s="1" t="str">
        <f ca="1">IF(Información1[[#This Row],[Fecha]]='Ajuste de fechas'!$A$2,"Día actual","Día anterior")</f>
        <v>Día anterior</v>
      </c>
      <c r="C26" t="s">
        <v>69</v>
      </c>
      <c r="D26" t="s">
        <v>70</v>
      </c>
      <c r="E26" t="s">
        <v>130</v>
      </c>
      <c r="F26" t="s">
        <v>61</v>
      </c>
      <c r="G26" t="s">
        <v>99</v>
      </c>
      <c r="H26" t="s">
        <v>8</v>
      </c>
      <c r="I26" t="s">
        <v>14</v>
      </c>
      <c r="J26" t="s">
        <v>44</v>
      </c>
      <c r="K26" t="s">
        <v>60</v>
      </c>
      <c r="L26" t="s">
        <v>25</v>
      </c>
      <c r="M26">
        <v>1</v>
      </c>
    </row>
    <row r="27" spans="1:13" x14ac:dyDescent="0.25">
      <c r="A27" s="2">
        <v>46198</v>
      </c>
      <c r="B27" s="1" t="str">
        <f ca="1">IF(Información1[[#This Row],[Fecha]]='Ajuste de fechas'!$A$2,"Día actual","Día anterior")</f>
        <v>Día anterior</v>
      </c>
      <c r="C27" t="s">
        <v>16</v>
      </c>
      <c r="D27" t="s">
        <v>97</v>
      </c>
      <c r="E27" t="s">
        <v>131</v>
      </c>
      <c r="F27" t="s">
        <v>10</v>
      </c>
      <c r="G27" t="s">
        <v>100</v>
      </c>
      <c r="H27" t="s">
        <v>8</v>
      </c>
      <c r="I27" t="s">
        <v>7</v>
      </c>
      <c r="J27" t="s">
        <v>46</v>
      </c>
      <c r="K27" t="s">
        <v>98</v>
      </c>
      <c r="L27" t="s">
        <v>24</v>
      </c>
      <c r="M27">
        <v>1</v>
      </c>
    </row>
    <row r="28" spans="1:13" x14ac:dyDescent="0.25">
      <c r="A28" s="2">
        <v>46198</v>
      </c>
      <c r="B28" s="1" t="str">
        <f ca="1">IF(Información1[[#This Row],[Fecha]]='Ajuste de fechas'!$A$2,"Día actual","Día anterior")</f>
        <v>Día anterior</v>
      </c>
      <c r="C28" t="s">
        <v>69</v>
      </c>
      <c r="D28" t="s">
        <v>70</v>
      </c>
      <c r="E28" t="s">
        <v>132</v>
      </c>
      <c r="F28" t="s">
        <v>11</v>
      </c>
      <c r="G28" t="s">
        <v>133</v>
      </c>
      <c r="H28" t="s">
        <v>8</v>
      </c>
      <c r="I28" t="s">
        <v>7</v>
      </c>
      <c r="J28" t="s">
        <v>45</v>
      </c>
      <c r="K28" t="s">
        <v>60</v>
      </c>
      <c r="L28" t="s">
        <v>25</v>
      </c>
      <c r="M28">
        <v>1</v>
      </c>
    </row>
    <row r="29" spans="1:13" x14ac:dyDescent="0.25">
      <c r="A29" s="2">
        <v>46198</v>
      </c>
      <c r="B29" s="1" t="str">
        <f ca="1">IF(Información1[[#This Row],[Fecha]]='Ajuste de fechas'!$A$2,"Día actual","Día anterior")</f>
        <v>Día anterior</v>
      </c>
      <c r="C29" t="s">
        <v>69</v>
      </c>
      <c r="D29" t="s">
        <v>70</v>
      </c>
      <c r="E29" t="s">
        <v>134</v>
      </c>
      <c r="F29" t="s">
        <v>11</v>
      </c>
      <c r="G29" t="s">
        <v>133</v>
      </c>
      <c r="H29" t="s">
        <v>8</v>
      </c>
      <c r="I29" t="s">
        <v>7</v>
      </c>
      <c r="J29" t="s">
        <v>45</v>
      </c>
      <c r="K29" t="s">
        <v>60</v>
      </c>
      <c r="L29" t="s">
        <v>25</v>
      </c>
      <c r="M29">
        <v>1</v>
      </c>
    </row>
    <row r="30" spans="1:13" x14ac:dyDescent="0.25">
      <c r="A30" s="2">
        <v>46198</v>
      </c>
      <c r="B30" s="1" t="str">
        <f ca="1">IF(Información1[[#This Row],[Fecha]]='Ajuste de fechas'!$A$2,"Día actual","Día anterior")</f>
        <v>Día anterior</v>
      </c>
      <c r="C30" t="s">
        <v>69</v>
      </c>
      <c r="D30" t="s">
        <v>70</v>
      </c>
      <c r="E30" t="s">
        <v>135</v>
      </c>
      <c r="F30" t="s">
        <v>11</v>
      </c>
      <c r="G30" t="s">
        <v>133</v>
      </c>
      <c r="H30" t="s">
        <v>8</v>
      </c>
      <c r="I30" t="s">
        <v>7</v>
      </c>
      <c r="J30" t="s">
        <v>45</v>
      </c>
      <c r="K30" t="s">
        <v>72</v>
      </c>
      <c r="L30" t="s">
        <v>24</v>
      </c>
      <c r="M30">
        <v>1</v>
      </c>
    </row>
    <row r="31" spans="1:13" x14ac:dyDescent="0.25">
      <c r="A31" s="2">
        <v>46198</v>
      </c>
      <c r="B31" s="1" t="str">
        <f ca="1">IF(Información1[[#This Row],[Fecha]]='Ajuste de fechas'!$A$2,"Día actual","Día anterior")</f>
        <v>Día anterior</v>
      </c>
      <c r="C31" t="s">
        <v>16</v>
      </c>
      <c r="D31" t="s">
        <v>97</v>
      </c>
      <c r="E31" t="s">
        <v>136</v>
      </c>
      <c r="F31" t="s">
        <v>10</v>
      </c>
      <c r="G31" t="s">
        <v>137</v>
      </c>
      <c r="H31" t="s">
        <v>8</v>
      </c>
      <c r="I31" t="s">
        <v>7</v>
      </c>
      <c r="J31" t="s">
        <v>46</v>
      </c>
      <c r="K31" t="s">
        <v>98</v>
      </c>
      <c r="L31" t="s">
        <v>24</v>
      </c>
      <c r="M31">
        <v>1</v>
      </c>
    </row>
    <row r="32" spans="1:13" x14ac:dyDescent="0.25">
      <c r="A32" s="2">
        <v>46198</v>
      </c>
      <c r="B32" s="1" t="str">
        <f ca="1">IF(Información1[[#This Row],[Fecha]]='Ajuste de fechas'!$A$2,"Día actual","Día anterior")</f>
        <v>Día anterior</v>
      </c>
      <c r="C32" t="s">
        <v>16</v>
      </c>
      <c r="D32" t="s">
        <v>97</v>
      </c>
      <c r="E32" t="s">
        <v>138</v>
      </c>
      <c r="F32" t="s">
        <v>9</v>
      </c>
      <c r="G32" t="s">
        <v>139</v>
      </c>
      <c r="H32" t="s">
        <v>8</v>
      </c>
      <c r="I32" t="s">
        <v>7</v>
      </c>
      <c r="J32" t="s">
        <v>44</v>
      </c>
      <c r="K32" t="s">
        <v>98</v>
      </c>
      <c r="L32" t="s">
        <v>24</v>
      </c>
      <c r="M32">
        <v>1</v>
      </c>
    </row>
    <row r="33" spans="1:13" x14ac:dyDescent="0.25">
      <c r="A33" s="2">
        <v>46198</v>
      </c>
      <c r="B33" s="1" t="str">
        <f ca="1">IF(Información1[[#This Row],[Fecha]]='Ajuste de fechas'!$A$2,"Día actual","Día anterior")</f>
        <v>Día anterior</v>
      </c>
      <c r="C33" t="s">
        <v>16</v>
      </c>
      <c r="D33" t="s">
        <v>97</v>
      </c>
      <c r="E33" t="s">
        <v>140</v>
      </c>
      <c r="F33" t="s">
        <v>10</v>
      </c>
      <c r="G33" t="s">
        <v>141</v>
      </c>
      <c r="H33" t="s">
        <v>8</v>
      </c>
      <c r="I33" t="s">
        <v>7</v>
      </c>
      <c r="J33" t="s">
        <v>46</v>
      </c>
      <c r="K33" t="s">
        <v>98</v>
      </c>
      <c r="L33" t="s">
        <v>24</v>
      </c>
      <c r="M33">
        <v>1</v>
      </c>
    </row>
    <row r="34" spans="1:13" x14ac:dyDescent="0.25">
      <c r="A34" s="2">
        <v>46198</v>
      </c>
      <c r="B34" s="1" t="str">
        <f ca="1">IF(Información1[[#This Row],[Fecha]]='Ajuste de fechas'!$A$2,"Día actual","Día anterior")</f>
        <v>Día anterior</v>
      </c>
      <c r="C34" t="s">
        <v>69</v>
      </c>
      <c r="D34" t="s">
        <v>70</v>
      </c>
      <c r="E34" t="s">
        <v>142</v>
      </c>
      <c r="F34" t="s">
        <v>10</v>
      </c>
      <c r="G34" t="s">
        <v>101</v>
      </c>
      <c r="H34" t="s">
        <v>8</v>
      </c>
      <c r="I34" t="s">
        <v>14</v>
      </c>
      <c r="J34" t="s">
        <v>46</v>
      </c>
      <c r="K34" t="s">
        <v>60</v>
      </c>
      <c r="L34" t="s">
        <v>25</v>
      </c>
      <c r="M34">
        <v>1</v>
      </c>
    </row>
    <row r="35" spans="1:13" x14ac:dyDescent="0.25">
      <c r="A35" s="2">
        <v>46198</v>
      </c>
      <c r="B35" s="1" t="str">
        <f ca="1">IF(Información1[[#This Row],[Fecha]]='Ajuste de fechas'!$A$2,"Día actual","Día anterior")</f>
        <v>Día anterior</v>
      </c>
      <c r="C35" t="s">
        <v>69</v>
      </c>
      <c r="D35" t="s">
        <v>70</v>
      </c>
      <c r="E35" t="s">
        <v>143</v>
      </c>
      <c r="F35" t="s">
        <v>10</v>
      </c>
      <c r="G35" t="s">
        <v>101</v>
      </c>
      <c r="H35" t="s">
        <v>8</v>
      </c>
      <c r="I35" t="s">
        <v>14</v>
      </c>
      <c r="J35" t="s">
        <v>46</v>
      </c>
      <c r="K35" t="s">
        <v>60</v>
      </c>
      <c r="L35" t="s">
        <v>25</v>
      </c>
      <c r="M35">
        <v>1</v>
      </c>
    </row>
    <row r="36" spans="1:13" x14ac:dyDescent="0.25">
      <c r="A36" s="2">
        <v>46198</v>
      </c>
      <c r="B36" s="1" t="str">
        <f ca="1">IF(Información1[[#This Row],[Fecha]]='Ajuste de fechas'!$A$2,"Día actual","Día anterior")</f>
        <v>Día anterior</v>
      </c>
      <c r="C36" t="s">
        <v>69</v>
      </c>
      <c r="D36" t="s">
        <v>70</v>
      </c>
      <c r="E36" t="s">
        <v>144</v>
      </c>
      <c r="F36" t="s">
        <v>10</v>
      </c>
      <c r="G36" t="s">
        <v>101</v>
      </c>
      <c r="H36" t="s">
        <v>8</v>
      </c>
      <c r="I36" t="s">
        <v>14</v>
      </c>
      <c r="J36" t="s">
        <v>46</v>
      </c>
      <c r="K36" t="s">
        <v>60</v>
      </c>
      <c r="L36" t="s">
        <v>25</v>
      </c>
      <c r="M36">
        <v>1</v>
      </c>
    </row>
    <row r="37" spans="1:13" x14ac:dyDescent="0.25">
      <c r="A37" s="2">
        <v>46198</v>
      </c>
      <c r="B37" s="1" t="str">
        <f ca="1">IF(Información1[[#This Row],[Fecha]]='Ajuste de fechas'!$A$2,"Día actual","Día anterior")</f>
        <v>Día anterior</v>
      </c>
      <c r="C37" t="s">
        <v>40</v>
      </c>
      <c r="D37" t="s">
        <v>41</v>
      </c>
      <c r="E37" t="s">
        <v>145</v>
      </c>
      <c r="F37" t="s">
        <v>49</v>
      </c>
      <c r="G37" t="s">
        <v>96</v>
      </c>
      <c r="H37" t="s">
        <v>8</v>
      </c>
      <c r="I37" t="s">
        <v>7</v>
      </c>
      <c r="J37" t="s">
        <v>44</v>
      </c>
      <c r="K37" t="s">
        <v>42</v>
      </c>
      <c r="L37" t="s">
        <v>26</v>
      </c>
      <c r="M37">
        <v>1</v>
      </c>
    </row>
    <row r="38" spans="1:13" x14ac:dyDescent="0.25">
      <c r="A38" s="2">
        <v>46198</v>
      </c>
      <c r="B38" s="1" t="str">
        <f ca="1">IF(Información1[[#This Row],[Fecha]]='Ajuste de fechas'!$A$2,"Día actual","Día anterior")</f>
        <v>Día anterior</v>
      </c>
      <c r="C38" t="s">
        <v>31</v>
      </c>
      <c r="D38" t="s">
        <v>93</v>
      </c>
      <c r="E38" t="s">
        <v>146</v>
      </c>
      <c r="F38" t="s">
        <v>11</v>
      </c>
      <c r="G38" t="s">
        <v>133</v>
      </c>
      <c r="H38" t="s">
        <v>8</v>
      </c>
      <c r="I38" t="s">
        <v>7</v>
      </c>
      <c r="J38" t="s">
        <v>45</v>
      </c>
      <c r="K38" t="s">
        <v>32</v>
      </c>
      <c r="L38" t="s">
        <v>24</v>
      </c>
      <c r="M38">
        <v>1</v>
      </c>
    </row>
    <row r="39" spans="1:13" x14ac:dyDescent="0.25">
      <c r="A39" s="2">
        <v>46198</v>
      </c>
      <c r="B39" s="1" t="str">
        <f ca="1">IF(Información1[[#This Row],[Fecha]]='Ajuste de fechas'!$A$2,"Día actual","Día anterior")</f>
        <v>Día anterior</v>
      </c>
      <c r="C39" t="s">
        <v>31</v>
      </c>
      <c r="D39" t="s">
        <v>93</v>
      </c>
      <c r="E39" t="s">
        <v>147</v>
      </c>
      <c r="F39" t="s">
        <v>10</v>
      </c>
      <c r="G39" t="s">
        <v>148</v>
      </c>
      <c r="H39" t="s">
        <v>8</v>
      </c>
      <c r="I39" t="s">
        <v>7</v>
      </c>
      <c r="J39" t="s">
        <v>46</v>
      </c>
      <c r="K39" t="s">
        <v>32</v>
      </c>
      <c r="L39" t="s">
        <v>24</v>
      </c>
      <c r="M39">
        <v>1</v>
      </c>
    </row>
    <row r="40" spans="1:13" x14ac:dyDescent="0.25">
      <c r="A40" s="2">
        <v>46198</v>
      </c>
      <c r="B40" s="1" t="str">
        <f ca="1">IF(Información1[[#This Row],[Fecha]]='Ajuste de fechas'!$A$2,"Día actual","Día anterior")</f>
        <v>Día anterior</v>
      </c>
      <c r="C40" t="s">
        <v>31</v>
      </c>
      <c r="D40" t="s">
        <v>93</v>
      </c>
      <c r="E40" t="s">
        <v>149</v>
      </c>
      <c r="F40" t="s">
        <v>6</v>
      </c>
      <c r="G40" t="s">
        <v>150</v>
      </c>
      <c r="H40" t="s">
        <v>8</v>
      </c>
      <c r="I40" t="s">
        <v>14</v>
      </c>
      <c r="J40" t="s">
        <v>44</v>
      </c>
      <c r="K40" t="s">
        <v>60</v>
      </c>
      <c r="L40" t="s">
        <v>25</v>
      </c>
      <c r="M40">
        <v>1</v>
      </c>
    </row>
    <row r="41" spans="1:13" x14ac:dyDescent="0.25">
      <c r="A41" s="2">
        <v>46198</v>
      </c>
      <c r="B41" s="1" t="str">
        <f ca="1">IF(Información1[[#This Row],[Fecha]]='Ajuste de fechas'!$A$2,"Día actual","Día anterior")</f>
        <v>Día anterior</v>
      </c>
      <c r="C41" t="s">
        <v>31</v>
      </c>
      <c r="D41" t="s">
        <v>93</v>
      </c>
      <c r="E41" t="s">
        <v>151</v>
      </c>
      <c r="F41" t="s">
        <v>53</v>
      </c>
      <c r="G41" t="s">
        <v>152</v>
      </c>
      <c r="H41" t="s">
        <v>8</v>
      </c>
      <c r="I41" t="s">
        <v>7</v>
      </c>
      <c r="J41" t="s">
        <v>44</v>
      </c>
      <c r="K41" t="s">
        <v>32</v>
      </c>
      <c r="L41" t="s">
        <v>26</v>
      </c>
      <c r="M41">
        <v>1</v>
      </c>
    </row>
    <row r="42" spans="1:13" x14ac:dyDescent="0.25">
      <c r="A42" s="2">
        <v>46198</v>
      </c>
      <c r="B42" s="1" t="str">
        <f ca="1">IF(Información1[[#This Row],[Fecha]]='Ajuste de fechas'!$A$2,"Día actual","Día anterior")</f>
        <v>Día anterior</v>
      </c>
      <c r="C42" t="s">
        <v>31</v>
      </c>
      <c r="D42" t="s">
        <v>33</v>
      </c>
      <c r="E42" t="s">
        <v>153</v>
      </c>
      <c r="F42" t="s">
        <v>11</v>
      </c>
      <c r="G42" t="s">
        <v>133</v>
      </c>
      <c r="H42" t="s">
        <v>8</v>
      </c>
      <c r="I42" t="s">
        <v>7</v>
      </c>
      <c r="J42" t="s">
        <v>45</v>
      </c>
      <c r="K42" t="s">
        <v>32</v>
      </c>
      <c r="L42" t="s">
        <v>24</v>
      </c>
      <c r="M42">
        <v>2</v>
      </c>
    </row>
    <row r="43" spans="1:13" x14ac:dyDescent="0.25">
      <c r="A43" s="2">
        <v>46198</v>
      </c>
      <c r="B43" s="1" t="str">
        <f ca="1">IF(Información1[[#This Row],[Fecha]]='Ajuste de fechas'!$A$2,"Día actual","Día anterior")</f>
        <v>Día anterior</v>
      </c>
      <c r="C43" t="s">
        <v>31</v>
      </c>
      <c r="D43" t="s">
        <v>33</v>
      </c>
      <c r="E43" t="s">
        <v>154</v>
      </c>
      <c r="F43" t="s">
        <v>10</v>
      </c>
      <c r="G43" t="s">
        <v>83</v>
      </c>
      <c r="H43" t="s">
        <v>8</v>
      </c>
      <c r="I43" t="s">
        <v>7</v>
      </c>
      <c r="J43" t="s">
        <v>46</v>
      </c>
      <c r="K43" t="s">
        <v>32</v>
      </c>
      <c r="L43" t="s">
        <v>24</v>
      </c>
      <c r="M43">
        <v>1</v>
      </c>
    </row>
    <row r="44" spans="1:13" x14ac:dyDescent="0.25">
      <c r="A44" s="2">
        <v>46198</v>
      </c>
      <c r="B44" s="1" t="str">
        <f ca="1">IF(Información1[[#This Row],[Fecha]]='Ajuste de fechas'!$A$2,"Día actual","Día anterior")</f>
        <v>Día anterior</v>
      </c>
      <c r="C44" t="s">
        <v>31</v>
      </c>
      <c r="D44" t="s">
        <v>33</v>
      </c>
      <c r="E44" t="s">
        <v>155</v>
      </c>
      <c r="F44" t="s">
        <v>10</v>
      </c>
      <c r="G44" t="s">
        <v>110</v>
      </c>
      <c r="H44" t="s">
        <v>8</v>
      </c>
      <c r="I44" t="s">
        <v>7</v>
      </c>
      <c r="J44" t="s">
        <v>46</v>
      </c>
      <c r="K44" t="s">
        <v>32</v>
      </c>
      <c r="L44" t="s">
        <v>24</v>
      </c>
      <c r="M44">
        <v>1</v>
      </c>
    </row>
    <row r="45" spans="1:13" x14ac:dyDescent="0.25">
      <c r="A45" s="2">
        <v>46198</v>
      </c>
      <c r="B45" s="1" t="str">
        <f ca="1">IF(Información1[[#This Row],[Fecha]]='Ajuste de fechas'!$A$2,"Día actual","Día anterior")</f>
        <v>Día anterior</v>
      </c>
      <c r="C45" t="s">
        <v>31</v>
      </c>
      <c r="D45" t="s">
        <v>33</v>
      </c>
      <c r="E45" t="s">
        <v>156</v>
      </c>
      <c r="F45" t="s">
        <v>122</v>
      </c>
      <c r="G45" t="s">
        <v>123</v>
      </c>
      <c r="H45" t="s">
        <v>8</v>
      </c>
      <c r="I45" t="s">
        <v>66</v>
      </c>
      <c r="J45" t="s">
        <v>44</v>
      </c>
      <c r="K45" t="s">
        <v>30</v>
      </c>
      <c r="L45" t="s">
        <v>25</v>
      </c>
      <c r="M45">
        <v>1</v>
      </c>
    </row>
    <row r="46" spans="1:13" x14ac:dyDescent="0.25">
      <c r="A46" s="2">
        <v>46198</v>
      </c>
      <c r="B46" s="1" t="str">
        <f ca="1">IF(Información1[[#This Row],[Fecha]]='Ajuste de fechas'!$A$2,"Día actual","Día anterior")</f>
        <v>Día anterior</v>
      </c>
      <c r="C46" t="s">
        <v>31</v>
      </c>
      <c r="D46" t="s">
        <v>33</v>
      </c>
      <c r="E46" t="s">
        <v>157</v>
      </c>
      <c r="F46" t="s">
        <v>122</v>
      </c>
      <c r="G46" t="s">
        <v>123</v>
      </c>
      <c r="H46" t="s">
        <v>8</v>
      </c>
      <c r="I46" t="s">
        <v>7</v>
      </c>
      <c r="J46" t="s">
        <v>44</v>
      </c>
      <c r="K46" t="s">
        <v>30</v>
      </c>
      <c r="L46" t="s">
        <v>26</v>
      </c>
      <c r="M46">
        <v>1</v>
      </c>
    </row>
    <row r="47" spans="1:13" x14ac:dyDescent="0.25">
      <c r="A47" s="2">
        <v>46198</v>
      </c>
      <c r="B47" s="1" t="str">
        <f ca="1">IF(Información1[[#This Row],[Fecha]]='Ajuste de fechas'!$A$2,"Día actual","Día anterior")</f>
        <v>Día anterior</v>
      </c>
      <c r="C47" t="s">
        <v>31</v>
      </c>
      <c r="D47" t="s">
        <v>33</v>
      </c>
      <c r="E47" t="s">
        <v>158</v>
      </c>
      <c r="F47" t="s">
        <v>159</v>
      </c>
      <c r="G47" t="s">
        <v>160</v>
      </c>
      <c r="H47" t="s">
        <v>8</v>
      </c>
      <c r="I47" t="s">
        <v>7</v>
      </c>
      <c r="J47" t="s">
        <v>44</v>
      </c>
      <c r="K47" t="s">
        <v>30</v>
      </c>
      <c r="L47" t="s">
        <v>26</v>
      </c>
      <c r="M47">
        <v>1</v>
      </c>
    </row>
    <row r="48" spans="1:13" x14ac:dyDescent="0.25">
      <c r="A48" s="2">
        <v>46198</v>
      </c>
      <c r="B48" s="1" t="str">
        <f ca="1">IF(Información1[[#This Row],[Fecha]]='Ajuste de fechas'!$A$2,"Día actual","Día anterior")</f>
        <v>Día anterior</v>
      </c>
      <c r="C48" t="s">
        <v>31</v>
      </c>
      <c r="D48" t="s">
        <v>33</v>
      </c>
      <c r="E48" t="s">
        <v>104</v>
      </c>
      <c r="F48" t="s">
        <v>38</v>
      </c>
      <c r="G48" t="s">
        <v>39</v>
      </c>
      <c r="H48" t="s">
        <v>8</v>
      </c>
      <c r="I48" t="s">
        <v>7</v>
      </c>
      <c r="J48" t="s">
        <v>44</v>
      </c>
      <c r="K48" t="s">
        <v>30</v>
      </c>
      <c r="L48" t="s">
        <v>26</v>
      </c>
      <c r="M48">
        <v>1</v>
      </c>
    </row>
    <row r="49" spans="1:13" x14ac:dyDescent="0.25">
      <c r="A49" s="2">
        <v>46198</v>
      </c>
      <c r="B49" s="1" t="str">
        <f ca="1">IF(Información1[[#This Row],[Fecha]]='Ajuste de fechas'!$A$2,"Día actual","Día anterior")</f>
        <v>Día anterior</v>
      </c>
      <c r="C49" t="s">
        <v>31</v>
      </c>
      <c r="D49" t="s">
        <v>33</v>
      </c>
      <c r="E49" t="s">
        <v>161</v>
      </c>
      <c r="F49" t="s">
        <v>17</v>
      </c>
      <c r="G49" t="s">
        <v>125</v>
      </c>
      <c r="H49" t="s">
        <v>8</v>
      </c>
      <c r="I49" t="s">
        <v>7</v>
      </c>
      <c r="J49" t="s">
        <v>44</v>
      </c>
      <c r="K49" t="s">
        <v>30</v>
      </c>
      <c r="L49" t="s">
        <v>26</v>
      </c>
      <c r="M49">
        <v>1</v>
      </c>
    </row>
    <row r="50" spans="1:13" x14ac:dyDescent="0.25">
      <c r="A50" s="2">
        <v>46198</v>
      </c>
      <c r="B50" s="1" t="str">
        <f ca="1">IF(Información1[[#This Row],[Fecha]]='Ajuste de fechas'!$A$2,"Día actual","Día anterior")</f>
        <v>Día anterior</v>
      </c>
      <c r="C50" t="s">
        <v>31</v>
      </c>
      <c r="D50" t="s">
        <v>33</v>
      </c>
      <c r="E50" t="s">
        <v>162</v>
      </c>
      <c r="F50" t="s">
        <v>9</v>
      </c>
      <c r="G50" t="s">
        <v>139</v>
      </c>
      <c r="H50" t="s">
        <v>8</v>
      </c>
      <c r="I50" t="s">
        <v>7</v>
      </c>
      <c r="J50" t="s">
        <v>44</v>
      </c>
      <c r="K50" t="s">
        <v>30</v>
      </c>
      <c r="L50" t="s">
        <v>26</v>
      </c>
      <c r="M50">
        <v>1</v>
      </c>
    </row>
    <row r="51" spans="1:13" x14ac:dyDescent="0.25">
      <c r="A51" s="2">
        <v>46198</v>
      </c>
      <c r="B51" s="1" t="str">
        <f ca="1">IF(Información1[[#This Row],[Fecha]]='Ajuste de fechas'!$A$2,"Día actual","Día anterior")</f>
        <v>Día anterior</v>
      </c>
      <c r="C51" t="s">
        <v>31</v>
      </c>
      <c r="D51" t="s">
        <v>33</v>
      </c>
      <c r="E51" t="s">
        <v>163</v>
      </c>
      <c r="F51" t="s">
        <v>12</v>
      </c>
      <c r="G51" t="s">
        <v>63</v>
      </c>
      <c r="H51" t="s">
        <v>8</v>
      </c>
      <c r="I51" t="s">
        <v>7</v>
      </c>
      <c r="J51" t="s">
        <v>44</v>
      </c>
      <c r="K51" t="s">
        <v>30</v>
      </c>
      <c r="L51" t="s">
        <v>26</v>
      </c>
      <c r="M51">
        <v>1</v>
      </c>
    </row>
    <row r="52" spans="1:13" x14ac:dyDescent="0.25">
      <c r="A52" s="2">
        <v>46198</v>
      </c>
      <c r="B52" s="1" t="str">
        <f ca="1">IF(Información1[[#This Row],[Fecha]]='Ajuste de fechas'!$A$2,"Día actual","Día anterior")</f>
        <v>Día anterior</v>
      </c>
      <c r="C52" t="s">
        <v>51</v>
      </c>
      <c r="D52" t="s">
        <v>52</v>
      </c>
      <c r="E52" t="s">
        <v>164</v>
      </c>
      <c r="F52" t="s">
        <v>49</v>
      </c>
      <c r="G52" t="s">
        <v>165</v>
      </c>
      <c r="H52" t="s">
        <v>8</v>
      </c>
      <c r="I52" t="s">
        <v>7</v>
      </c>
      <c r="J52" t="s">
        <v>44</v>
      </c>
      <c r="K52" t="s">
        <v>85</v>
      </c>
      <c r="L52" t="s">
        <v>26</v>
      </c>
      <c r="M52">
        <v>1</v>
      </c>
    </row>
    <row r="53" spans="1:13" x14ac:dyDescent="0.25">
      <c r="A53" s="2">
        <v>46198</v>
      </c>
      <c r="B53" s="1" t="str">
        <f ca="1">IF(Información1[[#This Row],[Fecha]]='Ajuste de fechas'!$A$2,"Día actual","Día anterior")</f>
        <v>Día anterior</v>
      </c>
      <c r="C53" t="s">
        <v>51</v>
      </c>
      <c r="D53" t="s">
        <v>52</v>
      </c>
      <c r="E53" t="s">
        <v>166</v>
      </c>
      <c r="F53" t="s">
        <v>10</v>
      </c>
      <c r="G53" t="s">
        <v>80</v>
      </c>
      <c r="H53" t="s">
        <v>8</v>
      </c>
      <c r="I53" t="s">
        <v>7</v>
      </c>
      <c r="J53" t="s">
        <v>46</v>
      </c>
      <c r="K53" t="s">
        <v>85</v>
      </c>
      <c r="L53" t="s">
        <v>25</v>
      </c>
      <c r="M53">
        <v>1</v>
      </c>
    </row>
    <row r="54" spans="1:13" x14ac:dyDescent="0.25">
      <c r="A54" s="2">
        <v>46198</v>
      </c>
      <c r="B54" s="1" t="str">
        <f ca="1">IF(Información1[[#This Row],[Fecha]]='Ajuste de fechas'!$A$2,"Día actual","Día anterior")</f>
        <v>Día anterior</v>
      </c>
      <c r="C54" t="s">
        <v>51</v>
      </c>
      <c r="D54" t="s">
        <v>52</v>
      </c>
      <c r="E54" t="s">
        <v>167</v>
      </c>
      <c r="F54" t="s">
        <v>15</v>
      </c>
      <c r="G54" t="s">
        <v>86</v>
      </c>
      <c r="H54" t="s">
        <v>8</v>
      </c>
      <c r="I54" t="s">
        <v>7</v>
      </c>
      <c r="J54" t="s">
        <v>44</v>
      </c>
      <c r="K54" t="s">
        <v>85</v>
      </c>
      <c r="L54" t="s">
        <v>25</v>
      </c>
      <c r="M54">
        <v>1</v>
      </c>
    </row>
    <row r="55" spans="1:13" x14ac:dyDescent="0.25">
      <c r="A55" s="2">
        <v>46198</v>
      </c>
      <c r="B55" s="1" t="str">
        <f ca="1">IF(Información1[[#This Row],[Fecha]]='Ajuste de fechas'!$A$2,"Día actual","Día anterior")</f>
        <v>Día anterior</v>
      </c>
      <c r="C55" t="s">
        <v>51</v>
      </c>
      <c r="D55" t="s">
        <v>52</v>
      </c>
      <c r="E55" t="s">
        <v>168</v>
      </c>
      <c r="F55" t="s">
        <v>87</v>
      </c>
      <c r="G55" t="s">
        <v>81</v>
      </c>
      <c r="H55" t="s">
        <v>8</v>
      </c>
      <c r="I55" t="s">
        <v>7</v>
      </c>
      <c r="J55" t="s">
        <v>44</v>
      </c>
      <c r="K55" t="s">
        <v>85</v>
      </c>
      <c r="L55" t="s">
        <v>24</v>
      </c>
      <c r="M55">
        <v>1</v>
      </c>
    </row>
    <row r="56" spans="1:13" x14ac:dyDescent="0.25">
      <c r="A56" s="2">
        <v>46198</v>
      </c>
      <c r="B56" s="1" t="str">
        <f ca="1">IF(Información1[[#This Row],[Fecha]]='Ajuste de fechas'!$A$2,"Día actual","Día anterior")</f>
        <v>Día anterior</v>
      </c>
      <c r="C56" t="s">
        <v>51</v>
      </c>
      <c r="D56" t="s">
        <v>52</v>
      </c>
      <c r="E56" t="s">
        <v>169</v>
      </c>
      <c r="F56" t="s">
        <v>64</v>
      </c>
      <c r="G56" t="s">
        <v>95</v>
      </c>
      <c r="H56" t="s">
        <v>8</v>
      </c>
      <c r="I56" t="s">
        <v>7</v>
      </c>
      <c r="J56" t="s">
        <v>44</v>
      </c>
      <c r="K56" t="s">
        <v>85</v>
      </c>
      <c r="L56" t="s">
        <v>67</v>
      </c>
      <c r="M56">
        <v>1</v>
      </c>
    </row>
    <row r="57" spans="1:13" x14ac:dyDescent="0.25">
      <c r="A57" s="2">
        <v>46198</v>
      </c>
      <c r="B57" s="1" t="str">
        <f ca="1">IF(Información1[[#This Row],[Fecha]]='Ajuste de fechas'!$A$2,"Día actual","Día anterior")</f>
        <v>Día anterior</v>
      </c>
      <c r="C57" t="s">
        <v>51</v>
      </c>
      <c r="D57" t="s">
        <v>52</v>
      </c>
      <c r="E57" t="s">
        <v>170</v>
      </c>
      <c r="F57" t="s">
        <v>11</v>
      </c>
      <c r="G57" t="s">
        <v>171</v>
      </c>
      <c r="H57" t="s">
        <v>8</v>
      </c>
      <c r="I57" t="s">
        <v>7</v>
      </c>
      <c r="J57" t="s">
        <v>45</v>
      </c>
      <c r="K57" t="s">
        <v>85</v>
      </c>
      <c r="L57" t="s">
        <v>59</v>
      </c>
      <c r="M57">
        <v>1</v>
      </c>
    </row>
    <row r="58" spans="1:13" x14ac:dyDescent="0.25">
      <c r="A58" s="2">
        <v>46198</v>
      </c>
      <c r="B58" s="1" t="str">
        <f ca="1">IF(Información1[[#This Row],[Fecha]]='Ajuste de fechas'!$A$2,"Día actual","Día anterior")</f>
        <v>Día anterior</v>
      </c>
      <c r="C58" t="s">
        <v>51</v>
      </c>
      <c r="D58" t="s">
        <v>52</v>
      </c>
      <c r="E58" t="s">
        <v>172</v>
      </c>
      <c r="F58" t="s">
        <v>34</v>
      </c>
      <c r="G58" t="s">
        <v>62</v>
      </c>
      <c r="H58" t="s">
        <v>8</v>
      </c>
      <c r="I58" t="s">
        <v>7</v>
      </c>
      <c r="J58" t="s">
        <v>13</v>
      </c>
      <c r="K58" t="s">
        <v>85</v>
      </c>
      <c r="L58" t="s">
        <v>24</v>
      </c>
      <c r="M58">
        <v>1</v>
      </c>
    </row>
    <row r="59" spans="1:13" x14ac:dyDescent="0.25">
      <c r="A59" s="2">
        <v>46198</v>
      </c>
      <c r="B59" s="1" t="str">
        <f ca="1">IF(Información1[[#This Row],[Fecha]]='Ajuste de fechas'!$A$2,"Día actual","Día anterior")</f>
        <v>Día anterior</v>
      </c>
      <c r="C59" t="s">
        <v>51</v>
      </c>
      <c r="D59" t="s">
        <v>52</v>
      </c>
      <c r="E59" t="s">
        <v>173</v>
      </c>
      <c r="F59" t="s">
        <v>34</v>
      </c>
      <c r="G59" t="s">
        <v>174</v>
      </c>
      <c r="H59" t="s">
        <v>8</v>
      </c>
      <c r="I59" t="s">
        <v>7</v>
      </c>
      <c r="J59" t="s">
        <v>13</v>
      </c>
      <c r="K59" t="s">
        <v>85</v>
      </c>
      <c r="L59" t="s">
        <v>24</v>
      </c>
      <c r="M59">
        <v>1</v>
      </c>
    </row>
    <row r="60" spans="1:13" x14ac:dyDescent="0.25">
      <c r="A60" s="2">
        <v>46198</v>
      </c>
      <c r="B60" s="1" t="str">
        <f ca="1">IF(Información1[[#This Row],[Fecha]]='Ajuste de fechas'!$A$2,"Día actual","Día anterior")</f>
        <v>Día anterior</v>
      </c>
      <c r="C60" t="s">
        <v>51</v>
      </c>
      <c r="D60" t="s">
        <v>52</v>
      </c>
      <c r="E60" t="s">
        <v>175</v>
      </c>
      <c r="F60" t="s">
        <v>10</v>
      </c>
      <c r="G60" t="s">
        <v>176</v>
      </c>
      <c r="H60" t="s">
        <v>8</v>
      </c>
      <c r="I60" t="s">
        <v>7</v>
      </c>
      <c r="J60" t="s">
        <v>46</v>
      </c>
      <c r="K60" t="s">
        <v>85</v>
      </c>
      <c r="L60" t="s">
        <v>24</v>
      </c>
      <c r="M60">
        <v>1</v>
      </c>
    </row>
    <row r="61" spans="1:13" x14ac:dyDescent="0.25">
      <c r="A61" s="2">
        <v>46198</v>
      </c>
      <c r="B61" s="1" t="str">
        <f ca="1">IF(Información1[[#This Row],[Fecha]]='Ajuste de fechas'!$A$2,"Día actual","Día anterior")</f>
        <v>Día anterior</v>
      </c>
      <c r="C61" t="s">
        <v>51</v>
      </c>
      <c r="D61" t="s">
        <v>52</v>
      </c>
      <c r="E61" t="s">
        <v>177</v>
      </c>
      <c r="F61" t="s">
        <v>9</v>
      </c>
      <c r="G61" t="s">
        <v>43</v>
      </c>
      <c r="H61" t="s">
        <v>8</v>
      </c>
      <c r="I61" t="s">
        <v>7</v>
      </c>
      <c r="J61" t="s">
        <v>44</v>
      </c>
      <c r="K61" t="s">
        <v>85</v>
      </c>
      <c r="L61" t="s">
        <v>24</v>
      </c>
      <c r="M61">
        <v>1</v>
      </c>
    </row>
    <row r="62" spans="1:13" x14ac:dyDescent="0.25">
      <c r="A62" s="2">
        <v>46198</v>
      </c>
      <c r="B62" s="1" t="str">
        <f ca="1">IF(Información1[[#This Row],[Fecha]]='Ajuste de fechas'!$A$2,"Día actual","Día anterior")</f>
        <v>Día anterior</v>
      </c>
      <c r="C62" t="s">
        <v>51</v>
      </c>
      <c r="D62" t="s">
        <v>52</v>
      </c>
      <c r="E62" t="s">
        <v>54</v>
      </c>
      <c r="F62" t="s">
        <v>10</v>
      </c>
      <c r="G62" t="s">
        <v>58</v>
      </c>
      <c r="H62" t="s">
        <v>8</v>
      </c>
      <c r="I62" t="s">
        <v>7</v>
      </c>
      <c r="J62" t="s">
        <v>46</v>
      </c>
      <c r="K62" t="s">
        <v>85</v>
      </c>
      <c r="L62" t="s">
        <v>24</v>
      </c>
      <c r="M62">
        <v>1</v>
      </c>
    </row>
    <row r="63" spans="1:13" x14ac:dyDescent="0.25">
      <c r="A63" s="2">
        <v>46198</v>
      </c>
      <c r="B63" s="1" t="str">
        <f ca="1">IF(Información1[[#This Row],[Fecha]]='Ajuste de fechas'!$A$2,"Día actual","Día anterior")</f>
        <v>Día anterior</v>
      </c>
      <c r="C63" t="s">
        <v>51</v>
      </c>
      <c r="D63" t="s">
        <v>52</v>
      </c>
      <c r="E63" t="s">
        <v>178</v>
      </c>
      <c r="F63" t="s">
        <v>10</v>
      </c>
      <c r="G63" t="s">
        <v>179</v>
      </c>
      <c r="H63" t="s">
        <v>8</v>
      </c>
      <c r="I63" t="s">
        <v>7</v>
      </c>
      <c r="J63" t="s">
        <v>46</v>
      </c>
      <c r="K63" t="s">
        <v>85</v>
      </c>
      <c r="L63" t="s">
        <v>24</v>
      </c>
      <c r="M63">
        <v>1</v>
      </c>
    </row>
    <row r="64" spans="1:13" x14ac:dyDescent="0.25">
      <c r="A64" s="2">
        <v>46198</v>
      </c>
      <c r="B64" s="1" t="str">
        <f ca="1">IF(Información1[[#This Row],[Fecha]]='Ajuste de fechas'!$A$2,"Día actual","Día anterior")</f>
        <v>Día anterior</v>
      </c>
      <c r="C64" t="s">
        <v>51</v>
      </c>
      <c r="D64" t="s">
        <v>52</v>
      </c>
      <c r="E64" t="s">
        <v>180</v>
      </c>
      <c r="F64" t="s">
        <v>11</v>
      </c>
      <c r="G64" t="s">
        <v>88</v>
      </c>
      <c r="H64" t="s">
        <v>8</v>
      </c>
      <c r="I64" t="s">
        <v>7</v>
      </c>
      <c r="J64" t="s">
        <v>45</v>
      </c>
      <c r="K64" t="s">
        <v>85</v>
      </c>
      <c r="L64" t="s">
        <v>24</v>
      </c>
      <c r="M64">
        <v>1</v>
      </c>
    </row>
    <row r="65" spans="1:13" x14ac:dyDescent="0.25">
      <c r="A65" s="2">
        <v>46198</v>
      </c>
      <c r="B65" s="1" t="str">
        <f ca="1">IF(Información1[[#This Row],[Fecha]]='Ajuste de fechas'!$A$2,"Día actual","Día anterior")</f>
        <v>Día anterior</v>
      </c>
      <c r="C65" t="s">
        <v>51</v>
      </c>
      <c r="D65" t="s">
        <v>52</v>
      </c>
      <c r="E65" t="s">
        <v>181</v>
      </c>
      <c r="F65" t="s">
        <v>10</v>
      </c>
      <c r="G65" t="s">
        <v>83</v>
      </c>
      <c r="H65" t="s">
        <v>8</v>
      </c>
      <c r="I65" t="s">
        <v>7</v>
      </c>
      <c r="J65" t="s">
        <v>46</v>
      </c>
      <c r="K65" t="s">
        <v>85</v>
      </c>
      <c r="L65" t="s">
        <v>24</v>
      </c>
      <c r="M65">
        <v>1</v>
      </c>
    </row>
    <row r="66" spans="1:13" x14ac:dyDescent="0.25">
      <c r="A66" s="2">
        <v>46198</v>
      </c>
      <c r="B66" s="1" t="str">
        <f ca="1">IF(Información1[[#This Row],[Fecha]]='Ajuste de fechas'!$A$2,"Día actual","Día anterior")</f>
        <v>Día anterior</v>
      </c>
      <c r="C66" t="s">
        <v>51</v>
      </c>
      <c r="D66" t="s">
        <v>52</v>
      </c>
      <c r="E66" t="s">
        <v>182</v>
      </c>
      <c r="F66" t="s">
        <v>10</v>
      </c>
      <c r="G66" t="s">
        <v>183</v>
      </c>
      <c r="H66" t="s">
        <v>8</v>
      </c>
      <c r="I66" t="s">
        <v>7</v>
      </c>
      <c r="J66" t="s">
        <v>46</v>
      </c>
      <c r="K66" t="s">
        <v>85</v>
      </c>
      <c r="L66" t="s">
        <v>24</v>
      </c>
      <c r="M66">
        <v>1</v>
      </c>
    </row>
    <row r="67" spans="1:13" x14ac:dyDescent="0.25">
      <c r="A67" s="2">
        <v>46198</v>
      </c>
      <c r="B67" s="1" t="str">
        <f ca="1">IF(Información1[[#This Row],[Fecha]]='Ajuste de fechas'!$A$2,"Día actual","Día anterior")</f>
        <v>Día anterior</v>
      </c>
      <c r="C67" t="s">
        <v>55</v>
      </c>
      <c r="D67" t="s">
        <v>56</v>
      </c>
      <c r="E67" t="s">
        <v>184</v>
      </c>
      <c r="F67" t="s">
        <v>10</v>
      </c>
      <c r="G67" t="s">
        <v>185</v>
      </c>
      <c r="H67" t="s">
        <v>50</v>
      </c>
      <c r="I67" t="s">
        <v>7</v>
      </c>
      <c r="J67" t="s">
        <v>46</v>
      </c>
      <c r="K67" t="s">
        <v>57</v>
      </c>
      <c r="L67" t="s">
        <v>24</v>
      </c>
      <c r="M67">
        <v>1</v>
      </c>
    </row>
    <row r="68" spans="1:13" x14ac:dyDescent="0.25">
      <c r="A68" s="2">
        <v>46198</v>
      </c>
      <c r="B68" s="1" t="str">
        <f ca="1">IF(Información1[[#This Row],[Fecha]]='Ajuste de fechas'!$A$2,"Día actual","Día anterior")</f>
        <v>Día anterior</v>
      </c>
      <c r="C68" t="s">
        <v>55</v>
      </c>
      <c r="D68" t="s">
        <v>56</v>
      </c>
      <c r="E68" t="s">
        <v>186</v>
      </c>
      <c r="F68" t="s">
        <v>15</v>
      </c>
      <c r="G68" t="s">
        <v>68</v>
      </c>
      <c r="H68" t="s">
        <v>50</v>
      </c>
      <c r="I68" t="s">
        <v>66</v>
      </c>
      <c r="J68" t="s">
        <v>44</v>
      </c>
      <c r="K68" t="s">
        <v>187</v>
      </c>
      <c r="L68" t="s">
        <v>25</v>
      </c>
      <c r="M68">
        <v>1</v>
      </c>
    </row>
    <row r="69" spans="1:13" x14ac:dyDescent="0.25">
      <c r="A69" s="2">
        <v>46198</v>
      </c>
      <c r="B69" s="1" t="str">
        <f ca="1">IF(Información1[[#This Row],[Fecha]]='Ajuste de fechas'!$A$2,"Día actual","Día anterior")</f>
        <v>Día anterior</v>
      </c>
      <c r="C69" t="s">
        <v>55</v>
      </c>
      <c r="D69" t="s">
        <v>56</v>
      </c>
      <c r="E69" t="s">
        <v>188</v>
      </c>
      <c r="F69" t="s">
        <v>47</v>
      </c>
      <c r="G69" t="s">
        <v>189</v>
      </c>
      <c r="H69" t="s">
        <v>50</v>
      </c>
      <c r="I69" t="s">
        <v>7</v>
      </c>
      <c r="J69" t="s">
        <v>44</v>
      </c>
      <c r="K69" t="s">
        <v>57</v>
      </c>
      <c r="L69" t="s">
        <v>24</v>
      </c>
      <c r="M69">
        <v>1</v>
      </c>
    </row>
    <row r="70" spans="1:13" x14ac:dyDescent="0.25">
      <c r="A70" s="2">
        <v>46198</v>
      </c>
      <c r="B70" s="1" t="str">
        <f ca="1">IF(Información1[[#This Row],[Fecha]]='Ajuste de fechas'!$A$2,"Día actual","Día anterior")</f>
        <v>Día anterior</v>
      </c>
      <c r="C70" t="s">
        <v>55</v>
      </c>
      <c r="D70" t="s">
        <v>56</v>
      </c>
      <c r="E70" t="s">
        <v>164</v>
      </c>
      <c r="F70" t="s">
        <v>49</v>
      </c>
      <c r="G70" t="s">
        <v>165</v>
      </c>
      <c r="H70" t="s">
        <v>50</v>
      </c>
      <c r="I70" t="s">
        <v>7</v>
      </c>
      <c r="J70" t="s">
        <v>44</v>
      </c>
      <c r="K70" t="s">
        <v>57</v>
      </c>
      <c r="L70" t="s">
        <v>26</v>
      </c>
      <c r="M70">
        <v>1</v>
      </c>
    </row>
    <row r="71" spans="1:13" x14ac:dyDescent="0.25">
      <c r="A71" s="2">
        <v>46198</v>
      </c>
      <c r="B71" s="1" t="str">
        <f ca="1">IF(Información1[[#This Row],[Fecha]]='Ajuste de fechas'!$A$2,"Día actual","Día anterior")</f>
        <v>Día anterior</v>
      </c>
      <c r="C71" t="s">
        <v>55</v>
      </c>
      <c r="D71" t="s">
        <v>56</v>
      </c>
      <c r="E71" t="s">
        <v>190</v>
      </c>
      <c r="F71" t="s">
        <v>49</v>
      </c>
      <c r="G71" t="s">
        <v>191</v>
      </c>
      <c r="H71" t="s">
        <v>50</v>
      </c>
      <c r="I71" t="s">
        <v>7</v>
      </c>
      <c r="J71" t="s">
        <v>44</v>
      </c>
      <c r="K71" t="s">
        <v>57</v>
      </c>
      <c r="L71" t="s">
        <v>26</v>
      </c>
      <c r="M71">
        <v>1</v>
      </c>
    </row>
    <row r="72" spans="1:13" x14ac:dyDescent="0.25">
      <c r="A72" s="2">
        <v>46198</v>
      </c>
      <c r="B72" s="1" t="str">
        <f ca="1">IF(Información1[[#This Row],[Fecha]]='Ajuste de fechas'!$A$2,"Día actual","Día anterior")</f>
        <v>Día anterior</v>
      </c>
      <c r="C72" t="s">
        <v>55</v>
      </c>
      <c r="D72" t="s">
        <v>56</v>
      </c>
      <c r="E72" t="s">
        <v>192</v>
      </c>
      <c r="F72" t="s">
        <v>17</v>
      </c>
      <c r="G72" t="s">
        <v>193</v>
      </c>
      <c r="H72" t="s">
        <v>50</v>
      </c>
      <c r="I72" t="s">
        <v>7</v>
      </c>
      <c r="J72" t="s">
        <v>44</v>
      </c>
      <c r="K72" t="s">
        <v>57</v>
      </c>
      <c r="L72" t="s">
        <v>24</v>
      </c>
      <c r="M72">
        <v>1</v>
      </c>
    </row>
    <row r="73" spans="1:13" x14ac:dyDescent="0.25">
      <c r="A73" s="2">
        <v>46198</v>
      </c>
      <c r="B73" s="1" t="str">
        <f ca="1">IF(Información1[[#This Row],[Fecha]]='Ajuste de fechas'!$A$2,"Día actual","Día anterior")</f>
        <v>Día anterior</v>
      </c>
      <c r="C73" t="s">
        <v>55</v>
      </c>
      <c r="D73" t="s">
        <v>56</v>
      </c>
      <c r="E73" t="s">
        <v>194</v>
      </c>
      <c r="F73" t="s">
        <v>17</v>
      </c>
      <c r="G73" t="s">
        <v>193</v>
      </c>
      <c r="H73" t="s">
        <v>50</v>
      </c>
      <c r="I73" t="s">
        <v>7</v>
      </c>
      <c r="J73" t="s">
        <v>44</v>
      </c>
      <c r="K73" t="s">
        <v>57</v>
      </c>
      <c r="L73" t="s">
        <v>24</v>
      </c>
      <c r="M73">
        <v>1</v>
      </c>
    </row>
    <row r="74" spans="1:13" x14ac:dyDescent="0.25">
      <c r="A74" s="2">
        <v>46198</v>
      </c>
      <c r="B74" s="1" t="str">
        <f ca="1">IF(Información1[[#This Row],[Fecha]]='Ajuste de fechas'!$A$2,"Día actual","Día anterior")</f>
        <v>Día anterior</v>
      </c>
      <c r="C74" t="s">
        <v>55</v>
      </c>
      <c r="D74" t="s">
        <v>56</v>
      </c>
      <c r="E74" t="s">
        <v>195</v>
      </c>
      <c r="F74" t="s">
        <v>15</v>
      </c>
      <c r="G74" t="s">
        <v>196</v>
      </c>
      <c r="H74" t="s">
        <v>50</v>
      </c>
      <c r="I74" t="s">
        <v>7</v>
      </c>
      <c r="J74" t="s">
        <v>44</v>
      </c>
      <c r="K74" t="s">
        <v>57</v>
      </c>
      <c r="L74" t="s">
        <v>24</v>
      </c>
      <c r="M74">
        <v>1</v>
      </c>
    </row>
    <row r="75" spans="1:13" x14ac:dyDescent="0.25">
      <c r="A75" s="2">
        <v>46198</v>
      </c>
      <c r="B75" s="1" t="str">
        <f ca="1">IF(Información1[[#This Row],[Fecha]]='Ajuste de fechas'!$A$2,"Día actual","Día anterior")</f>
        <v>Día anterior</v>
      </c>
      <c r="C75" t="s">
        <v>55</v>
      </c>
      <c r="D75" t="s">
        <v>56</v>
      </c>
      <c r="E75" t="s">
        <v>197</v>
      </c>
      <c r="F75" t="s">
        <v>107</v>
      </c>
      <c r="G75" t="s">
        <v>198</v>
      </c>
      <c r="H75" t="s">
        <v>50</v>
      </c>
      <c r="I75" t="s">
        <v>7</v>
      </c>
      <c r="J75" t="s">
        <v>44</v>
      </c>
      <c r="K75" t="s">
        <v>57</v>
      </c>
      <c r="L75" t="s">
        <v>26</v>
      </c>
      <c r="M75">
        <v>1</v>
      </c>
    </row>
    <row r="76" spans="1:13" x14ac:dyDescent="0.25">
      <c r="A76" s="2">
        <v>46198</v>
      </c>
      <c r="B76" s="1" t="str">
        <f ca="1">IF(Información1[[#This Row],[Fecha]]='Ajuste de fechas'!$A$2,"Día actual","Día anterior")</f>
        <v>Día anterior</v>
      </c>
      <c r="C76" t="s">
        <v>55</v>
      </c>
      <c r="D76" t="s">
        <v>56</v>
      </c>
      <c r="E76" t="s">
        <v>161</v>
      </c>
      <c r="F76" t="s">
        <v>17</v>
      </c>
      <c r="G76" t="s">
        <v>125</v>
      </c>
      <c r="H76" t="s">
        <v>50</v>
      </c>
      <c r="I76" t="s">
        <v>7</v>
      </c>
      <c r="J76" t="s">
        <v>44</v>
      </c>
      <c r="K76" t="s">
        <v>57</v>
      </c>
      <c r="L76" t="s">
        <v>26</v>
      </c>
      <c r="M76">
        <v>1</v>
      </c>
    </row>
    <row r="77" spans="1:13" x14ac:dyDescent="0.25">
      <c r="A77" s="2">
        <v>46198</v>
      </c>
      <c r="B77" s="1" t="str">
        <f ca="1">IF(Información1[[#This Row],[Fecha]]='Ajuste de fechas'!$A$2,"Día actual","Día anterior")</f>
        <v>Día anterior</v>
      </c>
      <c r="C77" t="s">
        <v>55</v>
      </c>
      <c r="D77" t="s">
        <v>56</v>
      </c>
      <c r="E77" t="s">
        <v>199</v>
      </c>
      <c r="F77" t="s">
        <v>92</v>
      </c>
      <c r="G77" t="s">
        <v>200</v>
      </c>
      <c r="H77" t="s">
        <v>50</v>
      </c>
      <c r="I77" t="s">
        <v>7</v>
      </c>
      <c r="J77" t="s">
        <v>44</v>
      </c>
      <c r="K77" t="s">
        <v>57</v>
      </c>
      <c r="L77" t="s">
        <v>26</v>
      </c>
      <c r="M77">
        <v>1</v>
      </c>
    </row>
    <row r="78" spans="1:13" x14ac:dyDescent="0.25">
      <c r="A78" s="2">
        <v>46198</v>
      </c>
      <c r="B78" s="1" t="str">
        <f ca="1">IF(Información1[[#This Row],[Fecha]]='Ajuste de fechas'!$A$2,"Día actual","Día anterior")</f>
        <v>Día anterior</v>
      </c>
      <c r="C78" t="s">
        <v>55</v>
      </c>
      <c r="D78" t="s">
        <v>56</v>
      </c>
      <c r="E78" t="s">
        <v>201</v>
      </c>
      <c r="F78" t="s">
        <v>47</v>
      </c>
      <c r="G78" t="s">
        <v>48</v>
      </c>
      <c r="H78" t="s">
        <v>50</v>
      </c>
      <c r="I78" t="s">
        <v>7</v>
      </c>
      <c r="J78" t="s">
        <v>44</v>
      </c>
      <c r="K78" t="s">
        <v>57</v>
      </c>
      <c r="L78" t="s">
        <v>26</v>
      </c>
      <c r="M78">
        <v>1</v>
      </c>
    </row>
    <row r="79" spans="1:13" x14ac:dyDescent="0.25">
      <c r="A79" s="2">
        <v>46198</v>
      </c>
      <c r="B79" s="1" t="str">
        <f ca="1">IF(Información1[[#This Row],[Fecha]]='Ajuste de fechas'!$A$2,"Día actual","Día anterior")</f>
        <v>Día anterior</v>
      </c>
      <c r="C79" t="s">
        <v>55</v>
      </c>
      <c r="D79" t="s">
        <v>56</v>
      </c>
      <c r="E79" t="s">
        <v>202</v>
      </c>
      <c r="F79" t="s">
        <v>13</v>
      </c>
      <c r="G79" t="s">
        <v>89</v>
      </c>
      <c r="H79" t="s">
        <v>50</v>
      </c>
      <c r="I79" t="s">
        <v>7</v>
      </c>
      <c r="J79" t="s">
        <v>13</v>
      </c>
      <c r="K79" t="s">
        <v>57</v>
      </c>
      <c r="L79" t="s">
        <v>24</v>
      </c>
      <c r="M79">
        <v>1</v>
      </c>
    </row>
    <row r="80" spans="1:13" x14ac:dyDescent="0.25">
      <c r="A80" s="2">
        <v>46198</v>
      </c>
      <c r="B80" s="1" t="str">
        <f ca="1">IF(Información1[[#This Row],[Fecha]]='Ajuste de fechas'!$A$2,"Día actual","Día anterior")</f>
        <v>Día anterior</v>
      </c>
      <c r="C80" t="s">
        <v>55</v>
      </c>
      <c r="D80" t="s">
        <v>56</v>
      </c>
      <c r="E80" t="s">
        <v>104</v>
      </c>
      <c r="F80" t="s">
        <v>38</v>
      </c>
      <c r="G80" t="s">
        <v>39</v>
      </c>
      <c r="H80" t="s">
        <v>50</v>
      </c>
      <c r="I80" t="s">
        <v>7</v>
      </c>
      <c r="J80" t="s">
        <v>44</v>
      </c>
      <c r="K80" t="s">
        <v>57</v>
      </c>
      <c r="L80" t="s">
        <v>26</v>
      </c>
      <c r="M80">
        <v>1</v>
      </c>
    </row>
    <row r="81" spans="1:13" x14ac:dyDescent="0.25">
      <c r="A81" s="2">
        <v>46198</v>
      </c>
      <c r="B81" s="1" t="str">
        <f ca="1">IF(Información1[[#This Row],[Fecha]]='Ajuste de fechas'!$A$2,"Día actual","Día anterior")</f>
        <v>Día anterior</v>
      </c>
      <c r="C81" t="s">
        <v>31</v>
      </c>
      <c r="D81" t="s">
        <v>93</v>
      </c>
      <c r="E81" t="s">
        <v>153</v>
      </c>
      <c r="F81" t="s">
        <v>11</v>
      </c>
      <c r="G81" t="s">
        <v>133</v>
      </c>
      <c r="H81" t="s">
        <v>8</v>
      </c>
      <c r="I81" t="s">
        <v>7</v>
      </c>
      <c r="J81" t="s">
        <v>45</v>
      </c>
      <c r="K81" t="s">
        <v>32</v>
      </c>
      <c r="L81" t="s">
        <v>24</v>
      </c>
      <c r="M81">
        <v>1</v>
      </c>
    </row>
    <row r="82" spans="1:13" x14ac:dyDescent="0.25">
      <c r="A82" s="2">
        <v>46198</v>
      </c>
      <c r="B82" s="1" t="str">
        <f ca="1">IF(Información1[[#This Row],[Fecha]]='Ajuste de fechas'!$A$2,"Día actual","Día anterior")</f>
        <v>Día anterior</v>
      </c>
      <c r="C82" t="s">
        <v>31</v>
      </c>
      <c r="D82" t="s">
        <v>93</v>
      </c>
      <c r="E82" t="s">
        <v>203</v>
      </c>
      <c r="F82" t="s">
        <v>10</v>
      </c>
      <c r="G82" t="s">
        <v>90</v>
      </c>
      <c r="H82" t="s">
        <v>8</v>
      </c>
      <c r="I82" t="s">
        <v>7</v>
      </c>
      <c r="J82" t="s">
        <v>46</v>
      </c>
      <c r="K82" t="s">
        <v>32</v>
      </c>
      <c r="L82" t="s">
        <v>24</v>
      </c>
      <c r="M82">
        <v>1</v>
      </c>
    </row>
    <row r="83" spans="1:13" x14ac:dyDescent="0.25">
      <c r="A83" s="2">
        <v>46198</v>
      </c>
      <c r="B83" s="1" t="str">
        <f ca="1">IF(Información1[[#This Row],[Fecha]]='Ajuste de fechas'!$A$2,"Día actual","Día anterior")</f>
        <v>Día anterior</v>
      </c>
      <c r="C83" t="s">
        <v>31</v>
      </c>
      <c r="D83" t="s">
        <v>93</v>
      </c>
      <c r="E83" t="s">
        <v>204</v>
      </c>
      <c r="F83" t="s">
        <v>205</v>
      </c>
      <c r="G83" t="s">
        <v>206</v>
      </c>
      <c r="H83" t="s">
        <v>8</v>
      </c>
      <c r="I83" t="s">
        <v>14</v>
      </c>
      <c r="J83" t="s">
        <v>13</v>
      </c>
      <c r="K83" t="s">
        <v>32</v>
      </c>
      <c r="L83" t="s">
        <v>24</v>
      </c>
      <c r="M83">
        <v>1</v>
      </c>
    </row>
    <row r="84" spans="1:13" x14ac:dyDescent="0.25">
      <c r="A84" s="2">
        <v>46198</v>
      </c>
      <c r="B84" s="1" t="str">
        <f ca="1">IF(Información1[[#This Row],[Fecha]]='Ajuste de fechas'!$A$2,"Día actual","Día anterior")</f>
        <v>Día anterior</v>
      </c>
      <c r="C84" t="s">
        <v>31</v>
      </c>
      <c r="D84" t="s">
        <v>93</v>
      </c>
      <c r="E84" t="s">
        <v>207</v>
      </c>
      <c r="F84" t="s">
        <v>34</v>
      </c>
      <c r="G84" t="s">
        <v>208</v>
      </c>
      <c r="H84" t="s">
        <v>8</v>
      </c>
      <c r="I84" t="s">
        <v>7</v>
      </c>
      <c r="J84" t="s">
        <v>13</v>
      </c>
      <c r="K84" t="s">
        <v>32</v>
      </c>
      <c r="L84" t="s">
        <v>24</v>
      </c>
      <c r="M84">
        <v>1</v>
      </c>
    </row>
    <row r="85" spans="1:13" x14ac:dyDescent="0.25">
      <c r="A85" s="2">
        <v>46198</v>
      </c>
      <c r="B85" s="1" t="str">
        <f ca="1">IF(Información1[[#This Row],[Fecha]]='Ajuste de fechas'!$A$2,"Día actual","Día anterior")</f>
        <v>Día anterior</v>
      </c>
      <c r="C85" t="s">
        <v>35</v>
      </c>
      <c r="D85" t="s">
        <v>36</v>
      </c>
      <c r="E85" t="s">
        <v>209</v>
      </c>
      <c r="F85" t="s">
        <v>10</v>
      </c>
      <c r="G85" t="s">
        <v>210</v>
      </c>
      <c r="H85" t="s">
        <v>8</v>
      </c>
      <c r="I85" t="s">
        <v>7</v>
      </c>
      <c r="J85" t="s">
        <v>46</v>
      </c>
      <c r="K85" t="s">
        <v>37</v>
      </c>
      <c r="L85" t="s">
        <v>24</v>
      </c>
      <c r="M85">
        <v>1</v>
      </c>
    </row>
    <row r="86" spans="1:13" x14ac:dyDescent="0.25">
      <c r="A86" s="2">
        <v>46198</v>
      </c>
      <c r="B86" s="1" t="str">
        <f ca="1">IF(Información1[[#This Row],[Fecha]]='Ajuste de fechas'!$A$2,"Día actual","Día anterior")</f>
        <v>Día anterior</v>
      </c>
      <c r="C86" t="s">
        <v>35</v>
      </c>
      <c r="D86" t="s">
        <v>36</v>
      </c>
      <c r="E86" t="s">
        <v>211</v>
      </c>
      <c r="F86" t="s">
        <v>10</v>
      </c>
      <c r="G86" t="s">
        <v>212</v>
      </c>
      <c r="H86" t="s">
        <v>8</v>
      </c>
      <c r="I86" t="s">
        <v>7</v>
      </c>
      <c r="J86" t="s">
        <v>46</v>
      </c>
      <c r="K86" t="s">
        <v>37</v>
      </c>
      <c r="L86" t="s">
        <v>24</v>
      </c>
      <c r="M86">
        <v>1</v>
      </c>
    </row>
    <row r="87" spans="1:13" x14ac:dyDescent="0.25">
      <c r="A87" s="2">
        <v>46198</v>
      </c>
      <c r="B87" s="1" t="str">
        <f ca="1">IF(Información1[[#This Row],[Fecha]]='Ajuste de fechas'!$A$2,"Día actual","Día anterior")</f>
        <v>Día anterior</v>
      </c>
      <c r="C87" t="s">
        <v>35</v>
      </c>
      <c r="D87" t="s">
        <v>36</v>
      </c>
      <c r="E87" t="s">
        <v>213</v>
      </c>
      <c r="F87" t="s">
        <v>10</v>
      </c>
      <c r="G87" t="s">
        <v>214</v>
      </c>
      <c r="H87" t="s">
        <v>8</v>
      </c>
      <c r="I87" t="s">
        <v>7</v>
      </c>
      <c r="J87" t="s">
        <v>46</v>
      </c>
      <c r="K87" t="s">
        <v>37</v>
      </c>
      <c r="L87" t="s">
        <v>24</v>
      </c>
      <c r="M87">
        <v>1</v>
      </c>
    </row>
    <row r="88" spans="1:13" x14ac:dyDescent="0.25">
      <c r="A88" s="2">
        <v>46198</v>
      </c>
      <c r="B88" s="1" t="str">
        <f ca="1">IF(Información1[[#This Row],[Fecha]]='Ajuste de fechas'!$A$2,"Día actual","Día anterior")</f>
        <v>Día anterior</v>
      </c>
      <c r="C88" t="s">
        <v>35</v>
      </c>
      <c r="D88" t="s">
        <v>36</v>
      </c>
      <c r="E88" t="s">
        <v>215</v>
      </c>
      <c r="F88" t="s">
        <v>12</v>
      </c>
      <c r="G88" t="s">
        <v>216</v>
      </c>
      <c r="H88" t="s">
        <v>8</v>
      </c>
      <c r="I88" t="s">
        <v>7</v>
      </c>
      <c r="J88" t="s">
        <v>44</v>
      </c>
      <c r="K88" t="s">
        <v>37</v>
      </c>
      <c r="L88" t="s">
        <v>26</v>
      </c>
      <c r="M88">
        <v>1</v>
      </c>
    </row>
    <row r="89" spans="1:13" x14ac:dyDescent="0.25">
      <c r="A89" s="2">
        <v>46198</v>
      </c>
      <c r="B89" s="1" t="str">
        <f ca="1">IF(Información1[[#This Row],[Fecha]]='Ajuste de fechas'!$A$2,"Día actual","Día anterior")</f>
        <v>Día anterior</v>
      </c>
      <c r="C89" t="s">
        <v>35</v>
      </c>
      <c r="D89" t="s">
        <v>36</v>
      </c>
      <c r="E89" t="s">
        <v>158</v>
      </c>
      <c r="F89" t="s">
        <v>159</v>
      </c>
      <c r="G89" t="s">
        <v>217</v>
      </c>
      <c r="H89" t="s">
        <v>8</v>
      </c>
      <c r="I89" t="s">
        <v>7</v>
      </c>
      <c r="J89" t="s">
        <v>44</v>
      </c>
      <c r="K89" t="s">
        <v>37</v>
      </c>
      <c r="L89" t="s">
        <v>26</v>
      </c>
      <c r="M89">
        <v>1</v>
      </c>
    </row>
    <row r="90" spans="1:13" x14ac:dyDescent="0.25">
      <c r="A90" s="2">
        <v>46198</v>
      </c>
      <c r="B90" s="1" t="str">
        <f ca="1">IF(Información1[[#This Row],[Fecha]]='Ajuste de fechas'!$A$2,"Día actual","Día anterior")</f>
        <v>Día anterior</v>
      </c>
      <c r="C90" t="s">
        <v>35</v>
      </c>
      <c r="D90" t="s">
        <v>36</v>
      </c>
      <c r="E90" t="s">
        <v>218</v>
      </c>
      <c r="F90" t="s">
        <v>219</v>
      </c>
      <c r="G90" t="s">
        <v>220</v>
      </c>
      <c r="H90" t="s">
        <v>8</v>
      </c>
      <c r="I90" t="s">
        <v>7</v>
      </c>
      <c r="J90" t="s">
        <v>44</v>
      </c>
      <c r="K90" t="s">
        <v>37</v>
      </c>
      <c r="L90" t="s">
        <v>24</v>
      </c>
      <c r="M90">
        <v>1</v>
      </c>
    </row>
    <row r="91" spans="1:13" x14ac:dyDescent="0.25">
      <c r="A91" s="2">
        <v>46198</v>
      </c>
      <c r="B91" s="1" t="str">
        <f ca="1">IF(Información1[[#This Row],[Fecha]]='Ajuste de fechas'!$A$2,"Día actual","Día anterior")</f>
        <v>Día anterior</v>
      </c>
      <c r="C91" t="s">
        <v>35</v>
      </c>
      <c r="D91" t="s">
        <v>36</v>
      </c>
      <c r="E91" t="s">
        <v>221</v>
      </c>
      <c r="F91" t="s">
        <v>107</v>
      </c>
      <c r="H91" t="s">
        <v>8</v>
      </c>
      <c r="I91" t="s">
        <v>7</v>
      </c>
      <c r="J91" t="s">
        <v>44</v>
      </c>
      <c r="K91" t="s">
        <v>37</v>
      </c>
      <c r="L91" t="s">
        <v>26</v>
      </c>
      <c r="M91">
        <v>1</v>
      </c>
    </row>
    <row r="92" spans="1:13" x14ac:dyDescent="0.25">
      <c r="A92" s="2">
        <v>46198</v>
      </c>
      <c r="B92" s="1" t="str">
        <f ca="1">IF(Información1[[#This Row],[Fecha]]='Ajuste de fechas'!$A$2,"Día actual","Día anterior")</f>
        <v>Día anterior</v>
      </c>
      <c r="C92" t="s">
        <v>31</v>
      </c>
      <c r="D92" t="s">
        <v>33</v>
      </c>
      <c r="E92" t="s">
        <v>222</v>
      </c>
      <c r="F92" t="s">
        <v>10</v>
      </c>
      <c r="G92" t="s">
        <v>223</v>
      </c>
      <c r="H92" t="s">
        <v>8</v>
      </c>
      <c r="I92" t="s">
        <v>7</v>
      </c>
      <c r="J92" t="s">
        <v>46</v>
      </c>
      <c r="K92" t="s">
        <v>32</v>
      </c>
      <c r="L92" t="s">
        <v>24</v>
      </c>
      <c r="M92">
        <v>1</v>
      </c>
    </row>
    <row r="93" spans="1:13" x14ac:dyDescent="0.25">
      <c r="A93" s="2">
        <v>46198</v>
      </c>
      <c r="B93" s="1" t="str">
        <f ca="1">IF(Información1[[#This Row],[Fecha]]='Ajuste de fechas'!$A$2,"Día actual","Día anterior")</f>
        <v>Día anterior</v>
      </c>
      <c r="C93" t="s">
        <v>31</v>
      </c>
      <c r="D93" t="s">
        <v>33</v>
      </c>
      <c r="E93" t="s">
        <v>224</v>
      </c>
      <c r="F93" t="s">
        <v>10</v>
      </c>
      <c r="G93" t="s">
        <v>176</v>
      </c>
      <c r="H93" t="s">
        <v>8</v>
      </c>
      <c r="I93" t="s">
        <v>7</v>
      </c>
      <c r="J93" t="s">
        <v>46</v>
      </c>
      <c r="K93" t="s">
        <v>30</v>
      </c>
      <c r="L93" t="s">
        <v>24</v>
      </c>
      <c r="M93">
        <v>1</v>
      </c>
    </row>
    <row r="94" spans="1:13" x14ac:dyDescent="0.25">
      <c r="A94" s="2">
        <v>46198</v>
      </c>
      <c r="B94" s="1" t="str">
        <f ca="1">IF(Información1[[#This Row],[Fecha]]='Ajuste de fechas'!$A$2,"Día actual","Día anterior")</f>
        <v>Día anterior</v>
      </c>
      <c r="C94" t="s">
        <v>31</v>
      </c>
      <c r="D94" t="s">
        <v>33</v>
      </c>
      <c r="E94" t="s">
        <v>225</v>
      </c>
      <c r="F94" t="s">
        <v>64</v>
      </c>
      <c r="G94" t="s">
        <v>226</v>
      </c>
      <c r="H94" t="s">
        <v>8</v>
      </c>
      <c r="I94" t="s">
        <v>7</v>
      </c>
      <c r="J94" t="s">
        <v>44</v>
      </c>
      <c r="K94" t="s">
        <v>30</v>
      </c>
      <c r="L94" t="s">
        <v>26</v>
      </c>
      <c r="M94">
        <v>1</v>
      </c>
    </row>
    <row r="95" spans="1:13" x14ac:dyDescent="0.25">
      <c r="A95" s="2">
        <v>46198</v>
      </c>
      <c r="B95" s="1" t="str">
        <f ca="1">IF(Información1[[#This Row],[Fecha]]='Ajuste de fechas'!$A$2,"Día actual","Día anterior")</f>
        <v>Día anterior</v>
      </c>
      <c r="C95" t="s">
        <v>31</v>
      </c>
      <c r="D95" t="s">
        <v>33</v>
      </c>
      <c r="E95" t="s">
        <v>227</v>
      </c>
      <c r="F95" t="s">
        <v>15</v>
      </c>
      <c r="G95" t="s">
        <v>196</v>
      </c>
      <c r="H95" t="s">
        <v>8</v>
      </c>
      <c r="I95" t="s">
        <v>7</v>
      </c>
      <c r="J95" t="s">
        <v>44</v>
      </c>
      <c r="K95" t="s">
        <v>30</v>
      </c>
      <c r="L95" t="s">
        <v>26</v>
      </c>
      <c r="M95">
        <v>1</v>
      </c>
    </row>
    <row r="96" spans="1:13" x14ac:dyDescent="0.25">
      <c r="A96" s="2">
        <v>46198</v>
      </c>
      <c r="B96" s="1" t="str">
        <f ca="1">IF(Información1[[#This Row],[Fecha]]='Ajuste de fechas'!$A$2,"Día actual","Día anterior")</f>
        <v>Día anterior</v>
      </c>
      <c r="C96" t="s">
        <v>31</v>
      </c>
      <c r="D96" t="s">
        <v>33</v>
      </c>
      <c r="E96" t="s">
        <v>228</v>
      </c>
      <c r="F96" t="s">
        <v>38</v>
      </c>
      <c r="G96" t="s">
        <v>118</v>
      </c>
      <c r="H96" t="s">
        <v>8</v>
      </c>
      <c r="I96" t="s">
        <v>7</v>
      </c>
      <c r="J96" t="s">
        <v>44</v>
      </c>
      <c r="K96" t="s">
        <v>30</v>
      </c>
      <c r="L96" t="s">
        <v>26</v>
      </c>
      <c r="M96">
        <v>1</v>
      </c>
    </row>
    <row r="97" spans="1:13" x14ac:dyDescent="0.25">
      <c r="A97" s="2">
        <v>46198</v>
      </c>
      <c r="B97" s="1" t="str">
        <f ca="1">IF(Información1[[#This Row],[Fecha]]='Ajuste de fechas'!$A$2,"Día actual","Día anterior")</f>
        <v>Día anterior</v>
      </c>
      <c r="C97" t="s">
        <v>31</v>
      </c>
      <c r="D97" t="s">
        <v>33</v>
      </c>
      <c r="E97" t="s">
        <v>229</v>
      </c>
      <c r="F97" t="s">
        <v>49</v>
      </c>
      <c r="G97" t="s">
        <v>206</v>
      </c>
      <c r="H97" t="s">
        <v>8</v>
      </c>
      <c r="I97" t="s">
        <v>7</v>
      </c>
      <c r="J97" t="s">
        <v>44</v>
      </c>
      <c r="K97" t="s">
        <v>32</v>
      </c>
      <c r="L97" t="s">
        <v>24</v>
      </c>
      <c r="M97">
        <v>1</v>
      </c>
    </row>
    <row r="98" spans="1:13" x14ac:dyDescent="0.25">
      <c r="A98" s="2">
        <v>46198</v>
      </c>
      <c r="B98" s="1" t="str">
        <f ca="1">IF(Información1[[#This Row],[Fecha]]='Ajuste de fechas'!$A$2,"Día actual","Día anterior")</f>
        <v>Día anterior</v>
      </c>
      <c r="C98" t="s">
        <v>31</v>
      </c>
      <c r="D98" t="s">
        <v>33</v>
      </c>
      <c r="E98" t="s">
        <v>151</v>
      </c>
      <c r="F98" t="s">
        <v>53</v>
      </c>
      <c r="G98" t="s">
        <v>152</v>
      </c>
      <c r="H98" t="s">
        <v>8</v>
      </c>
      <c r="I98" t="s">
        <v>7</v>
      </c>
      <c r="J98" t="s">
        <v>44</v>
      </c>
      <c r="K98" t="s">
        <v>30</v>
      </c>
      <c r="L98" t="s">
        <v>26</v>
      </c>
      <c r="M98">
        <v>1</v>
      </c>
    </row>
    <row r="99" spans="1:13" x14ac:dyDescent="0.25">
      <c r="A99" s="2">
        <v>46199</v>
      </c>
      <c r="B99" s="1" t="str">
        <f ca="1">IF(Información1[[#This Row],[Fecha]]='Ajuste de fechas'!$A$2,"Día actual","Día anterior")</f>
        <v>Día actual</v>
      </c>
      <c r="C99" t="s">
        <v>69</v>
      </c>
      <c r="D99" t="s">
        <v>70</v>
      </c>
      <c r="E99" t="s">
        <v>230</v>
      </c>
      <c r="F99" t="s">
        <v>10</v>
      </c>
      <c r="G99" t="s">
        <v>101</v>
      </c>
      <c r="H99" t="s">
        <v>8</v>
      </c>
      <c r="I99" t="s">
        <v>14</v>
      </c>
      <c r="J99" t="s">
        <v>46</v>
      </c>
      <c r="K99" t="s">
        <v>60</v>
      </c>
      <c r="L99" t="s">
        <v>25</v>
      </c>
      <c r="M99">
        <v>1</v>
      </c>
    </row>
    <row r="100" spans="1:13" x14ac:dyDescent="0.25">
      <c r="A100" s="2">
        <v>46199</v>
      </c>
      <c r="B100" s="1" t="str">
        <f ca="1">IF(Información1[[#This Row],[Fecha]]='Ajuste de fechas'!$A$2,"Día actual","Día anterior")</f>
        <v>Día actual</v>
      </c>
      <c r="C100" t="s">
        <v>69</v>
      </c>
      <c r="D100" t="s">
        <v>70</v>
      </c>
      <c r="E100" t="s">
        <v>143</v>
      </c>
      <c r="F100" t="s">
        <v>10</v>
      </c>
      <c r="G100" t="s">
        <v>101</v>
      </c>
      <c r="H100" t="s">
        <v>8</v>
      </c>
      <c r="I100" t="s">
        <v>14</v>
      </c>
      <c r="J100" t="s">
        <v>46</v>
      </c>
      <c r="K100" t="s">
        <v>60</v>
      </c>
      <c r="L100" t="s">
        <v>25</v>
      </c>
      <c r="M100">
        <v>1</v>
      </c>
    </row>
    <row r="101" spans="1:13" x14ac:dyDescent="0.25">
      <c r="A101" s="2">
        <v>46199</v>
      </c>
      <c r="B101" s="1" t="str">
        <f ca="1">IF(Información1[[#This Row],[Fecha]]='Ajuste de fechas'!$A$2,"Día actual","Día anterior")</f>
        <v>Día actual</v>
      </c>
      <c r="C101" t="s">
        <v>69</v>
      </c>
      <c r="D101" t="s">
        <v>70</v>
      </c>
      <c r="E101" t="s">
        <v>231</v>
      </c>
      <c r="F101" t="s">
        <v>13</v>
      </c>
      <c r="G101" t="s">
        <v>133</v>
      </c>
      <c r="H101" t="s">
        <v>8</v>
      </c>
      <c r="I101" t="s">
        <v>7</v>
      </c>
      <c r="J101" t="s">
        <v>13</v>
      </c>
      <c r="K101" t="s">
        <v>72</v>
      </c>
      <c r="L101" t="s">
        <v>24</v>
      </c>
      <c r="M101">
        <v>1</v>
      </c>
    </row>
    <row r="102" spans="1:13" x14ac:dyDescent="0.25">
      <c r="A102" s="2">
        <v>46199</v>
      </c>
      <c r="B102" s="1" t="str">
        <f ca="1">IF(Información1[[#This Row],[Fecha]]='Ajuste de fechas'!$A$2,"Día actual","Día anterior")</f>
        <v>Día actual</v>
      </c>
      <c r="C102" t="s">
        <v>69</v>
      </c>
      <c r="D102" t="s">
        <v>70</v>
      </c>
      <c r="E102" t="s">
        <v>232</v>
      </c>
      <c r="F102" t="s">
        <v>10</v>
      </c>
      <c r="G102" t="s">
        <v>233</v>
      </c>
      <c r="H102" t="s">
        <v>8</v>
      </c>
      <c r="I102" t="s">
        <v>7</v>
      </c>
      <c r="J102" t="s">
        <v>46</v>
      </c>
      <c r="K102" t="s">
        <v>72</v>
      </c>
      <c r="L102" t="s">
        <v>24</v>
      </c>
      <c r="M102">
        <v>1</v>
      </c>
    </row>
    <row r="103" spans="1:13" x14ac:dyDescent="0.25">
      <c r="A103" s="2">
        <v>46199</v>
      </c>
      <c r="B103" s="1" t="str">
        <f ca="1">IF(Información1[[#This Row],[Fecha]]='Ajuste de fechas'!$A$2,"Día actual","Día anterior")</f>
        <v>Día actual</v>
      </c>
      <c r="C103" t="s">
        <v>40</v>
      </c>
      <c r="D103" t="s">
        <v>41</v>
      </c>
      <c r="E103" t="s">
        <v>227</v>
      </c>
      <c r="F103" t="s">
        <v>15</v>
      </c>
      <c r="G103" t="s">
        <v>196</v>
      </c>
      <c r="H103" t="s">
        <v>8</v>
      </c>
      <c r="I103" t="s">
        <v>7</v>
      </c>
      <c r="J103" t="s">
        <v>44</v>
      </c>
      <c r="K103" t="s">
        <v>42</v>
      </c>
      <c r="L103" t="s">
        <v>26</v>
      </c>
      <c r="M103">
        <v>1</v>
      </c>
    </row>
    <row r="104" spans="1:13" x14ac:dyDescent="0.25">
      <c r="A104" s="2">
        <v>46199</v>
      </c>
      <c r="B104" s="1" t="str">
        <f ca="1">IF(Información1[[#This Row],[Fecha]]='Ajuste de fechas'!$A$2,"Día actual","Día anterior")</f>
        <v>Día actual</v>
      </c>
      <c r="C104" t="s">
        <v>69</v>
      </c>
      <c r="D104" t="s">
        <v>70</v>
      </c>
      <c r="E104" t="s">
        <v>234</v>
      </c>
      <c r="F104" t="s">
        <v>15</v>
      </c>
      <c r="G104" t="s">
        <v>196</v>
      </c>
      <c r="H104" t="s">
        <v>8</v>
      </c>
      <c r="I104" t="s">
        <v>7</v>
      </c>
      <c r="J104" t="s">
        <v>44</v>
      </c>
      <c r="K104" t="s">
        <v>72</v>
      </c>
      <c r="L104" t="s">
        <v>24</v>
      </c>
      <c r="M104">
        <v>1</v>
      </c>
    </row>
    <row r="105" spans="1:13" x14ac:dyDescent="0.25">
      <c r="A105" s="2">
        <v>46199</v>
      </c>
      <c r="B105" s="1" t="str">
        <f ca="1">IF(Información1[[#This Row],[Fecha]]='Ajuste de fechas'!$A$2,"Día actual","Día anterior")</f>
        <v>Día actual</v>
      </c>
      <c r="C105" t="s">
        <v>16</v>
      </c>
      <c r="D105" t="s">
        <v>97</v>
      </c>
      <c r="E105" t="s">
        <v>227</v>
      </c>
      <c r="F105" t="s">
        <v>15</v>
      </c>
      <c r="G105" t="s">
        <v>235</v>
      </c>
      <c r="H105" t="s">
        <v>8</v>
      </c>
      <c r="I105" t="s">
        <v>7</v>
      </c>
      <c r="J105" t="s">
        <v>44</v>
      </c>
      <c r="K105" t="s">
        <v>98</v>
      </c>
      <c r="L105" t="s">
        <v>26</v>
      </c>
      <c r="M105">
        <v>1</v>
      </c>
    </row>
    <row r="106" spans="1:13" x14ac:dyDescent="0.25">
      <c r="A106" s="2">
        <v>46199</v>
      </c>
      <c r="B106" s="1" t="str">
        <f ca="1">IF(Información1[[#This Row],[Fecha]]='Ajuste de fechas'!$A$2,"Día actual","Día anterior")</f>
        <v>Día actual</v>
      </c>
      <c r="C106" t="s">
        <v>69</v>
      </c>
      <c r="D106" t="s">
        <v>70</v>
      </c>
      <c r="E106" t="s">
        <v>236</v>
      </c>
      <c r="F106" t="s">
        <v>6</v>
      </c>
      <c r="G106" t="s">
        <v>71</v>
      </c>
      <c r="H106" t="s">
        <v>8</v>
      </c>
      <c r="I106" t="s">
        <v>14</v>
      </c>
      <c r="J106" t="s">
        <v>44</v>
      </c>
      <c r="K106" t="s">
        <v>60</v>
      </c>
      <c r="L106" t="s">
        <v>25</v>
      </c>
      <c r="M106">
        <v>1</v>
      </c>
    </row>
    <row r="107" spans="1:13" x14ac:dyDescent="0.25">
      <c r="A107" s="2">
        <v>46199</v>
      </c>
      <c r="B107" s="1" t="str">
        <f ca="1">IF(Información1[[#This Row],[Fecha]]='Ajuste de fechas'!$A$2,"Día actual","Día anterior")</f>
        <v>Día actual</v>
      </c>
      <c r="C107" t="s">
        <v>69</v>
      </c>
      <c r="D107" t="s">
        <v>70</v>
      </c>
      <c r="E107" t="s">
        <v>237</v>
      </c>
      <c r="F107" t="s">
        <v>10</v>
      </c>
      <c r="G107" t="s">
        <v>90</v>
      </c>
      <c r="H107" t="s">
        <v>8</v>
      </c>
      <c r="I107" t="s">
        <v>7</v>
      </c>
      <c r="J107" t="s">
        <v>46</v>
      </c>
      <c r="K107" t="s">
        <v>72</v>
      </c>
      <c r="L107" t="s">
        <v>24</v>
      </c>
      <c r="M107">
        <v>1</v>
      </c>
    </row>
    <row r="108" spans="1:13" x14ac:dyDescent="0.25">
      <c r="A108" s="2">
        <v>46199</v>
      </c>
      <c r="B108" s="1" t="str">
        <f ca="1">IF(Información1[[#This Row],[Fecha]]='Ajuste de fechas'!$A$2,"Día actual","Día anterior")</f>
        <v>Día actual</v>
      </c>
      <c r="C108" t="s">
        <v>69</v>
      </c>
      <c r="D108" t="s">
        <v>70</v>
      </c>
      <c r="E108" t="s">
        <v>238</v>
      </c>
      <c r="F108" t="s">
        <v>61</v>
      </c>
      <c r="G108" t="s">
        <v>239</v>
      </c>
      <c r="H108" t="s">
        <v>8</v>
      </c>
      <c r="I108" t="s">
        <v>14</v>
      </c>
      <c r="J108" t="s">
        <v>44</v>
      </c>
      <c r="K108" t="s">
        <v>60</v>
      </c>
      <c r="L108" t="s">
        <v>25</v>
      </c>
      <c r="M108">
        <v>1</v>
      </c>
    </row>
    <row r="109" spans="1:13" x14ac:dyDescent="0.25">
      <c r="A109" s="2">
        <v>46199</v>
      </c>
      <c r="B109" s="1" t="str">
        <f ca="1">IF(Información1[[#This Row],[Fecha]]='Ajuste de fechas'!$A$2,"Día actual","Día anterior")</f>
        <v>Día actual</v>
      </c>
      <c r="C109" t="s">
        <v>69</v>
      </c>
      <c r="D109" t="s">
        <v>70</v>
      </c>
      <c r="E109" t="s">
        <v>240</v>
      </c>
      <c r="F109" t="s">
        <v>53</v>
      </c>
      <c r="G109" t="s">
        <v>152</v>
      </c>
      <c r="H109" t="s">
        <v>8</v>
      </c>
      <c r="I109" t="s">
        <v>7</v>
      </c>
      <c r="J109" t="s">
        <v>44</v>
      </c>
      <c r="K109" t="s">
        <v>72</v>
      </c>
      <c r="L109" t="s">
        <v>26</v>
      </c>
      <c r="M109">
        <v>1</v>
      </c>
    </row>
    <row r="110" spans="1:13" x14ac:dyDescent="0.25">
      <c r="A110" s="2">
        <v>46199</v>
      </c>
      <c r="B110" s="1" t="str">
        <f ca="1">IF(Información1[[#This Row],[Fecha]]='Ajuste de fechas'!$A$2,"Día actual","Día anterior")</f>
        <v>Día actual</v>
      </c>
      <c r="C110" t="s">
        <v>69</v>
      </c>
      <c r="D110" t="s">
        <v>70</v>
      </c>
      <c r="E110" t="s">
        <v>163</v>
      </c>
      <c r="F110" t="s">
        <v>12</v>
      </c>
      <c r="G110" t="s">
        <v>63</v>
      </c>
      <c r="H110" t="s">
        <v>8</v>
      </c>
      <c r="I110" t="s">
        <v>7</v>
      </c>
      <c r="J110" t="s">
        <v>44</v>
      </c>
      <c r="K110" t="s">
        <v>72</v>
      </c>
      <c r="L110" t="s">
        <v>26</v>
      </c>
      <c r="M110">
        <v>1</v>
      </c>
    </row>
    <row r="111" spans="1:13" x14ac:dyDescent="0.25">
      <c r="A111" s="2">
        <v>46199</v>
      </c>
      <c r="B111" s="1" t="str">
        <f ca="1">IF(Información1[[#This Row],[Fecha]]='Ajuste de fechas'!$A$2,"Día actual","Día anterior")</f>
        <v>Día actual</v>
      </c>
      <c r="C111" t="s">
        <v>40</v>
      </c>
      <c r="D111" t="s">
        <v>41</v>
      </c>
      <c r="E111" t="s">
        <v>241</v>
      </c>
      <c r="F111" t="s">
        <v>9</v>
      </c>
      <c r="G111" t="s">
        <v>242</v>
      </c>
      <c r="H111" t="s">
        <v>8</v>
      </c>
      <c r="I111" t="s">
        <v>7</v>
      </c>
      <c r="J111" t="s">
        <v>44</v>
      </c>
      <c r="K111" t="s">
        <v>42</v>
      </c>
      <c r="L111" t="s">
        <v>26</v>
      </c>
      <c r="M111">
        <v>1</v>
      </c>
    </row>
    <row r="112" spans="1:13" x14ac:dyDescent="0.25">
      <c r="A112" s="2">
        <v>46199</v>
      </c>
      <c r="B112" s="1" t="str">
        <f ca="1">IF(Información1[[#This Row],[Fecha]]='Ajuste de fechas'!$A$2,"Día actual","Día anterior")</f>
        <v>Día actual</v>
      </c>
      <c r="C112" t="s">
        <v>69</v>
      </c>
      <c r="D112" t="s">
        <v>70</v>
      </c>
      <c r="E112" t="s">
        <v>243</v>
      </c>
      <c r="F112" t="s">
        <v>10</v>
      </c>
      <c r="G112" t="s">
        <v>244</v>
      </c>
      <c r="H112" t="s">
        <v>8</v>
      </c>
      <c r="I112" t="s">
        <v>66</v>
      </c>
      <c r="J112" t="s">
        <v>46</v>
      </c>
      <c r="K112" t="s">
        <v>60</v>
      </c>
      <c r="L112" t="s">
        <v>25</v>
      </c>
      <c r="M112">
        <v>1</v>
      </c>
    </row>
    <row r="113" spans="1:13" x14ac:dyDescent="0.25">
      <c r="A113" s="2">
        <v>46199</v>
      </c>
      <c r="B113" s="1" t="str">
        <f ca="1">IF(Información1[[#This Row],[Fecha]]='Ajuste de fechas'!$A$2,"Día actual","Día anterior")</f>
        <v>Día actual</v>
      </c>
      <c r="C113" t="s">
        <v>69</v>
      </c>
      <c r="D113" t="s">
        <v>70</v>
      </c>
      <c r="E113" t="s">
        <v>245</v>
      </c>
      <c r="F113" t="s">
        <v>10</v>
      </c>
      <c r="G113" t="s">
        <v>244</v>
      </c>
      <c r="H113" t="s">
        <v>8</v>
      </c>
      <c r="I113" t="s">
        <v>66</v>
      </c>
      <c r="J113" t="s">
        <v>46</v>
      </c>
      <c r="K113" t="s">
        <v>60</v>
      </c>
      <c r="L113" t="s">
        <v>25</v>
      </c>
      <c r="M113">
        <v>1</v>
      </c>
    </row>
    <row r="114" spans="1:13" x14ac:dyDescent="0.25">
      <c r="A114" s="2">
        <v>46199</v>
      </c>
      <c r="B114" s="1" t="str">
        <f ca="1">IF(Información1[[#This Row],[Fecha]]='Ajuste de fechas'!$A$2,"Día actual","Día anterior")</f>
        <v>Día actual</v>
      </c>
      <c r="C114" t="s">
        <v>69</v>
      </c>
      <c r="D114" t="s">
        <v>70</v>
      </c>
      <c r="E114" t="s">
        <v>73</v>
      </c>
      <c r="F114" t="s">
        <v>10</v>
      </c>
      <c r="G114" t="s">
        <v>74</v>
      </c>
      <c r="H114" t="s">
        <v>8</v>
      </c>
      <c r="I114" t="s">
        <v>7</v>
      </c>
      <c r="J114" t="s">
        <v>46</v>
      </c>
      <c r="K114" t="s">
        <v>72</v>
      </c>
      <c r="L114" t="s">
        <v>25</v>
      </c>
      <c r="M114">
        <v>1</v>
      </c>
    </row>
    <row r="115" spans="1:13" x14ac:dyDescent="0.25">
      <c r="A115" s="2">
        <v>46199</v>
      </c>
      <c r="B115" s="1" t="str">
        <f ca="1">IF(Información1[[#This Row],[Fecha]]='Ajuste de fechas'!$A$2,"Día actual","Día anterior")</f>
        <v>Día actual</v>
      </c>
      <c r="C115" t="s">
        <v>69</v>
      </c>
      <c r="D115" t="s">
        <v>70</v>
      </c>
      <c r="E115" t="s">
        <v>75</v>
      </c>
      <c r="F115" t="s">
        <v>10</v>
      </c>
      <c r="G115" t="s">
        <v>74</v>
      </c>
      <c r="H115" t="s">
        <v>8</v>
      </c>
      <c r="I115" t="s">
        <v>7</v>
      </c>
      <c r="J115" t="s">
        <v>46</v>
      </c>
      <c r="K115" t="s">
        <v>72</v>
      </c>
      <c r="L115" t="s">
        <v>25</v>
      </c>
      <c r="M115">
        <v>1</v>
      </c>
    </row>
    <row r="116" spans="1:13" x14ac:dyDescent="0.25">
      <c r="A116" s="2">
        <v>46199</v>
      </c>
      <c r="B116" s="1" t="str">
        <f ca="1">IF(Información1[[#This Row],[Fecha]]='Ajuste de fechas'!$A$2,"Día actual","Día anterior")</f>
        <v>Día actual</v>
      </c>
      <c r="C116" t="s">
        <v>69</v>
      </c>
      <c r="D116" t="s">
        <v>70</v>
      </c>
      <c r="E116" t="s">
        <v>84</v>
      </c>
      <c r="F116" t="s">
        <v>34</v>
      </c>
      <c r="G116" t="s">
        <v>74</v>
      </c>
      <c r="H116" t="s">
        <v>8</v>
      </c>
      <c r="I116" t="s">
        <v>7</v>
      </c>
      <c r="J116" t="s">
        <v>13</v>
      </c>
      <c r="K116" t="s">
        <v>72</v>
      </c>
      <c r="L116" t="s">
        <v>25</v>
      </c>
      <c r="M116">
        <v>1</v>
      </c>
    </row>
    <row r="117" spans="1:13" x14ac:dyDescent="0.25">
      <c r="A117" s="2">
        <v>46199</v>
      </c>
      <c r="B117" s="1" t="str">
        <f ca="1">IF(Información1[[#This Row],[Fecha]]='Ajuste de fechas'!$A$2,"Día actual","Día anterior")</f>
        <v>Día actual</v>
      </c>
      <c r="C117" t="s">
        <v>69</v>
      </c>
      <c r="D117" t="s">
        <v>70</v>
      </c>
      <c r="E117" t="s">
        <v>76</v>
      </c>
      <c r="F117" t="s">
        <v>49</v>
      </c>
      <c r="G117" t="s">
        <v>74</v>
      </c>
      <c r="H117" t="s">
        <v>8</v>
      </c>
      <c r="I117" t="s">
        <v>7</v>
      </c>
      <c r="J117" t="s">
        <v>44</v>
      </c>
      <c r="K117" t="s">
        <v>72</v>
      </c>
      <c r="L117" t="s">
        <v>25</v>
      </c>
      <c r="M117">
        <v>1</v>
      </c>
    </row>
    <row r="118" spans="1:13" x14ac:dyDescent="0.25">
      <c r="A118" s="2">
        <v>46199</v>
      </c>
      <c r="B118" s="1" t="str">
        <f ca="1">IF(Información1[[#This Row],[Fecha]]='Ajuste de fechas'!$A$2,"Día actual","Día anterior")</f>
        <v>Día actual</v>
      </c>
      <c r="C118" t="s">
        <v>69</v>
      </c>
      <c r="D118" t="s">
        <v>70</v>
      </c>
      <c r="E118" t="s">
        <v>77</v>
      </c>
      <c r="F118" t="s">
        <v>9</v>
      </c>
      <c r="G118" t="s">
        <v>74</v>
      </c>
      <c r="H118" t="s">
        <v>8</v>
      </c>
      <c r="I118" t="s">
        <v>7</v>
      </c>
      <c r="J118" t="s">
        <v>44</v>
      </c>
      <c r="K118" t="s">
        <v>72</v>
      </c>
      <c r="L118" t="s">
        <v>25</v>
      </c>
      <c r="M118">
        <v>1</v>
      </c>
    </row>
    <row r="119" spans="1:13" x14ac:dyDescent="0.25">
      <c r="A119" s="2">
        <v>46199</v>
      </c>
      <c r="B119" s="1" t="str">
        <f ca="1">IF(Información1[[#This Row],[Fecha]]='Ajuste de fechas'!$A$2,"Día actual","Día anterior")</f>
        <v>Día actual</v>
      </c>
      <c r="C119" t="s">
        <v>69</v>
      </c>
      <c r="D119" t="s">
        <v>70</v>
      </c>
      <c r="E119" t="s">
        <v>78</v>
      </c>
      <c r="F119" t="s">
        <v>61</v>
      </c>
      <c r="G119" t="s">
        <v>74</v>
      </c>
      <c r="H119" t="s">
        <v>8</v>
      </c>
      <c r="I119" t="s">
        <v>7</v>
      </c>
      <c r="J119" t="s">
        <v>44</v>
      </c>
      <c r="K119" t="s">
        <v>72</v>
      </c>
      <c r="L119" t="s">
        <v>25</v>
      </c>
      <c r="M119">
        <v>1</v>
      </c>
    </row>
    <row r="120" spans="1:13" x14ac:dyDescent="0.25">
      <c r="A120" s="2">
        <v>46199</v>
      </c>
      <c r="B120" s="1" t="str">
        <f ca="1">IF(Información1[[#This Row],[Fecha]]='Ajuste de fechas'!$A$2,"Día actual","Día anterior")</f>
        <v>Día actual</v>
      </c>
      <c r="C120" t="s">
        <v>69</v>
      </c>
      <c r="D120" t="s">
        <v>70</v>
      </c>
      <c r="E120" t="s">
        <v>79</v>
      </c>
      <c r="F120" t="s">
        <v>6</v>
      </c>
      <c r="G120" t="s">
        <v>74</v>
      </c>
      <c r="H120" t="s">
        <v>8</v>
      </c>
      <c r="I120" t="s">
        <v>7</v>
      </c>
      <c r="J120" t="s">
        <v>44</v>
      </c>
      <c r="K120" t="s">
        <v>72</v>
      </c>
      <c r="L120" t="s">
        <v>25</v>
      </c>
      <c r="M120">
        <v>1</v>
      </c>
    </row>
    <row r="121" spans="1:13" x14ac:dyDescent="0.25">
      <c r="A121" s="2">
        <v>46199</v>
      </c>
      <c r="B121" s="1" t="str">
        <f ca="1">IF(Información1[[#This Row],[Fecha]]='Ajuste de fechas'!$A$2,"Día actual","Día anterior")</f>
        <v>Día actual</v>
      </c>
      <c r="C121" t="s">
        <v>16</v>
      </c>
      <c r="D121" t="s">
        <v>97</v>
      </c>
      <c r="E121" t="s">
        <v>246</v>
      </c>
      <c r="F121" t="s">
        <v>49</v>
      </c>
      <c r="G121" t="s">
        <v>206</v>
      </c>
      <c r="H121" t="s">
        <v>8</v>
      </c>
      <c r="I121" t="s">
        <v>7</v>
      </c>
      <c r="J121" t="s">
        <v>44</v>
      </c>
      <c r="K121" t="s">
        <v>98</v>
      </c>
      <c r="L121" t="s">
        <v>24</v>
      </c>
      <c r="M121">
        <v>1</v>
      </c>
    </row>
    <row r="122" spans="1:13" x14ac:dyDescent="0.25">
      <c r="A122" s="2">
        <v>46199</v>
      </c>
      <c r="B122" s="1" t="str">
        <f ca="1">IF(Información1[[#This Row],[Fecha]]='Ajuste de fechas'!$A$2,"Día actual","Día anterior")</f>
        <v>Día actual</v>
      </c>
      <c r="C122" t="s">
        <v>69</v>
      </c>
      <c r="D122" t="s">
        <v>70</v>
      </c>
      <c r="E122" t="s">
        <v>247</v>
      </c>
      <c r="F122" t="s">
        <v>49</v>
      </c>
      <c r="G122" t="s">
        <v>206</v>
      </c>
      <c r="H122" t="s">
        <v>8</v>
      </c>
      <c r="I122" t="s">
        <v>7</v>
      </c>
      <c r="J122" t="s">
        <v>44</v>
      </c>
      <c r="K122" t="s">
        <v>60</v>
      </c>
      <c r="L122" t="s">
        <v>24</v>
      </c>
      <c r="M122">
        <v>1</v>
      </c>
    </row>
    <row r="123" spans="1:13" x14ac:dyDescent="0.25">
      <c r="A123" s="2">
        <v>46199</v>
      </c>
      <c r="B123" s="1" t="str">
        <f ca="1">IF(Información1[[#This Row],[Fecha]]='Ajuste de fechas'!$A$2,"Día actual","Día anterior")</f>
        <v>Día actual</v>
      </c>
      <c r="C123" t="s">
        <v>69</v>
      </c>
      <c r="D123" t="s">
        <v>70</v>
      </c>
      <c r="E123" t="s">
        <v>248</v>
      </c>
      <c r="F123" t="s">
        <v>6</v>
      </c>
      <c r="G123" t="s">
        <v>249</v>
      </c>
      <c r="H123" t="s">
        <v>8</v>
      </c>
      <c r="I123" t="s">
        <v>14</v>
      </c>
      <c r="J123" t="s">
        <v>44</v>
      </c>
      <c r="K123" t="s">
        <v>60</v>
      </c>
      <c r="L123" t="s">
        <v>25</v>
      </c>
      <c r="M123">
        <v>1</v>
      </c>
    </row>
    <row r="124" spans="1:13" x14ac:dyDescent="0.25">
      <c r="A124" s="2">
        <v>46199</v>
      </c>
      <c r="B124" s="1" t="str">
        <f ca="1">IF(Información1[[#This Row],[Fecha]]='Ajuste de fechas'!$A$2,"Día actual","Día anterior")</f>
        <v>Día actual</v>
      </c>
      <c r="C124" t="s">
        <v>69</v>
      </c>
      <c r="D124" t="s">
        <v>70</v>
      </c>
      <c r="E124" t="s">
        <v>250</v>
      </c>
      <c r="F124" t="s">
        <v>6</v>
      </c>
      <c r="G124" t="s">
        <v>249</v>
      </c>
      <c r="H124" t="s">
        <v>8</v>
      </c>
      <c r="I124" t="s">
        <v>14</v>
      </c>
      <c r="J124" t="s">
        <v>44</v>
      </c>
      <c r="K124" t="s">
        <v>60</v>
      </c>
      <c r="L124" t="s">
        <v>25</v>
      </c>
      <c r="M124">
        <v>1</v>
      </c>
    </row>
    <row r="125" spans="1:13" x14ac:dyDescent="0.25">
      <c r="A125" s="2">
        <v>46198</v>
      </c>
      <c r="B125" s="1" t="str">
        <f ca="1">IF(Información1[[#This Row],[Fecha]]='Ajuste de fechas'!$A$2,"Día actual","Día anterior")</f>
        <v>Día anterior</v>
      </c>
      <c r="C125" t="s">
        <v>251</v>
      </c>
      <c r="D125" t="s">
        <v>252</v>
      </c>
      <c r="E125" t="s">
        <v>163</v>
      </c>
      <c r="F125" t="s">
        <v>12</v>
      </c>
      <c r="G125" t="s">
        <v>63</v>
      </c>
      <c r="H125" t="s">
        <v>50</v>
      </c>
      <c r="I125" t="s">
        <v>7</v>
      </c>
      <c r="J125" t="s">
        <v>44</v>
      </c>
      <c r="K125" t="s">
        <v>30</v>
      </c>
      <c r="L125" t="s">
        <v>26</v>
      </c>
      <c r="M125">
        <v>1</v>
      </c>
    </row>
    <row r="126" spans="1:13" x14ac:dyDescent="0.25">
      <c r="A126" s="2">
        <v>46198</v>
      </c>
      <c r="B126" s="1" t="str">
        <f ca="1">IF(Información1[[#This Row],[Fecha]]='Ajuste de fechas'!$A$2,"Día actual","Día anterior")</f>
        <v>Día anterior</v>
      </c>
      <c r="C126" t="s">
        <v>251</v>
      </c>
      <c r="D126" t="s">
        <v>252</v>
      </c>
      <c r="E126" t="s">
        <v>201</v>
      </c>
      <c r="F126" t="s">
        <v>47</v>
      </c>
      <c r="G126" t="s">
        <v>48</v>
      </c>
      <c r="H126" t="s">
        <v>50</v>
      </c>
      <c r="I126" t="s">
        <v>7</v>
      </c>
      <c r="J126" t="s">
        <v>44</v>
      </c>
      <c r="K126" t="s">
        <v>30</v>
      </c>
      <c r="L126" t="s">
        <v>26</v>
      </c>
      <c r="M126">
        <v>1</v>
      </c>
    </row>
    <row r="127" spans="1:13" x14ac:dyDescent="0.25">
      <c r="A127" s="2">
        <v>46198</v>
      </c>
      <c r="B127" s="1" t="str">
        <f ca="1">IF(Información1[[#This Row],[Fecha]]='Ajuste de fechas'!$A$2,"Día actual","Día anterior")</f>
        <v>Día anterior</v>
      </c>
      <c r="C127" t="s">
        <v>251</v>
      </c>
      <c r="D127" t="s">
        <v>252</v>
      </c>
      <c r="E127" t="s">
        <v>161</v>
      </c>
      <c r="F127" t="s">
        <v>17</v>
      </c>
      <c r="G127" t="s">
        <v>125</v>
      </c>
      <c r="H127" t="s">
        <v>50</v>
      </c>
      <c r="I127" t="s">
        <v>7</v>
      </c>
      <c r="J127" t="s">
        <v>44</v>
      </c>
      <c r="K127" t="s">
        <v>30</v>
      </c>
      <c r="L127" t="s">
        <v>26</v>
      </c>
      <c r="M127">
        <v>1</v>
      </c>
    </row>
    <row r="128" spans="1:13" x14ac:dyDescent="0.25">
      <c r="A128" s="2">
        <v>46198</v>
      </c>
      <c r="B128" s="1" t="str">
        <f ca="1">IF(Información1[[#This Row],[Fecha]]='Ajuste de fechas'!$A$2,"Día actual","Día anterior")</f>
        <v>Día anterior</v>
      </c>
      <c r="C128" t="s">
        <v>251</v>
      </c>
      <c r="D128" t="s">
        <v>252</v>
      </c>
      <c r="E128" t="s">
        <v>190</v>
      </c>
      <c r="F128" t="s">
        <v>65</v>
      </c>
      <c r="G128" t="s">
        <v>191</v>
      </c>
      <c r="H128" t="s">
        <v>50</v>
      </c>
      <c r="I128" t="s">
        <v>7</v>
      </c>
      <c r="J128" t="s">
        <v>44</v>
      </c>
      <c r="K128" t="s">
        <v>30</v>
      </c>
      <c r="L128" t="s">
        <v>26</v>
      </c>
      <c r="M128">
        <v>1</v>
      </c>
    </row>
    <row r="129" spans="1:13" x14ac:dyDescent="0.25">
      <c r="A129" s="2">
        <v>46198</v>
      </c>
      <c r="B129" s="1" t="str">
        <f ca="1">IF(Información1[[#This Row],[Fecha]]='Ajuste de fechas'!$A$2,"Día actual","Día anterior")</f>
        <v>Día anterior</v>
      </c>
      <c r="C129" t="s">
        <v>251</v>
      </c>
      <c r="D129" t="s">
        <v>252</v>
      </c>
      <c r="E129" t="s">
        <v>197</v>
      </c>
      <c r="F129" t="s">
        <v>107</v>
      </c>
      <c r="G129" t="s">
        <v>198</v>
      </c>
      <c r="H129" t="s">
        <v>50</v>
      </c>
      <c r="I129" t="s">
        <v>7</v>
      </c>
      <c r="J129" t="s">
        <v>44</v>
      </c>
      <c r="K129" t="s">
        <v>30</v>
      </c>
      <c r="L129" t="s">
        <v>26</v>
      </c>
      <c r="M129">
        <v>1</v>
      </c>
    </row>
    <row r="130" spans="1:13" x14ac:dyDescent="0.25">
      <c r="A130" s="2">
        <v>46198</v>
      </c>
      <c r="B130" s="1" t="str">
        <f ca="1">IF(Información1[[#This Row],[Fecha]]='Ajuste de fechas'!$A$2,"Día actual","Día anterior")</f>
        <v>Día anterior</v>
      </c>
      <c r="C130" t="s">
        <v>251</v>
      </c>
      <c r="D130" t="s">
        <v>252</v>
      </c>
      <c r="E130" t="s">
        <v>253</v>
      </c>
      <c r="F130" t="s">
        <v>159</v>
      </c>
      <c r="G130" t="s">
        <v>217</v>
      </c>
      <c r="H130" t="s">
        <v>50</v>
      </c>
      <c r="I130" t="s">
        <v>7</v>
      </c>
      <c r="J130" t="s">
        <v>44</v>
      </c>
      <c r="K130" t="s">
        <v>30</v>
      </c>
      <c r="L130" t="s">
        <v>26</v>
      </c>
      <c r="M130">
        <v>1</v>
      </c>
    </row>
    <row r="131" spans="1:13" x14ac:dyDescent="0.25">
      <c r="A131" s="2">
        <v>46198</v>
      </c>
      <c r="B131" s="1" t="str">
        <f ca="1">IF(Información1[[#This Row],[Fecha]]='Ajuste de fechas'!$A$2,"Día actual","Día anterior")</f>
        <v>Día anterior</v>
      </c>
      <c r="C131" t="s">
        <v>251</v>
      </c>
      <c r="D131" t="s">
        <v>252</v>
      </c>
      <c r="E131" t="s">
        <v>254</v>
      </c>
      <c r="F131" t="s">
        <v>11</v>
      </c>
      <c r="G131" t="s">
        <v>118</v>
      </c>
      <c r="H131" t="s">
        <v>50</v>
      </c>
      <c r="I131" t="s">
        <v>7</v>
      </c>
      <c r="J131" t="s">
        <v>45</v>
      </c>
      <c r="K131" t="s">
        <v>255</v>
      </c>
      <c r="L131" t="s">
        <v>24</v>
      </c>
      <c r="M131">
        <v>1</v>
      </c>
    </row>
    <row r="132" spans="1:13" x14ac:dyDescent="0.25">
      <c r="A132" s="2">
        <v>46198</v>
      </c>
      <c r="B132" s="1" t="str">
        <f ca="1">IF(Información1[[#This Row],[Fecha]]='Ajuste de fechas'!$A$2,"Día actual","Día anterior")</f>
        <v>Día anterior</v>
      </c>
      <c r="C132" t="s">
        <v>251</v>
      </c>
      <c r="D132" t="s">
        <v>252</v>
      </c>
      <c r="E132" t="s">
        <v>256</v>
      </c>
      <c r="F132" t="s">
        <v>122</v>
      </c>
      <c r="G132" t="s">
        <v>123</v>
      </c>
      <c r="H132" t="s">
        <v>50</v>
      </c>
      <c r="I132" t="s">
        <v>7</v>
      </c>
      <c r="J132" t="s">
        <v>44</v>
      </c>
      <c r="K132" t="s">
        <v>30</v>
      </c>
      <c r="L132" t="s">
        <v>26</v>
      </c>
      <c r="M132">
        <v>1</v>
      </c>
    </row>
    <row r="133" spans="1:13" x14ac:dyDescent="0.25">
      <c r="A133" s="2">
        <v>46198</v>
      </c>
      <c r="B133" s="1" t="str">
        <f ca="1">IF(Información1[[#This Row],[Fecha]]='Ajuste de fechas'!$A$2,"Día actual","Día anterior")</f>
        <v>Día anterior</v>
      </c>
      <c r="C133" t="s">
        <v>251</v>
      </c>
      <c r="D133" t="s">
        <v>252</v>
      </c>
      <c r="E133" t="s">
        <v>257</v>
      </c>
      <c r="F133" t="s">
        <v>122</v>
      </c>
      <c r="G133" t="s">
        <v>258</v>
      </c>
      <c r="H133" t="s">
        <v>50</v>
      </c>
      <c r="I133" t="s">
        <v>7</v>
      </c>
      <c r="J133" t="s">
        <v>44</v>
      </c>
      <c r="K133" t="s">
        <v>30</v>
      </c>
      <c r="L133" t="s">
        <v>26</v>
      </c>
      <c r="M133">
        <v>1</v>
      </c>
    </row>
    <row r="134" spans="1:13" x14ac:dyDescent="0.25">
      <c r="A134" s="2">
        <v>46198</v>
      </c>
      <c r="B134" s="1" t="str">
        <f ca="1">IF(Información1[[#This Row],[Fecha]]='Ajuste de fechas'!$A$2,"Día actual","Día anterior")</f>
        <v>Día anterior</v>
      </c>
      <c r="C134" t="s">
        <v>251</v>
      </c>
      <c r="D134" t="s">
        <v>252</v>
      </c>
      <c r="E134" t="s">
        <v>199</v>
      </c>
      <c r="F134" t="s">
        <v>92</v>
      </c>
      <c r="G134" t="s">
        <v>259</v>
      </c>
      <c r="H134" t="s">
        <v>50</v>
      </c>
      <c r="I134" t="s">
        <v>7</v>
      </c>
      <c r="J134" t="s">
        <v>44</v>
      </c>
      <c r="K134" t="s">
        <v>30</v>
      </c>
      <c r="L134" t="s">
        <v>26</v>
      </c>
      <c r="M134">
        <v>1</v>
      </c>
    </row>
    <row r="135" spans="1:13" x14ac:dyDescent="0.25">
      <c r="A135" s="2">
        <v>46198</v>
      </c>
      <c r="B135" s="1" t="str">
        <f ca="1">IF(Información1[[#This Row],[Fecha]]='Ajuste de fechas'!$A$2,"Día actual","Día anterior")</f>
        <v>Día anterior</v>
      </c>
      <c r="C135" t="s">
        <v>251</v>
      </c>
      <c r="D135" t="s">
        <v>252</v>
      </c>
      <c r="E135" t="s">
        <v>260</v>
      </c>
      <c r="F135" t="s">
        <v>15</v>
      </c>
      <c r="G135" t="s">
        <v>261</v>
      </c>
      <c r="H135" t="s">
        <v>50</v>
      </c>
      <c r="I135" t="s">
        <v>7</v>
      </c>
      <c r="J135" t="s">
        <v>44</v>
      </c>
      <c r="K135" t="s">
        <v>30</v>
      </c>
      <c r="L135" t="s">
        <v>24</v>
      </c>
      <c r="M135">
        <v>1</v>
      </c>
    </row>
    <row r="136" spans="1:13" x14ac:dyDescent="0.25">
      <c r="A136" s="2">
        <v>46198</v>
      </c>
      <c r="B136" s="1" t="str">
        <f ca="1">IF(Información1[[#This Row],[Fecha]]='Ajuste de fechas'!$A$2,"Día actual","Día anterior")</f>
        <v>Día anterior</v>
      </c>
      <c r="C136" t="s">
        <v>251</v>
      </c>
      <c r="D136" t="s">
        <v>252</v>
      </c>
      <c r="E136" t="s">
        <v>262</v>
      </c>
      <c r="F136" t="s">
        <v>15</v>
      </c>
      <c r="G136" t="s">
        <v>196</v>
      </c>
      <c r="H136" t="s">
        <v>50</v>
      </c>
      <c r="I136" t="s">
        <v>7</v>
      </c>
      <c r="J136" t="s">
        <v>44</v>
      </c>
      <c r="K136" t="s">
        <v>30</v>
      </c>
      <c r="L136" t="s">
        <v>24</v>
      </c>
      <c r="M136">
        <v>1</v>
      </c>
    </row>
    <row r="137" spans="1:13" x14ac:dyDescent="0.25">
      <c r="A137" s="2">
        <v>46199</v>
      </c>
      <c r="B137" s="1" t="str">
        <f ca="1">IF(Información1[[#This Row],[Fecha]]='Ajuste de fechas'!$A$2,"Día actual","Día anterior")</f>
        <v>Día actual</v>
      </c>
      <c r="C137" t="s">
        <v>51</v>
      </c>
      <c r="D137" t="s">
        <v>52</v>
      </c>
      <c r="E137" t="s">
        <v>263</v>
      </c>
      <c r="F137" t="s">
        <v>10</v>
      </c>
      <c r="G137" t="s">
        <v>90</v>
      </c>
      <c r="H137" t="s">
        <v>50</v>
      </c>
      <c r="I137" t="s">
        <v>7</v>
      </c>
      <c r="J137" t="s">
        <v>46</v>
      </c>
      <c r="K137" t="s">
        <v>85</v>
      </c>
      <c r="L137" t="s">
        <v>24</v>
      </c>
      <c r="M137">
        <v>1</v>
      </c>
    </row>
    <row r="138" spans="1:13" x14ac:dyDescent="0.25">
      <c r="A138" s="2">
        <v>46199</v>
      </c>
      <c r="B138" s="1" t="str">
        <f ca="1">IF(Información1[[#This Row],[Fecha]]='Ajuste de fechas'!$A$2,"Día actual","Día anterior")</f>
        <v>Día actual</v>
      </c>
      <c r="C138" t="s">
        <v>51</v>
      </c>
      <c r="D138" t="s">
        <v>52</v>
      </c>
      <c r="E138" t="s">
        <v>264</v>
      </c>
      <c r="F138" t="s">
        <v>15</v>
      </c>
      <c r="G138" t="s">
        <v>196</v>
      </c>
      <c r="H138" t="s">
        <v>50</v>
      </c>
      <c r="I138" t="s">
        <v>7</v>
      </c>
      <c r="J138" t="s">
        <v>44</v>
      </c>
      <c r="K138" t="s">
        <v>85</v>
      </c>
      <c r="L138" t="s">
        <v>26</v>
      </c>
      <c r="M138">
        <v>1</v>
      </c>
    </row>
    <row r="139" spans="1:13" x14ac:dyDescent="0.25">
      <c r="A139" s="2">
        <v>46199</v>
      </c>
      <c r="B139" s="1" t="str">
        <f ca="1">IF(Información1[[#This Row],[Fecha]]='Ajuste de fechas'!$A$2,"Día actual","Día anterior")</f>
        <v>Día actual</v>
      </c>
      <c r="C139" t="s">
        <v>51</v>
      </c>
      <c r="D139" t="s">
        <v>52</v>
      </c>
      <c r="E139" t="s">
        <v>265</v>
      </c>
      <c r="F139" t="s">
        <v>10</v>
      </c>
      <c r="G139" t="s">
        <v>94</v>
      </c>
      <c r="H139" t="s">
        <v>50</v>
      </c>
      <c r="I139" t="s">
        <v>7</v>
      </c>
      <c r="J139" t="s">
        <v>46</v>
      </c>
      <c r="K139" t="s">
        <v>85</v>
      </c>
      <c r="L139" t="s">
        <v>24</v>
      </c>
      <c r="M139">
        <v>1</v>
      </c>
    </row>
    <row r="140" spans="1:13" x14ac:dyDescent="0.25">
      <c r="A140" s="2">
        <v>46199</v>
      </c>
      <c r="B140" s="1" t="str">
        <f ca="1">IF(Información1[[#This Row],[Fecha]]='Ajuste de fechas'!$A$2,"Día actual","Día anterior")</f>
        <v>Día actual</v>
      </c>
      <c r="C140" t="s">
        <v>51</v>
      </c>
      <c r="D140" t="s">
        <v>52</v>
      </c>
      <c r="E140" t="s">
        <v>266</v>
      </c>
      <c r="F140" t="s">
        <v>53</v>
      </c>
      <c r="G140" t="s">
        <v>267</v>
      </c>
      <c r="H140" t="s">
        <v>50</v>
      </c>
      <c r="I140" t="s">
        <v>7</v>
      </c>
      <c r="J140" t="s">
        <v>44</v>
      </c>
      <c r="K140" t="s">
        <v>85</v>
      </c>
      <c r="L140" t="s">
        <v>24</v>
      </c>
      <c r="M140">
        <v>1</v>
      </c>
    </row>
    <row r="141" spans="1:13" x14ac:dyDescent="0.25">
      <c r="A141" s="2">
        <v>46199</v>
      </c>
      <c r="B141" s="1" t="str">
        <f ca="1">IF(Información1[[#This Row],[Fecha]]='Ajuste de fechas'!$A$2,"Día actual","Día anterior")</f>
        <v>Día actual</v>
      </c>
      <c r="C141" t="s">
        <v>51</v>
      </c>
      <c r="D141" t="s">
        <v>52</v>
      </c>
      <c r="E141" t="s">
        <v>215</v>
      </c>
      <c r="F141" t="s">
        <v>12</v>
      </c>
      <c r="G141" t="s">
        <v>216</v>
      </c>
      <c r="H141" t="s">
        <v>50</v>
      </c>
      <c r="I141" t="s">
        <v>7</v>
      </c>
      <c r="J141" t="s">
        <v>44</v>
      </c>
      <c r="K141" t="s">
        <v>85</v>
      </c>
      <c r="L141" t="s">
        <v>26</v>
      </c>
      <c r="M141">
        <v>1</v>
      </c>
    </row>
    <row r="142" spans="1:13" x14ac:dyDescent="0.25">
      <c r="A142" s="2">
        <v>46199</v>
      </c>
      <c r="B142" s="1" t="str">
        <f ca="1">IF(Información1[[#This Row],[Fecha]]='Ajuste de fechas'!$A$2,"Día actual","Día anterior")</f>
        <v>Día actual</v>
      </c>
      <c r="C142" t="s">
        <v>51</v>
      </c>
      <c r="D142" t="s">
        <v>52</v>
      </c>
      <c r="E142" t="s">
        <v>240</v>
      </c>
      <c r="F142" t="s">
        <v>53</v>
      </c>
      <c r="G142" t="s">
        <v>152</v>
      </c>
      <c r="H142" t="s">
        <v>50</v>
      </c>
      <c r="I142" t="s">
        <v>7</v>
      </c>
      <c r="J142" t="s">
        <v>44</v>
      </c>
      <c r="K142" t="s">
        <v>85</v>
      </c>
      <c r="L142" t="s">
        <v>26</v>
      </c>
      <c r="M142">
        <v>1</v>
      </c>
    </row>
    <row r="143" spans="1:13" x14ac:dyDescent="0.25">
      <c r="A143" s="2">
        <v>46199</v>
      </c>
      <c r="B143" s="1" t="str">
        <f ca="1">IF(Información1[[#This Row],[Fecha]]='Ajuste de fechas'!$A$2,"Día actual","Día anterior")</f>
        <v>Día actual</v>
      </c>
      <c r="C143" t="s">
        <v>51</v>
      </c>
      <c r="D143" t="s">
        <v>52</v>
      </c>
      <c r="E143" t="s">
        <v>268</v>
      </c>
      <c r="F143" t="s">
        <v>12</v>
      </c>
      <c r="G143" t="s">
        <v>58</v>
      </c>
      <c r="H143" t="s">
        <v>50</v>
      </c>
      <c r="I143" t="s">
        <v>7</v>
      </c>
      <c r="J143" t="s">
        <v>44</v>
      </c>
      <c r="K143" t="s">
        <v>85</v>
      </c>
      <c r="L143" t="s">
        <v>24</v>
      </c>
      <c r="M143">
        <v>1</v>
      </c>
    </row>
    <row r="144" spans="1:13" x14ac:dyDescent="0.25">
      <c r="A144" s="2">
        <v>46199</v>
      </c>
      <c r="B144" s="1" t="str">
        <f ca="1">IF(Información1[[#This Row],[Fecha]]='Ajuste de fechas'!$A$2,"Día actual","Día anterior")</f>
        <v>Día actual</v>
      </c>
      <c r="C144" t="s">
        <v>51</v>
      </c>
      <c r="D144" t="s">
        <v>52</v>
      </c>
      <c r="E144" t="s">
        <v>269</v>
      </c>
      <c r="F144" t="s">
        <v>10</v>
      </c>
      <c r="G144" t="s">
        <v>270</v>
      </c>
      <c r="H144" t="s">
        <v>50</v>
      </c>
      <c r="I144" t="s">
        <v>7</v>
      </c>
      <c r="J144" t="s">
        <v>46</v>
      </c>
      <c r="K144" t="s">
        <v>85</v>
      </c>
      <c r="L144" t="s">
        <v>24</v>
      </c>
      <c r="M144">
        <v>1</v>
      </c>
    </row>
    <row r="145" spans="1:13" x14ac:dyDescent="0.25">
      <c r="A145" s="2">
        <v>46199</v>
      </c>
      <c r="B145" s="1" t="str">
        <f ca="1">IF(Información1[[#This Row],[Fecha]]='Ajuste de fechas'!$A$2,"Día actual","Día anterior")</f>
        <v>Día actual</v>
      </c>
      <c r="C145" t="s">
        <v>51</v>
      </c>
      <c r="D145" t="s">
        <v>52</v>
      </c>
      <c r="E145" t="s">
        <v>271</v>
      </c>
      <c r="F145" t="s">
        <v>10</v>
      </c>
      <c r="G145" t="s">
        <v>272</v>
      </c>
      <c r="H145" t="s">
        <v>50</v>
      </c>
      <c r="I145" t="s">
        <v>7</v>
      </c>
      <c r="J145" t="s">
        <v>46</v>
      </c>
      <c r="K145" t="s">
        <v>85</v>
      </c>
      <c r="L145" t="s">
        <v>24</v>
      </c>
      <c r="M145">
        <v>1</v>
      </c>
    </row>
    <row r="146" spans="1:13" x14ac:dyDescent="0.25">
      <c r="A146" s="2">
        <v>46199</v>
      </c>
      <c r="B146" s="1" t="str">
        <f ca="1">IF(Información1[[#This Row],[Fecha]]='Ajuste de fechas'!$A$2,"Día actual","Día anterior")</f>
        <v>Día actual</v>
      </c>
      <c r="C146" t="s">
        <v>51</v>
      </c>
      <c r="D146" t="s">
        <v>52</v>
      </c>
      <c r="E146" t="s">
        <v>273</v>
      </c>
      <c r="F146" t="s">
        <v>34</v>
      </c>
      <c r="G146" t="s">
        <v>62</v>
      </c>
      <c r="H146" t="s">
        <v>50</v>
      </c>
      <c r="I146" t="s">
        <v>7</v>
      </c>
      <c r="J146" t="s">
        <v>13</v>
      </c>
      <c r="K146" t="s">
        <v>85</v>
      </c>
      <c r="L146" t="s">
        <v>24</v>
      </c>
      <c r="M146">
        <v>1</v>
      </c>
    </row>
    <row r="147" spans="1:13" x14ac:dyDescent="0.25">
      <c r="A147" s="2">
        <v>46199</v>
      </c>
      <c r="B147" s="1" t="str">
        <f ca="1">IF(Información1[[#This Row],[Fecha]]='Ajuste de fechas'!$A$2,"Día actual","Día anterior")</f>
        <v>Día actual</v>
      </c>
      <c r="C147" t="s">
        <v>51</v>
      </c>
      <c r="D147" t="s">
        <v>52</v>
      </c>
      <c r="E147" t="s">
        <v>274</v>
      </c>
      <c r="F147" t="s">
        <v>275</v>
      </c>
      <c r="G147" t="s">
        <v>276</v>
      </c>
      <c r="H147" t="s">
        <v>50</v>
      </c>
      <c r="I147" t="s">
        <v>7</v>
      </c>
      <c r="J147" t="s">
        <v>277</v>
      </c>
      <c r="K147" t="s">
        <v>85</v>
      </c>
      <c r="L147" t="s">
        <v>24</v>
      </c>
      <c r="M147">
        <v>1</v>
      </c>
    </row>
    <row r="148" spans="1:13" x14ac:dyDescent="0.25">
      <c r="A148" s="2">
        <v>46199</v>
      </c>
      <c r="B148" s="1" t="str">
        <f ca="1">IF(Información1[[#This Row],[Fecha]]='Ajuste de fechas'!$A$2,"Día actual","Día anterior")</f>
        <v>Día actual</v>
      </c>
      <c r="C148" t="s">
        <v>51</v>
      </c>
      <c r="D148" t="s">
        <v>52</v>
      </c>
      <c r="E148" t="s">
        <v>278</v>
      </c>
      <c r="F148" t="s">
        <v>34</v>
      </c>
      <c r="G148" t="s">
        <v>279</v>
      </c>
      <c r="H148" t="s">
        <v>50</v>
      </c>
      <c r="I148" t="s">
        <v>14</v>
      </c>
      <c r="J148" t="s">
        <v>13</v>
      </c>
      <c r="K148" t="s">
        <v>85</v>
      </c>
      <c r="L148" t="s">
        <v>24</v>
      </c>
      <c r="M148">
        <v>1</v>
      </c>
    </row>
    <row r="149" spans="1:13" x14ac:dyDescent="0.25">
      <c r="A149" s="2">
        <v>46199</v>
      </c>
      <c r="B149" s="1" t="str">
        <f ca="1">IF(Información1[[#This Row],[Fecha]]='Ajuste de fechas'!$A$2,"Día actual","Día anterior")</f>
        <v>Día actual</v>
      </c>
      <c r="C149" t="s">
        <v>51</v>
      </c>
      <c r="D149" t="s">
        <v>52</v>
      </c>
      <c r="E149" t="s">
        <v>280</v>
      </c>
      <c r="F149" t="s">
        <v>34</v>
      </c>
      <c r="G149" t="s">
        <v>91</v>
      </c>
      <c r="H149" t="s">
        <v>50</v>
      </c>
      <c r="I149" t="s">
        <v>7</v>
      </c>
      <c r="J149" t="s">
        <v>13</v>
      </c>
      <c r="K149" t="s">
        <v>85</v>
      </c>
      <c r="L149" t="s">
        <v>24</v>
      </c>
      <c r="M149">
        <v>1</v>
      </c>
    </row>
    <row r="150" spans="1:13" x14ac:dyDescent="0.25">
      <c r="A150" s="2">
        <v>46199</v>
      </c>
      <c r="B150" s="1" t="str">
        <f ca="1">IF(Información1[[#This Row],[Fecha]]='Ajuste de fechas'!$A$2,"Día actual","Día anterior")</f>
        <v>Día actual</v>
      </c>
      <c r="C150" t="s">
        <v>51</v>
      </c>
      <c r="D150" t="s">
        <v>52</v>
      </c>
      <c r="E150" t="s">
        <v>281</v>
      </c>
      <c r="F150" t="s">
        <v>11</v>
      </c>
      <c r="G150" t="s">
        <v>282</v>
      </c>
      <c r="H150" t="s">
        <v>50</v>
      </c>
      <c r="I150" t="s">
        <v>7</v>
      </c>
      <c r="J150" t="s">
        <v>45</v>
      </c>
      <c r="K150" t="s">
        <v>85</v>
      </c>
      <c r="L150" t="s">
        <v>24</v>
      </c>
      <c r="M150">
        <v>1</v>
      </c>
    </row>
    <row r="151" spans="1:13" x14ac:dyDescent="0.25">
      <c r="A151" s="2">
        <v>46199</v>
      </c>
      <c r="B151" s="1" t="str">
        <f ca="1">IF(Información1[[#This Row],[Fecha]]='Ajuste de fechas'!$A$2,"Día actual","Día anterior")</f>
        <v>Día actual</v>
      </c>
      <c r="C151" t="s">
        <v>51</v>
      </c>
      <c r="D151" t="s">
        <v>52</v>
      </c>
      <c r="E151" t="s">
        <v>283</v>
      </c>
      <c r="F151" t="s">
        <v>10</v>
      </c>
      <c r="G151" t="s">
        <v>284</v>
      </c>
      <c r="H151" t="s">
        <v>50</v>
      </c>
      <c r="I151" t="s">
        <v>7</v>
      </c>
      <c r="J151" t="s">
        <v>46</v>
      </c>
      <c r="K151" t="s">
        <v>85</v>
      </c>
      <c r="L151" t="s">
        <v>24</v>
      </c>
      <c r="M151">
        <v>1</v>
      </c>
    </row>
    <row r="152" spans="1:13" x14ac:dyDescent="0.25">
      <c r="A152" s="2">
        <v>46199</v>
      </c>
      <c r="B152" s="1" t="str">
        <f ca="1">IF(Información1[[#This Row],[Fecha]]='Ajuste de fechas'!$A$2,"Día actual","Día anterior")</f>
        <v>Día actual</v>
      </c>
      <c r="C152" t="s">
        <v>51</v>
      </c>
      <c r="D152" t="s">
        <v>52</v>
      </c>
      <c r="E152" t="s">
        <v>285</v>
      </c>
      <c r="F152" t="s">
        <v>10</v>
      </c>
      <c r="G152" t="s">
        <v>43</v>
      </c>
      <c r="H152" t="s">
        <v>50</v>
      </c>
      <c r="I152" t="s">
        <v>7</v>
      </c>
      <c r="J152" t="s">
        <v>46</v>
      </c>
      <c r="K152" t="s">
        <v>85</v>
      </c>
      <c r="L152" t="s">
        <v>24</v>
      </c>
      <c r="M152">
        <v>1</v>
      </c>
    </row>
    <row r="153" spans="1:13" x14ac:dyDescent="0.25">
      <c r="A153" s="2">
        <v>46199</v>
      </c>
      <c r="B153" s="1" t="str">
        <f ca="1">IF(Información1[[#This Row],[Fecha]]='Ajuste de fechas'!$A$2,"Día actual","Día anterior")</f>
        <v>Día actual</v>
      </c>
      <c r="C153" t="s">
        <v>51</v>
      </c>
      <c r="D153" t="s">
        <v>52</v>
      </c>
      <c r="E153" t="s">
        <v>54</v>
      </c>
      <c r="F153" t="s">
        <v>10</v>
      </c>
      <c r="G153" t="s">
        <v>58</v>
      </c>
      <c r="H153" t="s">
        <v>50</v>
      </c>
      <c r="I153" t="s">
        <v>7</v>
      </c>
      <c r="J153" t="s">
        <v>46</v>
      </c>
      <c r="K153" t="s">
        <v>85</v>
      </c>
      <c r="L153" t="s">
        <v>24</v>
      </c>
      <c r="M153">
        <v>1</v>
      </c>
    </row>
    <row r="154" spans="1:13" x14ac:dyDescent="0.25">
      <c r="A154" s="2">
        <v>46199</v>
      </c>
      <c r="B154" s="1" t="str">
        <f ca="1">IF(Información1[[#This Row],[Fecha]]='Ajuste de fechas'!$A$2,"Día actual","Día anterior")</f>
        <v>Día actual</v>
      </c>
      <c r="C154" t="s">
        <v>51</v>
      </c>
      <c r="D154" t="s">
        <v>52</v>
      </c>
      <c r="E154" t="s">
        <v>286</v>
      </c>
      <c r="F154" t="s">
        <v>11</v>
      </c>
      <c r="G154" t="s">
        <v>133</v>
      </c>
      <c r="H154" t="s">
        <v>50</v>
      </c>
      <c r="I154" t="s">
        <v>7</v>
      </c>
      <c r="J154" t="s">
        <v>45</v>
      </c>
      <c r="K154" t="s">
        <v>85</v>
      </c>
      <c r="L154" t="s">
        <v>24</v>
      </c>
      <c r="M154">
        <v>1</v>
      </c>
    </row>
    <row r="155" spans="1:13" x14ac:dyDescent="0.25">
      <c r="A155" s="2">
        <v>46199</v>
      </c>
      <c r="B155" s="1" t="str">
        <f ca="1">IF(Información1[[#This Row],[Fecha]]='Ajuste de fechas'!$A$2,"Día actual","Día anterior")</f>
        <v>Día actual</v>
      </c>
      <c r="C155" t="s">
        <v>51</v>
      </c>
      <c r="D155" t="s">
        <v>52</v>
      </c>
      <c r="E155" t="s">
        <v>287</v>
      </c>
      <c r="F155" t="s">
        <v>288</v>
      </c>
      <c r="G155" t="s">
        <v>289</v>
      </c>
      <c r="H155" t="s">
        <v>50</v>
      </c>
      <c r="I155" t="s">
        <v>7</v>
      </c>
      <c r="J155" t="s">
        <v>13</v>
      </c>
      <c r="K155" t="s">
        <v>85</v>
      </c>
      <c r="L155" t="s">
        <v>24</v>
      </c>
      <c r="M155">
        <v>1</v>
      </c>
    </row>
    <row r="156" spans="1:13" x14ac:dyDescent="0.25">
      <c r="A156" s="2">
        <v>46199</v>
      </c>
      <c r="B156" s="1" t="str">
        <f ca="1">IF(Información1[[#This Row],[Fecha]]='Ajuste de fechas'!$A$2,"Día actual","Día anterior")</f>
        <v>Día actual</v>
      </c>
      <c r="C156" t="s">
        <v>51</v>
      </c>
      <c r="D156" t="s">
        <v>52</v>
      </c>
      <c r="E156" t="s">
        <v>290</v>
      </c>
      <c r="F156" t="s">
        <v>10</v>
      </c>
      <c r="G156" t="s">
        <v>291</v>
      </c>
      <c r="H156" t="s">
        <v>50</v>
      </c>
      <c r="I156" t="s">
        <v>7</v>
      </c>
      <c r="J156" t="s">
        <v>46</v>
      </c>
      <c r="K156" t="s">
        <v>85</v>
      </c>
      <c r="L156" t="s">
        <v>24</v>
      </c>
      <c r="M156">
        <v>1</v>
      </c>
    </row>
    <row r="157" spans="1:13" x14ac:dyDescent="0.25">
      <c r="A157" s="2">
        <v>46199</v>
      </c>
      <c r="B157" s="1" t="str">
        <f ca="1">IF(Información1[[#This Row],[Fecha]]='Ajuste de fechas'!$A$2,"Día actual","Día anterior")</f>
        <v>Día actual</v>
      </c>
      <c r="C157" t="s">
        <v>55</v>
      </c>
      <c r="D157" t="s">
        <v>56</v>
      </c>
      <c r="E157" t="s">
        <v>292</v>
      </c>
      <c r="F157" t="s">
        <v>15</v>
      </c>
      <c r="G157" t="s">
        <v>196</v>
      </c>
      <c r="H157" t="s">
        <v>50</v>
      </c>
      <c r="I157" t="s">
        <v>7</v>
      </c>
      <c r="J157" t="s">
        <v>44</v>
      </c>
      <c r="K157" t="s">
        <v>57</v>
      </c>
      <c r="L157" t="s">
        <v>24</v>
      </c>
      <c r="M157">
        <v>1</v>
      </c>
    </row>
    <row r="158" spans="1:13" x14ac:dyDescent="0.25">
      <c r="A158" s="2">
        <v>46199</v>
      </c>
      <c r="B158" s="1" t="str">
        <f ca="1">IF(Información1[[#This Row],[Fecha]]='Ajuste de fechas'!$A$2,"Día actual","Día anterior")</f>
        <v>Día actual</v>
      </c>
      <c r="C158" t="s">
        <v>55</v>
      </c>
      <c r="D158" t="s">
        <v>56</v>
      </c>
      <c r="E158" t="s">
        <v>293</v>
      </c>
      <c r="F158" t="s">
        <v>15</v>
      </c>
      <c r="G158" t="s">
        <v>196</v>
      </c>
      <c r="H158" t="s">
        <v>50</v>
      </c>
      <c r="I158" t="s">
        <v>66</v>
      </c>
      <c r="J158" t="s">
        <v>44</v>
      </c>
      <c r="K158" t="s">
        <v>57</v>
      </c>
      <c r="L158" t="s">
        <v>25</v>
      </c>
      <c r="M158">
        <v>1</v>
      </c>
    </row>
    <row r="159" spans="1:13" x14ac:dyDescent="0.25">
      <c r="A159" s="2">
        <v>46199</v>
      </c>
      <c r="B159" s="1" t="str">
        <f ca="1">IF(Información1[[#This Row],[Fecha]]='Ajuste de fechas'!$A$2,"Día actual","Día anterior")</f>
        <v>Día actual</v>
      </c>
      <c r="C159" t="s">
        <v>55</v>
      </c>
      <c r="D159" t="s">
        <v>56</v>
      </c>
      <c r="E159" t="s">
        <v>294</v>
      </c>
      <c r="F159" t="s">
        <v>17</v>
      </c>
      <c r="G159" t="s">
        <v>193</v>
      </c>
      <c r="H159" t="s">
        <v>50</v>
      </c>
      <c r="I159" t="s">
        <v>7</v>
      </c>
      <c r="J159" t="s">
        <v>44</v>
      </c>
      <c r="K159" t="s">
        <v>57</v>
      </c>
      <c r="L159" t="s">
        <v>24</v>
      </c>
      <c r="M159">
        <v>1</v>
      </c>
    </row>
    <row r="160" spans="1:13" x14ac:dyDescent="0.25">
      <c r="A160" s="2">
        <v>46199</v>
      </c>
      <c r="B160" s="1" t="str">
        <f ca="1">IF(Información1[[#This Row],[Fecha]]='Ajuste de fechas'!$A$2,"Día actual","Día anterior")</f>
        <v>Día actual</v>
      </c>
      <c r="C160" t="s">
        <v>55</v>
      </c>
      <c r="D160" t="s">
        <v>56</v>
      </c>
      <c r="E160" t="s">
        <v>228</v>
      </c>
      <c r="F160" t="s">
        <v>9</v>
      </c>
      <c r="G160" t="s">
        <v>118</v>
      </c>
      <c r="H160" t="s">
        <v>50</v>
      </c>
      <c r="I160" t="s">
        <v>7</v>
      </c>
      <c r="J160" t="s">
        <v>44</v>
      </c>
      <c r="K160" t="s">
        <v>57</v>
      </c>
      <c r="L160" t="s">
        <v>26</v>
      </c>
      <c r="M160">
        <v>1</v>
      </c>
    </row>
    <row r="161" spans="1:13" x14ac:dyDescent="0.25">
      <c r="A161" s="2">
        <v>46199</v>
      </c>
      <c r="B161" s="1" t="str">
        <f ca="1">IF(Información1[[#This Row],[Fecha]]='Ajuste de fechas'!$A$2,"Día actual","Día anterior")</f>
        <v>Día actual</v>
      </c>
      <c r="C161" t="s">
        <v>55</v>
      </c>
      <c r="D161" t="s">
        <v>56</v>
      </c>
      <c r="E161" t="s">
        <v>295</v>
      </c>
      <c r="F161" t="s">
        <v>10</v>
      </c>
      <c r="G161" t="s">
        <v>176</v>
      </c>
      <c r="H161" t="s">
        <v>50</v>
      </c>
      <c r="I161" t="s">
        <v>7</v>
      </c>
      <c r="J161" t="s">
        <v>46</v>
      </c>
      <c r="K161" t="s">
        <v>296</v>
      </c>
      <c r="L161" t="s">
        <v>24</v>
      </c>
      <c r="M161">
        <v>1</v>
      </c>
    </row>
    <row r="162" spans="1:13" x14ac:dyDescent="0.25">
      <c r="A162" s="2">
        <v>46199</v>
      </c>
      <c r="B162" s="1" t="str">
        <f ca="1">IF(Información1[[#This Row],[Fecha]]='Ajuste de fechas'!$A$2,"Día actual","Día anterior")</f>
        <v>Día actual</v>
      </c>
      <c r="C162" t="s">
        <v>55</v>
      </c>
      <c r="D162" t="s">
        <v>56</v>
      </c>
      <c r="E162" t="s">
        <v>297</v>
      </c>
      <c r="F162" t="s">
        <v>10</v>
      </c>
      <c r="G162" t="s">
        <v>249</v>
      </c>
      <c r="H162" t="s">
        <v>50</v>
      </c>
      <c r="I162" t="s">
        <v>14</v>
      </c>
      <c r="J162" t="s">
        <v>46</v>
      </c>
      <c r="K162" t="s">
        <v>296</v>
      </c>
      <c r="L162" t="s">
        <v>24</v>
      </c>
      <c r="M162">
        <v>1</v>
      </c>
    </row>
    <row r="163" spans="1:13" x14ac:dyDescent="0.25">
      <c r="A163" s="2">
        <v>46199</v>
      </c>
      <c r="B163" s="1" t="str">
        <f ca="1">IF(Información1[[#This Row],[Fecha]]='Ajuste de fechas'!$A$2,"Día actual","Día anterior")</f>
        <v>Día actual</v>
      </c>
      <c r="C163" t="s">
        <v>55</v>
      </c>
      <c r="D163" t="s">
        <v>56</v>
      </c>
      <c r="E163" t="s">
        <v>298</v>
      </c>
      <c r="F163" t="s">
        <v>61</v>
      </c>
      <c r="G163" t="s">
        <v>299</v>
      </c>
      <c r="H163" t="s">
        <v>50</v>
      </c>
      <c r="I163" t="s">
        <v>7</v>
      </c>
      <c r="J163" t="s">
        <v>44</v>
      </c>
      <c r="K163" t="s">
        <v>57</v>
      </c>
      <c r="L163" t="s">
        <v>24</v>
      </c>
      <c r="M163">
        <v>1</v>
      </c>
    </row>
    <row r="164" spans="1:13" x14ac:dyDescent="0.25">
      <c r="A164" s="2">
        <v>46199</v>
      </c>
      <c r="B164" s="1" t="str">
        <f ca="1">IF(Información1[[#This Row],[Fecha]]='Ajuste de fechas'!$A$2,"Día actual","Día anterior")</f>
        <v>Día actual</v>
      </c>
      <c r="C164" t="s">
        <v>55</v>
      </c>
      <c r="D164" t="s">
        <v>56</v>
      </c>
      <c r="E164" t="s">
        <v>300</v>
      </c>
      <c r="F164" t="s">
        <v>10</v>
      </c>
      <c r="G164" t="s">
        <v>148</v>
      </c>
      <c r="H164" t="s">
        <v>50</v>
      </c>
      <c r="I164" t="s">
        <v>7</v>
      </c>
      <c r="J164" t="s">
        <v>46</v>
      </c>
      <c r="K164" t="s">
        <v>57</v>
      </c>
      <c r="L164" t="s">
        <v>24</v>
      </c>
      <c r="M164">
        <v>1</v>
      </c>
    </row>
    <row r="165" spans="1:13" x14ac:dyDescent="0.25">
      <c r="A165" s="2">
        <v>46199</v>
      </c>
      <c r="B165" s="1" t="str">
        <f ca="1">IF(Información1[[#This Row],[Fecha]]='Ajuste de fechas'!$A$2,"Día actual","Día anterior")</f>
        <v>Día actual</v>
      </c>
      <c r="C165" t="s">
        <v>55</v>
      </c>
      <c r="D165" t="s">
        <v>56</v>
      </c>
      <c r="E165" t="s">
        <v>240</v>
      </c>
      <c r="F165" t="s">
        <v>53</v>
      </c>
      <c r="G165" t="s">
        <v>152</v>
      </c>
      <c r="H165" t="s">
        <v>50</v>
      </c>
      <c r="I165" t="s">
        <v>7</v>
      </c>
      <c r="J165" t="s">
        <v>44</v>
      </c>
      <c r="K165" t="s">
        <v>57</v>
      </c>
      <c r="L165" t="s">
        <v>26</v>
      </c>
      <c r="M165">
        <v>1</v>
      </c>
    </row>
    <row r="166" spans="1:13" x14ac:dyDescent="0.25">
      <c r="A166" s="2">
        <v>46199</v>
      </c>
      <c r="B166" s="1" t="str">
        <f ca="1">IF(Información1[[#This Row],[Fecha]]='Ajuste de fechas'!$A$2,"Día actual","Día anterior")</f>
        <v>Día actual</v>
      </c>
      <c r="C166" t="s">
        <v>55</v>
      </c>
      <c r="D166" t="s">
        <v>56</v>
      </c>
      <c r="E166" t="s">
        <v>215</v>
      </c>
      <c r="F166" t="s">
        <v>12</v>
      </c>
      <c r="G166" t="s">
        <v>216</v>
      </c>
      <c r="H166" t="s">
        <v>50</v>
      </c>
      <c r="I166" t="s">
        <v>7</v>
      </c>
      <c r="J166" t="s">
        <v>44</v>
      </c>
      <c r="K166" t="s">
        <v>57</v>
      </c>
      <c r="L166" t="s">
        <v>26</v>
      </c>
      <c r="M166">
        <v>1</v>
      </c>
    </row>
    <row r="167" spans="1:13" x14ac:dyDescent="0.25">
      <c r="A167" s="2">
        <v>46199</v>
      </c>
      <c r="B167" s="1" t="str">
        <f ca="1">IF(Información1[[#This Row],[Fecha]]='Ajuste de fechas'!$A$2,"Día actual","Día anterior")</f>
        <v>Día actual</v>
      </c>
      <c r="C167" t="s">
        <v>55</v>
      </c>
      <c r="D167" t="s">
        <v>56</v>
      </c>
      <c r="E167" t="s">
        <v>301</v>
      </c>
      <c r="F167" t="s">
        <v>302</v>
      </c>
      <c r="G167" t="s">
        <v>303</v>
      </c>
      <c r="H167" t="s">
        <v>50</v>
      </c>
      <c r="I167" t="s">
        <v>7</v>
      </c>
      <c r="J167" t="s">
        <v>13</v>
      </c>
      <c r="K167" t="s">
        <v>57</v>
      </c>
      <c r="L167" t="s">
        <v>24</v>
      </c>
      <c r="M167">
        <v>1</v>
      </c>
    </row>
    <row r="168" spans="1:13" x14ac:dyDescent="0.25">
      <c r="A168" s="2">
        <v>46199</v>
      </c>
      <c r="B168" s="1" t="str">
        <f ca="1">IF(Información1[[#This Row],[Fecha]]='Ajuste de fechas'!$A$2,"Día actual","Día anterior")</f>
        <v>Día actual</v>
      </c>
      <c r="C168" t="s">
        <v>55</v>
      </c>
      <c r="D168" t="s">
        <v>56</v>
      </c>
      <c r="E168" t="s">
        <v>264</v>
      </c>
      <c r="F168" t="s">
        <v>15</v>
      </c>
      <c r="G168" t="s">
        <v>196</v>
      </c>
      <c r="H168" t="s">
        <v>50</v>
      </c>
      <c r="I168" t="s">
        <v>7</v>
      </c>
      <c r="J168" t="s">
        <v>44</v>
      </c>
      <c r="K168" t="s">
        <v>57</v>
      </c>
      <c r="L168" t="s">
        <v>26</v>
      </c>
      <c r="M16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46199</v>
      </c>
      <c r="B2" s="2">
        <f ca="1">A2-1</f>
        <v>46198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2026-06-26T22:51:28Z</dcterms:modified>
</cp:coreProperties>
</file>